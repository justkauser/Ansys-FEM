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A67" i="43"/>
  <c r="G413" i="43" l="1"/>
  <c r="C422" i="43"/>
  <c r="G431" i="43"/>
  <c r="C426" i="43"/>
  <c r="F423" i="43"/>
  <c r="F410" i="43"/>
  <c r="F431" i="43"/>
  <c r="F404" i="43"/>
  <c r="F416" i="43"/>
  <c r="F434" i="43"/>
  <c r="F424" i="43"/>
  <c r="F430" i="43"/>
  <c r="C421" i="43"/>
  <c r="F427" i="43"/>
  <c r="F420" i="43"/>
  <c r="G434" i="43"/>
  <c r="F419" i="43"/>
  <c r="E420" i="43"/>
  <c r="E422" i="43"/>
  <c r="E418" i="43"/>
  <c r="D405" i="43"/>
  <c r="E431" i="43"/>
  <c r="D411" i="43"/>
  <c r="C405" i="43"/>
  <c r="C434" i="43"/>
  <c r="D431" i="43"/>
  <c r="D424" i="43"/>
  <c r="D418" i="43"/>
  <c r="D433" i="43"/>
  <c r="C431" i="43"/>
  <c r="C410" i="43"/>
  <c r="C433" i="43"/>
  <c r="D420" i="43"/>
  <c r="C415" i="43"/>
  <c r="C409" i="43"/>
  <c r="D422" i="43"/>
  <c r="C420" i="43"/>
  <c r="C414" i="43"/>
  <c r="D408" i="43"/>
  <c r="C408" i="43"/>
  <c r="C424" i="43"/>
  <c r="C430" i="43"/>
  <c r="C418" i="43"/>
  <c r="C412" i="43"/>
  <c r="C417" i="43"/>
  <c r="C407" i="43"/>
  <c r="E429" i="43"/>
  <c r="E425" i="43"/>
  <c r="E434" i="43"/>
  <c r="D429" i="43"/>
  <c r="D427" i="43"/>
  <c r="D425" i="43"/>
  <c r="D416" i="43"/>
  <c r="D413" i="43"/>
  <c r="E410" i="43"/>
  <c r="E404" i="43"/>
  <c r="D434" i="43"/>
  <c r="C432" i="43"/>
  <c r="C429" i="43"/>
  <c r="C427" i="43"/>
  <c r="C425" i="43"/>
  <c r="E423" i="43"/>
  <c r="D421" i="43"/>
  <c r="E417" i="43"/>
  <c r="D415" i="43"/>
  <c r="D412" i="43"/>
  <c r="D410" i="43"/>
  <c r="D407" i="43"/>
  <c r="E427" i="43"/>
  <c r="E416" i="43"/>
  <c r="D432" i="43"/>
  <c r="D404" i="43"/>
  <c r="E430" i="43"/>
  <c r="D428" i="43"/>
  <c r="E426" i="43"/>
  <c r="D423" i="43"/>
  <c r="E419" i="43"/>
  <c r="C404" i="43"/>
  <c r="E433" i="43"/>
  <c r="D430" i="43"/>
  <c r="C428" i="43"/>
  <c r="D426" i="43"/>
  <c r="E424" i="43"/>
  <c r="C423" i="43"/>
  <c r="C419" i="43"/>
  <c r="G416" i="43"/>
  <c r="D414" i="43"/>
  <c r="E411" i="43"/>
  <c r="D409" i="43"/>
  <c r="E406"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<sst xmlns="http://schemas.openxmlformats.org/spreadsheetml/2006/main" count="311" uniqueCount="164">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</sst>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2720840"/>
        <c:axId val="492719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27208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19664"/>
        <c:crossesAt val="-8.0000000000000019E-3"/>
        <c:crossBetween val="midCat"/>
      </c:valAx>
      <c:valAx>
        <c:axId val="492719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2721232"/>
        <c:axId val="492722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27212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2800"/>
        <c:crosses val="autoZero"/>
        <c:crossBetween val="midCat"/>
      </c:valAx>
      <c:valAx>
        <c:axId val="4927228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123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2720056"/>
        <c:axId val="4927204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2720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448"/>
        <c:crosses val="autoZero"/>
        <c:crossBetween val="midCat"/>
        <c:majorUnit val="10000"/>
      </c:valAx>
      <c:valAx>
        <c:axId val="49272044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2005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91874248"/>
        <c:axId val="6918726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918742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91872680"/>
        <c:crosses val="autoZero"/>
        <c:crossBetween val="midCat"/>
        <c:majorUnit val="10000"/>
      </c:valAx>
      <c:valAx>
        <c:axId val="6918726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9187424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91871896"/>
        <c:axId val="6918715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918718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1504"/>
        <c:crosses val="autoZero"/>
        <c:crossBetween val="midCat"/>
        <c:majorUnit val="10000"/>
      </c:valAx>
      <c:valAx>
        <c:axId val="6918715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189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6.8047567525668278E-3</c:v>
                </c:pt>
                <c:pt idx="1">
                  <c:v>9.0201152222338168E-3</c:v>
                </c:pt>
                <c:pt idx="2">
                  <c:v>2.4411760899079966E-3</c:v>
                </c:pt>
                <c:pt idx="3">
                  <c:v>4.0913104917253472E-4</c:v>
                </c:pt>
                <c:pt idx="4">
                  <c:v>5.8675133132228267E-5</c:v>
                </c:pt>
                <c:pt idx="5">
                  <c:v>5.9279232708823241E-6</c:v>
                </c:pt>
                <c:pt idx="6">
                  <c:v>1.8964972283343081E-6</c:v>
                </c:pt>
                <c:pt idx="7">
                  <c:v>7.811357211298747E-6</c:v>
                </c:pt>
                <c:pt idx="8">
                  <c:v>2.2450319876831939E-5</c:v>
                </c:pt>
                <c:pt idx="9">
                  <c:v>4.8056504634233294E-5</c:v>
                </c:pt>
                <c:pt idx="10">
                  <c:v>8.5380046704977002E-5</c:v>
                </c:pt>
                <c:pt idx="11">
                  <c:v>1.3045700323734174E-4</c:v>
                </c:pt>
                <c:pt idx="12">
                  <c:v>1.6774368245057764E-4</c:v>
                </c:pt>
                <c:pt idx="13">
                  <c:v>1.8334885979223004E-4</c:v>
                </c:pt>
                <c:pt idx="14">
                  <c:v>1.7261467959837998E-4</c:v>
                </c:pt>
                <c:pt idx="15">
                  <c:v>1.4068622804579929E-4</c:v>
                </c:pt>
                <c:pt idx="16">
                  <c:v>9.9529625214042676E-5</c:v>
                </c:pt>
                <c:pt idx="17">
                  <c:v>5.9966819823248799E-5</c:v>
                </c:pt>
                <c:pt idx="18">
                  <c:v>3.3563338130376878E-5</c:v>
                </c:pt>
                <c:pt idx="19">
                  <c:v>2.0890794502026118E-5</c:v>
                </c:pt>
                <c:pt idx="20">
                  <c:v>1.5875616030200416E-5</c:v>
                </c:pt>
                <c:pt idx="21">
                  <c:v>1.2697236799684262E-5</c:v>
                </c:pt>
                <c:pt idx="22">
                  <c:v>1.1691563462462092E-5</c:v>
                </c:pt>
                <c:pt idx="23">
                  <c:v>1.0032190868382334E-5</c:v>
                </c:pt>
                <c:pt idx="24">
                  <c:v>2.0691497789366539E-5</c:v>
                </c:pt>
                <c:pt idx="25">
                  <c:v>6.386951095449846E-5</c:v>
                </c:pt>
                <c:pt idx="26">
                  <c:v>7.9403178797695845E-5</c:v>
                </c:pt>
                <c:pt idx="27">
                  <c:v>5.8349935693010764E-5</c:v>
                </c:pt>
                <c:pt idx="28">
                  <c:v>6.2561092909106826E-5</c:v>
                </c:pt>
                <c:pt idx="29">
                  <c:v>6.9426273792345928E-5</c:v>
                </c:pt>
                <c:pt idx="30">
                  <c:v>3.2481383278640823E-5</c:v>
                </c:pt>
              </c:numCache>
            </c:numRef>
          </c:yVal>
          <c:smooth val="1"/>
        </c:ser>
        <c:dLbls>
          <c:showLegendKey val="0"/>
          <c:showVal val="0"/>
          <c:showCatName val="0"/>
          <c:showSerName val="0"/>
          <c:showPercent val="0"/>
          <c:showBubbleSize val="0"/>
        </c:dLbls>
        <c:axId val="691874640"/>
        <c:axId val="491478712"/>
      </c:scatterChart>
      <c:valAx>
        <c:axId val="6918746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8712"/>
        <c:crossesAt val="-1.5000000000000005E-3"/>
        <c:crossBetween val="midCat"/>
      </c:valAx>
      <c:valAx>
        <c:axId val="49147871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187464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10039.925868606679</c:v>
                </c:pt>
                <c:pt idx="1">
                  <c:v>9952.2767570378655</c:v>
                </c:pt>
                <c:pt idx="2">
                  <c:v>9624.2028196343763</c:v>
                </c:pt>
                <c:pt idx="3">
                  <c:v>9416.1679519233257</c:v>
                </c:pt>
                <c:pt idx="4">
                  <c:v>9157.7905296202334</c:v>
                </c:pt>
                <c:pt idx="5">
                  <c:v>8878.6164102094717</c:v>
                </c:pt>
                <c:pt idx="6">
                  <c:v>8599.9570615776956</c:v>
                </c:pt>
                <c:pt idx="7">
                  <c:v>8334.6181690126796</c:v>
                </c:pt>
                <c:pt idx="8">
                  <c:v>8026.6555672274562</c:v>
                </c:pt>
                <c:pt idx="9">
                  <c:v>7661.0763825135382</c:v>
                </c:pt>
                <c:pt idx="10">
                  <c:v>7285.1384108358379</c:v>
                </c:pt>
                <c:pt idx="11">
                  <c:v>6963.9523521377614</c:v>
                </c:pt>
                <c:pt idx="12">
                  <c:v>6678.8538159513673</c:v>
                </c:pt>
                <c:pt idx="13">
                  <c:v>6391.0817974033071</c:v>
                </c:pt>
                <c:pt idx="14">
                  <c:v>6102.1016738250974</c:v>
                </c:pt>
                <c:pt idx="15">
                  <c:v>5815.7872930112107</c:v>
                </c:pt>
                <c:pt idx="16">
                  <c:v>5480.671834824996</c:v>
                </c:pt>
                <c:pt idx="17">
                  <c:v>5001.0543085203653</c:v>
                </c:pt>
                <c:pt idx="18">
                  <c:v>4378.8327220481033</c:v>
                </c:pt>
                <c:pt idx="19">
                  <c:v>3745.5256430883433</c:v>
                </c:pt>
                <c:pt idx="20">
                  <c:v>3148.563760153153</c:v>
                </c:pt>
                <c:pt idx="21">
                  <c:v>2567.2480909526234</c:v>
                </c:pt>
                <c:pt idx="22">
                  <c:v>1986.0910339672857</c:v>
                </c:pt>
                <c:pt idx="23">
                  <c:v>1453.9897152426295</c:v>
                </c:pt>
                <c:pt idx="24">
                  <c:v>1049.2019048850475</c:v>
                </c:pt>
                <c:pt idx="25">
                  <c:v>784.07666922341105</c:v>
                </c:pt>
                <c:pt idx="26">
                  <c:v>648.67336816213913</c:v>
                </c:pt>
                <c:pt idx="27">
                  <c:v>577.83173069038969</c:v>
                </c:pt>
                <c:pt idx="28">
                  <c:v>542.16405772347434</c:v>
                </c:pt>
                <c:pt idx="29">
                  <c:v>519.02832220420692</c:v>
                </c:pt>
                <c:pt idx="30">
                  <c:v>506.58313577591804</c:v>
                </c:pt>
              </c:numCache>
            </c:numRef>
          </c:yVal>
          <c:smooth val="1"/>
        </c:ser>
        <c:dLbls>
          <c:showLegendKey val="0"/>
          <c:showVal val="0"/>
          <c:showCatName val="0"/>
          <c:showSerName val="0"/>
          <c:showPercent val="0"/>
          <c:showBubbleSize val="0"/>
        </c:dLbls>
        <c:axId val="491475968"/>
        <c:axId val="491479104"/>
      </c:scatterChart>
      <c:valAx>
        <c:axId val="491475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9104"/>
        <c:crosses val="autoZero"/>
        <c:crossBetween val="midCat"/>
      </c:valAx>
      <c:valAx>
        <c:axId val="4914791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59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7.5462067961898846E-2</c:v>
                </c:pt>
                <c:pt idx="1">
                  <c:v>6.8133310904804387E-2</c:v>
                </c:pt>
                <c:pt idx="2">
                  <c:v>4.1416813947105266E-2</c:v>
                </c:pt>
                <c:pt idx="3">
                  <c:v>2.2620747370052905E-2</c:v>
                </c:pt>
                <c:pt idx="4">
                  <c:v>6.6763709159341454E-3</c:v>
                </c:pt>
                <c:pt idx="5">
                  <c:v>4.9502442543685838E-3</c:v>
                </c:pt>
                <c:pt idx="6">
                  <c:v>1.2491860521684715E-2</c:v>
                </c:pt>
                <c:pt idx="7">
                  <c:v>8.5254114276223075E-3</c:v>
                </c:pt>
                <c:pt idx="8">
                  <c:v>9.6157421750469613E-3</c:v>
                </c:pt>
                <c:pt idx="9">
                  <c:v>8.2855884665954324E-3</c:v>
                </c:pt>
                <c:pt idx="10">
                  <c:v>9.670804757670147E-3</c:v>
                </c:pt>
                <c:pt idx="11">
                  <c:v>8.9474316116053953E-3</c:v>
                </c:pt>
                <c:pt idx="12">
                  <c:v>7.9473392732999949E-3</c:v>
                </c:pt>
                <c:pt idx="13">
                  <c:v>7.96518487586006E-3</c:v>
                </c:pt>
                <c:pt idx="14">
                  <c:v>8.7420582250253825E-3</c:v>
                </c:pt>
                <c:pt idx="15">
                  <c:v>9.7472179922090205E-3</c:v>
                </c:pt>
                <c:pt idx="16">
                  <c:v>8.429366640937231E-3</c:v>
                </c:pt>
                <c:pt idx="17">
                  <c:v>9.6937781405235894E-3</c:v>
                </c:pt>
                <c:pt idx="18">
                  <c:v>7.3600292125714367E-3</c:v>
                </c:pt>
                <c:pt idx="19">
                  <c:v>7.2350158014999584E-3</c:v>
                </c:pt>
                <c:pt idx="20">
                  <c:v>2.4270563148224593E-3</c:v>
                </c:pt>
                <c:pt idx="21">
                  <c:v>1.0589611048840417E-2</c:v>
                </c:pt>
                <c:pt idx="22">
                  <c:v>1.7916110803210535E-2</c:v>
                </c:pt>
                <c:pt idx="23">
                  <c:v>2.2135017984267449E-2</c:v>
                </c:pt>
                <c:pt idx="24">
                  <c:v>2.1409706835106956E-2</c:v>
                </c:pt>
                <c:pt idx="25">
                  <c:v>5.2463110560602579E-2</c:v>
                </c:pt>
                <c:pt idx="26">
                  <c:v>1.7313808909469038E-2</c:v>
                </c:pt>
                <c:pt idx="27">
                  <c:v>2.8249843945489187E-2</c:v>
                </c:pt>
                <c:pt idx="28">
                  <c:v>1.6748407211600806E-2</c:v>
                </c:pt>
                <c:pt idx="29">
                  <c:v>9.7573058436757221E-3</c:v>
                </c:pt>
                <c:pt idx="30">
                  <c:v>1.2435024193103038E-2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6.8116313025512552E-3</c:v>
                </c:pt>
                <c:pt idx="1">
                  <c:v>8.963625257093797E-3</c:v>
                </c:pt>
                <c:pt idx="2">
                  <c:v>2.521165505894811E-3</c:v>
                </c:pt>
                <c:pt idx="3">
                  <c:v>3.4548720518761235E-4</c:v>
                </c:pt>
                <c:pt idx="4">
                  <c:v>1.4451173569894664E-4</c:v>
                </c:pt>
                <c:pt idx="5">
                  <c:v>8.8534093331504109E-5</c:v>
                </c:pt>
                <c:pt idx="6">
                  <c:v>9.5775002409875288E-5</c:v>
                </c:pt>
                <c:pt idx="7">
                  <c:v>1.0880500947865403E-4</c:v>
                </c:pt>
                <c:pt idx="8">
                  <c:v>1.0794152582524671E-4</c:v>
                </c:pt>
                <c:pt idx="9">
                  <c:v>2.0574068981330033E-4</c:v>
                </c:pt>
                <c:pt idx="10">
                  <c:v>7.1358994545092769E-5</c:v>
                </c:pt>
                <c:pt idx="11">
                  <c:v>2.5778700675464029E-4</c:v>
                </c:pt>
                <c:pt idx="12">
                  <c:v>3.9421654579557015E-5</c:v>
                </c:pt>
                <c:pt idx="13">
                  <c:v>3.1742304337653072E-4</c:v>
                </c:pt>
                <c:pt idx="14">
                  <c:v>3.9757481266197527E-5</c:v>
                </c:pt>
                <c:pt idx="15">
                  <c:v>2.7788580556047712E-4</c:v>
                </c:pt>
                <c:pt idx="16">
                  <c:v>9.8678720899194526E-5</c:v>
                </c:pt>
                <c:pt idx="17">
                  <c:v>3.6574749814226315E-4</c:v>
                </c:pt>
                <c:pt idx="18">
                  <c:v>3.3136542070839788E-4</c:v>
                </c:pt>
                <c:pt idx="19">
                  <c:v>4.0264331630769515E-4</c:v>
                </c:pt>
                <c:pt idx="20">
                  <c:v>4.5227980310056016E-4</c:v>
                </c:pt>
                <c:pt idx="21">
                  <c:v>4.5602990293599561E-4</c:v>
                </c:pt>
                <c:pt idx="22">
                  <c:v>9.9935120346205937E-4</c:v>
                </c:pt>
                <c:pt idx="23">
                  <c:v>9.1702928963058805E-4</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7.7393366801366574E-3</c:v>
                </c:pt>
                <c:pt idx="1">
                  <c:v>2.2942839304039555E-3</c:v>
                </c:pt>
                <c:pt idx="2">
                  <c:v>6.9693371590688214E-3</c:v>
                </c:pt>
                <c:pt idx="3">
                  <c:v>5.5874311613878539E-3</c:v>
                </c:pt>
                <c:pt idx="4">
                  <c:v>6.2609219742711681E-3</c:v>
                </c:pt>
                <c:pt idx="5">
                  <c:v>5.222832181738084E-3</c:v>
                </c:pt>
                <c:pt idx="6">
                  <c:v>5.4251776821907715E-3</c:v>
                </c:pt>
                <c:pt idx="7">
                  <c:v>5.5076173873293693E-3</c:v>
                </c:pt>
                <c:pt idx="8">
                  <c:v>5.0854289058248191E-3</c:v>
                </c:pt>
                <c:pt idx="9">
                  <c:v>4.8723684932298781E-3</c:v>
                </c:pt>
                <c:pt idx="10">
                  <c:v>4.2913414886967295E-3</c:v>
                </c:pt>
                <c:pt idx="11">
                  <c:v>5.2383446001257302E-3</c:v>
                </c:pt>
                <c:pt idx="12">
                  <c:v>4.1161302530205125E-3</c:v>
                </c:pt>
                <c:pt idx="13">
                  <c:v>5.631695870884015E-3</c:v>
                </c:pt>
                <c:pt idx="14">
                  <c:v>3.9087420319146816E-3</c:v>
                </c:pt>
                <c:pt idx="15">
                  <c:v>1.4433406289167177E-3</c:v>
                </c:pt>
                <c:pt idx="16">
                  <c:v>1.4239635784184001E-2</c:v>
                </c:pt>
                <c:pt idx="17">
                  <c:v>2.0947154765033289E-2</c:v>
                </c:pt>
                <c:pt idx="18">
                  <c:v>1.7024343606509743E-2</c:v>
                </c:pt>
                <c:pt idx="19">
                  <c:v>1.1515314119089194E-2</c:v>
                </c:pt>
                <c:pt idx="20">
                  <c:v>6.332275127694428E-3</c:v>
                </c:pt>
                <c:pt idx="21">
                  <c:v>1.519859841826076E-2</c:v>
                </c:pt>
                <c:pt idx="22">
                  <c:v>5.0276655172194042E-3</c:v>
                </c:pt>
                <c:pt idx="23">
                  <c:v>9.5005462335683161E-3</c:v>
                </c:pt>
                <c:pt idx="24">
                  <c:v>6.366063166223789E-3</c:v>
                </c:pt>
                <c:pt idx="25">
                  <c:v>2.4010755793955056E-4</c:v>
                </c:pt>
                <c:pt idx="26">
                  <c:v>4.76504225511054E-3</c:v>
                </c:pt>
                <c:pt idx="27">
                  <c:v>2.4890077352088067E-3</c:v>
                </c:pt>
                <c:pt idx="28">
                  <c:v>2.5371851859617225E-3</c:v>
                </c:pt>
                <c:pt idx="29">
                  <c:v>1.3799870371561803E-3</c:v>
                </c:pt>
                <c:pt idx="30">
                  <c:v>2.259977382248806E-2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1.6757136967254668E-2</c:v>
                </c:pt>
                <c:pt idx="1">
                  <c:v>2.6762159655080022E-2</c:v>
                </c:pt>
                <c:pt idx="2">
                  <c:v>3.0140631829720394E-2</c:v>
                </c:pt>
                <c:pt idx="3">
                  <c:v>3.1630654670667439E-2</c:v>
                </c:pt>
                <c:pt idx="4">
                  <c:v>3.081440995613351E-2</c:v>
                </c:pt>
                <c:pt idx="5">
                  <c:v>2.8114776328512458E-2</c:v>
                </c:pt>
                <c:pt idx="6">
                  <c:v>2.9603264360741767E-2</c:v>
                </c:pt>
                <c:pt idx="7">
                  <c:v>2.8698131935897285E-2</c:v>
                </c:pt>
                <c:pt idx="8">
                  <c:v>3.0689570511543036E-2</c:v>
                </c:pt>
                <c:pt idx="9">
                  <c:v>2.9056139839045442E-2</c:v>
                </c:pt>
                <c:pt idx="10">
                  <c:v>2.930503222856352E-2</c:v>
                </c:pt>
                <c:pt idx="11">
                  <c:v>2.2911336598835973E-3</c:v>
                </c:pt>
                <c:pt idx="12">
                  <c:v>4.5064062143785361E-2</c:v>
                </c:pt>
                <c:pt idx="13">
                  <c:v>9.0645813092858088E-2</c:v>
                </c:pt>
                <c:pt idx="14">
                  <c:v>0.11268159155278293</c:v>
                </c:pt>
                <c:pt idx="15">
                  <c:v>9.1524858262704137E-2</c:v>
                </c:pt>
                <c:pt idx="16">
                  <c:v>5.6541667488845385E-2</c:v>
                </c:pt>
                <c:pt idx="17">
                  <c:v>1.6978501350416644E-2</c:v>
                </c:pt>
                <c:pt idx="18">
                  <c:v>5.6329975160232509E-3</c:v>
                </c:pt>
                <c:pt idx="19">
                  <c:v>4.494031542874804E-3</c:v>
                </c:pt>
                <c:pt idx="20">
                  <c:v>1.0063193909033204E-3</c:v>
                </c:pt>
                <c:pt idx="21">
                  <c:v>1.4706375183117213E-2</c:v>
                </c:pt>
                <c:pt idx="22">
                  <c:v>3.2615509140730158E-3</c:v>
                </c:pt>
                <c:pt idx="23">
                  <c:v>6.1291863581457552E-3</c:v>
                </c:pt>
                <c:pt idx="24">
                  <c:v>7.1413060663438549E-3</c:v>
                </c:pt>
                <c:pt idx="25">
                  <c:v>2.5189904044529372E-2</c:v>
                </c:pt>
                <c:pt idx="26">
                  <c:v>3.3207522302103526E-2</c:v>
                </c:pt>
                <c:pt idx="27">
                  <c:v>3.7912765421171342E-2</c:v>
                </c:pt>
                <c:pt idx="28">
                  <c:v>3.8667563366184356E-2</c:v>
                </c:pt>
                <c:pt idx="29">
                  <c:v>4.3004867550507211E-2</c:v>
                </c:pt>
                <c:pt idx="30">
                  <c:v>4.5134515809643755E-2</c:v>
                </c:pt>
              </c:numCache>
            </c:numRef>
          </c:yVal>
          <c:smooth val="1"/>
        </c:ser>
        <c:dLbls>
          <c:showLegendKey val="0"/>
          <c:showVal val="0"/>
          <c:showCatName val="0"/>
          <c:showSerName val="0"/>
          <c:showPercent val="0"/>
          <c:showBubbleSize val="0"/>
        </c:dLbls>
        <c:axId val="491479496"/>
        <c:axId val="491477144"/>
      </c:scatterChart>
      <c:valAx>
        <c:axId val="4914794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7144"/>
        <c:crossesAt val="1.0000000000000005E-9"/>
        <c:crossBetween val="midCat"/>
      </c:valAx>
      <c:valAx>
        <c:axId val="491477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94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-8.2045919832054164</c:v>
                </c:pt>
                <c:pt idx="1">
                  <c:v>-4.7518616410624546</c:v>
                </c:pt>
                <c:pt idx="2">
                  <c:v>-2.2155287311814971</c:v>
                </c:pt>
                <c:pt idx="3">
                  <c:v>0</c:v>
                </c:pt>
                <c:pt idx="4">
                  <c:v>2.7772873604500741</c:v>
                </c:pt>
                <c:pt idx="5">
                  <c:v>8.42598447324273</c:v>
                </c:pt>
                <c:pt idx="6">
                  <c:v>14.069604845309605</c:v>
                </c:pt>
              </c:numCache>
            </c:numRef>
          </c:yVal>
          <c:smooth val="0"/>
        </c:ser>
        <c:dLbls>
          <c:showLegendKey val="0"/>
          <c:showVal val="0"/>
          <c:showCatName val="0"/>
          <c:showSerName val="0"/>
          <c:showPercent val="0"/>
          <c:showBubbleSize val="0"/>
        </c:dLbls>
        <c:axId val="491477928"/>
        <c:axId val="491476360"/>
      </c:scatterChart>
      <c:valAx>
        <c:axId val="491477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6360"/>
        <c:crossesAt val="-100"/>
        <c:crossBetween val="midCat"/>
      </c:valAx>
      <c:valAx>
        <c:axId val="49147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4779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591563128"/>
        <c:axId val="591562736"/>
      </c:scatterChart>
      <c:valAx>
        <c:axId val="59156312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2736"/>
        <c:crosses val="autoZero"/>
        <c:crossBetween val="midCat"/>
      </c:valAx>
      <c:valAx>
        <c:axId val="5915627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312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2.7339525667937425E-19</c:v>
                </c:pt>
                <c:pt idx="1">
                  <c:v>2.7339525667937426E-18</c:v>
                </c:pt>
                <c:pt idx="2">
                  <c:v>2.7339525667937425E-17</c:v>
                </c:pt>
                <c:pt idx="3">
                  <c:v>2.7339525667937426E-16</c:v>
                </c:pt>
                <c:pt idx="4">
                  <c:v>2.7339525667937424E-15</c:v>
                </c:pt>
                <c:pt idx="5">
                  <c:v>2.7339525667937427E-14</c:v>
                </c:pt>
                <c:pt idx="6">
                  <c:v>2.7339525667937425E-13</c:v>
                </c:pt>
                <c:pt idx="7">
                  <c:v>2.7339525667937426E-12</c:v>
                </c:pt>
                <c:pt idx="8">
                  <c:v>2.7339525667937423E-11</c:v>
                </c:pt>
                <c:pt idx="9">
                  <c:v>2.7339525667937425E-10</c:v>
                </c:pt>
                <c:pt idx="10">
                  <c:v>2.7339525667937426E-9</c:v>
                </c:pt>
                <c:pt idx="11">
                  <c:v>2.7339525667937425E-8</c:v>
                </c:pt>
                <c:pt idx="12">
                  <c:v>2.7339525667937426E-7</c:v>
                </c:pt>
                <c:pt idx="13">
                  <c:v>2.7339525667937424E-6</c:v>
                </c:pt>
                <c:pt idx="14">
                  <c:v>2.7339525667937426E-5</c:v>
                </c:pt>
                <c:pt idx="15">
                  <c:v>2.7339525667937427E-4</c:v>
                </c:pt>
                <c:pt idx="16">
                  <c:v>2.7339525667937426E-3</c:v>
                </c:pt>
                <c:pt idx="17">
                  <c:v>2.7339525667937424E-2</c:v>
                </c:pt>
                <c:pt idx="18">
                  <c:v>0.27339525667937425</c:v>
                </c:pt>
                <c:pt idx="19">
                  <c:v>2.7339525667937425</c:v>
                </c:pt>
                <c:pt idx="20">
                  <c:v>27.339525667937426</c:v>
                </c:pt>
                <c:pt idx="21">
                  <c:v>273.39525667937426</c:v>
                </c:pt>
                <c:pt idx="22">
                  <c:v>2733.9525667937423</c:v>
                </c:pt>
                <c:pt idx="23">
                  <c:v>27339.525667937425</c:v>
                </c:pt>
                <c:pt idx="24">
                  <c:v>273395.25667937426</c:v>
                </c:pt>
                <c:pt idx="25">
                  <c:v>2733952.5667937426</c:v>
                </c:pt>
                <c:pt idx="26">
                  <c:v>27339525.667937424</c:v>
                </c:pt>
                <c:pt idx="27">
                  <c:v>273395256.67937422</c:v>
                </c:pt>
                <c:pt idx="28">
                  <c:v>2733952566.7937427</c:v>
                </c:pt>
                <c:pt idx="29">
                  <c:v>27339525667.937424</c:v>
                </c:pt>
                <c:pt idx="30">
                  <c:v>273395256679.37424</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8.6356038348939163E-18</c:v>
                </c:pt>
                <c:pt idx="1">
                  <c:v>8.6356038348939157E-17</c:v>
                </c:pt>
                <c:pt idx="2">
                  <c:v>8.6356038348939162E-16</c:v>
                </c:pt>
                <c:pt idx="3">
                  <c:v>8.6356038348939158E-15</c:v>
                </c:pt>
                <c:pt idx="4">
                  <c:v>8.6356038348939145E-14</c:v>
                </c:pt>
                <c:pt idx="5">
                  <c:v>8.6356038348939161E-13</c:v>
                </c:pt>
                <c:pt idx="6">
                  <c:v>8.6356038348939169E-12</c:v>
                </c:pt>
                <c:pt idx="7">
                  <c:v>8.6356038348939162E-11</c:v>
                </c:pt>
                <c:pt idx="8">
                  <c:v>8.6356038348939152E-10</c:v>
                </c:pt>
                <c:pt idx="9">
                  <c:v>8.6356038348939158E-9</c:v>
                </c:pt>
                <c:pt idx="10">
                  <c:v>8.6356038348939168E-8</c:v>
                </c:pt>
                <c:pt idx="11">
                  <c:v>8.6356038348939165E-7</c:v>
                </c:pt>
                <c:pt idx="12">
                  <c:v>8.6356038348939155E-6</c:v>
                </c:pt>
                <c:pt idx="13">
                  <c:v>8.6356038348939162E-5</c:v>
                </c:pt>
                <c:pt idx="14">
                  <c:v>8.6356038348939159E-4</c:v>
                </c:pt>
                <c:pt idx="15">
                  <c:v>8.6356038348939148E-3</c:v>
                </c:pt>
                <c:pt idx="16">
                  <c:v>8.6356038348939151E-2</c:v>
                </c:pt>
                <c:pt idx="17">
                  <c:v>0.86356038348939157</c:v>
                </c:pt>
                <c:pt idx="18">
                  <c:v>8.6356038348939155</c:v>
                </c:pt>
                <c:pt idx="19">
                  <c:v>86.356038348939151</c:v>
                </c:pt>
                <c:pt idx="20">
                  <c:v>863.5603834893916</c:v>
                </c:pt>
                <c:pt idx="21">
                  <c:v>8635.6038348939164</c:v>
                </c:pt>
                <c:pt idx="22">
                  <c:v>86356.038348939153</c:v>
                </c:pt>
                <c:pt idx="23">
                  <c:v>863560.38348939153</c:v>
                </c:pt>
                <c:pt idx="24">
                  <c:v>8635603.8348939158</c:v>
                </c:pt>
                <c:pt idx="25">
                  <c:v>86356038.348939151</c:v>
                </c:pt>
                <c:pt idx="26">
                  <c:v>863560383.48939157</c:v>
                </c:pt>
                <c:pt idx="27">
                  <c:v>8635603834.8939152</c:v>
                </c:pt>
                <c:pt idx="28">
                  <c:v>86356038348.939163</c:v>
                </c:pt>
                <c:pt idx="29">
                  <c:v>863560383489.3916</c:v>
                </c:pt>
                <c:pt idx="30">
                  <c:v>8635603834893.916</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1.0909581663651832E-16</c:v>
                </c:pt>
                <c:pt idx="1">
                  <c:v>1.090958166365183E-15</c:v>
                </c:pt>
                <c:pt idx="2">
                  <c:v>1.0909581663651832E-14</c:v>
                </c:pt>
                <c:pt idx="3">
                  <c:v>1.090958166365183E-13</c:v>
                </c:pt>
                <c:pt idx="4">
                  <c:v>1.0909581663651829E-12</c:v>
                </c:pt>
                <c:pt idx="5">
                  <c:v>1.0909581663651831E-11</c:v>
                </c:pt>
                <c:pt idx="6">
                  <c:v>1.0909581663651832E-10</c:v>
                </c:pt>
                <c:pt idx="7">
                  <c:v>1.0909581663651831E-9</c:v>
                </c:pt>
                <c:pt idx="8">
                  <c:v>1.090958166365183E-8</c:v>
                </c:pt>
                <c:pt idx="9">
                  <c:v>1.0909581663651831E-7</c:v>
                </c:pt>
                <c:pt idx="10">
                  <c:v>1.0909581663651831E-6</c:v>
                </c:pt>
                <c:pt idx="11">
                  <c:v>1.0909581663651831E-5</c:v>
                </c:pt>
                <c:pt idx="12">
                  <c:v>1.0909581663651831E-4</c:v>
                </c:pt>
                <c:pt idx="13">
                  <c:v>1.0909581663651831E-3</c:v>
                </c:pt>
                <c:pt idx="14">
                  <c:v>1.0909581663651831E-2</c:v>
                </c:pt>
                <c:pt idx="15">
                  <c:v>0.10909581663651831</c:v>
                </c:pt>
                <c:pt idx="16">
                  <c:v>1.0909581663651831</c:v>
                </c:pt>
                <c:pt idx="17">
                  <c:v>10.909581663651831</c:v>
                </c:pt>
                <c:pt idx="18">
                  <c:v>109.09581663651831</c:v>
                </c:pt>
                <c:pt idx="19">
                  <c:v>1090.9581663651832</c:v>
                </c:pt>
                <c:pt idx="20">
                  <c:v>10909.58166365183</c:v>
                </c:pt>
                <c:pt idx="21">
                  <c:v>109095.81663651831</c:v>
                </c:pt>
                <c:pt idx="22">
                  <c:v>1090958.166365183</c:v>
                </c:pt>
                <c:pt idx="23">
                  <c:v>10909581.663651831</c:v>
                </c:pt>
                <c:pt idx="24">
                  <c:v>109095816.6365183</c:v>
                </c:pt>
                <c:pt idx="25">
                  <c:v>1090958166.3651831</c:v>
                </c:pt>
                <c:pt idx="26">
                  <c:v>10909581663.651831</c:v>
                </c:pt>
                <c:pt idx="27">
                  <c:v>109095816636.51831</c:v>
                </c:pt>
                <c:pt idx="28">
                  <c:v>1090958166365.1831</c:v>
                </c:pt>
                <c:pt idx="29">
                  <c:v>10909581663651.83</c:v>
                </c:pt>
                <c:pt idx="30">
                  <c:v>109095816636518.31</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1.6075355105918924E-14</c:v>
                </c:pt>
                <c:pt idx="1">
                  <c:v>1.6075355105918923E-13</c:v>
                </c:pt>
                <c:pt idx="2">
                  <c:v>1.6075355105918923E-12</c:v>
                </c:pt>
                <c:pt idx="3">
                  <c:v>1.6075355105918925E-11</c:v>
                </c:pt>
                <c:pt idx="4">
                  <c:v>1.6075355105918922E-10</c:v>
                </c:pt>
                <c:pt idx="5">
                  <c:v>1.6075355105918925E-9</c:v>
                </c:pt>
                <c:pt idx="6">
                  <c:v>1.6075355105918923E-8</c:v>
                </c:pt>
                <c:pt idx="7">
                  <c:v>1.6075355105918923E-7</c:v>
                </c:pt>
                <c:pt idx="8">
                  <c:v>1.6075355105918924E-6</c:v>
                </c:pt>
                <c:pt idx="9">
                  <c:v>1.6075355105918924E-5</c:v>
                </c:pt>
                <c:pt idx="10">
                  <c:v>1.6075355105918924E-4</c:v>
                </c:pt>
                <c:pt idx="11">
                  <c:v>1.6075355105918923E-3</c:v>
                </c:pt>
                <c:pt idx="12">
                  <c:v>1.6075355105918922E-2</c:v>
                </c:pt>
                <c:pt idx="13">
                  <c:v>0.16075355105918923</c:v>
                </c:pt>
                <c:pt idx="14">
                  <c:v>1.6075355105918925</c:v>
                </c:pt>
                <c:pt idx="15">
                  <c:v>16.075355105918923</c:v>
                </c:pt>
                <c:pt idx="16">
                  <c:v>160.75355105918922</c:v>
                </c:pt>
                <c:pt idx="17">
                  <c:v>1607.5355105918923</c:v>
                </c:pt>
                <c:pt idx="18">
                  <c:v>16075.355105918923</c:v>
                </c:pt>
                <c:pt idx="19">
                  <c:v>160753.55105918922</c:v>
                </c:pt>
                <c:pt idx="20">
                  <c:v>1607535.5105918923</c:v>
                </c:pt>
                <c:pt idx="21">
                  <c:v>16075355.105918923</c:v>
                </c:pt>
                <c:pt idx="22">
                  <c:v>160753551.05918923</c:v>
                </c:pt>
                <c:pt idx="23">
                  <c:v>1607535510.5918922</c:v>
                </c:pt>
                <c:pt idx="24">
                  <c:v>16075355105.918924</c:v>
                </c:pt>
                <c:pt idx="25">
                  <c:v>160753551059.18924</c:v>
                </c:pt>
                <c:pt idx="26">
                  <c:v>1607535510591.8923</c:v>
                </c:pt>
                <c:pt idx="27">
                  <c:v>16075355105918.924</c:v>
                </c:pt>
                <c:pt idx="28">
                  <c:v>160753551059189.25</c:v>
                </c:pt>
                <c:pt idx="29">
                  <c:v>1607535510591892.2</c:v>
                </c:pt>
                <c:pt idx="30">
                  <c:v>1.6075355105918924E+16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4.5641358369795241E-12</c:v>
                </c:pt>
                <c:pt idx="1">
                  <c:v>4.5641358369795234E-11</c:v>
                </c:pt>
                <c:pt idx="2">
                  <c:v>4.5641358369795234E-10</c:v>
                </c:pt>
                <c:pt idx="3">
                  <c:v>4.5641358369795235E-9</c:v>
                </c:pt>
                <c:pt idx="4">
                  <c:v>4.5641358369795235E-8</c:v>
                </c:pt>
                <c:pt idx="5">
                  <c:v>4.5641358369795237E-7</c:v>
                </c:pt>
                <c:pt idx="6">
                  <c:v>4.5641358369795242E-6</c:v>
                </c:pt>
                <c:pt idx="7">
                  <c:v>4.5641358369795237E-5</c:v>
                </c:pt>
                <c:pt idx="8">
                  <c:v>4.5641358369795235E-4</c:v>
                </c:pt>
                <c:pt idx="9">
                  <c:v>4.5641358369795234E-3</c:v>
                </c:pt>
                <c:pt idx="10">
                  <c:v>4.5641358369795236E-2</c:v>
                </c:pt>
                <c:pt idx="11">
                  <c:v>0.45641358369795237</c:v>
                </c:pt>
                <c:pt idx="12">
                  <c:v>4.5641358369795233</c:v>
                </c:pt>
                <c:pt idx="13">
                  <c:v>45.641358369795235</c:v>
                </c:pt>
                <c:pt idx="14">
                  <c:v>456.41358369795239</c:v>
                </c:pt>
                <c:pt idx="15">
                  <c:v>4564.1358369795234</c:v>
                </c:pt>
                <c:pt idx="16">
                  <c:v>45641.358369795234</c:v>
                </c:pt>
                <c:pt idx="17">
                  <c:v>456413.58369795233</c:v>
                </c:pt>
                <c:pt idx="18">
                  <c:v>4564135.8369795233</c:v>
                </c:pt>
                <c:pt idx="19">
                  <c:v>45641358.369795233</c:v>
                </c:pt>
                <c:pt idx="20">
                  <c:v>456413583.69795233</c:v>
                </c:pt>
                <c:pt idx="21">
                  <c:v>4564135836.9795237</c:v>
                </c:pt>
                <c:pt idx="22">
                  <c:v>45641358369.795235</c:v>
                </c:pt>
                <c:pt idx="23">
                  <c:v>456413583697.95233</c:v>
                </c:pt>
                <c:pt idx="24">
                  <c:v>4564135836979.5234</c:v>
                </c:pt>
                <c:pt idx="25">
                  <c:v>45641358369795.234</c:v>
                </c:pt>
                <c:pt idx="26">
                  <c:v>456413583697952.37</c:v>
                </c:pt>
                <c:pt idx="27">
                  <c:v>4564135836979523</c:v>
                </c:pt>
                <c:pt idx="28">
                  <c:v>4.5641358369795232E+16</c:v>
                </c:pt>
                <c:pt idx="29">
                  <c:v>4.5641358369795232E+17</c:v>
                </c:pt>
                <c:pt idx="30">
                  <c:v>4.5641358369795236E+18</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1.2892933625855204E-9</c:v>
                </c:pt>
                <c:pt idx="1">
                  <c:v>1.2892933625855203E-8</c:v>
                </c:pt>
                <c:pt idx="2">
                  <c:v>1.2892933625855202E-7</c:v>
                </c:pt>
                <c:pt idx="3">
                  <c:v>1.2892933625855201E-6</c:v>
                </c:pt>
                <c:pt idx="4">
                  <c:v>1.2892933625855201E-5</c:v>
                </c:pt>
                <c:pt idx="5">
                  <c:v>1.2892933625855202E-4</c:v>
                </c:pt>
                <c:pt idx="6">
                  <c:v>1.2892933625855204E-3</c:v>
                </c:pt>
                <c:pt idx="7">
                  <c:v>1.2892933625855203E-2</c:v>
                </c:pt>
                <c:pt idx="8">
                  <c:v>0.12892933625855202</c:v>
                </c:pt>
                <c:pt idx="9">
                  <c:v>1.2892933625855203</c:v>
                </c:pt>
                <c:pt idx="10">
                  <c:v>12.892933625855203</c:v>
                </c:pt>
                <c:pt idx="11">
                  <c:v>128.92933625855204</c:v>
                </c:pt>
                <c:pt idx="12">
                  <c:v>1289.2933625855203</c:v>
                </c:pt>
                <c:pt idx="13">
                  <c:v>12892.933625855203</c:v>
                </c:pt>
                <c:pt idx="14">
                  <c:v>128929.33625855204</c:v>
                </c:pt>
                <c:pt idx="15">
                  <c:v>1289293.3625855201</c:v>
                </c:pt>
                <c:pt idx="16">
                  <c:v>12892933.625855202</c:v>
                </c:pt>
                <c:pt idx="17">
                  <c:v>128929336.25855203</c:v>
                </c:pt>
                <c:pt idx="18">
                  <c:v>1289293362.5855203</c:v>
                </c:pt>
                <c:pt idx="19">
                  <c:v>12892933625.855202</c:v>
                </c:pt>
                <c:pt idx="20">
                  <c:v>128929336258.55203</c:v>
                </c:pt>
                <c:pt idx="21">
                  <c:v>1289293362585.5203</c:v>
                </c:pt>
                <c:pt idx="22">
                  <c:v>12892933625855.203</c:v>
                </c:pt>
                <c:pt idx="23">
                  <c:v>128929336258552.03</c:v>
                </c:pt>
                <c:pt idx="24">
                  <c:v>1289293362585520.2</c:v>
                </c:pt>
                <c:pt idx="25">
                  <c:v>1.2892933625855202E+16</c:v>
                </c:pt>
                <c:pt idx="26">
                  <c:v>1.2892933625855203E+17</c:v>
                </c:pt>
                <c:pt idx="27">
                  <c:v>1.2892933625855201E+18</c:v>
                </c:pt>
                <c:pt idx="28">
                  <c:v>1.2892933625855203E+19</c:v>
                </c:pt>
                <c:pt idx="29">
                  <c:v>1.2892933625855202E+20</c:v>
                </c:pt>
                <c:pt idx="30">
                  <c:v>1.2892933625855203E+21</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63912"/>
        <c:axId val="591565088"/>
      </c:scatterChart>
      <c:valAx>
        <c:axId val="591563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5088"/>
        <c:crosses val="autoZero"/>
        <c:crossBetween val="midCat"/>
      </c:valAx>
      <c:valAx>
        <c:axId val="591565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39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2.7339525667937425E-19</c:v>
                </c:pt>
                <c:pt idx="1">
                  <c:v>2.7339525667937426E-18</c:v>
                </c:pt>
                <c:pt idx="2">
                  <c:v>2.7339525667937425E-17</c:v>
                </c:pt>
                <c:pt idx="3">
                  <c:v>2.7339525667937426E-16</c:v>
                </c:pt>
                <c:pt idx="4">
                  <c:v>2.7339525667937424E-15</c:v>
                </c:pt>
                <c:pt idx="5">
                  <c:v>2.7339525667937427E-14</c:v>
                </c:pt>
                <c:pt idx="6">
                  <c:v>2.7339525667937425E-13</c:v>
                </c:pt>
                <c:pt idx="7">
                  <c:v>2.7339525667937426E-12</c:v>
                </c:pt>
                <c:pt idx="8">
                  <c:v>2.7339525667937423E-11</c:v>
                </c:pt>
                <c:pt idx="9">
                  <c:v>2.7339525667937425E-10</c:v>
                </c:pt>
                <c:pt idx="10">
                  <c:v>2.7339525667937426E-9</c:v>
                </c:pt>
                <c:pt idx="11">
                  <c:v>2.7339525667937425E-8</c:v>
                </c:pt>
                <c:pt idx="12">
                  <c:v>2.7339525667937426E-7</c:v>
                </c:pt>
                <c:pt idx="13">
                  <c:v>2.7339525667937424E-6</c:v>
                </c:pt>
                <c:pt idx="14">
                  <c:v>2.7339525667937426E-5</c:v>
                </c:pt>
                <c:pt idx="15">
                  <c:v>2.7339525667937427E-4</c:v>
                </c:pt>
                <c:pt idx="16">
                  <c:v>2.7339525667937426E-3</c:v>
                </c:pt>
                <c:pt idx="17">
                  <c:v>2.7339525667937424E-2</c:v>
                </c:pt>
                <c:pt idx="18">
                  <c:v>0.27339525667937425</c:v>
                </c:pt>
                <c:pt idx="19">
                  <c:v>2.7339525667937425</c:v>
                </c:pt>
                <c:pt idx="20">
                  <c:v>27.339525667937426</c:v>
                </c:pt>
                <c:pt idx="21">
                  <c:v>273.39525667937426</c:v>
                </c:pt>
                <c:pt idx="22">
                  <c:v>2733.9525667937423</c:v>
                </c:pt>
                <c:pt idx="23">
                  <c:v>27339.525667937425</c:v>
                </c:pt>
                <c:pt idx="24">
                  <c:v>273395.25667937426</c:v>
                </c:pt>
                <c:pt idx="25">
                  <c:v>2733952.5667937426</c:v>
                </c:pt>
                <c:pt idx="26">
                  <c:v>27339525.667937424</c:v>
                </c:pt>
                <c:pt idx="27">
                  <c:v>273395256.67937422</c:v>
                </c:pt>
                <c:pt idx="28">
                  <c:v>2733952566.7937427</c:v>
                </c:pt>
                <c:pt idx="29">
                  <c:v>27339525667.937424</c:v>
                </c:pt>
                <c:pt idx="30">
                  <c:v>273395256679.37424</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8.6356038348939163E-18</c:v>
                </c:pt>
                <c:pt idx="1">
                  <c:v>8.6356038348939157E-17</c:v>
                </c:pt>
                <c:pt idx="2">
                  <c:v>8.6356038348939162E-16</c:v>
                </c:pt>
                <c:pt idx="3">
                  <c:v>8.6356038348939158E-15</c:v>
                </c:pt>
                <c:pt idx="4">
                  <c:v>8.6356038348939145E-14</c:v>
                </c:pt>
                <c:pt idx="5">
                  <c:v>8.6356038348939161E-13</c:v>
                </c:pt>
                <c:pt idx="6">
                  <c:v>8.6356038348939169E-12</c:v>
                </c:pt>
                <c:pt idx="7">
                  <c:v>8.6356038348939162E-11</c:v>
                </c:pt>
                <c:pt idx="8">
                  <c:v>8.6356038348939152E-10</c:v>
                </c:pt>
                <c:pt idx="9">
                  <c:v>8.6356038348939158E-9</c:v>
                </c:pt>
                <c:pt idx="10">
                  <c:v>8.6356038348939168E-8</c:v>
                </c:pt>
                <c:pt idx="11">
                  <c:v>8.6356038348939165E-7</c:v>
                </c:pt>
                <c:pt idx="12">
                  <c:v>8.6356038348939155E-6</c:v>
                </c:pt>
                <c:pt idx="13">
                  <c:v>8.6356038348939162E-5</c:v>
                </c:pt>
                <c:pt idx="14">
                  <c:v>8.6356038348939159E-4</c:v>
                </c:pt>
                <c:pt idx="15">
                  <c:v>8.6356038348939148E-3</c:v>
                </c:pt>
                <c:pt idx="16">
                  <c:v>8.6356038348939151E-2</c:v>
                </c:pt>
                <c:pt idx="17">
                  <c:v>0.86356038348939157</c:v>
                </c:pt>
                <c:pt idx="18">
                  <c:v>8.6356038348939155</c:v>
                </c:pt>
                <c:pt idx="19">
                  <c:v>86.356038348939151</c:v>
                </c:pt>
                <c:pt idx="20">
                  <c:v>863.5603834893916</c:v>
                </c:pt>
                <c:pt idx="21">
                  <c:v>8635.6038348939164</c:v>
                </c:pt>
                <c:pt idx="22">
                  <c:v>86356.038348939153</c:v>
                </c:pt>
                <c:pt idx="23">
                  <c:v>863560.38348939153</c:v>
                </c:pt>
                <c:pt idx="24">
                  <c:v>8635603.8348939158</c:v>
                </c:pt>
                <c:pt idx="25">
                  <c:v>86356038.348939151</c:v>
                </c:pt>
                <c:pt idx="26">
                  <c:v>863560383.48939157</c:v>
                </c:pt>
                <c:pt idx="27">
                  <c:v>8635603834.8939152</c:v>
                </c:pt>
                <c:pt idx="28">
                  <c:v>86356038348.939163</c:v>
                </c:pt>
                <c:pt idx="29">
                  <c:v>863560383489.3916</c:v>
                </c:pt>
                <c:pt idx="30">
                  <c:v>8635603834893.916</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1.0909581663651832E-16</c:v>
                </c:pt>
                <c:pt idx="1">
                  <c:v>1.090958166365183E-15</c:v>
                </c:pt>
                <c:pt idx="2">
                  <c:v>1.0909581663651832E-14</c:v>
                </c:pt>
                <c:pt idx="3">
                  <c:v>1.090958166365183E-13</c:v>
                </c:pt>
                <c:pt idx="4">
                  <c:v>1.0909581663651829E-12</c:v>
                </c:pt>
                <c:pt idx="5">
                  <c:v>1.0909581663651831E-11</c:v>
                </c:pt>
                <c:pt idx="6">
                  <c:v>1.0909581663651832E-10</c:v>
                </c:pt>
                <c:pt idx="7">
                  <c:v>1.0909581663651831E-9</c:v>
                </c:pt>
                <c:pt idx="8">
                  <c:v>1.090958166365183E-8</c:v>
                </c:pt>
                <c:pt idx="9">
                  <c:v>1.0909581663651831E-7</c:v>
                </c:pt>
                <c:pt idx="10">
                  <c:v>1.0909581663651831E-6</c:v>
                </c:pt>
                <c:pt idx="11">
                  <c:v>1.0909581663651831E-5</c:v>
                </c:pt>
                <c:pt idx="12">
                  <c:v>1.0909581663651831E-4</c:v>
                </c:pt>
                <c:pt idx="13">
                  <c:v>1.0909581663651831E-3</c:v>
                </c:pt>
                <c:pt idx="14">
                  <c:v>1.0909581663651831E-2</c:v>
                </c:pt>
                <c:pt idx="15">
                  <c:v>0.10909581663651831</c:v>
                </c:pt>
                <c:pt idx="16">
                  <c:v>1.0909581663651831</c:v>
                </c:pt>
                <c:pt idx="17">
                  <c:v>10.909581663651831</c:v>
                </c:pt>
                <c:pt idx="18">
                  <c:v>109.09581663651831</c:v>
                </c:pt>
                <c:pt idx="19">
                  <c:v>1090.9581663651832</c:v>
                </c:pt>
                <c:pt idx="20">
                  <c:v>10909.58166365183</c:v>
                </c:pt>
                <c:pt idx="21">
                  <c:v>109095.81663651831</c:v>
                </c:pt>
                <c:pt idx="22">
                  <c:v>1090958.166365183</c:v>
                </c:pt>
                <c:pt idx="23">
                  <c:v>10909581.663651831</c:v>
                </c:pt>
                <c:pt idx="24">
                  <c:v>109095816.6365183</c:v>
                </c:pt>
                <c:pt idx="25">
                  <c:v>1090958166.3651831</c:v>
                </c:pt>
                <c:pt idx="26">
                  <c:v>10909581663.651831</c:v>
                </c:pt>
                <c:pt idx="27">
                  <c:v>109095816636.51831</c:v>
                </c:pt>
                <c:pt idx="28">
                  <c:v>1090958166365.1831</c:v>
                </c:pt>
                <c:pt idx="29">
                  <c:v>10909581663651.83</c:v>
                </c:pt>
                <c:pt idx="30">
                  <c:v>109095816636518.31</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1.6075355105918924E-14</c:v>
                </c:pt>
                <c:pt idx="1">
                  <c:v>1.6075355105918923E-13</c:v>
                </c:pt>
                <c:pt idx="2">
                  <c:v>1.6075355105918923E-12</c:v>
                </c:pt>
                <c:pt idx="3">
                  <c:v>1.6075355105918925E-11</c:v>
                </c:pt>
                <c:pt idx="4">
                  <c:v>1.6075355105918922E-10</c:v>
                </c:pt>
                <c:pt idx="5">
                  <c:v>1.6075355105918925E-9</c:v>
                </c:pt>
                <c:pt idx="6">
                  <c:v>1.6075355105918923E-8</c:v>
                </c:pt>
                <c:pt idx="7">
                  <c:v>1.6075355105918923E-7</c:v>
                </c:pt>
                <c:pt idx="8">
                  <c:v>1.6075355105918924E-6</c:v>
                </c:pt>
                <c:pt idx="9">
                  <c:v>1.6075355105918924E-5</c:v>
                </c:pt>
                <c:pt idx="10">
                  <c:v>1.6075355105918924E-4</c:v>
                </c:pt>
                <c:pt idx="11">
                  <c:v>1.6075355105918923E-3</c:v>
                </c:pt>
                <c:pt idx="12">
                  <c:v>1.6075355105918922E-2</c:v>
                </c:pt>
                <c:pt idx="13">
                  <c:v>0.16075355105918923</c:v>
                </c:pt>
                <c:pt idx="14">
                  <c:v>1.6075355105918925</c:v>
                </c:pt>
                <c:pt idx="15">
                  <c:v>16.075355105918923</c:v>
                </c:pt>
                <c:pt idx="16">
                  <c:v>160.75355105918922</c:v>
                </c:pt>
                <c:pt idx="17">
                  <c:v>1607.5355105918923</c:v>
                </c:pt>
                <c:pt idx="18">
                  <c:v>16075.355105918923</c:v>
                </c:pt>
                <c:pt idx="19">
                  <c:v>160753.55105918922</c:v>
                </c:pt>
                <c:pt idx="20">
                  <c:v>1607535.5105918923</c:v>
                </c:pt>
                <c:pt idx="21">
                  <c:v>16075355.105918923</c:v>
                </c:pt>
                <c:pt idx="22">
                  <c:v>160753551.05918923</c:v>
                </c:pt>
                <c:pt idx="23">
                  <c:v>1607535510.5918922</c:v>
                </c:pt>
                <c:pt idx="24">
                  <c:v>16075355105.918924</c:v>
                </c:pt>
                <c:pt idx="25">
                  <c:v>160753551059.18924</c:v>
                </c:pt>
                <c:pt idx="26">
                  <c:v>1607535510591.8923</c:v>
                </c:pt>
                <c:pt idx="27">
                  <c:v>16075355105918.924</c:v>
                </c:pt>
                <c:pt idx="28">
                  <c:v>160753551059189.25</c:v>
                </c:pt>
                <c:pt idx="29">
                  <c:v>1607535510591892.2</c:v>
                </c:pt>
                <c:pt idx="30">
                  <c:v>1.6075355105918924E+16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4.5641358369795241E-12</c:v>
                </c:pt>
                <c:pt idx="1">
                  <c:v>4.5641358369795234E-11</c:v>
                </c:pt>
                <c:pt idx="2">
                  <c:v>4.5641358369795234E-10</c:v>
                </c:pt>
                <c:pt idx="3">
                  <c:v>4.5641358369795235E-9</c:v>
                </c:pt>
                <c:pt idx="4">
                  <c:v>4.5641358369795235E-8</c:v>
                </c:pt>
                <c:pt idx="5">
                  <c:v>4.5641358369795237E-7</c:v>
                </c:pt>
                <c:pt idx="6">
                  <c:v>4.5641358369795242E-6</c:v>
                </c:pt>
                <c:pt idx="7">
                  <c:v>4.5641358369795237E-5</c:v>
                </c:pt>
                <c:pt idx="8">
                  <c:v>4.5641358369795235E-4</c:v>
                </c:pt>
                <c:pt idx="9">
                  <c:v>4.5641358369795234E-3</c:v>
                </c:pt>
                <c:pt idx="10">
                  <c:v>4.5641358369795236E-2</c:v>
                </c:pt>
                <c:pt idx="11">
                  <c:v>0.45641358369795237</c:v>
                </c:pt>
                <c:pt idx="12">
                  <c:v>4.5641358369795233</c:v>
                </c:pt>
                <c:pt idx="13">
                  <c:v>45.641358369795235</c:v>
                </c:pt>
                <c:pt idx="14">
                  <c:v>456.41358369795239</c:v>
                </c:pt>
                <c:pt idx="15">
                  <c:v>4564.1358369795234</c:v>
                </c:pt>
                <c:pt idx="16">
                  <c:v>45641.358369795234</c:v>
                </c:pt>
                <c:pt idx="17">
                  <c:v>456413.58369795233</c:v>
                </c:pt>
                <c:pt idx="18">
                  <c:v>4564135.8369795233</c:v>
                </c:pt>
                <c:pt idx="19">
                  <c:v>45641358.369795233</c:v>
                </c:pt>
                <c:pt idx="20">
                  <c:v>456413583.69795233</c:v>
                </c:pt>
                <c:pt idx="21">
                  <c:v>4564135836.9795237</c:v>
                </c:pt>
                <c:pt idx="22">
                  <c:v>45641358369.795235</c:v>
                </c:pt>
                <c:pt idx="23">
                  <c:v>456413583697.95233</c:v>
                </c:pt>
                <c:pt idx="24">
                  <c:v>4564135836979.5234</c:v>
                </c:pt>
                <c:pt idx="25">
                  <c:v>45641358369795.234</c:v>
                </c:pt>
                <c:pt idx="26">
                  <c:v>456413583697952.37</c:v>
                </c:pt>
                <c:pt idx="27">
                  <c:v>4564135836979523</c:v>
                </c:pt>
                <c:pt idx="28">
                  <c:v>4.5641358369795232E+16</c:v>
                </c:pt>
                <c:pt idx="29">
                  <c:v>4.5641358369795232E+17</c:v>
                </c:pt>
                <c:pt idx="30">
                  <c:v>4.5641358369795236E+18</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1.2892933625855204E-9</c:v>
                </c:pt>
                <c:pt idx="1">
                  <c:v>1.2892933625855203E-8</c:v>
                </c:pt>
                <c:pt idx="2">
                  <c:v>1.2892933625855202E-7</c:v>
                </c:pt>
                <c:pt idx="3">
                  <c:v>1.2892933625855201E-6</c:v>
                </c:pt>
                <c:pt idx="4">
                  <c:v>1.2892933625855201E-5</c:v>
                </c:pt>
                <c:pt idx="5">
                  <c:v>1.2892933625855202E-4</c:v>
                </c:pt>
                <c:pt idx="6">
                  <c:v>1.2892933625855204E-3</c:v>
                </c:pt>
                <c:pt idx="7">
                  <c:v>1.2892933625855203E-2</c:v>
                </c:pt>
                <c:pt idx="8">
                  <c:v>0.12892933625855202</c:v>
                </c:pt>
                <c:pt idx="9">
                  <c:v>1.2892933625855203</c:v>
                </c:pt>
                <c:pt idx="10">
                  <c:v>12.892933625855203</c:v>
                </c:pt>
                <c:pt idx="11">
                  <c:v>128.92933625855204</c:v>
                </c:pt>
                <c:pt idx="12">
                  <c:v>1289.2933625855203</c:v>
                </c:pt>
                <c:pt idx="13">
                  <c:v>12892.933625855203</c:v>
                </c:pt>
                <c:pt idx="14">
                  <c:v>128929.33625855204</c:v>
                </c:pt>
                <c:pt idx="15">
                  <c:v>1289293.3625855201</c:v>
                </c:pt>
                <c:pt idx="16">
                  <c:v>12892933.625855202</c:v>
                </c:pt>
                <c:pt idx="17">
                  <c:v>128929336.25855203</c:v>
                </c:pt>
                <c:pt idx="18">
                  <c:v>1289293362.5855203</c:v>
                </c:pt>
                <c:pt idx="19">
                  <c:v>12892933625.855202</c:v>
                </c:pt>
                <c:pt idx="20">
                  <c:v>128929336258.55203</c:v>
                </c:pt>
                <c:pt idx="21">
                  <c:v>1289293362585.5203</c:v>
                </c:pt>
                <c:pt idx="22">
                  <c:v>12892933625855.203</c:v>
                </c:pt>
                <c:pt idx="23">
                  <c:v>128929336258552.03</c:v>
                </c:pt>
                <c:pt idx="24">
                  <c:v>1289293362585520.2</c:v>
                </c:pt>
                <c:pt idx="25">
                  <c:v>1.2892933625855202E+16</c:v>
                </c:pt>
                <c:pt idx="26">
                  <c:v>1.2892933625855203E+17</c:v>
                </c:pt>
                <c:pt idx="27">
                  <c:v>1.2892933625855201E+18</c:v>
                </c:pt>
                <c:pt idx="28">
                  <c:v>1.2892933625855203E+19</c:v>
                </c:pt>
                <c:pt idx="29">
                  <c:v>1.2892933625855202E+20</c:v>
                </c:pt>
                <c:pt idx="30">
                  <c:v>1.2892933625855203E+21</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65480"/>
        <c:axId val="591564304"/>
      </c:scatterChart>
      <c:valAx>
        <c:axId val="5915654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4304"/>
        <c:crosses val="autoZero"/>
        <c:crossBetween val="midCat"/>
      </c:valAx>
      <c:valAx>
        <c:axId val="59156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548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-8.2045919832054164</c:v>
                </c:pt>
                <c:pt idx="1">
                  <c:v>-8.1438503211479834</c:v>
                </c:pt>
                <c:pt idx="2">
                  <c:v>-8.0830126868710543</c:v>
                </c:pt>
                <c:pt idx="3">
                  <c:v>-8.0219831081551281</c:v>
                </c:pt>
                <c:pt idx="4">
                  <c:v>-7.9606656127807094</c:v>
                </c:pt>
                <c:pt idx="5">
                  <c:v>-7.8989642285282997</c:v>
                </c:pt>
                <c:pt idx="6">
                  <c:v>-7.8367829831784013</c:v>
                </c:pt>
                <c:pt idx="7">
                  <c:v>-7.7740259045115172</c:v>
                </c:pt>
                <c:pt idx="8">
                  <c:v>-7.710597020308148</c:v>
                </c:pt>
                <c:pt idx="9">
                  <c:v>-7.6464003583487976</c:v>
                </c:pt>
                <c:pt idx="10">
                  <c:v>-7.5813399464139684</c:v>
                </c:pt>
                <c:pt idx="11">
                  <c:v>-7.5153198122841616</c:v>
                </c:pt>
                <c:pt idx="12">
                  <c:v>-7.4482439837398804</c:v>
                </c:pt>
                <c:pt idx="13">
                  <c:v>-7.3800164885616253</c:v>
                </c:pt>
                <c:pt idx="14">
                  <c:v>-7.3105413545299003</c:v>
                </c:pt>
                <c:pt idx="15">
                  <c:v>-7.2397226094252076</c:v>
                </c:pt>
                <c:pt idx="16">
                  <c:v>-7.1674642810280496</c:v>
                </c:pt>
                <c:pt idx="17">
                  <c:v>-7.0936703971189283</c:v>
                </c:pt>
                <c:pt idx="18">
                  <c:v>-7.0182449854783444</c:v>
                </c:pt>
                <c:pt idx="19">
                  <c:v>-6.9410920738868036</c:v>
                </c:pt>
                <c:pt idx="20">
                  <c:v>-6.8621156901248037</c:v>
                </c:pt>
                <c:pt idx="21">
                  <c:v>-6.7812198619728505</c:v>
                </c:pt>
                <c:pt idx="22">
                  <c:v>-6.6983086172114454</c:v>
                </c:pt>
                <c:pt idx="23">
                  <c:v>-6.6132859836210907</c:v>
                </c:pt>
                <c:pt idx="24">
                  <c:v>-6.5260559889822884</c:v>
                </c:pt>
                <c:pt idx="25">
                  <c:v>-6.4365226610755411</c:v>
                </c:pt>
                <c:pt idx="26">
                  <c:v>-6.3445900276813507</c:v>
                </c:pt>
                <c:pt idx="27">
                  <c:v>-6.2501621165802188</c:v>
                </c:pt>
                <c:pt idx="28">
                  <c:v>-6.1531429555526493</c:v>
                </c:pt>
                <c:pt idx="29">
                  <c:v>-6.0534365723791446</c:v>
                </c:pt>
                <c:pt idx="30">
                  <c:v>-5.950946994840205</c:v>
                </c:pt>
                <c:pt idx="31">
                  <c:v>-5.8455782507163345</c:v>
                </c:pt>
                <c:pt idx="32">
                  <c:v>-5.7372343677880338</c:v>
                </c:pt>
                <c:pt idx="33">
                  <c:v>-5.6258193738358067</c:v>
                </c:pt>
                <c:pt idx="34">
                  <c:v>-5.5112372966401555</c:v>
                </c:pt>
                <c:pt idx="35">
                  <c:v>-5.3933921639815807</c:v>
                </c:pt>
                <c:pt idx="36">
                  <c:v>-5.2721880036405864</c:v>
                </c:pt>
                <c:pt idx="37">
                  <c:v>-5.1475288433976747</c:v>
                </c:pt>
                <c:pt idx="38">
                  <c:v>-5.019318711033347</c:v>
                </c:pt>
                <c:pt idx="39">
                  <c:v>-4.8874616343281065</c:v>
                </c:pt>
                <c:pt idx="40">
                  <c:v>-4.7518616410624546</c:v>
                </c:pt>
                <c:pt idx="41">
                  <c:v>-4.6729144539877172</c:v>
                </c:pt>
                <c:pt idx="42">
                  <c:v>-4.5903549217488253</c:v>
                </c:pt>
                <c:pt idx="43">
                  <c:v>-4.5044095879615327</c:v>
                </c:pt>
                <c:pt idx="44">
                  <c:v>-4.4153049962415922</c:v>
                </c:pt>
                <c:pt idx="45">
                  <c:v>-4.3232676902047595</c:v>
                </c:pt>
                <c:pt idx="46">
                  <c:v>-4.2285242134667866</c:v>
                </c:pt>
                <c:pt idx="47">
                  <c:v>-4.1313011096434291</c:v>
                </c:pt>
                <c:pt idx="48">
                  <c:v>-4.031824922350439</c:v>
                </c:pt>
                <c:pt idx="49">
                  <c:v>-3.9303221952035718</c:v>
                </c:pt>
                <c:pt idx="50">
                  <c:v>-3.8270194718185815</c:v>
                </c:pt>
                <c:pt idx="51">
                  <c:v>-3.7221432958112199</c:v>
                </c:pt>
                <c:pt idx="52">
                  <c:v>-3.6159202107972432</c:v>
                </c:pt>
                <c:pt idx="53">
                  <c:v>-3.5085767603924038</c:v>
                </c:pt>
                <c:pt idx="54">
                  <c:v>-3.4003394882124565</c:v>
                </c:pt>
                <c:pt idx="55">
                  <c:v>-3.2914349378731549</c:v>
                </c:pt>
                <c:pt idx="56">
                  <c:v>-3.1820896529902525</c:v>
                </c:pt>
                <c:pt idx="57">
                  <c:v>-3.0725301771795035</c:v>
                </c:pt>
                <c:pt idx="58">
                  <c:v>-2.9629830540566617</c:v>
                </c:pt>
                <c:pt idx="59">
                  <c:v>-2.853674827237481</c:v>
                </c:pt>
                <c:pt idx="60">
                  <c:v>-2.7448320403377151</c:v>
                </c:pt>
                <c:pt idx="61">
                  <c:v>-2.6366812369731187</c:v>
                </c:pt>
                <c:pt idx="62">
                  <c:v>-2.5294489607594444</c:v>
                </c:pt>
                <c:pt idx="63">
                  <c:v>-2.4233617553124471</c:v>
                </c:pt>
                <c:pt idx="64">
                  <c:v>-2.3186461642478799</c:v>
                </c:pt>
                <c:pt idx="65">
                  <c:v>-2.2155287311814971</c:v>
                </c:pt>
                <c:pt idx="66">
                  <c:v>-2.114183543131932</c:v>
                </c:pt>
                <c:pt idx="67">
                  <c:v>-2.0145748607293341</c:v>
                </c:pt>
                <c:pt idx="68">
                  <c:v>-1.9166144880067335</c:v>
                </c:pt>
                <c:pt idx="69">
                  <c:v>-1.8202142289971588</c:v>
                </c:pt>
                <c:pt idx="70">
                  <c:v>-1.7252858877336392</c:v>
                </c:pt>
                <c:pt idx="71">
                  <c:v>-1.631741268249205</c:v>
                </c:pt>
                <c:pt idx="72">
                  <c:v>-1.5394921745768841</c:v>
                </c:pt>
                <c:pt idx="73">
                  <c:v>-1.4484504107497069</c:v>
                </c:pt>
                <c:pt idx="74">
                  <c:v>-1.3585277808007021</c:v>
                </c:pt>
                <c:pt idx="75">
                  <c:v>-1.2696360887628992</c:v>
                </c:pt>
                <c:pt idx="76">
                  <c:v>-1.1816871386693275</c:v>
                </c:pt>
                <c:pt idx="77">
                  <c:v>-1.0945927345530162</c:v>
                </c:pt>
                <c:pt idx="78">
                  <c:v>-1.0082646804469948</c:v>
                </c:pt>
                <c:pt idx="79">
                  <c:v>-0.92261478038429223</c:v>
                </c:pt>
                <c:pt idx="80">
                  <c:v>-0.8375548383979381</c:v>
                </c:pt>
                <c:pt idx="81">
                  <c:v>-0.75299665852096165</c:v>
                </c:pt>
                <c:pt idx="82">
                  <c:v>-0.66885204478639204</c:v>
                </c:pt>
                <c:pt idx="83">
                  <c:v>-0.58503280122725865</c:v>
                </c:pt>
                <c:pt idx="84">
                  <c:v>-0.50145073187659084</c:v>
                </c:pt>
                <c:pt idx="85">
                  <c:v>-0.41801764076741788</c:v>
                </c:pt>
                <c:pt idx="86">
                  <c:v>-0.33464533193276891</c:v>
                </c:pt>
                <c:pt idx="87">
                  <c:v>-0.25124560940567336</c:v>
                </c:pt>
                <c:pt idx="88">
                  <c:v>-0.16773027721916051</c:v>
                </c:pt>
                <c:pt idx="89">
                  <c:v>-8.4011139406259622E-2</c:v>
                </c:pt>
                <c:pt idx="90">
                  <c:v>0</c:v>
                </c:pt>
                <c:pt idx="91">
                  <c:v>8.4379622908854812E-2</c:v>
                </c:pt>
                <c:pt idx="92">
                  <c:v>0.16915735499860435</c:v>
                </c:pt>
                <c:pt idx="93">
                  <c:v>0.25435110788981397</c:v>
                </c:pt>
                <c:pt idx="94">
                  <c:v>0.33997879320304908</c:v>
                </c:pt>
                <c:pt idx="95">
                  <c:v>0.42605832255887488</c:v>
                </c:pt>
                <c:pt idx="96">
                  <c:v>0.51260760757785662</c:v>
                </c:pt>
                <c:pt idx="97">
                  <c:v>0.59964455988055987</c:v>
                </c:pt>
                <c:pt idx="98">
                  <c:v>0.68718709108754972</c:v>
                </c:pt>
                <c:pt idx="99">
                  <c:v>0.77525311281939169</c:v>
                </c:pt>
                <c:pt idx="100">
                  <c:v>0.86386053669665097</c:v>
                </c:pt>
                <c:pt idx="101">
                  <c:v>0.95302727433989276</c:v>
                </c:pt>
                <c:pt idx="102">
                  <c:v>1.0427712373696827</c:v>
                </c:pt>
                <c:pt idx="103">
                  <c:v>1.1331103374065861</c:v>
                </c:pt>
                <c:pt idx="104">
                  <c:v>1.2240624860711677</c:v>
                </c:pt>
                <c:pt idx="105">
                  <c:v>1.3156455949839936</c:v>
                </c:pt>
                <c:pt idx="106">
                  <c:v>1.4078775757656286</c:v>
                </c:pt>
                <c:pt idx="107">
                  <c:v>1.5007763400366383</c:v>
                </c:pt>
                <c:pt idx="108">
                  <c:v>1.594359799417588</c:v>
                </c:pt>
                <c:pt idx="109">
                  <c:v>1.6886458655290426</c:v>
                </c:pt>
                <c:pt idx="110">
                  <c:v>1.7836524499915682</c:v>
                </c:pt>
                <c:pt idx="111">
                  <c:v>1.8793974644257294</c:v>
                </c:pt>
                <c:pt idx="112">
                  <c:v>1.9758988204520918</c:v>
                </c:pt>
                <c:pt idx="113">
                  <c:v>2.0731744296912207</c:v>
                </c:pt>
                <c:pt idx="114">
                  <c:v>2.1712422037636814</c:v>
                </c:pt>
                <c:pt idx="115">
                  <c:v>2.2701200542900399</c:v>
                </c:pt>
                <c:pt idx="116">
                  <c:v>2.3698258928908604</c:v>
                </c:pt>
                <c:pt idx="117">
                  <c:v>2.4703776311867087</c:v>
                </c:pt>
                <c:pt idx="118">
                  <c:v>2.5717931807981502</c:v>
                </c:pt>
                <c:pt idx="119">
                  <c:v>2.6740904533457499</c:v>
                </c:pt>
                <c:pt idx="120">
                  <c:v>2.7772873604500741</c:v>
                </c:pt>
                <c:pt idx="121">
                  <c:v>2.8813994354337384</c:v>
                </c:pt>
                <c:pt idx="122">
                  <c:v>2.9864326984275644</c:v>
                </c:pt>
                <c:pt idx="123">
                  <c:v>3.092390791264426</c:v>
                </c:pt>
                <c:pt idx="124">
                  <c:v>3.1992773557771952</c:v>
                </c:pt>
                <c:pt idx="125">
                  <c:v>3.3070960337987452</c:v>
                </c:pt>
                <c:pt idx="126">
                  <c:v>3.415850467161949</c:v>
                </c:pt>
                <c:pt idx="127">
                  <c:v>3.5255442976996809</c:v>
                </c:pt>
                <c:pt idx="128">
                  <c:v>3.6361811672448114</c:v>
                </c:pt>
                <c:pt idx="129">
                  <c:v>3.7477647176302149</c:v>
                </c:pt>
                <c:pt idx="130">
                  <c:v>3.8602985906887648</c:v>
                </c:pt>
                <c:pt idx="131">
                  <c:v>3.9737864282533328</c:v>
                </c:pt>
                <c:pt idx="132">
                  <c:v>4.0882318721567925</c:v>
                </c:pt>
                <c:pt idx="133">
                  <c:v>4.2036385642320173</c:v>
                </c:pt>
                <c:pt idx="134">
                  <c:v>4.320010146311879</c:v>
                </c:pt>
                <c:pt idx="135">
                  <c:v>4.4373502602292518</c:v>
                </c:pt>
                <c:pt idx="136">
                  <c:v>4.5556625478170076</c:v>
                </c:pt>
                <c:pt idx="137">
                  <c:v>4.6749506509080208</c:v>
                </c:pt>
                <c:pt idx="138">
                  <c:v>4.7952182113351629</c:v>
                </c:pt>
                <c:pt idx="139">
                  <c:v>4.9164688709313076</c:v>
                </c:pt>
                <c:pt idx="140">
                  <c:v>5.0387062715293274</c:v>
                </c:pt>
                <c:pt idx="141">
                  <c:v>5.1619340549620958</c:v>
                </c:pt>
                <c:pt idx="142">
                  <c:v>5.2861558630624845</c:v>
                </c:pt>
                <c:pt idx="143">
                  <c:v>5.4113753376633689</c:v>
                </c:pt>
                <c:pt idx="144">
                  <c:v>5.5375961205976196</c:v>
                </c:pt>
                <c:pt idx="145">
                  <c:v>5.6648218536981103</c:v>
                </c:pt>
                <c:pt idx="146">
                  <c:v>5.7930561787977144</c:v>
                </c:pt>
                <c:pt idx="147">
                  <c:v>5.9223027377293054</c:v>
                </c:pt>
                <c:pt idx="148">
                  <c:v>6.052565172325755</c:v>
                </c:pt>
                <c:pt idx="149">
                  <c:v>6.1838471244199367</c:v>
                </c:pt>
                <c:pt idx="150">
                  <c:v>6.3161522358447231</c:v>
                </c:pt>
                <c:pt idx="151">
                  <c:v>6.4494841484329868</c:v>
                </c:pt>
                <c:pt idx="152">
                  <c:v>6.5838465040176022</c:v>
                </c:pt>
                <c:pt idx="153">
                  <c:v>6.7192429444314419</c:v>
                </c:pt>
                <c:pt idx="154">
                  <c:v>6.8556771115073776</c:v>
                </c:pt>
                <c:pt idx="155">
                  <c:v>6.9931526470782837</c:v>
                </c:pt>
                <c:pt idx="156">
                  <c:v>7.1316731929770318</c:v>
                </c:pt>
                <c:pt idx="157">
                  <c:v>7.2712423910364965</c:v>
                </c:pt>
                <c:pt idx="158">
                  <c:v>7.4118638830895494</c:v>
                </c:pt>
                <c:pt idx="159">
                  <c:v>7.5535413109690639</c:v>
                </c:pt>
                <c:pt idx="160">
                  <c:v>7.6962783165079127</c:v>
                </c:pt>
                <c:pt idx="161">
                  <c:v>7.8400785415389693</c:v>
                </c:pt>
                <c:pt idx="162">
                  <c:v>7.9849456278951063</c:v>
                </c:pt>
                <c:pt idx="163">
                  <c:v>8.1308832174091972</c:v>
                </c:pt>
                <c:pt idx="164">
                  <c:v>8.2778949519141136</c:v>
                </c:pt>
                <c:pt idx="165">
                  <c:v>8.42598447324273</c:v>
                </c:pt>
                <c:pt idx="166">
                  <c:v>8.5751496665955056</c:v>
                </c:pt>
                <c:pt idx="167">
                  <c:v>8.7253653906432334</c:v>
                </c:pt>
                <c:pt idx="168">
                  <c:v>8.8766007474243036</c:v>
                </c:pt>
                <c:pt idx="169">
                  <c:v>9.028824838977096</c:v>
                </c:pt>
                <c:pt idx="170">
                  <c:v>9.1820067673399954</c:v>
                </c:pt>
                <c:pt idx="171">
                  <c:v>9.3361156345513869</c:v>
                </c:pt>
                <c:pt idx="172">
                  <c:v>9.4911205426496501</c:v>
                </c:pt>
                <c:pt idx="173">
                  <c:v>9.6469905936731735</c:v>
                </c:pt>
                <c:pt idx="174">
                  <c:v>9.8036948896603366</c:v>
                </c:pt>
                <c:pt idx="175">
                  <c:v>9.9612025326495264</c:v>
                </c:pt>
                <c:pt idx="176">
                  <c:v>10.119482624679124</c:v>
                </c:pt>
                <c:pt idx="177">
                  <c:v>10.278504267787515</c:v>
                </c:pt>
                <c:pt idx="178">
                  <c:v>10.438236564013081</c:v>
                </c:pt>
                <c:pt idx="179">
                  <c:v>10.598648615394207</c:v>
                </c:pt>
                <c:pt idx="180">
                  <c:v>10.759709523969278</c:v>
                </c:pt>
                <c:pt idx="181">
                  <c:v>10.921388391776674</c:v>
                </c:pt>
                <c:pt idx="182">
                  <c:v>11.08365432085478</c:v>
                </c:pt>
                <c:pt idx="183">
                  <c:v>11.246476413241984</c:v>
                </c:pt>
                <c:pt idx="184">
                  <c:v>11.409823770976663</c:v>
                </c:pt>
                <c:pt idx="185">
                  <c:v>11.573665496097204</c:v>
                </c:pt>
                <c:pt idx="186">
                  <c:v>11.737970690641992</c:v>
                </c:pt>
                <c:pt idx="187">
                  <c:v>11.902708456649407</c:v>
                </c:pt>
                <c:pt idx="188">
                  <c:v>12.067847896157836</c:v>
                </c:pt>
                <c:pt idx="189">
                  <c:v>12.233358111205661</c:v>
                </c:pt>
                <c:pt idx="190">
                  <c:v>12.399208203831265</c:v>
                </c:pt>
                <c:pt idx="191">
                  <c:v>12.565367276073033</c:v>
                </c:pt>
                <c:pt idx="192">
                  <c:v>12.731804429969348</c:v>
                </c:pt>
                <c:pt idx="193">
                  <c:v>12.898488767558593</c:v>
                </c:pt>
                <c:pt idx="194">
                  <c:v>13.065389390879155</c:v>
                </c:pt>
                <c:pt idx="195">
                  <c:v>13.232475401969413</c:v>
                </c:pt>
                <c:pt idx="196">
                  <c:v>13.399715902867753</c:v>
                </c:pt>
                <c:pt idx="197">
                  <c:v>13.567079995612559</c:v>
                </c:pt>
                <c:pt idx="198">
                  <c:v>13.734536782242214</c:v>
                </c:pt>
                <c:pt idx="199">
                  <c:v>13.902055364795102</c:v>
                </c:pt>
                <c:pt idx="200">
                  <c:v>14.069604845309605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-8.2045919832054164</c:v>
                </c:pt>
                <c:pt idx="1">
                  <c:v>-4.7518616410624546</c:v>
                </c:pt>
                <c:pt idx="2">
                  <c:v>-2.2155287311814971</c:v>
                </c:pt>
                <c:pt idx="3">
                  <c:v>0</c:v>
                </c:pt>
                <c:pt idx="4">
                  <c:v>2.7772873604500741</c:v>
                </c:pt>
                <c:pt idx="5">
                  <c:v>8.42598447324273</c:v>
                </c:pt>
                <c:pt idx="6">
                  <c:v>14.069604845309605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-8.1967940135971933</c:v>
                </c:pt>
                <c:pt idx="1">
                  <c:v>-8.1362718032784329</c:v>
                </c:pt>
                <c:pt idx="2">
                  <c:v>-8.0767567196210912</c:v>
                </c:pt>
                <c:pt idx="3">
                  <c:v>-8.0178156446151334</c:v>
                </c:pt>
                <c:pt idx="4">
                  <c:v>-7.9590574607824438</c:v>
                </c:pt>
                <c:pt idx="5">
                  <c:v>-7.9001307153762754</c:v>
                </c:pt>
                <c:pt idx="6">
                  <c:v>-7.8407213665250737</c:v>
                </c:pt>
                <c:pt idx="7">
                  <c:v>-7.7805506095944432</c:v>
                </c:pt>
                <c:pt idx="8">
                  <c:v>-7.7193727820579987</c:v>
                </c:pt>
                <c:pt idx="9">
                  <c:v>-7.6569733451847135</c:v>
                </c:pt>
                <c:pt idx="10">
                  <c:v>-7.5931669408674329</c:v>
                </c:pt>
                <c:pt idx="11">
                  <c:v>-7.5277955219341406</c:v>
                </c:pt>
                <c:pt idx="12">
                  <c:v>-7.460726554300475</c:v>
                </c:pt>
                <c:pt idx="13">
                  <c:v>-7.3918512893390353</c:v>
                </c:pt>
                <c:pt idx="14">
                  <c:v>-7.3210831048579053</c:v>
                </c:pt>
                <c:pt idx="15">
                  <c:v>-7.248355913097817</c:v>
                </c:pt>
                <c:pt idx="16">
                  <c:v>-7.1736226341742952</c:v>
                </c:pt>
                <c:pt idx="17">
                  <c:v>-7.0968537334081461</c:v>
                </c:pt>
                <c:pt idx="18">
                  <c:v>-7.0180358210045171</c:v>
                </c:pt>
                <c:pt idx="19">
                  <c:v>-6.9371703125578028</c:v>
                </c:pt>
                <c:pt idx="20">
                  <c:v>-6.8542721488765794</c:v>
                </c:pt>
                <c:pt idx="21">
                  <c:v>-6.7693685736396727</c:v>
                </c:pt>
                <c:pt idx="22">
                  <c:v>-6.6824979674115523</c:v>
                </c:pt>
                <c:pt idx="23">
                  <c:v>-6.5937087365620162</c:v>
                </c:pt>
                <c:pt idx="24">
                  <c:v>-6.5030582556522321</c:v>
                </c:pt>
                <c:pt idx="25">
                  <c:v>-6.4106118618661165</c:v>
                </c:pt>
                <c:pt idx="26">
                  <c:v>-6.3164419000829497</c:v>
                </c:pt>
                <c:pt idx="27">
                  <c:v>-6.2206268172041312</c:v>
                </c:pt>
                <c:pt idx="28">
                  <c:v>-6.1232503043639133</c:v>
                </c:pt>
                <c:pt idx="29">
                  <c:v>-6.0244004856709212</c:v>
                </c:pt>
                <c:pt idx="30">
                  <c:v>-5.9241691521441906</c:v>
                </c:pt>
                <c:pt idx="31">
                  <c:v>-5.82265103952445</c:v>
                </c:pt>
                <c:pt idx="32">
                  <c:v>-5.7199431486583459</c:v>
                </c:pt>
                <c:pt idx="33">
                  <c:v>-5.6161441071701566</c:v>
                </c:pt>
                <c:pt idx="34">
                  <c:v>-5.5113535711526476</c:v>
                </c:pt>
                <c:pt idx="35">
                  <c:v>-5.4056716656255963</c:v>
                </c:pt>
                <c:pt idx="36">
                  <c:v>-5.2991984625274338</c:v>
                </c:pt>
                <c:pt idx="37">
                  <c:v>-5.1920334950224989</c:v>
                </c:pt>
                <c:pt idx="38">
                  <c:v>-5.0842753069233071</c:v>
                </c:pt>
                <c:pt idx="39">
                  <c:v>-4.9760210360441626</c:v>
                </c:pt>
                <c:pt idx="40">
                  <c:v>-4.8673660303194826</c:v>
                </c:pt>
                <c:pt idx="41">
                  <c:v>-4.7584034955370607</c:v>
                </c:pt>
                <c:pt idx="42">
                  <c:v>-4.649224173553546</c:v>
                </c:pt>
                <c:pt idx="43">
                  <c:v>-4.5399160498762949</c:v>
                </c:pt>
                <c:pt idx="44">
                  <c:v>-4.4305640895127443</c:v>
                </c:pt>
                <c:pt idx="45">
                  <c:v>-4.3212500000054339</c:v>
                </c:pt>
                <c:pt idx="46">
                  <c:v>-4.2120520205876977</c:v>
                </c:pt>
                <c:pt idx="47">
                  <c:v>-4.1030447364120715</c:v>
                </c:pt>
                <c:pt idx="48">
                  <c:v>-3.9942989168203682</c:v>
                </c:pt>
                <c:pt idx="49">
                  <c:v>-3.8858813766413509</c:v>
                </c:pt>
                <c:pt idx="50">
                  <c:v>-3.7778548595188948</c:v>
                </c:pt>
                <c:pt idx="51">
                  <c:v>-3.6702779422904723</c:v>
                </c:pt>
                <c:pt idx="52">
                  <c:v>-3.5632049594527633</c:v>
                </c:pt>
                <c:pt idx="53">
                  <c:v>-3.4566859467681286</c:v>
                </c:pt>
                <c:pt idx="54">
                  <c:v>-3.3507666030826786</c:v>
                </c:pt>
                <c:pt idx="55">
                  <c:v>-3.2454882694435847</c:v>
                </c:pt>
                <c:pt idx="56">
                  <c:v>-3.1408879246202668</c:v>
                </c:pt>
                <c:pt idx="57">
                  <c:v>-3.0369981961510266</c:v>
                </c:pt>
                <c:pt idx="58">
                  <c:v>-2.9338473860536718</c:v>
                </c:pt>
                <c:pt idx="59">
                  <c:v>-2.8314595103556126</c:v>
                </c:pt>
                <c:pt idx="60">
                  <c:v>-2.7298543516158897</c:v>
                </c:pt>
                <c:pt idx="61">
                  <c:v>-2.6290475236285231</c:v>
                </c:pt>
                <c:pt idx="62">
                  <c:v>-2.5290505475135645</c:v>
                </c:pt>
                <c:pt idx="63">
                  <c:v>-2.429870938419147</c:v>
                </c:pt>
                <c:pt idx="64">
                  <c:v>-2.3315123020748216</c:v>
                </c:pt>
                <c:pt idx="65">
                  <c:v>-2.2339744404534065</c:v>
                </c:pt>
                <c:pt idx="66">
                  <c:v>-2.1372534658155296</c:v>
                </c:pt>
                <c:pt idx="67">
                  <c:v>-2.0413419224280283</c:v>
                </c:pt>
                <c:pt idx="68">
                  <c:v>-1.9462289152642684</c:v>
                </c:pt>
                <c:pt idx="69">
                  <c:v>-1.8519002450114801</c:v>
                </c:pt>
                <c:pt idx="70">
                  <c:v>-1.7583385487270948</c:v>
                </c:pt>
                <c:pt idx="71">
                  <c:v>-1.6655234455030619</c:v>
                </c:pt>
                <c:pt idx="72">
                  <c:v>-1.5734316865140729</c:v>
                </c:pt>
                <c:pt idx="73">
                  <c:v>-1.482037308842566</c:v>
                </c:pt>
                <c:pt idx="74">
                  <c:v>-1.3913117924903595</c:v>
                </c:pt>
                <c:pt idx="75">
                  <c:v>-1.3012242200037025</c:v>
                </c:pt>
                <c:pt idx="76">
                  <c:v>-1.2117414381554932</c:v>
                </c:pt>
                <c:pt idx="77">
                  <c:v>-1.1228282211453786</c:v>
                </c:pt>
                <c:pt idx="78">
                  <c:v>-1.0344474347953891</c:v>
                </c:pt>
                <c:pt idx="79">
                  <c:v>-0.94656020123574203</c:v>
                </c:pt>
                <c:pt idx="80">
                  <c:v>-0.85912606359237509</c:v>
                </c:pt>
                <c:pt idx="81">
                  <c:v>-0.77210315020475739</c:v>
                </c:pt>
                <c:pt idx="82">
                  <c:v>-0.68544833791945881</c:v>
                </c:pt>
                <c:pt idx="83">
                  <c:v>-0.59911741402192631</c:v>
                </c:pt>
                <c:pt idx="84">
                  <c:v>-0.51306523638587009</c:v>
                </c:pt>
                <c:pt idx="85">
                  <c:v>-0.42724589143661762</c:v>
                </c:pt>
                <c:pt idx="86">
                  <c:v>-0.34161284954175208</c:v>
                </c:pt>
                <c:pt idx="87">
                  <c:v>-0.25611911745930616</c:v>
                </c:pt>
                <c:pt idx="88">
                  <c:v>-0.17071738749073928</c:v>
                </c:pt>
                <c:pt idx="89">
                  <c:v>-8.5360183002883755E-2</c:v>
                </c:pt>
                <c:pt idx="90">
                  <c:v>0</c:v>
                </c:pt>
                <c:pt idx="91">
                  <c:v>8.5410555555960749E-2</c:v>
                </c:pt>
                <c:pt idx="92">
                  <c:v>0.1709186349618329</c:v>
                </c:pt>
                <c:pt idx="93">
                  <c:v>0.25657101879444144</c:v>
                </c:pt>
                <c:pt idx="94">
                  <c:v>0.34241399398756844</c:v>
                </c:pt>
                <c:pt idx="95">
                  <c:v>0.42849323619875823</c:v>
                </c:pt>
                <c:pt idx="96">
                  <c:v>0.51485369768308109</c:v>
                </c:pt>
                <c:pt idx="97">
                  <c:v>0.60153950087401975</c:v>
                </c:pt>
                <c:pt idx="98">
                  <c:v>0.68859383785468486</c:v>
                </c:pt>
                <c:pt idx="99">
                  <c:v>0.77605887588561406</c:v>
                </c:pt>
                <c:pt idx="100">
                  <c:v>0.86397566913844248</c:v>
                </c:pt>
                <c:pt idx="101">
                  <c:v>0.9523840767677908</c:v>
                </c:pt>
                <c:pt idx="102">
                  <c:v>1.0413226874367467</c:v>
                </c:pt>
                <c:pt idx="103">
                  <c:v>1.1308287503943664</c:v>
                </c:pt>
                <c:pt idx="104">
                  <c:v>1.2209381131866675</c:v>
                </c:pt>
                <c:pt idx="105">
                  <c:v>1.3116851660656217</c:v>
                </c:pt>
                <c:pt idx="106">
                  <c:v>1.4031027931437055</c:v>
                </c:pt>
                <c:pt idx="107">
                  <c:v>1.495222330324611</c:v>
                </c:pt>
                <c:pt idx="108">
                  <c:v>1.5880735300237507</c:v>
                </c:pt>
                <c:pt idx="109">
                  <c:v>1.681684532675257</c:v>
                </c:pt>
                <c:pt idx="110">
                  <c:v>1.7760818450051918</c:v>
                </c:pt>
                <c:pt idx="111">
                  <c:v>1.871290325033752</c:v>
                </c:pt>
                <c:pt idx="112">
                  <c:v>1.9673331737522819</c:v>
                </c:pt>
                <c:pt idx="113">
                  <c:v>2.0642319334039527</c:v>
                </c:pt>
                <c:pt idx="114">
                  <c:v>2.1620064922800157</c:v>
                </c:pt>
                <c:pt idx="115">
                  <c:v>2.2606750959265853</c:v>
                </c:pt>
                <c:pt idx="116">
                  <c:v>2.3602543646399208</c:v>
                </c:pt>
                <c:pt idx="117">
                  <c:v>2.4607593171112674</c:v>
                </c:pt>
                <c:pt idx="118">
                  <c:v>2.562203400065322</c:v>
                </c:pt>
                <c:pt idx="119">
                  <c:v>2.6645985237194503</c:v>
                </c:pt>
                <c:pt idx="120">
                  <c:v>2.7679551028738096</c:v>
                </c:pt>
                <c:pt idx="121">
                  <c:v>2.8722821034256105</c:v>
                </c:pt>
                <c:pt idx="122">
                  <c:v>2.9775870940837432</c:v>
                </c:pt>
                <c:pt idx="123">
                  <c:v>3.083876303043092</c:v>
                </c:pt>
                <c:pt idx="124">
                  <c:v>3.1911546793608467</c:v>
                </c:pt>
                <c:pt idx="125">
                  <c:v>3.2994259587602306</c:v>
                </c:pt>
                <c:pt idx="126">
                  <c:v>3.4086927335700392</c:v>
                </c:pt>
                <c:pt idx="127">
                  <c:v>3.5189565264914813</c:v>
                </c:pt>
                <c:pt idx="128">
                  <c:v>3.6302178678668335</c:v>
                </c:pt>
                <c:pt idx="129">
                  <c:v>3.7424763761074584</c:v>
                </c:pt>
                <c:pt idx="130">
                  <c:v>3.8557308409217903</c:v>
                </c:pt>
                <c:pt idx="131">
                  <c:v>3.9699793089669471</c:v>
                </c:pt>
                <c:pt idx="132">
                  <c:v>4.0852191715306354</c:v>
                </c:pt>
                <c:pt idx="133">
                  <c:v>4.2014472538330887</c:v>
                </c:pt>
                <c:pt idx="134">
                  <c:v>4.3186599055218391</c:v>
                </c:pt>
                <c:pt idx="135">
                  <c:v>4.4368530919150855</c:v>
                </c:pt>
                <c:pt idx="136">
                  <c:v>4.5560224855325906</c:v>
                </c:pt>
                <c:pt idx="137">
                  <c:v>4.6761635574359577</c:v>
                </c:pt>
                <c:pt idx="138">
                  <c:v>4.7972716678832521</c:v>
                </c:pt>
                <c:pt idx="139">
                  <c:v>4.9193421557860004</c:v>
                </c:pt>
                <c:pt idx="140">
                  <c:v>5.0423704264395237</c:v>
                </c:pt>
                <c:pt idx="141">
                  <c:v>5.1663520369807738</c:v>
                </c:pt>
                <c:pt idx="142">
                  <c:v>5.2912827790107313</c:v>
                </c:pt>
                <c:pt idx="143">
                  <c:v>5.4171587578015687</c:v>
                </c:pt>
                <c:pt idx="144">
                  <c:v>5.543976467491774</c:v>
                </c:pt>
                <c:pt idx="145">
                  <c:v>5.6717328616555021</c:v>
                </c:pt>
                <c:pt idx="146">
                  <c:v>5.8004254186154283</c:v>
                </c:pt>
                <c:pt idx="147">
                  <c:v>5.9300522008514944</c:v>
                </c:pt>
                <c:pt idx="148">
                  <c:v>6.0606119078408573</c:v>
                </c:pt>
                <c:pt idx="149">
                  <c:v>6.1921039216475631</c:v>
                </c:pt>
                <c:pt idx="150">
                  <c:v>6.3245283445633342</c:v>
                </c:pt>
                <c:pt idx="151">
                  <c:v>6.4578860280840322</c:v>
                </c:pt>
                <c:pt idx="152">
                  <c:v>6.5921785924893532</c:v>
                </c:pt>
                <c:pt idx="153">
                  <c:v>6.7274084362763418</c:v>
                </c:pt>
                <c:pt idx="154">
                  <c:v>6.8635787346803934</c:v>
                </c:pt>
                <c:pt idx="155">
                  <c:v>7.0006934265004057</c:v>
                </c:pt>
                <c:pt idx="156">
                  <c:v>7.1387571884278493</c:v>
                </c:pt>
                <c:pt idx="157">
                  <c:v>7.2777753960625109</c:v>
                </c:pt>
                <c:pt idx="158">
                  <c:v>7.4177540707807177</c:v>
                </c:pt>
                <c:pt idx="159">
                  <c:v>7.5586998116049671</c:v>
                </c:pt>
                <c:pt idx="160">
                  <c:v>7.7006197112067882</c:v>
                </c:pt>
                <c:pt idx="161">
                  <c:v>7.8435212551578548</c:v>
                </c:pt>
                <c:pt idx="162">
                  <c:v>7.9874122035273132</c:v>
                </c:pt>
                <c:pt idx="163">
                  <c:v>8.132300453906355</c:v>
                </c:pt>
                <c:pt idx="164">
                  <c:v>8.2781938849241694</c:v>
                </c:pt>
                <c:pt idx="165">
                  <c:v>8.4251001793023246</c:v>
                </c:pt>
                <c:pt idx="166">
                  <c:v>8.5730266254778069</c:v>
                </c:pt>
                <c:pt idx="167">
                  <c:v>8.7219798968079196</c:v>
                </c:pt>
                <c:pt idx="168">
                  <c:v>8.8719658073532734</c:v>
                </c:pt>
                <c:pt idx="169">
                  <c:v>9.0229890432182032</c:v>
                </c:pt>
                <c:pt idx="170">
                  <c:v>9.1750528684109334</c:v>
                </c:pt>
                <c:pt idx="171">
                  <c:v>9.3281588041688721</c:v>
                </c:pt>
                <c:pt idx="172">
                  <c:v>9.4823062806775127</c:v>
                </c:pt>
                <c:pt idx="173">
                  <c:v>9.6374922600943478</c:v>
                </c:pt>
                <c:pt idx="174">
                  <c:v>9.7937108297723512</c:v>
                </c:pt>
                <c:pt idx="175">
                  <c:v>9.9509527645606362</c:v>
                </c:pt>
                <c:pt idx="176">
                  <c:v>10.109205057042775</c:v>
                </c:pt>
                <c:pt idx="177">
                  <c:v>10.268450414556566</c:v>
                </c:pt>
                <c:pt idx="178">
                  <c:v>10.428666721821838</c:v>
                </c:pt>
                <c:pt idx="179">
                  <c:v>10.589826467986072</c:v>
                </c:pt>
                <c:pt idx="180">
                  <c:v>10.751896136880626</c:v>
                </c:pt>
                <c:pt idx="181">
                  <c:v>10.914835559263391</c:v>
                </c:pt>
                <c:pt idx="182">
                  <c:v>11.078597225806661</c:v>
                </c:pt>
                <c:pt idx="183">
                  <c:v>11.24312555957229</c:v>
                </c:pt>
                <c:pt idx="184">
                  <c:v>11.408356146698916</c:v>
                </c:pt>
                <c:pt idx="185">
                  <c:v>11.574214924009377</c:v>
                </c:pt>
                <c:pt idx="186">
                  <c:v>11.740617322229287</c:v>
                </c:pt>
                <c:pt idx="187">
                  <c:v>11.907467363490909</c:v>
                </c:pt>
                <c:pt idx="188">
                  <c:v>12.074656711779371</c:v>
                </c:pt>
                <c:pt idx="189">
                  <c:v>12.242063674961537</c:v>
                </c:pt>
                <c:pt idx="190">
                  <c:v>12.409552157020581</c:v>
                </c:pt>
                <c:pt idx="191">
                  <c:v>12.576970559102673</c:v>
                </c:pt>
                <c:pt idx="192">
                  <c:v>12.744150627964942</c:v>
                </c:pt>
                <c:pt idx="193">
                  <c:v>12.910906250397208</c:v>
                </c:pt>
                <c:pt idx="194">
                  <c:v>13.07703219217273</c:v>
                </c:pt>
                <c:pt idx="195">
                  <c:v>13.242302780066542</c:v>
                </c:pt>
                <c:pt idx="196">
                  <c:v>13.406470525462698</c:v>
                </c:pt>
                <c:pt idx="197">
                  <c:v>13.569264688055082</c:v>
                </c:pt>
                <c:pt idx="198">
                  <c:v>13.730389778129332</c:v>
                </c:pt>
                <c:pt idx="199">
                  <c:v>13.889523995896345</c:v>
                </c:pt>
                <c:pt idx="200">
                  <c:v>14.046317606331215</c:v>
                </c:pt>
              </c:numCache>
            </c:numRef>
          </c:yVal>
          <c:smooth val="1"/>
        </c:ser>
        <c:dLbls>
          <c:showLegendKey val="0"/>
          <c:showVal val="0"/>
          <c:showCatName val="0"/>
          <c:showSerName val="0"/>
          <c:showPercent val="0"/>
          <c:showBubbleSize val="0"/>
        </c:dLbls>
        <c:axId val="591562344"/>
        <c:axId val="587826208"/>
      </c:scatterChart>
      <c:valAx>
        <c:axId val="59156234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826208"/>
        <c:crossesAt val="-1000"/>
        <c:crossBetween val="midCat"/>
      </c:valAx>
      <c:valAx>
        <c:axId val="58782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6234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8.5377486153623033E-2</v>
      </c>
      <c r="D59" s="55">
        <v>1</v>
      </c>
    </row>
    <row r="60" spans="1:4" s="11" customFormat="1" x14ac:dyDescent="0.25">
      <c r="A60" s="54">
        <v>2</v>
      </c>
      <c r="B60" s="56">
        <f>'Shiftfunktion bestimmen'!N2</f>
        <v>2.5196417463843287E-5</v>
      </c>
      <c r="D60" s="55">
        <v>2</v>
      </c>
    </row>
    <row r="61" spans="1:4" s="11" customFormat="1" x14ac:dyDescent="0.25">
      <c r="A61" s="54">
        <v>3</v>
      </c>
      <c r="B61" s="56">
        <f>'Shiftfunktion bestimmen'!N3</f>
        <v>7.8842129782641084E-6</v>
      </c>
      <c r="D61" s="55">
        <v>3</v>
      </c>
    </row>
    <row r="62" spans="1:4" s="11" customFormat="1" x14ac:dyDescent="0.25">
      <c r="A62" s="54">
        <v>4</v>
      </c>
      <c r="B62" s="56">
        <f>'Shiftfunktion bestimmen'!N4</f>
        <v>-1.0147604042883616E-8</v>
      </c>
      <c r="D62" s="55">
        <v>4</v>
      </c>
    </row>
    <row r="63" spans="1:4" s="11" customFormat="1" x14ac:dyDescent="0.25">
      <c r="A63" s="54">
        <v>5</v>
      </c>
      <c r="B63" s="56">
        <f>'Shiftfunktion bestimmen'!N5</f>
        <v>-1.0872305260990225E-9</v>
      </c>
      <c r="D63" s="55">
        <v>5</v>
      </c>
    </row>
    <row r="64" spans="1:4" s="11" customFormat="1" x14ac:dyDescent="0.25">
      <c r="A64" s="54">
        <v>6</v>
      </c>
      <c r="B64" s="56">
        <f>'Shiftfunktion bestimmen'!N6</f>
        <v>6.6791217274030519E-12</v>
      </c>
      <c r="D64" s="55">
        <v>6</v>
      </c>
    </row>
    <row r="65" spans="1:5" s="11" customFormat="1" x14ac:dyDescent="0.25">
      <c r="A65" s="54">
        <v>7</v>
      </c>
      <c r="B65" s="56">
        <f>'Shiftfunktion bestimmen'!N7</f>
        <v>5.1490352411241208E-14</v>
      </c>
      <c r="D65" s="55">
        <v>7</v>
      </c>
    </row>
    <row r="66" spans="1:5" x14ac:dyDescent="0.25">
      <c r="A66" s="54">
        <v>8</v>
      </c>
      <c r="B66" s="56">
        <f>'Shiftfunktion bestimmen'!N8</f>
        <v>-4.205464914492846E-16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6.6620374972378937E-2</v>
      </c>
      <c r="D74" s="51">
        <v>1</v>
      </c>
      <c r="E74" s="56">
        <f>'Mastercurve bestimmen'!A18</f>
        <v>1.0000000000000001E-20</v>
      </c>
    </row>
    <row r="75" spans="1:5" x14ac:dyDescent="0.25">
      <c r="A75" s="50">
        <f>A74+1</f>
        <v>2</v>
      </c>
      <c r="B75" s="56">
        <f>'Mastercurve bestimmen'!C19</f>
        <v>3.8595188060955805E-2</v>
      </c>
      <c r="D75" s="51">
        <v>2</v>
      </c>
      <c r="E75" s="56">
        <f>'Mastercurve bestimmen'!A19</f>
        <v>3.9038946506297401E-14</v>
      </c>
    </row>
    <row r="76" spans="1:5" x14ac:dyDescent="0.25">
      <c r="A76" s="50">
        <f t="shared" ref="A76:A104" si="0">A75+1</f>
        <v>3</v>
      </c>
      <c r="B76" s="56">
        <f>'Mastercurve bestimmen'!C20</f>
        <v>1.6587501735471136E-2</v>
      </c>
      <c r="D76" s="51">
        <v>3</v>
      </c>
      <c r="E76" s="56">
        <f>'Mastercurve bestimmen'!A20</f>
        <v>4.3276437088188502E-13</v>
      </c>
    </row>
    <row r="77" spans="1:5" x14ac:dyDescent="0.25">
      <c r="A77" s="50">
        <f t="shared" si="0"/>
        <v>4</v>
      </c>
      <c r="B77" s="56">
        <f>'Mastercurve bestimmen'!C21</f>
        <v>2.5762253193940789E-2</v>
      </c>
      <c r="D77" s="51">
        <v>4</v>
      </c>
      <c r="E77" s="56">
        <f>'Mastercurve bestimmen'!A21</f>
        <v>4.7973886968128502E-12</v>
      </c>
    </row>
    <row r="78" spans="1:5" x14ac:dyDescent="0.25">
      <c r="A78" s="50">
        <f t="shared" si="0"/>
        <v>5</v>
      </c>
      <c r="B78" s="56">
        <f>'Mastercurve bestimmen'!C22</f>
        <v>2.7383353836286737E-2</v>
      </c>
      <c r="D78" s="51">
        <v>5</v>
      </c>
      <c r="E78" s="56">
        <f>'Mastercurve bestimmen'!A22</f>
        <v>5.31812225239524E-11</v>
      </c>
    </row>
    <row r="79" spans="1:5" x14ac:dyDescent="0.25">
      <c r="A79" s="50">
        <f t="shared" si="0"/>
        <v>6</v>
      </c>
      <c r="B79" s="56">
        <f>'Mastercurve bestimmen'!C23</f>
        <v>2.754495382975335E-2</v>
      </c>
      <c r="D79" s="51">
        <v>6</v>
      </c>
      <c r="E79" s="56">
        <f>'Mastercurve bestimmen'!A23</f>
        <v>5.8953789402578301E-10</v>
      </c>
    </row>
    <row r="80" spans="1:5" x14ac:dyDescent="0.25">
      <c r="A80" s="50">
        <f t="shared" si="0"/>
        <v>7</v>
      </c>
      <c r="B80" s="56">
        <f>'Mastercurve bestimmen'!C24</f>
        <v>2.4311481960907939E-2</v>
      </c>
      <c r="D80" s="51">
        <v>7</v>
      </c>
      <c r="E80" s="56">
        <f>'Mastercurve bestimmen'!A24</f>
        <v>6.5352940755699598E-9</v>
      </c>
    </row>
    <row r="81" spans="1:5" x14ac:dyDescent="0.25">
      <c r="A81" s="50">
        <f t="shared" si="0"/>
        <v>8</v>
      </c>
      <c r="B81" s="56">
        <f>'Mastercurve bestimmen'!C25</f>
        <v>3.0651614451864474E-2</v>
      </c>
      <c r="D81" s="51">
        <v>8</v>
      </c>
      <c r="E81" s="56">
        <f>'Mastercurve bestimmen'!A25</f>
        <v>7.2446689325643296E-8</v>
      </c>
    </row>
    <row r="82" spans="1:5" x14ac:dyDescent="0.25">
      <c r="A82" s="50">
        <f t="shared" si="0"/>
        <v>9</v>
      </c>
      <c r="B82" s="56">
        <f>'Mastercurve bestimmen'!C26</f>
        <v>3.7612531886897442E-2</v>
      </c>
      <c r="D82" s="51">
        <f>A82</f>
        <v>9</v>
      </c>
      <c r="E82" s="56">
        <f>'Mastercurve bestimmen'!A26</f>
        <v>8.03104303120212E-7</v>
      </c>
    </row>
    <row r="83" spans="1:5" x14ac:dyDescent="0.25">
      <c r="A83" s="50">
        <f t="shared" si="0"/>
        <v>10</v>
      </c>
      <c r="B83" s="56">
        <f>'Mastercurve bestimmen'!C27</f>
        <v>3.7657090461254324E-2</v>
      </c>
      <c r="C83" s="11"/>
      <c r="D83" s="51">
        <f t="shared" ref="D83:D104" si="1">A83</f>
        <v>10</v>
      </c>
      <c r="E83" s="56">
        <f>'Mastercurve bestimmen'!A27</f>
        <v>8.9027742702096099E-6</v>
      </c>
    </row>
    <row r="84" spans="1:5" x14ac:dyDescent="0.25">
      <c r="A84" s="50">
        <f t="shared" si="0"/>
        <v>11</v>
      </c>
      <c r="B84" s="56">
        <f>'Mastercurve bestimmen'!C28</f>
        <v>2.8120844597554626E-2</v>
      </c>
      <c r="C84" s="11"/>
      <c r="D84" s="51">
        <f t="shared" si="1"/>
        <v>11</v>
      </c>
      <c r="E84" s="56">
        <f>'Mastercurve bestimmen'!A28</f>
        <v>9.86912775817142E-5</v>
      </c>
    </row>
    <row r="85" spans="1:5" x14ac:dyDescent="0.25">
      <c r="A85" s="50">
        <f t="shared" si="0"/>
        <v>12</v>
      </c>
      <c r="B85" s="56">
        <f>'Mastercurve bestimmen'!C29</f>
        <v>2.7436977184880754E-2</v>
      </c>
      <c r="C85" s="11"/>
      <c r="D85" s="51">
        <f t="shared" si="1"/>
        <v>12</v>
      </c>
      <c r="E85" s="56">
        <f>'Mastercurve bestimmen'!A29</f>
        <v>1.0940374286813801E-3</v>
      </c>
    </row>
    <row r="86" spans="1:5" x14ac:dyDescent="0.25">
      <c r="A86" s="50">
        <f t="shared" si="0"/>
        <v>13</v>
      </c>
      <c r="B86" s="56">
        <f>'Mastercurve bestimmen'!C30</f>
        <v>2.8525679875278043E-2</v>
      </c>
      <c r="C86" s="11"/>
      <c r="D86" s="51">
        <f t="shared" si="1"/>
        <v>13</v>
      </c>
      <c r="E86" s="56">
        <f>'Mastercurve bestimmen'!A30</f>
        <v>1.2127899493091E-2</v>
      </c>
    </row>
    <row r="87" spans="1:5" x14ac:dyDescent="0.25">
      <c r="A87" s="50">
        <f t="shared" si="0"/>
        <v>14</v>
      </c>
      <c r="B87" s="56">
        <f>'Mastercurve bestimmen'!C31</f>
        <v>2.7750514458376237E-2</v>
      </c>
      <c r="C87" s="11"/>
      <c r="D87" s="51">
        <f t="shared" si="1"/>
        <v>14</v>
      </c>
      <c r="E87" s="56">
        <f>'Mastercurve bestimmen'!A31</f>
        <v>0.13444324870292301</v>
      </c>
    </row>
    <row r="88" spans="1:5" x14ac:dyDescent="0.25">
      <c r="A88" s="50">
        <f t="shared" si="0"/>
        <v>15</v>
      </c>
      <c r="B88" s="56">
        <f>'Mastercurve bestimmen'!C32</f>
        <v>2.6288987576301423E-2</v>
      </c>
      <c r="C88" s="11"/>
      <c r="D88" s="51">
        <f t="shared" si="1"/>
        <v>15</v>
      </c>
      <c r="E88" s="56">
        <f>'Mastercurve bestimmen'!A32</f>
        <v>1.49036419143257</v>
      </c>
    </row>
    <row r="89" spans="1:5" x14ac:dyDescent="0.25">
      <c r="A89" s="50">
        <f t="shared" si="0"/>
        <v>16</v>
      </c>
      <c r="B89" s="56">
        <f>'Mastercurve bestimmen'!C33</f>
        <v>3.6959544904792516E-2</v>
      </c>
      <c r="C89" s="11"/>
      <c r="D89" s="51">
        <f t="shared" si="1"/>
        <v>16</v>
      </c>
      <c r="E89" s="56">
        <f>'Mastercurve bestimmen'!A33</f>
        <v>16.521360830937301</v>
      </c>
    </row>
    <row r="90" spans="1:5" x14ac:dyDescent="0.25">
      <c r="A90" s="50">
        <f t="shared" si="0"/>
        <v>17</v>
      </c>
      <c r="B90" s="56">
        <f>'Mastercurve bestimmen'!C34</f>
        <v>5.8251521271899753E-2</v>
      </c>
      <c r="C90" s="11"/>
      <c r="D90" s="51">
        <f t="shared" si="1"/>
        <v>17</v>
      </c>
      <c r="E90" s="56">
        <f>'Mastercurve bestimmen'!A34</f>
        <v>183.146753843879</v>
      </c>
    </row>
    <row r="91" spans="1:5" x14ac:dyDescent="0.25">
      <c r="A91" s="50">
        <f t="shared" si="0"/>
        <v>18</v>
      </c>
      <c r="B91" s="56">
        <f>'Mastercurve bestimmen'!C35</f>
        <v>6.389288103223241E-2</v>
      </c>
      <c r="C91" s="11"/>
      <c r="D91" s="51">
        <f t="shared" si="1"/>
        <v>18</v>
      </c>
      <c r="E91" s="56">
        <f>'Mastercurve bestimmen'!A35</f>
        <v>2030.26456396616</v>
      </c>
    </row>
    <row r="92" spans="1:5" x14ac:dyDescent="0.25">
      <c r="A92" s="50">
        <f t="shared" si="0"/>
        <v>19</v>
      </c>
      <c r="B92" s="56">
        <f>'Mastercurve bestimmen'!C36</f>
        <v>5.5851877003500798E-2</v>
      </c>
      <c r="C92" s="11"/>
      <c r="D92" s="51">
        <f t="shared" si="1"/>
        <v>19</v>
      </c>
      <c r="E92" s="56">
        <f>'Mastercurve bestimmen'!A36</f>
        <v>22506.400540467101</v>
      </c>
    </row>
    <row r="93" spans="1:5" x14ac:dyDescent="0.25">
      <c r="A93" s="50">
        <f t="shared" si="0"/>
        <v>20</v>
      </c>
      <c r="B93" s="56">
        <f>'Mastercurve bestimmen'!C37</f>
        <v>6.3492649829387265E-2</v>
      </c>
      <c r="C93" s="11"/>
      <c r="D93" s="51">
        <f t="shared" si="1"/>
        <v>20</v>
      </c>
      <c r="E93" s="56">
        <f>'Mastercurve bestimmen'!A37</f>
        <v>249493.62476110301</v>
      </c>
    </row>
    <row r="94" spans="1:5" x14ac:dyDescent="0.25">
      <c r="A94" s="50">
        <f t="shared" si="0"/>
        <v>21</v>
      </c>
      <c r="B94" s="56">
        <f>'Mastercurve bestimmen'!C38</f>
        <v>2.3429910997179341E-2</v>
      </c>
      <c r="C94" s="11"/>
      <c r="D94" s="51">
        <f t="shared" si="1"/>
        <v>21</v>
      </c>
      <c r="E94" s="56">
        <f>'Mastercurve bestimmen'!A38</f>
        <v>2765749.6224023802</v>
      </c>
    </row>
    <row r="95" spans="1:5" x14ac:dyDescent="0.25">
      <c r="A95" s="50">
        <f t="shared" si="0"/>
        <v>22</v>
      </c>
      <c r="B95" s="56">
        <f>'Mastercurve bestimmen'!C39</f>
        <v>6.1780961618441606E-2</v>
      </c>
      <c r="C95" s="11"/>
      <c r="D95" s="51">
        <f t="shared" si="1"/>
        <v>22</v>
      </c>
      <c r="E95" s="56">
        <f>'Mastercurve bestimmen'!A39</f>
        <v>10000000</v>
      </c>
    </row>
    <row r="96" spans="1:5" x14ac:dyDescent="0.25">
      <c r="A96" s="50">
        <f t="shared" si="0"/>
        <v>23</v>
      </c>
      <c r="B96" s="56">
        <f>'Mastercurve bestimmen'!C40</f>
        <v>4.2169062984942343E-2</v>
      </c>
      <c r="C96" s="11"/>
      <c r="D96" s="51">
        <f t="shared" si="1"/>
        <v>23</v>
      </c>
      <c r="E96" s="56">
        <f>'Mastercurve bestimmen'!A40</f>
        <v>100000000</v>
      </c>
    </row>
    <row r="97" spans="1:5" x14ac:dyDescent="0.25">
      <c r="A97" s="50">
        <f t="shared" si="0"/>
        <v>24</v>
      </c>
      <c r="B97" s="56">
        <f>'Mastercurve bestimmen'!C41</f>
        <v>3.8068907608639936E-2</v>
      </c>
      <c r="C97" s="11"/>
      <c r="D97" s="51">
        <f t="shared" si="1"/>
        <v>24</v>
      </c>
      <c r="E97" s="56">
        <f>'Mastercurve bestimmen'!A41</f>
        <v>1000000000</v>
      </c>
    </row>
    <row r="98" spans="1:5" x14ac:dyDescent="0.25">
      <c r="A98" s="50">
        <f t="shared" si="0"/>
        <v>25</v>
      </c>
      <c r="B98" s="56">
        <f>'Mastercurve bestimmen'!C42</f>
        <v>1.8061881630202923E-2</v>
      </c>
      <c r="C98" s="11"/>
      <c r="D98" s="51">
        <f t="shared" si="1"/>
        <v>25</v>
      </c>
      <c r="E98" s="56">
        <f>'Mastercurve bestimmen'!A42</f>
        <v>10000000000</v>
      </c>
    </row>
    <row r="99" spans="1:5" x14ac:dyDescent="0.25">
      <c r="A99" s="50">
        <f t="shared" si="0"/>
        <v>26</v>
      </c>
      <c r="B99" s="56">
        <f>'Mastercurve bestimmen'!C43</f>
        <v>1.0233436786589783E-2</v>
      </c>
      <c r="C99" s="11"/>
      <c r="D99" s="51">
        <f t="shared" si="1"/>
        <v>26</v>
      </c>
      <c r="E99" s="56">
        <f>'Mastercurve bestimmen'!A43</f>
        <v>100000000000</v>
      </c>
    </row>
    <row r="100" spans="1:5" x14ac:dyDescent="0.25">
      <c r="A100" s="50">
        <f t="shared" si="0"/>
        <v>27</v>
      </c>
      <c r="B100" s="56">
        <f>'Mastercurve bestimmen'!C44</f>
        <v>4.802496116573597E-3</v>
      </c>
      <c r="C100" s="11"/>
      <c r="D100" s="51">
        <f t="shared" si="1"/>
        <v>27</v>
      </c>
      <c r="E100" s="56">
        <f>'Mastercurve bestimmen'!A44</f>
        <v>1000000000000</v>
      </c>
    </row>
    <row r="101" spans="1:5" x14ac:dyDescent="0.25">
      <c r="A101" s="50">
        <f t="shared" si="0"/>
        <v>28</v>
      </c>
      <c r="B101" s="56">
        <f>'Mastercurve bestimmen'!C45</f>
        <v>2.5220120484412234E-3</v>
      </c>
      <c r="C101" s="11"/>
      <c r="D101" s="51">
        <f t="shared" si="1"/>
        <v>28</v>
      </c>
      <c r="E101" s="56">
        <f>'Mastercurve bestimmen'!A45</f>
        <v>10000000000000</v>
      </c>
    </row>
    <row r="102" spans="1:5" x14ac:dyDescent="0.25">
      <c r="A102" s="50">
        <f t="shared" si="0"/>
        <v>29</v>
      </c>
      <c r="B102" s="56">
        <f>'Mastercurve bestimmen'!C46</f>
        <v>2.1848474936022057E-3</v>
      </c>
      <c r="C102" s="11"/>
      <c r="D102" s="51">
        <f t="shared" si="1"/>
        <v>29</v>
      </c>
      <c r="E102" s="56">
        <f>'Mastercurve bestimmen'!A46</f>
        <v>100000000000000</v>
      </c>
    </row>
    <row r="103" spans="1:5" x14ac:dyDescent="0.25">
      <c r="A103" s="50">
        <f t="shared" si="0"/>
        <v>30</v>
      </c>
      <c r="B103" s="56">
        <f>'Mastercurve bestimmen'!C47</f>
        <v>3.6320293099179269E-4</v>
      </c>
      <c r="C103" s="11"/>
      <c r="D103" s="51">
        <f t="shared" si="1"/>
        <v>30</v>
      </c>
      <c r="E103" s="56">
        <f>'Mastercurve bestimmen'!A47</f>
        <v>1000000000000000</v>
      </c>
    </row>
    <row r="104" spans="1:5" x14ac:dyDescent="0.25">
      <c r="A104" s="50">
        <f t="shared" si="0"/>
        <v>31</v>
      </c>
      <c r="B104" s="56">
        <f>'Mastercurve bestimmen'!C48</f>
        <v>1.8415595868786856E-3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10108.713203034791</v>
      </c>
      <c r="G16" s="26">
        <f>INDEX(Comparison!$AM$3:$AS$33,G14,$B$3)</f>
        <v>9863.3085771990827</v>
      </c>
      <c r="H16" s="26">
        <f>INDEX(Comparison!$AM$3:$AS$33,H14,$B$3)</f>
        <v>9647.7546876992856</v>
      </c>
      <c r="I16" s="26">
        <f>INDEX(Comparison!$AM$3:$AS$33,I14,$B$3)</f>
        <v>9412.3170807609295</v>
      </c>
      <c r="J16" s="26">
        <f>INDEX(Comparison!$AM$3:$AS$33,J14,$B$3)</f>
        <v>9158.3278957287839</v>
      </c>
      <c r="K16" s="26">
        <f>INDEX(Comparison!$AM$3:$AS$33,K14,$B$3)</f>
        <v>8878.5637787646356</v>
      </c>
      <c r="L16" s="26">
        <f>INDEX(Comparison!$AM$3:$AS$33,L14,$B$3)</f>
        <v>8599.940751813896</v>
      </c>
      <c r="M16" s="26">
        <f>INDEX(Comparison!$AM$3:$AS$33,M14,$B$3)</f>
        <v>8334.6832742009774</v>
      </c>
      <c r="N16" s="26">
        <f>INDEX(Comparison!$AM$3:$AS$33,N14,$B$3)</f>
        <v>8026.4753702879098</v>
      </c>
      <c r="O16" s="26">
        <f>INDEX(Comparison!$AM$3:$AS$33,O14,$B$3)</f>
        <v>7661.4445647597695</v>
      </c>
      <c r="P16" s="26">
        <f>INDEX(Comparison!$AM$3:$AS$33,P14,$B$3)</f>
        <v>7284.5164584803897</v>
      </c>
      <c r="Q16" s="26">
        <f>INDEX(Comparison!$AM$3:$AS$33,Q14,$B$3)</f>
        <v>6964.8609670274845</v>
      </c>
      <c r="R16" s="26">
        <f>INDEX(Comparison!$AM$3:$AS$33,R14,$B$3)</f>
        <v>6677.7336683154199</v>
      </c>
      <c r="S16" s="26">
        <f>INDEX(Comparison!$AM$3:$AS$33,S14,$B$3)</f>
        <v>6392.2538098508458</v>
      </c>
      <c r="T16" s="26">
        <f>INDEX(Comparison!$AM$3:$AS$33,T14,$B$3)</f>
        <v>6101.0485432855839</v>
      </c>
      <c r="U16" s="26">
        <f>INDEX(Comparison!$AM$3:$AS$33,U14,$B$3)</f>
        <v>5816.6056093144152</v>
      </c>
      <c r="V16" s="26">
        <f>INDEX(Comparison!$AM$3:$AS$33,V14,$B$3)</f>
        <v>5480.1263998982886</v>
      </c>
      <c r="W16" s="26">
        <f>INDEX(Comparison!$AM$3:$AS$33,W14,$B$3)</f>
        <v>5001.3542238279779</v>
      </c>
      <c r="X16" s="26">
        <f>INDEX(Comparison!$AM$3:$AS$33,X14,$B$3)</f>
        <v>4378.6857587374161</v>
      </c>
      <c r="Y16" s="26">
        <f>INDEX(Comparison!$AM$3:$AS$33,Y14,$B$3)</f>
        <v>3745.6038917295314</v>
      </c>
      <c r="Z16" s="26">
        <f>INDEX(Comparison!$AM$3:$AS$33,Z14,$B$3)</f>
        <v>3148.5137755573865</v>
      </c>
      <c r="AA16" s="26">
        <f>INDEX(Comparison!$AM$3:$AS$33,AA14,$B$3)</f>
        <v>2567.2806883234543</v>
      </c>
      <c r="AB16" s="26">
        <f>INDEX(Comparison!$AM$3:$AS$33,AB14,$B$3)</f>
        <v>1986.0678137294008</v>
      </c>
      <c r="AC16" s="26">
        <f>INDEX(Comparison!$AM$3:$AS$33,AC14,$B$3)</f>
        <v>1454.0043020913115</v>
      </c>
      <c r="AD16" s="26">
        <f>INDEX(Comparison!$AM$3:$AS$33,AD14,$B$3)</f>
        <v>1049.180195775346</v>
      </c>
      <c r="AE16" s="26">
        <f>INDEX(Comparison!$AM$3:$AS$33,AE14,$B$3)</f>
        <v>784.12675101552475</v>
      </c>
      <c r="AF16" s="26">
        <f>INDEX(Comparison!$AM$3:$AS$33,AF14,$B$3)</f>
        <v>648.62186552417882</v>
      </c>
      <c r="AG16" s="26">
        <f>INDEX(Comparison!$AM$3:$AS$33,AG14,$B$3)</f>
        <v>577.86544910218402</v>
      </c>
      <c r="AH16" s="26">
        <f>INDEX(Comparison!$AM$3:$AS$33,AH14,$B$3)</f>
        <v>542.13014146932505</v>
      </c>
      <c r="AI16" s="26">
        <f>INDEX(Comparison!$AM$3:$AS$33,AI14,$B$3)</f>
        <v>519.06435890850435</v>
      </c>
      <c r="AJ16" s="26">
        <f>INDEX(Comparison!$AM$3:$AS$33,AJ14,$B$3)</f>
        <v>506.56668178937065</v>
      </c>
    </row>
    <row r="17" spans="1:36" x14ac:dyDescent="0.25">
      <c r="A17" s="14" t="s">
        <v>20</v>
      </c>
      <c r="B17" s="105">
        <v>4.8210206599962668E-2</v>
      </c>
      <c r="C17" s="18">
        <f t="shared" ref="C17:C48" si="3">ABS(B17/$B$49)</f>
        <v>4.524389807360206E-2</v>
      </c>
      <c r="D17" s="66"/>
      <c r="E17" s="65" t="s">
        <v>22</v>
      </c>
      <c r="F17" s="27">
        <f>($C$17+SUM(F18:F48))*$B$51</f>
        <v>10039.925868606679</v>
      </c>
      <c r="G17" s="27">
        <f t="shared" ref="G17:M17" si="4">($C$17+SUM(G18:G48))*$B$51</f>
        <v>9952.2767570378655</v>
      </c>
      <c r="H17" s="27">
        <f t="shared" si="4"/>
        <v>9624.2028196343763</v>
      </c>
      <c r="I17" s="27">
        <f t="shared" si="4"/>
        <v>9416.1679519233257</v>
      </c>
      <c r="J17" s="27">
        <f t="shared" si="4"/>
        <v>9157.7905296202334</v>
      </c>
      <c r="K17" s="27">
        <f t="shared" si="4"/>
        <v>8878.6164102094717</v>
      </c>
      <c r="L17" s="27">
        <f t="shared" si="4"/>
        <v>8599.9570615776956</v>
      </c>
      <c r="M17" s="27">
        <f t="shared" si="4"/>
        <v>8334.6181690126796</v>
      </c>
      <c r="N17" s="27">
        <f t="shared" ref="N17" si="5">($C$17+SUM(N18:N48))*$B$51</f>
        <v>8026.6555672274562</v>
      </c>
      <c r="O17" s="27">
        <f t="shared" ref="O17" si="6">($C$17+SUM(O18:O48))*$B$51</f>
        <v>7661.0763825135382</v>
      </c>
      <c r="P17" s="27">
        <f t="shared" ref="P17" si="7">($C$17+SUM(P18:P48))*$B$51</f>
        <v>7285.1384108358379</v>
      </c>
      <c r="Q17" s="27">
        <f t="shared" ref="Q17" si="8">($C$17+SUM(Q18:Q48))*$B$51</f>
        <v>6963.9523521377614</v>
      </c>
      <c r="R17" s="27">
        <f t="shared" ref="R17" si="9">($C$17+SUM(R18:R48))*$B$51</f>
        <v>6678.8538159513673</v>
      </c>
      <c r="S17" s="27">
        <f t="shared" ref="S17:T17" si="10">($C$17+SUM(S18:S48))*$B$51</f>
        <v>6391.0817974033071</v>
      </c>
      <c r="T17" s="27">
        <f t="shared" si="10"/>
        <v>6102.1016738250974</v>
      </c>
      <c r="U17" s="27">
        <f t="shared" ref="U17" si="11">($C$17+SUM(U18:U48))*$B$51</f>
        <v>5815.7872930112107</v>
      </c>
      <c r="V17" s="27">
        <f t="shared" ref="V17" si="12">($C$17+SUM(V18:V48))*$B$51</f>
        <v>5480.671834824996</v>
      </c>
      <c r="W17" s="27">
        <f t="shared" ref="W17" si="13">($C$17+SUM(W18:W48))*$B$51</f>
        <v>5001.0543085203653</v>
      </c>
      <c r="X17" s="27">
        <f t="shared" ref="X17" si="14">($C$17+SUM(X18:X48))*$B$51</f>
        <v>4378.8327220481033</v>
      </c>
      <c r="Y17" s="27">
        <f t="shared" ref="Y17" si="15">($C$17+SUM(Y18:Y48))*$B$51</f>
        <v>3745.5256430883433</v>
      </c>
      <c r="Z17" s="27">
        <f t="shared" ref="Z17:AA17" si="16">($C$17+SUM(Z18:Z48))*$B$51</f>
        <v>3148.563760153153</v>
      </c>
      <c r="AA17" s="27">
        <f t="shared" si="16"/>
        <v>2567.2480909526234</v>
      </c>
      <c r="AB17" s="27">
        <f t="shared" ref="AB17" si="17">($C$17+SUM(AB18:AB48))*$B$51</f>
        <v>1986.0910339672857</v>
      </c>
      <c r="AC17" s="27">
        <f t="shared" ref="AC17" si="18">($C$17+SUM(AC18:AC48))*$B$51</f>
        <v>1453.9897152426295</v>
      </c>
      <c r="AD17" s="27">
        <f t="shared" ref="AD17" si="19">($C$17+SUM(AD18:AD48))*$B$51</f>
        <v>1049.2019048850475</v>
      </c>
      <c r="AE17" s="27">
        <f t="shared" ref="AE17" si="20">($C$17+SUM(AE18:AE48))*$B$51</f>
        <v>784.07666922341105</v>
      </c>
      <c r="AF17" s="27">
        <f t="shared" ref="AF17" si="21">($C$17+SUM(AF18:AF48))*$B$51</f>
        <v>648.67336816213913</v>
      </c>
      <c r="AG17" s="27">
        <f t="shared" ref="AG17:AH17" si="22">($C$17+SUM(AG18:AG48))*$B$51</f>
        <v>577.83173069038969</v>
      </c>
      <c r="AH17" s="27">
        <f t="shared" si="22"/>
        <v>542.16405772347434</v>
      </c>
      <c r="AI17" s="27">
        <f t="shared" ref="AI17" si="23">($C$17+SUM(AI18:AI48))*$B$51</f>
        <v>519.02832220420692</v>
      </c>
      <c r="AJ17" s="27">
        <f t="shared" ref="AJ17" si="24">($C$17+SUM(AJ18:AJ48))*$B$51</f>
        <v>506.58313577591804</v>
      </c>
    </row>
    <row r="18" spans="1:36" x14ac:dyDescent="0.25">
      <c r="A18" s="3">
        <f>0.000000000000001/10^5</f>
        <v>1.0000000000000001E-20</v>
      </c>
      <c r="B18" s="106">
        <v>7.0988181344598E-2</v>
      </c>
      <c r="C18" s="18">
        <f t="shared" si="3"/>
        <v>6.6620374972378937E-2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4.112558973491108E-2</v>
      </c>
      <c r="C19" s="18">
        <f t="shared" si="3"/>
        <v>3.8595188060955805E-2</v>
      </c>
      <c r="D19" s="17"/>
      <c r="F19" s="3">
        <f t="shared" si="25"/>
        <v>3.7619109840938726E-2</v>
      </c>
      <c r="G19" s="3">
        <f t="shared" si="25"/>
        <v>2.987354044795551E-2</v>
      </c>
      <c r="H19" s="3">
        <f t="shared" si="25"/>
        <v>2.9789862974237248E-3</v>
      </c>
      <c r="I19" s="3">
        <f t="shared" si="25"/>
        <v>2.8965871707759379E-13</v>
      </c>
      <c r="J19" s="3">
        <f t="shared" si="25"/>
        <v>2.1881020614187801E-113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1.7675021819370754E-2</v>
      </c>
      <c r="C20" s="18">
        <f t="shared" si="3"/>
        <v>1.6587501735471136E-2</v>
      </c>
      <c r="D20" s="17"/>
      <c r="F20" s="3">
        <f t="shared" si="25"/>
        <v>1.6549216809504243E-2</v>
      </c>
      <c r="G20" s="3">
        <f t="shared" si="25"/>
        <v>1.620860447386889E-2</v>
      </c>
      <c r="H20" s="3">
        <f t="shared" si="25"/>
        <v>1.3165198588343958E-2</v>
      </c>
      <c r="I20" s="3">
        <f t="shared" si="25"/>
        <v>1.6453008178249704E-3</v>
      </c>
      <c r="J20" s="3">
        <f t="shared" si="25"/>
        <v>1.529059213544209E-12</v>
      </c>
      <c r="K20" s="3">
        <f t="shared" si="25"/>
        <v>7.3487624368213618E-103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2.7451294027317493E-2</v>
      </c>
      <c r="C21" s="18">
        <f t="shared" si="3"/>
        <v>2.5762253193940789E-2</v>
      </c>
      <c r="D21" s="17"/>
      <c r="F21" s="3">
        <f t="shared" si="25"/>
        <v>2.5756883696078578E-2</v>
      </c>
      <c r="G21" s="3">
        <f t="shared" si="25"/>
        <v>2.5708608548532012E-2</v>
      </c>
      <c r="H21" s="3">
        <f t="shared" si="25"/>
        <v>2.5230805611383706E-2</v>
      </c>
      <c r="I21" s="3">
        <f t="shared" si="25"/>
        <v>2.091493784884127E-2</v>
      </c>
      <c r="J21" s="3">
        <f t="shared" si="25"/>
        <v>3.2041378023361252E-3</v>
      </c>
      <c r="K21" s="3">
        <f t="shared" si="25"/>
        <v>2.2816932626027779E-11</v>
      </c>
      <c r="L21" s="3">
        <f t="shared" si="25"/>
        <v>7.6509964827661297E-93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2.9178678276121413E-2</v>
      </c>
      <c r="C22" s="18">
        <f t="shared" si="3"/>
        <v>2.7383353836286737E-2</v>
      </c>
      <c r="D22" s="17"/>
      <c r="F22" s="3">
        <f t="shared" si="25"/>
        <v>2.7382838934690176E-2</v>
      </c>
      <c r="G22" s="3">
        <f t="shared" si="25"/>
        <v>2.7378205255986023E-2</v>
      </c>
      <c r="H22" s="3">
        <f t="shared" si="25"/>
        <v>2.7331911572748412E-2</v>
      </c>
      <c r="I22" s="3">
        <f t="shared" si="25"/>
        <v>2.6873258252588874E-2</v>
      </c>
      <c r="J22" s="3">
        <f t="shared" si="25"/>
        <v>2.2689426214476425E-2</v>
      </c>
      <c r="K22" s="3">
        <f t="shared" si="25"/>
        <v>4.1769126091821167E-3</v>
      </c>
      <c r="L22" s="3">
        <f t="shared" si="25"/>
        <v>1.8671282286213598E-10</v>
      </c>
      <c r="M22" s="3">
        <f t="shared" si="25"/>
        <v>5.9478732599700181E-84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2.9350873188657558E-2</v>
      </c>
      <c r="C23" s="18">
        <f t="shared" si="3"/>
        <v>2.754495382975335E-2</v>
      </c>
      <c r="D23" s="17"/>
      <c r="F23" s="3">
        <f t="shared" si="25"/>
        <v>2.7544907106835711E-2</v>
      </c>
      <c r="G23" s="3">
        <f t="shared" si="25"/>
        <v>2.7544486604143336E-2</v>
      </c>
      <c r="H23" s="3">
        <f t="shared" si="25"/>
        <v>2.7540281930271897E-2</v>
      </c>
      <c r="I23" s="3">
        <f t="shared" si="25"/>
        <v>2.7498270476853836E-2</v>
      </c>
      <c r="J23" s="3">
        <f t="shared" si="25"/>
        <v>2.7081664622564592E-2</v>
      </c>
      <c r="K23" s="3">
        <f t="shared" si="25"/>
        <v>2.3247438974737033E-2</v>
      </c>
      <c r="L23" s="3">
        <f t="shared" si="25"/>
        <v>5.0509459909651383E-3</v>
      </c>
      <c r="M23" s="3">
        <f t="shared" si="25"/>
        <v>1.1839921094327851E-9</v>
      </c>
      <c r="N23" s="3">
        <f t="shared" si="25"/>
        <v>5.9307503364023756E-76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2.590540643027588E-2</v>
      </c>
      <c r="C24" s="18">
        <f t="shared" si="3"/>
        <v>2.4311481960907939E-2</v>
      </c>
      <c r="D24" s="17"/>
      <c r="F24" s="3">
        <f t="shared" si="25"/>
        <v>2.431147824087946E-2</v>
      </c>
      <c r="G24" s="3">
        <f t="shared" si="25"/>
        <v>2.4311444760648733E-2</v>
      </c>
      <c r="H24" s="3">
        <f t="shared" si="25"/>
        <v>2.4311109960877347E-2</v>
      </c>
      <c r="I24" s="3">
        <f t="shared" si="25"/>
        <v>2.4307762216737243E-2</v>
      </c>
      <c r="J24" s="3">
        <f t="shared" si="25"/>
        <v>2.427431011979481E-2</v>
      </c>
      <c r="K24" s="3">
        <f t="shared" si="25"/>
        <v>2.3942310729625549E-2</v>
      </c>
      <c r="L24" s="3">
        <f t="shared" si="25"/>
        <v>2.0862086007103032E-2</v>
      </c>
      <c r="M24" s="3">
        <f t="shared" si="25"/>
        <v>5.2634974607102909E-3</v>
      </c>
      <c r="N24" s="3">
        <f t="shared" si="25"/>
        <v>5.5009953789773091E-9</v>
      </c>
      <c r="O24" s="3">
        <f t="shared" si="25"/>
        <v>8.5528312604195205E-69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3.2661214622640496E-2</v>
      </c>
      <c r="C25" s="18">
        <f t="shared" si="3"/>
        <v>3.0651614451864474E-2</v>
      </c>
      <c r="D25" s="17"/>
      <c r="F25" s="3">
        <f t="shared" si="25"/>
        <v>3.0651614028772478E-2</v>
      </c>
      <c r="G25" s="3">
        <f t="shared" si="25"/>
        <v>3.0651610220944796E-2</v>
      </c>
      <c r="H25" s="3">
        <f t="shared" si="25"/>
        <v>3.065157214269399E-2</v>
      </c>
      <c r="I25" s="3">
        <f t="shared" si="25"/>
        <v>3.0651191362787635E-2</v>
      </c>
      <c r="J25" s="3">
        <f t="shared" si="25"/>
        <v>3.0647383823884849E-2</v>
      </c>
      <c r="K25" s="3">
        <f t="shared" si="25"/>
        <v>3.0609334438978873E-2</v>
      </c>
      <c r="L25" s="3">
        <f t="shared" si="25"/>
        <v>3.0231429088969013E-2</v>
      </c>
      <c r="M25" s="3">
        <f t="shared" si="25"/>
        <v>2.6699712625965166E-2</v>
      </c>
      <c r="N25" s="3">
        <f t="shared" si="25"/>
        <v>7.7087805445218678E-3</v>
      </c>
      <c r="O25" s="3">
        <f t="shared" si="25"/>
        <v>3.1029632691405257E-8</v>
      </c>
      <c r="P25" s="3">
        <f t="shared" si="25"/>
        <v>3.4648637348062981E-62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4.0078508046878472E-2</v>
      </c>
      <c r="C26" s="18">
        <f t="shared" si="3"/>
        <v>3.7612531886897442E-2</v>
      </c>
      <c r="D26" s="17"/>
      <c r="F26" s="3">
        <f t="shared" si="25"/>
        <v>3.7612531840063509E-2</v>
      </c>
      <c r="G26" s="3">
        <f t="shared" si="25"/>
        <v>3.761253141855813E-2</v>
      </c>
      <c r="H26" s="3">
        <f t="shared" si="25"/>
        <v>3.7612527203504588E-2</v>
      </c>
      <c r="I26" s="3">
        <f t="shared" si="25"/>
        <v>3.7612485052995137E-2</v>
      </c>
      <c r="J26" s="3">
        <f t="shared" si="25"/>
        <v>3.7612063550498641E-2</v>
      </c>
      <c r="K26" s="3">
        <f t="shared" si="25"/>
        <v>3.7607848785320051E-2</v>
      </c>
      <c r="L26" s="3">
        <f t="shared" si="25"/>
        <v>3.7565727101402636E-2</v>
      </c>
      <c r="M26" s="3">
        <f t="shared" si="25"/>
        <v>3.7147096313936812E-2</v>
      </c>
      <c r="N26" s="3">
        <f t="shared" si="25"/>
        <v>3.3208984679926348E-2</v>
      </c>
      <c r="O26" s="3">
        <f t="shared" si="25"/>
        <v>1.0828364289071553E-2</v>
      </c>
      <c r="P26" s="3">
        <f t="shared" si="25"/>
        <v>1.4710771811494958E-7</v>
      </c>
      <c r="Q26" s="3">
        <f t="shared" si="25"/>
        <v>3.1503693145783988E-56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4.0125987998142848E-2</v>
      </c>
      <c r="C27" s="18">
        <f t="shared" si="3"/>
        <v>3.7657090461254324E-2</v>
      </c>
      <c r="D27" s="17"/>
      <c r="F27" s="3">
        <f t="shared" si="25"/>
        <v>3.7657090457024513E-2</v>
      </c>
      <c r="G27" s="3">
        <f t="shared" si="25"/>
        <v>3.7657090418956173E-2</v>
      </c>
      <c r="H27" s="3">
        <f t="shared" si="25"/>
        <v>3.7657090038272799E-2</v>
      </c>
      <c r="I27" s="3">
        <f t="shared" si="25"/>
        <v>3.7657086231439305E-2</v>
      </c>
      <c r="J27" s="3">
        <f t="shared" si="25"/>
        <v>3.7657048163125484E-2</v>
      </c>
      <c r="K27" s="3">
        <f t="shared" si="25"/>
        <v>3.765666748210391E-2</v>
      </c>
      <c r="L27" s="3">
        <f t="shared" si="25"/>
        <v>3.7652860883541812E-2</v>
      </c>
      <c r="M27" s="3">
        <f t="shared" si="25"/>
        <v>3.7614816055368053E-2</v>
      </c>
      <c r="N27" s="3">
        <f t="shared" si="25"/>
        <v>3.7236475625962481E-2</v>
      </c>
      <c r="O27" s="3">
        <f t="shared" si="25"/>
        <v>3.3656181024558841E-2</v>
      </c>
      <c r="P27" s="3">
        <f t="shared" si="25"/>
        <v>1.2246937305316717E-2</v>
      </c>
      <c r="Q27" s="3">
        <f t="shared" si="25"/>
        <v>4.9848729207196247E-7</v>
      </c>
      <c r="R27" s="3">
        <f t="shared" si="25"/>
        <v>6.2218574769169367E-51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2.9964520864407002E-2</v>
      </c>
      <c r="C28" s="18">
        <f t="shared" si="3"/>
        <v>2.8120844597554626E-2</v>
      </c>
      <c r="D28" s="17"/>
      <c r="F28" s="3">
        <f t="shared" si="25"/>
        <v>2.8120844597269691E-2</v>
      </c>
      <c r="G28" s="3">
        <f t="shared" si="25"/>
        <v>2.8120844594705253E-2</v>
      </c>
      <c r="H28" s="3">
        <f t="shared" si="25"/>
        <v>2.8120844569060877E-2</v>
      </c>
      <c r="I28" s="3">
        <f t="shared" si="25"/>
        <v>2.8120844312617143E-2</v>
      </c>
      <c r="J28" s="3">
        <f t="shared" si="25"/>
        <v>2.8120841748179904E-2</v>
      </c>
      <c r="K28" s="3">
        <f t="shared" si="25"/>
        <v>2.812081610382039E-2</v>
      </c>
      <c r="L28" s="3">
        <f t="shared" si="25"/>
        <v>2.812055966151146E-2</v>
      </c>
      <c r="M28" s="3">
        <f t="shared" si="25"/>
        <v>2.8117995367040315E-2</v>
      </c>
      <c r="N28" s="3">
        <f t="shared" si="25"/>
        <v>2.8092365279804729E-2</v>
      </c>
      <c r="O28" s="3">
        <f t="shared" si="25"/>
        <v>2.7837345827282416E-2</v>
      </c>
      <c r="P28" s="3">
        <f t="shared" si="25"/>
        <v>2.5411073024646357E-2</v>
      </c>
      <c r="Q28" s="3">
        <f t="shared" si="25"/>
        <v>1.0208802426271694E-2</v>
      </c>
      <c r="R28" s="3">
        <f t="shared" si="25"/>
        <v>1.1181311463809779E-6</v>
      </c>
      <c r="S28" s="3">
        <f t="shared" si="25"/>
        <v>2.7776160235404497E-46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2.9235817311977563E-2</v>
      </c>
      <c r="C29" s="18">
        <f t="shared" si="3"/>
        <v>2.7436977184880754E-2</v>
      </c>
      <c r="D29" s="17"/>
      <c r="F29" s="3">
        <f t="shared" si="25"/>
        <v>2.7436977184855677E-2</v>
      </c>
      <c r="G29" s="3">
        <f t="shared" si="25"/>
        <v>2.7436977184629969E-2</v>
      </c>
      <c r="H29" s="3">
        <f t="shared" si="25"/>
        <v>2.7436977182372889E-2</v>
      </c>
      <c r="I29" s="3">
        <f t="shared" si="25"/>
        <v>2.743697715980211E-2</v>
      </c>
      <c r="J29" s="3">
        <f t="shared" si="25"/>
        <v>2.7436976934094297E-2</v>
      </c>
      <c r="K29" s="3">
        <f t="shared" si="25"/>
        <v>2.743697467701629E-2</v>
      </c>
      <c r="L29" s="3">
        <f t="shared" si="25"/>
        <v>2.7436952106246398E-2</v>
      </c>
      <c r="M29" s="3">
        <f t="shared" si="25"/>
        <v>2.7436726399568727E-2</v>
      </c>
      <c r="N29" s="3">
        <f t="shared" si="25"/>
        <v>2.7434469434910638E-2</v>
      </c>
      <c r="O29" s="3">
        <f t="shared" si="25"/>
        <v>2.7411909997083848E-2</v>
      </c>
      <c r="P29" s="3">
        <f t="shared" si="25"/>
        <v>2.7187333393738519E-2</v>
      </c>
      <c r="Q29" s="3">
        <f t="shared" si="25"/>
        <v>2.5040313968694033E-2</v>
      </c>
      <c r="R29" s="3">
        <f t="shared" si="25"/>
        <v>1.0999459391830328E-2</v>
      </c>
      <c r="S29" s="3">
        <f t="shared" si="25"/>
        <v>2.9423006516890796E-6</v>
      </c>
      <c r="T29" s="3">
        <f t="shared" si="25"/>
        <v>5.5187931996181408E-42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3.0395898203871625E-2</v>
      </c>
      <c r="C30" s="18">
        <f t="shared" si="3"/>
        <v>2.8525679875278043E-2</v>
      </c>
      <c r="D30" s="17"/>
      <c r="F30" s="3">
        <f t="shared" si="25"/>
        <v>2.852567987527569E-2</v>
      </c>
      <c r="G30" s="3">
        <f t="shared" si="25"/>
        <v>2.852567987525452E-2</v>
      </c>
      <c r="H30" s="3">
        <f t="shared" si="25"/>
        <v>2.8525679875042839E-2</v>
      </c>
      <c r="I30" s="3">
        <f t="shared" si="25"/>
        <v>2.8525679872925973E-2</v>
      </c>
      <c r="J30" s="3">
        <f t="shared" si="25"/>
        <v>2.8525679851757333E-2</v>
      </c>
      <c r="K30" s="3">
        <f t="shared" si="25"/>
        <v>2.8525679640070949E-2</v>
      </c>
      <c r="L30" s="3">
        <f t="shared" si="25"/>
        <v>2.8525677523207206E-2</v>
      </c>
      <c r="M30" s="3">
        <f t="shared" si="25"/>
        <v>2.8525656354578408E-2</v>
      </c>
      <c r="N30" s="3">
        <f t="shared" si="25"/>
        <v>2.8525444669154441E-2</v>
      </c>
      <c r="O30" s="3">
        <f t="shared" si="25"/>
        <v>2.8523327901311867E-2</v>
      </c>
      <c r="P30" s="3">
        <f t="shared" si="25"/>
        <v>2.8502168860226752E-2</v>
      </c>
      <c r="Q30" s="3">
        <f t="shared" si="25"/>
        <v>2.829143981655197E-2</v>
      </c>
      <c r="R30" s="3">
        <f t="shared" si="25"/>
        <v>2.626796722617613E-2</v>
      </c>
      <c r="S30" s="3">
        <f t="shared" si="25"/>
        <v>1.2506639184943465E-2</v>
      </c>
      <c r="T30" s="3">
        <f t="shared" si="25"/>
        <v>7.4865575933801173E-6</v>
      </c>
      <c r="U30" s="3">
        <f t="shared" si="25"/>
        <v>4.4228036803209356E-38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2.9569910910796485E-2</v>
      </c>
      <c r="C31" s="18">
        <f t="shared" si="3"/>
        <v>2.7750514458376237E-2</v>
      </c>
      <c r="D31" s="17"/>
      <c r="F31" s="3">
        <f t="shared" si="25"/>
        <v>2.7750514458376032E-2</v>
      </c>
      <c r="G31" s="3">
        <f t="shared" si="25"/>
        <v>2.7750514458374172E-2</v>
      </c>
      <c r="H31" s="3">
        <f t="shared" si="25"/>
        <v>2.7750514458355593E-2</v>
      </c>
      <c r="I31" s="3">
        <f t="shared" si="25"/>
        <v>2.7750514458169825E-2</v>
      </c>
      <c r="J31" s="3">
        <f t="shared" si="25"/>
        <v>2.7750514456312131E-2</v>
      </c>
      <c r="K31" s="3">
        <f t="shared" si="25"/>
        <v>2.7750514437735175E-2</v>
      </c>
      <c r="L31" s="3">
        <f t="shared" si="25"/>
        <v>2.7750514251965615E-2</v>
      </c>
      <c r="M31" s="3">
        <f t="shared" si="25"/>
        <v>2.7750512394270104E-2</v>
      </c>
      <c r="N31" s="3">
        <f t="shared" si="25"/>
        <v>2.7750493817321812E-2</v>
      </c>
      <c r="O31" s="3">
        <f t="shared" si="25"/>
        <v>2.7750308048522854E-2</v>
      </c>
      <c r="P31" s="3">
        <f t="shared" si="25"/>
        <v>2.7748450428928973E-2</v>
      </c>
      <c r="Q31" s="3">
        <f t="shared" si="25"/>
        <v>2.7729881070866404E-2</v>
      </c>
      <c r="R31" s="3">
        <f t="shared" si="25"/>
        <v>2.7544869587230271E-2</v>
      </c>
      <c r="S31" s="3">
        <f t="shared" si="25"/>
        <v>2.5761304802721447E-2</v>
      </c>
      <c r="T31" s="3">
        <f t="shared" si="25"/>
        <v>1.3189830431101831E-2</v>
      </c>
      <c r="U31" s="3">
        <f t="shared" si="25"/>
        <v>1.6328743752609759E-5</v>
      </c>
      <c r="V31" s="3">
        <f t="shared" si="26"/>
        <v>1.38066522983154E-34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2.801256249617487E-2</v>
      </c>
      <c r="C32" s="18">
        <f t="shared" si="3"/>
        <v>2.6288987576301423E-2</v>
      </c>
      <c r="D32" s="17"/>
      <c r="F32" s="3">
        <f t="shared" si="25"/>
        <v>2.6288987576301406E-2</v>
      </c>
      <c r="G32" s="3">
        <f t="shared" si="25"/>
        <v>2.628898757630125E-2</v>
      </c>
      <c r="H32" s="3">
        <f t="shared" si="25"/>
        <v>2.6288987576299661E-2</v>
      </c>
      <c r="I32" s="3">
        <f t="shared" si="25"/>
        <v>2.6288987576283781E-2</v>
      </c>
      <c r="J32" s="3">
        <f t="shared" si="25"/>
        <v>2.6288987576125029E-2</v>
      </c>
      <c r="K32" s="3">
        <f t="shared" si="25"/>
        <v>2.6288987574537494E-2</v>
      </c>
      <c r="L32" s="3">
        <f t="shared" si="25"/>
        <v>2.628898755866212E-2</v>
      </c>
      <c r="M32" s="3">
        <f t="shared" si="25"/>
        <v>2.628898739990838E-2</v>
      </c>
      <c r="N32" s="3">
        <f t="shared" si="25"/>
        <v>2.6288985812371046E-2</v>
      </c>
      <c r="O32" s="3">
        <f t="shared" si="25"/>
        <v>2.6288969937002984E-2</v>
      </c>
      <c r="P32" s="3">
        <f t="shared" si="25"/>
        <v>2.6288811183849625E-2</v>
      </c>
      <c r="Q32" s="3">
        <f t="shared" si="25"/>
        <v>2.6287223705042176E-2</v>
      </c>
      <c r="R32" s="3">
        <f t="shared" si="25"/>
        <v>2.6271354188403713E-2</v>
      </c>
      <c r="S32" s="3">
        <f t="shared" si="25"/>
        <v>2.6113184989697939E-2</v>
      </c>
      <c r="T32" s="3">
        <f t="shared" si="25"/>
        <v>2.4582933314632641E-2</v>
      </c>
      <c r="U32" s="3">
        <f t="shared" si="25"/>
        <v>1.3439164813106145E-2</v>
      </c>
      <c r="V32" s="3">
        <f t="shared" si="26"/>
        <v>3.2044835718734999E-5</v>
      </c>
      <c r="W32" s="3">
        <f t="shared" si="26"/>
        <v>1.9037755465387579E-31</v>
      </c>
      <c r="X32" s="3">
        <f t="shared" si="26"/>
        <v>1.0427799945034036E-293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3.9382709526973037E-2</v>
      </c>
      <c r="C33" s="18">
        <f t="shared" si="3"/>
        <v>3.6959544904792516E-2</v>
      </c>
      <c r="D33" s="17"/>
      <c r="F33" s="3">
        <f t="shared" si="25"/>
        <v>3.6959544904792509E-2</v>
      </c>
      <c r="G33" s="3">
        <f t="shared" si="25"/>
        <v>3.6959544904792495E-2</v>
      </c>
      <c r="H33" s="3">
        <f t="shared" si="25"/>
        <v>3.6959544904792287E-2</v>
      </c>
      <c r="I33" s="3">
        <f t="shared" si="25"/>
        <v>3.6959544904790281E-2</v>
      </c>
      <c r="J33" s="3">
        <f t="shared" si="25"/>
        <v>3.6959544904770145E-2</v>
      </c>
      <c r="K33" s="3">
        <f t="shared" si="25"/>
        <v>3.6959544904568806E-2</v>
      </c>
      <c r="L33" s="3">
        <f t="shared" si="25"/>
        <v>3.6959544902555437E-2</v>
      </c>
      <c r="M33" s="3">
        <f t="shared" si="25"/>
        <v>3.6959544882421751E-2</v>
      </c>
      <c r="N33" s="3">
        <f t="shared" si="25"/>
        <v>3.6959544681084887E-2</v>
      </c>
      <c r="O33" s="3">
        <f t="shared" si="25"/>
        <v>3.6959542667716276E-2</v>
      </c>
      <c r="P33" s="3">
        <f t="shared" si="25"/>
        <v>3.6959522534036199E-2</v>
      </c>
      <c r="Q33" s="3">
        <f t="shared" si="25"/>
        <v>3.6959321197838652E-2</v>
      </c>
      <c r="R33" s="3">
        <f t="shared" si="25"/>
        <v>3.6957307896184843E-2</v>
      </c>
      <c r="S33" s="3">
        <f t="shared" si="25"/>
        <v>3.6937180910592671E-2</v>
      </c>
      <c r="T33" s="3">
        <f t="shared" si="25"/>
        <v>3.6736512935450022E-2</v>
      </c>
      <c r="U33" s="3">
        <f t="shared" ref="P33:AE48" si="27">$C33*EXP(-U$15/$A33)</f>
        <v>3.4788825601790349E-2</v>
      </c>
      <c r="V33" s="3">
        <f t="shared" si="27"/>
        <v>2.017707212715783E-2</v>
      </c>
      <c r="W33" s="3">
        <f t="shared" si="27"/>
        <v>8.6904432929636971E-5</v>
      </c>
      <c r="X33" s="3">
        <f t="shared" si="27"/>
        <v>1.9093245897270293E-28</v>
      </c>
      <c r="Y33" s="3">
        <f t="shared" si="27"/>
        <v>5.0033181886688017E-265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6.2070643663635704E-2</v>
      </c>
      <c r="C34" s="18">
        <f t="shared" si="3"/>
        <v>5.8251521271899753E-2</v>
      </c>
      <c r="D34" s="17"/>
      <c r="F34" s="3">
        <f t="shared" ref="F34:O48" si="28">$C34*EXP(-F$15/$A34)</f>
        <v>5.8251521271899753E-2</v>
      </c>
      <c r="G34" s="3">
        <f t="shared" si="28"/>
        <v>5.8251521271899753E-2</v>
      </c>
      <c r="H34" s="3">
        <f t="shared" si="28"/>
        <v>5.8251521271899719E-2</v>
      </c>
      <c r="I34" s="3">
        <f t="shared" si="28"/>
        <v>5.8251521271899434E-2</v>
      </c>
      <c r="J34" s="3">
        <f t="shared" si="28"/>
        <v>5.8251521271896568E-2</v>
      </c>
      <c r="K34" s="3">
        <f t="shared" si="28"/>
        <v>5.8251521271867945E-2</v>
      </c>
      <c r="L34" s="3">
        <f t="shared" si="28"/>
        <v>5.8251521271581695E-2</v>
      </c>
      <c r="M34" s="3">
        <f t="shared" si="28"/>
        <v>5.8251521268719166E-2</v>
      </c>
      <c r="N34" s="3">
        <f t="shared" si="28"/>
        <v>5.8251521240093827E-2</v>
      </c>
      <c r="O34" s="3">
        <f t="shared" si="28"/>
        <v>5.8251520953840494E-2</v>
      </c>
      <c r="P34" s="3">
        <f t="shared" si="27"/>
        <v>5.8251518091307228E-2</v>
      </c>
      <c r="Q34" s="3">
        <f t="shared" si="27"/>
        <v>5.8251489465982284E-2</v>
      </c>
      <c r="R34" s="3">
        <f t="shared" si="27"/>
        <v>5.8251203213506575E-2</v>
      </c>
      <c r="S34" s="3">
        <f t="shared" si="27"/>
        <v>5.824834076611507E-2</v>
      </c>
      <c r="T34" s="3">
        <f t="shared" si="27"/>
        <v>5.8219724027351011E-2</v>
      </c>
      <c r="U34" s="3">
        <f t="shared" si="27"/>
        <v>5.7934328750238344E-2</v>
      </c>
      <c r="V34" s="3">
        <f t="shared" si="27"/>
        <v>5.5156201431781973E-2</v>
      </c>
      <c r="W34" s="3">
        <f t="shared" si="27"/>
        <v>3.3742561224373219E-2</v>
      </c>
      <c r="X34" s="3">
        <f t="shared" si="27"/>
        <v>2.4775076285081299E-4</v>
      </c>
      <c r="Y34" s="3">
        <f t="shared" si="27"/>
        <v>1.1281960080802774E-25</v>
      </c>
      <c r="Z34" s="3">
        <f t="shared" si="27"/>
        <v>4.3259365173579023E-239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6.8081865753914381E-2</v>
      </c>
      <c r="C35" s="18">
        <f t="shared" si="3"/>
        <v>6.389288103223241E-2</v>
      </c>
      <c r="D35" s="17"/>
      <c r="F35" s="3">
        <f t="shared" si="28"/>
        <v>6.389288103223241E-2</v>
      </c>
      <c r="G35" s="3">
        <f t="shared" si="28"/>
        <v>6.389288103223241E-2</v>
      </c>
      <c r="H35" s="3">
        <f t="shared" si="28"/>
        <v>6.389288103223241E-2</v>
      </c>
      <c r="I35" s="3">
        <f t="shared" si="28"/>
        <v>6.3892881032232382E-2</v>
      </c>
      <c r="J35" s="3">
        <f t="shared" si="28"/>
        <v>6.3892881032232104E-2</v>
      </c>
      <c r="K35" s="3">
        <f t="shared" si="28"/>
        <v>6.389288103222926E-2</v>
      </c>
      <c r="L35" s="3">
        <f t="shared" si="28"/>
        <v>6.3892881032200949E-2</v>
      </c>
      <c r="M35" s="3">
        <f t="shared" si="28"/>
        <v>6.3892881031917703E-2</v>
      </c>
      <c r="N35" s="3">
        <f t="shared" si="28"/>
        <v>6.3892881029085385E-2</v>
      </c>
      <c r="O35" s="3">
        <f t="shared" si="28"/>
        <v>6.3892881000762181E-2</v>
      </c>
      <c r="P35" s="3">
        <f t="shared" si="27"/>
        <v>6.3892880717530159E-2</v>
      </c>
      <c r="Q35" s="3">
        <f t="shared" si="27"/>
        <v>6.3892877885210059E-2</v>
      </c>
      <c r="R35" s="3">
        <f t="shared" si="27"/>
        <v>6.3892849562015949E-2</v>
      </c>
      <c r="S35" s="3">
        <f t="shared" si="27"/>
        <v>6.3892566330765344E-2</v>
      </c>
      <c r="T35" s="3">
        <f t="shared" si="27"/>
        <v>6.388973408731298E-2</v>
      </c>
      <c r="U35" s="3">
        <f t="shared" si="27"/>
        <v>6.3861418557027483E-2</v>
      </c>
      <c r="V35" s="3">
        <f t="shared" si="27"/>
        <v>6.3578952546915049E-2</v>
      </c>
      <c r="W35" s="3">
        <f t="shared" si="27"/>
        <v>6.0822104436035723E-2</v>
      </c>
      <c r="X35" s="3">
        <f t="shared" si="27"/>
        <v>3.9042910166149185E-2</v>
      </c>
      <c r="Y35" s="3">
        <f t="shared" si="27"/>
        <v>4.6382010554086114E-4</v>
      </c>
      <c r="Z35" s="3">
        <f t="shared" si="27"/>
        <v>2.5967100534541641E-23</v>
      </c>
      <c r="AA35" s="3">
        <f t="shared" si="27"/>
        <v>7.8552922849584077E-216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5.9513672428360365E-2</v>
      </c>
      <c r="C36" s="18">
        <f t="shared" si="3"/>
        <v>5.5851877003500798E-2</v>
      </c>
      <c r="D36" s="17"/>
      <c r="F36" s="3">
        <f t="shared" si="28"/>
        <v>5.5851877003500798E-2</v>
      </c>
      <c r="G36" s="3">
        <f t="shared" si="28"/>
        <v>5.5851877003500798E-2</v>
      </c>
      <c r="H36" s="3">
        <f t="shared" si="28"/>
        <v>5.5851877003500798E-2</v>
      </c>
      <c r="I36" s="3">
        <f t="shared" si="28"/>
        <v>5.5851877003500798E-2</v>
      </c>
      <c r="J36" s="3">
        <f t="shared" si="28"/>
        <v>5.585187700350077E-2</v>
      </c>
      <c r="K36" s="3">
        <f t="shared" si="28"/>
        <v>5.5851877003500548E-2</v>
      </c>
      <c r="L36" s="3">
        <f t="shared" si="28"/>
        <v>5.5851877003498321E-2</v>
      </c>
      <c r="M36" s="3">
        <f t="shared" si="28"/>
        <v>5.5851877003475985E-2</v>
      </c>
      <c r="N36" s="3">
        <f t="shared" si="28"/>
        <v>5.5851877003252635E-2</v>
      </c>
      <c r="O36" s="3">
        <f t="shared" si="28"/>
        <v>5.58518770010192E-2</v>
      </c>
      <c r="P36" s="3">
        <f t="shared" si="27"/>
        <v>5.5851876978684802E-2</v>
      </c>
      <c r="Q36" s="3">
        <f t="shared" si="27"/>
        <v>5.5851876755340826E-2</v>
      </c>
      <c r="R36" s="3">
        <f t="shared" si="27"/>
        <v>5.5851874521901143E-2</v>
      </c>
      <c r="S36" s="3">
        <f t="shared" si="27"/>
        <v>5.5851852187509238E-2</v>
      </c>
      <c r="T36" s="3">
        <f t="shared" si="27"/>
        <v>5.5851628844081333E-2</v>
      </c>
      <c r="U36" s="3">
        <f t="shared" si="27"/>
        <v>5.5849395458923215E-2</v>
      </c>
      <c r="V36" s="3">
        <f t="shared" si="27"/>
        <v>5.5827066518704678E-2</v>
      </c>
      <c r="W36" s="3">
        <f t="shared" si="27"/>
        <v>5.5604267526881523E-2</v>
      </c>
      <c r="X36" s="3">
        <f t="shared" si="27"/>
        <v>5.3424600739858191E-2</v>
      </c>
      <c r="Y36" s="3">
        <f t="shared" si="27"/>
        <v>3.5815654806411946E-2</v>
      </c>
      <c r="Z36" s="3">
        <f t="shared" si="27"/>
        <v>6.5673324231863993E-4</v>
      </c>
      <c r="AA36" s="3">
        <f t="shared" si="27"/>
        <v>2.8219547249936449E-21</v>
      </c>
      <c r="AB36" s="3">
        <f t="shared" si="27"/>
        <v>6.0556457398512207E-195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6.7655394344542735E-2</v>
      </c>
      <c r="C37" s="18">
        <f t="shared" si="3"/>
        <v>6.3492649829387265E-2</v>
      </c>
      <c r="D37" s="17"/>
      <c r="F37" s="3">
        <f t="shared" si="28"/>
        <v>6.3492649829387265E-2</v>
      </c>
      <c r="G37" s="3">
        <f t="shared" si="28"/>
        <v>6.3492649829387265E-2</v>
      </c>
      <c r="H37" s="3">
        <f t="shared" si="28"/>
        <v>6.3492649829387265E-2</v>
      </c>
      <c r="I37" s="3">
        <f t="shared" si="28"/>
        <v>6.3492649829387265E-2</v>
      </c>
      <c r="J37" s="3">
        <f t="shared" si="28"/>
        <v>6.3492649829387265E-2</v>
      </c>
      <c r="K37" s="3">
        <f t="shared" si="28"/>
        <v>6.3492649829387238E-2</v>
      </c>
      <c r="L37" s="3">
        <f t="shared" si="28"/>
        <v>6.3492649829387016E-2</v>
      </c>
      <c r="M37" s="3">
        <f t="shared" si="28"/>
        <v>6.3492649829384726E-2</v>
      </c>
      <c r="N37" s="3">
        <f t="shared" si="28"/>
        <v>6.3492649829361814E-2</v>
      </c>
      <c r="O37" s="3">
        <f t="shared" si="28"/>
        <v>6.3492649829132775E-2</v>
      </c>
      <c r="P37" s="3">
        <f t="shared" si="27"/>
        <v>6.3492649826842412E-2</v>
      </c>
      <c r="Q37" s="3">
        <f t="shared" si="27"/>
        <v>6.3492649803938664E-2</v>
      </c>
      <c r="R37" s="3">
        <f t="shared" si="27"/>
        <v>6.3492649574901208E-2</v>
      </c>
      <c r="S37" s="3">
        <f t="shared" si="27"/>
        <v>6.3492647284526707E-2</v>
      </c>
      <c r="T37" s="3">
        <f t="shared" si="27"/>
        <v>6.3492624380786261E-2</v>
      </c>
      <c r="U37" s="3">
        <f t="shared" si="27"/>
        <v>6.3492395343836189E-2</v>
      </c>
      <c r="V37" s="3">
        <f t="shared" si="27"/>
        <v>6.3490105019776324E-2</v>
      </c>
      <c r="W37" s="3">
        <f t="shared" si="27"/>
        <v>6.3467206322649586E-2</v>
      </c>
      <c r="X37" s="3">
        <f t="shared" si="27"/>
        <v>6.32386730927431E-2</v>
      </c>
      <c r="Y37" s="3">
        <f t="shared" si="27"/>
        <v>6.0998115118747601E-2</v>
      </c>
      <c r="Z37" s="3">
        <f t="shared" si="27"/>
        <v>4.2525857543309439E-2</v>
      </c>
      <c r="AA37" s="3">
        <f t="shared" si="27"/>
        <v>1.1535056545896852E-3</v>
      </c>
      <c r="AB37" s="3">
        <f t="shared" si="27"/>
        <v>2.4870596740524984E-19</v>
      </c>
      <c r="AC37" s="3">
        <f t="shared" si="27"/>
        <v>5.3994681708944717E-176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2.4966037363871735E-2</v>
      </c>
      <c r="C38" s="18">
        <f t="shared" si="3"/>
        <v>2.3429910997179341E-2</v>
      </c>
      <c r="D38" s="17"/>
      <c r="F38" s="3">
        <f t="shared" si="28"/>
        <v>2.3429910997179341E-2</v>
      </c>
      <c r="G38" s="3">
        <f t="shared" si="28"/>
        <v>2.3429910997179341E-2</v>
      </c>
      <c r="H38" s="3">
        <f t="shared" si="28"/>
        <v>2.3429910997179341E-2</v>
      </c>
      <c r="I38" s="3">
        <f t="shared" si="28"/>
        <v>2.3429910997179341E-2</v>
      </c>
      <c r="J38" s="3">
        <f t="shared" si="28"/>
        <v>2.3429910997179341E-2</v>
      </c>
      <c r="K38" s="3">
        <f t="shared" si="28"/>
        <v>2.3429910997179341E-2</v>
      </c>
      <c r="L38" s="3">
        <f t="shared" si="28"/>
        <v>2.3429910997179334E-2</v>
      </c>
      <c r="M38" s="3">
        <f t="shared" si="28"/>
        <v>2.3429910997179254E-2</v>
      </c>
      <c r="N38" s="3">
        <f t="shared" si="28"/>
        <v>2.3429910997178494E-2</v>
      </c>
      <c r="O38" s="3">
        <f t="shared" si="28"/>
        <v>2.3429910997170868E-2</v>
      </c>
      <c r="P38" s="3">
        <f t="shared" si="27"/>
        <v>2.3429910997094627E-2</v>
      </c>
      <c r="Q38" s="3">
        <f t="shared" si="27"/>
        <v>2.3429910996332196E-2</v>
      </c>
      <c r="R38" s="3">
        <f t="shared" si="27"/>
        <v>2.3429910988707888E-2</v>
      </c>
      <c r="S38" s="3">
        <f t="shared" si="27"/>
        <v>2.3429910912464835E-2</v>
      </c>
      <c r="T38" s="3">
        <f t="shared" si="27"/>
        <v>2.3429910150034306E-2</v>
      </c>
      <c r="U38" s="3">
        <f t="shared" si="27"/>
        <v>2.3429902525730382E-2</v>
      </c>
      <c r="V38" s="3">
        <f t="shared" si="27"/>
        <v>2.3429826282827578E-2</v>
      </c>
      <c r="W38" s="3">
        <f t="shared" si="27"/>
        <v>2.3429063867444967E-2</v>
      </c>
      <c r="X38" s="3">
        <f t="shared" si="27"/>
        <v>2.342144107799626E-2</v>
      </c>
      <c r="Y38" s="3">
        <f t="shared" si="27"/>
        <v>2.3345349457121883E-2</v>
      </c>
      <c r="Z38" s="3">
        <f t="shared" si="27"/>
        <v>2.2597897952728183E-2</v>
      </c>
      <c r="AA38" s="3">
        <f t="shared" si="27"/>
        <v>1.6320921714137748E-2</v>
      </c>
      <c r="AB38" s="3">
        <f t="shared" si="27"/>
        <v>6.3024740561671482E-4</v>
      </c>
      <c r="AC38" s="3">
        <f t="shared" si="27"/>
        <v>4.6470240094424368E-18</v>
      </c>
      <c r="AD38" s="3">
        <f t="shared" si="27"/>
        <v>2.2070563090972707E-159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6.5831483368742921E-2</v>
      </c>
      <c r="C39" s="18">
        <f t="shared" si="3"/>
        <v>6.1780961618441606E-2</v>
      </c>
      <c r="D39" s="17"/>
      <c r="F39" s="3">
        <f t="shared" si="28"/>
        <v>6.1780961618441606E-2</v>
      </c>
      <c r="G39" s="3">
        <f t="shared" si="28"/>
        <v>6.1780961618441606E-2</v>
      </c>
      <c r="H39" s="3">
        <f t="shared" si="28"/>
        <v>6.1780961618441606E-2</v>
      </c>
      <c r="I39" s="3">
        <f t="shared" si="28"/>
        <v>6.1780961618441606E-2</v>
      </c>
      <c r="J39" s="3">
        <f t="shared" si="28"/>
        <v>6.1780961618441606E-2</v>
      </c>
      <c r="K39" s="3">
        <f t="shared" si="28"/>
        <v>6.1780961618441606E-2</v>
      </c>
      <c r="L39" s="3">
        <f t="shared" si="28"/>
        <v>6.1780961618441599E-2</v>
      </c>
      <c r="M39" s="3">
        <f t="shared" si="28"/>
        <v>6.1780961618441543E-2</v>
      </c>
      <c r="N39" s="3">
        <f t="shared" si="28"/>
        <v>6.1780961618440988E-2</v>
      </c>
      <c r="O39" s="3">
        <f t="shared" si="28"/>
        <v>6.1780961618435423E-2</v>
      </c>
      <c r="P39" s="3">
        <f t="shared" si="27"/>
        <v>6.1780961618379829E-2</v>
      </c>
      <c r="Q39" s="3">
        <f t="shared" si="27"/>
        <v>6.1780961617823794E-2</v>
      </c>
      <c r="R39" s="3">
        <f t="shared" si="27"/>
        <v>6.1780961612263506E-2</v>
      </c>
      <c r="S39" s="3">
        <f t="shared" si="27"/>
        <v>6.1780961556660643E-2</v>
      </c>
      <c r="T39" s="3">
        <f t="shared" si="27"/>
        <v>6.1780961000631997E-2</v>
      </c>
      <c r="U39" s="3">
        <f t="shared" si="27"/>
        <v>6.1780955440345758E-2</v>
      </c>
      <c r="V39" s="3">
        <f t="shared" si="27"/>
        <v>6.178089983751088E-2</v>
      </c>
      <c r="W39" s="3">
        <f t="shared" si="27"/>
        <v>6.1780343811914461E-2</v>
      </c>
      <c r="X39" s="3">
        <f t="shared" si="27"/>
        <v>6.1774783831174275E-2</v>
      </c>
      <c r="Y39" s="3">
        <f t="shared" si="27"/>
        <v>6.1719211537009724E-2</v>
      </c>
      <c r="Z39" s="3">
        <f t="shared" si="27"/>
        <v>6.1166230779201851E-2</v>
      </c>
      <c r="AA39" s="3">
        <f t="shared" si="27"/>
        <v>5.5901725794609419E-2</v>
      </c>
      <c r="AB39" s="3">
        <f t="shared" si="27"/>
        <v>2.2727945635226624E-2</v>
      </c>
      <c r="AC39" s="3">
        <f t="shared" si="27"/>
        <v>2.8048513181360215E-6</v>
      </c>
      <c r="AD39" s="3">
        <f t="shared" si="27"/>
        <v>2.2982987109222999E-45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4.4933777264807961E-2</v>
      </c>
      <c r="C40" s="18">
        <f t="shared" si="3"/>
        <v>4.2169062984942343E-2</v>
      </c>
      <c r="D40" s="17"/>
      <c r="F40" s="3">
        <f t="shared" si="28"/>
        <v>4.2169062984942343E-2</v>
      </c>
      <c r="G40" s="3">
        <f t="shared" si="28"/>
        <v>4.2169062984942343E-2</v>
      </c>
      <c r="H40" s="3">
        <f t="shared" si="28"/>
        <v>4.2169062984942343E-2</v>
      </c>
      <c r="I40" s="3">
        <f t="shared" si="28"/>
        <v>4.2169062984942343E-2</v>
      </c>
      <c r="J40" s="3">
        <f t="shared" si="28"/>
        <v>4.2169062984942343E-2</v>
      </c>
      <c r="K40" s="3">
        <f t="shared" si="28"/>
        <v>4.2169062984942343E-2</v>
      </c>
      <c r="L40" s="3">
        <f t="shared" si="28"/>
        <v>4.2169062984942343E-2</v>
      </c>
      <c r="M40" s="3">
        <f t="shared" si="28"/>
        <v>4.2169062984942336E-2</v>
      </c>
      <c r="N40" s="3">
        <f t="shared" si="28"/>
        <v>4.2169062984942302E-2</v>
      </c>
      <c r="O40" s="3">
        <f t="shared" si="28"/>
        <v>4.216906298494192E-2</v>
      </c>
      <c r="P40" s="3">
        <f t="shared" si="27"/>
        <v>4.2169062984938124E-2</v>
      </c>
      <c r="Q40" s="3">
        <f t="shared" si="27"/>
        <v>4.2169062984900176E-2</v>
      </c>
      <c r="R40" s="3">
        <f t="shared" si="27"/>
        <v>4.2169062984520653E-2</v>
      </c>
      <c r="S40" s="3">
        <f t="shared" si="27"/>
        <v>4.2169062980725439E-2</v>
      </c>
      <c r="T40" s="3">
        <f t="shared" si="27"/>
        <v>4.2169062942773283E-2</v>
      </c>
      <c r="U40" s="3">
        <f t="shared" si="27"/>
        <v>4.2169062563251716E-2</v>
      </c>
      <c r="V40" s="3">
        <f t="shared" si="27"/>
        <v>4.2169058768036255E-2</v>
      </c>
      <c r="W40" s="3">
        <f t="shared" si="27"/>
        <v>4.2169020815900446E-2</v>
      </c>
      <c r="X40" s="3">
        <f t="shared" si="27"/>
        <v>4.2168641296420936E-2</v>
      </c>
      <c r="Y40" s="3">
        <f t="shared" si="27"/>
        <v>4.2164846289482139E-2</v>
      </c>
      <c r="Z40" s="3">
        <f t="shared" si="27"/>
        <v>4.2126914999462473E-2</v>
      </c>
      <c r="AA40" s="3">
        <f t="shared" si="27"/>
        <v>4.1749473797600363E-2</v>
      </c>
      <c r="AB40" s="3">
        <f t="shared" si="27"/>
        <v>3.8156146072290981E-2</v>
      </c>
      <c r="AC40" s="3">
        <f t="shared" si="27"/>
        <v>1.5513131325623944E-2</v>
      </c>
      <c r="AD40" s="3">
        <f t="shared" si="27"/>
        <v>1.9144724976661822E-6</v>
      </c>
      <c r="AE40" s="3">
        <f t="shared" si="27"/>
        <v>1.5687211814159351E-45</v>
      </c>
      <c r="AF40" s="3">
        <f t="shared" si="29"/>
        <v>0</v>
      </c>
      <c r="AG40" s="3">
        <f t="shared" si="29"/>
        <v>0</v>
      </c>
      <c r="AH40" s="3">
        <f t="shared" si="29"/>
        <v>0</v>
      </c>
      <c r="AI40" s="3">
        <f t="shared" si="29"/>
        <v>0</v>
      </c>
      <c r="AJ40" s="3">
        <f t="shared" si="29"/>
        <v>0</v>
      </c>
    </row>
    <row r="41" spans="1:36" x14ac:dyDescent="0.25">
      <c r="A41" s="3">
        <f t="shared" si="30"/>
        <v>1000000000</v>
      </c>
      <c r="B41" s="106">
        <v>4.0564804956941793E-2</v>
      </c>
      <c r="C41" s="18">
        <f t="shared" si="3"/>
        <v>3.8068907608639936E-2</v>
      </c>
      <c r="D41" s="17"/>
      <c r="F41" s="3">
        <f t="shared" si="28"/>
        <v>3.8068907608639936E-2</v>
      </c>
      <c r="G41" s="3">
        <f t="shared" si="28"/>
        <v>3.8068907608639936E-2</v>
      </c>
      <c r="H41" s="3">
        <f t="shared" si="28"/>
        <v>3.8068907608639936E-2</v>
      </c>
      <c r="I41" s="3">
        <f t="shared" si="28"/>
        <v>3.8068907608639936E-2</v>
      </c>
      <c r="J41" s="3">
        <f t="shared" si="28"/>
        <v>3.8068907608639936E-2</v>
      </c>
      <c r="K41" s="3">
        <f t="shared" si="28"/>
        <v>3.8068907608639936E-2</v>
      </c>
      <c r="L41" s="3">
        <f t="shared" si="28"/>
        <v>3.8068907608639936E-2</v>
      </c>
      <c r="M41" s="3">
        <f t="shared" si="28"/>
        <v>3.8068907608639936E-2</v>
      </c>
      <c r="N41" s="3">
        <f t="shared" si="28"/>
        <v>3.8068907608639929E-2</v>
      </c>
      <c r="O41" s="3">
        <f t="shared" si="28"/>
        <v>3.8068907608639901E-2</v>
      </c>
      <c r="P41" s="3">
        <f t="shared" si="27"/>
        <v>3.8068907608639554E-2</v>
      </c>
      <c r="Q41" s="3">
        <f t="shared" si="27"/>
        <v>3.8068907608636127E-2</v>
      </c>
      <c r="R41" s="3">
        <f t="shared" si="27"/>
        <v>3.8068907608601869E-2</v>
      </c>
      <c r="S41" s="3">
        <f t="shared" si="27"/>
        <v>3.8068907608259248E-2</v>
      </c>
      <c r="T41" s="3">
        <f t="shared" si="27"/>
        <v>3.8068907604833044E-2</v>
      </c>
      <c r="U41" s="3">
        <f t="shared" si="27"/>
        <v>3.8068907570571027E-2</v>
      </c>
      <c r="V41" s="3">
        <f t="shared" si="27"/>
        <v>3.8068907227950866E-2</v>
      </c>
      <c r="W41" s="3">
        <f t="shared" si="27"/>
        <v>3.8068903801749369E-2</v>
      </c>
      <c r="X41" s="3">
        <f t="shared" si="27"/>
        <v>3.806886953975136E-2</v>
      </c>
      <c r="Y41" s="3">
        <f t="shared" si="27"/>
        <v>3.806852692146729E-2</v>
      </c>
      <c r="Z41" s="3">
        <f t="shared" si="27"/>
        <v>3.8065100908217263E-2</v>
      </c>
      <c r="AA41" s="3">
        <f t="shared" si="27"/>
        <v>3.8030857729141866E-2</v>
      </c>
      <c r="AB41" s="3">
        <f t="shared" si="27"/>
        <v>3.7690115648946407E-2</v>
      </c>
      <c r="AC41" s="3">
        <f t="shared" si="27"/>
        <v>3.4446172068051256E-2</v>
      </c>
      <c r="AD41" s="3">
        <f t="shared" si="27"/>
        <v>1.4004768457073729E-2</v>
      </c>
      <c r="AE41" s="3">
        <f t="shared" si="27"/>
        <v>1.7283257315667784E-6</v>
      </c>
      <c r="AF41" s="3">
        <f t="shared" si="29"/>
        <v>1.4161922862825824E-45</v>
      </c>
      <c r="AG41" s="3">
        <f t="shared" si="29"/>
        <v>0</v>
      </c>
      <c r="AH41" s="3">
        <f t="shared" si="29"/>
        <v>0</v>
      </c>
      <c r="AI41" s="3">
        <f t="shared" si="29"/>
        <v>0</v>
      </c>
      <c r="AJ41" s="3">
        <f t="shared" si="29"/>
        <v>0</v>
      </c>
    </row>
    <row r="42" spans="1:36" x14ac:dyDescent="0.25">
      <c r="A42" s="3">
        <f t="shared" si="30"/>
        <v>10000000000</v>
      </c>
      <c r="B42" s="106">
        <v>1.9246065923842447E-2</v>
      </c>
      <c r="C42" s="18">
        <f t="shared" si="3"/>
        <v>1.8061881630202923E-2</v>
      </c>
      <c r="D42" s="17"/>
      <c r="F42" s="3">
        <f t="shared" si="28"/>
        <v>1.8061881630202923E-2</v>
      </c>
      <c r="G42" s="3">
        <f t="shared" si="28"/>
        <v>1.8061881630202923E-2</v>
      </c>
      <c r="H42" s="3">
        <f t="shared" si="28"/>
        <v>1.8061881630202923E-2</v>
      </c>
      <c r="I42" s="3">
        <f t="shared" si="28"/>
        <v>1.8061881630202923E-2</v>
      </c>
      <c r="J42" s="3">
        <f t="shared" si="28"/>
        <v>1.8061881630202923E-2</v>
      </c>
      <c r="K42" s="3">
        <f t="shared" si="28"/>
        <v>1.8061881630202923E-2</v>
      </c>
      <c r="L42" s="3">
        <f t="shared" si="28"/>
        <v>1.8061881630202923E-2</v>
      </c>
      <c r="M42" s="3">
        <f t="shared" si="28"/>
        <v>1.8061881630202923E-2</v>
      </c>
      <c r="N42" s="3">
        <f t="shared" si="28"/>
        <v>1.8061881630202923E-2</v>
      </c>
      <c r="O42" s="3">
        <f t="shared" si="28"/>
        <v>1.8061881630202919E-2</v>
      </c>
      <c r="P42" s="3">
        <f t="shared" si="27"/>
        <v>1.8061881630202906E-2</v>
      </c>
      <c r="Q42" s="3">
        <f t="shared" si="27"/>
        <v>1.8061881630202743E-2</v>
      </c>
      <c r="R42" s="3">
        <f t="shared" si="27"/>
        <v>1.8061881630201115E-2</v>
      </c>
      <c r="S42" s="3">
        <f t="shared" si="27"/>
        <v>1.8061881630184861E-2</v>
      </c>
      <c r="T42" s="3">
        <f t="shared" si="27"/>
        <v>1.8061881630022304E-2</v>
      </c>
      <c r="U42" s="3">
        <f t="shared" si="27"/>
        <v>1.8061881628396736E-2</v>
      </c>
      <c r="V42" s="3">
        <f t="shared" si="27"/>
        <v>1.8061881612141041E-2</v>
      </c>
      <c r="W42" s="3">
        <f t="shared" si="27"/>
        <v>1.8061881449584108E-2</v>
      </c>
      <c r="X42" s="3">
        <f t="shared" si="27"/>
        <v>1.8061879824014852E-2</v>
      </c>
      <c r="Y42" s="3">
        <f t="shared" si="27"/>
        <v>1.8061863568330325E-2</v>
      </c>
      <c r="Z42" s="3">
        <f t="shared" si="27"/>
        <v>1.806170101228971E-2</v>
      </c>
      <c r="AA42" s="3">
        <f t="shared" si="27"/>
        <v>1.8060075532346301E-2</v>
      </c>
      <c r="AB42" s="3">
        <f t="shared" si="27"/>
        <v>1.8043828776503974E-2</v>
      </c>
      <c r="AC42" s="3">
        <f t="shared" si="27"/>
        <v>1.7882162905179556E-2</v>
      </c>
      <c r="AD42" s="3">
        <f t="shared" si="27"/>
        <v>1.6343066339143938E-2</v>
      </c>
      <c r="AE42" s="3">
        <f t="shared" si="27"/>
        <v>6.6445949206237909E-3</v>
      </c>
      <c r="AF42" s="3">
        <f t="shared" si="29"/>
        <v>8.2000815738952815E-7</v>
      </c>
      <c r="AG42" s="3">
        <f t="shared" si="29"/>
        <v>6.719157193424995E-46</v>
      </c>
      <c r="AH42" s="3">
        <f t="shared" si="29"/>
        <v>0</v>
      </c>
      <c r="AI42" s="3">
        <f t="shared" si="29"/>
        <v>0</v>
      </c>
      <c r="AJ42" s="3">
        <f t="shared" si="29"/>
        <v>0</v>
      </c>
    </row>
    <row r="43" spans="1:36" x14ac:dyDescent="0.25">
      <c r="A43" s="3">
        <f t="shared" si="30"/>
        <v>100000000000</v>
      </c>
      <c r="B43" s="106">
        <v>1.0904367720627599E-2</v>
      </c>
      <c r="C43" s="18">
        <f t="shared" si="3"/>
        <v>1.0233436786589783E-2</v>
      </c>
      <c r="D43" s="17"/>
      <c r="F43" s="3">
        <f t="shared" si="28"/>
        <v>1.0233436786589783E-2</v>
      </c>
      <c r="G43" s="3">
        <f t="shared" si="28"/>
        <v>1.0233436786589783E-2</v>
      </c>
      <c r="H43" s="3">
        <f t="shared" si="28"/>
        <v>1.0233436786589783E-2</v>
      </c>
      <c r="I43" s="3">
        <f t="shared" si="28"/>
        <v>1.0233436786589783E-2</v>
      </c>
      <c r="J43" s="3">
        <f t="shared" si="28"/>
        <v>1.0233436786589783E-2</v>
      </c>
      <c r="K43" s="3">
        <f t="shared" si="28"/>
        <v>1.0233436786589783E-2</v>
      </c>
      <c r="L43" s="3">
        <f t="shared" si="28"/>
        <v>1.0233436786589783E-2</v>
      </c>
      <c r="M43" s="3">
        <f t="shared" si="28"/>
        <v>1.0233436786589783E-2</v>
      </c>
      <c r="N43" s="3">
        <f t="shared" si="28"/>
        <v>1.0233436786589783E-2</v>
      </c>
      <c r="O43" s="3">
        <f t="shared" si="28"/>
        <v>1.0233436786589783E-2</v>
      </c>
      <c r="P43" s="3">
        <f t="shared" si="27"/>
        <v>1.0233436786589781E-2</v>
      </c>
      <c r="Q43" s="3">
        <f t="shared" si="27"/>
        <v>1.0233436786589773E-2</v>
      </c>
      <c r="R43" s="3">
        <f t="shared" si="27"/>
        <v>1.0233436786589681E-2</v>
      </c>
      <c r="S43" s="3">
        <f t="shared" si="27"/>
        <v>1.023343678658876E-2</v>
      </c>
      <c r="T43" s="3">
        <f t="shared" si="27"/>
        <v>1.023343678657955E-2</v>
      </c>
      <c r="U43" s="3">
        <f t="shared" si="27"/>
        <v>1.0233436786487448E-2</v>
      </c>
      <c r="V43" s="3">
        <f t="shared" si="27"/>
        <v>1.0233436785566439E-2</v>
      </c>
      <c r="W43" s="3">
        <f t="shared" si="27"/>
        <v>1.0233436776356346E-2</v>
      </c>
      <c r="X43" s="3">
        <f t="shared" si="27"/>
        <v>1.0233436684255416E-2</v>
      </c>
      <c r="Y43" s="3">
        <f t="shared" si="27"/>
        <v>1.0233435763246156E-2</v>
      </c>
      <c r="Z43" s="3">
        <f t="shared" si="27"/>
        <v>1.0233426553158113E-2</v>
      </c>
      <c r="AA43" s="3">
        <f t="shared" si="27"/>
        <v>1.0233334452733587E-2</v>
      </c>
      <c r="AB43" s="3">
        <f t="shared" si="27"/>
        <v>1.0232413494076602E-2</v>
      </c>
      <c r="AC43" s="3">
        <f t="shared" si="27"/>
        <v>1.022320846481644E-2</v>
      </c>
      <c r="AD43" s="3">
        <f t="shared" si="27"/>
        <v>1.0131612389245835E-2</v>
      </c>
      <c r="AE43" s="3">
        <f t="shared" si="27"/>
        <v>9.2595965196121052E-3</v>
      </c>
      <c r="AF43" s="3">
        <f t="shared" si="29"/>
        <v>3.7646710063139301E-3</v>
      </c>
      <c r="AG43" s="3">
        <f t="shared" si="29"/>
        <v>4.6459731134000485E-7</v>
      </c>
      <c r="AH43" s="3">
        <f t="shared" si="29"/>
        <v>3.806916234192052E-46</v>
      </c>
      <c r="AI43" s="3">
        <f t="shared" si="29"/>
        <v>0</v>
      </c>
      <c r="AJ43" s="3">
        <f t="shared" si="29"/>
        <v>0</v>
      </c>
    </row>
    <row r="44" spans="1:36" x14ac:dyDescent="0.25">
      <c r="A44" s="3">
        <f t="shared" si="30"/>
        <v>1000000000000</v>
      </c>
      <c r="B44" s="106">
        <v>5.1173603476624245E-3</v>
      </c>
      <c r="C44" s="18">
        <f t="shared" si="3"/>
        <v>4.802496116573597E-3</v>
      </c>
      <c r="D44" s="17"/>
      <c r="F44" s="3">
        <f t="shared" si="28"/>
        <v>4.802496116573597E-3</v>
      </c>
      <c r="G44" s="3">
        <f t="shared" si="28"/>
        <v>4.802496116573597E-3</v>
      </c>
      <c r="H44" s="3">
        <f t="shared" si="28"/>
        <v>4.802496116573597E-3</v>
      </c>
      <c r="I44" s="3">
        <f t="shared" si="28"/>
        <v>4.802496116573597E-3</v>
      </c>
      <c r="J44" s="3">
        <f t="shared" si="28"/>
        <v>4.802496116573597E-3</v>
      </c>
      <c r="K44" s="3">
        <f t="shared" si="28"/>
        <v>4.802496116573597E-3</v>
      </c>
      <c r="L44" s="3">
        <f t="shared" si="28"/>
        <v>4.802496116573597E-3</v>
      </c>
      <c r="M44" s="3">
        <f t="shared" si="28"/>
        <v>4.802496116573597E-3</v>
      </c>
      <c r="N44" s="3">
        <f t="shared" si="28"/>
        <v>4.802496116573597E-3</v>
      </c>
      <c r="O44" s="3">
        <f t="shared" si="28"/>
        <v>4.802496116573597E-3</v>
      </c>
      <c r="P44" s="3">
        <f t="shared" si="27"/>
        <v>4.802496116573597E-3</v>
      </c>
      <c r="Q44" s="3">
        <f t="shared" si="27"/>
        <v>4.8024961165735961E-3</v>
      </c>
      <c r="R44" s="3">
        <f t="shared" si="27"/>
        <v>4.8024961165735918E-3</v>
      </c>
      <c r="S44" s="3">
        <f t="shared" si="27"/>
        <v>4.8024961165735493E-3</v>
      </c>
      <c r="T44" s="3">
        <f t="shared" si="27"/>
        <v>4.8024961165731165E-3</v>
      </c>
      <c r="U44" s="3">
        <f t="shared" si="27"/>
        <v>4.8024961165687944E-3</v>
      </c>
      <c r="V44" s="3">
        <f t="shared" si="27"/>
        <v>4.802496116525572E-3</v>
      </c>
      <c r="W44" s="3">
        <f t="shared" si="27"/>
        <v>4.8024961160933475E-3</v>
      </c>
      <c r="X44" s="3">
        <f t="shared" si="27"/>
        <v>4.8024961117711009E-3</v>
      </c>
      <c r="Y44" s="3">
        <f t="shared" si="27"/>
        <v>4.8024960685486362E-3</v>
      </c>
      <c r="Z44" s="3">
        <f t="shared" si="27"/>
        <v>4.8024956363240095E-3</v>
      </c>
      <c r="AA44" s="3">
        <f t="shared" si="27"/>
        <v>4.8024913140798818E-3</v>
      </c>
      <c r="AB44" s="3">
        <f t="shared" si="27"/>
        <v>4.802448091852555E-3</v>
      </c>
      <c r="AC44" s="3">
        <f t="shared" si="27"/>
        <v>4.8020158909736202E-3</v>
      </c>
      <c r="AD44" s="3">
        <f t="shared" si="27"/>
        <v>4.7976960209048661E-3</v>
      </c>
      <c r="AE44" s="3">
        <f t="shared" si="27"/>
        <v>4.7547104817947149E-3</v>
      </c>
      <c r="AF44" s="3">
        <f t="shared" si="29"/>
        <v>4.3454781862481756E-3</v>
      </c>
      <c r="AG44" s="3">
        <f t="shared" si="29"/>
        <v>1.7667395875931168E-3</v>
      </c>
      <c r="AH44" s="3">
        <f t="shared" si="29"/>
        <v>2.1803298637704756E-7</v>
      </c>
      <c r="AI44" s="3">
        <f t="shared" si="29"/>
        <v>1.7865650428198798E-46</v>
      </c>
      <c r="AJ44" s="3">
        <f t="shared" si="29"/>
        <v>0</v>
      </c>
    </row>
    <row r="45" spans="1:36" x14ac:dyDescent="0.25">
      <c r="A45" s="3">
        <f t="shared" si="30"/>
        <v>10000000000000</v>
      </c>
      <c r="B45" s="106">
        <v>2.6873617676609358E-3</v>
      </c>
      <c r="C45" s="18">
        <f t="shared" si="3"/>
        <v>2.5220120484412234E-3</v>
      </c>
      <c r="D45" s="17"/>
      <c r="F45" s="3">
        <f t="shared" si="28"/>
        <v>2.5220120484412234E-3</v>
      </c>
      <c r="G45" s="3">
        <f t="shared" si="28"/>
        <v>2.5220120484412234E-3</v>
      </c>
      <c r="H45" s="3">
        <f t="shared" si="28"/>
        <v>2.5220120484412234E-3</v>
      </c>
      <c r="I45" s="3">
        <f t="shared" si="28"/>
        <v>2.5220120484412234E-3</v>
      </c>
      <c r="J45" s="3">
        <f t="shared" si="28"/>
        <v>2.5220120484412234E-3</v>
      </c>
      <c r="K45" s="3">
        <f t="shared" si="28"/>
        <v>2.5220120484412234E-3</v>
      </c>
      <c r="L45" s="3">
        <f t="shared" si="28"/>
        <v>2.5220120484412234E-3</v>
      </c>
      <c r="M45" s="3">
        <f t="shared" si="28"/>
        <v>2.5220120484412234E-3</v>
      </c>
      <c r="N45" s="3">
        <f t="shared" si="28"/>
        <v>2.5220120484412234E-3</v>
      </c>
      <c r="O45" s="3">
        <f t="shared" si="28"/>
        <v>2.5220120484412234E-3</v>
      </c>
      <c r="P45" s="3">
        <f t="shared" si="27"/>
        <v>2.5220120484412234E-3</v>
      </c>
      <c r="Q45" s="3">
        <f t="shared" si="27"/>
        <v>2.5220120484412234E-3</v>
      </c>
      <c r="R45" s="3">
        <f t="shared" si="27"/>
        <v>2.5220120484412229E-3</v>
      </c>
      <c r="S45" s="3">
        <f t="shared" si="27"/>
        <v>2.5220120484412208E-3</v>
      </c>
      <c r="T45" s="3">
        <f t="shared" si="27"/>
        <v>2.5220120484411982E-3</v>
      </c>
      <c r="U45" s="3">
        <f t="shared" si="27"/>
        <v>2.522012048440971E-3</v>
      </c>
      <c r="V45" s="3">
        <f t="shared" si="27"/>
        <v>2.5220120484387015E-3</v>
      </c>
      <c r="W45" s="3">
        <f t="shared" si="27"/>
        <v>2.5220120484160031E-3</v>
      </c>
      <c r="X45" s="3">
        <f t="shared" si="27"/>
        <v>2.5220120481890223E-3</v>
      </c>
      <c r="Y45" s="3">
        <f t="shared" si="27"/>
        <v>2.5220120459192113E-3</v>
      </c>
      <c r="Z45" s="3">
        <f t="shared" si="27"/>
        <v>2.5220120232211031E-3</v>
      </c>
      <c r="AA45" s="3">
        <f t="shared" si="27"/>
        <v>2.5220117962400312E-3</v>
      </c>
      <c r="AB45" s="3">
        <f t="shared" si="27"/>
        <v>2.5220095264304361E-3</v>
      </c>
      <c r="AC45" s="3">
        <f t="shared" si="27"/>
        <v>2.5219868284468393E-3</v>
      </c>
      <c r="AD45" s="3">
        <f t="shared" si="27"/>
        <v>2.5217598598460192E-3</v>
      </c>
      <c r="AE45" s="3">
        <f t="shared" si="27"/>
        <v>2.5194912969785763E-3</v>
      </c>
      <c r="AF45" s="3">
        <f t="shared" si="29"/>
        <v>2.4969176092726323E-3</v>
      </c>
      <c r="AG45" s="3">
        <f t="shared" si="29"/>
        <v>2.2820108701671377E-3</v>
      </c>
      <c r="AH45" s="3">
        <f t="shared" si="29"/>
        <v>9.2779638300820181E-4</v>
      </c>
      <c r="AI45" s="3">
        <f t="shared" si="29"/>
        <v>1.1449916985937209E-7</v>
      </c>
      <c r="AJ45" s="3">
        <f t="shared" si="29"/>
        <v>9.3820764326412923E-47</v>
      </c>
    </row>
    <row r="46" spans="1:36" x14ac:dyDescent="0.25">
      <c r="A46" s="3">
        <f t="shared" si="30"/>
        <v>100000000000000</v>
      </c>
      <c r="B46" s="106">
        <v>2.3280918210146395E-3</v>
      </c>
      <c r="C46" s="18">
        <f t="shared" si="3"/>
        <v>2.1848474936022057E-3</v>
      </c>
      <c r="D46" s="17"/>
      <c r="F46" s="3">
        <f t="shared" si="28"/>
        <v>2.1848474936022057E-3</v>
      </c>
      <c r="G46" s="3">
        <f t="shared" si="28"/>
        <v>2.1848474936022057E-3</v>
      </c>
      <c r="H46" s="3">
        <f t="shared" si="28"/>
        <v>2.1848474936022057E-3</v>
      </c>
      <c r="I46" s="3">
        <f t="shared" si="28"/>
        <v>2.1848474936022057E-3</v>
      </c>
      <c r="J46" s="3">
        <f t="shared" si="28"/>
        <v>2.1848474936022057E-3</v>
      </c>
      <c r="K46" s="3">
        <f t="shared" si="28"/>
        <v>2.1848474936022057E-3</v>
      </c>
      <c r="L46" s="3">
        <f t="shared" si="28"/>
        <v>2.1848474936022057E-3</v>
      </c>
      <c r="M46" s="3">
        <f t="shared" si="28"/>
        <v>2.1848474936022057E-3</v>
      </c>
      <c r="N46" s="3">
        <f t="shared" si="28"/>
        <v>2.1848474936022057E-3</v>
      </c>
      <c r="O46" s="3">
        <f t="shared" si="28"/>
        <v>2.1848474936022057E-3</v>
      </c>
      <c r="P46" s="3">
        <f t="shared" si="27"/>
        <v>2.1848474936022057E-3</v>
      </c>
      <c r="Q46" s="3">
        <f t="shared" si="27"/>
        <v>2.1848474936022057E-3</v>
      </c>
      <c r="R46" s="3">
        <f t="shared" si="27"/>
        <v>2.1848474936022057E-3</v>
      </c>
      <c r="S46" s="3">
        <f t="shared" si="27"/>
        <v>2.1848474936022053E-3</v>
      </c>
      <c r="T46" s="3">
        <f t="shared" si="27"/>
        <v>2.1848474936022036E-3</v>
      </c>
      <c r="U46" s="3">
        <f t="shared" si="27"/>
        <v>2.184847493602184E-3</v>
      </c>
      <c r="V46" s="3">
        <f t="shared" si="27"/>
        <v>2.1848474936019872E-3</v>
      </c>
      <c r="W46" s="3">
        <f t="shared" si="27"/>
        <v>2.1848474936000208E-3</v>
      </c>
      <c r="X46" s="3">
        <f t="shared" si="27"/>
        <v>2.1848474935803573E-3</v>
      </c>
      <c r="Y46" s="3">
        <f t="shared" si="27"/>
        <v>2.1848474933837208E-3</v>
      </c>
      <c r="Z46" s="3">
        <f t="shared" si="27"/>
        <v>2.1848474914173584E-3</v>
      </c>
      <c r="AA46" s="3">
        <f t="shared" si="27"/>
        <v>2.1848474717537309E-3</v>
      </c>
      <c r="AB46" s="3">
        <f t="shared" si="27"/>
        <v>2.1848472751174676E-3</v>
      </c>
      <c r="AC46" s="3">
        <f t="shared" si="27"/>
        <v>2.1848453087558047E-3</v>
      </c>
      <c r="AD46" s="3">
        <f t="shared" si="27"/>
        <v>2.1848256452365118E-3</v>
      </c>
      <c r="AE46" s="3">
        <f t="shared" si="27"/>
        <v>2.1846290197767189E-3</v>
      </c>
      <c r="AF46" s="3">
        <f t="shared" si="29"/>
        <v>2.1826637381683E-3</v>
      </c>
      <c r="AG46" s="3">
        <f t="shared" si="29"/>
        <v>2.1631078978081504E-3</v>
      </c>
      <c r="AH46" s="3">
        <f t="shared" si="29"/>
        <v>1.9769317649133574E-3</v>
      </c>
      <c r="AI46" s="3">
        <f t="shared" si="29"/>
        <v>8.0376047499120592E-4</v>
      </c>
      <c r="AJ46" s="3">
        <f t="shared" si="29"/>
        <v>9.919192275128122E-8</v>
      </c>
    </row>
    <row r="47" spans="1:36" x14ac:dyDescent="0.25">
      <c r="A47" s="3">
        <f t="shared" si="30"/>
        <v>1000000000000000</v>
      </c>
      <c r="B47" s="106">
        <v>3.8701546697725238E-4</v>
      </c>
      <c r="C47" s="18">
        <f t="shared" si="3"/>
        <v>3.6320293099179269E-4</v>
      </c>
      <c r="D47" s="17"/>
      <c r="F47" s="3">
        <f t="shared" si="28"/>
        <v>3.6320293099179269E-4</v>
      </c>
      <c r="G47" s="3">
        <f t="shared" si="28"/>
        <v>3.6320293099179269E-4</v>
      </c>
      <c r="H47" s="3">
        <f t="shared" si="28"/>
        <v>3.6320293099179269E-4</v>
      </c>
      <c r="I47" s="3">
        <f t="shared" si="28"/>
        <v>3.6320293099179269E-4</v>
      </c>
      <c r="J47" s="3">
        <f t="shared" si="28"/>
        <v>3.6320293099179269E-4</v>
      </c>
      <c r="K47" s="3">
        <f t="shared" si="28"/>
        <v>3.6320293099179269E-4</v>
      </c>
      <c r="L47" s="3">
        <f t="shared" si="28"/>
        <v>3.6320293099179269E-4</v>
      </c>
      <c r="M47" s="3">
        <f t="shared" si="28"/>
        <v>3.6320293099179269E-4</v>
      </c>
      <c r="N47" s="3">
        <f t="shared" si="28"/>
        <v>3.6320293099179269E-4</v>
      </c>
      <c r="O47" s="3">
        <f t="shared" si="28"/>
        <v>3.6320293099179269E-4</v>
      </c>
      <c r="P47" s="3">
        <f t="shared" si="27"/>
        <v>3.6320293099179269E-4</v>
      </c>
      <c r="Q47" s="3">
        <f t="shared" si="27"/>
        <v>3.6320293099179269E-4</v>
      </c>
      <c r="R47" s="3">
        <f t="shared" si="27"/>
        <v>3.6320293099179269E-4</v>
      </c>
      <c r="S47" s="3">
        <f t="shared" si="27"/>
        <v>3.6320293099179269E-4</v>
      </c>
      <c r="T47" s="3">
        <f t="shared" si="27"/>
        <v>3.6320293099179263E-4</v>
      </c>
      <c r="U47" s="3">
        <f t="shared" si="27"/>
        <v>3.6320293099179231E-4</v>
      </c>
      <c r="V47" s="3">
        <f t="shared" si="27"/>
        <v>3.6320293099178906E-4</v>
      </c>
      <c r="W47" s="3">
        <f t="shared" si="27"/>
        <v>3.6320293099175637E-4</v>
      </c>
      <c r="X47" s="3">
        <f t="shared" si="27"/>
        <v>3.6320293099142948E-4</v>
      </c>
      <c r="Y47" s="3">
        <f t="shared" si="27"/>
        <v>3.6320293098816066E-4</v>
      </c>
      <c r="Z47" s="3">
        <f t="shared" si="27"/>
        <v>3.632029309554724E-4</v>
      </c>
      <c r="AA47" s="3">
        <f t="shared" si="27"/>
        <v>3.6320293062858978E-4</v>
      </c>
      <c r="AB47" s="3">
        <f t="shared" si="27"/>
        <v>3.6320292735976339E-4</v>
      </c>
      <c r="AC47" s="3">
        <f t="shared" si="27"/>
        <v>3.632028946715014E-4</v>
      </c>
      <c r="AD47" s="3">
        <f t="shared" si="27"/>
        <v>3.6320256778904329E-4</v>
      </c>
      <c r="AE47" s="3">
        <f t="shared" si="27"/>
        <v>3.6319929898064285E-4</v>
      </c>
      <c r="AF47" s="3">
        <f t="shared" si="29"/>
        <v>3.6316661251464762E-4</v>
      </c>
      <c r="AG47" s="3">
        <f t="shared" si="29"/>
        <v>3.6283990960174771E-4</v>
      </c>
      <c r="AH47" s="3">
        <f t="shared" si="29"/>
        <v>3.595890014456349E-4</v>
      </c>
      <c r="AI47" s="3">
        <f t="shared" si="29"/>
        <v>3.2863960230170648E-4</v>
      </c>
      <c r="AJ47" s="3">
        <f t="shared" si="29"/>
        <v>1.3361489128509062E-4</v>
      </c>
    </row>
    <row r="48" spans="1:36" x14ac:dyDescent="0.25">
      <c r="A48" s="3">
        <f t="shared" si="30"/>
        <v>1E+16</v>
      </c>
      <c r="B48" s="106">
        <v>1.9622970594870988E-3</v>
      </c>
      <c r="C48" s="18">
        <f t="shared" si="3"/>
        <v>1.8415595868786856E-3</v>
      </c>
      <c r="D48" s="17"/>
      <c r="F48" s="3">
        <f t="shared" si="28"/>
        <v>1.8415595868786856E-3</v>
      </c>
      <c r="G48" s="3">
        <f t="shared" si="28"/>
        <v>1.8415595868786856E-3</v>
      </c>
      <c r="H48" s="3">
        <f t="shared" si="28"/>
        <v>1.8415595868786856E-3</v>
      </c>
      <c r="I48" s="3">
        <f t="shared" si="28"/>
        <v>1.8415595868786856E-3</v>
      </c>
      <c r="J48" s="3">
        <f t="shared" si="28"/>
        <v>1.8415595868786856E-3</v>
      </c>
      <c r="K48" s="3">
        <f t="shared" si="28"/>
        <v>1.8415595868786856E-3</v>
      </c>
      <c r="L48" s="3">
        <f t="shared" si="28"/>
        <v>1.8415595868786856E-3</v>
      </c>
      <c r="M48" s="3">
        <f t="shared" si="28"/>
        <v>1.8415595868786856E-3</v>
      </c>
      <c r="N48" s="3">
        <f t="shared" si="28"/>
        <v>1.8415595868786856E-3</v>
      </c>
      <c r="O48" s="3">
        <f t="shared" si="28"/>
        <v>1.8415595868786856E-3</v>
      </c>
      <c r="P48" s="3">
        <f t="shared" si="27"/>
        <v>1.8415595868786856E-3</v>
      </c>
      <c r="Q48" s="3">
        <f t="shared" si="27"/>
        <v>1.8415595868786856E-3</v>
      </c>
      <c r="R48" s="3">
        <f t="shared" si="27"/>
        <v>1.8415595868786856E-3</v>
      </c>
      <c r="S48" s="3">
        <f t="shared" si="27"/>
        <v>1.8415595868786856E-3</v>
      </c>
      <c r="T48" s="3">
        <f t="shared" si="27"/>
        <v>1.8415595868786856E-3</v>
      </c>
      <c r="U48" s="3">
        <f t="shared" si="27"/>
        <v>1.8415595868786854E-3</v>
      </c>
      <c r="V48" s="3">
        <f t="shared" si="27"/>
        <v>1.8415595868786839E-3</v>
      </c>
      <c r="W48" s="3">
        <f t="shared" si="27"/>
        <v>1.8415595868786672E-3</v>
      </c>
      <c r="X48" s="3">
        <f t="shared" si="27"/>
        <v>1.8415595868785013E-3</v>
      </c>
      <c r="Y48" s="3">
        <f t="shared" si="27"/>
        <v>1.841559586876844E-3</v>
      </c>
      <c r="Z48" s="3">
        <f t="shared" si="27"/>
        <v>1.84155958686027E-3</v>
      </c>
      <c r="AA48" s="3">
        <f t="shared" si="27"/>
        <v>1.8415595866945295E-3</v>
      </c>
      <c r="AB48" s="3">
        <f t="shared" si="27"/>
        <v>1.8415595850371262E-3</v>
      </c>
      <c r="AC48" s="3">
        <f t="shared" si="27"/>
        <v>1.84155956846309E-3</v>
      </c>
      <c r="AD48" s="3">
        <f t="shared" si="27"/>
        <v>1.8415594027227362E-3</v>
      </c>
      <c r="AE48" s="3">
        <f t="shared" si="27"/>
        <v>1.8415577453200196E-3</v>
      </c>
      <c r="AF48" s="3">
        <f t="shared" si="29"/>
        <v>1.8415411713748945E-3</v>
      </c>
      <c r="AG48" s="3">
        <f t="shared" si="29"/>
        <v>1.8413754401274888E-3</v>
      </c>
      <c r="AH48" s="3">
        <f t="shared" si="29"/>
        <v>1.8397189477647505E-3</v>
      </c>
      <c r="AI48" s="3">
        <f t="shared" si="29"/>
        <v>1.8232357628284294E-3</v>
      </c>
      <c r="AJ48" s="3">
        <f t="shared" si="29"/>
        <v>1.6663120217506782E-3</v>
      </c>
    </row>
    <row r="49" spans="1:36" x14ac:dyDescent="0.25">
      <c r="B49" s="16">
        <f>SUM(B17:B48)</f>
        <v>1.0655626206551669</v>
      </c>
      <c r="C49" s="18">
        <f>SUM(C17:C48)</f>
        <v>1.0000000000000004</v>
      </c>
      <c r="F49" s="3">
        <f t="shared" ref="F49:AJ49" si="31">F16-F17</f>
        <v>68.787334428112445</v>
      </c>
      <c r="G49" s="3">
        <f t="shared" si="31"/>
        <v>-88.968179838782817</v>
      </c>
      <c r="H49" s="3">
        <f t="shared" si="31"/>
        <v>23.551868064909286</v>
      </c>
      <c r="I49" s="3">
        <f t="shared" si="31"/>
        <v>-3.8508711623962881</v>
      </c>
      <c r="J49" s="3">
        <f t="shared" si="31"/>
        <v>0.53736610855048639</v>
      </c>
      <c r="K49" s="3">
        <f t="shared" si="31"/>
        <v>-5.2631444836151786E-2</v>
      </c>
      <c r="L49" s="3">
        <f t="shared" si="31"/>
        <v>-1.630976379965432E-2</v>
      </c>
      <c r="M49" s="3">
        <f t="shared" si="31"/>
        <v>6.510518829782086E-2</v>
      </c>
      <c r="N49" s="3">
        <f t="shared" si="31"/>
        <v>-0.18019693954647664</v>
      </c>
      <c r="O49" s="3">
        <f t="shared" si="31"/>
        <v>0.36818224623129936</v>
      </c>
      <c r="P49" s="3">
        <f t="shared" si="31"/>
        <v>-0.62195235544822935</v>
      </c>
      <c r="Q49" s="3">
        <f t="shared" si="31"/>
        <v>0.90861488972313964</v>
      </c>
      <c r="R49" s="3">
        <f t="shared" si="31"/>
        <v>-1.1201476359474327</v>
      </c>
      <c r="S49" s="3">
        <f t="shared" si="31"/>
        <v>1.172012447538691</v>
      </c>
      <c r="T49" s="3">
        <f t="shared" si="31"/>
        <v>-1.0531305395134041</v>
      </c>
      <c r="U49" s="3">
        <f t="shared" si="31"/>
        <v>0.81831630320448312</v>
      </c>
      <c r="V49" s="3">
        <f t="shared" si="31"/>
        <v>-0.54543492670745763</v>
      </c>
      <c r="W49" s="3">
        <f t="shared" si="31"/>
        <v>0.29991530761253671</v>
      </c>
      <c r="X49" s="3">
        <f t="shared" si="31"/>
        <v>-0.14696331068716972</v>
      </c>
      <c r="Y49" s="3">
        <f t="shared" si="31"/>
        <v>7.8248641188110923E-2</v>
      </c>
      <c r="Z49" s="3">
        <f t="shared" si="31"/>
        <v>-4.9984595766545681E-2</v>
      </c>
      <c r="AA49" s="3">
        <f t="shared" si="31"/>
        <v>3.2597370830899308E-2</v>
      </c>
      <c r="AB49" s="3">
        <f t="shared" si="31"/>
        <v>-2.3220237884970629E-2</v>
      </c>
      <c r="AC49" s="3">
        <f t="shared" si="31"/>
        <v>1.4586848682029085E-2</v>
      </c>
      <c r="AD49" s="3">
        <f t="shared" si="31"/>
        <v>-2.1709109701532725E-2</v>
      </c>
      <c r="AE49" s="3">
        <f t="shared" si="31"/>
        <v>5.008179211370134E-2</v>
      </c>
      <c r="AF49" s="3">
        <f t="shared" si="31"/>
        <v>-5.1502637960311404E-2</v>
      </c>
      <c r="AG49" s="3">
        <f t="shared" si="31"/>
        <v>3.371841179432522E-2</v>
      </c>
      <c r="AH49" s="3">
        <f t="shared" si="31"/>
        <v>-3.3916254149289671E-2</v>
      </c>
      <c r="AI49" s="3">
        <f t="shared" si="31"/>
        <v>3.6036704297430333E-2</v>
      </c>
      <c r="AJ49" s="3">
        <f t="shared" si="31"/>
        <v>-1.6453986547389832E-2</v>
      </c>
    </row>
    <row r="50" spans="1:36" x14ac:dyDescent="0.25">
      <c r="F50" s="57">
        <f t="shared" ref="F50:AJ50" si="32">F49/F17</f>
        <v>6.8513787181636449E-3</v>
      </c>
      <c r="G50" s="57">
        <f t="shared" si="32"/>
        <v>-8.9394800818684995E-3</v>
      </c>
      <c r="H50" s="57">
        <f t="shared" si="32"/>
        <v>2.4471500140106173E-3</v>
      </c>
      <c r="I50" s="57">
        <f t="shared" si="32"/>
        <v>-4.0896372941284651E-4</v>
      </c>
      <c r="J50" s="57">
        <f t="shared" si="32"/>
        <v>5.867857610549327E-5</v>
      </c>
      <c r="K50" s="57">
        <f t="shared" si="32"/>
        <v>-5.9278881308163267E-6</v>
      </c>
      <c r="L50" s="57">
        <f t="shared" si="32"/>
        <v>-1.8964936316393922E-6</v>
      </c>
      <c r="M50" s="57">
        <f t="shared" si="32"/>
        <v>7.8114182290768609E-6</v>
      </c>
      <c r="N50" s="57">
        <f t="shared" si="32"/>
        <v>-2.244981587128445E-5</v>
      </c>
      <c r="O50" s="57">
        <f t="shared" si="32"/>
        <v>4.8058814172859312E-5</v>
      </c>
      <c r="P50" s="57">
        <f t="shared" si="32"/>
        <v>-8.5372757574947919E-5</v>
      </c>
      <c r="Q50" s="57">
        <f t="shared" si="32"/>
        <v>1.304740244875767E-4</v>
      </c>
      <c r="R50" s="57">
        <f t="shared" si="32"/>
        <v>-1.6771554922674612E-4</v>
      </c>
      <c r="S50" s="57">
        <f t="shared" si="32"/>
        <v>1.8338248276135021E-4</v>
      </c>
      <c r="T50" s="57">
        <f t="shared" si="32"/>
        <v>-1.7258488891307673E-4</v>
      </c>
      <c r="U50" s="57">
        <f t="shared" si="32"/>
        <v>1.4070602344550115E-4</v>
      </c>
      <c r="V50" s="57">
        <f t="shared" si="32"/>
        <v>-9.9519720053604341E-5</v>
      </c>
      <c r="W50" s="57">
        <f t="shared" si="32"/>
        <v>5.9970416058383299E-5</v>
      </c>
      <c r="X50" s="57">
        <f t="shared" si="32"/>
        <v>-3.3562211670518178E-5</v>
      </c>
      <c r="Y50" s="57">
        <f t="shared" si="32"/>
        <v>2.0891230936438504E-5</v>
      </c>
      <c r="Z50" s="57">
        <f t="shared" si="32"/>
        <v>-1.5875363999017227E-5</v>
      </c>
      <c r="AA50" s="57">
        <f t="shared" si="32"/>
        <v>1.2697398021553683E-5</v>
      </c>
      <c r="AB50" s="57">
        <f t="shared" si="32"/>
        <v>-1.1691426771404027E-5</v>
      </c>
      <c r="AC50" s="57">
        <f t="shared" si="32"/>
        <v>1.0032291514245653E-5</v>
      </c>
      <c r="AD50" s="57">
        <f t="shared" si="32"/>
        <v>-2.0691069660144409E-5</v>
      </c>
      <c r="AE50" s="57">
        <f t="shared" si="32"/>
        <v>6.3873590529488485E-5</v>
      </c>
      <c r="AF50" s="57">
        <f t="shared" si="32"/>
        <v>-7.9396874433479235E-5</v>
      </c>
      <c r="AG50" s="57">
        <f t="shared" si="32"/>
        <v>5.8353340606682631E-5</v>
      </c>
      <c r="AH50" s="57">
        <f t="shared" si="32"/>
        <v>-6.2557179263602786E-5</v>
      </c>
      <c r="AI50" s="57">
        <f t="shared" si="32"/>
        <v>6.9431094134497011E-5</v>
      </c>
      <c r="AJ50" s="57">
        <f t="shared" si="32"/>
        <v>-3.2480328272649184E-5</v>
      </c>
    </row>
    <row r="51" spans="1:36" x14ac:dyDescent="0.25">
      <c r="A51" s="13" t="s">
        <v>21</v>
      </c>
      <c r="B51" s="3">
        <f>STUTT!D8</f>
        <v>10768.300999999999</v>
      </c>
      <c r="E51" s="11" t="s">
        <v>24</v>
      </c>
      <c r="F51" s="20">
        <f t="shared" ref="F51:AJ51" si="33">(F16-F17)^2</f>
        <v>4731.6973777249832</v>
      </c>
      <c r="G51" s="20">
        <f t="shared" si="33"/>
        <v>7915.3370238260013</v>
      </c>
      <c r="H51" s="20">
        <f t="shared" si="33"/>
        <v>554.69048934689386</v>
      </c>
      <c r="I51" s="20">
        <f t="shared" si="33"/>
        <v>14.829208709375338</v>
      </c>
      <c r="J51" s="20">
        <f t="shared" si="33"/>
        <v>0.28876233461869311</v>
      </c>
      <c r="K51" s="20">
        <f t="shared" si="33"/>
        <v>2.7700689855408886E-3</v>
      </c>
      <c r="L51" s="20">
        <f t="shared" si="33"/>
        <v>2.6600839520051454E-4</v>
      </c>
      <c r="M51" s="20">
        <f t="shared" si="33"/>
        <v>4.2386855432947103E-3</v>
      </c>
      <c r="N51" s="20">
        <f t="shared" si="33"/>
        <v>3.2470937021916557E-2</v>
      </c>
      <c r="O51" s="20">
        <f t="shared" si="33"/>
        <v>0.13555816643992516</v>
      </c>
      <c r="P51" s="20">
        <f t="shared" si="33"/>
        <v>0.38682473244760063</v>
      </c>
      <c r="Q51" s="20">
        <f t="shared" si="33"/>
        <v>0.82558101782659321</v>
      </c>
      <c r="R51" s="20">
        <f t="shared" si="33"/>
        <v>1.2547307263186223</v>
      </c>
      <c r="S51" s="20">
        <f t="shared" si="33"/>
        <v>1.373613177185633</v>
      </c>
      <c r="T51" s="20">
        <f t="shared" si="33"/>
        <v>1.1090839332557936</v>
      </c>
      <c r="U51" s="20">
        <f t="shared" si="33"/>
        <v>0.66964157209025155</v>
      </c>
      <c r="V51" s="20">
        <f t="shared" si="33"/>
        <v>0.2974992592723697</v>
      </c>
      <c r="W51" s="20">
        <f t="shared" si="33"/>
        <v>8.9949191740322523E-2</v>
      </c>
      <c r="X51" s="20">
        <f t="shared" si="33"/>
        <v>2.1598214688133575E-2</v>
      </c>
      <c r="Y51" s="20">
        <f t="shared" si="33"/>
        <v>6.1228498477857293E-3</v>
      </c>
      <c r="Z51" s="20">
        <f t="shared" si="33"/>
        <v>2.4984598139449763E-3</v>
      </c>
      <c r="AA51" s="20">
        <f t="shared" si="33"/>
        <v>1.0625885850871651E-3</v>
      </c>
      <c r="AB51" s="20">
        <f t="shared" si="33"/>
        <v>5.3917944743462525E-4</v>
      </c>
      <c r="AC51" s="20">
        <f t="shared" si="33"/>
        <v>2.1277615447241367E-4</v>
      </c>
      <c r="AD51" s="20">
        <f t="shared" si="33"/>
        <v>4.7128544403318229E-4</v>
      </c>
      <c r="AE51" s="20">
        <f t="shared" si="33"/>
        <v>2.5081859013199978E-3</v>
      </c>
      <c r="AF51" s="20">
        <f t="shared" si="33"/>
        <v>2.6525217168709091E-3</v>
      </c>
      <c r="AG51" s="20">
        <f t="shared" si="33"/>
        <v>1.1369312939316901E-3</v>
      </c>
      <c r="AH51" s="20">
        <f t="shared" si="33"/>
        <v>1.1503122955192088E-3</v>
      </c>
      <c r="AI51" s="20">
        <f t="shared" si="33"/>
        <v>1.2986440566204339E-3</v>
      </c>
      <c r="AJ51" s="20">
        <f t="shared" si="33"/>
        <v>2.7073367330168556E-4</v>
      </c>
    </row>
    <row r="52" spans="1:36" x14ac:dyDescent="0.25">
      <c r="A52" s="13"/>
    </row>
    <row r="53" spans="1:36" x14ac:dyDescent="0.25">
      <c r="E53" s="118" t="s">
        <v>25</v>
      </c>
      <c r="F53" s="118"/>
      <c r="G53" s="104">
        <f>SUM(F51:AJ51)</f>
        <v>13223.066612101313</v>
      </c>
      <c r="I53" s="3">
        <f>G53+C123</f>
        <v>13223.066612101313</v>
      </c>
      <c r="K53" s="3">
        <f>SUM(Z51:AJ51)</f>
        <v>1.3801618382536287E-2</v>
      </c>
    </row>
    <row r="55" spans="1:36" x14ac:dyDescent="0.25">
      <c r="E55" s="30" t="s">
        <v>30</v>
      </c>
      <c r="F55" s="31">
        <f t="shared" ref="F55:AJ55" si="34">ABS(F17-F16)/F16</f>
        <v>6.8047567525668278E-3</v>
      </c>
      <c r="G55" s="31">
        <f t="shared" si="34"/>
        <v>9.0201152222338168E-3</v>
      </c>
      <c r="H55" s="31">
        <f t="shared" si="34"/>
        <v>2.4411760899079966E-3</v>
      </c>
      <c r="I55" s="31">
        <f t="shared" si="34"/>
        <v>4.0913104917253472E-4</v>
      </c>
      <c r="J55" s="31">
        <f t="shared" si="34"/>
        <v>5.8675133132228267E-5</v>
      </c>
      <c r="K55" s="31">
        <f t="shared" si="34"/>
        <v>5.9279232708823241E-6</v>
      </c>
      <c r="L55" s="31">
        <f t="shared" si="34"/>
        <v>1.8964972283343081E-6</v>
      </c>
      <c r="M55" s="31">
        <f t="shared" si="34"/>
        <v>7.811357211298747E-6</v>
      </c>
      <c r="N55" s="31">
        <f t="shared" si="34"/>
        <v>2.2450319876831939E-5</v>
      </c>
      <c r="O55" s="31">
        <f t="shared" si="34"/>
        <v>4.8056504634233294E-5</v>
      </c>
      <c r="P55" s="31">
        <f t="shared" si="34"/>
        <v>8.5380046704977002E-5</v>
      </c>
      <c r="Q55" s="31">
        <f t="shared" si="34"/>
        <v>1.3045700323734174E-4</v>
      </c>
      <c r="R55" s="31">
        <f t="shared" si="34"/>
        <v>1.6774368245057764E-4</v>
      </c>
      <c r="S55" s="31">
        <f t="shared" si="34"/>
        <v>1.8334885979223004E-4</v>
      </c>
      <c r="T55" s="31">
        <f t="shared" si="34"/>
        <v>1.7261467959837998E-4</v>
      </c>
      <c r="U55" s="31">
        <f t="shared" si="34"/>
        <v>1.4068622804579929E-4</v>
      </c>
      <c r="V55" s="31">
        <f t="shared" si="34"/>
        <v>9.9529625214042676E-5</v>
      </c>
      <c r="W55" s="31">
        <f t="shared" si="34"/>
        <v>5.9966819823248799E-5</v>
      </c>
      <c r="X55" s="31">
        <f t="shared" si="34"/>
        <v>3.3563338130376878E-5</v>
      </c>
      <c r="Y55" s="31">
        <f t="shared" si="34"/>
        <v>2.0890794502026118E-5</v>
      </c>
      <c r="Z55" s="31">
        <f t="shared" si="34"/>
        <v>1.5875616030200416E-5</v>
      </c>
      <c r="AA55" s="31">
        <f t="shared" si="34"/>
        <v>1.2697236799684262E-5</v>
      </c>
      <c r="AB55" s="31">
        <f t="shared" si="34"/>
        <v>1.1691563462462092E-5</v>
      </c>
      <c r="AC55" s="31">
        <f t="shared" si="34"/>
        <v>1.0032190868382334E-5</v>
      </c>
      <c r="AD55" s="31">
        <f t="shared" si="34"/>
        <v>2.0691497789366539E-5</v>
      </c>
      <c r="AE55" s="31">
        <f t="shared" si="34"/>
        <v>6.386951095449846E-5</v>
      </c>
      <c r="AF55" s="31">
        <f t="shared" si="34"/>
        <v>7.9403178797695845E-5</v>
      </c>
      <c r="AG55" s="31">
        <f t="shared" si="34"/>
        <v>5.8349935693010764E-5</v>
      </c>
      <c r="AH55" s="31">
        <f t="shared" si="34"/>
        <v>6.2561092909106826E-5</v>
      </c>
      <c r="AI55" s="31">
        <f t="shared" si="34"/>
        <v>6.9426273792345928E-5</v>
      </c>
      <c r="AJ55" s="31">
        <f t="shared" si="34"/>
        <v>3.2481383278640823E-5</v>
      </c>
    </row>
    <row r="56" spans="1:36" x14ac:dyDescent="0.25">
      <c r="E56" s="13" t="s">
        <v>31</v>
      </c>
      <c r="F56" s="32">
        <f>AVERAGE(F55:AJ55)</f>
        <v>6.564921744228832E-4</v>
      </c>
    </row>
    <row r="57" spans="1:36" x14ac:dyDescent="0.25">
      <c r="A57" s="42"/>
      <c r="B57" s="15"/>
      <c r="C57" s="15"/>
      <c r="D57" s="15"/>
      <c r="F57" s="60">
        <f>AVERAGE(S55:X55)</f>
        <v>1.1495159176734628E-4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-8.2045919832054164</v>
      </c>
    </row>
    <row r="119" spans="1:14" x14ac:dyDescent="0.25">
      <c r="L119" s="11">
        <f>L118+1</f>
        <v>2</v>
      </c>
      <c r="M119" s="11">
        <f t="shared" ref="M119:M124" si="35">INDEX($B$125:$K$126,1,L119)</f>
        <v>0</v>
      </c>
      <c r="N119" s="11">
        <f t="shared" ref="N119:N124" si="36">IF(L119=$B$3,0,INDEX($B$125:$K$126,2,L119))</f>
        <v>-4.7518616410624546</v>
      </c>
    </row>
    <row r="120" spans="1:14" x14ac:dyDescent="0.25">
      <c r="L120" s="11">
        <f t="shared" ref="L120:L124" si="37">L119+1</f>
        <v>3</v>
      </c>
      <c r="M120" s="11">
        <f t="shared" si="35"/>
        <v>25</v>
      </c>
      <c r="N120" s="11">
        <f t="shared" si="36"/>
        <v>-2.2155287311814971</v>
      </c>
    </row>
    <row r="121" spans="1:14" x14ac:dyDescent="0.25">
      <c r="A121" s="103">
        <f>(A165+A204+A243+A282+A321+A360+A399)*10^9</f>
        <v>3637613727217662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2.7772873604500741</v>
      </c>
    </row>
    <row r="123" spans="1:14" x14ac:dyDescent="0.25">
      <c r="A123" s="118"/>
      <c r="B123" s="118"/>
      <c r="C123" s="3"/>
      <c r="D123" s="3"/>
      <c r="E123" s="3"/>
      <c r="F123" s="3"/>
      <c r="G123" s="3"/>
      <c r="H123" s="3"/>
      <c r="I123" s="3"/>
      <c r="J123" s="3"/>
      <c r="K123" s="3"/>
      <c r="L123" s="11">
        <f t="shared" si="37"/>
        <v>6</v>
      </c>
      <c r="M123" s="11">
        <f t="shared" si="35"/>
        <v>125</v>
      </c>
      <c r="N123" s="11">
        <f t="shared" si="36"/>
        <v>8.42598447324273</v>
      </c>
    </row>
    <row r="124" spans="1:14" x14ac:dyDescent="0.25">
      <c r="B124" s="3"/>
      <c r="C124" s="3"/>
      <c r="D124" s="3"/>
      <c r="E124" s="3"/>
      <c r="F124" s="3"/>
      <c r="G124" s="3"/>
      <c r="H124" s="3"/>
      <c r="I124" s="3"/>
      <c r="J124" s="3"/>
      <c r="K124" s="3"/>
      <c r="L124" s="11">
        <f t="shared" si="37"/>
        <v>7</v>
      </c>
      <c r="M124" s="11">
        <f t="shared" si="35"/>
        <v>160</v>
      </c>
      <c r="N124" s="11">
        <f t="shared" si="36"/>
        <v>14.069604845309605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-8.2045919832054164</v>
      </c>
      <c r="C126" s="107">
        <v>-4.7518616410624546</v>
      </c>
      <c r="D126" s="107">
        <v>-2.2155287311814971</v>
      </c>
      <c r="E126" s="107">
        <v>6.3835669502850176E-3</v>
      </c>
      <c r="F126" s="107">
        <v>2.7772873604500741</v>
      </c>
      <c r="G126" s="107">
        <v>8.42598447324273</v>
      </c>
      <c r="H126" s="107">
        <v>14.069604845309605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10050.909708721581</v>
      </c>
      <c r="C131" s="27">
        <f t="shared" ref="C131:AF131" si="40">($C$17+SUM(C132:C162))*$B$51</f>
        <v>10050.882342045597</v>
      </c>
      <c r="D131" s="27">
        <f t="shared" si="40"/>
        <v>10050.608766399311</v>
      </c>
      <c r="E131" s="27">
        <f t="shared" si="40"/>
        <v>10047.882099189304</v>
      </c>
      <c r="F131" s="27">
        <f t="shared" si="40"/>
        <v>10021.503575501489</v>
      </c>
      <c r="G131" s="27">
        <f t="shared" si="40"/>
        <v>9828.9484006313905</v>
      </c>
      <c r="H131" s="27">
        <f t="shared" si="40"/>
        <v>9535.0030343311901</v>
      </c>
      <c r="I131" s="27">
        <f t="shared" si="40"/>
        <v>9320.2278819497515</v>
      </c>
      <c r="J131" s="27">
        <f t="shared" si="40"/>
        <v>9047.0046927811254</v>
      </c>
      <c r="K131" s="27">
        <f t="shared" si="40"/>
        <v>8763.9408131912842</v>
      </c>
      <c r="L131" s="27">
        <f t="shared" si="40"/>
        <v>8487.4301960284884</v>
      </c>
      <c r="M131" s="27">
        <f t="shared" si="40"/>
        <v>8211.3425712402441</v>
      </c>
      <c r="N131" s="27">
        <f t="shared" si="40"/>
        <v>7873.465737642151</v>
      </c>
      <c r="O131" s="27">
        <f t="shared" si="40"/>
        <v>7488.0583095825641</v>
      </c>
      <c r="P131" s="27">
        <f t="shared" si="40"/>
        <v>7122.8913340474292</v>
      </c>
      <c r="Q131" s="27">
        <f t="shared" si="40"/>
        <v>6828.7179739809872</v>
      </c>
      <c r="R131" s="27">
        <f t="shared" si="40"/>
        <v>6542.8120559275449</v>
      </c>
      <c r="S131" s="27">
        <f t="shared" si="40"/>
        <v>6251.3105684317798</v>
      </c>
      <c r="T131" s="27">
        <f t="shared" si="40"/>
        <v>5965.2355137905724</v>
      </c>
      <c r="U131" s="27">
        <f t="shared" si="40"/>
        <v>5672.2644844071556</v>
      </c>
      <c r="V131" s="27">
        <f t="shared" si="40"/>
        <v>5279.1350798595504</v>
      </c>
      <c r="W131" s="27">
        <f t="shared" si="40"/>
        <v>4719.0349405242077</v>
      </c>
      <c r="X131" s="27">
        <f t="shared" si="40"/>
        <v>4087.0527807972267</v>
      </c>
      <c r="Y131" s="27">
        <f t="shared" si="40"/>
        <v>3486.4455827842271</v>
      </c>
      <c r="Z131" s="27">
        <f t="shared" si="40"/>
        <v>2885.1377088530235</v>
      </c>
      <c r="AA131" s="27">
        <f t="shared" si="40"/>
        <v>2368.676144122483</v>
      </c>
      <c r="AB131" s="27">
        <f t="shared" si="40"/>
        <v>1705.0506429791519</v>
      </c>
      <c r="AC131" s="27">
        <f t="shared" si="40"/>
        <v>1253.8480625295917</v>
      </c>
      <c r="AD131" s="27">
        <f t="shared" si="40"/>
        <v>895.01779848357523</v>
      </c>
      <c r="AE131" s="27">
        <f t="shared" si="40"/>
        <v>708.33724892180192</v>
      </c>
      <c r="AF131" s="27">
        <f t="shared" si="40"/>
        <v>607.33082152821999</v>
      </c>
    </row>
    <row r="132" spans="1:33" x14ac:dyDescent="0.25">
      <c r="B132" s="3">
        <f t="shared" ref="B132:Z133" si="41">$C18*EXP(-B$129/$A18/EXP(-$B$126))</f>
        <v>8.9166544650951148E-14</v>
      </c>
      <c r="C132" s="3">
        <f t="shared" ref="C132:AF132" si="42">$C18*EXP(-C$129/$A18/EXP(-$B$126))</f>
        <v>1.2290108541096388E-120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3.8594917774348626E-2</v>
      </c>
      <c r="C133" s="3">
        <f t="shared" si="41"/>
        <v>3.8592485280060637E-2</v>
      </c>
      <c r="D133" s="3">
        <f t="shared" si="41"/>
        <v>3.8568168767695921E-2</v>
      </c>
      <c r="E133" s="3">
        <f t="shared" si="41"/>
        <v>3.8325844732841466E-2</v>
      </c>
      <c r="F133" s="3">
        <f t="shared" si="41"/>
        <v>3.5984784435936917E-2</v>
      </c>
      <c r="G133" s="3">
        <f t="shared" si="41"/>
        <v>1.9159783673511115E-2</v>
      </c>
      <c r="H133" s="3">
        <f t="shared" si="41"/>
        <v>3.5083875410540887E-5</v>
      </c>
      <c r="I133" s="3">
        <f t="shared" si="41"/>
        <v>1.4868842043788953E-32</v>
      </c>
      <c r="J133" s="3">
        <f t="shared" si="41"/>
        <v>2.7795406217406109E-306</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1.6587491256459537E-2</v>
      </c>
      <c r="C134" s="3">
        <f t="shared" si="44"/>
        <v>1.6587396945653046E-2</v>
      </c>
      <c r="D134" s="3">
        <f t="shared" si="44"/>
        <v>1.6586453867079669E-2</v>
      </c>
      <c r="E134" s="3">
        <f t="shared" si="44"/>
        <v>1.6577026029879857E-2</v>
      </c>
      <c r="F134" s="3">
        <f t="shared" si="44"/>
        <v>1.6483041891936955E-2</v>
      </c>
      <c r="G134" s="3">
        <f t="shared" si="44"/>
        <v>1.557201423900835E-2</v>
      </c>
      <c r="H134" s="3">
        <f t="shared" si="44"/>
        <v>8.8189948673573614E-3</v>
      </c>
      <c r="I134" s="3">
        <f t="shared" si="44"/>
        <v>2.993381475100039E-5</v>
      </c>
      <c r="J134" s="3">
        <f t="shared" si="44"/>
        <v>6.0756372298527941E-30</v>
      </c>
      <c r="K134" s="3">
        <f t="shared" si="44"/>
        <v>7.2092405199513907E-277</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2.5762251725792582E-2</v>
      </c>
      <c r="C135" s="3">
        <f t="shared" si="47"/>
        <v>2.5762238512462465E-2</v>
      </c>
      <c r="D135" s="3">
        <f t="shared" si="47"/>
        <v>2.5762106379534026E-2</v>
      </c>
      <c r="E135" s="3">
        <f t="shared" si="47"/>
        <v>2.5760785087522664E-2</v>
      </c>
      <c r="F135" s="3">
        <f t="shared" si="47"/>
        <v>2.574757589400339E-2</v>
      </c>
      <c r="G135" s="3">
        <f t="shared" si="47"/>
        <v>2.5615855912011751E-2</v>
      </c>
      <c r="H135" s="3">
        <f t="shared" si="47"/>
        <v>2.4335155131410446E-2</v>
      </c>
      <c r="I135" s="3">
        <f t="shared" si="47"/>
        <v>1.4570907238519625E-2</v>
      </c>
      <c r="J135" s="3">
        <f t="shared" si="47"/>
        <v>8.6300107375957827E-5</v>
      </c>
      <c r="K135" s="3">
        <f t="shared" si="47"/>
        <v>4.5841493977636666E-27</v>
      </c>
      <c r="L135" s="3">
        <f t="shared" si="47"/>
        <v>8.1984741365365182E-250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2.738335369551376E-2</v>
      </c>
      <c r="C136" s="3">
        <f t="shared" si="49"/>
        <v>2.7383352428556995E-2</v>
      </c>
      <c r="D136" s="3">
        <f t="shared" si="49"/>
        <v>2.7383339758992587E-2</v>
      </c>
      <c r="E136" s="3">
        <f t="shared" si="49"/>
        <v>2.7383213063670912E-2</v>
      </c>
      <c r="F136" s="3">
        <f t="shared" si="49"/>
        <v>2.7381946142693868E-2</v>
      </c>
      <c r="G136" s="3">
        <f t="shared" si="49"/>
        <v>2.7369280156344655E-2</v>
      </c>
      <c r="H136" s="3">
        <f t="shared" si="49"/>
        <v>2.7242942083840576E-2</v>
      </c>
      <c r="I136" s="3">
        <f t="shared" si="49"/>
        <v>2.6011196336593177E-2</v>
      </c>
      <c r="J136" s="3">
        <f t="shared" si="49"/>
        <v>1.6376591957959135E-2</v>
      </c>
      <c r="K136" s="3">
        <f t="shared" si="49"/>
        <v>1.602712182204873E-4</v>
      </c>
      <c r="L136" s="3">
        <f t="shared" si="49"/>
        <v>1.2917415702833096E-24</v>
      </c>
      <c r="M136" s="3">
        <f t="shared" si="49"/>
        <v>1.494089510857318E-225</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2.7544953816979516E-2</v>
      </c>
      <c r="C137" s="3">
        <f t="shared" si="51"/>
        <v>2.7544953702015002E-2</v>
      </c>
      <c r="D137" s="3">
        <f t="shared" si="51"/>
        <v>2.754495255236989E-2</v>
      </c>
      <c r="E137" s="3">
        <f t="shared" si="51"/>
        <v>2.7544941055921417E-2</v>
      </c>
      <c r="F137" s="3">
        <f t="shared" si="51"/>
        <v>2.754482609170059E-2</v>
      </c>
      <c r="G137" s="3">
        <f t="shared" si="51"/>
        <v>2.7543676475882423E-2</v>
      </c>
      <c r="H137" s="3">
        <f t="shared" si="51"/>
        <v>2.7532182956301852E-2</v>
      </c>
      <c r="I137" s="3">
        <f t="shared" si="51"/>
        <v>2.7417511213589853E-2</v>
      </c>
      <c r="J137" s="3">
        <f t="shared" si="51"/>
        <v>2.6296736754975736E-2</v>
      </c>
      <c r="K137" s="3">
        <f t="shared" si="51"/>
        <v>1.7323679876119148E-2</v>
      </c>
      <c r="L137" s="3">
        <f t="shared" si="51"/>
        <v>2.6670002680962953E-4</v>
      </c>
      <c r="M137" s="3">
        <f t="shared" si="51"/>
        <v>1.9945831905045915E-22</v>
      </c>
      <c r="N137" s="3">
        <f t="shared" si="51"/>
        <v>1.0918000451176598E-203</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2.4311481959890902E-2</v>
      </c>
      <c r="C138" s="3">
        <f t="shared" si="53"/>
        <v>2.4311481950737557E-2</v>
      </c>
      <c r="D138" s="3">
        <f t="shared" si="53"/>
        <v>2.4311481859204117E-2</v>
      </c>
      <c r="E138" s="3">
        <f t="shared" si="53"/>
        <v>2.4311480943869743E-2</v>
      </c>
      <c r="F138" s="3">
        <f t="shared" si="53"/>
        <v>2.431147179052787E-2</v>
      </c>
      <c r="G138" s="3">
        <f t="shared" si="53"/>
        <v>2.4311380257298714E-2</v>
      </c>
      <c r="H138" s="3">
        <f t="shared" si="53"/>
        <v>2.4310464943961291E-2</v>
      </c>
      <c r="I138" s="3">
        <f t="shared" si="53"/>
        <v>2.4301313705737113E-2</v>
      </c>
      <c r="J138" s="3">
        <f t="shared" si="53"/>
        <v>2.4209990574760636E-2</v>
      </c>
      <c r="K138" s="3">
        <f t="shared" si="53"/>
        <v>2.3315423387024484E-2</v>
      </c>
      <c r="L138" s="3">
        <f t="shared" si="53"/>
        <v>1.6000375142293344E-2</v>
      </c>
      <c r="M138" s="3">
        <f t="shared" si="53"/>
        <v>3.7067965859915531E-4</v>
      </c>
      <c r="N138" s="3">
        <f t="shared" si="53"/>
        <v>1.6507626962699492E-20</v>
      </c>
      <c r="O138" s="3">
        <f t="shared" si="53"/>
        <v>5.0645815020894079E-184</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3.0651614451748802E-2</v>
      </c>
      <c r="C139" s="3">
        <f t="shared" si="55"/>
        <v>3.065161445070776E-2</v>
      </c>
      <c r="D139" s="3">
        <f t="shared" si="55"/>
        <v>3.0651614440297341E-2</v>
      </c>
      <c r="E139" s="3">
        <f t="shared" si="55"/>
        <v>3.065161433619313E-2</v>
      </c>
      <c r="F139" s="3">
        <f t="shared" si="55"/>
        <v>3.0651613295151044E-2</v>
      </c>
      <c r="G139" s="3">
        <f t="shared" si="55"/>
        <v>3.0651602884732149E-2</v>
      </c>
      <c r="H139" s="3">
        <f t="shared" si="55"/>
        <v>3.0651498780737654E-2</v>
      </c>
      <c r="I139" s="3">
        <f t="shared" si="55"/>
        <v>3.0650457760239128E-2</v>
      </c>
      <c r="J139" s="3">
        <f t="shared" si="55"/>
        <v>3.0640049499652409E-2</v>
      </c>
      <c r="K139" s="3">
        <f t="shared" si="55"/>
        <v>3.0536161089517396E-2</v>
      </c>
      <c r="L139" s="3">
        <f t="shared" si="55"/>
        <v>2.9516454725174491E-2</v>
      </c>
      <c r="M139" s="3">
        <f t="shared" si="55"/>
        <v>2.1016565040322163E-2</v>
      </c>
      <c r="N139" s="3">
        <f t="shared" si="55"/>
        <v>7.0394247984123753E-4</v>
      </c>
      <c r="O139" s="3">
        <f t="shared" si="55"/>
        <v>1.2510986339429349E-18</v>
      </c>
      <c r="P139" s="3">
        <f t="shared" si="55"/>
        <v>3.9340086563433014E-166</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3.761253188688464E-2</v>
      </c>
      <c r="C140" s="3">
        <f t="shared" si="57"/>
        <v>3.7612531886769399E-2</v>
      </c>
      <c r="D140" s="3">
        <f t="shared" si="57"/>
        <v>3.7612531885617022E-2</v>
      </c>
      <c r="E140" s="3">
        <f t="shared" si="57"/>
        <v>3.7612531874093268E-2</v>
      </c>
      <c r="F140" s="3">
        <f t="shared" si="57"/>
        <v>3.7612531758855691E-2</v>
      </c>
      <c r="G140" s="3">
        <f t="shared" si="57"/>
        <v>3.7612530606479996E-2</v>
      </c>
      <c r="H140" s="3">
        <f t="shared" si="57"/>
        <v>3.7612519082724907E-2</v>
      </c>
      <c r="I140" s="3">
        <f t="shared" si="57"/>
        <v>3.7612403845368257E-2</v>
      </c>
      <c r="J140" s="3">
        <f t="shared" si="57"/>
        <v>3.7611251491220118E-2</v>
      </c>
      <c r="K140" s="3">
        <f t="shared" si="57"/>
        <v>3.7599729891355994E-2</v>
      </c>
      <c r="L140" s="3">
        <f t="shared" si="57"/>
        <v>3.7484707834516386E-2</v>
      </c>
      <c r="M140" s="3">
        <f t="shared" si="57"/>
        <v>3.6353663382257116E-2</v>
      </c>
      <c r="N140" s="3">
        <f t="shared" si="57"/>
        <v>2.67601593358247E-2</v>
      </c>
      <c r="O140" s="3">
        <f t="shared" si="57"/>
        <v>1.2499534209634443E-3</v>
      </c>
      <c r="P140" s="3">
        <f t="shared" si="57"/>
        <v>6.1793838648536526E-17</v>
      </c>
      <c r="Q140" s="3">
        <f t="shared" si="57"/>
        <v>5.3883850801059694E-150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3.7657090461253165E-2</v>
      </c>
      <c r="C141" s="3">
        <f t="shared" si="59"/>
        <v>3.7657090461242756E-2</v>
      </c>
      <c r="D141" s="3">
        <f t="shared" si="59"/>
        <v>3.765709046113868E-2</v>
      </c>
      <c r="E141" s="3">
        <f t="shared" si="59"/>
        <v>3.7657090460097915E-2</v>
      </c>
      <c r="F141" s="3">
        <f t="shared" si="59"/>
        <v>3.7657090449690213E-2</v>
      </c>
      <c r="G141" s="3">
        <f t="shared" si="59"/>
        <v>3.7657090345613181E-2</v>
      </c>
      <c r="H141" s="3">
        <f t="shared" si="59"/>
        <v>3.7657089304842913E-2</v>
      </c>
      <c r="I141" s="3">
        <f t="shared" si="59"/>
        <v>3.7657078897141816E-2</v>
      </c>
      <c r="J141" s="3">
        <f t="shared" si="59"/>
        <v>3.765697482028902E-2</v>
      </c>
      <c r="K141" s="3">
        <f t="shared" si="59"/>
        <v>3.7655934067581644E-2</v>
      </c>
      <c r="L141" s="3">
        <f t="shared" si="59"/>
        <v>3.7645528122398103E-2</v>
      </c>
      <c r="M141" s="3">
        <f t="shared" si="59"/>
        <v>3.7541626697942615E-2</v>
      </c>
      <c r="N141" s="3">
        <f t="shared" si="59"/>
        <v>3.6518254778793106E-2</v>
      </c>
      <c r="O141" s="3">
        <f t="shared" si="59"/>
        <v>2.7699969311211575E-2</v>
      </c>
      <c r="P141" s="3">
        <f t="shared" si="59"/>
        <v>1.7465138114923417E-3</v>
      </c>
      <c r="Q141" s="3">
        <f t="shared" si="59"/>
        <v>1.7342008283702681E-15</v>
      </c>
      <c r="R141" s="3">
        <f t="shared" si="59"/>
        <v>1.6157458110700342E-135</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2.812084459755455E-2</v>
      </c>
      <c r="C142" s="3">
        <f t="shared" si="61"/>
        <v>2.8120844597553846E-2</v>
      </c>
      <c r="D142" s="3">
        <f t="shared" si="61"/>
        <v>2.8120844597546837E-2</v>
      </c>
      <c r="E142" s="3">
        <f t="shared" si="61"/>
        <v>2.8120844597476727E-2</v>
      </c>
      <c r="F142" s="3">
        <f t="shared" si="61"/>
        <v>2.8120844596775621E-2</v>
      </c>
      <c r="G142" s="3">
        <f t="shared" si="61"/>
        <v>2.812084458976457E-2</v>
      </c>
      <c r="H142" s="3">
        <f t="shared" si="61"/>
        <v>2.8120844519654069E-2</v>
      </c>
      <c r="I142" s="3">
        <f t="shared" si="61"/>
        <v>2.8120843818549065E-2</v>
      </c>
      <c r="J142" s="3">
        <f t="shared" si="61"/>
        <v>2.8120836807499973E-2</v>
      </c>
      <c r="K142" s="3">
        <f t="shared" si="61"/>
        <v>2.8120766697105202E-2</v>
      </c>
      <c r="L142" s="3">
        <f t="shared" si="61"/>
        <v>2.8120065602771305E-2</v>
      </c>
      <c r="M142" s="3">
        <f t="shared" si="61"/>
        <v>2.811305562072574E-2</v>
      </c>
      <c r="N142" s="3">
        <f t="shared" si="61"/>
        <v>2.8043051840992733E-2</v>
      </c>
      <c r="O142" s="3">
        <f t="shared" si="61"/>
        <v>2.7352530108121362E-2</v>
      </c>
      <c r="P142" s="3">
        <f t="shared" si="61"/>
        <v>2.1316691694069797E-2</v>
      </c>
      <c r="Q142" s="3">
        <f t="shared" si="61"/>
        <v>1.7617439808263499E-3</v>
      </c>
      <c r="R142" s="3">
        <f t="shared" si="61"/>
        <v>2.6192244736988886E-14</v>
      </c>
      <c r="S142" s="3">
        <f t="shared" si="61"/>
        <v>1.3818851735757558E-122</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2.7436977184880747E-2</v>
      </c>
      <c r="C143" s="3">
        <f t="shared" si="63"/>
        <v>2.7436977184880685E-2</v>
      </c>
      <c r="D143" s="3">
        <f t="shared" si="63"/>
        <v>2.7436977184880067E-2</v>
      </c>
      <c r="E143" s="3">
        <f t="shared" si="63"/>
        <v>2.7436977184873899E-2</v>
      </c>
      <c r="F143" s="3">
        <f t="shared" si="63"/>
        <v>2.7436977184812188E-2</v>
      </c>
      <c r="G143" s="3">
        <f t="shared" si="63"/>
        <v>2.7436977184195115E-2</v>
      </c>
      <c r="H143" s="3">
        <f t="shared" si="63"/>
        <v>2.7436977178024374E-2</v>
      </c>
      <c r="I143" s="3">
        <f t="shared" si="63"/>
        <v>2.7436977116316926E-2</v>
      </c>
      <c r="J143" s="3">
        <f t="shared" si="63"/>
        <v>2.7436976499242482E-2</v>
      </c>
      <c r="K143" s="3">
        <f t="shared" si="63"/>
        <v>2.7436970328498803E-2</v>
      </c>
      <c r="L143" s="3">
        <f t="shared" si="63"/>
        <v>2.7436908621138317E-2</v>
      </c>
      <c r="M143" s="3">
        <f t="shared" si="63"/>
        <v>2.7436291555166543E-2</v>
      </c>
      <c r="N143" s="3">
        <f t="shared" si="63"/>
        <v>2.7430121658689292E-2</v>
      </c>
      <c r="O143" s="3">
        <f t="shared" si="63"/>
        <v>2.7368498954491519E-2</v>
      </c>
      <c r="P143" s="3">
        <f t="shared" si="63"/>
        <v>2.6759834889511197E-2</v>
      </c>
      <c r="Q143" s="3">
        <f t="shared" si="63"/>
        <v>2.1370167960293684E-2</v>
      </c>
      <c r="R143" s="3">
        <f t="shared" si="63"/>
        <v>2.2545143103147396E-3</v>
      </c>
      <c r="S143" s="3">
        <f t="shared" si="63"/>
        <v>3.8503800972340667E-13</v>
      </c>
      <c r="T143" s="3">
        <f t="shared" si="63"/>
        <v>8.1284863121914811E-111</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2.8525679875278043E-2</v>
      </c>
      <c r="C144" s="3">
        <f t="shared" si="65"/>
        <v>2.8525679875278036E-2</v>
      </c>
      <c r="D144" s="3">
        <f t="shared" si="65"/>
        <v>2.852567987527798E-2</v>
      </c>
      <c r="E144" s="3">
        <f t="shared" si="65"/>
        <v>2.8525679875277401E-2</v>
      </c>
      <c r="F144" s="3">
        <f t="shared" si="65"/>
        <v>2.8525679875271614E-2</v>
      </c>
      <c r="G144" s="3">
        <f t="shared" si="65"/>
        <v>2.8525679875213737E-2</v>
      </c>
      <c r="H144" s="3">
        <f t="shared" si="65"/>
        <v>2.8525679874634998E-2</v>
      </c>
      <c r="I144" s="3">
        <f t="shared" si="65"/>
        <v>2.8525679868847593E-2</v>
      </c>
      <c r="J144" s="3">
        <f t="shared" si="65"/>
        <v>2.8525679810973537E-2</v>
      </c>
      <c r="K144" s="3">
        <f t="shared" si="65"/>
        <v>2.8525679232233016E-2</v>
      </c>
      <c r="L144" s="3">
        <f t="shared" si="65"/>
        <v>2.8525673444828405E-2</v>
      </c>
      <c r="M144" s="3">
        <f t="shared" si="65"/>
        <v>2.8525615570846881E-2</v>
      </c>
      <c r="N144" s="3">
        <f t="shared" si="65"/>
        <v>2.8525036837489526E-2</v>
      </c>
      <c r="O144" s="3">
        <f t="shared" si="65"/>
        <v>2.8519250149656859E-2</v>
      </c>
      <c r="P144" s="3">
        <f t="shared" si="65"/>
        <v>2.8461447796967691E-2</v>
      </c>
      <c r="Q144" s="3">
        <f t="shared" si="65"/>
        <v>2.7889828658049457E-2</v>
      </c>
      <c r="R144" s="3">
        <f t="shared" si="65"/>
        <v>2.2768500252276575E-2</v>
      </c>
      <c r="S144" s="3">
        <f t="shared" si="65"/>
        <v>2.9937822658693855E-3</v>
      </c>
      <c r="T144" s="3">
        <f t="shared" si="65"/>
        <v>4.624641558534558E-12</v>
      </c>
      <c r="U144" s="3">
        <f t="shared" si="65"/>
        <v>3.578135138034438E-100</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2.7750514458376237E-2</v>
      </c>
      <c r="C145" s="3">
        <f t="shared" si="68"/>
        <v>2.7750514458376237E-2</v>
      </c>
      <c r="D145" s="3">
        <f t="shared" si="68"/>
        <v>2.775051445837623E-2</v>
      </c>
      <c r="E145" s="3">
        <f t="shared" si="68"/>
        <v>2.7750514458376181E-2</v>
      </c>
      <c r="F145" s="3">
        <f t="shared" si="68"/>
        <v>2.7750514458375671E-2</v>
      </c>
      <c r="G145" s="3">
        <f t="shared" si="68"/>
        <v>2.7750514458370592E-2</v>
      </c>
      <c r="H145" s="3">
        <f t="shared" si="68"/>
        <v>2.7750514458319806E-2</v>
      </c>
      <c r="I145" s="3">
        <f t="shared" si="68"/>
        <v>2.7750514457811917E-2</v>
      </c>
      <c r="J145" s="3">
        <f t="shared" si="68"/>
        <v>2.7750514452733067E-2</v>
      </c>
      <c r="K145" s="3">
        <f t="shared" si="68"/>
        <v>2.7750514401944551E-2</v>
      </c>
      <c r="L145" s="3">
        <f t="shared" si="68"/>
        <v>2.7750513894059393E-2</v>
      </c>
      <c r="M145" s="3">
        <f t="shared" si="68"/>
        <v>2.7750508815208338E-2</v>
      </c>
      <c r="N145" s="3">
        <f t="shared" si="68"/>
        <v>2.7750458026748897E-2</v>
      </c>
      <c r="O145" s="3">
        <f t="shared" si="68"/>
        <v>2.7749950147266809E-2</v>
      </c>
      <c r="P145" s="3">
        <f t="shared" si="68"/>
        <v>2.7744871863644955E-2</v>
      </c>
      <c r="Q145" s="3">
        <f t="shared" si="68"/>
        <v>2.769414011273013E-2</v>
      </c>
      <c r="R145" s="3">
        <f t="shared" si="68"/>
        <v>2.7191896709334806E-2</v>
      </c>
      <c r="S145" s="3">
        <f t="shared" si="68"/>
        <v>2.2644131572425431E-2</v>
      </c>
      <c r="T145" s="3">
        <f t="shared" si="68"/>
        <v>3.6317617270009445E-3</v>
      </c>
      <c r="U145" s="3">
        <f t="shared" si="68"/>
        <v>4.0901018840861639E-11</v>
      </c>
      <c r="V145" s="3">
        <f t="shared" si="68"/>
        <v>1.3424617323096172E-90</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2.6288987576301423E-2</v>
      </c>
      <c r="C146" s="3">
        <f t="shared" si="70"/>
        <v>2.6288987576301423E-2</v>
      </c>
      <c r="D146" s="3">
        <f t="shared" si="70"/>
        <v>2.6288987576301423E-2</v>
      </c>
      <c r="E146" s="3">
        <f t="shared" si="70"/>
        <v>2.6288987576301416E-2</v>
      </c>
      <c r="F146" s="3">
        <f t="shared" si="70"/>
        <v>2.6288987576301374E-2</v>
      </c>
      <c r="G146" s="3">
        <f t="shared" si="70"/>
        <v>2.6288987576300941E-2</v>
      </c>
      <c r="H146" s="3">
        <f t="shared" si="70"/>
        <v>2.62889875762966E-2</v>
      </c>
      <c r="I146" s="3">
        <f t="shared" si="70"/>
        <v>2.6288987576253198E-2</v>
      </c>
      <c r="J146" s="3">
        <f t="shared" si="70"/>
        <v>2.6288987575819173E-2</v>
      </c>
      <c r="K146" s="3">
        <f t="shared" si="70"/>
        <v>2.628898757147892E-2</v>
      </c>
      <c r="L146" s="3">
        <f t="shared" si="70"/>
        <v>2.6288987528076402E-2</v>
      </c>
      <c r="M146" s="3">
        <f t="shared" si="70"/>
        <v>2.6288987094051211E-2</v>
      </c>
      <c r="N146" s="3">
        <f t="shared" si="70"/>
        <v>2.6288982753799723E-2</v>
      </c>
      <c r="O146" s="3">
        <f t="shared" si="70"/>
        <v>2.6288939351324231E-2</v>
      </c>
      <c r="P146" s="3">
        <f t="shared" si="70"/>
        <v>2.628850533051039E-2</v>
      </c>
      <c r="Q146" s="3">
        <f t="shared" si="70"/>
        <v>2.62841655164564E-2</v>
      </c>
      <c r="R146" s="3">
        <f t="shared" si="70"/>
        <v>2.6240806760292692E-2</v>
      </c>
      <c r="S146" s="3">
        <f t="shared" si="70"/>
        <v>2.5811133683752374E-2</v>
      </c>
      <c r="T146" s="3">
        <f t="shared" si="70"/>
        <v>2.1882959223347018E-2</v>
      </c>
      <c r="U146" s="3">
        <f t="shared" si="70"/>
        <v>4.1985154953558717E-3</v>
      </c>
      <c r="V146" s="3">
        <f t="shared" si="70"/>
        <v>2.8378723269618396E-10</v>
      </c>
      <c r="W146" s="3">
        <f t="shared" si="70"/>
        <v>5.6488986163900802E-82</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3.6959544904792516E-2</v>
      </c>
      <c r="C147" s="3">
        <f t="shared" si="72"/>
        <v>3.6959544904792516E-2</v>
      </c>
      <c r="D147" s="3">
        <f t="shared" si="72"/>
        <v>3.6959544904792516E-2</v>
      </c>
      <c r="E147" s="3">
        <f t="shared" si="72"/>
        <v>3.6959544904792516E-2</v>
      </c>
      <c r="F147" s="3">
        <f t="shared" si="72"/>
        <v>3.6959544904792509E-2</v>
      </c>
      <c r="G147" s="3">
        <f t="shared" si="72"/>
        <v>3.6959544904792453E-2</v>
      </c>
      <c r="H147" s="3">
        <f t="shared" si="72"/>
        <v>3.6959544904791905E-2</v>
      </c>
      <c r="I147" s="3">
        <f t="shared" si="72"/>
        <v>3.6959544904786396E-2</v>
      </c>
      <c r="J147" s="3">
        <f t="shared" si="72"/>
        <v>3.6959544904731356E-2</v>
      </c>
      <c r="K147" s="3">
        <f t="shared" si="72"/>
        <v>3.6959544904180908E-2</v>
      </c>
      <c r="L147" s="3">
        <f t="shared" si="72"/>
        <v>3.6959544898676457E-2</v>
      </c>
      <c r="M147" s="3">
        <f t="shared" si="72"/>
        <v>3.6959544843631911E-2</v>
      </c>
      <c r="N147" s="3">
        <f t="shared" si="72"/>
        <v>3.6959544293186465E-2</v>
      </c>
      <c r="O147" s="3">
        <f t="shared" si="72"/>
        <v>3.6959538788732503E-2</v>
      </c>
      <c r="P147" s="3">
        <f t="shared" si="72"/>
        <v>3.695948374423795E-2</v>
      </c>
      <c r="Q147" s="3">
        <f t="shared" si="72"/>
        <v>3.695893330380124E-2</v>
      </c>
      <c r="R147" s="3">
        <f t="shared" si="72"/>
        <v>3.6953429350290355E-2</v>
      </c>
      <c r="S147" s="3">
        <f t="shared" si="72"/>
        <v>3.6898434875967501E-2</v>
      </c>
      <c r="T147" s="3">
        <f t="shared" si="72"/>
        <v>3.6352971479297953E-2</v>
      </c>
      <c r="U147" s="3">
        <f t="shared" si="72"/>
        <v>3.1322731128390603E-2</v>
      </c>
      <c r="V147" s="3">
        <f t="shared" si="72"/>
        <v>7.064097597275081E-3</v>
      </c>
      <c r="W147" s="3">
        <f t="shared" si="72"/>
        <v>2.4045143504304207E-9</v>
      </c>
      <c r="X147" s="3">
        <f t="shared" si="72"/>
        <v>5.0203523477156555E-74</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5.8251521271899753E-2</v>
      </c>
      <c r="C148" s="3">
        <f t="shared" si="74"/>
        <v>5.8251521271899753E-2</v>
      </c>
      <c r="D148" s="3">
        <f t="shared" si="74"/>
        <v>5.8251521271899753E-2</v>
      </c>
      <c r="E148" s="3">
        <f t="shared" si="74"/>
        <v>5.8251521271899753E-2</v>
      </c>
      <c r="F148" s="3">
        <f t="shared" si="74"/>
        <v>5.8251521271899753E-2</v>
      </c>
      <c r="G148" s="3">
        <f t="shared" si="74"/>
        <v>5.8251521271899746E-2</v>
      </c>
      <c r="H148" s="3">
        <f t="shared" si="74"/>
        <v>5.825152127189967E-2</v>
      </c>
      <c r="I148" s="3">
        <f t="shared" si="74"/>
        <v>5.8251521271898886E-2</v>
      </c>
      <c r="J148" s="3">
        <f t="shared" si="74"/>
        <v>5.8251521271891052E-2</v>
      </c>
      <c r="K148" s="3">
        <f t="shared" si="74"/>
        <v>5.8251521271812795E-2</v>
      </c>
      <c r="L148" s="3">
        <f t="shared" si="74"/>
        <v>5.8251521271030199E-2</v>
      </c>
      <c r="M148" s="3">
        <f t="shared" si="74"/>
        <v>5.8251521263204167E-2</v>
      </c>
      <c r="N148" s="3">
        <f t="shared" si="74"/>
        <v>5.8251521184943859E-2</v>
      </c>
      <c r="O148" s="3">
        <f t="shared" si="74"/>
        <v>5.8251520402340821E-2</v>
      </c>
      <c r="P148" s="3">
        <f t="shared" si="74"/>
        <v>5.825151257631106E-2</v>
      </c>
      <c r="Q148" s="3">
        <f t="shared" si="74"/>
        <v>5.8251434316071223E-2</v>
      </c>
      <c r="R148" s="3">
        <f t="shared" si="74"/>
        <v>5.8250651719455621E-2</v>
      </c>
      <c r="S148" s="3">
        <f t="shared" si="74"/>
        <v>5.8242826331548057E-2</v>
      </c>
      <c r="T148" s="3">
        <f t="shared" si="74"/>
        <v>5.8164630248585626E-2</v>
      </c>
      <c r="U148" s="3">
        <f t="shared" si="74"/>
        <v>5.7388420403304378E-2</v>
      </c>
      <c r="V148" s="3">
        <f t="shared" si="74"/>
        <v>5.0173831361304037E-2</v>
      </c>
      <c r="W148" s="3">
        <f t="shared" si="74"/>
        <v>1.309203665349014E-2</v>
      </c>
      <c r="X148" s="3">
        <f t="shared" si="74"/>
        <v>1.9156081670815759E-8</v>
      </c>
      <c r="Y148" s="3">
        <f t="shared" si="74"/>
        <v>8.615913979811468E-67</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6.389288103223241E-2</v>
      </c>
      <c r="C149" s="3">
        <f t="shared" si="75"/>
        <v>6.389288103223241E-2</v>
      </c>
      <c r="D149" s="3">
        <f t="shared" si="75"/>
        <v>6.389288103223241E-2</v>
      </c>
      <c r="E149" s="3">
        <f t="shared" si="75"/>
        <v>6.389288103223241E-2</v>
      </c>
      <c r="F149" s="3">
        <f t="shared" si="75"/>
        <v>6.389288103223241E-2</v>
      </c>
      <c r="G149" s="3">
        <f t="shared" si="75"/>
        <v>6.389288103223241E-2</v>
      </c>
      <c r="H149" s="3">
        <f t="shared" si="75"/>
        <v>6.3892881032232396E-2</v>
      </c>
      <c r="I149" s="3">
        <f t="shared" si="75"/>
        <v>6.3892881032232327E-2</v>
      </c>
      <c r="J149" s="3">
        <f t="shared" si="75"/>
        <v>6.3892881032231549E-2</v>
      </c>
      <c r="K149" s="3">
        <f t="shared" si="75"/>
        <v>6.3892881032223806E-2</v>
      </c>
      <c r="L149" s="3">
        <f t="shared" si="75"/>
        <v>6.3892881032146367E-2</v>
      </c>
      <c r="M149" s="3">
        <f t="shared" si="75"/>
        <v>6.3892881031372029E-2</v>
      </c>
      <c r="N149" s="3">
        <f t="shared" si="75"/>
        <v>6.3892881023628598E-2</v>
      </c>
      <c r="O149" s="3">
        <f t="shared" si="75"/>
        <v>6.3892880946194303E-2</v>
      </c>
      <c r="P149" s="3">
        <f t="shared" si="75"/>
        <v>6.3892880171851407E-2</v>
      </c>
      <c r="Q149" s="3">
        <f t="shared" si="75"/>
        <v>6.3892872428422967E-2</v>
      </c>
      <c r="R149" s="3">
        <f t="shared" si="75"/>
        <v>6.389279499419008E-2</v>
      </c>
      <c r="S149" s="3">
        <f t="shared" si="75"/>
        <v>6.3892020657022777E-2</v>
      </c>
      <c r="T149" s="3">
        <f t="shared" si="75"/>
        <v>6.3884277801475112E-2</v>
      </c>
      <c r="U149" s="3">
        <f t="shared" si="75"/>
        <v>6.3806900835400956E-2</v>
      </c>
      <c r="V149" s="3">
        <f t="shared" si="75"/>
        <v>6.3038267056118938E-2</v>
      </c>
      <c r="W149" s="3">
        <f t="shared" si="75"/>
        <v>5.58432149278522E-2</v>
      </c>
      <c r="X149" s="3">
        <f t="shared" si="75"/>
        <v>1.6620033118563454E-2</v>
      </c>
      <c r="Y149" s="3">
        <f t="shared" si="75"/>
        <v>9.0624704644379075E-8</v>
      </c>
      <c r="Z149" s="3">
        <f t="shared" si="75"/>
        <v>2.1056869094256001E-60</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5.5851877003500798E-2</v>
      </c>
      <c r="C150" s="3">
        <f t="shared" si="77"/>
        <v>5.5851877003500798E-2</v>
      </c>
      <c r="D150" s="3">
        <f t="shared" si="77"/>
        <v>5.5851877003500798E-2</v>
      </c>
      <c r="E150" s="3">
        <f t="shared" si="77"/>
        <v>5.5851877003500798E-2</v>
      </c>
      <c r="F150" s="3">
        <f t="shared" si="77"/>
        <v>5.5851877003500798E-2</v>
      </c>
      <c r="G150" s="3">
        <f t="shared" si="77"/>
        <v>5.5851877003500798E-2</v>
      </c>
      <c r="H150" s="3">
        <f t="shared" si="77"/>
        <v>5.5851877003500798E-2</v>
      </c>
      <c r="I150" s="3">
        <f t="shared" si="77"/>
        <v>5.5851877003500791E-2</v>
      </c>
      <c r="J150" s="3">
        <f t="shared" si="77"/>
        <v>5.5851877003500729E-2</v>
      </c>
      <c r="K150" s="3">
        <f t="shared" si="77"/>
        <v>5.5851877003500125E-2</v>
      </c>
      <c r="L150" s="3">
        <f t="shared" si="77"/>
        <v>5.5851877003494012E-2</v>
      </c>
      <c r="M150" s="3">
        <f t="shared" si="77"/>
        <v>5.5851877003432956E-2</v>
      </c>
      <c r="N150" s="3">
        <f t="shared" si="77"/>
        <v>5.5851877002822341E-2</v>
      </c>
      <c r="O150" s="3">
        <f t="shared" si="77"/>
        <v>5.5851876996716218E-2</v>
      </c>
      <c r="P150" s="3">
        <f t="shared" si="77"/>
        <v>5.5851876935655034E-2</v>
      </c>
      <c r="Q150" s="3">
        <f t="shared" si="77"/>
        <v>5.5851876325043216E-2</v>
      </c>
      <c r="R150" s="3">
        <f t="shared" si="77"/>
        <v>5.585187021892532E-2</v>
      </c>
      <c r="S150" s="3">
        <f t="shared" si="77"/>
        <v>5.5851809157783101E-2</v>
      </c>
      <c r="T150" s="3">
        <f t="shared" si="77"/>
        <v>5.5851198550032469E-2</v>
      </c>
      <c r="U150" s="3">
        <f t="shared" si="77"/>
        <v>5.5845092839669687E-2</v>
      </c>
      <c r="V150" s="3">
        <f t="shared" si="77"/>
        <v>5.5784072435543314E-2</v>
      </c>
      <c r="W150" s="3">
        <f t="shared" si="77"/>
        <v>5.517752354242942E-2</v>
      </c>
      <c r="X150" s="3">
        <f t="shared" si="77"/>
        <v>4.9463186487918122E-2</v>
      </c>
      <c r="Y150" s="3">
        <f t="shared" si="77"/>
        <v>1.6576046307178207E-2</v>
      </c>
      <c r="Z150" s="3">
        <f t="shared" si="77"/>
        <v>2.9612123819246163E-7</v>
      </c>
      <c r="AA150" s="3">
        <f t="shared" ref="AA150" si="78">$C36*EXP(-AA$129/$A36/EXP(-$B$126))</f>
        <v>9.8029234220257729E-55</v>
      </c>
      <c r="AB150" s="3">
        <f t="shared" si="67"/>
        <v>0</v>
      </c>
      <c r="AC150" s="3">
        <f t="shared" si="67"/>
        <v>0</v>
      </c>
      <c r="AD150" s="3">
        <f t="shared" si="67"/>
        <v>0</v>
      </c>
      <c r="AE150" s="3">
        <f t="shared" si="67"/>
        <v>0</v>
      </c>
      <c r="AF150" s="3">
        <f t="shared" si="67"/>
        <v>0</v>
      </c>
    </row>
    <row r="151" spans="1:32" x14ac:dyDescent="0.25">
      <c r="B151" s="3">
        <f t="shared" ref="B151:Z151" si="79">$C37*EXP(-B$129/$A37/EXP(-$B$126))</f>
        <v>6.3492649829387265E-2</v>
      </c>
      <c r="C151" s="3">
        <f t="shared" si="79"/>
        <v>6.3492649829387265E-2</v>
      </c>
      <c r="D151" s="3">
        <f t="shared" si="79"/>
        <v>6.3492649829387265E-2</v>
      </c>
      <c r="E151" s="3">
        <f t="shared" si="79"/>
        <v>6.3492649829387265E-2</v>
      </c>
      <c r="F151" s="3">
        <f t="shared" si="79"/>
        <v>6.3492649829387265E-2</v>
      </c>
      <c r="G151" s="3">
        <f t="shared" si="79"/>
        <v>6.3492649829387265E-2</v>
      </c>
      <c r="H151" s="3">
        <f t="shared" si="79"/>
        <v>6.3492649829387265E-2</v>
      </c>
      <c r="I151" s="3">
        <f t="shared" si="79"/>
        <v>6.3492649829387265E-2</v>
      </c>
      <c r="J151" s="3">
        <f t="shared" si="79"/>
        <v>6.3492649829387252E-2</v>
      </c>
      <c r="K151" s="3">
        <f t="shared" si="79"/>
        <v>6.3492649829387196E-2</v>
      </c>
      <c r="L151" s="3">
        <f t="shared" si="79"/>
        <v>6.3492649829386572E-2</v>
      </c>
      <c r="M151" s="3">
        <f t="shared" si="79"/>
        <v>6.3492649829380313E-2</v>
      </c>
      <c r="N151" s="3">
        <f t="shared" si="79"/>
        <v>6.3492649829317696E-2</v>
      </c>
      <c r="O151" s="3">
        <f t="shared" si="79"/>
        <v>6.3492649828691516E-2</v>
      </c>
      <c r="P151" s="3">
        <f t="shared" si="79"/>
        <v>6.3492649822429734E-2</v>
      </c>
      <c r="Q151" s="3">
        <f t="shared" si="79"/>
        <v>6.3492649759811989E-2</v>
      </c>
      <c r="R151" s="3">
        <f t="shared" si="79"/>
        <v>6.3492649133634449E-2</v>
      </c>
      <c r="S151" s="3">
        <f t="shared" si="79"/>
        <v>6.3492642871859448E-2</v>
      </c>
      <c r="T151" s="3">
        <f t="shared" si="79"/>
        <v>6.3492580254143394E-2</v>
      </c>
      <c r="U151" s="3">
        <f t="shared" si="79"/>
        <v>6.3491954080379387E-2</v>
      </c>
      <c r="V151" s="3">
        <f t="shared" si="79"/>
        <v>6.3485692682377554E-2</v>
      </c>
      <c r="W151" s="3">
        <f t="shared" si="79"/>
        <v>6.3423112653794286E-2</v>
      </c>
      <c r="X151" s="3">
        <f t="shared" si="79"/>
        <v>6.2800695155154074E-2</v>
      </c>
      <c r="Y151" s="3">
        <f t="shared" si="79"/>
        <v>5.6902773952067713E-2</v>
      </c>
      <c r="Z151" s="3">
        <f t="shared" si="79"/>
        <v>2.122380813213803E-2</v>
      </c>
      <c r="AA151" s="3">
        <f t="shared" ref="AA151" si="80">$C37*EXP(-AA$129/$A37/EXP(-$B$126))</f>
        <v>1.1059157327946964E-6</v>
      </c>
      <c r="AB151" s="3">
        <f t="shared" si="67"/>
        <v>1.6319591799131874E-49</v>
      </c>
      <c r="AC151" s="3">
        <f t="shared" si="67"/>
        <v>0</v>
      </c>
      <c r="AD151" s="3">
        <f t="shared" si="67"/>
        <v>0</v>
      </c>
      <c r="AE151" s="3">
        <f t="shared" si="67"/>
        <v>0</v>
      </c>
      <c r="AF151" s="3">
        <f t="shared" si="67"/>
        <v>0</v>
      </c>
    </row>
    <row r="152" spans="1:32" x14ac:dyDescent="0.25">
      <c r="B152" s="3">
        <f t="shared" ref="B152:Z152" si="81">$C38*EXP(-B$129/$A38/EXP(-$B$126))</f>
        <v>2.3429910997179341E-2</v>
      </c>
      <c r="C152" s="3">
        <f t="shared" si="81"/>
        <v>2.3429910997179341E-2</v>
      </c>
      <c r="D152" s="3">
        <f t="shared" si="81"/>
        <v>2.3429910997179341E-2</v>
      </c>
      <c r="E152" s="3">
        <f t="shared" si="81"/>
        <v>2.3429910997179341E-2</v>
      </c>
      <c r="F152" s="3">
        <f t="shared" si="81"/>
        <v>2.3429910997179341E-2</v>
      </c>
      <c r="G152" s="3">
        <f t="shared" si="81"/>
        <v>2.3429910997179341E-2</v>
      </c>
      <c r="H152" s="3">
        <f t="shared" si="81"/>
        <v>2.3429910997179341E-2</v>
      </c>
      <c r="I152" s="3">
        <f t="shared" si="81"/>
        <v>2.3429910997179341E-2</v>
      </c>
      <c r="J152" s="3">
        <f t="shared" si="81"/>
        <v>2.3429910997179341E-2</v>
      </c>
      <c r="K152" s="3">
        <f t="shared" si="81"/>
        <v>2.3429910997179337E-2</v>
      </c>
      <c r="L152" s="3">
        <f t="shared" si="81"/>
        <v>2.3429910997179317E-2</v>
      </c>
      <c r="M152" s="3">
        <f t="shared" si="81"/>
        <v>2.3429910997179108E-2</v>
      </c>
      <c r="N152" s="3">
        <f t="shared" si="81"/>
        <v>2.3429910997177027E-2</v>
      </c>
      <c r="O152" s="3">
        <f t="shared" si="81"/>
        <v>2.3429910997156179E-2</v>
      </c>
      <c r="P152" s="3">
        <f t="shared" si="81"/>
        <v>2.3429910996947738E-2</v>
      </c>
      <c r="Q152" s="3">
        <f t="shared" si="81"/>
        <v>2.3429910994863284E-2</v>
      </c>
      <c r="R152" s="3">
        <f t="shared" si="81"/>
        <v>2.3429910974018798E-2</v>
      </c>
      <c r="S152" s="3">
        <f t="shared" si="81"/>
        <v>2.3429910765573905E-2</v>
      </c>
      <c r="T152" s="3">
        <f t="shared" si="81"/>
        <v>2.3429908681125072E-2</v>
      </c>
      <c r="U152" s="3">
        <f t="shared" si="81"/>
        <v>2.3429887836646974E-2</v>
      </c>
      <c r="V152" s="3">
        <f t="shared" si="81"/>
        <v>2.3429679392885903E-2</v>
      </c>
      <c r="W152" s="3">
        <f t="shared" si="81"/>
        <v>2.3427595057265452E-2</v>
      </c>
      <c r="X152" s="3">
        <f t="shared" si="81"/>
        <v>2.3406761896730341E-2</v>
      </c>
      <c r="Y152" s="3">
        <f t="shared" si="81"/>
        <v>2.3199446510163438E-2</v>
      </c>
      <c r="Z152" s="3">
        <f t="shared" si="81"/>
        <v>2.1224647538131598E-2</v>
      </c>
      <c r="AA152" s="3">
        <f t="shared" ref="AA152" si="82">$C38*EXP(-AA$129/$A38/EXP(-$B$126))</f>
        <v>8.7190490339404108E-3</v>
      </c>
      <c r="AB152" s="3">
        <f t="shared" si="67"/>
        <v>1.1933159644686472E-6</v>
      </c>
      <c r="AC152" s="3">
        <f t="shared" si="67"/>
        <v>2.7518119856786703E-45</v>
      </c>
      <c r="AD152" s="3">
        <f t="shared" si="67"/>
        <v>0</v>
      </c>
      <c r="AE152" s="3">
        <f t="shared" si="67"/>
        <v>0</v>
      </c>
      <c r="AF152" s="3">
        <f t="shared" si="67"/>
        <v>0</v>
      </c>
    </row>
    <row r="153" spans="1:32" x14ac:dyDescent="0.25">
      <c r="B153" s="3">
        <f t="shared" ref="B153:Z153" si="83">$C39*EXP(-B$129/$A39/EXP(-$B$126))</f>
        <v>6.1780961618441606E-2</v>
      </c>
      <c r="C153" s="3">
        <f t="shared" si="83"/>
        <v>6.1780961618441606E-2</v>
      </c>
      <c r="D153" s="3">
        <f t="shared" si="83"/>
        <v>6.1780961618441606E-2</v>
      </c>
      <c r="E153" s="3">
        <f t="shared" si="83"/>
        <v>6.1780961618441606E-2</v>
      </c>
      <c r="F153" s="3">
        <f t="shared" si="83"/>
        <v>6.1780961618441606E-2</v>
      </c>
      <c r="G153" s="3">
        <f t="shared" si="83"/>
        <v>6.1780961618441606E-2</v>
      </c>
      <c r="H153" s="3">
        <f t="shared" si="83"/>
        <v>6.1780961618441606E-2</v>
      </c>
      <c r="I153" s="3">
        <f t="shared" si="83"/>
        <v>6.1780961618441606E-2</v>
      </c>
      <c r="J153" s="3">
        <f t="shared" si="83"/>
        <v>6.1780961618441606E-2</v>
      </c>
      <c r="K153" s="3">
        <f t="shared" si="83"/>
        <v>6.1780961618441606E-2</v>
      </c>
      <c r="L153" s="3">
        <f t="shared" si="83"/>
        <v>6.1780961618441592E-2</v>
      </c>
      <c r="M153" s="3">
        <f t="shared" si="83"/>
        <v>6.1780961618441432E-2</v>
      </c>
      <c r="N153" s="3">
        <f t="shared" si="83"/>
        <v>6.178096161843992E-2</v>
      </c>
      <c r="O153" s="3">
        <f t="shared" si="83"/>
        <v>6.178096161842471E-2</v>
      </c>
      <c r="P153" s="3">
        <f t="shared" si="83"/>
        <v>6.1780961618272699E-2</v>
      </c>
      <c r="Q153" s="3">
        <f t="shared" si="83"/>
        <v>6.178096161675254E-2</v>
      </c>
      <c r="R153" s="3">
        <f t="shared" si="83"/>
        <v>6.1780961601550978E-2</v>
      </c>
      <c r="S153" s="3">
        <f t="shared" si="83"/>
        <v>6.178096144953539E-2</v>
      </c>
      <c r="T153" s="3">
        <f t="shared" si="83"/>
        <v>6.1780959929379445E-2</v>
      </c>
      <c r="U153" s="3">
        <f t="shared" si="83"/>
        <v>6.178094472782205E-2</v>
      </c>
      <c r="V153" s="3">
        <f t="shared" si="83"/>
        <v>6.1780792712453902E-2</v>
      </c>
      <c r="W153" s="3">
        <f t="shared" si="83"/>
        <v>6.177927257934452E-2</v>
      </c>
      <c r="X153" s="3">
        <f t="shared" si="83"/>
        <v>6.1764073305279582E-2</v>
      </c>
      <c r="Y153" s="3">
        <f t="shared" si="83"/>
        <v>6.1612286080369727E-2</v>
      </c>
      <c r="Z153" s="3">
        <f t="shared" si="83"/>
        <v>6.0114779527483425E-2</v>
      </c>
      <c r="AA153" s="3">
        <f t="shared" ref="AA153" si="84">$C39*EXP(-AA$129/$A39/EXP(-$B$126))</f>
        <v>4.7002462591259238E-2</v>
      </c>
      <c r="AB153" s="3">
        <f t="shared" si="67"/>
        <v>4.0134157462506752E-3</v>
      </c>
      <c r="AC153" s="3">
        <f t="shared" si="67"/>
        <v>8.2689340536036316E-14</v>
      </c>
      <c r="AD153" s="3">
        <f t="shared" si="67"/>
        <v>1.1397334890095121E-120</v>
      </c>
      <c r="AE153" s="3">
        <f t="shared" si="67"/>
        <v>0</v>
      </c>
      <c r="AF153" s="3">
        <f t="shared" si="67"/>
        <v>0</v>
      </c>
    </row>
    <row r="154" spans="1:32" x14ac:dyDescent="0.25">
      <c r="B154" s="3">
        <f t="shared" ref="B154:Z154" si="85">$C40*EXP(-B$129/$A40/EXP(-$B$126))</f>
        <v>4.2169062984942343E-2</v>
      </c>
      <c r="C154" s="3">
        <f t="shared" si="85"/>
        <v>4.2169062984942343E-2</v>
      </c>
      <c r="D154" s="3">
        <f t="shared" si="85"/>
        <v>4.2169062984942343E-2</v>
      </c>
      <c r="E154" s="3">
        <f t="shared" si="85"/>
        <v>4.2169062984942343E-2</v>
      </c>
      <c r="F154" s="3">
        <f t="shared" si="85"/>
        <v>4.2169062984942343E-2</v>
      </c>
      <c r="G154" s="3">
        <f t="shared" si="85"/>
        <v>4.2169062984942343E-2</v>
      </c>
      <c r="H154" s="3">
        <f t="shared" si="85"/>
        <v>4.2169062984942343E-2</v>
      </c>
      <c r="I154" s="3">
        <f t="shared" si="85"/>
        <v>4.2169062984942343E-2</v>
      </c>
      <c r="J154" s="3">
        <f t="shared" si="85"/>
        <v>4.2169062984942343E-2</v>
      </c>
      <c r="K154" s="3">
        <f t="shared" si="85"/>
        <v>4.2169062984942343E-2</v>
      </c>
      <c r="L154" s="3">
        <f t="shared" si="85"/>
        <v>4.2169062984942343E-2</v>
      </c>
      <c r="M154" s="3">
        <f t="shared" si="85"/>
        <v>4.2169062984942336E-2</v>
      </c>
      <c r="N154" s="3">
        <f t="shared" si="85"/>
        <v>4.2169062984942225E-2</v>
      </c>
      <c r="O154" s="3">
        <f t="shared" si="85"/>
        <v>4.2169062984941191E-2</v>
      </c>
      <c r="P154" s="3">
        <f t="shared" si="85"/>
        <v>4.2169062984930811E-2</v>
      </c>
      <c r="Q154" s="3">
        <f t="shared" si="85"/>
        <v>4.2169062984827053E-2</v>
      </c>
      <c r="R154" s="3">
        <f t="shared" si="85"/>
        <v>4.216906298378946E-2</v>
      </c>
      <c r="S154" s="3">
        <f t="shared" si="85"/>
        <v>4.2169062973413517E-2</v>
      </c>
      <c r="T154" s="3">
        <f t="shared" si="85"/>
        <v>4.2169062869654127E-2</v>
      </c>
      <c r="U154" s="3">
        <f t="shared" si="85"/>
        <v>4.2169061832060178E-2</v>
      </c>
      <c r="V154" s="3">
        <f t="shared" si="85"/>
        <v>4.2169051456122118E-2</v>
      </c>
      <c r="W154" s="3">
        <f t="shared" si="85"/>
        <v>4.2168947696881953E-2</v>
      </c>
      <c r="X154" s="3">
        <f t="shared" si="85"/>
        <v>4.2167910118521952E-2</v>
      </c>
      <c r="Y154" s="3">
        <f t="shared" si="85"/>
        <v>4.2157535738962637E-2</v>
      </c>
      <c r="Z154" s="3">
        <f t="shared" si="85"/>
        <v>4.2053932219692995E-2</v>
      </c>
      <c r="AA154" s="3">
        <f t="shared" ref="AA154:AF154" si="86">$C40*EXP(-AA$129/$A40/EXP(-$B$126))</f>
        <v>4.1031797787098201E-2</v>
      </c>
      <c r="AB154" s="3">
        <f t="shared" si="86"/>
        <v>3.2081886612567161E-2</v>
      </c>
      <c r="AC154" s="3">
        <f t="shared" si="86"/>
        <v>2.7393872959381939E-3</v>
      </c>
      <c r="AD154" s="3">
        <f t="shared" si="86"/>
        <v>5.6440235274787515E-14</v>
      </c>
      <c r="AE154" s="3">
        <f t="shared" si="86"/>
        <v>7.7793371979085323E-121</v>
      </c>
      <c r="AF154" s="3">
        <f t="shared" si="86"/>
        <v>0</v>
      </c>
    </row>
    <row r="155" spans="1:32" x14ac:dyDescent="0.25">
      <c r="B155" s="3">
        <f t="shared" ref="B155:Z155" si="87">$C41*EXP(-B$129/$A41/EXP(-$B$126))</f>
        <v>3.8068907608639936E-2</v>
      </c>
      <c r="C155" s="3">
        <f t="shared" si="87"/>
        <v>3.8068907608639936E-2</v>
      </c>
      <c r="D155" s="3">
        <f t="shared" si="87"/>
        <v>3.8068907608639936E-2</v>
      </c>
      <c r="E155" s="3">
        <f t="shared" si="87"/>
        <v>3.8068907608639936E-2</v>
      </c>
      <c r="F155" s="3">
        <f t="shared" si="87"/>
        <v>3.8068907608639936E-2</v>
      </c>
      <c r="G155" s="3">
        <f t="shared" si="87"/>
        <v>3.8068907608639936E-2</v>
      </c>
      <c r="H155" s="3">
        <f t="shared" si="87"/>
        <v>3.8068907608639936E-2</v>
      </c>
      <c r="I155" s="3">
        <f t="shared" si="87"/>
        <v>3.8068907608639936E-2</v>
      </c>
      <c r="J155" s="3">
        <f t="shared" si="87"/>
        <v>3.8068907608639936E-2</v>
      </c>
      <c r="K155" s="3">
        <f t="shared" si="87"/>
        <v>3.8068907608639936E-2</v>
      </c>
      <c r="L155" s="3">
        <f t="shared" si="87"/>
        <v>3.8068907608639936E-2</v>
      </c>
      <c r="M155" s="3">
        <f t="shared" si="87"/>
        <v>3.8068907608639936E-2</v>
      </c>
      <c r="N155" s="3">
        <f t="shared" si="87"/>
        <v>3.8068907608639929E-2</v>
      </c>
      <c r="O155" s="3">
        <f t="shared" si="87"/>
        <v>3.8068907608639832E-2</v>
      </c>
      <c r="P155" s="3">
        <f t="shared" si="87"/>
        <v>3.8068907608638895E-2</v>
      </c>
      <c r="Q155" s="3">
        <f t="shared" si="87"/>
        <v>3.8068907608629528E-2</v>
      </c>
      <c r="R155" s="3">
        <f t="shared" si="87"/>
        <v>3.806890760853586E-2</v>
      </c>
      <c r="S155" s="3">
        <f t="shared" si="87"/>
        <v>3.8068907607599151E-2</v>
      </c>
      <c r="T155" s="3">
        <f t="shared" si="87"/>
        <v>3.8068907598232074E-2</v>
      </c>
      <c r="U155" s="3">
        <f t="shared" si="87"/>
        <v>3.806890750456135E-2</v>
      </c>
      <c r="V155" s="3">
        <f t="shared" si="87"/>
        <v>3.8068906567854076E-2</v>
      </c>
      <c r="W155" s="3">
        <f t="shared" si="87"/>
        <v>3.8068897200782589E-2</v>
      </c>
      <c r="X155" s="3">
        <f t="shared" si="87"/>
        <v>3.8068803530194539E-2</v>
      </c>
      <c r="Y155" s="3">
        <f t="shared" si="87"/>
        <v>3.8067866836990386E-2</v>
      </c>
      <c r="Z155" s="3">
        <f t="shared" si="87"/>
        <v>3.8058501172472732E-2</v>
      </c>
      <c r="AA155" s="3">
        <f t="shared" ref="AA155:AF155" si="88">$C41*EXP(-AA$129/$A41/EXP(-$B$126))</f>
        <v>3.7964971164361948E-2</v>
      </c>
      <c r="AB155" s="3">
        <f t="shared" si="88"/>
        <v>3.7042220253535325E-2</v>
      </c>
      <c r="AC155" s="3">
        <f t="shared" si="88"/>
        <v>2.8962521121249227E-2</v>
      </c>
      <c r="AD155" s="3">
        <f t="shared" si="88"/>
        <v>2.4730329414858277E-3</v>
      </c>
      <c r="AE155" s="3">
        <f t="shared" si="88"/>
        <v>5.0952474397000741E-14</v>
      </c>
      <c r="AF155" s="3">
        <f t="shared" si="88"/>
        <v>7.0229416562892285E-121</v>
      </c>
    </row>
    <row r="156" spans="1:32" x14ac:dyDescent="0.25">
      <c r="B156" s="3">
        <f t="shared" ref="B156:Z156" si="89">$C42*EXP(-B$129/$A42/EXP(-$B$126))</f>
        <v>1.8061881630202923E-2</v>
      </c>
      <c r="C156" s="3">
        <f t="shared" si="89"/>
        <v>1.8061881630202923E-2</v>
      </c>
      <c r="D156" s="3">
        <f t="shared" si="89"/>
        <v>1.8061881630202923E-2</v>
      </c>
      <c r="E156" s="3">
        <f t="shared" si="89"/>
        <v>1.8061881630202923E-2</v>
      </c>
      <c r="F156" s="3">
        <f t="shared" si="89"/>
        <v>1.8061881630202923E-2</v>
      </c>
      <c r="G156" s="3">
        <f t="shared" si="89"/>
        <v>1.8061881630202923E-2</v>
      </c>
      <c r="H156" s="3">
        <f t="shared" si="89"/>
        <v>1.8061881630202923E-2</v>
      </c>
      <c r="I156" s="3">
        <f t="shared" si="89"/>
        <v>1.8061881630202923E-2</v>
      </c>
      <c r="J156" s="3">
        <f t="shared" si="89"/>
        <v>1.8061881630202923E-2</v>
      </c>
      <c r="K156" s="3">
        <f t="shared" si="89"/>
        <v>1.8061881630202923E-2</v>
      </c>
      <c r="L156" s="3">
        <f t="shared" si="89"/>
        <v>1.8061881630202923E-2</v>
      </c>
      <c r="M156" s="3">
        <f t="shared" si="89"/>
        <v>1.8061881630202923E-2</v>
      </c>
      <c r="N156" s="3">
        <f t="shared" si="89"/>
        <v>1.8061881630202923E-2</v>
      </c>
      <c r="O156" s="3">
        <f t="shared" si="89"/>
        <v>1.8061881630202919E-2</v>
      </c>
      <c r="P156" s="3">
        <f t="shared" si="89"/>
        <v>1.8061881630202874E-2</v>
      </c>
      <c r="Q156" s="3">
        <f t="shared" si="89"/>
        <v>1.806188163020243E-2</v>
      </c>
      <c r="R156" s="3">
        <f t="shared" si="89"/>
        <v>1.8061881630197982E-2</v>
      </c>
      <c r="S156" s="3">
        <f t="shared" si="89"/>
        <v>1.8061881630153542E-2</v>
      </c>
      <c r="T156" s="3">
        <f t="shared" si="89"/>
        <v>1.806188162970912E-2</v>
      </c>
      <c r="U156" s="3">
        <f t="shared" si="89"/>
        <v>1.806188162526489E-2</v>
      </c>
      <c r="V156" s="3">
        <f t="shared" si="89"/>
        <v>1.8061881580822597E-2</v>
      </c>
      <c r="W156" s="3">
        <f t="shared" si="89"/>
        <v>1.8061881136399654E-2</v>
      </c>
      <c r="X156" s="3">
        <f t="shared" si="89"/>
        <v>1.8061876692170832E-2</v>
      </c>
      <c r="Y156" s="3">
        <f t="shared" si="89"/>
        <v>1.8061832249942782E-2</v>
      </c>
      <c r="Z156" s="3">
        <f t="shared" si="89"/>
        <v>1.8061387833676595E-2</v>
      </c>
      <c r="AA156" s="3">
        <f t="shared" ref="AA156:AF156" si="90">$C42*EXP(-AA$129/$A42/EXP(-$B$126))</f>
        <v>1.8056944272394376E-2</v>
      </c>
      <c r="AB156" s="3">
        <f t="shared" si="90"/>
        <v>1.8012568742822168E-2</v>
      </c>
      <c r="AC156" s="3">
        <f t="shared" si="90"/>
        <v>1.7574767430085528E-2</v>
      </c>
      <c r="AD156" s="3">
        <f t="shared" si="90"/>
        <v>1.3741335411618991E-2</v>
      </c>
      <c r="AE156" s="3">
        <f t="shared" si="90"/>
        <v>1.1733362227229242E-3</v>
      </c>
      <c r="AF156" s="3">
        <f t="shared" si="90"/>
        <v>2.4174519815107753E-14</v>
      </c>
    </row>
    <row r="157" spans="1:32" x14ac:dyDescent="0.25">
      <c r="B157" s="3">
        <f t="shared" ref="B157:Z157" si="91">$C43*EXP(-B$129/$A43/EXP(-$B$126))</f>
        <v>1.0233436786589783E-2</v>
      </c>
      <c r="C157" s="3">
        <f t="shared" si="91"/>
        <v>1.0233436786589783E-2</v>
      </c>
      <c r="D157" s="3">
        <f t="shared" si="91"/>
        <v>1.0233436786589783E-2</v>
      </c>
      <c r="E157" s="3">
        <f t="shared" si="91"/>
        <v>1.0233436786589783E-2</v>
      </c>
      <c r="F157" s="3">
        <f t="shared" si="91"/>
        <v>1.0233436786589783E-2</v>
      </c>
      <c r="G157" s="3">
        <f t="shared" si="91"/>
        <v>1.0233436786589783E-2</v>
      </c>
      <c r="H157" s="3">
        <f t="shared" si="91"/>
        <v>1.0233436786589783E-2</v>
      </c>
      <c r="I157" s="3">
        <f t="shared" si="91"/>
        <v>1.0233436786589783E-2</v>
      </c>
      <c r="J157" s="3">
        <f t="shared" si="91"/>
        <v>1.0233436786589783E-2</v>
      </c>
      <c r="K157" s="3">
        <f t="shared" si="91"/>
        <v>1.0233436786589783E-2</v>
      </c>
      <c r="L157" s="3">
        <f t="shared" si="91"/>
        <v>1.0233436786589783E-2</v>
      </c>
      <c r="M157" s="3">
        <f t="shared" si="91"/>
        <v>1.0233436786589783E-2</v>
      </c>
      <c r="N157" s="3">
        <f t="shared" si="91"/>
        <v>1.0233436786589783E-2</v>
      </c>
      <c r="O157" s="3">
        <f t="shared" si="91"/>
        <v>1.0233436786589783E-2</v>
      </c>
      <c r="P157" s="3">
        <f t="shared" si="91"/>
        <v>1.0233436786589781E-2</v>
      </c>
      <c r="Q157" s="3">
        <f t="shared" si="91"/>
        <v>1.0233436786589755E-2</v>
      </c>
      <c r="R157" s="3">
        <f t="shared" si="91"/>
        <v>1.0233436786589504E-2</v>
      </c>
      <c r="S157" s="3">
        <f t="shared" si="91"/>
        <v>1.0233436786586985E-2</v>
      </c>
      <c r="T157" s="3">
        <f t="shared" si="91"/>
        <v>1.0233436786561806E-2</v>
      </c>
      <c r="U157" s="3">
        <f t="shared" si="91"/>
        <v>1.0233436786310005E-2</v>
      </c>
      <c r="V157" s="3">
        <f t="shared" si="91"/>
        <v>1.0233436783792009E-2</v>
      </c>
      <c r="W157" s="3">
        <f t="shared" si="91"/>
        <v>1.0233436758612054E-2</v>
      </c>
      <c r="X157" s="3">
        <f t="shared" si="91"/>
        <v>1.0233436506812479E-2</v>
      </c>
      <c r="Y157" s="3">
        <f t="shared" si="91"/>
        <v>1.0233433988817087E-2</v>
      </c>
      <c r="Z157" s="3">
        <f t="shared" si="91"/>
        <v>1.0233408808897258E-2</v>
      </c>
      <c r="AA157" s="3">
        <f t="shared" ref="AA157:AF157" si="92">$C43*EXP(-AA$129/$A43/EXP(-$B$126))</f>
        <v>1.023315701310654E-2</v>
      </c>
      <c r="AB157" s="3">
        <f t="shared" si="92"/>
        <v>1.0230639395926895E-2</v>
      </c>
      <c r="AC157" s="3">
        <f t="shared" si="92"/>
        <v>1.0205497265884956E-2</v>
      </c>
      <c r="AD157" s="3">
        <f t="shared" si="92"/>
        <v>9.9574493520128687E-3</v>
      </c>
      <c r="AE157" s="3">
        <f t="shared" si="92"/>
        <v>7.7855170450782532E-3</v>
      </c>
      <c r="AF157" s="3">
        <f t="shared" si="92"/>
        <v>6.6478467252119701E-4</v>
      </c>
    </row>
    <row r="158" spans="1:32" x14ac:dyDescent="0.25">
      <c r="B158" s="3">
        <f t="shared" ref="B158:Z158" si="93">$C44*EXP(-B$129/$A44/EXP(-$B$126))</f>
        <v>4.802496116573597E-3</v>
      </c>
      <c r="C158" s="3">
        <f t="shared" si="93"/>
        <v>4.802496116573597E-3</v>
      </c>
      <c r="D158" s="3">
        <f t="shared" si="93"/>
        <v>4.802496116573597E-3</v>
      </c>
      <c r="E158" s="3">
        <f t="shared" si="93"/>
        <v>4.802496116573597E-3</v>
      </c>
      <c r="F158" s="3">
        <f t="shared" si="93"/>
        <v>4.802496116573597E-3</v>
      </c>
      <c r="G158" s="3">
        <f t="shared" si="93"/>
        <v>4.802496116573597E-3</v>
      </c>
      <c r="H158" s="3">
        <f t="shared" si="93"/>
        <v>4.802496116573597E-3</v>
      </c>
      <c r="I158" s="3">
        <f t="shared" si="93"/>
        <v>4.802496116573597E-3</v>
      </c>
      <c r="J158" s="3">
        <f t="shared" si="93"/>
        <v>4.802496116573597E-3</v>
      </c>
      <c r="K158" s="3">
        <f t="shared" si="93"/>
        <v>4.802496116573597E-3</v>
      </c>
      <c r="L158" s="3">
        <f t="shared" si="93"/>
        <v>4.802496116573597E-3</v>
      </c>
      <c r="M158" s="3">
        <f t="shared" si="93"/>
        <v>4.802496116573597E-3</v>
      </c>
      <c r="N158" s="3">
        <f t="shared" si="93"/>
        <v>4.802496116573597E-3</v>
      </c>
      <c r="O158" s="3">
        <f t="shared" si="93"/>
        <v>4.802496116573597E-3</v>
      </c>
      <c r="P158" s="3">
        <f t="shared" si="93"/>
        <v>4.802496116573597E-3</v>
      </c>
      <c r="Q158" s="3">
        <f t="shared" si="93"/>
        <v>4.8024961165735961E-3</v>
      </c>
      <c r="R158" s="3">
        <f t="shared" si="93"/>
        <v>4.802496116573584E-3</v>
      </c>
      <c r="S158" s="3">
        <f t="shared" si="93"/>
        <v>4.802496116573466E-3</v>
      </c>
      <c r="T158" s="3">
        <f t="shared" si="93"/>
        <v>4.8024961165722838E-3</v>
      </c>
      <c r="U158" s="3">
        <f t="shared" si="93"/>
        <v>4.8024961165604677E-3</v>
      </c>
      <c r="V158" s="3">
        <f t="shared" si="93"/>
        <v>4.8024961164422984E-3</v>
      </c>
      <c r="W158" s="3">
        <f t="shared" si="93"/>
        <v>4.8024961152606169E-3</v>
      </c>
      <c r="X158" s="3">
        <f t="shared" si="93"/>
        <v>4.8024961034438002E-3</v>
      </c>
      <c r="Y158" s="3">
        <f t="shared" si="93"/>
        <v>4.8024959852756332E-3</v>
      </c>
      <c r="Z158" s="3">
        <f t="shared" si="93"/>
        <v>4.8024948035941175E-3</v>
      </c>
      <c r="AA158" s="3">
        <f t="shared" ref="AA158:AF158" si="94">$C44*EXP(-AA$129/$A44/EXP(-$B$126))</f>
        <v>4.8024829867949603E-3</v>
      </c>
      <c r="AB158" s="3">
        <f t="shared" si="94"/>
        <v>4.8023648204025436E-3</v>
      </c>
      <c r="AC158" s="3">
        <f t="shared" si="94"/>
        <v>4.8011833163799549E-3</v>
      </c>
      <c r="AD158" s="3">
        <f t="shared" si="94"/>
        <v>4.7893842517639472E-3</v>
      </c>
      <c r="AE158" s="3">
        <f t="shared" si="94"/>
        <v>4.6729767175271667E-3</v>
      </c>
      <c r="AF158" s="3">
        <f t="shared" si="94"/>
        <v>3.6537007218828748E-3</v>
      </c>
    </row>
    <row r="159" spans="1:32" x14ac:dyDescent="0.25">
      <c r="A159" s="11" t="s">
        <v>75</v>
      </c>
      <c r="B159" s="3">
        <f t="shared" ref="B159:Z159" si="95">$C45*EXP(-B$129/$A45/EXP(-$B$126))</f>
        <v>2.5220120484412234E-3</v>
      </c>
      <c r="C159" s="3">
        <f t="shared" si="95"/>
        <v>2.5220120484412234E-3</v>
      </c>
      <c r="D159" s="3">
        <f t="shared" si="95"/>
        <v>2.5220120484412234E-3</v>
      </c>
      <c r="E159" s="3">
        <f t="shared" si="95"/>
        <v>2.5220120484412234E-3</v>
      </c>
      <c r="F159" s="3">
        <f t="shared" si="95"/>
        <v>2.5220120484412234E-3</v>
      </c>
      <c r="G159" s="3">
        <f t="shared" si="95"/>
        <v>2.5220120484412234E-3</v>
      </c>
      <c r="H159" s="3">
        <f t="shared" si="95"/>
        <v>2.5220120484412234E-3</v>
      </c>
      <c r="I159" s="3">
        <f t="shared" si="95"/>
        <v>2.5220120484412234E-3</v>
      </c>
      <c r="J159" s="3">
        <f t="shared" si="95"/>
        <v>2.5220120484412234E-3</v>
      </c>
      <c r="K159" s="3">
        <f t="shared" si="95"/>
        <v>2.5220120484412234E-3</v>
      </c>
      <c r="L159" s="3">
        <f t="shared" si="95"/>
        <v>2.5220120484412234E-3</v>
      </c>
      <c r="M159" s="3">
        <f t="shared" si="95"/>
        <v>2.5220120484412234E-3</v>
      </c>
      <c r="N159" s="3">
        <f t="shared" si="95"/>
        <v>2.5220120484412234E-3</v>
      </c>
      <c r="O159" s="3">
        <f t="shared" si="95"/>
        <v>2.5220120484412234E-3</v>
      </c>
      <c r="P159" s="3">
        <f t="shared" si="95"/>
        <v>2.5220120484412234E-3</v>
      </c>
      <c r="Q159" s="3">
        <f t="shared" si="95"/>
        <v>2.5220120484412234E-3</v>
      </c>
      <c r="R159" s="3">
        <f t="shared" si="95"/>
        <v>2.5220120484412229E-3</v>
      </c>
      <c r="S159" s="3">
        <f t="shared" si="95"/>
        <v>2.5220120484412164E-3</v>
      </c>
      <c r="T159" s="3">
        <f t="shared" si="95"/>
        <v>2.5220120484411544E-3</v>
      </c>
      <c r="U159" s="3">
        <f t="shared" si="95"/>
        <v>2.5220120484405338E-3</v>
      </c>
      <c r="V159" s="3">
        <f t="shared" si="95"/>
        <v>2.5220120484343283E-3</v>
      </c>
      <c r="W159" s="3">
        <f t="shared" si="95"/>
        <v>2.5220120483722725E-3</v>
      </c>
      <c r="X159" s="3">
        <f t="shared" si="95"/>
        <v>2.5220120477517172E-3</v>
      </c>
      <c r="Y159" s="3">
        <f t="shared" si="95"/>
        <v>2.522012041546162E-3</v>
      </c>
      <c r="Z159" s="3">
        <f t="shared" si="95"/>
        <v>2.5220119794906112E-3</v>
      </c>
      <c r="AA159" s="3">
        <f t="shared" ref="AA159:AF159" si="96">$C45*EXP(-AA$129/$A45/EXP(-$B$126))</f>
        <v>2.522011358935186E-3</v>
      </c>
      <c r="AB159" s="3">
        <f t="shared" si="96"/>
        <v>2.5220051533893354E-3</v>
      </c>
      <c r="AC159" s="3">
        <f t="shared" si="96"/>
        <v>2.5219430987706202E-3</v>
      </c>
      <c r="AD159" s="3">
        <f t="shared" si="96"/>
        <v>2.5213226365551553E-3</v>
      </c>
      <c r="AE159" s="3">
        <f t="shared" si="96"/>
        <v>2.5151264039295395E-3</v>
      </c>
      <c r="AF159" s="3">
        <f t="shared" si="96"/>
        <v>2.4539954427068252E-3</v>
      </c>
    </row>
    <row r="160" spans="1:32" x14ac:dyDescent="0.25">
      <c r="B160" s="3">
        <f t="shared" ref="B160:Z160" si="97">$C46*EXP(-B$129/$A46/EXP(-$B$126))</f>
        <v>2.1848474936022057E-3</v>
      </c>
      <c r="C160" s="3">
        <f t="shared" si="97"/>
        <v>2.1848474936022057E-3</v>
      </c>
      <c r="D160" s="3">
        <f t="shared" si="97"/>
        <v>2.1848474936022057E-3</v>
      </c>
      <c r="E160" s="3">
        <f t="shared" si="97"/>
        <v>2.1848474936022057E-3</v>
      </c>
      <c r="F160" s="3">
        <f t="shared" si="97"/>
        <v>2.1848474936022057E-3</v>
      </c>
      <c r="G160" s="3">
        <f t="shared" si="97"/>
        <v>2.1848474936022057E-3</v>
      </c>
      <c r="H160" s="3">
        <f t="shared" si="97"/>
        <v>2.1848474936022057E-3</v>
      </c>
      <c r="I160" s="3">
        <f t="shared" si="97"/>
        <v>2.1848474936022057E-3</v>
      </c>
      <c r="J160" s="3">
        <f t="shared" si="97"/>
        <v>2.1848474936022057E-3</v>
      </c>
      <c r="K160" s="3">
        <f t="shared" si="97"/>
        <v>2.1848474936022057E-3</v>
      </c>
      <c r="L160" s="3">
        <f t="shared" si="97"/>
        <v>2.1848474936022057E-3</v>
      </c>
      <c r="M160" s="3">
        <f t="shared" si="97"/>
        <v>2.1848474936022057E-3</v>
      </c>
      <c r="N160" s="3">
        <f t="shared" si="97"/>
        <v>2.1848474936022057E-3</v>
      </c>
      <c r="O160" s="3">
        <f t="shared" si="97"/>
        <v>2.1848474936022057E-3</v>
      </c>
      <c r="P160" s="3">
        <f t="shared" si="97"/>
        <v>2.1848474936022057E-3</v>
      </c>
      <c r="Q160" s="3">
        <f t="shared" si="97"/>
        <v>2.1848474936022057E-3</v>
      </c>
      <c r="R160" s="3">
        <f t="shared" si="97"/>
        <v>2.1848474936022057E-3</v>
      </c>
      <c r="S160" s="3">
        <f t="shared" si="97"/>
        <v>2.1848474936022053E-3</v>
      </c>
      <c r="T160" s="3">
        <f t="shared" si="97"/>
        <v>2.1848474936021997E-3</v>
      </c>
      <c r="U160" s="3">
        <f t="shared" si="97"/>
        <v>2.1848474936021459E-3</v>
      </c>
      <c r="V160" s="3">
        <f t="shared" si="97"/>
        <v>2.1848474936016081E-3</v>
      </c>
      <c r="W160" s="3">
        <f t="shared" si="97"/>
        <v>2.1848474935962326E-3</v>
      </c>
      <c r="X160" s="3">
        <f t="shared" si="97"/>
        <v>2.1848474935424731E-3</v>
      </c>
      <c r="Y160" s="3">
        <f t="shared" si="97"/>
        <v>2.1848474930048789E-3</v>
      </c>
      <c r="Z160" s="3">
        <f t="shared" si="97"/>
        <v>2.1848474876289365E-3</v>
      </c>
      <c r="AA160" s="3">
        <f t="shared" ref="AA160:AF160" si="98">$C46*EXP(-AA$129/$A46/EXP(-$B$126))</f>
        <v>2.1848474338695125E-3</v>
      </c>
      <c r="AB160" s="3">
        <f t="shared" si="98"/>
        <v>2.1848468962753459E-3</v>
      </c>
      <c r="AC160" s="3">
        <f t="shared" si="98"/>
        <v>2.1848415203409577E-3</v>
      </c>
      <c r="AD160" s="3">
        <f t="shared" si="98"/>
        <v>2.184787761724598E-3</v>
      </c>
      <c r="AE160" s="3">
        <f t="shared" si="98"/>
        <v>2.1842502483066227E-3</v>
      </c>
      <c r="AF160" s="3">
        <f t="shared" si="98"/>
        <v>2.1788823820705276E-3</v>
      </c>
    </row>
    <row r="161" spans="1:34" x14ac:dyDescent="0.25">
      <c r="A161" s="11" t="s">
        <v>75</v>
      </c>
      <c r="B161" s="3">
        <f t="shared" ref="B161:Z161" si="99">$C47*EXP(-B$129/$A47/EXP(-$B$126))</f>
        <v>3.6320293099179269E-4</v>
      </c>
      <c r="C161" s="3">
        <f t="shared" si="99"/>
        <v>3.6320293099179269E-4</v>
      </c>
      <c r="D161" s="3">
        <f t="shared" si="99"/>
        <v>3.6320293099179269E-4</v>
      </c>
      <c r="E161" s="3">
        <f t="shared" si="99"/>
        <v>3.6320293099179269E-4</v>
      </c>
      <c r="F161" s="3">
        <f t="shared" si="99"/>
        <v>3.6320293099179269E-4</v>
      </c>
      <c r="G161" s="3">
        <f t="shared" si="99"/>
        <v>3.6320293099179269E-4</v>
      </c>
      <c r="H161" s="3">
        <f t="shared" si="99"/>
        <v>3.6320293099179269E-4</v>
      </c>
      <c r="I161" s="3">
        <f t="shared" si="99"/>
        <v>3.6320293099179269E-4</v>
      </c>
      <c r="J161" s="3">
        <f t="shared" si="99"/>
        <v>3.6320293099179269E-4</v>
      </c>
      <c r="K161" s="3">
        <f t="shared" si="99"/>
        <v>3.6320293099179269E-4</v>
      </c>
      <c r="L161" s="3">
        <f t="shared" si="99"/>
        <v>3.6320293099179269E-4</v>
      </c>
      <c r="M161" s="3">
        <f t="shared" si="99"/>
        <v>3.6320293099179269E-4</v>
      </c>
      <c r="N161" s="3">
        <f t="shared" si="99"/>
        <v>3.6320293099179269E-4</v>
      </c>
      <c r="O161" s="3">
        <f t="shared" si="99"/>
        <v>3.6320293099179269E-4</v>
      </c>
      <c r="P161" s="3">
        <f t="shared" si="99"/>
        <v>3.6320293099179269E-4</v>
      </c>
      <c r="Q161" s="3">
        <f t="shared" si="99"/>
        <v>3.6320293099179269E-4</v>
      </c>
      <c r="R161" s="3">
        <f t="shared" si="99"/>
        <v>3.6320293099179269E-4</v>
      </c>
      <c r="S161" s="3">
        <f t="shared" si="99"/>
        <v>3.6320293099179269E-4</v>
      </c>
      <c r="T161" s="3">
        <f t="shared" si="99"/>
        <v>3.6320293099179263E-4</v>
      </c>
      <c r="U161" s="3">
        <f t="shared" si="99"/>
        <v>3.6320293099179166E-4</v>
      </c>
      <c r="V161" s="3">
        <f t="shared" si="99"/>
        <v>3.6320293099178277E-4</v>
      </c>
      <c r="W161" s="3">
        <f t="shared" si="99"/>
        <v>3.6320293099169337E-4</v>
      </c>
      <c r="X161" s="3">
        <f t="shared" si="99"/>
        <v>3.6320293099079972E-4</v>
      </c>
      <c r="Y161" s="3">
        <f t="shared" si="99"/>
        <v>3.6320293098186286E-4</v>
      </c>
      <c r="Z161" s="3">
        <f t="shared" si="99"/>
        <v>3.6320293089249473E-4</v>
      </c>
      <c r="AA161" s="3">
        <f t="shared" ref="AA161:AF161" si="100">$C47*EXP(-AA$129/$A47/EXP(-$B$126))</f>
        <v>3.6320292999881312E-4</v>
      </c>
      <c r="AB161" s="3">
        <f t="shared" si="100"/>
        <v>3.6320292106199699E-4</v>
      </c>
      <c r="AC161" s="3">
        <f t="shared" si="100"/>
        <v>3.6320283169384771E-4</v>
      </c>
      <c r="AD161" s="3">
        <f t="shared" si="100"/>
        <v>3.6320193801356462E-4</v>
      </c>
      <c r="AE161" s="3">
        <f t="shared" si="100"/>
        <v>3.6319300133167489E-4</v>
      </c>
      <c r="AF161" s="3">
        <f t="shared" si="100"/>
        <v>3.6310364660580599E-4</v>
      </c>
    </row>
    <row r="162" spans="1:34" x14ac:dyDescent="0.25">
      <c r="B162" s="3">
        <f t="shared" ref="B162:Z162" si="101">$C48*EXP(-B$129/$A48/EXP(-$B$126))</f>
        <v>1.8415595868786856E-3</v>
      </c>
      <c r="C162" s="3">
        <f t="shared" si="101"/>
        <v>1.8415595868786856E-3</v>
      </c>
      <c r="D162" s="3">
        <f t="shared" si="101"/>
        <v>1.8415595868786856E-3</v>
      </c>
      <c r="E162" s="3">
        <f t="shared" si="101"/>
        <v>1.8415595868786856E-3</v>
      </c>
      <c r="F162" s="3">
        <f t="shared" si="101"/>
        <v>1.8415595868786856E-3</v>
      </c>
      <c r="G162" s="3">
        <f t="shared" si="101"/>
        <v>1.8415595868786856E-3</v>
      </c>
      <c r="H162" s="3">
        <f t="shared" si="101"/>
        <v>1.8415595868786856E-3</v>
      </c>
      <c r="I162" s="3">
        <f t="shared" si="101"/>
        <v>1.8415595868786856E-3</v>
      </c>
      <c r="J162" s="3">
        <f t="shared" si="101"/>
        <v>1.8415595868786856E-3</v>
      </c>
      <c r="K162" s="3">
        <f t="shared" si="101"/>
        <v>1.8415595868786856E-3</v>
      </c>
      <c r="L162" s="3">
        <f t="shared" si="101"/>
        <v>1.8415595868786856E-3</v>
      </c>
      <c r="M162" s="3">
        <f t="shared" si="101"/>
        <v>1.8415595868786856E-3</v>
      </c>
      <c r="N162" s="3">
        <f t="shared" si="101"/>
        <v>1.8415595868786856E-3</v>
      </c>
      <c r="O162" s="3">
        <f t="shared" si="101"/>
        <v>1.8415595868786856E-3</v>
      </c>
      <c r="P162" s="3">
        <f t="shared" si="101"/>
        <v>1.8415595868786856E-3</v>
      </c>
      <c r="Q162" s="3">
        <f t="shared" si="101"/>
        <v>1.8415595868786856E-3</v>
      </c>
      <c r="R162" s="3">
        <f t="shared" si="101"/>
        <v>1.8415595868786856E-3</v>
      </c>
      <c r="S162" s="3">
        <f t="shared" si="101"/>
        <v>1.8415595868786856E-3</v>
      </c>
      <c r="T162" s="3">
        <f t="shared" si="101"/>
        <v>1.8415595868786856E-3</v>
      </c>
      <c r="U162" s="3">
        <f t="shared" si="101"/>
        <v>1.8415595868786852E-3</v>
      </c>
      <c r="V162" s="3">
        <f t="shared" si="101"/>
        <v>1.8415595868786804E-3</v>
      </c>
      <c r="W162" s="3">
        <f t="shared" si="101"/>
        <v>1.8415595868786353E-3</v>
      </c>
      <c r="X162" s="3">
        <f t="shared" si="101"/>
        <v>1.8415595868781821E-3</v>
      </c>
      <c r="Y162" s="3">
        <f t="shared" si="101"/>
        <v>1.841559586873651E-3</v>
      </c>
      <c r="Z162" s="3">
        <f t="shared" si="101"/>
        <v>1.8415595868283381E-3</v>
      </c>
      <c r="AA162" s="3">
        <f t="shared" ref="AA162:AF162" si="102">$C48*EXP(-AA$129/$A48/EXP(-$B$126))</f>
        <v>1.8415595863752118E-3</v>
      </c>
      <c r="AB162" s="3">
        <f t="shared" si="102"/>
        <v>1.8415595818439491E-3</v>
      </c>
      <c r="AC162" s="3">
        <f t="shared" si="102"/>
        <v>1.8415595365313207E-3</v>
      </c>
      <c r="AD162" s="3">
        <f t="shared" si="102"/>
        <v>1.8415590834050984E-3</v>
      </c>
      <c r="AE162" s="3">
        <f t="shared" si="102"/>
        <v>1.8415545521490086E-3</v>
      </c>
      <c r="AF162" s="3">
        <f t="shared" si="102"/>
        <v>1.8415092402013214E-3</v>
      </c>
    </row>
    <row r="163" spans="1:34" x14ac:dyDescent="0.25">
      <c r="A163" s="79">
        <f>AVERAGE(B163:AF163)</f>
        <v>1.7914883487951741E-2</v>
      </c>
      <c r="B163" s="80">
        <f>IF($A$64&lt;=B129,IF($B$64&gt;=B129,ABS((B131-B130)/B130),0),0)</f>
        <v>7.5462067961898846E-2</v>
      </c>
      <c r="C163" s="80">
        <f t="shared" ref="C163:AF163" si="103">IF($A$64&lt;=C129,IF($B$64&gt;=C129,ABS((C131-C130)/C130),0),0)</f>
        <v>6.8133310904804387E-2</v>
      </c>
      <c r="D163" s="80">
        <f t="shared" si="103"/>
        <v>4.1416813947105266E-2</v>
      </c>
      <c r="E163" s="80">
        <f t="shared" si="103"/>
        <v>2.2620747370052905E-2</v>
      </c>
      <c r="F163" s="80">
        <f t="shared" si="103"/>
        <v>6.6763709159341454E-3</v>
      </c>
      <c r="G163" s="80">
        <f t="shared" si="103"/>
        <v>4.9502442543685838E-3</v>
      </c>
      <c r="H163" s="80">
        <f t="shared" si="103"/>
        <v>1.2491860521684715E-2</v>
      </c>
      <c r="I163" s="80">
        <f t="shared" si="103"/>
        <v>8.5254114276223075E-3</v>
      </c>
      <c r="J163" s="80">
        <f t="shared" si="103"/>
        <v>9.6157421750469613E-3</v>
      </c>
      <c r="K163" s="80">
        <f t="shared" si="103"/>
        <v>8.2855884665954324E-3</v>
      </c>
      <c r="L163" s="80">
        <f t="shared" si="103"/>
        <v>9.670804757670147E-3</v>
      </c>
      <c r="M163" s="80">
        <f t="shared" si="103"/>
        <v>8.9474316116053953E-3</v>
      </c>
      <c r="N163" s="80">
        <f t="shared" si="103"/>
        <v>7.9473392732999949E-3</v>
      </c>
      <c r="O163" s="80">
        <f t="shared" si="103"/>
        <v>7.96518487586006E-3</v>
      </c>
      <c r="P163" s="80">
        <f t="shared" si="103"/>
        <v>8.7420582250253825E-3</v>
      </c>
      <c r="Q163" s="80">
        <f t="shared" si="103"/>
        <v>9.7472179922090205E-3</v>
      </c>
      <c r="R163" s="80">
        <f t="shared" si="103"/>
        <v>8.429366640937231E-3</v>
      </c>
      <c r="S163" s="80">
        <f t="shared" si="103"/>
        <v>9.6937781405235894E-3</v>
      </c>
      <c r="T163" s="80">
        <f t="shared" si="103"/>
        <v>7.3600292125714367E-3</v>
      </c>
      <c r="U163" s="80">
        <f t="shared" si="103"/>
        <v>7.2350158014999584E-3</v>
      </c>
      <c r="V163" s="80">
        <f t="shared" si="103"/>
        <v>2.4270563148224593E-3</v>
      </c>
      <c r="W163" s="80">
        <f t="shared" si="103"/>
        <v>1.0589611048840417E-2</v>
      </c>
      <c r="X163" s="80">
        <f t="shared" si="103"/>
        <v>1.7916110803210535E-2</v>
      </c>
      <c r="Y163" s="80">
        <f t="shared" si="103"/>
        <v>2.2135017984267449E-2</v>
      </c>
      <c r="Z163" s="80">
        <f t="shared" si="103"/>
        <v>2.1409706835106956E-2</v>
      </c>
      <c r="AA163" s="80">
        <f t="shared" si="103"/>
        <v>5.2463110560602579E-2</v>
      </c>
      <c r="AB163" s="80">
        <f t="shared" si="103"/>
        <v>1.7313808909469038E-2</v>
      </c>
      <c r="AC163" s="80">
        <f t="shared" si="103"/>
        <v>2.8249843945489187E-2</v>
      </c>
      <c r="AD163" s="80">
        <f t="shared" si="103"/>
        <v>1.6748407211600806E-2</v>
      </c>
      <c r="AE163" s="80">
        <f t="shared" si="103"/>
        <v>9.7573058436757221E-3</v>
      </c>
      <c r="AF163" s="80">
        <f t="shared" si="103"/>
        <v>1.2435024193103038E-2</v>
      </c>
    </row>
    <row r="164" spans="1:34" x14ac:dyDescent="0.25">
      <c r="B164" s="21">
        <f>(B131-B130)^2</f>
        <v>673005.60273360321</v>
      </c>
      <c r="C164" s="21">
        <f t="shared" ref="C164:AF164" si="104">(C131-C130)^2</f>
        <v>540032.36755905231</v>
      </c>
      <c r="D164" s="21">
        <f t="shared" si="104"/>
        <v>188572.55946605714</v>
      </c>
      <c r="E164" s="21">
        <f t="shared" si="104"/>
        <v>54080.005666274083</v>
      </c>
      <c r="F164" s="21">
        <f t="shared" si="104"/>
        <v>4536.9621020744589</v>
      </c>
      <c r="G164" s="21">
        <f t="shared" si="104"/>
        <v>2390.9900683521728</v>
      </c>
      <c r="H164" s="21">
        <f t="shared" si="104"/>
        <v>14548.377319152951</v>
      </c>
      <c r="I164" s="21">
        <f t="shared" si="104"/>
        <v>6422.7435290728108</v>
      </c>
      <c r="J164" s="21">
        <f t="shared" si="104"/>
        <v>7715.5660649662914</v>
      </c>
      <c r="K164" s="21">
        <f t="shared" si="104"/>
        <v>5361.3275397698617</v>
      </c>
      <c r="L164" s="21">
        <f t="shared" si="104"/>
        <v>6869.3951189295549</v>
      </c>
      <c r="M164" s="21">
        <f t="shared" si="104"/>
        <v>5495.8103089371607</v>
      </c>
      <c r="N164" s="21">
        <f t="shared" si="104"/>
        <v>3978.3770272262032</v>
      </c>
      <c r="O164" s="21">
        <f t="shared" si="104"/>
        <v>3614.7338696220231</v>
      </c>
      <c r="P164" s="21">
        <f t="shared" si="104"/>
        <v>3946.0871043957391</v>
      </c>
      <c r="Q164" s="21">
        <f t="shared" si="104"/>
        <v>4518.0139657841382</v>
      </c>
      <c r="R164" s="21">
        <f t="shared" si="104"/>
        <v>3093.6520544587825</v>
      </c>
      <c r="S164" s="21">
        <f t="shared" si="104"/>
        <v>3744.4607910697036</v>
      </c>
      <c r="T164" s="21">
        <f t="shared" si="104"/>
        <v>1956.2787959591153</v>
      </c>
      <c r="U164" s="21">
        <f t="shared" si="104"/>
        <v>1708.8305986145522</v>
      </c>
      <c r="V164" s="21">
        <f t="shared" si="104"/>
        <v>163.37277872608362</v>
      </c>
      <c r="W164" s="21">
        <f t="shared" si="104"/>
        <v>2445.2132765241845</v>
      </c>
      <c r="X164" s="21">
        <f t="shared" si="104"/>
        <v>5174.6859266118527</v>
      </c>
      <c r="Y164" s="21">
        <f t="shared" si="104"/>
        <v>5700.448228530654</v>
      </c>
      <c r="Z164" s="21">
        <f t="shared" si="104"/>
        <v>3657.2493677457815</v>
      </c>
      <c r="AA164" s="21">
        <f t="shared" si="104"/>
        <v>13941.377283216038</v>
      </c>
      <c r="AB164" s="21">
        <f t="shared" si="104"/>
        <v>842.07335649342747</v>
      </c>
      <c r="AC164" s="21">
        <f t="shared" si="104"/>
        <v>1186.6554223088076</v>
      </c>
      <c r="AD164" s="21">
        <f t="shared" si="104"/>
        <v>217.36187180775715</v>
      </c>
      <c r="AE164" s="21">
        <f t="shared" si="104"/>
        <v>46.849610979589919</v>
      </c>
      <c r="AF164" s="21">
        <f t="shared" si="104"/>
        <v>55.64287881640481</v>
      </c>
    </row>
    <row r="165" spans="1:34" x14ac:dyDescent="0.25">
      <c r="A165" s="71">
        <f>SUM(B165:AF165)</f>
        <v>1569023.0716851328</v>
      </c>
      <c r="B165" s="60">
        <f>IF($A$64&lt;=B129,IF($B$64&gt;=B129,ABS(B164),0),0)</f>
        <v>673005.60273360321</v>
      </c>
      <c r="C165" s="60">
        <f t="shared" ref="C165:AF165" si="105">IF($A$64&lt;=C129,IF($B$64&gt;=C129,ABS(C164),0),0)</f>
        <v>540032.36755905231</v>
      </c>
      <c r="D165" s="60">
        <f t="shared" si="105"/>
        <v>188572.55946605714</v>
      </c>
      <c r="E165" s="60">
        <f t="shared" si="105"/>
        <v>54080.005666274083</v>
      </c>
      <c r="F165" s="60">
        <f t="shared" si="105"/>
        <v>4536.9621020744589</v>
      </c>
      <c r="G165" s="60">
        <f t="shared" si="105"/>
        <v>2390.9900683521728</v>
      </c>
      <c r="H165" s="60">
        <f t="shared" si="105"/>
        <v>14548.377319152951</v>
      </c>
      <c r="I165" s="60">
        <f t="shared" si="105"/>
        <v>6422.7435290728108</v>
      </c>
      <c r="J165" s="60">
        <f t="shared" si="105"/>
        <v>7715.5660649662914</v>
      </c>
      <c r="K165" s="60">
        <f t="shared" si="105"/>
        <v>5361.3275397698617</v>
      </c>
      <c r="L165" s="60">
        <f t="shared" si="105"/>
        <v>6869.3951189295549</v>
      </c>
      <c r="M165" s="60">
        <f t="shared" si="105"/>
        <v>5495.8103089371607</v>
      </c>
      <c r="N165" s="60">
        <f t="shared" si="105"/>
        <v>3978.3770272262032</v>
      </c>
      <c r="O165" s="60">
        <f t="shared" si="105"/>
        <v>3614.7338696220231</v>
      </c>
      <c r="P165" s="60">
        <f t="shared" si="105"/>
        <v>3946.0871043957391</v>
      </c>
      <c r="Q165" s="60">
        <f t="shared" si="105"/>
        <v>4518.0139657841382</v>
      </c>
      <c r="R165" s="60">
        <f t="shared" si="105"/>
        <v>3093.6520544587825</v>
      </c>
      <c r="S165" s="60">
        <f t="shared" si="105"/>
        <v>3744.4607910697036</v>
      </c>
      <c r="T165" s="60">
        <f t="shared" si="105"/>
        <v>1956.2787959591153</v>
      </c>
      <c r="U165" s="60">
        <f t="shared" si="105"/>
        <v>1708.8305986145522</v>
      </c>
      <c r="V165" s="60">
        <f t="shared" si="105"/>
        <v>163.37277872608362</v>
      </c>
      <c r="W165" s="60">
        <f t="shared" si="105"/>
        <v>2445.2132765241845</v>
      </c>
      <c r="X165" s="60">
        <f t="shared" si="105"/>
        <v>5174.6859266118527</v>
      </c>
      <c r="Y165" s="60">
        <f t="shared" si="105"/>
        <v>5700.448228530654</v>
      </c>
      <c r="Z165" s="60">
        <f t="shared" si="105"/>
        <v>3657.2493677457815</v>
      </c>
      <c r="AA165" s="60">
        <f t="shared" si="105"/>
        <v>13941.377283216038</v>
      </c>
      <c r="AB165" s="60">
        <f t="shared" si="105"/>
        <v>842.07335649342747</v>
      </c>
      <c r="AC165" s="60">
        <f t="shared" si="105"/>
        <v>1186.6554223088076</v>
      </c>
      <c r="AD165" s="60">
        <f t="shared" si="105"/>
        <v>217.36187180775715</v>
      </c>
      <c r="AE165" s="60">
        <f t="shared" si="105"/>
        <v>46.849610979589919</v>
      </c>
      <c r="AF165" s="60">
        <f t="shared" si="105"/>
        <v>55.64287881640481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10050.816709776975</v>
      </c>
      <c r="C170" s="27">
        <f t="shared" ref="C170:AF170" si="106">($C$17+SUM(C171:C201))*$B$51</f>
        <v>10049.953269316513</v>
      </c>
      <c r="D170" s="27">
        <f t="shared" si="106"/>
        <v>10041.40904571606</v>
      </c>
      <c r="E170" s="27">
        <f t="shared" si="106"/>
        <v>9964.3565819311389</v>
      </c>
      <c r="F170" s="27">
        <f t="shared" si="106"/>
        <v>9643.0205532570671</v>
      </c>
      <c r="G170" s="27">
        <f t="shared" si="106"/>
        <v>9430.0498642163038</v>
      </c>
      <c r="H170" s="27">
        <f t="shared" si="106"/>
        <v>9176.2277022752442</v>
      </c>
      <c r="I170" s="27">
        <f t="shared" si="106"/>
        <v>8898.2408988913303</v>
      </c>
      <c r="J170" s="27">
        <f t="shared" si="106"/>
        <v>8619.5491184199527</v>
      </c>
      <c r="K170" s="27">
        <f t="shared" si="106"/>
        <v>8353.9900536273544</v>
      </c>
      <c r="L170" s="27">
        <f t="shared" si="106"/>
        <v>8050.6466259100662</v>
      </c>
      <c r="M170" s="27">
        <f t="shared" si="106"/>
        <v>7688.7225569616603</v>
      </c>
      <c r="N170" s="27">
        <f t="shared" si="106"/>
        <v>7311.1999810848474</v>
      </c>
      <c r="O170" s="27">
        <f t="shared" si="106"/>
        <v>6984.030436932434</v>
      </c>
      <c r="P170" s="27">
        <f t="shared" si="106"/>
        <v>6698.1529896182756</v>
      </c>
      <c r="Q170" s="27">
        <f t="shared" si="106"/>
        <v>6410.3217128454771</v>
      </c>
      <c r="R170" s="27">
        <f t="shared" si="106"/>
        <v>6120.2533899096625</v>
      </c>
      <c r="S170" s="27">
        <f t="shared" si="106"/>
        <v>5833.5921939315658</v>
      </c>
      <c r="T170" s="27">
        <f t="shared" si="106"/>
        <v>5504.8355424244828</v>
      </c>
      <c r="U170" s="27">
        <f t="shared" si="106"/>
        <v>5035.1770975890577</v>
      </c>
      <c r="V170" s="27">
        <f t="shared" si="106"/>
        <v>4414.9020859052889</v>
      </c>
      <c r="W170" s="27">
        <f t="shared" si="106"/>
        <v>3778.2386521342996</v>
      </c>
      <c r="X170" s="27">
        <f t="shared" si="106"/>
        <v>3182.3687586496089</v>
      </c>
      <c r="Y170" s="27">
        <f t="shared" si="106"/>
        <v>2594.1180998160553</v>
      </c>
      <c r="Z170" s="27">
        <f t="shared" si="106"/>
        <v>2032.4235018967374</v>
      </c>
      <c r="AA170" s="27">
        <f t="shared" si="106"/>
        <v>1483.8723025969259</v>
      </c>
      <c r="AB170" s="27">
        <f t="shared" si="106"/>
        <v>1073.8818957727492</v>
      </c>
      <c r="AC170" s="27">
        <f t="shared" si="106"/>
        <v>796.03432065672644</v>
      </c>
      <c r="AD170" s="27">
        <f t="shared" si="106"/>
        <v>655.30815095308913</v>
      </c>
      <c r="AE170" s="27">
        <f t="shared" si="106"/>
        <v>580.99763884633558</v>
      </c>
      <c r="AF170" s="27">
        <f t="shared" si="106"/>
        <v>543.93184399254346</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3.8586651562828041E-2</v>
      </c>
      <c r="C172" s="3">
        <f t="shared" si="108"/>
        <v>3.8509907994347316E-2</v>
      </c>
      <c r="D172" s="3">
        <f t="shared" si="108"/>
        <v>3.7750817204935415E-2</v>
      </c>
      <c r="E172" s="3">
        <f t="shared" si="108"/>
        <v>3.093606851809836E-2</v>
      </c>
      <c r="F172" s="3">
        <f t="shared" si="108"/>
        <v>4.2252533679807761E-3</v>
      </c>
      <c r="G172" s="3">
        <f t="shared" si="108"/>
        <v>9.5439710453671229E-12</v>
      </c>
      <c r="H172" s="3">
        <f t="shared" si="108"/>
        <v>3.299838445064608E-98</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1.6587170743194341E-2</v>
      </c>
      <c r="C173" s="3">
        <f t="shared" si="109"/>
        <v>1.6584192109899986E-2</v>
      </c>
      <c r="D173" s="3">
        <f t="shared" si="109"/>
        <v>1.655443517987969E-2</v>
      </c>
      <c r="E173" s="3">
        <f t="shared" si="109"/>
        <v>1.6259786727687617E-2</v>
      </c>
      <c r="F173" s="3">
        <f t="shared" si="109"/>
        <v>1.358687615177785E-2</v>
      </c>
      <c r="G173" s="3">
        <f t="shared" si="109"/>
        <v>2.2551079460509616E-3</v>
      </c>
      <c r="H173" s="3">
        <f t="shared" si="109"/>
        <v>3.5780344736939689E-11</v>
      </c>
      <c r="I173" s="3">
        <f t="shared" si="109"/>
        <v>3.6175652579399194E-89</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2.5762206820293312E-2</v>
      </c>
      <c r="C174" s="3">
        <f t="shared" si="110"/>
        <v>2.5761789461222376E-2</v>
      </c>
      <c r="D174" s="3">
        <f t="shared" si="110"/>
        <v>2.5757616242371995E-2</v>
      </c>
      <c r="E174" s="3">
        <f t="shared" si="110"/>
        <v>2.5715921217482392E-2</v>
      </c>
      <c r="F174" s="3">
        <f t="shared" si="110"/>
        <v>2.5302665149560831E-2</v>
      </c>
      <c r="G174" s="3">
        <f t="shared" si="110"/>
        <v>2.151830623349342E-2</v>
      </c>
      <c r="H174" s="3">
        <f t="shared" si="110"/>
        <v>4.2582018092428607E-3</v>
      </c>
      <c r="I174" s="3">
        <f t="shared" si="110"/>
        <v>3.9210989640783581E-10</v>
      </c>
      <c r="J174" s="3">
        <f t="shared" si="110"/>
        <v>1.7187924508316849E-80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2.7383349389759091E-2</v>
      </c>
      <c r="C175" s="3">
        <f t="shared" si="111"/>
        <v>2.7383309371042767E-2</v>
      </c>
      <c r="D175" s="3">
        <f t="shared" si="111"/>
        <v>2.7382909187096165E-2</v>
      </c>
      <c r="E175" s="3">
        <f t="shared" si="111"/>
        <v>2.7378907669275317E-2</v>
      </c>
      <c r="F175" s="3">
        <f t="shared" si="111"/>
        <v>2.733892463819897E-2</v>
      </c>
      <c r="G175" s="3">
        <f t="shared" si="111"/>
        <v>2.6942291725545978E-2</v>
      </c>
      <c r="H175" s="3">
        <f t="shared" si="111"/>
        <v>2.3279068526068938E-2</v>
      </c>
      <c r="I175" s="3">
        <f t="shared" si="111"/>
        <v>5.3985390030874061E-3</v>
      </c>
      <c r="J175" s="3">
        <f t="shared" si="111"/>
        <v>2.4287493079842187E-9</v>
      </c>
      <c r="K175" s="3">
        <f t="shared" si="111"/>
        <v>8.2498709416534342E-73</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2.7544953426272403E-2</v>
      </c>
      <c r="C176" s="3">
        <f t="shared" si="112"/>
        <v>2.7544949794944155E-2</v>
      </c>
      <c r="D176" s="3">
        <f t="shared" si="112"/>
        <v>2.7544913481688006E-2</v>
      </c>
      <c r="E176" s="3">
        <f t="shared" si="112"/>
        <v>2.7544550351759498E-2</v>
      </c>
      <c r="F176" s="3">
        <f t="shared" si="112"/>
        <v>2.7540919315760665E-2</v>
      </c>
      <c r="G176" s="3">
        <f t="shared" si="112"/>
        <v>2.7504635271559854E-2</v>
      </c>
      <c r="H176" s="3">
        <f t="shared" si="112"/>
        <v>2.7144413617094937E-2</v>
      </c>
      <c r="I176" s="3">
        <f t="shared" si="112"/>
        <v>2.3791739955757268E-2</v>
      </c>
      <c r="J176" s="3">
        <f t="shared" si="112"/>
        <v>6.3662487624363993E-3</v>
      </c>
      <c r="K176" s="3">
        <f t="shared" si="112"/>
        <v>1.1980021812805341E-8</v>
      </c>
      <c r="L176" s="3">
        <f t="shared" si="112"/>
        <v>6.6711030481511642E-66</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2.4311481928783244E-2</v>
      </c>
      <c r="C177" s="3">
        <f t="shared" si="113"/>
        <v>2.4311481639660994E-2</v>
      </c>
      <c r="D177" s="3">
        <f t="shared" si="113"/>
        <v>2.4311478748438684E-2</v>
      </c>
      <c r="E177" s="3">
        <f t="shared" si="113"/>
        <v>2.431144983623448E-2</v>
      </c>
      <c r="F177" s="3">
        <f t="shared" si="113"/>
        <v>2.4311160716083528E-2</v>
      </c>
      <c r="G177" s="3">
        <f t="shared" si="113"/>
        <v>2.4308269703674674E-2</v>
      </c>
      <c r="H177" s="3">
        <f t="shared" si="113"/>
        <v>2.4279378481334664E-2</v>
      </c>
      <c r="I177" s="3">
        <f t="shared" si="113"/>
        <v>2.3992348142042395E-2</v>
      </c>
      <c r="J177" s="3">
        <f t="shared" si="113"/>
        <v>2.1302209380259625E-2</v>
      </c>
      <c r="K177" s="3">
        <f t="shared" si="113"/>
        <v>6.4855019354765923E-3</v>
      </c>
      <c r="L177" s="3">
        <f t="shared" si="113"/>
        <v>4.4374455327235589E-8</v>
      </c>
      <c r="M177" s="3">
        <f t="shared" si="113"/>
        <v>9.9776314071596856E-60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3.065161444821082E-2</v>
      </c>
      <c r="C178" s="3">
        <f t="shared" si="114"/>
        <v>3.0651614415327925E-2</v>
      </c>
      <c r="D178" s="3">
        <f t="shared" si="114"/>
        <v>3.0651614086498989E-2</v>
      </c>
      <c r="E178" s="3">
        <f t="shared" si="114"/>
        <v>3.0651610798209824E-2</v>
      </c>
      <c r="F178" s="3">
        <f t="shared" si="114"/>
        <v>3.0651577915337545E-2</v>
      </c>
      <c r="G178" s="3">
        <f t="shared" si="114"/>
        <v>3.0651249088554985E-2</v>
      </c>
      <c r="H178" s="3">
        <f t="shared" si="114"/>
        <v>3.0647961014742105E-2</v>
      </c>
      <c r="I178" s="3">
        <f t="shared" si="114"/>
        <v>3.0615099670188193E-2</v>
      </c>
      <c r="J178" s="3">
        <f t="shared" si="114"/>
        <v>3.0288417906205109E-2</v>
      </c>
      <c r="K178" s="3">
        <f t="shared" si="114"/>
        <v>2.7207316009635989E-2</v>
      </c>
      <c r="L178" s="3">
        <f t="shared" si="114"/>
        <v>9.3062951373603167E-3</v>
      </c>
      <c r="M178" s="3">
        <f t="shared" si="114"/>
        <v>2.0402718023699629E-7</v>
      </c>
      <c r="N178" s="3">
        <f t="shared" si="114"/>
        <v>5.2335946951025275E-54</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3.7612531886493002E-2</v>
      </c>
      <c r="C179" s="3">
        <f t="shared" si="115"/>
        <v>3.7612531882853052E-2</v>
      </c>
      <c r="D179" s="3">
        <f t="shared" si="115"/>
        <v>3.7612531846453516E-2</v>
      </c>
      <c r="E179" s="3">
        <f t="shared" si="115"/>
        <v>3.7612531482458168E-2</v>
      </c>
      <c r="F179" s="3">
        <f t="shared" si="115"/>
        <v>3.7612527842504878E-2</v>
      </c>
      <c r="G179" s="3">
        <f t="shared" si="115"/>
        <v>3.7612491442991378E-2</v>
      </c>
      <c r="H179" s="3">
        <f t="shared" si="115"/>
        <v>3.7612127449793746E-2</v>
      </c>
      <c r="I179" s="3">
        <f t="shared" si="115"/>
        <v>3.7608487711550856E-2</v>
      </c>
      <c r="J179" s="3">
        <f t="shared" si="115"/>
        <v>3.7572109695527413E-2</v>
      </c>
      <c r="K179" s="3">
        <f t="shared" si="115"/>
        <v>3.7210259259270094E-2</v>
      </c>
      <c r="L179" s="3">
        <f t="shared" si="115"/>
        <v>3.3777992818850848E-2</v>
      </c>
      <c r="M179" s="3">
        <f t="shared" si="115"/>
        <v>1.2833504579647336E-2</v>
      </c>
      <c r="N179" s="3">
        <f t="shared" si="115"/>
        <v>8.0437687910133951E-7</v>
      </c>
      <c r="O179" s="3">
        <f t="shared" si="115"/>
        <v>7.5266664028575153E-49</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3.7657090461217797E-2</v>
      </c>
      <c r="C180" s="3">
        <f t="shared" si="116"/>
        <v>3.7657090460889053E-2</v>
      </c>
      <c r="D180" s="3">
        <f t="shared" si="116"/>
        <v>3.765709045760162E-2</v>
      </c>
      <c r="E180" s="3">
        <f t="shared" si="116"/>
        <v>3.7657090424727313E-2</v>
      </c>
      <c r="F180" s="3">
        <f t="shared" si="116"/>
        <v>3.7657090095984239E-2</v>
      </c>
      <c r="G180" s="3">
        <f t="shared" si="116"/>
        <v>3.7657086808553612E-2</v>
      </c>
      <c r="H180" s="3">
        <f t="shared" si="116"/>
        <v>3.7657053934263163E-2</v>
      </c>
      <c r="I180" s="3">
        <f t="shared" si="116"/>
        <v>3.7656725192937092E-2</v>
      </c>
      <c r="J180" s="3">
        <f t="shared" si="116"/>
        <v>3.7653437937515098E-2</v>
      </c>
      <c r="K180" s="3">
        <f t="shared" si="116"/>
        <v>3.7620581162071155E-2</v>
      </c>
      <c r="L180" s="3">
        <f t="shared" si="116"/>
        <v>3.7293586200459611E-2</v>
      </c>
      <c r="M180" s="3">
        <f t="shared" si="116"/>
        <v>3.4175952098685076E-2</v>
      </c>
      <c r="N180" s="3">
        <f t="shared" si="116"/>
        <v>1.4275304091377927E-2</v>
      </c>
      <c r="O180" s="3">
        <f t="shared" si="116"/>
        <v>2.3079841847372841E-6</v>
      </c>
      <c r="P180" s="3">
        <f t="shared" si="116"/>
        <v>2.8164849219814393E-44</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2.8120844597552166E-2</v>
      </c>
      <c r="C181" s="3">
        <f t="shared" si="117"/>
        <v>2.8120844597530021E-2</v>
      </c>
      <c r="D181" s="3">
        <f t="shared" si="117"/>
        <v>2.8120844597308566E-2</v>
      </c>
      <c r="E181" s="3">
        <f t="shared" si="117"/>
        <v>2.8120844595094018E-2</v>
      </c>
      <c r="F181" s="3">
        <f t="shared" si="117"/>
        <v>2.8120844572948556E-2</v>
      </c>
      <c r="G181" s="3">
        <f t="shared" si="117"/>
        <v>2.8120844351493902E-2</v>
      </c>
      <c r="H181" s="3">
        <f t="shared" si="117"/>
        <v>2.8120842136947481E-2</v>
      </c>
      <c r="I181" s="3">
        <f t="shared" si="117"/>
        <v>2.8120819991492858E-2</v>
      </c>
      <c r="J181" s="3">
        <f t="shared" si="117"/>
        <v>2.8120598537905831E-2</v>
      </c>
      <c r="K181" s="3">
        <f t="shared" si="117"/>
        <v>2.8118384097951293E-2</v>
      </c>
      <c r="L181" s="3">
        <f t="shared" si="117"/>
        <v>2.8096249287185838E-2</v>
      </c>
      <c r="M181" s="3">
        <f t="shared" si="117"/>
        <v>2.7875857269431328E-2</v>
      </c>
      <c r="N181" s="3">
        <f t="shared" si="117"/>
        <v>2.5764817950304351E-2</v>
      </c>
      <c r="O181" s="3">
        <f t="shared" si="117"/>
        <v>1.1722373047450248E-2</v>
      </c>
      <c r="P181" s="3">
        <f t="shared" si="117"/>
        <v>4.4555378463235329E-6</v>
      </c>
      <c r="Q181" s="3">
        <f t="shared" si="117"/>
        <v>2.8037941585330594E-40</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2.7436977184880539E-2</v>
      </c>
      <c r="C182" s="3">
        <f t="shared" si="118"/>
        <v>2.7436977184878589E-2</v>
      </c>
      <c r="D182" s="3">
        <f t="shared" si="118"/>
        <v>2.7436977184859098E-2</v>
      </c>
      <c r="E182" s="3">
        <f t="shared" si="118"/>
        <v>2.7436977184664185E-2</v>
      </c>
      <c r="F182" s="3">
        <f t="shared" si="118"/>
        <v>2.7436977182715063E-2</v>
      </c>
      <c r="G182" s="3">
        <f t="shared" si="118"/>
        <v>2.7436977163223828E-2</v>
      </c>
      <c r="H182" s="3">
        <f t="shared" si="118"/>
        <v>2.7436976968311506E-2</v>
      </c>
      <c r="I182" s="3">
        <f t="shared" si="118"/>
        <v>2.7436975019188337E-2</v>
      </c>
      <c r="J182" s="3">
        <f t="shared" si="118"/>
        <v>2.7436955527964303E-2</v>
      </c>
      <c r="K182" s="3">
        <f t="shared" si="118"/>
        <v>2.7436760616485485E-2</v>
      </c>
      <c r="L182" s="3">
        <f t="shared" si="118"/>
        <v>2.7434811577851239E-2</v>
      </c>
      <c r="M182" s="3">
        <f t="shared" si="118"/>
        <v>2.7415328804900961E-2</v>
      </c>
      <c r="N182" s="3">
        <f t="shared" si="118"/>
        <v>2.7221260417246519E-2</v>
      </c>
      <c r="O182" s="3">
        <f t="shared" si="118"/>
        <v>2.5354552170879282E-2</v>
      </c>
      <c r="P182" s="3">
        <f t="shared" si="118"/>
        <v>1.2460431509224924E-2</v>
      </c>
      <c r="Q182" s="3">
        <f t="shared" si="118"/>
        <v>1.0240106287235463E-5</v>
      </c>
      <c r="R182" s="3">
        <f t="shared" si="118"/>
        <v>1.4388591572594359E-36</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2.8525679875278025E-2</v>
      </c>
      <c r="C183" s="3">
        <f t="shared" si="119"/>
        <v>2.8525679875277841E-2</v>
      </c>
      <c r="D183" s="3">
        <f t="shared" si="119"/>
        <v>2.8525679875276013E-2</v>
      </c>
      <c r="E183" s="3">
        <f t="shared" si="119"/>
        <v>2.8525679875257729E-2</v>
      </c>
      <c r="F183" s="3">
        <f t="shared" si="119"/>
        <v>2.8525679875074927E-2</v>
      </c>
      <c r="G183" s="3">
        <f t="shared" si="119"/>
        <v>2.8525679873246886E-2</v>
      </c>
      <c r="H183" s="3">
        <f t="shared" si="119"/>
        <v>2.8525679854966492E-2</v>
      </c>
      <c r="I183" s="3">
        <f t="shared" si="119"/>
        <v>2.8525679672162518E-2</v>
      </c>
      <c r="J183" s="3">
        <f t="shared" si="119"/>
        <v>2.852567784412284E-2</v>
      </c>
      <c r="K183" s="3">
        <f t="shared" si="119"/>
        <v>2.8525659563732503E-2</v>
      </c>
      <c r="L183" s="3">
        <f t="shared" si="119"/>
        <v>2.8525476760473494E-2</v>
      </c>
      <c r="M183" s="3">
        <f t="shared" si="119"/>
        <v>2.852364879231313E-2</v>
      </c>
      <c r="N183" s="3">
        <f t="shared" si="119"/>
        <v>2.8505375552158058E-2</v>
      </c>
      <c r="O183" s="3">
        <f t="shared" si="119"/>
        <v>2.8323285770740836E-2</v>
      </c>
      <c r="P183" s="3">
        <f t="shared" si="119"/>
        <v>2.6565152015063088E-2</v>
      </c>
      <c r="Q183" s="3">
        <f t="shared" si="119"/>
        <v>1.399584156207901E-2</v>
      </c>
      <c r="R183" s="3">
        <f t="shared" si="119"/>
        <v>2.3060362916539773E-5</v>
      </c>
      <c r="S183" s="3">
        <f t="shared" si="119"/>
        <v>3.4004574202780504E-33</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2.7750514458376233E-2</v>
      </c>
      <c r="C184" s="3">
        <f t="shared" si="120"/>
        <v>2.7750514458376219E-2</v>
      </c>
      <c r="D184" s="3">
        <f t="shared" si="120"/>
        <v>2.7750514458376056E-2</v>
      </c>
      <c r="E184" s="3">
        <f t="shared" si="120"/>
        <v>2.7750514458374453E-2</v>
      </c>
      <c r="F184" s="3">
        <f t="shared" si="120"/>
        <v>2.7750514458358411E-2</v>
      </c>
      <c r="G184" s="3">
        <f t="shared" si="120"/>
        <v>2.775051445819799E-2</v>
      </c>
      <c r="H184" s="3">
        <f t="shared" si="120"/>
        <v>2.7750514456593756E-2</v>
      </c>
      <c r="I184" s="3">
        <f t="shared" si="120"/>
        <v>2.7750514440551436E-2</v>
      </c>
      <c r="J184" s="3">
        <f t="shared" si="120"/>
        <v>2.7750514280128202E-2</v>
      </c>
      <c r="K184" s="3">
        <f t="shared" si="120"/>
        <v>2.7750512675895945E-2</v>
      </c>
      <c r="L184" s="3">
        <f t="shared" si="120"/>
        <v>2.7750496633578457E-2</v>
      </c>
      <c r="M184" s="3">
        <f t="shared" si="120"/>
        <v>2.7750336210913645E-2</v>
      </c>
      <c r="N184" s="3">
        <f t="shared" si="120"/>
        <v>2.7748732035270899E-2</v>
      </c>
      <c r="O184" s="3">
        <f t="shared" si="120"/>
        <v>2.7732695378289027E-2</v>
      </c>
      <c r="P184" s="3">
        <f t="shared" si="120"/>
        <v>2.7572837663974229E-2</v>
      </c>
      <c r="Q184" s="3">
        <f t="shared" si="120"/>
        <v>2.6024074286916981E-2</v>
      </c>
      <c r="R184" s="3">
        <f t="shared" si="120"/>
        <v>1.4598678715206183E-2</v>
      </c>
      <c r="S184" s="3">
        <f t="shared" si="120"/>
        <v>4.5050141456432285E-5</v>
      </c>
      <c r="T184" s="3">
        <f t="shared" si="120"/>
        <v>3.5279485328206317E-30</v>
      </c>
      <c r="U184" s="3">
        <f t="shared" si="120"/>
        <v>3.0604342900764888E-281</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2.6288987576301423E-2</v>
      </c>
      <c r="C185" s="3">
        <f t="shared" si="121"/>
        <v>2.628898757630142E-2</v>
      </c>
      <c r="D185" s="3">
        <f t="shared" si="121"/>
        <v>2.6288987576301409E-2</v>
      </c>
      <c r="E185" s="3">
        <f t="shared" si="121"/>
        <v>2.628898757630127E-2</v>
      </c>
      <c r="F185" s="3">
        <f t="shared" si="121"/>
        <v>2.62889875762999E-2</v>
      </c>
      <c r="G185" s="3">
        <f t="shared" si="121"/>
        <v>2.6288987576286192E-2</v>
      </c>
      <c r="H185" s="3">
        <f t="shared" si="121"/>
        <v>2.6288987576149097E-2</v>
      </c>
      <c r="I185" s="3">
        <f t="shared" si="121"/>
        <v>2.6288987574778162E-2</v>
      </c>
      <c r="J185" s="3">
        <f t="shared" si="121"/>
        <v>2.628898756106882E-2</v>
      </c>
      <c r="K185" s="3">
        <f t="shared" si="121"/>
        <v>2.6288987423975379E-2</v>
      </c>
      <c r="L185" s="3">
        <f t="shared" si="121"/>
        <v>2.6288986053041027E-2</v>
      </c>
      <c r="M185" s="3">
        <f t="shared" si="121"/>
        <v>2.6288972343701401E-2</v>
      </c>
      <c r="N185" s="3">
        <f t="shared" si="121"/>
        <v>2.6288835250698379E-2</v>
      </c>
      <c r="O185" s="3">
        <f t="shared" si="121"/>
        <v>2.6287464359988091E-2</v>
      </c>
      <c r="P185" s="3">
        <f t="shared" si="121"/>
        <v>2.6273759384120823E-2</v>
      </c>
      <c r="Q185" s="3">
        <f t="shared" si="121"/>
        <v>2.6137101991533351E-2</v>
      </c>
      <c r="R185" s="3">
        <f t="shared" si="121"/>
        <v>2.4809018048665653E-2</v>
      </c>
      <c r="S185" s="3">
        <f t="shared" si="121"/>
        <v>1.4727566757309652E-2</v>
      </c>
      <c r="T185" s="3">
        <f t="shared" si="121"/>
        <v>8.0047034880515605E-5</v>
      </c>
      <c r="U185" s="3">
        <f t="shared" si="121"/>
        <v>1.8008923061897069E-27</v>
      </c>
      <c r="V185" s="3">
        <f t="shared" si="121"/>
        <v>5.9829128427011686E-254</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3.6959544904792516E-2</v>
      </c>
      <c r="C186" s="3">
        <f t="shared" si="122"/>
        <v>3.6959544904792516E-2</v>
      </c>
      <c r="D186" s="3">
        <f t="shared" si="122"/>
        <v>3.6959544904792516E-2</v>
      </c>
      <c r="E186" s="3">
        <f t="shared" si="122"/>
        <v>3.6959544904792495E-2</v>
      </c>
      <c r="F186" s="3">
        <f t="shared" si="122"/>
        <v>3.6959544904792321E-2</v>
      </c>
      <c r="G186" s="3">
        <f t="shared" si="122"/>
        <v>3.695954490479058E-2</v>
      </c>
      <c r="H186" s="3">
        <f t="shared" si="122"/>
        <v>3.6959544904773198E-2</v>
      </c>
      <c r="I186" s="3">
        <f t="shared" si="122"/>
        <v>3.695954490459933E-2</v>
      </c>
      <c r="J186" s="3">
        <f t="shared" si="122"/>
        <v>3.6959544902860665E-2</v>
      </c>
      <c r="K186" s="3">
        <f t="shared" si="122"/>
        <v>3.6959544885474011E-2</v>
      </c>
      <c r="L186" s="3">
        <f t="shared" si="122"/>
        <v>3.6959544711607464E-2</v>
      </c>
      <c r="M186" s="3">
        <f t="shared" si="122"/>
        <v>3.6959542972942093E-2</v>
      </c>
      <c r="N186" s="3">
        <f t="shared" si="122"/>
        <v>3.6959525586292813E-2</v>
      </c>
      <c r="O186" s="3">
        <f t="shared" si="122"/>
        <v>3.6959351720249882E-2</v>
      </c>
      <c r="P186" s="3">
        <f t="shared" si="122"/>
        <v>3.6957613104804735E-2</v>
      </c>
      <c r="Q186" s="3">
        <f t="shared" si="122"/>
        <v>3.6940231447987387E-2</v>
      </c>
      <c r="R186" s="3">
        <f t="shared" si="122"/>
        <v>3.67668638613666E-2</v>
      </c>
      <c r="S186" s="3">
        <f t="shared" si="122"/>
        <v>3.5077314403355944E-2</v>
      </c>
      <c r="T186" s="3">
        <f t="shared" si="122"/>
        <v>2.1914109102239839E-2</v>
      </c>
      <c r="U186" s="3">
        <f t="shared" si="122"/>
        <v>1.9847173233161888E-4</v>
      </c>
      <c r="V186" s="3">
        <f t="shared" si="122"/>
        <v>7.3696535014941206E-25</v>
      </c>
      <c r="W186" s="3">
        <f t="shared" si="122"/>
        <v>3.6722408444596604E-229</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5.8251521271899753E-2</v>
      </c>
      <c r="C187" s="3">
        <f t="shared" si="123"/>
        <v>5.8251521271899753E-2</v>
      </c>
      <c r="D187" s="3">
        <f t="shared" si="123"/>
        <v>5.8251521271899753E-2</v>
      </c>
      <c r="E187" s="3">
        <f t="shared" si="123"/>
        <v>5.8251521271899753E-2</v>
      </c>
      <c r="F187" s="3">
        <f t="shared" si="123"/>
        <v>5.8251521271899726E-2</v>
      </c>
      <c r="G187" s="3">
        <f t="shared" si="123"/>
        <v>5.8251521271899483E-2</v>
      </c>
      <c r="H187" s="3">
        <f t="shared" si="123"/>
        <v>5.8251521271897005E-2</v>
      </c>
      <c r="I187" s="3">
        <f t="shared" si="123"/>
        <v>5.8251521271872289E-2</v>
      </c>
      <c r="J187" s="3">
        <f t="shared" si="123"/>
        <v>5.8251521271625091E-2</v>
      </c>
      <c r="K187" s="3">
        <f t="shared" si="123"/>
        <v>5.8251521269153117E-2</v>
      </c>
      <c r="L187" s="3">
        <f t="shared" si="123"/>
        <v>5.8251521244433412E-2</v>
      </c>
      <c r="M187" s="3">
        <f t="shared" si="123"/>
        <v>5.8251520997236378E-2</v>
      </c>
      <c r="N187" s="3">
        <f t="shared" si="123"/>
        <v>5.8251518525266041E-2</v>
      </c>
      <c r="O187" s="3">
        <f t="shared" si="123"/>
        <v>5.8251493805568447E-2</v>
      </c>
      <c r="P187" s="3">
        <f t="shared" si="123"/>
        <v>5.8251246609169464E-2</v>
      </c>
      <c r="Q187" s="3">
        <f t="shared" si="123"/>
        <v>5.8248774702874137E-2</v>
      </c>
      <c r="R187" s="3">
        <f t="shared" si="123"/>
        <v>5.8224061408464547E-2</v>
      </c>
      <c r="S187" s="3">
        <f t="shared" si="123"/>
        <v>5.7977504414023329E-2</v>
      </c>
      <c r="T187" s="3">
        <f t="shared" si="123"/>
        <v>5.5568635288080474E-2</v>
      </c>
      <c r="U187" s="3">
        <f t="shared" si="123"/>
        <v>3.6352297624682776E-2</v>
      </c>
      <c r="V187" s="3">
        <f t="shared" si="123"/>
        <v>5.2185903701195053E-4</v>
      </c>
      <c r="W187" s="3">
        <f t="shared" si="123"/>
        <v>1.9398432591876718E-22</v>
      </c>
      <c r="X187" s="3">
        <f t="shared" si="123"/>
        <v>9.7701437802590193E-207</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6.389288103223241E-2</v>
      </c>
      <c r="C188" s="3">
        <f t="shared" si="124"/>
        <v>6.389288103223241E-2</v>
      </c>
      <c r="D188" s="3">
        <f t="shared" si="124"/>
        <v>6.389288103223241E-2</v>
      </c>
      <c r="E188" s="3">
        <f t="shared" si="124"/>
        <v>6.389288103223241E-2</v>
      </c>
      <c r="F188" s="3">
        <f t="shared" si="124"/>
        <v>6.389288103223241E-2</v>
      </c>
      <c r="G188" s="3">
        <f t="shared" si="124"/>
        <v>6.3892881032232382E-2</v>
      </c>
      <c r="H188" s="3">
        <f t="shared" si="124"/>
        <v>6.3892881032232146E-2</v>
      </c>
      <c r="I188" s="3">
        <f t="shared" si="124"/>
        <v>6.389288103222969E-2</v>
      </c>
      <c r="J188" s="3">
        <f t="shared" si="124"/>
        <v>6.3892881032205237E-2</v>
      </c>
      <c r="K188" s="3">
        <f t="shared" si="124"/>
        <v>6.3892881031960641E-2</v>
      </c>
      <c r="L188" s="3">
        <f t="shared" si="124"/>
        <v>6.3892881029514764E-2</v>
      </c>
      <c r="M188" s="3">
        <f t="shared" si="124"/>
        <v>6.3892881005055968E-2</v>
      </c>
      <c r="N188" s="3">
        <f t="shared" si="124"/>
        <v>6.3892880760468021E-2</v>
      </c>
      <c r="O188" s="3">
        <f t="shared" si="124"/>
        <v>6.3892878314588578E-2</v>
      </c>
      <c r="P188" s="3">
        <f t="shared" si="124"/>
        <v>6.3892853855799306E-2</v>
      </c>
      <c r="Q188" s="3">
        <f t="shared" si="124"/>
        <v>6.389260926842151E-2</v>
      </c>
      <c r="R188" s="3">
        <f t="shared" si="124"/>
        <v>6.389016344613957E-2</v>
      </c>
      <c r="S188" s="3">
        <f t="shared" si="124"/>
        <v>6.386571037219084E-2</v>
      </c>
      <c r="T188" s="3">
        <f t="shared" si="124"/>
        <v>6.3621693791236458E-2</v>
      </c>
      <c r="U188" s="3">
        <f t="shared" si="124"/>
        <v>6.1232222980384526E-2</v>
      </c>
      <c r="V188" s="3">
        <f t="shared" si="124"/>
        <v>4.1756877879258449E-2</v>
      </c>
      <c r="W188" s="3">
        <f t="shared" si="124"/>
        <v>9.0825531901850569E-4</v>
      </c>
      <c r="X188" s="3">
        <f t="shared" si="124"/>
        <v>2.1528176956264305E-20</v>
      </c>
      <c r="Y188" s="3">
        <f t="shared" si="124"/>
        <v>1.2050367760287565E-186</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5.5851877003500798E-2</v>
      </c>
      <c r="C189" s="3">
        <f t="shared" si="125"/>
        <v>5.5851877003500798E-2</v>
      </c>
      <c r="D189" s="3">
        <f t="shared" si="125"/>
        <v>5.5851877003500798E-2</v>
      </c>
      <c r="E189" s="3">
        <f t="shared" si="125"/>
        <v>5.5851877003500798E-2</v>
      </c>
      <c r="F189" s="3">
        <f t="shared" si="125"/>
        <v>5.5851877003500798E-2</v>
      </c>
      <c r="G189" s="3">
        <f t="shared" si="125"/>
        <v>5.5851877003500798E-2</v>
      </c>
      <c r="H189" s="3">
        <f t="shared" si="125"/>
        <v>5.5851877003500777E-2</v>
      </c>
      <c r="I189" s="3">
        <f t="shared" si="125"/>
        <v>5.5851877003500583E-2</v>
      </c>
      <c r="J189" s="3">
        <f t="shared" si="125"/>
        <v>5.5851877003498654E-2</v>
      </c>
      <c r="K189" s="3">
        <f t="shared" si="125"/>
        <v>5.5851877003479371E-2</v>
      </c>
      <c r="L189" s="3">
        <f t="shared" si="125"/>
        <v>5.5851877003286497E-2</v>
      </c>
      <c r="M189" s="3">
        <f t="shared" si="125"/>
        <v>5.585187700135779E-2</v>
      </c>
      <c r="N189" s="3">
        <f t="shared" si="125"/>
        <v>5.5851876982070683E-2</v>
      </c>
      <c r="O189" s="3">
        <f t="shared" si="125"/>
        <v>5.585187678919968E-2</v>
      </c>
      <c r="P189" s="3">
        <f t="shared" si="125"/>
        <v>5.5851874860489641E-2</v>
      </c>
      <c r="Q189" s="3">
        <f t="shared" si="125"/>
        <v>5.5851855573392957E-2</v>
      </c>
      <c r="R189" s="3">
        <f t="shared" si="125"/>
        <v>5.5851662702792404E-2</v>
      </c>
      <c r="S189" s="3">
        <f t="shared" si="125"/>
        <v>5.5849734033418176E-2</v>
      </c>
      <c r="T189" s="3">
        <f t="shared" si="125"/>
        <v>5.5830451002340582E-2</v>
      </c>
      <c r="U189" s="3">
        <f t="shared" si="125"/>
        <v>5.5637986490484299E-2</v>
      </c>
      <c r="V189" s="3">
        <f t="shared" si="125"/>
        <v>5.3749458166247391E-2</v>
      </c>
      <c r="W189" s="3">
        <f t="shared" si="125"/>
        <v>3.8054055697748633E-2</v>
      </c>
      <c r="X189" s="3">
        <f t="shared" si="125"/>
        <v>1.2041193581531196E-3</v>
      </c>
      <c r="Y189" s="3">
        <f t="shared" si="125"/>
        <v>1.2115892958459302E-18</v>
      </c>
      <c r="Z189" s="3">
        <f t="shared" si="125"/>
        <v>1.2888854503580687E-168</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6.3492649829387265E-2</v>
      </c>
      <c r="C190" s="3">
        <f t="shared" si="126"/>
        <v>6.3492649829387265E-2</v>
      </c>
      <c r="D190" s="3">
        <f t="shared" si="126"/>
        <v>6.3492649829387265E-2</v>
      </c>
      <c r="E190" s="3">
        <f t="shared" si="126"/>
        <v>6.3492649829387265E-2</v>
      </c>
      <c r="F190" s="3">
        <f t="shared" si="126"/>
        <v>6.3492649829387265E-2</v>
      </c>
      <c r="G190" s="3">
        <f t="shared" si="126"/>
        <v>6.3492649829387265E-2</v>
      </c>
      <c r="H190" s="3">
        <f t="shared" si="126"/>
        <v>6.3492649829387265E-2</v>
      </c>
      <c r="I190" s="3">
        <f t="shared" si="126"/>
        <v>6.3492649829387238E-2</v>
      </c>
      <c r="J190" s="3">
        <f t="shared" si="126"/>
        <v>6.3492649829387043E-2</v>
      </c>
      <c r="K190" s="3">
        <f t="shared" si="126"/>
        <v>6.3492649829385073E-2</v>
      </c>
      <c r="L190" s="3">
        <f t="shared" si="126"/>
        <v>6.3492649829365283E-2</v>
      </c>
      <c r="M190" s="3">
        <f t="shared" si="126"/>
        <v>6.3492649829167497E-2</v>
      </c>
      <c r="N190" s="3">
        <f t="shared" si="126"/>
        <v>6.3492649827189621E-2</v>
      </c>
      <c r="O190" s="3">
        <f t="shared" si="126"/>
        <v>6.3492649807410859E-2</v>
      </c>
      <c r="P190" s="3">
        <f t="shared" si="126"/>
        <v>6.3492649609623183E-2</v>
      </c>
      <c r="Q190" s="3">
        <f t="shared" si="126"/>
        <v>6.3492647631746502E-2</v>
      </c>
      <c r="R190" s="3">
        <f t="shared" si="126"/>
        <v>6.3492627852983013E-2</v>
      </c>
      <c r="S190" s="3">
        <f t="shared" si="126"/>
        <v>6.3492430065687097E-2</v>
      </c>
      <c r="T190" s="3">
        <f t="shared" si="126"/>
        <v>6.3490452226614799E-2</v>
      </c>
      <c r="U190" s="3">
        <f t="shared" si="126"/>
        <v>6.3470677224193472E-2</v>
      </c>
      <c r="V190" s="3">
        <f t="shared" si="126"/>
        <v>6.3273265639929507E-2</v>
      </c>
      <c r="W190" s="3">
        <f t="shared" si="126"/>
        <v>6.1332606936409698E-2</v>
      </c>
      <c r="X190" s="3">
        <f t="shared" si="126"/>
        <v>4.4916217366556689E-2</v>
      </c>
      <c r="Y190" s="3">
        <f t="shared" si="126"/>
        <v>1.9930613922086132E-3</v>
      </c>
      <c r="Z190" s="3">
        <f t="shared" si="126"/>
        <v>5.897876744528171E-17</v>
      </c>
      <c r="AA190" s="3">
        <f t="shared" si="126"/>
        <v>3.0370074038631969E-152</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2.3429910997179341E-2</v>
      </c>
      <c r="C191" s="3">
        <f t="shared" si="127"/>
        <v>2.3429910997179341E-2</v>
      </c>
      <c r="D191" s="3">
        <f t="shared" si="127"/>
        <v>2.3429910997179341E-2</v>
      </c>
      <c r="E191" s="3">
        <f t="shared" si="127"/>
        <v>2.3429910997179341E-2</v>
      </c>
      <c r="F191" s="3">
        <f t="shared" si="127"/>
        <v>2.3429910997179341E-2</v>
      </c>
      <c r="G191" s="3">
        <f t="shared" si="127"/>
        <v>2.3429910997179341E-2</v>
      </c>
      <c r="H191" s="3">
        <f t="shared" si="127"/>
        <v>2.3429910997179341E-2</v>
      </c>
      <c r="I191" s="3">
        <f t="shared" si="127"/>
        <v>2.3429910997179341E-2</v>
      </c>
      <c r="J191" s="3">
        <f t="shared" si="127"/>
        <v>2.3429910997179334E-2</v>
      </c>
      <c r="K191" s="3">
        <f t="shared" si="127"/>
        <v>2.3429910997179268E-2</v>
      </c>
      <c r="L191" s="3">
        <f t="shared" si="127"/>
        <v>2.3429910997178609E-2</v>
      </c>
      <c r="M191" s="3">
        <f t="shared" si="127"/>
        <v>2.3429910997172027E-2</v>
      </c>
      <c r="N191" s="3">
        <f t="shared" si="127"/>
        <v>2.3429910997106184E-2</v>
      </c>
      <c r="O191" s="3">
        <f t="shared" si="127"/>
        <v>2.342991099644778E-2</v>
      </c>
      <c r="P191" s="3">
        <f t="shared" si="127"/>
        <v>2.3429910989863731E-2</v>
      </c>
      <c r="Q191" s="3">
        <f t="shared" si="127"/>
        <v>2.3429910924023252E-2</v>
      </c>
      <c r="R191" s="3">
        <f t="shared" si="127"/>
        <v>2.3429910265618449E-2</v>
      </c>
      <c r="S191" s="3">
        <f t="shared" si="127"/>
        <v>2.3429903681571447E-2</v>
      </c>
      <c r="T191" s="3">
        <f t="shared" si="127"/>
        <v>2.3429837841203203E-2</v>
      </c>
      <c r="U191" s="3">
        <f t="shared" si="127"/>
        <v>2.3429179447696635E-2</v>
      </c>
      <c r="V191" s="3">
        <f t="shared" si="127"/>
        <v>2.3422596530115639E-2</v>
      </c>
      <c r="W191" s="3">
        <f t="shared" si="127"/>
        <v>2.3356868997060069E-2</v>
      </c>
      <c r="X191" s="3">
        <f t="shared" si="127"/>
        <v>2.2709653049737266E-2</v>
      </c>
      <c r="Y191" s="3">
        <f t="shared" si="127"/>
        <v>1.7146253607298143E-2</v>
      </c>
      <c r="Z191" s="3">
        <f t="shared" si="127"/>
        <v>1.0321829488407729E-3</v>
      </c>
      <c r="AA191" s="3">
        <f t="shared" si="127"/>
        <v>6.4510596097523549E-16</v>
      </c>
      <c r="AB191" s="3">
        <f t="shared" si="127"/>
        <v>5.8664422473386382E-138</v>
      </c>
      <c r="AC191" s="3">
        <f t="shared" si="127"/>
        <v>0</v>
      </c>
      <c r="AD191" s="3">
        <f t="shared" si="127"/>
        <v>0</v>
      </c>
      <c r="AE191" s="3">
        <f t="shared" si="127"/>
        <v>0</v>
      </c>
      <c r="AF191" s="3">
        <f t="shared" si="127"/>
        <v>0</v>
      </c>
      <c r="AG191" s="3"/>
      <c r="AH191" s="3"/>
    </row>
    <row r="192" spans="2:34" x14ac:dyDescent="0.25">
      <c r="B192" s="3">
        <f t="shared" ref="B192:AF192" si="128">$C39*EXP(-B$168/$A39/EXP(-$C$126))</f>
        <v>6.1780961618441606E-2</v>
      </c>
      <c r="C192" s="3">
        <f t="shared" si="128"/>
        <v>6.1780961618441606E-2</v>
      </c>
      <c r="D192" s="3">
        <f t="shared" si="128"/>
        <v>6.1780961618441606E-2</v>
      </c>
      <c r="E192" s="3">
        <f t="shared" si="128"/>
        <v>6.1780961618441606E-2</v>
      </c>
      <c r="F192" s="3">
        <f t="shared" si="128"/>
        <v>6.1780961618441606E-2</v>
      </c>
      <c r="G192" s="3">
        <f t="shared" si="128"/>
        <v>6.1780961618441606E-2</v>
      </c>
      <c r="H192" s="3">
        <f t="shared" si="128"/>
        <v>6.1780961618441606E-2</v>
      </c>
      <c r="I192" s="3">
        <f t="shared" si="128"/>
        <v>6.1780961618441606E-2</v>
      </c>
      <c r="J192" s="3">
        <f t="shared" si="128"/>
        <v>6.1780961618441599E-2</v>
      </c>
      <c r="K192" s="3">
        <f t="shared" si="128"/>
        <v>6.178096161844155E-2</v>
      </c>
      <c r="L192" s="3">
        <f t="shared" si="128"/>
        <v>6.1780961618441071E-2</v>
      </c>
      <c r="M192" s="3">
        <f t="shared" si="128"/>
        <v>6.178096161843627E-2</v>
      </c>
      <c r="N192" s="3">
        <f t="shared" si="128"/>
        <v>6.1780961618388253E-2</v>
      </c>
      <c r="O192" s="3">
        <f t="shared" si="128"/>
        <v>6.1780961617908088E-2</v>
      </c>
      <c r="P192" s="3">
        <f t="shared" si="128"/>
        <v>6.178096161310645E-2</v>
      </c>
      <c r="Q192" s="3">
        <f t="shared" si="128"/>
        <v>6.1780961565090019E-2</v>
      </c>
      <c r="R192" s="3">
        <f t="shared" si="128"/>
        <v>6.1780961084925701E-2</v>
      </c>
      <c r="S192" s="3">
        <f t="shared" si="128"/>
        <v>6.1780956283282742E-2</v>
      </c>
      <c r="T192" s="3">
        <f t="shared" si="128"/>
        <v>6.1780908266873734E-2</v>
      </c>
      <c r="U192" s="3">
        <f t="shared" si="128"/>
        <v>6.1780428104836138E-2</v>
      </c>
      <c r="V192" s="3">
        <f t="shared" si="128"/>
        <v>6.177562668970582E-2</v>
      </c>
      <c r="W192" s="3">
        <f t="shared" si="128"/>
        <v>6.1727633057064586E-2</v>
      </c>
      <c r="X192" s="3">
        <f t="shared" si="128"/>
        <v>6.1249742708633786E-2</v>
      </c>
      <c r="Y192" s="3">
        <f t="shared" si="128"/>
        <v>5.6669673810973084E-2</v>
      </c>
      <c r="Z192" s="3">
        <f t="shared" si="128"/>
        <v>2.6050445481909497E-2</v>
      </c>
      <c r="AA192" s="3">
        <f t="shared" si="128"/>
        <v>1.0976391034431628E-5</v>
      </c>
      <c r="AB192" s="3">
        <f t="shared" si="128"/>
        <v>1.9359927643444893E-39</v>
      </c>
      <c r="AC192" s="3">
        <f t="shared" si="128"/>
        <v>0</v>
      </c>
      <c r="AD192" s="3">
        <f t="shared" si="128"/>
        <v>0</v>
      </c>
      <c r="AE192" s="3">
        <f t="shared" si="128"/>
        <v>0</v>
      </c>
      <c r="AF192" s="3">
        <f t="shared" si="128"/>
        <v>0</v>
      </c>
      <c r="AG192" s="3"/>
      <c r="AH192" s="3"/>
    </row>
    <row r="193" spans="1:34" x14ac:dyDescent="0.25">
      <c r="B193" s="3">
        <f t="shared" ref="B193:AF193" si="129">$C40*EXP(-B$168/$A40/EXP(-$C$126))</f>
        <v>4.2169062984942343E-2</v>
      </c>
      <c r="C193" s="3">
        <f t="shared" si="129"/>
        <v>4.2169062984942343E-2</v>
      </c>
      <c r="D193" s="3">
        <f t="shared" si="129"/>
        <v>4.2169062984942343E-2</v>
      </c>
      <c r="E193" s="3">
        <f t="shared" si="129"/>
        <v>4.2169062984942343E-2</v>
      </c>
      <c r="F193" s="3">
        <f t="shared" si="129"/>
        <v>4.2169062984942343E-2</v>
      </c>
      <c r="G193" s="3">
        <f t="shared" si="129"/>
        <v>4.2169062984942343E-2</v>
      </c>
      <c r="H193" s="3">
        <f t="shared" si="129"/>
        <v>4.2169062984942343E-2</v>
      </c>
      <c r="I193" s="3">
        <f t="shared" si="129"/>
        <v>4.2169062984942343E-2</v>
      </c>
      <c r="J193" s="3">
        <f t="shared" si="129"/>
        <v>4.2169062984942343E-2</v>
      </c>
      <c r="K193" s="3">
        <f t="shared" si="129"/>
        <v>4.2169062984942336E-2</v>
      </c>
      <c r="L193" s="3">
        <f t="shared" si="129"/>
        <v>4.2169062984942308E-2</v>
      </c>
      <c r="M193" s="3">
        <f t="shared" si="129"/>
        <v>4.2169062984941975E-2</v>
      </c>
      <c r="N193" s="3">
        <f t="shared" si="129"/>
        <v>4.21690629849387E-2</v>
      </c>
      <c r="O193" s="3">
        <f t="shared" si="129"/>
        <v>4.2169062984905928E-2</v>
      </c>
      <c r="P193" s="3">
        <f t="shared" si="129"/>
        <v>4.2169062984578183E-2</v>
      </c>
      <c r="Q193" s="3">
        <f t="shared" si="129"/>
        <v>4.2169062981300791E-2</v>
      </c>
      <c r="R193" s="3">
        <f t="shared" si="129"/>
        <v>4.2169062948526813E-2</v>
      </c>
      <c r="S193" s="3">
        <f t="shared" si="129"/>
        <v>4.2169062620787026E-2</v>
      </c>
      <c r="T193" s="3">
        <f t="shared" si="129"/>
        <v>4.2169059343389277E-2</v>
      </c>
      <c r="U193" s="3">
        <f t="shared" si="129"/>
        <v>4.2169026569425866E-2</v>
      </c>
      <c r="V193" s="3">
        <f t="shared" si="129"/>
        <v>4.2168698831192661E-2</v>
      </c>
      <c r="W193" s="3">
        <f t="shared" si="129"/>
        <v>4.2165421588952604E-2</v>
      </c>
      <c r="X193" s="3">
        <f t="shared" si="129"/>
        <v>4.2132663171720069E-2</v>
      </c>
      <c r="Y193" s="3">
        <f t="shared" si="129"/>
        <v>4.1806475497152384E-2</v>
      </c>
      <c r="Z193" s="3">
        <f t="shared" si="129"/>
        <v>3.8680314803609894E-2</v>
      </c>
      <c r="AA193" s="3">
        <f t="shared" si="129"/>
        <v>1.7780928744633516E-2</v>
      </c>
      <c r="AB193" s="3">
        <f t="shared" si="129"/>
        <v>7.4920187830184065E-6</v>
      </c>
      <c r="AC193" s="3">
        <f t="shared" si="129"/>
        <v>1.3214265152141333E-39</v>
      </c>
      <c r="AD193" s="3">
        <f t="shared" si="129"/>
        <v>0</v>
      </c>
      <c r="AE193" s="3">
        <f t="shared" si="129"/>
        <v>0</v>
      </c>
      <c r="AF193" s="3">
        <f t="shared" si="129"/>
        <v>0</v>
      </c>
      <c r="AG193" s="3"/>
      <c r="AH193" s="3"/>
    </row>
    <row r="194" spans="1:34" x14ac:dyDescent="0.25">
      <c r="B194" s="3">
        <f t="shared" ref="B194:AF194" si="130">$C41*EXP(-B$168/$A41/EXP(-$C$126))</f>
        <v>3.8068907608639936E-2</v>
      </c>
      <c r="C194" s="3">
        <f t="shared" si="130"/>
        <v>3.8068907608639936E-2</v>
      </c>
      <c r="D194" s="3">
        <f t="shared" si="130"/>
        <v>3.8068907608639936E-2</v>
      </c>
      <c r="E194" s="3">
        <f t="shared" si="130"/>
        <v>3.8068907608639936E-2</v>
      </c>
      <c r="F194" s="3">
        <f t="shared" si="130"/>
        <v>3.8068907608639936E-2</v>
      </c>
      <c r="G194" s="3">
        <f t="shared" si="130"/>
        <v>3.8068907608639936E-2</v>
      </c>
      <c r="H194" s="3">
        <f t="shared" si="130"/>
        <v>3.8068907608639936E-2</v>
      </c>
      <c r="I194" s="3">
        <f t="shared" si="130"/>
        <v>3.8068907608639936E-2</v>
      </c>
      <c r="J194" s="3">
        <f t="shared" si="130"/>
        <v>3.8068907608639936E-2</v>
      </c>
      <c r="K194" s="3">
        <f t="shared" si="130"/>
        <v>3.8068907608639936E-2</v>
      </c>
      <c r="L194" s="3">
        <f t="shared" si="130"/>
        <v>3.8068907608639929E-2</v>
      </c>
      <c r="M194" s="3">
        <f t="shared" si="130"/>
        <v>3.8068907608639901E-2</v>
      </c>
      <c r="N194" s="3">
        <f t="shared" si="130"/>
        <v>3.8068907608639603E-2</v>
      </c>
      <c r="O194" s="3">
        <f t="shared" si="130"/>
        <v>3.8068907608636647E-2</v>
      </c>
      <c r="P194" s="3">
        <f t="shared" si="130"/>
        <v>3.806890760860706E-2</v>
      </c>
      <c r="Q194" s="3">
        <f t="shared" si="130"/>
        <v>3.8068907608311185E-2</v>
      </c>
      <c r="R194" s="3">
        <f t="shared" si="130"/>
        <v>3.8068907605352455E-2</v>
      </c>
      <c r="S194" s="3">
        <f t="shared" si="130"/>
        <v>3.8068907575765136E-2</v>
      </c>
      <c r="T194" s="3">
        <f t="shared" si="130"/>
        <v>3.8068907279891935E-2</v>
      </c>
      <c r="U194" s="3">
        <f t="shared" si="130"/>
        <v>3.806890432116003E-2</v>
      </c>
      <c r="V194" s="3">
        <f t="shared" si="130"/>
        <v>3.8068874733853675E-2</v>
      </c>
      <c r="W194" s="3">
        <f t="shared" si="130"/>
        <v>3.8068578862054864E-2</v>
      </c>
      <c r="X194" s="3">
        <f t="shared" si="130"/>
        <v>3.8065620270537372E-2</v>
      </c>
      <c r="Y194" s="3">
        <f t="shared" si="130"/>
        <v>3.803604699878893E-2</v>
      </c>
      <c r="Z194" s="3">
        <f t="shared" si="130"/>
        <v>3.7741574995684944E-2</v>
      </c>
      <c r="AA194" s="3">
        <f t="shared" si="130"/>
        <v>3.4919375160352428E-2</v>
      </c>
      <c r="AB194" s="3">
        <f t="shared" si="130"/>
        <v>1.6052064847088727E-2</v>
      </c>
      <c r="AC194" s="3">
        <f t="shared" si="130"/>
        <v>6.7635596018523364E-6</v>
      </c>
      <c r="AD194" s="3">
        <f t="shared" si="130"/>
        <v>1.1929424169860448E-39</v>
      </c>
      <c r="AE194" s="3">
        <f t="shared" si="130"/>
        <v>0</v>
      </c>
      <c r="AF194" s="3">
        <f t="shared" si="130"/>
        <v>0</v>
      </c>
      <c r="AG194" s="3"/>
      <c r="AH194" s="3"/>
    </row>
    <row r="195" spans="1:34" x14ac:dyDescent="0.25">
      <c r="B195" s="3">
        <f t="shared" ref="B195:AF195" si="131">$C42*EXP(-B$168/$A42/EXP(-$C$126))</f>
        <v>1.8061881630202923E-2</v>
      </c>
      <c r="C195" s="3">
        <f t="shared" si="131"/>
        <v>1.8061881630202923E-2</v>
      </c>
      <c r="D195" s="3">
        <f t="shared" si="131"/>
        <v>1.8061881630202923E-2</v>
      </c>
      <c r="E195" s="3">
        <f t="shared" si="131"/>
        <v>1.8061881630202923E-2</v>
      </c>
      <c r="F195" s="3">
        <f t="shared" si="131"/>
        <v>1.8061881630202923E-2</v>
      </c>
      <c r="G195" s="3">
        <f t="shared" si="131"/>
        <v>1.8061881630202923E-2</v>
      </c>
      <c r="H195" s="3">
        <f t="shared" si="131"/>
        <v>1.8061881630202923E-2</v>
      </c>
      <c r="I195" s="3">
        <f t="shared" si="131"/>
        <v>1.8061881630202923E-2</v>
      </c>
      <c r="J195" s="3">
        <f t="shared" si="131"/>
        <v>1.8061881630202923E-2</v>
      </c>
      <c r="K195" s="3">
        <f t="shared" si="131"/>
        <v>1.8061881630202923E-2</v>
      </c>
      <c r="L195" s="3">
        <f t="shared" si="131"/>
        <v>1.8061881630202923E-2</v>
      </c>
      <c r="M195" s="3">
        <f t="shared" si="131"/>
        <v>1.8061881630202919E-2</v>
      </c>
      <c r="N195" s="3">
        <f t="shared" si="131"/>
        <v>1.8061881630202906E-2</v>
      </c>
      <c r="O195" s="3">
        <f t="shared" si="131"/>
        <v>1.8061881630202767E-2</v>
      </c>
      <c r="P195" s="3">
        <f t="shared" si="131"/>
        <v>1.8061881630201362E-2</v>
      </c>
      <c r="Q195" s="3">
        <f t="shared" si="131"/>
        <v>1.8061881630187324E-2</v>
      </c>
      <c r="R195" s="3">
        <f t="shared" si="131"/>
        <v>1.8061881630046947E-2</v>
      </c>
      <c r="S195" s="3">
        <f t="shared" si="131"/>
        <v>1.8061881628643171E-2</v>
      </c>
      <c r="T195" s="3">
        <f t="shared" si="131"/>
        <v>1.80618816146054E-2</v>
      </c>
      <c r="U195" s="3">
        <f t="shared" si="131"/>
        <v>1.8061881474227669E-2</v>
      </c>
      <c r="V195" s="3">
        <f t="shared" si="131"/>
        <v>1.8061880070450446E-2</v>
      </c>
      <c r="W195" s="3">
        <f t="shared" si="131"/>
        <v>1.806186603268423E-2</v>
      </c>
      <c r="X195" s="3">
        <f t="shared" si="131"/>
        <v>1.806172565562212E-2</v>
      </c>
      <c r="Y195" s="3">
        <f t="shared" si="131"/>
        <v>1.8060321945005297E-2</v>
      </c>
      <c r="Z195" s="3">
        <f t="shared" si="131"/>
        <v>1.8046290837540134E-2</v>
      </c>
      <c r="AA195" s="3">
        <f t="shared" si="131"/>
        <v>1.7906577911754321E-2</v>
      </c>
      <c r="AB195" s="3">
        <f t="shared" si="131"/>
        <v>1.656757864530347E-2</v>
      </c>
      <c r="AC195" s="3">
        <f t="shared" si="131"/>
        <v>7.6159394477254899E-3</v>
      </c>
      <c r="AD195" s="3">
        <f t="shared" si="131"/>
        <v>3.2089865615096838E-6</v>
      </c>
      <c r="AE195" s="3">
        <f t="shared" si="131"/>
        <v>5.6599430035549441E-40</v>
      </c>
      <c r="AF195" s="3">
        <f t="shared" si="131"/>
        <v>0</v>
      </c>
      <c r="AG195" s="3"/>
      <c r="AH195" s="3"/>
    </row>
    <row r="196" spans="1:34" x14ac:dyDescent="0.25">
      <c r="B196" s="3">
        <f t="shared" ref="B196:AF196" si="132">$C43*EXP(-B$168/$A43/EXP(-$C$126))</f>
        <v>1.0233436786589783E-2</v>
      </c>
      <c r="C196" s="3">
        <f t="shared" si="132"/>
        <v>1.0233436786589783E-2</v>
      </c>
      <c r="D196" s="3">
        <f t="shared" si="132"/>
        <v>1.0233436786589783E-2</v>
      </c>
      <c r="E196" s="3">
        <f t="shared" si="132"/>
        <v>1.0233436786589783E-2</v>
      </c>
      <c r="F196" s="3">
        <f t="shared" si="132"/>
        <v>1.0233436786589783E-2</v>
      </c>
      <c r="G196" s="3">
        <f t="shared" si="132"/>
        <v>1.0233436786589783E-2</v>
      </c>
      <c r="H196" s="3">
        <f t="shared" si="132"/>
        <v>1.0233436786589783E-2</v>
      </c>
      <c r="I196" s="3">
        <f t="shared" si="132"/>
        <v>1.0233436786589783E-2</v>
      </c>
      <c r="J196" s="3">
        <f t="shared" si="132"/>
        <v>1.0233436786589783E-2</v>
      </c>
      <c r="K196" s="3">
        <f t="shared" si="132"/>
        <v>1.0233436786589783E-2</v>
      </c>
      <c r="L196" s="3">
        <f t="shared" si="132"/>
        <v>1.0233436786589783E-2</v>
      </c>
      <c r="M196" s="3">
        <f t="shared" si="132"/>
        <v>1.0233436786589783E-2</v>
      </c>
      <c r="N196" s="3">
        <f t="shared" si="132"/>
        <v>1.0233436786589781E-2</v>
      </c>
      <c r="O196" s="3">
        <f t="shared" si="132"/>
        <v>1.0233436786589774E-2</v>
      </c>
      <c r="P196" s="3">
        <f t="shared" si="132"/>
        <v>1.0233436786589695E-2</v>
      </c>
      <c r="Q196" s="3">
        <f t="shared" si="132"/>
        <v>1.0233436786588898E-2</v>
      </c>
      <c r="R196" s="3">
        <f t="shared" si="132"/>
        <v>1.0233436786580946E-2</v>
      </c>
      <c r="S196" s="3">
        <f t="shared" si="132"/>
        <v>1.0233436786501411E-2</v>
      </c>
      <c r="T196" s="3">
        <f t="shared" si="132"/>
        <v>1.0233436785706065E-2</v>
      </c>
      <c r="U196" s="3">
        <f t="shared" si="132"/>
        <v>1.0233436777752593E-2</v>
      </c>
      <c r="V196" s="3">
        <f t="shared" si="132"/>
        <v>1.0233436698217878E-2</v>
      </c>
      <c r="W196" s="3">
        <f t="shared" si="132"/>
        <v>1.0233435902870762E-2</v>
      </c>
      <c r="X196" s="3">
        <f t="shared" si="132"/>
        <v>1.0233427949403004E-2</v>
      </c>
      <c r="Y196" s="3">
        <f t="shared" si="132"/>
        <v>1.0233348415065397E-2</v>
      </c>
      <c r="Z196" s="3">
        <f t="shared" si="132"/>
        <v>1.0232553105686338E-2</v>
      </c>
      <c r="AA196" s="3">
        <f t="shared" si="132"/>
        <v>1.0224603410619659E-2</v>
      </c>
      <c r="AB196" s="3">
        <f t="shared" si="132"/>
        <v>1.0145445357014223E-2</v>
      </c>
      <c r="AC196" s="3">
        <f t="shared" si="132"/>
        <v>9.3867999051692966E-3</v>
      </c>
      <c r="AD196" s="3">
        <f t="shared" si="132"/>
        <v>4.3150119408638101E-3</v>
      </c>
      <c r="AE196" s="3">
        <f t="shared" si="132"/>
        <v>1.818136216290579E-6</v>
      </c>
      <c r="AF196" s="3">
        <f t="shared" si="132"/>
        <v>3.2067904179886877E-40</v>
      </c>
      <c r="AG196" s="3"/>
      <c r="AH196" s="3"/>
    </row>
    <row r="197" spans="1:34" x14ac:dyDescent="0.25">
      <c r="B197" s="3">
        <f t="shared" ref="B197:AF197" si="133">$C44*EXP(-B$168/$A44/EXP(-$C$126))</f>
        <v>4.802496116573597E-3</v>
      </c>
      <c r="C197" s="3">
        <f t="shared" si="133"/>
        <v>4.802496116573597E-3</v>
      </c>
      <c r="D197" s="3">
        <f t="shared" si="133"/>
        <v>4.802496116573597E-3</v>
      </c>
      <c r="E197" s="3">
        <f t="shared" si="133"/>
        <v>4.802496116573597E-3</v>
      </c>
      <c r="F197" s="3">
        <f t="shared" si="133"/>
        <v>4.802496116573597E-3</v>
      </c>
      <c r="G197" s="3">
        <f t="shared" si="133"/>
        <v>4.802496116573597E-3</v>
      </c>
      <c r="H197" s="3">
        <f t="shared" si="133"/>
        <v>4.802496116573597E-3</v>
      </c>
      <c r="I197" s="3">
        <f t="shared" si="133"/>
        <v>4.802496116573597E-3</v>
      </c>
      <c r="J197" s="3">
        <f t="shared" si="133"/>
        <v>4.802496116573597E-3</v>
      </c>
      <c r="K197" s="3">
        <f t="shared" si="133"/>
        <v>4.802496116573597E-3</v>
      </c>
      <c r="L197" s="3">
        <f t="shared" si="133"/>
        <v>4.802496116573597E-3</v>
      </c>
      <c r="M197" s="3">
        <f t="shared" si="133"/>
        <v>4.802496116573597E-3</v>
      </c>
      <c r="N197" s="3">
        <f t="shared" si="133"/>
        <v>4.802496116573597E-3</v>
      </c>
      <c r="O197" s="3">
        <f t="shared" si="133"/>
        <v>4.8024961165735961E-3</v>
      </c>
      <c r="P197" s="3">
        <f t="shared" si="133"/>
        <v>4.8024961165735926E-3</v>
      </c>
      <c r="Q197" s="3">
        <f t="shared" si="133"/>
        <v>4.8024961165735553E-3</v>
      </c>
      <c r="R197" s="3">
        <f t="shared" si="133"/>
        <v>4.8024961165731824E-3</v>
      </c>
      <c r="S197" s="3">
        <f t="shared" si="133"/>
        <v>4.8024961165694501E-3</v>
      </c>
      <c r="T197" s="3">
        <f t="shared" si="133"/>
        <v>4.8024961165321241E-3</v>
      </c>
      <c r="U197" s="3">
        <f t="shared" si="133"/>
        <v>4.8024961161588723E-3</v>
      </c>
      <c r="V197" s="3">
        <f t="shared" si="133"/>
        <v>4.8024961124263519E-3</v>
      </c>
      <c r="W197" s="3">
        <f t="shared" si="133"/>
        <v>4.802496075101143E-3</v>
      </c>
      <c r="X197" s="3">
        <f t="shared" si="133"/>
        <v>4.8024957018490758E-3</v>
      </c>
      <c r="Y197" s="3">
        <f t="shared" si="133"/>
        <v>4.8024919693299998E-3</v>
      </c>
      <c r="Z197" s="3">
        <f t="shared" si="133"/>
        <v>4.8024546442987847E-3</v>
      </c>
      <c r="AA197" s="3">
        <f t="shared" si="133"/>
        <v>4.8020814099412517E-3</v>
      </c>
      <c r="AB197" s="3">
        <f t="shared" si="133"/>
        <v>4.798350661368524E-3</v>
      </c>
      <c r="AC197" s="3">
        <f t="shared" si="133"/>
        <v>4.7612022181853109E-3</v>
      </c>
      <c r="AD197" s="3">
        <f t="shared" si="133"/>
        <v>4.4051740418920935E-3</v>
      </c>
      <c r="AE197" s="3">
        <f t="shared" si="133"/>
        <v>2.025011589080512E-3</v>
      </c>
      <c r="AF197" s="3">
        <f t="shared" si="133"/>
        <v>8.5324141832580343E-7</v>
      </c>
      <c r="AG197" s="3"/>
      <c r="AH197" s="3"/>
    </row>
    <row r="198" spans="1:34" x14ac:dyDescent="0.25">
      <c r="B198" s="3">
        <f t="shared" ref="B198:AF198" si="134">$C45*EXP(-B$168/$A45/EXP(-$C$126))</f>
        <v>2.5220120484412234E-3</v>
      </c>
      <c r="C198" s="3">
        <f t="shared" si="134"/>
        <v>2.5220120484412234E-3</v>
      </c>
      <c r="D198" s="3">
        <f t="shared" si="134"/>
        <v>2.5220120484412234E-3</v>
      </c>
      <c r="E198" s="3">
        <f t="shared" si="134"/>
        <v>2.5220120484412234E-3</v>
      </c>
      <c r="F198" s="3">
        <f t="shared" si="134"/>
        <v>2.5220120484412234E-3</v>
      </c>
      <c r="G198" s="3">
        <f t="shared" si="134"/>
        <v>2.5220120484412234E-3</v>
      </c>
      <c r="H198" s="3">
        <f t="shared" si="134"/>
        <v>2.5220120484412234E-3</v>
      </c>
      <c r="I198" s="3">
        <f t="shared" si="134"/>
        <v>2.5220120484412234E-3</v>
      </c>
      <c r="J198" s="3">
        <f t="shared" si="134"/>
        <v>2.5220120484412234E-3</v>
      </c>
      <c r="K198" s="3">
        <f t="shared" si="134"/>
        <v>2.5220120484412234E-3</v>
      </c>
      <c r="L198" s="3">
        <f t="shared" si="134"/>
        <v>2.5220120484412234E-3</v>
      </c>
      <c r="M198" s="3">
        <f t="shared" si="134"/>
        <v>2.5220120484412234E-3</v>
      </c>
      <c r="N198" s="3">
        <f t="shared" si="134"/>
        <v>2.5220120484412234E-3</v>
      </c>
      <c r="O198" s="3">
        <f t="shared" si="134"/>
        <v>2.5220120484412234E-3</v>
      </c>
      <c r="P198" s="3">
        <f t="shared" si="134"/>
        <v>2.5220120484412229E-3</v>
      </c>
      <c r="Q198" s="3">
        <f t="shared" si="134"/>
        <v>2.5220120484412212E-3</v>
      </c>
      <c r="R198" s="3">
        <f t="shared" si="134"/>
        <v>2.5220120484412017E-3</v>
      </c>
      <c r="S198" s="3">
        <f t="shared" si="134"/>
        <v>2.5220120484410057E-3</v>
      </c>
      <c r="T198" s="3">
        <f t="shared" si="134"/>
        <v>2.5220120484390454E-3</v>
      </c>
      <c r="U198" s="3">
        <f t="shared" si="134"/>
        <v>2.5220120484194444E-3</v>
      </c>
      <c r="V198" s="3">
        <f t="shared" si="134"/>
        <v>2.5220120482234323E-3</v>
      </c>
      <c r="W198" s="3">
        <f t="shared" si="134"/>
        <v>2.5220120462633136E-3</v>
      </c>
      <c r="X198" s="3">
        <f t="shared" si="134"/>
        <v>2.5220120266621266E-3</v>
      </c>
      <c r="Y198" s="3">
        <f t="shared" si="134"/>
        <v>2.5220118306502636E-3</v>
      </c>
      <c r="Z198" s="3">
        <f t="shared" si="134"/>
        <v>2.522009870532472E-3</v>
      </c>
      <c r="AA198" s="3">
        <f t="shared" si="134"/>
        <v>2.5219902694383436E-3</v>
      </c>
      <c r="AB198" s="3">
        <f t="shared" si="134"/>
        <v>2.5217942668755637E-3</v>
      </c>
      <c r="AC198" s="3">
        <f t="shared" si="134"/>
        <v>2.5198350788571381E-3</v>
      </c>
      <c r="AD198" s="3">
        <f t="shared" si="134"/>
        <v>2.5003267192427341E-3</v>
      </c>
      <c r="AE198" s="3">
        <f t="shared" si="134"/>
        <v>2.3133599152306834E-3</v>
      </c>
      <c r="AF198" s="3">
        <f t="shared" si="134"/>
        <v>1.0634269142393161E-3</v>
      </c>
      <c r="AG198" s="3"/>
      <c r="AH198" s="3"/>
    </row>
    <row r="199" spans="1:34" x14ac:dyDescent="0.25">
      <c r="B199" s="3">
        <f t="shared" ref="B199:AF199" si="135">$C46*EXP(-B$168/$A46/EXP(-$C$126))</f>
        <v>2.1848474936022057E-3</v>
      </c>
      <c r="C199" s="3">
        <f t="shared" si="135"/>
        <v>2.1848474936022057E-3</v>
      </c>
      <c r="D199" s="3">
        <f t="shared" si="135"/>
        <v>2.1848474936022057E-3</v>
      </c>
      <c r="E199" s="3">
        <f t="shared" si="135"/>
        <v>2.1848474936022057E-3</v>
      </c>
      <c r="F199" s="3">
        <f t="shared" si="135"/>
        <v>2.1848474936022057E-3</v>
      </c>
      <c r="G199" s="3">
        <f t="shared" si="135"/>
        <v>2.1848474936022057E-3</v>
      </c>
      <c r="H199" s="3">
        <f t="shared" si="135"/>
        <v>2.1848474936022057E-3</v>
      </c>
      <c r="I199" s="3">
        <f t="shared" si="135"/>
        <v>2.1848474936022057E-3</v>
      </c>
      <c r="J199" s="3">
        <f t="shared" si="135"/>
        <v>2.1848474936022057E-3</v>
      </c>
      <c r="K199" s="3">
        <f t="shared" si="135"/>
        <v>2.1848474936022057E-3</v>
      </c>
      <c r="L199" s="3">
        <f t="shared" si="135"/>
        <v>2.1848474936022057E-3</v>
      </c>
      <c r="M199" s="3">
        <f t="shared" si="135"/>
        <v>2.1848474936022057E-3</v>
      </c>
      <c r="N199" s="3">
        <f t="shared" si="135"/>
        <v>2.1848474936022057E-3</v>
      </c>
      <c r="O199" s="3">
        <f t="shared" si="135"/>
        <v>2.1848474936022057E-3</v>
      </c>
      <c r="P199" s="3">
        <f t="shared" si="135"/>
        <v>2.1848474936022057E-3</v>
      </c>
      <c r="Q199" s="3">
        <f t="shared" si="135"/>
        <v>2.1848474936022053E-3</v>
      </c>
      <c r="R199" s="3">
        <f t="shared" si="135"/>
        <v>2.184847493602204E-3</v>
      </c>
      <c r="S199" s="3">
        <f t="shared" si="135"/>
        <v>2.1848474936021866E-3</v>
      </c>
      <c r="T199" s="3">
        <f t="shared" si="135"/>
        <v>2.1848474936020171E-3</v>
      </c>
      <c r="U199" s="3">
        <f t="shared" si="135"/>
        <v>2.1848474936003192E-3</v>
      </c>
      <c r="V199" s="3">
        <f t="shared" si="135"/>
        <v>2.184847493583338E-3</v>
      </c>
      <c r="W199" s="3">
        <f t="shared" si="135"/>
        <v>2.1848474934135311E-3</v>
      </c>
      <c r="X199" s="3">
        <f t="shared" si="135"/>
        <v>2.184847491715458E-3</v>
      </c>
      <c r="Y199" s="3">
        <f t="shared" si="135"/>
        <v>2.1848474747347283E-3</v>
      </c>
      <c r="Z199" s="3">
        <f t="shared" si="135"/>
        <v>2.1848473049274398E-3</v>
      </c>
      <c r="AA199" s="3">
        <f t="shared" si="135"/>
        <v>2.1848456068552808E-3</v>
      </c>
      <c r="AB199" s="3">
        <f t="shared" si="135"/>
        <v>2.1848286262062771E-3</v>
      </c>
      <c r="AC199" s="3">
        <f t="shared" si="135"/>
        <v>2.1846588269746302E-3</v>
      </c>
      <c r="AD199" s="3">
        <f t="shared" si="135"/>
        <v>2.1829615602886134E-3</v>
      </c>
      <c r="AE199" s="3">
        <f t="shared" si="135"/>
        <v>2.166061248240475E-3</v>
      </c>
      <c r="AF199" s="3">
        <f t="shared" si="135"/>
        <v>2.0040897963653657E-3</v>
      </c>
      <c r="AG199" s="3"/>
      <c r="AH199" s="3"/>
    </row>
    <row r="200" spans="1:34" x14ac:dyDescent="0.25">
      <c r="B200" s="3">
        <f t="shared" ref="B200:AF200" si="136">$C47*EXP(-B$168/$A47/EXP(-$C$126))</f>
        <v>3.6320293099179269E-4</v>
      </c>
      <c r="C200" s="3">
        <f t="shared" si="136"/>
        <v>3.6320293099179269E-4</v>
      </c>
      <c r="D200" s="3">
        <f t="shared" si="136"/>
        <v>3.6320293099179269E-4</v>
      </c>
      <c r="E200" s="3">
        <f t="shared" si="136"/>
        <v>3.6320293099179269E-4</v>
      </c>
      <c r="F200" s="3">
        <f t="shared" si="136"/>
        <v>3.6320293099179269E-4</v>
      </c>
      <c r="G200" s="3">
        <f t="shared" si="136"/>
        <v>3.6320293099179269E-4</v>
      </c>
      <c r="H200" s="3">
        <f t="shared" si="136"/>
        <v>3.6320293099179269E-4</v>
      </c>
      <c r="I200" s="3">
        <f t="shared" si="136"/>
        <v>3.6320293099179269E-4</v>
      </c>
      <c r="J200" s="3">
        <f t="shared" si="136"/>
        <v>3.6320293099179269E-4</v>
      </c>
      <c r="K200" s="3">
        <f t="shared" si="136"/>
        <v>3.6320293099179269E-4</v>
      </c>
      <c r="L200" s="3">
        <f t="shared" si="136"/>
        <v>3.6320293099179269E-4</v>
      </c>
      <c r="M200" s="3">
        <f t="shared" si="136"/>
        <v>3.6320293099179269E-4</v>
      </c>
      <c r="N200" s="3">
        <f t="shared" si="136"/>
        <v>3.6320293099179269E-4</v>
      </c>
      <c r="O200" s="3">
        <f t="shared" si="136"/>
        <v>3.6320293099179269E-4</v>
      </c>
      <c r="P200" s="3">
        <f t="shared" si="136"/>
        <v>3.6320293099179269E-4</v>
      </c>
      <c r="Q200" s="3">
        <f t="shared" si="136"/>
        <v>3.6320293099179269E-4</v>
      </c>
      <c r="R200" s="3">
        <f t="shared" si="136"/>
        <v>3.6320293099179263E-4</v>
      </c>
      <c r="S200" s="3">
        <f t="shared" si="136"/>
        <v>3.6320293099179236E-4</v>
      </c>
      <c r="T200" s="3">
        <f t="shared" si="136"/>
        <v>3.6320293099178954E-4</v>
      </c>
      <c r="U200" s="3">
        <f t="shared" si="136"/>
        <v>3.632029309917613E-4</v>
      </c>
      <c r="V200" s="3">
        <f t="shared" si="136"/>
        <v>3.6320293099147903E-4</v>
      </c>
      <c r="W200" s="3">
        <f t="shared" si="136"/>
        <v>3.632029309886562E-4</v>
      </c>
      <c r="X200" s="3">
        <f t="shared" si="136"/>
        <v>3.6320293096042791E-4</v>
      </c>
      <c r="Y200" s="3">
        <f t="shared" si="136"/>
        <v>3.6320293067814503E-4</v>
      </c>
      <c r="Z200" s="3">
        <f t="shared" si="136"/>
        <v>3.6320292785531609E-4</v>
      </c>
      <c r="AA200" s="3">
        <f t="shared" si="136"/>
        <v>3.6320289962702779E-4</v>
      </c>
      <c r="AB200" s="3">
        <f t="shared" si="136"/>
        <v>3.6320261734426574E-4</v>
      </c>
      <c r="AC200" s="3">
        <f t="shared" si="136"/>
        <v>3.6319979452871163E-4</v>
      </c>
      <c r="AD200" s="3">
        <f t="shared" si="136"/>
        <v>3.6317156757978501E-4</v>
      </c>
      <c r="AE200" s="3">
        <f t="shared" si="136"/>
        <v>3.6288941871729405E-4</v>
      </c>
      <c r="AF200" s="3">
        <f t="shared" si="136"/>
        <v>3.6007995815378376E-4</v>
      </c>
      <c r="AG200" s="3"/>
      <c r="AH200" s="3"/>
    </row>
    <row r="201" spans="1:34" x14ac:dyDescent="0.25">
      <c r="B201" s="3">
        <f t="shared" ref="B201:AF201" si="137">$C48*EXP(-B$168/$A48/EXP(-$C$126))</f>
        <v>1.8415595868786856E-3</v>
      </c>
      <c r="C201" s="3">
        <f t="shared" si="137"/>
        <v>1.8415595868786856E-3</v>
      </c>
      <c r="D201" s="3">
        <f t="shared" si="137"/>
        <v>1.8415595868786856E-3</v>
      </c>
      <c r="E201" s="3">
        <f t="shared" si="137"/>
        <v>1.8415595868786856E-3</v>
      </c>
      <c r="F201" s="3">
        <f t="shared" si="137"/>
        <v>1.8415595868786856E-3</v>
      </c>
      <c r="G201" s="3">
        <f t="shared" si="137"/>
        <v>1.8415595868786856E-3</v>
      </c>
      <c r="H201" s="3">
        <f t="shared" si="137"/>
        <v>1.8415595868786856E-3</v>
      </c>
      <c r="I201" s="3">
        <f t="shared" si="137"/>
        <v>1.8415595868786856E-3</v>
      </c>
      <c r="J201" s="3">
        <f t="shared" si="137"/>
        <v>1.8415595868786856E-3</v>
      </c>
      <c r="K201" s="3">
        <f t="shared" si="137"/>
        <v>1.8415595868786856E-3</v>
      </c>
      <c r="L201" s="3">
        <f t="shared" si="137"/>
        <v>1.8415595868786856E-3</v>
      </c>
      <c r="M201" s="3">
        <f t="shared" si="137"/>
        <v>1.8415595868786856E-3</v>
      </c>
      <c r="N201" s="3">
        <f t="shared" si="137"/>
        <v>1.8415595868786856E-3</v>
      </c>
      <c r="O201" s="3">
        <f t="shared" si="137"/>
        <v>1.8415595868786856E-3</v>
      </c>
      <c r="P201" s="3">
        <f t="shared" si="137"/>
        <v>1.8415595868786856E-3</v>
      </c>
      <c r="Q201" s="3">
        <f t="shared" si="137"/>
        <v>1.8415595868786856E-3</v>
      </c>
      <c r="R201" s="3">
        <f t="shared" si="137"/>
        <v>1.8415595868786856E-3</v>
      </c>
      <c r="S201" s="3">
        <f t="shared" si="137"/>
        <v>1.8415595868786854E-3</v>
      </c>
      <c r="T201" s="3">
        <f t="shared" si="137"/>
        <v>1.8415595868786839E-3</v>
      </c>
      <c r="U201" s="3">
        <f t="shared" si="137"/>
        <v>1.8415595868786696E-3</v>
      </c>
      <c r="V201" s="3">
        <f t="shared" si="137"/>
        <v>1.8415595868785265E-3</v>
      </c>
      <c r="W201" s="3">
        <f t="shared" si="137"/>
        <v>1.8415595868770953E-3</v>
      </c>
      <c r="X201" s="3">
        <f t="shared" si="137"/>
        <v>1.8415595868627825E-3</v>
      </c>
      <c r="Y201" s="3">
        <f t="shared" si="137"/>
        <v>1.8415595867196559E-3</v>
      </c>
      <c r="Z201" s="3">
        <f t="shared" si="137"/>
        <v>1.8415595852883878E-3</v>
      </c>
      <c r="AA201" s="3">
        <f t="shared" si="137"/>
        <v>1.8415595709757066E-3</v>
      </c>
      <c r="AB201" s="3">
        <f t="shared" si="137"/>
        <v>1.8415594278489021E-3</v>
      </c>
      <c r="AC201" s="3">
        <f t="shared" si="137"/>
        <v>1.8415579965814692E-3</v>
      </c>
      <c r="AD201" s="3">
        <f t="shared" si="137"/>
        <v>1.8415436839683207E-3</v>
      </c>
      <c r="AE201" s="3">
        <f t="shared" si="137"/>
        <v>1.8414005639547728E-3</v>
      </c>
      <c r="AF201" s="3">
        <f t="shared" si="137"/>
        <v>1.8399699754371411E-3</v>
      </c>
      <c r="AG201" s="3"/>
      <c r="AH201" s="3"/>
    </row>
    <row r="202" spans="1:34" x14ac:dyDescent="0.25">
      <c r="A202" s="79">
        <f>AVERAGE(B202:AF202)</f>
        <v>1.1118446660752448E-2</v>
      </c>
      <c r="B202" s="80">
        <f>IF($A$64&lt;=B168,IF($B$64&gt;=B168,ABS((B170-B169)/B169),0),0)</f>
        <v>5.9032793210132932E-2</v>
      </c>
      <c r="C202" s="80">
        <f t="shared" ref="C202:AF202" si="138">IF($A$64&lt;=C168,IF($B$64&gt;=C168,ABS((C170-C169)/C169),0),0)</f>
        <v>2.8085707989657559E-2</v>
      </c>
      <c r="D202" s="80">
        <f t="shared" si="138"/>
        <v>1.0136441321331143E-2</v>
      </c>
      <c r="E202" s="80">
        <f t="shared" si="138"/>
        <v>1.8611535553686711E-3</v>
      </c>
      <c r="F202" s="80">
        <f t="shared" si="138"/>
        <v>9.2794186192239388E-3</v>
      </c>
      <c r="G202" s="80">
        <f t="shared" si="138"/>
        <v>7.1946184838476181E-3</v>
      </c>
      <c r="H202" s="80">
        <f t="shared" si="138"/>
        <v>7.1619302964848674E-3</v>
      </c>
      <c r="I202" s="80">
        <f t="shared" si="138"/>
        <v>7.1605328547116641E-3</v>
      </c>
      <c r="J202" s="80">
        <f t="shared" si="138"/>
        <v>6.8608799197365468E-3</v>
      </c>
      <c r="K202" s="80">
        <f t="shared" si="138"/>
        <v>6.9195564914719442E-3</v>
      </c>
      <c r="L202" s="80">
        <f t="shared" si="138"/>
        <v>6.6717251230540425E-3</v>
      </c>
      <c r="M202" s="80">
        <f t="shared" si="138"/>
        <v>6.4307237284415798E-3</v>
      </c>
      <c r="N202" s="80">
        <f t="shared" si="138"/>
        <v>6.1861216522860092E-3</v>
      </c>
      <c r="O202" s="80">
        <f t="shared" si="138"/>
        <v>6.4523049560614816E-3</v>
      </c>
      <c r="P202" s="80">
        <f t="shared" si="138"/>
        <v>6.269620079480666E-3</v>
      </c>
      <c r="Q202" s="80">
        <f t="shared" si="138"/>
        <v>6.3256905271395414E-3</v>
      </c>
      <c r="R202" s="80">
        <f t="shared" si="138"/>
        <v>6.1297857701718998E-3</v>
      </c>
      <c r="S202" s="80">
        <f t="shared" si="138"/>
        <v>5.262592722921856E-3</v>
      </c>
      <c r="T202" s="80">
        <f t="shared" si="138"/>
        <v>1.3999212371440214E-3</v>
      </c>
      <c r="U202" s="80">
        <f t="shared" si="138"/>
        <v>1.9256686279317609E-2</v>
      </c>
      <c r="V202" s="80">
        <f t="shared" si="138"/>
        <v>2.6048321408236989E-2</v>
      </c>
      <c r="W202" s="80">
        <f t="shared" si="138"/>
        <v>2.2733039991370177E-2</v>
      </c>
      <c r="X202" s="80">
        <f t="shared" si="138"/>
        <v>1.7728239267984825E-2</v>
      </c>
      <c r="Y202" s="80">
        <f t="shared" si="138"/>
        <v>1.078350159077501E-2</v>
      </c>
      <c r="Z202" s="80">
        <f t="shared" si="138"/>
        <v>1.653079498277216E-2</v>
      </c>
      <c r="AA202" s="80">
        <f t="shared" si="138"/>
        <v>9.7270159753338314E-3</v>
      </c>
      <c r="AB202" s="80">
        <f t="shared" si="138"/>
        <v>1.0992948051446742E-2</v>
      </c>
      <c r="AC202" s="80">
        <f t="shared" si="138"/>
        <v>7.1409394508982517E-3</v>
      </c>
      <c r="AD202" s="80">
        <f t="shared" si="138"/>
        <v>4.2567119396427263E-3</v>
      </c>
      <c r="AE202" s="80">
        <f t="shared" si="138"/>
        <v>3.5731707944583542E-3</v>
      </c>
      <c r="AF202" s="80">
        <f t="shared" si="138"/>
        <v>1.0789582124212237E-3</v>
      </c>
    </row>
    <row r="203" spans="1:34" x14ac:dyDescent="0.25">
      <c r="B203" s="21">
        <f>(B170-B169)^2</f>
        <v>397594.52501965861</v>
      </c>
      <c r="C203" s="21">
        <f t="shared" ref="C203:AF203" si="139">(C170-C169)^2</f>
        <v>84341.806727748437</v>
      </c>
      <c r="D203" s="21">
        <f t="shared" si="139"/>
        <v>10573.278373355306</v>
      </c>
      <c r="E203" s="21">
        <f t="shared" si="139"/>
        <v>342.64772999210334</v>
      </c>
      <c r="F203" s="21">
        <f t="shared" si="139"/>
        <v>8157.6552776816625</v>
      </c>
      <c r="G203" s="21">
        <f t="shared" si="139"/>
        <v>4669.9826971776974</v>
      </c>
      <c r="H203" s="21">
        <f t="shared" si="139"/>
        <v>4381.5896324437308</v>
      </c>
      <c r="I203" s="21">
        <f t="shared" si="139"/>
        <v>4118.5176928395595</v>
      </c>
      <c r="J203" s="21">
        <f t="shared" si="139"/>
        <v>3545.7536268226995</v>
      </c>
      <c r="K203" s="21">
        <f t="shared" si="139"/>
        <v>3388.2509378519421</v>
      </c>
      <c r="L203" s="21">
        <f t="shared" si="139"/>
        <v>2923.8307062597055</v>
      </c>
      <c r="M203" s="21">
        <f t="shared" si="139"/>
        <v>2476.4626203145508</v>
      </c>
      <c r="N203" s="21">
        <f t="shared" si="139"/>
        <v>2071.1145728960705</v>
      </c>
      <c r="O203" s="21">
        <f t="shared" si="139"/>
        <v>2057.1434492714511</v>
      </c>
      <c r="P203" s="21">
        <f t="shared" si="139"/>
        <v>1785.8930239184429</v>
      </c>
      <c r="Q203" s="21">
        <f t="shared" si="139"/>
        <v>1665.2805530429644</v>
      </c>
      <c r="R203" s="21">
        <f t="shared" si="139"/>
        <v>1424.8529604096268</v>
      </c>
      <c r="S203" s="21">
        <f t="shared" si="139"/>
        <v>952.47756170484138</v>
      </c>
      <c r="T203" s="21">
        <f t="shared" si="139"/>
        <v>59.221689898492862</v>
      </c>
      <c r="U203" s="21">
        <f t="shared" si="139"/>
        <v>9049.5185062096625</v>
      </c>
      <c r="V203" s="21">
        <f t="shared" si="139"/>
        <v>12562.20880719148</v>
      </c>
      <c r="W203" s="21">
        <f t="shared" si="139"/>
        <v>7052.924461955361</v>
      </c>
      <c r="X203" s="21">
        <f t="shared" si="139"/>
        <v>3073.0424766556548</v>
      </c>
      <c r="Y203" s="21">
        <f t="shared" si="139"/>
        <v>765.91894527911188</v>
      </c>
      <c r="Z203" s="21">
        <f t="shared" si="139"/>
        <v>1092.3827069116237</v>
      </c>
      <c r="AA203" s="21">
        <f t="shared" si="139"/>
        <v>204.33575310126434</v>
      </c>
      <c r="AB203" s="21">
        <f t="shared" si="139"/>
        <v>136.3468598661465</v>
      </c>
      <c r="AC203" s="21">
        <f t="shared" si="139"/>
        <v>31.856186578031696</v>
      </c>
      <c r="AD203" s="21">
        <f t="shared" si="139"/>
        <v>7.7152530857176203</v>
      </c>
      <c r="AE203" s="21">
        <f t="shared" si="139"/>
        <v>4.2791568053302829</v>
      </c>
      <c r="AF203" s="21">
        <f t="shared" si="139"/>
        <v>0.34368577229566571</v>
      </c>
      <c r="AG203" s="3"/>
      <c r="AH203" s="3"/>
    </row>
    <row r="204" spans="1:34" x14ac:dyDescent="0.25">
      <c r="A204" s="71">
        <f>SUM(B204:AF204)</f>
        <v>570511.15765269962</v>
      </c>
      <c r="B204" s="60">
        <f>IF($A$64&lt;=B168,IF($B$64&gt;=B168,ABS(B203),0),0)</f>
        <v>397594.52501965861</v>
      </c>
      <c r="C204" s="60">
        <f t="shared" ref="C204" si="140">IF($A$64&lt;=C168,IF($B$64&gt;=C168,ABS(C203),0),0)</f>
        <v>84341.806727748437</v>
      </c>
      <c r="D204" s="60">
        <f t="shared" ref="D204" si="141">IF($A$64&lt;=D168,IF($B$64&gt;=D168,ABS(D203),0),0)</f>
        <v>10573.278373355306</v>
      </c>
      <c r="E204" s="60">
        <f t="shared" ref="E204" si="142">IF($A$64&lt;=E168,IF($B$64&gt;=E168,ABS(E203),0),0)</f>
        <v>342.64772999210334</v>
      </c>
      <c r="F204" s="60">
        <f t="shared" ref="F204" si="143">IF($A$64&lt;=F168,IF($B$64&gt;=F168,ABS(F203),0),0)</f>
        <v>8157.6552776816625</v>
      </c>
      <c r="G204" s="60">
        <f t="shared" ref="G204" si="144">IF($A$64&lt;=G168,IF($B$64&gt;=G168,ABS(G203),0),0)</f>
        <v>4669.9826971776974</v>
      </c>
      <c r="H204" s="60">
        <f t="shared" ref="H204" si="145">IF($A$64&lt;=H168,IF($B$64&gt;=H168,ABS(H203),0),0)</f>
        <v>4381.5896324437308</v>
      </c>
      <c r="I204" s="60">
        <f t="shared" ref="I204" si="146">IF($A$64&lt;=I168,IF($B$64&gt;=I168,ABS(I203),0),0)</f>
        <v>4118.5176928395595</v>
      </c>
      <c r="J204" s="60">
        <f t="shared" ref="J204" si="147">IF($A$64&lt;=J168,IF($B$64&gt;=J168,ABS(J203),0),0)</f>
        <v>3545.7536268226995</v>
      </c>
      <c r="K204" s="60">
        <f t="shared" ref="K204" si="148">IF($A$64&lt;=K168,IF($B$64&gt;=K168,ABS(K203),0),0)</f>
        <v>3388.2509378519421</v>
      </c>
      <c r="L204" s="60">
        <f t="shared" ref="L204" si="149">IF($A$64&lt;=L168,IF($B$64&gt;=L168,ABS(L203),0),0)</f>
        <v>2923.8307062597055</v>
      </c>
      <c r="M204" s="60">
        <f t="shared" ref="M204" si="150">IF($A$64&lt;=M168,IF($B$64&gt;=M168,ABS(M203),0),0)</f>
        <v>2476.4626203145508</v>
      </c>
      <c r="N204" s="60">
        <f t="shared" ref="N204" si="151">IF($A$64&lt;=N168,IF($B$64&gt;=N168,ABS(N203),0),0)</f>
        <v>2071.1145728960705</v>
      </c>
      <c r="O204" s="60">
        <f t="shared" ref="O204" si="152">IF($A$64&lt;=O168,IF($B$64&gt;=O168,ABS(O203),0),0)</f>
        <v>2057.1434492714511</v>
      </c>
      <c r="P204" s="60">
        <f t="shared" ref="P204" si="153">IF($A$64&lt;=P168,IF($B$64&gt;=P168,ABS(P203),0),0)</f>
        <v>1785.8930239184429</v>
      </c>
      <c r="Q204" s="60">
        <f t="shared" ref="Q204" si="154">IF($A$64&lt;=Q168,IF($B$64&gt;=Q168,ABS(Q203),0),0)</f>
        <v>1665.2805530429644</v>
      </c>
      <c r="R204" s="60">
        <f t="shared" ref="R204" si="155">IF($A$64&lt;=R168,IF($B$64&gt;=R168,ABS(R203),0),0)</f>
        <v>1424.8529604096268</v>
      </c>
      <c r="S204" s="60">
        <f t="shared" ref="S204" si="156">IF($A$64&lt;=S168,IF($B$64&gt;=S168,ABS(S203),0),0)</f>
        <v>952.47756170484138</v>
      </c>
      <c r="T204" s="60">
        <f t="shared" ref="T204" si="157">IF($A$64&lt;=T168,IF($B$64&gt;=T168,ABS(T203),0),0)</f>
        <v>59.221689898492862</v>
      </c>
      <c r="U204" s="60">
        <f t="shared" ref="U204" si="158">IF($A$64&lt;=U168,IF($B$64&gt;=U168,ABS(U203),0),0)</f>
        <v>9049.5185062096625</v>
      </c>
      <c r="V204" s="60">
        <f t="shared" ref="V204" si="159">IF($A$64&lt;=V168,IF($B$64&gt;=V168,ABS(V203),0),0)</f>
        <v>12562.20880719148</v>
      </c>
      <c r="W204" s="60">
        <f t="shared" ref="W204" si="160">IF($A$64&lt;=W168,IF($B$64&gt;=W168,ABS(W203),0),0)</f>
        <v>7052.924461955361</v>
      </c>
      <c r="X204" s="60">
        <f t="shared" ref="X204" si="161">IF($A$64&lt;=X168,IF($B$64&gt;=X168,ABS(X203),0),0)</f>
        <v>3073.0424766556548</v>
      </c>
      <c r="Y204" s="60">
        <f t="shared" ref="Y204" si="162">IF($A$64&lt;=Y168,IF($B$64&gt;=Y168,ABS(Y203),0),0)</f>
        <v>765.91894527911188</v>
      </c>
      <c r="Z204" s="60">
        <f t="shared" ref="Z204" si="163">IF($A$64&lt;=Z168,IF($B$64&gt;=Z168,ABS(Z203),0),0)</f>
        <v>1092.3827069116237</v>
      </c>
      <c r="AA204" s="60">
        <f t="shared" ref="AA204" si="164">IF($A$64&lt;=AA168,IF($B$64&gt;=AA168,ABS(AA203),0),0)</f>
        <v>204.33575310126434</v>
      </c>
      <c r="AB204" s="60">
        <f t="shared" ref="AB204" si="165">IF($A$64&lt;=AB168,IF($B$64&gt;=AB168,ABS(AB203),0),0)</f>
        <v>136.3468598661465</v>
      </c>
      <c r="AC204" s="60">
        <f t="shared" ref="AC204" si="166">IF($A$64&lt;=AC168,IF($B$64&gt;=AC168,ABS(AC203),0),0)</f>
        <v>31.856186578031696</v>
      </c>
      <c r="AD204" s="60">
        <f t="shared" ref="AD204" si="167">IF($A$64&lt;=AD168,IF($B$64&gt;=AD168,ABS(AD203),0),0)</f>
        <v>7.7152530857176203</v>
      </c>
      <c r="AE204" s="60">
        <f t="shared" ref="AE204" si="168">IF($A$64&lt;=AE168,IF($B$64&gt;=AE168,ABS(AE203),0),0)</f>
        <v>4.2791568053302829</v>
      </c>
      <c r="AF204" s="60">
        <f t="shared" ref="AF204" si="169">IF($A$64&lt;=AF168,IF($B$64&gt;=AF168,ABS(AF203),0),0)</f>
        <v>0.34368577229566571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10049.700952244833</v>
      </c>
      <c r="C209" s="27">
        <f t="shared" ref="C209:AF209" si="170">($C$17+SUM(C210:C240))*$B$51</f>
        <v>10038.939860947456</v>
      </c>
      <c r="D209" s="27">
        <f t="shared" si="170"/>
        <v>9944.4438128124493</v>
      </c>
      <c r="E209" s="27">
        <f t="shared" si="170"/>
        <v>9614.0170481530604</v>
      </c>
      <c r="F209" s="27">
        <f t="shared" si="170"/>
        <v>9408.035274667498</v>
      </c>
      <c r="G209" s="27">
        <f t="shared" si="170"/>
        <v>9147.1976079396427</v>
      </c>
      <c r="H209" s="27">
        <f t="shared" si="170"/>
        <v>8867.3077901369688</v>
      </c>
      <c r="I209" s="27">
        <f t="shared" si="170"/>
        <v>8588.6169436227847</v>
      </c>
      <c r="J209" s="27">
        <f t="shared" si="170"/>
        <v>8323.169536201307</v>
      </c>
      <c r="K209" s="27">
        <f t="shared" si="170"/>
        <v>8012.3937587541641</v>
      </c>
      <c r="L209" s="27">
        <f t="shared" si="170"/>
        <v>7644.603148009629</v>
      </c>
      <c r="M209" s="27">
        <f t="shared" si="170"/>
        <v>7269.5500713794818</v>
      </c>
      <c r="N209" s="27">
        <f t="shared" si="170"/>
        <v>6951.7869436241554</v>
      </c>
      <c r="O209" s="27">
        <f t="shared" si="170"/>
        <v>6667.0633620092422</v>
      </c>
      <c r="P209" s="27">
        <f t="shared" si="170"/>
        <v>6379.265481651204</v>
      </c>
      <c r="Q209" s="27">
        <f t="shared" si="170"/>
        <v>6090.9048621207376</v>
      </c>
      <c r="R209" s="27">
        <f t="shared" si="170"/>
        <v>5804.7327306969437</v>
      </c>
      <c r="S209" s="27">
        <f t="shared" si="170"/>
        <v>5465.5995723930018</v>
      </c>
      <c r="T209" s="27">
        <f t="shared" si="170"/>
        <v>4979.8574213282154</v>
      </c>
      <c r="U209" s="27">
        <f t="shared" si="170"/>
        <v>4356.7852590348293</v>
      </c>
      <c r="V209" s="27">
        <f t="shared" si="170"/>
        <v>3725.9081608980373</v>
      </c>
      <c r="W209" s="27">
        <f t="shared" si="170"/>
        <v>3128.3755286367973</v>
      </c>
      <c r="X209" s="27">
        <f t="shared" si="170"/>
        <v>2551.8690109669228</v>
      </c>
      <c r="Y209" s="27">
        <f t="shared" si="170"/>
        <v>1958.8021059638911</v>
      </c>
      <c r="Z209" s="27">
        <f t="shared" si="170"/>
        <v>1435.9034938546504</v>
      </c>
      <c r="AA209" s="27">
        <f t="shared" si="170"/>
        <v>1034.3801178994656</v>
      </c>
      <c r="AB209" s="27">
        <f t="shared" si="170"/>
        <v>776.89254669883337</v>
      </c>
      <c r="AC209" s="27">
        <f t="shared" si="170"/>
        <v>644.69312650165682</v>
      </c>
      <c r="AD209" s="27">
        <f t="shared" si="170"/>
        <v>575.93043535215986</v>
      </c>
      <c r="AE209" s="27">
        <f t="shared" si="170"/>
        <v>541.09593722508384</v>
      </c>
      <c r="AF209" s="27">
        <f t="shared" si="170"/>
        <v>518.22517992352675</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3.8487482907286673E-2</v>
      </c>
      <c r="C211" s="3">
        <f t="shared" si="172"/>
        <v>3.7531561830352174E-2</v>
      </c>
      <c r="D211" s="3">
        <f t="shared" si="172"/>
        <v>2.9185552644361356E-2</v>
      </c>
      <c r="E211" s="3">
        <f t="shared" si="172"/>
        <v>2.3598302304649399E-3</v>
      </c>
      <c r="F211" s="3">
        <f t="shared" si="172"/>
        <v>2.8184423139524871E-14</v>
      </c>
      <c r="G211" s="3">
        <f t="shared" si="172"/>
        <v>1.664535458038713E-123</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1.6583320709735786E-2</v>
      </c>
      <c r="C212" s="3">
        <f t="shared" si="173"/>
        <v>1.6545738870149689E-2</v>
      </c>
      <c r="D212" s="3">
        <f t="shared" si="173"/>
        <v>1.6174573098287848E-2</v>
      </c>
      <c r="E212" s="3">
        <f t="shared" si="173"/>
        <v>1.2891380825150067E-2</v>
      </c>
      <c r="F212" s="3">
        <f t="shared" si="173"/>
        <v>1.3334156540658389E-3</v>
      </c>
      <c r="G212" s="3">
        <f t="shared" si="173"/>
        <v>1.8690747126523868E-13</v>
      </c>
      <c r="H212" s="3">
        <f t="shared" si="173"/>
        <v>5.4731554882008686E-112</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2.5761667349792749E-2</v>
      </c>
      <c r="C213" s="3">
        <f t="shared" si="174"/>
        <v>2.5756395351929119E-2</v>
      </c>
      <c r="D213" s="3">
        <f t="shared" si="174"/>
        <v>2.5703734675733968E-2</v>
      </c>
      <c r="E213" s="3">
        <f t="shared" si="174"/>
        <v>2.518301349507299E-2</v>
      </c>
      <c r="F213" s="3">
        <f t="shared" si="174"/>
        <v>2.0522127631622488E-2</v>
      </c>
      <c r="G213" s="3">
        <f t="shared" si="174"/>
        <v>2.6507528969769898E-3</v>
      </c>
      <c r="H213" s="3">
        <f t="shared" si="174"/>
        <v>3.4263983268065328E-12</v>
      </c>
      <c r="I213" s="3">
        <f t="shared" si="174"/>
        <v>4.4619417392071821E-101</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2.7383297662206055E-2</v>
      </c>
      <c r="C214" s="3">
        <f t="shared" si="175"/>
        <v>2.7382792100665472E-2</v>
      </c>
      <c r="D214" s="3">
        <f t="shared" si="175"/>
        <v>2.7377736998594731E-2</v>
      </c>
      <c r="E214" s="3">
        <f t="shared" si="175"/>
        <v>2.732723727634611E-2</v>
      </c>
      <c r="F214" s="3">
        <f t="shared" si="175"/>
        <v>2.6827335029361556E-2</v>
      </c>
      <c r="G214" s="3">
        <f t="shared" si="175"/>
        <v>2.2304658855070322E-2</v>
      </c>
      <c r="H214" s="3">
        <f t="shared" si="175"/>
        <v>3.5202710805216949E-3</v>
      </c>
      <c r="I214" s="3">
        <f t="shared" si="175"/>
        <v>3.3758359567358837E-11</v>
      </c>
      <c r="J214" s="3">
        <f t="shared" si="175"/>
        <v>2.2204121867601902E-91</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2.7544948732474643E-2</v>
      </c>
      <c r="C215" s="3">
        <f t="shared" si="176"/>
        <v>2.7544902857008724E-2</v>
      </c>
      <c r="D215" s="3">
        <f t="shared" si="176"/>
        <v>2.7544444106551789E-2</v>
      </c>
      <c r="E215" s="3">
        <f t="shared" si="176"/>
        <v>2.7539857022179225E-2</v>
      </c>
      <c r="F215" s="3">
        <f t="shared" si="176"/>
        <v>2.7494028172253829E-2</v>
      </c>
      <c r="G215" s="3">
        <f t="shared" si="176"/>
        <v>2.7039913290198347E-2</v>
      </c>
      <c r="H215" s="3">
        <f t="shared" si="176"/>
        <v>2.289151348567393E-2</v>
      </c>
      <c r="I215" s="3">
        <f t="shared" si="176"/>
        <v>4.3287911572044259E-3</v>
      </c>
      <c r="J215" s="3">
        <f t="shared" si="176"/>
        <v>2.5309752527216871E-10</v>
      </c>
      <c r="K215" s="3">
        <f t="shared" si="176"/>
        <v>1.1816818055295243E-82</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2.4311481555068366E-2</v>
      </c>
      <c r="C216" s="3">
        <f t="shared" si="177"/>
        <v>2.4311477902512514E-2</v>
      </c>
      <c r="D216" s="3">
        <f t="shared" si="177"/>
        <v>2.431144137698419E-2</v>
      </c>
      <c r="E216" s="3">
        <f t="shared" si="177"/>
        <v>2.4311076124719097E-2</v>
      </c>
      <c r="F216" s="3">
        <f t="shared" si="177"/>
        <v>2.4307423903867476E-2</v>
      </c>
      <c r="G216" s="3">
        <f t="shared" si="177"/>
        <v>2.4270931858512364E-2</v>
      </c>
      <c r="H216" s="3">
        <f t="shared" si="177"/>
        <v>2.3909011020908151E-2</v>
      </c>
      <c r="I216" s="3">
        <f t="shared" si="177"/>
        <v>2.0573738935330901E-2</v>
      </c>
      <c r="J216" s="3">
        <f t="shared" si="177"/>
        <v>4.5796190089599413E-3</v>
      </c>
      <c r="K216" s="3">
        <f t="shared" si="177"/>
        <v>1.3676992104181887E-9</v>
      </c>
      <c r="L216" s="3">
        <f t="shared" si="177"/>
        <v>7.7197469504376029E-75</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3.0651614405706906E-2</v>
      </c>
      <c r="C217" s="3">
        <f t="shared" si="178"/>
        <v>3.0651613990288807E-2</v>
      </c>
      <c r="D217" s="3">
        <f t="shared" si="178"/>
        <v>3.065160983610813E-2</v>
      </c>
      <c r="E217" s="3">
        <f t="shared" si="178"/>
        <v>3.0651568294332319E-2</v>
      </c>
      <c r="F217" s="3">
        <f t="shared" si="178"/>
        <v>3.065115287967075E-2</v>
      </c>
      <c r="G217" s="3">
        <f t="shared" si="178"/>
        <v>3.0646999042694308E-2</v>
      </c>
      <c r="H217" s="3">
        <f t="shared" si="178"/>
        <v>3.060549162133094E-2</v>
      </c>
      <c r="I217" s="3">
        <f t="shared" si="178"/>
        <v>3.0193496784612549E-2</v>
      </c>
      <c r="J217" s="3">
        <f t="shared" si="178"/>
        <v>2.6366588360787233E-2</v>
      </c>
      <c r="K217" s="3">
        <f t="shared" si="178"/>
        <v>6.7992216953848342E-3</v>
      </c>
      <c r="L217" s="3">
        <f t="shared" si="178"/>
        <v>8.8412125677802046E-9</v>
      </c>
      <c r="M217" s="3">
        <f t="shared" si="178"/>
        <v>1.2219069525690688E-67</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3.7612531881788057E-2</v>
      </c>
      <c r="C218" s="3">
        <f t="shared" si="179"/>
        <v>3.7612531835803584E-2</v>
      </c>
      <c r="D218" s="3">
        <f t="shared" si="179"/>
        <v>3.7612531375958845E-2</v>
      </c>
      <c r="E218" s="3">
        <f t="shared" si="179"/>
        <v>3.7612526777511791E-2</v>
      </c>
      <c r="F218" s="3">
        <f t="shared" si="179"/>
        <v>3.7612480793072153E-2</v>
      </c>
      <c r="G218" s="3">
        <f t="shared" si="179"/>
        <v>3.7612020951767904E-2</v>
      </c>
      <c r="H218" s="3">
        <f t="shared" si="179"/>
        <v>3.760742284791916E-2</v>
      </c>
      <c r="I218" s="3">
        <f t="shared" si="179"/>
        <v>3.756147271482696E-2</v>
      </c>
      <c r="J218" s="3">
        <f t="shared" si="179"/>
        <v>3.7105047988792328E-2</v>
      </c>
      <c r="K218" s="3">
        <f t="shared" si="179"/>
        <v>3.2834987530693499E-2</v>
      </c>
      <c r="L218" s="3">
        <f t="shared" si="179"/>
        <v>9.6688636660688127E-3</v>
      </c>
      <c r="M218" s="3">
        <f t="shared" si="179"/>
        <v>4.7398134119091166E-8</v>
      </c>
      <c r="N218" s="3">
        <f t="shared" si="179"/>
        <v>3.7985630099795985E-61</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3.7657090460792873E-2</v>
      </c>
      <c r="C219" s="3">
        <f t="shared" si="180"/>
        <v>3.7657090456639772E-2</v>
      </c>
      <c r="D219" s="3">
        <f t="shared" si="180"/>
        <v>3.7657090415108813E-2</v>
      </c>
      <c r="E219" s="3">
        <f t="shared" si="180"/>
        <v>3.7657089999799179E-2</v>
      </c>
      <c r="F219" s="3">
        <f t="shared" si="180"/>
        <v>3.7657085846703103E-2</v>
      </c>
      <c r="G219" s="3">
        <f t="shared" si="180"/>
        <v>3.76570443157676E-2</v>
      </c>
      <c r="H219" s="3">
        <f t="shared" si="180"/>
        <v>3.7656629008931707E-2</v>
      </c>
      <c r="I219" s="3">
        <f t="shared" si="180"/>
        <v>3.7652476192479793E-2</v>
      </c>
      <c r="J219" s="3">
        <f t="shared" si="180"/>
        <v>3.7610973208385093E-2</v>
      </c>
      <c r="K219" s="3">
        <f t="shared" si="180"/>
        <v>3.7198451164934955E-2</v>
      </c>
      <c r="L219" s="3">
        <f t="shared" si="180"/>
        <v>3.3314072023128402E-2</v>
      </c>
      <c r="M219" s="3">
        <f t="shared" si="180"/>
        <v>1.1057484736596648E-2</v>
      </c>
      <c r="N219" s="3">
        <f t="shared" si="180"/>
        <v>1.794496562976068E-7</v>
      </c>
      <c r="O219" s="3">
        <f t="shared" si="180"/>
        <v>2.2740785087619592E-55</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2.812084459752354E-2</v>
      </c>
      <c r="C220" s="3">
        <f t="shared" si="181"/>
        <v>2.8120844597243771E-2</v>
      </c>
      <c r="D220" s="3">
        <f t="shared" si="181"/>
        <v>2.8120844594446078E-2</v>
      </c>
      <c r="E220" s="3">
        <f t="shared" si="181"/>
        <v>2.8120844566469138E-2</v>
      </c>
      <c r="F220" s="3">
        <f t="shared" si="181"/>
        <v>2.812084428669975E-2</v>
      </c>
      <c r="G220" s="3">
        <f t="shared" si="181"/>
        <v>2.8120841489006017E-2</v>
      </c>
      <c r="H220" s="3">
        <f t="shared" si="181"/>
        <v>2.8120813512084002E-2</v>
      </c>
      <c r="I220" s="3">
        <f t="shared" si="181"/>
        <v>2.8120533744394688E-2</v>
      </c>
      <c r="J220" s="3">
        <f t="shared" si="181"/>
        <v>2.8117736220581033E-2</v>
      </c>
      <c r="K220" s="3">
        <f t="shared" si="181"/>
        <v>2.8089776284758367E-2</v>
      </c>
      <c r="L220" s="3">
        <f t="shared" si="181"/>
        <v>2.7811701539994679E-2</v>
      </c>
      <c r="M220" s="3">
        <f t="shared" si="181"/>
        <v>2.5177949476846137E-2</v>
      </c>
      <c r="N220" s="3">
        <f t="shared" si="181"/>
        <v>9.3099711208511418E-3</v>
      </c>
      <c r="O220" s="3">
        <f t="shared" si="181"/>
        <v>4.4486485242120672E-7</v>
      </c>
      <c r="P220" s="3">
        <f t="shared" si="181"/>
        <v>2.7607412417720373E-50</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2.743697718487802E-2</v>
      </c>
      <c r="C221" s="3">
        <f t="shared" si="182"/>
        <v>2.7436977184853394E-2</v>
      </c>
      <c r="D221" s="3">
        <f t="shared" si="182"/>
        <v>2.7436977184607157E-2</v>
      </c>
      <c r="E221" s="3">
        <f t="shared" si="182"/>
        <v>2.743697718214478E-2</v>
      </c>
      <c r="F221" s="3">
        <f t="shared" si="182"/>
        <v>2.7436977157521001E-2</v>
      </c>
      <c r="G221" s="3">
        <f t="shared" si="182"/>
        <v>2.7436976911283221E-2</v>
      </c>
      <c r="H221" s="3">
        <f t="shared" si="182"/>
        <v>2.7436974448905544E-2</v>
      </c>
      <c r="I221" s="3">
        <f t="shared" si="182"/>
        <v>2.743694982514094E-2</v>
      </c>
      <c r="J221" s="3">
        <f t="shared" si="182"/>
        <v>2.7436703588710327E-2</v>
      </c>
      <c r="K221" s="3">
        <f t="shared" si="182"/>
        <v>2.7434241345944368E-2</v>
      </c>
      <c r="L221" s="3">
        <f t="shared" si="182"/>
        <v>2.7409631068265224E-2</v>
      </c>
      <c r="M221" s="3">
        <f t="shared" si="182"/>
        <v>2.7164739264631161E-2</v>
      </c>
      <c r="N221" s="3">
        <f t="shared" si="182"/>
        <v>2.4832992070072672E-2</v>
      </c>
      <c r="O221" s="3">
        <f t="shared" si="182"/>
        <v>1.0121948873831717E-2</v>
      </c>
      <c r="P221" s="3">
        <f t="shared" si="182"/>
        <v>1.2811944076709626E-6</v>
      </c>
      <c r="Q221" s="3">
        <f t="shared" si="182"/>
        <v>1.3524586134242549E-45</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2.8525679875277786E-2</v>
      </c>
      <c r="C222" s="3">
        <f t="shared" si="183"/>
        <v>2.8525679875275479E-2</v>
      </c>
      <c r="D222" s="3">
        <f t="shared" si="183"/>
        <v>2.8525679875252383E-2</v>
      </c>
      <c r="E222" s="3">
        <f t="shared" si="183"/>
        <v>2.8525679875021442E-2</v>
      </c>
      <c r="F222" s="3">
        <f t="shared" si="183"/>
        <v>2.8525679872712033E-2</v>
      </c>
      <c r="G222" s="3">
        <f t="shared" si="183"/>
        <v>2.8525679849617933E-2</v>
      </c>
      <c r="H222" s="3">
        <f t="shared" si="183"/>
        <v>2.8525679618676945E-2</v>
      </c>
      <c r="I222" s="3">
        <f t="shared" si="183"/>
        <v>2.8525677309267163E-2</v>
      </c>
      <c r="J222" s="3">
        <f t="shared" si="183"/>
        <v>2.8525654215179663E-2</v>
      </c>
      <c r="K222" s="3">
        <f t="shared" si="183"/>
        <v>2.8525423275332942E-2</v>
      </c>
      <c r="L222" s="3">
        <f t="shared" si="183"/>
        <v>2.8523113979694439E-2</v>
      </c>
      <c r="M222" s="3">
        <f t="shared" si="183"/>
        <v>2.8500031303098181E-2</v>
      </c>
      <c r="N222" s="3">
        <f t="shared" si="183"/>
        <v>2.8270229443378061E-2</v>
      </c>
      <c r="O222" s="3">
        <f t="shared" si="183"/>
        <v>2.6071696736397636E-2</v>
      </c>
      <c r="P222" s="3">
        <f t="shared" si="183"/>
        <v>1.1602963370630234E-2</v>
      </c>
      <c r="Q222" s="3">
        <f t="shared" si="183"/>
        <v>3.5364308894969206E-6</v>
      </c>
      <c r="R222" s="3">
        <f t="shared" si="183"/>
        <v>2.4464013986069165E-41</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2.7750514458376216E-2</v>
      </c>
      <c r="C223" s="3">
        <f t="shared" si="184"/>
        <v>2.7750514458376011E-2</v>
      </c>
      <c r="D223" s="3">
        <f t="shared" si="184"/>
        <v>2.7750514458373985E-2</v>
      </c>
      <c r="E223" s="3">
        <f t="shared" si="184"/>
        <v>2.7750514458353717E-2</v>
      </c>
      <c r="F223" s="3">
        <f t="shared" si="184"/>
        <v>2.7750514458151052E-2</v>
      </c>
      <c r="G223" s="3">
        <f t="shared" si="184"/>
        <v>2.7750514456124382E-2</v>
      </c>
      <c r="H223" s="3">
        <f t="shared" si="184"/>
        <v>2.7750514435857701E-2</v>
      </c>
      <c r="I223" s="3">
        <f t="shared" si="184"/>
        <v>2.7750514233190887E-2</v>
      </c>
      <c r="J223" s="3">
        <f t="shared" si="184"/>
        <v>2.77505122065228E-2</v>
      </c>
      <c r="K223" s="3">
        <f t="shared" si="184"/>
        <v>2.775049193985011E-2</v>
      </c>
      <c r="L223" s="3">
        <f t="shared" si="184"/>
        <v>2.7750289273937245E-2</v>
      </c>
      <c r="M223" s="3">
        <f t="shared" si="184"/>
        <v>2.7748262696212236E-2</v>
      </c>
      <c r="N223" s="3">
        <f t="shared" si="184"/>
        <v>2.7728005057128476E-2</v>
      </c>
      <c r="O223" s="3">
        <f t="shared" si="184"/>
        <v>2.752624028813486E-2</v>
      </c>
      <c r="P223" s="3">
        <f t="shared" si="184"/>
        <v>2.5587603824677448E-2</v>
      </c>
      <c r="Q223" s="3">
        <f t="shared" si="184"/>
        <v>1.232698392559038E-2</v>
      </c>
      <c r="R223" s="3">
        <f t="shared" si="184"/>
        <v>8.3009719729045636E-6</v>
      </c>
      <c r="S223" s="3">
        <f t="shared" si="184"/>
        <v>1.5916593550696931E-37</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2.628898757630142E-2</v>
      </c>
      <c r="C224" s="3">
        <f t="shared" si="185"/>
        <v>2.6288987576301402E-2</v>
      </c>
      <c r="D224" s="3">
        <f t="shared" si="185"/>
        <v>2.6288987576301229E-2</v>
      </c>
      <c r="E224" s="3">
        <f t="shared" si="185"/>
        <v>2.6288987576299501E-2</v>
      </c>
      <c r="F224" s="3">
        <f t="shared" si="185"/>
        <v>2.6288987576282181E-2</v>
      </c>
      <c r="G224" s="3">
        <f t="shared" si="185"/>
        <v>2.6288987576108987E-2</v>
      </c>
      <c r="H224" s="3">
        <f t="shared" si="185"/>
        <v>2.6288987574377049E-2</v>
      </c>
      <c r="I224" s="3">
        <f t="shared" si="185"/>
        <v>2.6288987557057681E-2</v>
      </c>
      <c r="J224" s="3">
        <f t="shared" si="185"/>
        <v>2.6288987383863992E-2</v>
      </c>
      <c r="K224" s="3">
        <f t="shared" si="185"/>
        <v>2.628898565192718E-2</v>
      </c>
      <c r="L224" s="3">
        <f t="shared" si="185"/>
        <v>2.6288968332565329E-2</v>
      </c>
      <c r="M224" s="3">
        <f t="shared" si="185"/>
        <v>2.6288795139574373E-2</v>
      </c>
      <c r="N224" s="3">
        <f t="shared" si="185"/>
        <v>2.6287063272418761E-2</v>
      </c>
      <c r="O224" s="3">
        <f t="shared" si="185"/>
        <v>2.6269750874730005E-2</v>
      </c>
      <c r="P224" s="3">
        <f t="shared" si="185"/>
        <v>2.6097252757957053E-2</v>
      </c>
      <c r="Q224" s="3">
        <f t="shared" si="185"/>
        <v>2.443335852564282E-2</v>
      </c>
      <c r="R224" s="3">
        <f t="shared" si="185"/>
        <v>1.2643488751170027E-2</v>
      </c>
      <c r="S224" s="3">
        <f t="shared" si="185"/>
        <v>1.7406221849203835E-5</v>
      </c>
      <c r="T224" s="3">
        <f t="shared" si="185"/>
        <v>4.256772048693832E-34</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3.6959544904792516E-2</v>
      </c>
      <c r="C225" s="3">
        <f t="shared" si="186"/>
        <v>3.6959544904792509E-2</v>
      </c>
      <c r="D225" s="3">
        <f t="shared" si="186"/>
        <v>3.6959544904792488E-2</v>
      </c>
      <c r="E225" s="3">
        <f t="shared" si="186"/>
        <v>3.6959544904792273E-2</v>
      </c>
      <c r="F225" s="3">
        <f t="shared" si="186"/>
        <v>3.6959544904790073E-2</v>
      </c>
      <c r="G225" s="3">
        <f t="shared" si="186"/>
        <v>3.6959544904768112E-2</v>
      </c>
      <c r="H225" s="3">
        <f t="shared" si="186"/>
        <v>3.6959544904548461E-2</v>
      </c>
      <c r="I225" s="3">
        <f t="shared" si="186"/>
        <v>3.6959544902351961E-2</v>
      </c>
      <c r="J225" s="3">
        <f t="shared" si="186"/>
        <v>3.6959544880386948E-2</v>
      </c>
      <c r="K225" s="3">
        <f t="shared" si="186"/>
        <v>3.6959544660736851E-2</v>
      </c>
      <c r="L225" s="3">
        <f t="shared" si="186"/>
        <v>3.6959542464235932E-2</v>
      </c>
      <c r="M225" s="3">
        <f t="shared" si="186"/>
        <v>3.6959520499233893E-2</v>
      </c>
      <c r="N225" s="3">
        <f t="shared" si="186"/>
        <v>3.6959300849931508E-2</v>
      </c>
      <c r="O225" s="3">
        <f t="shared" si="186"/>
        <v>3.6957104428701697E-2</v>
      </c>
      <c r="P225" s="3">
        <f t="shared" si="186"/>
        <v>3.6935147394227166E-2</v>
      </c>
      <c r="Q225" s="3">
        <f t="shared" si="186"/>
        <v>3.6716293256014519E-2</v>
      </c>
      <c r="R225" s="3">
        <f t="shared" si="186"/>
        <v>3.4597822378940719E-2</v>
      </c>
      <c r="S225" s="3">
        <f t="shared" si="186"/>
        <v>1.9096250921271367E-2</v>
      </c>
      <c r="T225" s="3">
        <f t="shared" si="186"/>
        <v>5.0111983281967914E-5</v>
      </c>
      <c r="U225" s="3">
        <f t="shared" si="186"/>
        <v>7.7602618712462946E-31</v>
      </c>
      <c r="V225" s="3">
        <f t="shared" si="186"/>
        <v>6.1549458109454624E-289</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5.8251521271899753E-2</v>
      </c>
      <c r="C226" s="3">
        <f t="shared" si="187"/>
        <v>5.8251521271899753E-2</v>
      </c>
      <c r="D226" s="3">
        <f t="shared" si="187"/>
        <v>5.8251521271899746E-2</v>
      </c>
      <c r="E226" s="3">
        <f t="shared" si="187"/>
        <v>5.8251521271899719E-2</v>
      </c>
      <c r="F226" s="3">
        <f t="shared" si="187"/>
        <v>5.8251521271899406E-2</v>
      </c>
      <c r="G226" s="3">
        <f t="shared" si="187"/>
        <v>5.8251521271896284E-2</v>
      </c>
      <c r="H226" s="3">
        <f t="shared" si="187"/>
        <v>5.8251521271865059E-2</v>
      </c>
      <c r="I226" s="3">
        <f t="shared" si="187"/>
        <v>5.825152127155276E-2</v>
      </c>
      <c r="J226" s="3">
        <f t="shared" si="187"/>
        <v>5.8251521268429855E-2</v>
      </c>
      <c r="K226" s="3">
        <f t="shared" si="187"/>
        <v>5.8251521237200822E-2</v>
      </c>
      <c r="L226" s="3">
        <f t="shared" si="187"/>
        <v>5.8251520924910406E-2</v>
      </c>
      <c r="M226" s="3">
        <f t="shared" si="187"/>
        <v>5.8251517802006374E-2</v>
      </c>
      <c r="N226" s="3">
        <f t="shared" si="187"/>
        <v>5.8251486572975221E-2</v>
      </c>
      <c r="O226" s="3">
        <f t="shared" si="187"/>
        <v>5.8251174283584499E-2</v>
      </c>
      <c r="P226" s="3">
        <f t="shared" si="187"/>
        <v>5.8248051481756914E-2</v>
      </c>
      <c r="Q226" s="3">
        <f t="shared" si="187"/>
        <v>5.8216832669609038E-2</v>
      </c>
      <c r="R226" s="3">
        <f t="shared" si="187"/>
        <v>5.7905563337424526E-2</v>
      </c>
      <c r="S226" s="3">
        <f t="shared" si="187"/>
        <v>5.4882952278654834E-2</v>
      </c>
      <c r="T226" s="3">
        <f t="shared" si="187"/>
        <v>3.2107700621351043E-2</v>
      </c>
      <c r="U226" s="3">
        <f t="shared" si="187"/>
        <v>1.5077405095269725E-4</v>
      </c>
      <c r="V226" s="3">
        <f t="shared" si="187"/>
        <v>7.8614125839267164E-28</v>
      </c>
      <c r="W226" s="3">
        <f t="shared" si="187"/>
        <v>1.1674558093948408E-260</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6.389288103223241E-2</v>
      </c>
      <c r="C227" s="3">
        <f t="shared" si="188"/>
        <v>6.389288103223241E-2</v>
      </c>
      <c r="D227" s="3">
        <f t="shared" si="188"/>
        <v>6.389288103223241E-2</v>
      </c>
      <c r="E227" s="3">
        <f t="shared" si="188"/>
        <v>6.389288103223241E-2</v>
      </c>
      <c r="F227" s="3">
        <f t="shared" si="188"/>
        <v>6.3892881032232368E-2</v>
      </c>
      <c r="G227" s="3">
        <f t="shared" si="188"/>
        <v>6.3892881032232063E-2</v>
      </c>
      <c r="H227" s="3">
        <f t="shared" si="188"/>
        <v>6.3892881032228982E-2</v>
      </c>
      <c r="I227" s="3">
        <f t="shared" si="188"/>
        <v>6.3892881032198076E-2</v>
      </c>
      <c r="J227" s="3">
        <f t="shared" si="188"/>
        <v>6.3892881031889087E-2</v>
      </c>
      <c r="K227" s="3">
        <f t="shared" si="188"/>
        <v>6.3892881028799142E-2</v>
      </c>
      <c r="L227" s="3">
        <f t="shared" si="188"/>
        <v>6.3892880997899706E-2</v>
      </c>
      <c r="M227" s="3">
        <f t="shared" si="188"/>
        <v>6.3892880688905432E-2</v>
      </c>
      <c r="N227" s="3">
        <f t="shared" si="188"/>
        <v>6.3892877598962686E-2</v>
      </c>
      <c r="O227" s="3">
        <f t="shared" si="188"/>
        <v>6.3892846699543537E-2</v>
      </c>
      <c r="P227" s="3">
        <f t="shared" si="188"/>
        <v>6.3892537706173855E-2</v>
      </c>
      <c r="Q227" s="3">
        <f t="shared" si="188"/>
        <v>6.3889447854663897E-2</v>
      </c>
      <c r="R227" s="3">
        <f t="shared" si="188"/>
        <v>6.3858557556781562E-2</v>
      </c>
      <c r="S227" s="3">
        <f t="shared" si="188"/>
        <v>6.3550474831209444E-2</v>
      </c>
      <c r="T227" s="3">
        <f t="shared" si="188"/>
        <v>6.0550223958760536E-2</v>
      </c>
      <c r="U227" s="3">
        <f t="shared" si="188"/>
        <v>3.733234698575489E-2</v>
      </c>
      <c r="V227" s="3">
        <f t="shared" si="188"/>
        <v>2.9633346063635596E-4</v>
      </c>
      <c r="W227" s="3">
        <f t="shared" si="188"/>
        <v>2.942623396955923E-25</v>
      </c>
      <c r="X227" s="3">
        <f t="shared" si="188"/>
        <v>2.7433081455270838E-235</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5.5851877003500798E-2</v>
      </c>
      <c r="C228" s="3">
        <f t="shared" si="189"/>
        <v>5.5851877003500798E-2</v>
      </c>
      <c r="D228" s="3">
        <f t="shared" si="189"/>
        <v>5.5851877003500798E-2</v>
      </c>
      <c r="E228" s="3">
        <f t="shared" si="189"/>
        <v>5.5851877003500798E-2</v>
      </c>
      <c r="F228" s="3">
        <f t="shared" si="189"/>
        <v>5.5851877003500798E-2</v>
      </c>
      <c r="G228" s="3">
        <f t="shared" si="189"/>
        <v>5.585187700350077E-2</v>
      </c>
      <c r="H228" s="3">
        <f t="shared" si="189"/>
        <v>5.5851877003500527E-2</v>
      </c>
      <c r="I228" s="3">
        <f t="shared" si="189"/>
        <v>5.5851877003498085E-2</v>
      </c>
      <c r="J228" s="3">
        <f t="shared" si="189"/>
        <v>5.5851877003473722E-2</v>
      </c>
      <c r="K228" s="3">
        <f t="shared" si="189"/>
        <v>5.5851877003230063E-2</v>
      </c>
      <c r="L228" s="3">
        <f t="shared" si="189"/>
        <v>5.5851877000793478E-2</v>
      </c>
      <c r="M228" s="3">
        <f t="shared" si="189"/>
        <v>5.5851876976427586E-2</v>
      </c>
      <c r="N228" s="3">
        <f t="shared" si="189"/>
        <v>5.5851876732768653E-2</v>
      </c>
      <c r="O228" s="3">
        <f t="shared" si="189"/>
        <v>5.5851874296179396E-2</v>
      </c>
      <c r="P228" s="3">
        <f t="shared" si="189"/>
        <v>5.5851849930292692E-2</v>
      </c>
      <c r="Q228" s="3">
        <f t="shared" si="189"/>
        <v>5.585160627201028E-2</v>
      </c>
      <c r="R228" s="3">
        <f t="shared" si="189"/>
        <v>5.5849169747649252E-2</v>
      </c>
      <c r="S228" s="3">
        <f t="shared" si="189"/>
        <v>5.5824810349404862E-2</v>
      </c>
      <c r="T228" s="3">
        <f t="shared" si="189"/>
        <v>5.5581799961114557E-2</v>
      </c>
      <c r="U228" s="3">
        <f t="shared" si="189"/>
        <v>5.3209124371484534E-2</v>
      </c>
      <c r="V228" s="3">
        <f t="shared" si="189"/>
        <v>3.4397047348821604E-2</v>
      </c>
      <c r="W228" s="3">
        <f t="shared" si="189"/>
        <v>4.3840115099869233E-4</v>
      </c>
      <c r="X228" s="3">
        <f t="shared" si="189"/>
        <v>4.9588035152493036E-23</v>
      </c>
      <c r="Y228" s="3">
        <f t="shared" si="189"/>
        <v>1.6999222073809707E-212</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6.3492649829387265E-2</v>
      </c>
      <c r="C229" s="3">
        <f t="shared" si="190"/>
        <v>6.3492649829387265E-2</v>
      </c>
      <c r="D229" s="3">
        <f t="shared" si="190"/>
        <v>6.3492649829387265E-2</v>
      </c>
      <c r="E229" s="3">
        <f t="shared" si="190"/>
        <v>6.3492649829387265E-2</v>
      </c>
      <c r="F229" s="3">
        <f t="shared" si="190"/>
        <v>6.3492649829387265E-2</v>
      </c>
      <c r="G229" s="3">
        <f t="shared" si="190"/>
        <v>6.3492649829387265E-2</v>
      </c>
      <c r="H229" s="3">
        <f t="shared" si="190"/>
        <v>6.3492649829387238E-2</v>
      </c>
      <c r="I229" s="3">
        <f t="shared" si="190"/>
        <v>6.3492649829386988E-2</v>
      </c>
      <c r="J229" s="3">
        <f t="shared" si="190"/>
        <v>6.349264982938449E-2</v>
      </c>
      <c r="K229" s="3">
        <f t="shared" si="190"/>
        <v>6.3492649829359496E-2</v>
      </c>
      <c r="L229" s="3">
        <f t="shared" si="190"/>
        <v>6.3492649829109626E-2</v>
      </c>
      <c r="M229" s="3">
        <f t="shared" si="190"/>
        <v>6.3492649826610931E-2</v>
      </c>
      <c r="N229" s="3">
        <f t="shared" si="190"/>
        <v>6.3492649801623904E-2</v>
      </c>
      <c r="O229" s="3">
        <f t="shared" si="190"/>
        <v>6.3492649551753613E-2</v>
      </c>
      <c r="P229" s="3">
        <f t="shared" si="190"/>
        <v>6.3492647053050869E-2</v>
      </c>
      <c r="Q229" s="3">
        <f t="shared" si="190"/>
        <v>6.3492622066028681E-2</v>
      </c>
      <c r="R229" s="3">
        <f t="shared" si="190"/>
        <v>6.3492372196347707E-2</v>
      </c>
      <c r="S229" s="3">
        <f t="shared" si="190"/>
        <v>6.3489873553621082E-2</v>
      </c>
      <c r="T229" s="3">
        <f t="shared" si="190"/>
        <v>6.3464892533875494E-2</v>
      </c>
      <c r="U229" s="3">
        <f t="shared" si="190"/>
        <v>6.3215622301922847E-2</v>
      </c>
      <c r="V229" s="3">
        <f t="shared" si="190"/>
        <v>6.0776138493863367E-2</v>
      </c>
      <c r="W229" s="3">
        <f t="shared" si="190"/>
        <v>4.1003408329949025E-2</v>
      </c>
      <c r="X229" s="3">
        <f t="shared" si="190"/>
        <v>8.0110327803925986E-4</v>
      </c>
      <c r="Y229" s="3">
        <f t="shared" si="190"/>
        <v>6.4919328045549183E-21</v>
      </c>
      <c r="Z229" s="3">
        <f t="shared" si="190"/>
        <v>7.9291947966647877E-192</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2.3429910997179341E-2</v>
      </c>
      <c r="C230" s="3">
        <f t="shared" si="191"/>
        <v>2.3429910997179341E-2</v>
      </c>
      <c r="D230" s="3">
        <f t="shared" si="191"/>
        <v>2.3429910997179341E-2</v>
      </c>
      <c r="E230" s="3">
        <f t="shared" si="191"/>
        <v>2.3429910997179341E-2</v>
      </c>
      <c r="F230" s="3">
        <f t="shared" si="191"/>
        <v>2.3429910997179341E-2</v>
      </c>
      <c r="G230" s="3">
        <f t="shared" si="191"/>
        <v>2.3429910997179341E-2</v>
      </c>
      <c r="H230" s="3">
        <f t="shared" si="191"/>
        <v>2.3429910997179341E-2</v>
      </c>
      <c r="I230" s="3">
        <f t="shared" si="191"/>
        <v>2.342991099717933E-2</v>
      </c>
      <c r="J230" s="3">
        <f t="shared" si="191"/>
        <v>2.3429910997179247E-2</v>
      </c>
      <c r="K230" s="3">
        <f t="shared" si="191"/>
        <v>2.3429910997178418E-2</v>
      </c>
      <c r="L230" s="3">
        <f t="shared" si="191"/>
        <v>2.3429910997170098E-2</v>
      </c>
      <c r="M230" s="3">
        <f t="shared" si="191"/>
        <v>2.3429910997086922E-2</v>
      </c>
      <c r="N230" s="3">
        <f t="shared" si="191"/>
        <v>2.3429910996255139E-2</v>
      </c>
      <c r="O230" s="3">
        <f t="shared" si="191"/>
        <v>2.3429910987937341E-2</v>
      </c>
      <c r="P230" s="3">
        <f t="shared" si="191"/>
        <v>2.3429910904759359E-2</v>
      </c>
      <c r="Q230" s="3">
        <f t="shared" si="191"/>
        <v>2.3429910072979551E-2</v>
      </c>
      <c r="R230" s="3">
        <f t="shared" si="191"/>
        <v>2.3429901755183068E-2</v>
      </c>
      <c r="S230" s="3">
        <f t="shared" si="191"/>
        <v>2.3429818577380673E-2</v>
      </c>
      <c r="T230" s="3">
        <f t="shared" si="191"/>
        <v>2.3428986815597339E-2</v>
      </c>
      <c r="U230" s="3">
        <f t="shared" si="191"/>
        <v>2.342067082161221E-2</v>
      </c>
      <c r="V230" s="3">
        <f t="shared" si="191"/>
        <v>2.3337673053489241E-2</v>
      </c>
      <c r="W230" s="3">
        <f t="shared" si="191"/>
        <v>2.2523701535588213E-2</v>
      </c>
      <c r="X230" s="3">
        <f t="shared" si="191"/>
        <v>1.5792900110578639E-2</v>
      </c>
      <c r="Y230" s="3">
        <f t="shared" si="191"/>
        <v>4.5361053792359148E-4</v>
      </c>
      <c r="Z230" s="3">
        <f t="shared" si="191"/>
        <v>1.733387267794804E-19</v>
      </c>
      <c r="AA230" s="3">
        <f t="shared" si="191"/>
        <v>1.1508541088528678E-173</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6.1780961618441606E-2</v>
      </c>
      <c r="C231" s="3">
        <f t="shared" si="192"/>
        <v>6.1780961618441606E-2</v>
      </c>
      <c r="D231" s="3">
        <f t="shared" si="192"/>
        <v>6.1780961618441606E-2</v>
      </c>
      <c r="E231" s="3">
        <f t="shared" si="192"/>
        <v>6.1780961618441606E-2</v>
      </c>
      <c r="F231" s="3">
        <f t="shared" si="192"/>
        <v>6.1780961618441606E-2</v>
      </c>
      <c r="G231" s="3">
        <f t="shared" si="192"/>
        <v>6.1780961618441606E-2</v>
      </c>
      <c r="H231" s="3">
        <f t="shared" si="192"/>
        <v>6.1780961618441606E-2</v>
      </c>
      <c r="I231" s="3">
        <f t="shared" si="192"/>
        <v>6.1780961618441599E-2</v>
      </c>
      <c r="J231" s="3">
        <f t="shared" si="192"/>
        <v>6.1780961618441536E-2</v>
      </c>
      <c r="K231" s="3">
        <f t="shared" si="192"/>
        <v>6.1780961618440933E-2</v>
      </c>
      <c r="L231" s="3">
        <f t="shared" si="192"/>
        <v>6.1780961618434861E-2</v>
      </c>
      <c r="M231" s="3">
        <f t="shared" si="192"/>
        <v>6.1780961618374208E-2</v>
      </c>
      <c r="N231" s="3">
        <f t="shared" si="192"/>
        <v>6.1780961617767603E-2</v>
      </c>
      <c r="O231" s="3">
        <f t="shared" si="192"/>
        <v>6.178096161170156E-2</v>
      </c>
      <c r="P231" s="3">
        <f t="shared" si="192"/>
        <v>6.1780961551041159E-2</v>
      </c>
      <c r="Q231" s="3">
        <f t="shared" si="192"/>
        <v>6.1780960944437163E-2</v>
      </c>
      <c r="R231" s="3">
        <f t="shared" si="192"/>
        <v>6.1780954878397513E-2</v>
      </c>
      <c r="S231" s="3">
        <f t="shared" si="192"/>
        <v>6.1780894218033768E-2</v>
      </c>
      <c r="T231" s="3">
        <f t="shared" si="192"/>
        <v>6.1780287617672104E-2</v>
      </c>
      <c r="U231" s="3">
        <f t="shared" si="192"/>
        <v>6.1774221941623214E-2</v>
      </c>
      <c r="V231" s="3">
        <f t="shared" si="192"/>
        <v>6.1713597926004567E-2</v>
      </c>
      <c r="W231" s="3">
        <f t="shared" si="192"/>
        <v>6.1110620392178613E-2</v>
      </c>
      <c r="X231" s="3">
        <f t="shared" si="192"/>
        <v>5.5395559435067819E-2</v>
      </c>
      <c r="Y231" s="3">
        <f t="shared" si="192"/>
        <v>2.0751885005938477E-2</v>
      </c>
      <c r="Z231" s="3">
        <f t="shared" si="192"/>
        <v>1.1294930095234578E-6</v>
      </c>
      <c r="AA231" s="3">
        <f t="shared" si="192"/>
        <v>2.5771725671431415E-49</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4.2169062984942343E-2</v>
      </c>
      <c r="C232" s="3">
        <f t="shared" si="193"/>
        <v>4.2169062984942343E-2</v>
      </c>
      <c r="D232" s="3">
        <f t="shared" si="193"/>
        <v>4.2169062984942343E-2</v>
      </c>
      <c r="E232" s="3">
        <f t="shared" si="193"/>
        <v>4.2169062984942343E-2</v>
      </c>
      <c r="F232" s="3">
        <f t="shared" si="193"/>
        <v>4.2169062984942343E-2</v>
      </c>
      <c r="G232" s="3">
        <f t="shared" si="193"/>
        <v>4.2169062984942343E-2</v>
      </c>
      <c r="H232" s="3">
        <f t="shared" si="193"/>
        <v>4.2169062984942343E-2</v>
      </c>
      <c r="I232" s="3">
        <f t="shared" si="193"/>
        <v>4.2169062984942343E-2</v>
      </c>
      <c r="J232" s="3">
        <f t="shared" si="193"/>
        <v>4.2169062984942336E-2</v>
      </c>
      <c r="K232" s="3">
        <f t="shared" si="193"/>
        <v>4.2169062984942295E-2</v>
      </c>
      <c r="L232" s="3">
        <f t="shared" si="193"/>
        <v>4.2169062984941885E-2</v>
      </c>
      <c r="M232" s="3">
        <f t="shared" si="193"/>
        <v>4.2169062984937743E-2</v>
      </c>
      <c r="N232" s="3">
        <f t="shared" si="193"/>
        <v>4.2169062984896338E-2</v>
      </c>
      <c r="O232" s="3">
        <f t="shared" si="193"/>
        <v>4.2169062984482295E-2</v>
      </c>
      <c r="P232" s="3">
        <f t="shared" si="193"/>
        <v>4.216906298034187E-2</v>
      </c>
      <c r="Q232" s="3">
        <f t="shared" si="193"/>
        <v>4.2169062938937657E-2</v>
      </c>
      <c r="R232" s="3">
        <f t="shared" si="193"/>
        <v>4.2169062524895509E-2</v>
      </c>
      <c r="S232" s="3">
        <f t="shared" si="193"/>
        <v>4.2169058384474233E-2</v>
      </c>
      <c r="T232" s="3">
        <f t="shared" si="193"/>
        <v>4.2169016980283809E-2</v>
      </c>
      <c r="U232" s="3">
        <f t="shared" si="193"/>
        <v>4.2168602940615474E-2</v>
      </c>
      <c r="V232" s="3">
        <f t="shared" si="193"/>
        <v>4.2164462767516009E-2</v>
      </c>
      <c r="W232" s="3">
        <f t="shared" si="193"/>
        <v>4.2123083386780377E-2</v>
      </c>
      <c r="X232" s="3">
        <f t="shared" si="193"/>
        <v>4.171151650701168E-2</v>
      </c>
      <c r="Y232" s="3">
        <f t="shared" si="193"/>
        <v>3.7810658392312922E-2</v>
      </c>
      <c r="Z232" s="3">
        <f t="shared" si="193"/>
        <v>1.4164356185910949E-2</v>
      </c>
      <c r="AA232" s="3">
        <f t="shared" si="193"/>
        <v>7.7094400300543928E-7</v>
      </c>
      <c r="AB232" s="3">
        <f t="shared" si="193"/>
        <v>1.7590686428306521E-49</v>
      </c>
      <c r="AC232" s="3">
        <f t="shared" si="193"/>
        <v>0</v>
      </c>
      <c r="AD232" s="3">
        <f t="shared" si="193"/>
        <v>0</v>
      </c>
      <c r="AE232" s="3">
        <f t="shared" si="193"/>
        <v>0</v>
      </c>
      <c r="AF232" s="3">
        <f t="shared" si="193"/>
        <v>0</v>
      </c>
      <c r="AG232" s="3"/>
      <c r="AH232" s="3"/>
    </row>
    <row r="233" spans="2:34" x14ac:dyDescent="0.25">
      <c r="B233" s="3">
        <f t="shared" ref="B233:AF233" si="194">$C41*EXP(-B$207/$A41/EXP(-$D$126))</f>
        <v>3.8068907608639936E-2</v>
      </c>
      <c r="C233" s="3">
        <f t="shared" si="194"/>
        <v>3.8068907608639936E-2</v>
      </c>
      <c r="D233" s="3">
        <f t="shared" si="194"/>
        <v>3.8068907608639936E-2</v>
      </c>
      <c r="E233" s="3">
        <f t="shared" si="194"/>
        <v>3.8068907608639936E-2</v>
      </c>
      <c r="F233" s="3">
        <f t="shared" si="194"/>
        <v>3.8068907608639936E-2</v>
      </c>
      <c r="G233" s="3">
        <f t="shared" si="194"/>
        <v>3.8068907608639936E-2</v>
      </c>
      <c r="H233" s="3">
        <f t="shared" si="194"/>
        <v>3.8068907608639936E-2</v>
      </c>
      <c r="I233" s="3">
        <f t="shared" si="194"/>
        <v>3.8068907608639936E-2</v>
      </c>
      <c r="J233" s="3">
        <f t="shared" si="194"/>
        <v>3.8068907608639936E-2</v>
      </c>
      <c r="K233" s="3">
        <f t="shared" si="194"/>
        <v>3.8068907608639929E-2</v>
      </c>
      <c r="L233" s="3">
        <f t="shared" si="194"/>
        <v>3.8068907608639894E-2</v>
      </c>
      <c r="M233" s="3">
        <f t="shared" si="194"/>
        <v>3.806890760863952E-2</v>
      </c>
      <c r="N233" s="3">
        <f t="shared" si="194"/>
        <v>3.806890760863578E-2</v>
      </c>
      <c r="O233" s="3">
        <f t="shared" si="194"/>
        <v>3.8068907608598407E-2</v>
      </c>
      <c r="P233" s="3">
        <f t="shared" si="194"/>
        <v>3.8068907608224622E-2</v>
      </c>
      <c r="Q233" s="3">
        <f t="shared" si="194"/>
        <v>3.8068907604486779E-2</v>
      </c>
      <c r="R233" s="3">
        <f t="shared" si="194"/>
        <v>3.8068907567108345E-2</v>
      </c>
      <c r="S233" s="3">
        <f t="shared" si="194"/>
        <v>3.8068907193324085E-2</v>
      </c>
      <c r="T233" s="3">
        <f t="shared" si="194"/>
        <v>3.8068903455481598E-2</v>
      </c>
      <c r="U233" s="3">
        <f t="shared" si="194"/>
        <v>3.8068866077076949E-2</v>
      </c>
      <c r="V233" s="3">
        <f t="shared" si="194"/>
        <v>3.8068492295048988E-2</v>
      </c>
      <c r="W233" s="3">
        <f t="shared" si="194"/>
        <v>3.8064754676613785E-2</v>
      </c>
      <c r="X233" s="3">
        <f t="shared" si="194"/>
        <v>3.8027398669374782E-2</v>
      </c>
      <c r="Y233" s="3">
        <f t="shared" si="194"/>
        <v>3.7655848997372697E-2</v>
      </c>
      <c r="Z233" s="3">
        <f t="shared" si="194"/>
        <v>3.4134276625325755E-2</v>
      </c>
      <c r="AA233" s="3">
        <f t="shared" si="194"/>
        <v>1.2787136559563957E-2</v>
      </c>
      <c r="AB233" s="3">
        <f t="shared" si="194"/>
        <v>6.9598406851793196E-7</v>
      </c>
      <c r="AC233" s="3">
        <f t="shared" si="194"/>
        <v>1.5880320050053705E-49</v>
      </c>
      <c r="AD233" s="3">
        <f t="shared" si="194"/>
        <v>0</v>
      </c>
      <c r="AE233" s="3">
        <f t="shared" si="194"/>
        <v>0</v>
      </c>
      <c r="AF233" s="3">
        <f t="shared" si="194"/>
        <v>0</v>
      </c>
      <c r="AG233" s="3"/>
      <c r="AH233" s="3"/>
    </row>
    <row r="234" spans="2:34" x14ac:dyDescent="0.25">
      <c r="B234" s="3">
        <f t="shared" ref="B234:AF234" si="195">$C42*EXP(-B$207/$A42/EXP(-$D$126))</f>
        <v>1.8061881630202923E-2</v>
      </c>
      <c r="C234" s="3">
        <f t="shared" si="195"/>
        <v>1.8061881630202923E-2</v>
      </c>
      <c r="D234" s="3">
        <f t="shared" si="195"/>
        <v>1.8061881630202923E-2</v>
      </c>
      <c r="E234" s="3">
        <f t="shared" si="195"/>
        <v>1.8061881630202923E-2</v>
      </c>
      <c r="F234" s="3">
        <f t="shared" si="195"/>
        <v>1.8061881630202923E-2</v>
      </c>
      <c r="G234" s="3">
        <f t="shared" si="195"/>
        <v>1.8061881630202923E-2</v>
      </c>
      <c r="H234" s="3">
        <f t="shared" si="195"/>
        <v>1.8061881630202923E-2</v>
      </c>
      <c r="I234" s="3">
        <f t="shared" si="195"/>
        <v>1.8061881630202923E-2</v>
      </c>
      <c r="J234" s="3">
        <f t="shared" si="195"/>
        <v>1.8061881630202923E-2</v>
      </c>
      <c r="K234" s="3">
        <f t="shared" si="195"/>
        <v>1.8061881630202923E-2</v>
      </c>
      <c r="L234" s="3">
        <f t="shared" si="195"/>
        <v>1.8061881630202919E-2</v>
      </c>
      <c r="M234" s="3">
        <f t="shared" si="195"/>
        <v>1.8061881630202902E-2</v>
      </c>
      <c r="N234" s="3">
        <f t="shared" si="195"/>
        <v>1.8061881630202725E-2</v>
      </c>
      <c r="O234" s="3">
        <f t="shared" si="195"/>
        <v>1.8061881630200952E-2</v>
      </c>
      <c r="P234" s="3">
        <f t="shared" si="195"/>
        <v>1.806188163018322E-2</v>
      </c>
      <c r="Q234" s="3">
        <f t="shared" si="195"/>
        <v>1.8061881630005876E-2</v>
      </c>
      <c r="R234" s="3">
        <f t="shared" si="195"/>
        <v>1.8061881628232447E-2</v>
      </c>
      <c r="S234" s="3">
        <f t="shared" si="195"/>
        <v>1.8061881610498164E-2</v>
      </c>
      <c r="T234" s="3">
        <f t="shared" si="195"/>
        <v>1.806188143315535E-2</v>
      </c>
      <c r="U234" s="3">
        <f t="shared" si="195"/>
        <v>1.8061879659727303E-2</v>
      </c>
      <c r="V234" s="3">
        <f t="shared" si="195"/>
        <v>1.8061861925456408E-2</v>
      </c>
      <c r="W234" s="3">
        <f t="shared" si="195"/>
        <v>1.8061684583705127E-2</v>
      </c>
      <c r="X234" s="3">
        <f t="shared" si="195"/>
        <v>1.8059911261957905E-2</v>
      </c>
      <c r="Y234" s="3">
        <f t="shared" si="195"/>
        <v>1.8042187617563793E-2</v>
      </c>
      <c r="Z234" s="3">
        <f t="shared" si="195"/>
        <v>1.7865905012755888E-2</v>
      </c>
      <c r="AA234" s="3">
        <f t="shared" si="195"/>
        <v>1.6195086821963647E-2</v>
      </c>
      <c r="AB234" s="3">
        <f t="shared" si="195"/>
        <v>6.0668866388923362E-3</v>
      </c>
      <c r="AC234" s="3">
        <f t="shared" si="195"/>
        <v>3.3021125773582541E-7</v>
      </c>
      <c r="AD234" s="3">
        <f t="shared" si="195"/>
        <v>7.5344547298938245E-50</v>
      </c>
      <c r="AE234" s="3">
        <f t="shared" si="195"/>
        <v>0</v>
      </c>
      <c r="AF234" s="3">
        <f t="shared" si="195"/>
        <v>0</v>
      </c>
      <c r="AG234" s="3"/>
      <c r="AH234" s="3"/>
    </row>
    <row r="235" spans="2:34" x14ac:dyDescent="0.25">
      <c r="B235" s="3">
        <f t="shared" ref="B235:AF235" si="196">$C43*EXP(-B$207/$A43/EXP(-$D$126))</f>
        <v>1.0233436786589783E-2</v>
      </c>
      <c r="C235" s="3">
        <f t="shared" si="196"/>
        <v>1.0233436786589783E-2</v>
      </c>
      <c r="D235" s="3">
        <f t="shared" si="196"/>
        <v>1.0233436786589783E-2</v>
      </c>
      <c r="E235" s="3">
        <f t="shared" si="196"/>
        <v>1.0233436786589783E-2</v>
      </c>
      <c r="F235" s="3">
        <f t="shared" si="196"/>
        <v>1.0233436786589783E-2</v>
      </c>
      <c r="G235" s="3">
        <f t="shared" si="196"/>
        <v>1.0233436786589783E-2</v>
      </c>
      <c r="H235" s="3">
        <f t="shared" si="196"/>
        <v>1.0233436786589783E-2</v>
      </c>
      <c r="I235" s="3">
        <f t="shared" si="196"/>
        <v>1.0233436786589783E-2</v>
      </c>
      <c r="J235" s="3">
        <f t="shared" si="196"/>
        <v>1.0233436786589783E-2</v>
      </c>
      <c r="K235" s="3">
        <f t="shared" si="196"/>
        <v>1.0233436786589783E-2</v>
      </c>
      <c r="L235" s="3">
        <f t="shared" si="196"/>
        <v>1.0233436786589783E-2</v>
      </c>
      <c r="M235" s="3">
        <f t="shared" si="196"/>
        <v>1.0233436786589781E-2</v>
      </c>
      <c r="N235" s="3">
        <f t="shared" si="196"/>
        <v>1.0233436786589771E-2</v>
      </c>
      <c r="O235" s="3">
        <f t="shared" si="196"/>
        <v>1.0233436786589672E-2</v>
      </c>
      <c r="P235" s="3">
        <f t="shared" si="196"/>
        <v>1.0233436786588666E-2</v>
      </c>
      <c r="Q235" s="3">
        <f t="shared" si="196"/>
        <v>1.023343678657862E-2</v>
      </c>
      <c r="R235" s="3">
        <f t="shared" si="196"/>
        <v>1.023343678647814E-2</v>
      </c>
      <c r="S235" s="3">
        <f t="shared" si="196"/>
        <v>1.0233436785473358E-2</v>
      </c>
      <c r="T235" s="3">
        <f t="shared" si="196"/>
        <v>1.0233436775425531E-2</v>
      </c>
      <c r="U235" s="3">
        <f t="shared" si="196"/>
        <v>1.023343667494727E-2</v>
      </c>
      <c r="V235" s="3">
        <f t="shared" si="196"/>
        <v>1.0233435670164701E-2</v>
      </c>
      <c r="W235" s="3">
        <f t="shared" si="196"/>
        <v>1.0233425622344441E-2</v>
      </c>
      <c r="X235" s="3">
        <f t="shared" si="196"/>
        <v>1.0233325144684445E-2</v>
      </c>
      <c r="Y235" s="3">
        <f t="shared" si="196"/>
        <v>1.0232320422342994E-2</v>
      </c>
      <c r="Z235" s="3">
        <f t="shared" si="196"/>
        <v>1.0222278622809115E-2</v>
      </c>
      <c r="AA235" s="3">
        <f t="shared" si="196"/>
        <v>1.0122401050260944E-2</v>
      </c>
      <c r="AB235" s="3">
        <f t="shared" si="196"/>
        <v>9.1757548099951885E-3</v>
      </c>
      <c r="AC235" s="3">
        <f t="shared" si="196"/>
        <v>3.4373550985237725E-3</v>
      </c>
      <c r="AD235" s="3">
        <f t="shared" si="196"/>
        <v>1.8708992238157587E-7</v>
      </c>
      <c r="AE235" s="3">
        <f t="shared" si="196"/>
        <v>4.2688446186503221E-50</v>
      </c>
      <c r="AF235" s="3">
        <f t="shared" si="196"/>
        <v>0</v>
      </c>
      <c r="AG235" s="3"/>
      <c r="AH235" s="3"/>
    </row>
    <row r="236" spans="2:34" x14ac:dyDescent="0.25">
      <c r="B236" s="3">
        <f t="shared" ref="B236:AF236" si="197">$C44*EXP(-B$207/$A44/EXP(-$D$126))</f>
        <v>4.802496116573597E-3</v>
      </c>
      <c r="C236" s="3">
        <f t="shared" si="197"/>
        <v>4.802496116573597E-3</v>
      </c>
      <c r="D236" s="3">
        <f t="shared" si="197"/>
        <v>4.802496116573597E-3</v>
      </c>
      <c r="E236" s="3">
        <f t="shared" si="197"/>
        <v>4.802496116573597E-3</v>
      </c>
      <c r="F236" s="3">
        <f t="shared" si="197"/>
        <v>4.802496116573597E-3</v>
      </c>
      <c r="G236" s="3">
        <f t="shared" si="197"/>
        <v>4.802496116573597E-3</v>
      </c>
      <c r="H236" s="3">
        <f t="shared" si="197"/>
        <v>4.802496116573597E-3</v>
      </c>
      <c r="I236" s="3">
        <f t="shared" si="197"/>
        <v>4.802496116573597E-3</v>
      </c>
      <c r="J236" s="3">
        <f t="shared" si="197"/>
        <v>4.802496116573597E-3</v>
      </c>
      <c r="K236" s="3">
        <f t="shared" si="197"/>
        <v>4.802496116573597E-3</v>
      </c>
      <c r="L236" s="3">
        <f t="shared" si="197"/>
        <v>4.802496116573597E-3</v>
      </c>
      <c r="M236" s="3">
        <f t="shared" si="197"/>
        <v>4.802496116573597E-3</v>
      </c>
      <c r="N236" s="3">
        <f t="shared" si="197"/>
        <v>4.8024961165735961E-3</v>
      </c>
      <c r="O236" s="3">
        <f t="shared" si="197"/>
        <v>4.8024961165735918E-3</v>
      </c>
      <c r="P236" s="3">
        <f t="shared" si="197"/>
        <v>4.8024961165735449E-3</v>
      </c>
      <c r="Q236" s="3">
        <f t="shared" si="197"/>
        <v>4.8024961165730731E-3</v>
      </c>
      <c r="R236" s="3">
        <f t="shared" si="197"/>
        <v>4.8024961165683581E-3</v>
      </c>
      <c r="S236" s="3">
        <f t="shared" si="197"/>
        <v>4.802496116521204E-3</v>
      </c>
      <c r="T236" s="3">
        <f t="shared" si="197"/>
        <v>4.8024961160496645E-3</v>
      </c>
      <c r="U236" s="3">
        <f t="shared" si="197"/>
        <v>4.8024961113342741E-3</v>
      </c>
      <c r="V236" s="3">
        <f t="shared" si="197"/>
        <v>4.8024960641803735E-3</v>
      </c>
      <c r="W236" s="3">
        <f t="shared" si="197"/>
        <v>4.8024955926413895E-3</v>
      </c>
      <c r="X236" s="3">
        <f t="shared" si="197"/>
        <v>4.8024908772540979E-3</v>
      </c>
      <c r="Y236" s="3">
        <f t="shared" si="197"/>
        <v>4.8024437236358171E-3</v>
      </c>
      <c r="Z236" s="3">
        <f t="shared" si="197"/>
        <v>4.801972212916234E-3</v>
      </c>
      <c r="AA236" s="3">
        <f t="shared" si="197"/>
        <v>4.7972596511180257E-3</v>
      </c>
      <c r="AB236" s="3">
        <f t="shared" si="197"/>
        <v>4.7503876506065305E-3</v>
      </c>
      <c r="AC236" s="3">
        <f t="shared" si="197"/>
        <v>4.3061317288224776E-3</v>
      </c>
      <c r="AD236" s="3">
        <f t="shared" si="197"/>
        <v>1.6131320157835266E-3</v>
      </c>
      <c r="AE236" s="3">
        <f t="shared" si="197"/>
        <v>8.7800281022402426E-8</v>
      </c>
      <c r="AF236" s="3">
        <f t="shared" si="197"/>
        <v>2.0033455163557142E-50</v>
      </c>
      <c r="AG236" s="3"/>
      <c r="AH236" s="3"/>
    </row>
    <row r="237" spans="2:34" x14ac:dyDescent="0.25">
      <c r="B237" s="3">
        <f t="shared" ref="B237:AF237" si="198">$C45*EXP(-B$207/$A45/EXP(-$D$126))</f>
        <v>2.5220120484412234E-3</v>
      </c>
      <c r="C237" s="3">
        <f t="shared" si="198"/>
        <v>2.5220120484412234E-3</v>
      </c>
      <c r="D237" s="3">
        <f t="shared" si="198"/>
        <v>2.5220120484412234E-3</v>
      </c>
      <c r="E237" s="3">
        <f t="shared" si="198"/>
        <v>2.5220120484412234E-3</v>
      </c>
      <c r="F237" s="3">
        <f t="shared" si="198"/>
        <v>2.5220120484412234E-3</v>
      </c>
      <c r="G237" s="3">
        <f t="shared" si="198"/>
        <v>2.5220120484412234E-3</v>
      </c>
      <c r="H237" s="3">
        <f t="shared" si="198"/>
        <v>2.5220120484412234E-3</v>
      </c>
      <c r="I237" s="3">
        <f t="shared" si="198"/>
        <v>2.5220120484412234E-3</v>
      </c>
      <c r="J237" s="3">
        <f t="shared" si="198"/>
        <v>2.5220120484412234E-3</v>
      </c>
      <c r="K237" s="3">
        <f t="shared" si="198"/>
        <v>2.5220120484412234E-3</v>
      </c>
      <c r="L237" s="3">
        <f t="shared" si="198"/>
        <v>2.5220120484412234E-3</v>
      </c>
      <c r="M237" s="3">
        <f t="shared" si="198"/>
        <v>2.5220120484412234E-3</v>
      </c>
      <c r="N237" s="3">
        <f t="shared" si="198"/>
        <v>2.5220120484412234E-3</v>
      </c>
      <c r="O237" s="3">
        <f t="shared" si="198"/>
        <v>2.5220120484412229E-3</v>
      </c>
      <c r="P237" s="3">
        <f t="shared" si="198"/>
        <v>2.5220120484412208E-3</v>
      </c>
      <c r="Q237" s="3">
        <f t="shared" si="198"/>
        <v>2.5220120484411961E-3</v>
      </c>
      <c r="R237" s="3">
        <f t="shared" si="198"/>
        <v>2.522012048440948E-3</v>
      </c>
      <c r="S237" s="3">
        <f t="shared" si="198"/>
        <v>2.5220120484384721E-3</v>
      </c>
      <c r="T237" s="3">
        <f t="shared" si="198"/>
        <v>2.5220120484137094E-3</v>
      </c>
      <c r="U237" s="3">
        <f t="shared" si="198"/>
        <v>2.5220120481660824E-3</v>
      </c>
      <c r="V237" s="3">
        <f t="shared" si="198"/>
        <v>2.5220120456898136E-3</v>
      </c>
      <c r="W237" s="3">
        <f t="shared" si="198"/>
        <v>2.5220120209271273E-3</v>
      </c>
      <c r="X237" s="3">
        <f t="shared" si="198"/>
        <v>2.5220117733002743E-3</v>
      </c>
      <c r="Y237" s="3">
        <f t="shared" si="198"/>
        <v>2.5220092970330843E-3</v>
      </c>
      <c r="Z237" s="3">
        <f t="shared" si="198"/>
        <v>2.5219845344949072E-3</v>
      </c>
      <c r="AA237" s="3">
        <f t="shared" si="198"/>
        <v>2.5217369224850498E-3</v>
      </c>
      <c r="AB237" s="3">
        <f t="shared" si="198"/>
        <v>2.5192621390920785E-3</v>
      </c>
      <c r="AC237" s="3">
        <f t="shared" si="198"/>
        <v>2.4946474913849037E-3</v>
      </c>
      <c r="AD237" s="3">
        <f t="shared" si="198"/>
        <v>2.2613482319718383E-3</v>
      </c>
      <c r="AE237" s="3">
        <f t="shared" si="198"/>
        <v>8.4712996757922222E-4</v>
      </c>
      <c r="AF237" s="3">
        <f t="shared" si="198"/>
        <v>4.6107974107641493E-8</v>
      </c>
      <c r="AG237" s="3"/>
      <c r="AH237" s="3"/>
    </row>
    <row r="238" spans="2:34" x14ac:dyDescent="0.25">
      <c r="B238" s="3">
        <f t="shared" ref="B238:AF238" si="199">$C46*EXP(-B$207/$A46/EXP(-$D$126))</f>
        <v>2.1848474936022057E-3</v>
      </c>
      <c r="C238" s="3">
        <f t="shared" si="199"/>
        <v>2.1848474936022057E-3</v>
      </c>
      <c r="D238" s="3">
        <f t="shared" si="199"/>
        <v>2.1848474936022057E-3</v>
      </c>
      <c r="E238" s="3">
        <f t="shared" si="199"/>
        <v>2.1848474936022057E-3</v>
      </c>
      <c r="F238" s="3">
        <f t="shared" si="199"/>
        <v>2.1848474936022057E-3</v>
      </c>
      <c r="G238" s="3">
        <f t="shared" si="199"/>
        <v>2.1848474936022057E-3</v>
      </c>
      <c r="H238" s="3">
        <f t="shared" si="199"/>
        <v>2.1848474936022057E-3</v>
      </c>
      <c r="I238" s="3">
        <f t="shared" si="199"/>
        <v>2.1848474936022057E-3</v>
      </c>
      <c r="J238" s="3">
        <f t="shared" si="199"/>
        <v>2.1848474936022057E-3</v>
      </c>
      <c r="K238" s="3">
        <f t="shared" si="199"/>
        <v>2.1848474936022057E-3</v>
      </c>
      <c r="L238" s="3">
        <f t="shared" si="199"/>
        <v>2.1848474936022057E-3</v>
      </c>
      <c r="M238" s="3">
        <f t="shared" si="199"/>
        <v>2.1848474936022057E-3</v>
      </c>
      <c r="N238" s="3">
        <f t="shared" si="199"/>
        <v>2.1848474936022057E-3</v>
      </c>
      <c r="O238" s="3">
        <f t="shared" si="199"/>
        <v>2.1848474936022057E-3</v>
      </c>
      <c r="P238" s="3">
        <f t="shared" si="199"/>
        <v>2.1848474936022053E-3</v>
      </c>
      <c r="Q238" s="3">
        <f t="shared" si="199"/>
        <v>2.1848474936022031E-3</v>
      </c>
      <c r="R238" s="3">
        <f t="shared" si="199"/>
        <v>2.1848474936021819E-3</v>
      </c>
      <c r="S238" s="3">
        <f t="shared" si="199"/>
        <v>2.1848474936019672E-3</v>
      </c>
      <c r="T238" s="3">
        <f t="shared" si="199"/>
        <v>2.1848474935998222E-3</v>
      </c>
      <c r="U238" s="3">
        <f t="shared" si="199"/>
        <v>2.1848474935783698E-3</v>
      </c>
      <c r="V238" s="3">
        <f t="shared" si="199"/>
        <v>2.1848474933638478E-3</v>
      </c>
      <c r="W238" s="3">
        <f t="shared" si="199"/>
        <v>2.1848474912186285E-3</v>
      </c>
      <c r="X238" s="3">
        <f t="shared" si="199"/>
        <v>2.1848474697664338E-3</v>
      </c>
      <c r="Y238" s="3">
        <f t="shared" si="199"/>
        <v>2.1848472552444972E-3</v>
      </c>
      <c r="Z238" s="3">
        <f t="shared" si="199"/>
        <v>2.1848451100262905E-3</v>
      </c>
      <c r="AA238" s="3">
        <f t="shared" si="199"/>
        <v>2.1848236579600703E-3</v>
      </c>
      <c r="AB238" s="3">
        <f t="shared" si="199"/>
        <v>2.1846091488821073E-3</v>
      </c>
      <c r="AC238" s="3">
        <f t="shared" si="199"/>
        <v>2.1824652161056227E-3</v>
      </c>
      <c r="AD238" s="3">
        <f t="shared" si="199"/>
        <v>2.1611412690681134E-3</v>
      </c>
      <c r="AE238" s="3">
        <f t="shared" si="199"/>
        <v>1.9590314883067839E-3</v>
      </c>
      <c r="AF238" s="3">
        <f t="shared" si="199"/>
        <v>7.33878249140298E-4</v>
      </c>
      <c r="AG238" s="3"/>
      <c r="AH238" s="3"/>
    </row>
    <row r="239" spans="2:34" x14ac:dyDescent="0.25">
      <c r="B239" s="3">
        <f t="shared" ref="B239:AF239" si="200">$C47*EXP(-B$207/$A47/EXP(-$D$126))</f>
        <v>3.6320293099179269E-4</v>
      </c>
      <c r="C239" s="3">
        <f t="shared" si="200"/>
        <v>3.6320293099179269E-4</v>
      </c>
      <c r="D239" s="3">
        <f t="shared" si="200"/>
        <v>3.6320293099179269E-4</v>
      </c>
      <c r="E239" s="3">
        <f t="shared" si="200"/>
        <v>3.6320293099179269E-4</v>
      </c>
      <c r="F239" s="3">
        <f t="shared" si="200"/>
        <v>3.6320293099179269E-4</v>
      </c>
      <c r="G239" s="3">
        <f t="shared" si="200"/>
        <v>3.6320293099179269E-4</v>
      </c>
      <c r="H239" s="3">
        <f t="shared" si="200"/>
        <v>3.6320293099179269E-4</v>
      </c>
      <c r="I239" s="3">
        <f t="shared" si="200"/>
        <v>3.6320293099179269E-4</v>
      </c>
      <c r="J239" s="3">
        <f t="shared" si="200"/>
        <v>3.6320293099179269E-4</v>
      </c>
      <c r="K239" s="3">
        <f t="shared" si="200"/>
        <v>3.6320293099179269E-4</v>
      </c>
      <c r="L239" s="3">
        <f t="shared" si="200"/>
        <v>3.6320293099179269E-4</v>
      </c>
      <c r="M239" s="3">
        <f t="shared" si="200"/>
        <v>3.6320293099179269E-4</v>
      </c>
      <c r="N239" s="3">
        <f t="shared" si="200"/>
        <v>3.6320293099179269E-4</v>
      </c>
      <c r="O239" s="3">
        <f t="shared" si="200"/>
        <v>3.6320293099179269E-4</v>
      </c>
      <c r="P239" s="3">
        <f t="shared" si="200"/>
        <v>3.6320293099179269E-4</v>
      </c>
      <c r="Q239" s="3">
        <f t="shared" si="200"/>
        <v>3.6320293099179263E-4</v>
      </c>
      <c r="R239" s="3">
        <f t="shared" si="200"/>
        <v>3.6320293099179231E-4</v>
      </c>
      <c r="S239" s="3">
        <f t="shared" si="200"/>
        <v>3.6320293099178873E-4</v>
      </c>
      <c r="T239" s="3">
        <f t="shared" si="200"/>
        <v>3.6320293099175306E-4</v>
      </c>
      <c r="U239" s="3">
        <f t="shared" si="200"/>
        <v>3.6320293099139647E-4</v>
      </c>
      <c r="V239" s="3">
        <f t="shared" si="200"/>
        <v>3.6320293098783031E-4</v>
      </c>
      <c r="W239" s="3">
        <f t="shared" si="200"/>
        <v>3.6320293095216878E-4</v>
      </c>
      <c r="X239" s="3">
        <f t="shared" si="200"/>
        <v>3.6320293059555349E-4</v>
      </c>
      <c r="Y239" s="3">
        <f t="shared" si="200"/>
        <v>3.632029270294007E-4</v>
      </c>
      <c r="Z239" s="3">
        <f t="shared" si="200"/>
        <v>3.632028913678745E-4</v>
      </c>
      <c r="AA239" s="3">
        <f t="shared" si="200"/>
        <v>3.6320253475280521E-4</v>
      </c>
      <c r="AB239" s="3">
        <f t="shared" si="200"/>
        <v>3.6319896862137046E-4</v>
      </c>
      <c r="AC239" s="3">
        <f t="shared" si="200"/>
        <v>3.6316330923275475E-4</v>
      </c>
      <c r="AD239" s="3">
        <f t="shared" si="200"/>
        <v>3.628069078497984E-4</v>
      </c>
      <c r="AE239" s="3">
        <f t="shared" si="200"/>
        <v>3.5926207458934593E-4</v>
      </c>
      <c r="AF239" s="3">
        <f t="shared" si="200"/>
        <v>3.2566391042934044E-4</v>
      </c>
      <c r="AG239" s="3"/>
      <c r="AH239" s="3"/>
    </row>
    <row r="240" spans="2:34" x14ac:dyDescent="0.25">
      <c r="B240" s="3">
        <f t="shared" ref="B240:AF240" si="201">$C48*EXP(-B$207/$A48/EXP(-$D$126))</f>
        <v>1.8415595868786856E-3</v>
      </c>
      <c r="C240" s="3">
        <f t="shared" si="201"/>
        <v>1.8415595868786856E-3</v>
      </c>
      <c r="D240" s="3">
        <f t="shared" si="201"/>
        <v>1.8415595868786856E-3</v>
      </c>
      <c r="E240" s="3">
        <f t="shared" si="201"/>
        <v>1.8415595868786856E-3</v>
      </c>
      <c r="F240" s="3">
        <f t="shared" si="201"/>
        <v>1.8415595868786856E-3</v>
      </c>
      <c r="G240" s="3">
        <f t="shared" si="201"/>
        <v>1.8415595868786856E-3</v>
      </c>
      <c r="H240" s="3">
        <f t="shared" si="201"/>
        <v>1.8415595868786856E-3</v>
      </c>
      <c r="I240" s="3">
        <f t="shared" si="201"/>
        <v>1.8415595868786856E-3</v>
      </c>
      <c r="J240" s="3">
        <f t="shared" si="201"/>
        <v>1.8415595868786856E-3</v>
      </c>
      <c r="K240" s="3">
        <f t="shared" si="201"/>
        <v>1.8415595868786856E-3</v>
      </c>
      <c r="L240" s="3">
        <f t="shared" si="201"/>
        <v>1.8415595868786856E-3</v>
      </c>
      <c r="M240" s="3">
        <f t="shared" si="201"/>
        <v>1.8415595868786856E-3</v>
      </c>
      <c r="N240" s="3">
        <f t="shared" si="201"/>
        <v>1.8415595868786856E-3</v>
      </c>
      <c r="O240" s="3">
        <f t="shared" si="201"/>
        <v>1.8415595868786856E-3</v>
      </c>
      <c r="P240" s="3">
        <f t="shared" si="201"/>
        <v>1.8415595868786856E-3</v>
      </c>
      <c r="Q240" s="3">
        <f t="shared" si="201"/>
        <v>1.8415595868786856E-3</v>
      </c>
      <c r="R240" s="3">
        <f t="shared" si="201"/>
        <v>1.8415595868786854E-3</v>
      </c>
      <c r="S240" s="3">
        <f t="shared" si="201"/>
        <v>1.8415595868786837E-3</v>
      </c>
      <c r="T240" s="3">
        <f t="shared" si="201"/>
        <v>1.8415595868786657E-3</v>
      </c>
      <c r="U240" s="3">
        <f t="shared" si="201"/>
        <v>1.8415595868784846E-3</v>
      </c>
      <c r="V240" s="3">
        <f t="shared" si="201"/>
        <v>1.8415595868766766E-3</v>
      </c>
      <c r="W240" s="3">
        <f t="shared" si="201"/>
        <v>1.8415595868585949E-3</v>
      </c>
      <c r="X240" s="3">
        <f t="shared" si="201"/>
        <v>1.841559586677779E-3</v>
      </c>
      <c r="Y240" s="3">
        <f t="shared" si="201"/>
        <v>1.841559584869621E-3</v>
      </c>
      <c r="Z240" s="3">
        <f t="shared" si="201"/>
        <v>1.8415595667880412E-3</v>
      </c>
      <c r="AA240" s="3">
        <f t="shared" si="201"/>
        <v>1.8415593859722496E-3</v>
      </c>
      <c r="AB240" s="3">
        <f t="shared" si="201"/>
        <v>1.8415575778153114E-3</v>
      </c>
      <c r="AC240" s="3">
        <f t="shared" si="201"/>
        <v>1.8415394963435738E-3</v>
      </c>
      <c r="AD240" s="3">
        <f t="shared" si="201"/>
        <v>1.8413586913902983E-3</v>
      </c>
      <c r="AE240" s="3">
        <f t="shared" si="201"/>
        <v>1.8395516179127583E-3</v>
      </c>
      <c r="AF240" s="3">
        <f t="shared" si="201"/>
        <v>1.8215781349982712E-3</v>
      </c>
      <c r="AG240" s="3"/>
      <c r="AH240" s="3"/>
    </row>
    <row r="241" spans="1:34" x14ac:dyDescent="0.25">
      <c r="A241" s="79">
        <f>AVERAGE(B241:AF241)</f>
        <v>5.0390530026414799E-3</v>
      </c>
      <c r="B241" s="80">
        <f>IF($A$64&lt;=B207,IF($B$64&gt;=B207,ABS((B209-B208)/B208),0),0)</f>
        <v>2.7584073350711051E-2</v>
      </c>
      <c r="C241" s="80">
        <f t="shared" ref="C241:AF241" si="202">IF($A$64&lt;=C207,IF($B$64&gt;=C207,ABS((C209-C208)/C208),0),0)</f>
        <v>5.2355979109120565E-3</v>
      </c>
      <c r="D241" s="80">
        <f t="shared" si="202"/>
        <v>5.6781648534335472E-3</v>
      </c>
      <c r="E241" s="80">
        <f t="shared" si="202"/>
        <v>6.3604853192425126E-3</v>
      </c>
      <c r="F241" s="80">
        <f t="shared" si="202"/>
        <v>3.1626982791445766E-3</v>
      </c>
      <c r="G241" s="80">
        <f t="shared" si="202"/>
        <v>3.8573273759910762E-3</v>
      </c>
      <c r="H241" s="80">
        <f t="shared" si="202"/>
        <v>3.6541868077358767E-3</v>
      </c>
      <c r="I241" s="80">
        <f t="shared" si="202"/>
        <v>3.8264131650602149E-3</v>
      </c>
      <c r="J241" s="80">
        <f t="shared" si="202"/>
        <v>3.735773587121129E-3</v>
      </c>
      <c r="K241" s="80">
        <f t="shared" si="202"/>
        <v>3.6554937860944891E-3</v>
      </c>
      <c r="L241" s="80">
        <f t="shared" si="202"/>
        <v>3.7287320058086004E-3</v>
      </c>
      <c r="M241" s="80">
        <f t="shared" si="202"/>
        <v>3.5566569858972918E-3</v>
      </c>
      <c r="N241" s="80">
        <f t="shared" si="202"/>
        <v>3.7387179305278608E-3</v>
      </c>
      <c r="O241" s="80">
        <f t="shared" si="202"/>
        <v>3.2197308155979508E-3</v>
      </c>
      <c r="P241" s="80">
        <f t="shared" si="202"/>
        <v>3.6237966287001595E-3</v>
      </c>
      <c r="Q241" s="80">
        <f t="shared" si="202"/>
        <v>2.8945174124209026E-3</v>
      </c>
      <c r="R241" s="80">
        <f t="shared" si="202"/>
        <v>2.9382242721179798E-3</v>
      </c>
      <c r="S241" s="80">
        <f t="shared" si="202"/>
        <v>7.3941354608724169E-4</v>
      </c>
      <c r="T241" s="80">
        <f t="shared" si="202"/>
        <v>8.7639412038479445E-3</v>
      </c>
      <c r="U241" s="80">
        <f t="shared" si="202"/>
        <v>1.3921770726364798E-2</v>
      </c>
      <c r="V241" s="80">
        <f t="shared" si="202"/>
        <v>1.2719679909451338E-2</v>
      </c>
      <c r="W241" s="80">
        <f t="shared" si="202"/>
        <v>9.9300038820882702E-3</v>
      </c>
      <c r="X241" s="80">
        <f t="shared" si="202"/>
        <v>9.4057569480377762E-3</v>
      </c>
      <c r="Y241" s="80">
        <f t="shared" si="202"/>
        <v>2.6613019119868181E-3</v>
      </c>
      <c r="Z241" s="80">
        <f t="shared" si="202"/>
        <v>2.4582026209747513E-3</v>
      </c>
      <c r="AA241" s="80">
        <f t="shared" si="202"/>
        <v>9.9792890985162886E-4</v>
      </c>
      <c r="AB241" s="80">
        <f t="shared" si="202"/>
        <v>9.3066177425593795E-4</v>
      </c>
      <c r="AC241" s="80">
        <f t="shared" si="202"/>
        <v>1.5673058588126561E-3</v>
      </c>
      <c r="AD241" s="80">
        <f t="shared" si="202"/>
        <v>1.5815791668270674E-4</v>
      </c>
      <c r="AE241" s="80">
        <f t="shared" si="202"/>
        <v>1.3235715632548346E-3</v>
      </c>
      <c r="AF241" s="80">
        <f t="shared" si="202"/>
        <v>1.8235582367186494E-4</v>
      </c>
    </row>
    <row r="242" spans="1:34" x14ac:dyDescent="0.25">
      <c r="B242" s="21">
        <f>(B209-B208)^2</f>
        <v>81267.883402394436</v>
      </c>
      <c r="C242" s="21">
        <f t="shared" ref="C242:AF242" si="203">(C209-C208)^2</f>
        <v>2791.6939510811103</v>
      </c>
      <c r="D242" s="21">
        <f t="shared" si="203"/>
        <v>3152.5279754865946</v>
      </c>
      <c r="E242" s="21">
        <f t="shared" si="203"/>
        <v>3787.3250193636109</v>
      </c>
      <c r="F242" s="21">
        <f t="shared" si="203"/>
        <v>890.97360198128376</v>
      </c>
      <c r="G242" s="21">
        <f t="shared" si="203"/>
        <v>1254.6021635929837</v>
      </c>
      <c r="H242" s="21">
        <f t="shared" si="203"/>
        <v>1057.6570222467171</v>
      </c>
      <c r="I242" s="21">
        <f t="shared" si="203"/>
        <v>1088.3288610793732</v>
      </c>
      <c r="J242" s="21">
        <f t="shared" si="203"/>
        <v>974.06851136005002</v>
      </c>
      <c r="K242" s="21">
        <f t="shared" si="203"/>
        <v>864.16685903924258</v>
      </c>
      <c r="L242" s="21">
        <f t="shared" si="203"/>
        <v>818.60995111496152</v>
      </c>
      <c r="M242" s="21">
        <f t="shared" si="203"/>
        <v>673.27704781600926</v>
      </c>
      <c r="N242" s="21">
        <f t="shared" si="203"/>
        <v>680.59977870186447</v>
      </c>
      <c r="O242" s="21">
        <f t="shared" si="203"/>
        <v>463.77723607609619</v>
      </c>
      <c r="P242" s="21">
        <f t="shared" si="203"/>
        <v>538.29741278649669</v>
      </c>
      <c r="Q242" s="21">
        <f t="shared" si="203"/>
        <v>312.63223582370551</v>
      </c>
      <c r="R242" s="21">
        <f t="shared" si="203"/>
        <v>292.61070215811691</v>
      </c>
      <c r="S242" s="21">
        <f t="shared" si="203"/>
        <v>16.308289693748087</v>
      </c>
      <c r="T242" s="21">
        <f t="shared" si="203"/>
        <v>1871.7749390546151</v>
      </c>
      <c r="U242" s="21">
        <f t="shared" si="203"/>
        <v>3578.5934864263222</v>
      </c>
      <c r="V242" s="21">
        <f t="shared" si="203"/>
        <v>2189.9699589363559</v>
      </c>
      <c r="W242" s="21">
        <f t="shared" si="203"/>
        <v>946.13704464986347</v>
      </c>
      <c r="X242" s="21">
        <f t="shared" si="203"/>
        <v>565.42200397666716</v>
      </c>
      <c r="Y242" s="21">
        <f t="shared" si="203"/>
        <v>27.030925121127726</v>
      </c>
      <c r="Z242" s="21">
        <f t="shared" si="203"/>
        <v>12.398047948693398</v>
      </c>
      <c r="AA242" s="21">
        <f t="shared" si="203"/>
        <v>1.0633914869087344</v>
      </c>
      <c r="AB242" s="21">
        <f t="shared" si="203"/>
        <v>0.52179231162362205</v>
      </c>
      <c r="AC242" s="21">
        <f t="shared" si="203"/>
        <v>1.0177786000770592</v>
      </c>
      <c r="AD242" s="21">
        <f t="shared" si="203"/>
        <v>8.294392202841094E-3</v>
      </c>
      <c r="AE242" s="21">
        <f t="shared" si="203"/>
        <v>0.51155757777881417</v>
      </c>
      <c r="AF242" s="21">
        <f t="shared" si="203"/>
        <v>8.9272545629554487E-3</v>
      </c>
      <c r="AG242" s="3"/>
      <c r="AH242" s="3"/>
    </row>
    <row r="243" spans="1:34" x14ac:dyDescent="0.25">
      <c r="A243" s="71">
        <f>SUM(B243:AF243)</f>
        <v>110119.79816953317</v>
      </c>
      <c r="B243" s="60">
        <f>IF($A$64&lt;=B207,IF($B$64&gt;=B207,ABS(B242),0),0)</f>
        <v>81267.883402394436</v>
      </c>
      <c r="C243" s="60">
        <f t="shared" ref="C243" si="204">IF($A$64&lt;=C207,IF($B$64&gt;=C207,ABS(C242),0),0)</f>
        <v>2791.6939510811103</v>
      </c>
      <c r="D243" s="60">
        <f t="shared" ref="D243" si="205">IF($A$64&lt;=D207,IF($B$64&gt;=D207,ABS(D242),0),0)</f>
        <v>3152.5279754865946</v>
      </c>
      <c r="E243" s="60">
        <f t="shared" ref="E243" si="206">IF($A$64&lt;=E207,IF($B$64&gt;=E207,ABS(E242),0),0)</f>
        <v>3787.3250193636109</v>
      </c>
      <c r="F243" s="60">
        <f t="shared" ref="F243" si="207">IF($A$64&lt;=F207,IF($B$64&gt;=F207,ABS(F242),0),0)</f>
        <v>890.97360198128376</v>
      </c>
      <c r="G243" s="60">
        <f t="shared" ref="G243" si="208">IF($A$64&lt;=G207,IF($B$64&gt;=G207,ABS(G242),0),0)</f>
        <v>1254.6021635929837</v>
      </c>
      <c r="H243" s="60">
        <f t="shared" ref="H243" si="209">IF($A$64&lt;=H207,IF($B$64&gt;=H207,ABS(H242),0),0)</f>
        <v>1057.6570222467171</v>
      </c>
      <c r="I243" s="60">
        <f t="shared" ref="I243" si="210">IF($A$64&lt;=I207,IF($B$64&gt;=I207,ABS(I242),0),0)</f>
        <v>1088.3288610793732</v>
      </c>
      <c r="J243" s="60">
        <f t="shared" ref="J243" si="211">IF($A$64&lt;=J207,IF($B$64&gt;=J207,ABS(J242),0),0)</f>
        <v>974.06851136005002</v>
      </c>
      <c r="K243" s="60">
        <f t="shared" ref="K243" si="212">IF($A$64&lt;=K207,IF($B$64&gt;=K207,ABS(K242),0),0)</f>
        <v>864.16685903924258</v>
      </c>
      <c r="L243" s="60">
        <f t="shared" ref="L243" si="213">IF($A$64&lt;=L207,IF($B$64&gt;=L207,ABS(L242),0),0)</f>
        <v>818.60995111496152</v>
      </c>
      <c r="M243" s="60">
        <f t="shared" ref="M243" si="214">IF($A$64&lt;=M207,IF($B$64&gt;=M207,ABS(M242),0),0)</f>
        <v>673.27704781600926</v>
      </c>
      <c r="N243" s="60">
        <f t="shared" ref="N243" si="215">IF($A$64&lt;=N207,IF($B$64&gt;=N207,ABS(N242),0),0)</f>
        <v>680.59977870186447</v>
      </c>
      <c r="O243" s="60">
        <f t="shared" ref="O243" si="216">IF($A$64&lt;=O207,IF($B$64&gt;=O207,ABS(O242),0),0)</f>
        <v>463.77723607609619</v>
      </c>
      <c r="P243" s="60">
        <f t="shared" ref="P243" si="217">IF($A$64&lt;=P207,IF($B$64&gt;=P207,ABS(P242),0),0)</f>
        <v>538.29741278649669</v>
      </c>
      <c r="Q243" s="60">
        <f t="shared" ref="Q243" si="218">IF($A$64&lt;=Q207,IF($B$64&gt;=Q207,ABS(Q242),0),0)</f>
        <v>312.63223582370551</v>
      </c>
      <c r="R243" s="60">
        <f t="shared" ref="R243" si="219">IF($A$64&lt;=R207,IF($B$64&gt;=R207,ABS(R242),0),0)</f>
        <v>292.61070215811691</v>
      </c>
      <c r="S243" s="60">
        <f t="shared" ref="S243" si="220">IF($A$64&lt;=S207,IF($B$64&gt;=S207,ABS(S242),0),0)</f>
        <v>16.308289693748087</v>
      </c>
      <c r="T243" s="60">
        <f t="shared" ref="T243" si="221">IF($A$64&lt;=T207,IF($B$64&gt;=T207,ABS(T242),0),0)</f>
        <v>1871.7749390546151</v>
      </c>
      <c r="U243" s="60">
        <f t="shared" ref="U243" si="222">IF($A$64&lt;=U207,IF($B$64&gt;=U207,ABS(U242),0),0)</f>
        <v>3578.5934864263222</v>
      </c>
      <c r="V243" s="60">
        <f t="shared" ref="V243" si="223">IF($A$64&lt;=V207,IF($B$64&gt;=V207,ABS(V242),0),0)</f>
        <v>2189.9699589363559</v>
      </c>
      <c r="W243" s="60">
        <f t="shared" ref="W243" si="224">IF($A$64&lt;=W207,IF($B$64&gt;=W207,ABS(W242),0),0)</f>
        <v>946.13704464986347</v>
      </c>
      <c r="X243" s="60">
        <f t="shared" ref="X243" si="225">IF($A$64&lt;=X207,IF($B$64&gt;=X207,ABS(X242),0),0)</f>
        <v>565.42200397666716</v>
      </c>
      <c r="Y243" s="60">
        <f t="shared" ref="Y243" si="226">IF($A$64&lt;=Y207,IF($B$64&gt;=Y207,ABS(Y242),0),0)</f>
        <v>27.030925121127726</v>
      </c>
      <c r="Z243" s="60">
        <f t="shared" ref="Z243" si="227">IF($A$64&lt;=Z207,IF($B$64&gt;=Z207,ABS(Z242),0),0)</f>
        <v>12.398047948693398</v>
      </c>
      <c r="AA243" s="60">
        <f t="shared" ref="AA243" si="228">IF($A$64&lt;=AA207,IF($B$64&gt;=AA207,ABS(AA242),0),0)</f>
        <v>1.0633914869087344</v>
      </c>
      <c r="AB243" s="60">
        <f t="shared" ref="AB243" si="229">IF($A$64&lt;=AB207,IF($B$64&gt;=AB207,ABS(AB242),0),0)</f>
        <v>0.52179231162362205</v>
      </c>
      <c r="AC243" s="60">
        <f t="shared" ref="AC243" si="230">IF($A$64&lt;=AC207,IF($B$64&gt;=AC207,ABS(AC242),0),0)</f>
        <v>1.0177786000770592</v>
      </c>
      <c r="AD243" s="60">
        <f t="shared" ref="AD243" si="231">IF($A$64&lt;=AD207,IF($B$64&gt;=AD207,ABS(AD242),0),0)</f>
        <v>8.294392202841094E-3</v>
      </c>
      <c r="AE243" s="60">
        <f t="shared" ref="AE243" si="232">IF($A$64&lt;=AE207,IF($B$64&gt;=AE207,ABS(AE242),0),0)</f>
        <v>0.51155757777881417</v>
      </c>
      <c r="AF243" s="60">
        <f t="shared" ref="AF243" si="233">IF($A$64&lt;=AF207,IF($B$64&gt;=AF207,ABS(AF242),0),0)</f>
        <v>8.9272545629554487E-3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10039.856375752486</v>
      </c>
      <c r="C248" s="27">
        <f t="shared" ref="C248:AF248" si="234">($C$17+SUM(C249:C279))*$B$51</f>
        <v>9951.7195790801743</v>
      </c>
      <c r="D248" s="27">
        <f t="shared" si="234"/>
        <v>9623.4311013713232</v>
      </c>
      <c r="E248" s="27">
        <f t="shared" si="234"/>
        <v>9415.5689158835012</v>
      </c>
      <c r="F248" s="27">
        <f t="shared" si="234"/>
        <v>9157.0044098684721</v>
      </c>
      <c r="G248" s="27">
        <f t="shared" si="234"/>
        <v>8877.7777231703967</v>
      </c>
      <c r="H248" s="27">
        <f t="shared" si="234"/>
        <v>8599.1170924676662</v>
      </c>
      <c r="I248" s="27">
        <f t="shared" si="234"/>
        <v>8333.7764189083264</v>
      </c>
      <c r="J248" s="27">
        <f t="shared" si="234"/>
        <v>8025.6089802894421</v>
      </c>
      <c r="K248" s="27">
        <f t="shared" si="234"/>
        <v>7659.8682938700495</v>
      </c>
      <c r="L248" s="27">
        <f t="shared" si="234"/>
        <v>7283.9966427101654</v>
      </c>
      <c r="M248" s="27">
        <f t="shared" si="234"/>
        <v>6963.0655163663323</v>
      </c>
      <c r="N248" s="27">
        <f t="shared" si="234"/>
        <v>6677.9969156254665</v>
      </c>
      <c r="O248" s="27">
        <f t="shared" si="234"/>
        <v>6390.2247611924877</v>
      </c>
      <c r="P248" s="27">
        <f t="shared" si="234"/>
        <v>6101.2911056087478</v>
      </c>
      <c r="Q248" s="27">
        <f t="shared" si="234"/>
        <v>5814.9892571790433</v>
      </c>
      <c r="R248" s="27">
        <f t="shared" si="234"/>
        <v>5479.5856280347807</v>
      </c>
      <c r="S248" s="27">
        <f t="shared" si="234"/>
        <v>4999.5249910332896</v>
      </c>
      <c r="T248" s="27">
        <f t="shared" si="234"/>
        <v>4377.2348136888222</v>
      </c>
      <c r="U248" s="27">
        <f t="shared" si="234"/>
        <v>3744.0957493569904</v>
      </c>
      <c r="V248" s="27">
        <f t="shared" si="234"/>
        <v>3147.089766366918</v>
      </c>
      <c r="W248" s="27">
        <f t="shared" si="234"/>
        <v>2566.1099315603487</v>
      </c>
      <c r="X248" s="27">
        <f t="shared" si="234"/>
        <v>1984.083034469593</v>
      </c>
      <c r="Y248" s="27">
        <f t="shared" si="234"/>
        <v>1452.6709375590449</v>
      </c>
      <c r="Z248" s="27">
        <f t="shared" si="234"/>
        <v>1048.1179403306899</v>
      </c>
      <c r="AA248" s="27">
        <f t="shared" si="234"/>
        <v>783.55146554449323</v>
      </c>
      <c r="AB248" s="27">
        <f t="shared" si="234"/>
        <v>648.38220509108703</v>
      </c>
      <c r="AC248" s="27">
        <f t="shared" si="234"/>
        <v>577.69271412247917</v>
      </c>
      <c r="AD248" s="27">
        <f t="shared" si="234"/>
        <v>542.08613223661496</v>
      </c>
      <c r="AE248" s="27">
        <f t="shared" si="234"/>
        <v>518.969472626075</v>
      </c>
      <c r="AF248" s="27">
        <f t="shared" si="234"/>
        <v>506.56239765338779</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3.7612939273063396E-2</v>
      </c>
      <c r="C250" s="3">
        <f t="shared" si="236"/>
        <v>2.9824575784517426E-2</v>
      </c>
      <c r="D250" s="3">
        <f t="shared" si="236"/>
        <v>2.9305173586635942E-3</v>
      </c>
      <c r="E250" s="3">
        <f t="shared" si="236"/>
        <v>2.4583546138124352E-13</v>
      </c>
      <c r="F250" s="3">
        <f t="shared" si="236"/>
        <v>4.2427441250242689E-114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1.6548971918369956E-2</v>
      </c>
      <c r="C251" s="3">
        <f t="shared" si="237"/>
        <v>1.6206206125190022E-2</v>
      </c>
      <c r="D251" s="3">
        <f t="shared" si="237"/>
        <v>1.3145731322786612E-2</v>
      </c>
      <c r="E251" s="3">
        <f t="shared" si="237"/>
        <v>1.6211331472407594E-3</v>
      </c>
      <c r="F251" s="3">
        <f t="shared" si="237"/>
        <v>1.3187365006486818E-12</v>
      </c>
      <c r="G251" s="3">
        <f t="shared" si="237"/>
        <v>1.6732138005296132E-103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2.5756849313499662E-2</v>
      </c>
      <c r="C252" s="3">
        <f t="shared" si="238"/>
        <v>2.5708265369223951E-2</v>
      </c>
      <c r="D252" s="3">
        <f t="shared" si="238"/>
        <v>2.5227437801613201E-2</v>
      </c>
      <c r="E252" s="3">
        <f t="shared" si="238"/>
        <v>2.0887037337400511E-2</v>
      </c>
      <c r="F252" s="3">
        <f t="shared" si="238"/>
        <v>3.1616503045213606E-3</v>
      </c>
      <c r="G252" s="3">
        <f t="shared" si="238"/>
        <v>1.9965662784344305E-11</v>
      </c>
      <c r="H252" s="3">
        <f t="shared" si="238"/>
        <v>2.0136441241961391E-93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2.73828356372991E-2</v>
      </c>
      <c r="C253" s="3">
        <f t="shared" si="239"/>
        <v>2.7378172287672933E-2</v>
      </c>
      <c r="D253" s="3">
        <f t="shared" si="239"/>
        <v>2.7331582448860674E-2</v>
      </c>
      <c r="E253" s="3">
        <f t="shared" si="239"/>
        <v>2.6870022418917807E-2</v>
      </c>
      <c r="F253" s="3">
        <f t="shared" si="239"/>
        <v>2.266212046715356E-2</v>
      </c>
      <c r="G253" s="3">
        <f t="shared" si="239"/>
        <v>4.1269166185642471E-3</v>
      </c>
      <c r="H253" s="3">
        <f t="shared" si="239"/>
        <v>1.655301846492157E-10</v>
      </c>
      <c r="I253" s="3">
        <f t="shared" si="239"/>
        <v>1.7839893239709873E-84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2.7544906807623084E-2</v>
      </c>
      <c r="C254" s="3">
        <f t="shared" si="240"/>
        <v>2.7544483612062919E-2</v>
      </c>
      <c r="D254" s="3">
        <f t="shared" si="240"/>
        <v>2.7540252014049769E-2</v>
      </c>
      <c r="E254" s="3">
        <f t="shared" si="240"/>
        <v>2.7497971772451134E-2</v>
      </c>
      <c r="F254" s="3">
        <f t="shared" si="240"/>
        <v>2.7078722976817446E-2</v>
      </c>
      <c r="G254" s="3">
        <f t="shared" si="240"/>
        <v>2.3222199642531048E-2</v>
      </c>
      <c r="H254" s="3">
        <f t="shared" si="240"/>
        <v>4.9963759030562408E-3</v>
      </c>
      <c r="I254" s="3">
        <f t="shared" si="240"/>
        <v>1.0621176174688488E-9</v>
      </c>
      <c r="J254" s="3">
        <f t="shared" si="240"/>
        <v>2.0014635584922879E-76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2.4311478217056454E-2</v>
      </c>
      <c r="C255" s="3">
        <f t="shared" si="241"/>
        <v>2.4311444522418998E-2</v>
      </c>
      <c r="D255" s="3">
        <f t="shared" si="241"/>
        <v>2.4311107578612948E-2</v>
      </c>
      <c r="E255" s="3">
        <f t="shared" si="241"/>
        <v>2.4307738397384239E-2</v>
      </c>
      <c r="F255" s="3">
        <f t="shared" si="241"/>
        <v>2.4274072255113188E-2</v>
      </c>
      <c r="G255" s="3">
        <f t="shared" si="241"/>
        <v>2.3939964718978329E-2</v>
      </c>
      <c r="H255" s="3">
        <f t="shared" si="241"/>
        <v>2.0841653100081136E-2</v>
      </c>
      <c r="I255" s="3">
        <f t="shared" si="241"/>
        <v>5.2121719231300609E-3</v>
      </c>
      <c r="J255" s="3">
        <f t="shared" si="241"/>
        <v>4.9875174376434194E-9</v>
      </c>
      <c r="K255" s="3">
        <f t="shared" si="241"/>
        <v>3.2102686200445012E-69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3.0651614026063007E-2</v>
      </c>
      <c r="C256" s="3">
        <f t="shared" si="242"/>
        <v>3.065161019385005E-2</v>
      </c>
      <c r="D256" s="3">
        <f t="shared" si="242"/>
        <v>3.0651571871746868E-2</v>
      </c>
      <c r="E256" s="3">
        <f t="shared" si="242"/>
        <v>3.065118865335021E-2</v>
      </c>
      <c r="F256" s="3">
        <f t="shared" si="242"/>
        <v>3.0647356732887078E-2</v>
      </c>
      <c r="G256" s="3">
        <f t="shared" si="242"/>
        <v>3.0609063866417992E-2</v>
      </c>
      <c r="H256" s="3">
        <f t="shared" si="242"/>
        <v>3.0228756874767098E-2</v>
      </c>
      <c r="I256" s="3">
        <f t="shared" si="242"/>
        <v>2.6676121621265737E-2</v>
      </c>
      <c r="J256" s="3">
        <f t="shared" si="242"/>
        <v>7.640938427730057E-3</v>
      </c>
      <c r="K256" s="3">
        <f t="shared" si="242"/>
        <v>2.8404478026894786E-8</v>
      </c>
      <c r="L256" s="3">
        <f t="shared" si="242"/>
        <v>1.4314887566619692E-62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3.7612531839763583E-2</v>
      </c>
      <c r="C257" s="3">
        <f t="shared" si="243"/>
        <v>3.7612531415558891E-2</v>
      </c>
      <c r="D257" s="3">
        <f t="shared" si="243"/>
        <v>3.7612527173512211E-2</v>
      </c>
      <c r="E257" s="3">
        <f t="shared" si="243"/>
        <v>3.7612484753071704E-2</v>
      </c>
      <c r="F257" s="3">
        <f t="shared" si="243"/>
        <v>3.761206055129801E-2</v>
      </c>
      <c r="G257" s="3">
        <f t="shared" si="243"/>
        <v>3.7607818796685295E-2</v>
      </c>
      <c r="H257" s="3">
        <f t="shared" si="243"/>
        <v>3.7565427552009763E-2</v>
      </c>
      <c r="I257" s="3">
        <f t="shared" si="243"/>
        <v>3.7144134307946136E-2</v>
      </c>
      <c r="J257" s="3">
        <f t="shared" si="243"/>
        <v>3.3182514259982039E-2</v>
      </c>
      <c r="K257" s="3">
        <f t="shared" si="243"/>
        <v>1.0742361835011613E-2</v>
      </c>
      <c r="L257" s="3">
        <f t="shared" si="243"/>
        <v>1.3583279773330975E-7</v>
      </c>
      <c r="M257" s="3">
        <f t="shared" si="243"/>
        <v>1.4192318163718699E-56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3.7657090456997416E-2</v>
      </c>
      <c r="C258" s="3">
        <f t="shared" si="244"/>
        <v>3.7657090418685292E-2</v>
      </c>
      <c r="D258" s="3">
        <f t="shared" si="244"/>
        <v>3.7657090035564035E-2</v>
      </c>
      <c r="E258" s="3">
        <f t="shared" si="244"/>
        <v>3.7657086204351632E-2</v>
      </c>
      <c r="F258" s="3">
        <f t="shared" si="244"/>
        <v>3.7657047892249038E-2</v>
      </c>
      <c r="G258" s="3">
        <f t="shared" si="244"/>
        <v>3.7656664773366946E-2</v>
      </c>
      <c r="H258" s="3">
        <f t="shared" si="244"/>
        <v>3.7652833798919087E-2</v>
      </c>
      <c r="I258" s="3">
        <f t="shared" si="244"/>
        <v>3.7614545483682385E-2</v>
      </c>
      <c r="J258" s="3">
        <f t="shared" si="244"/>
        <v>3.7233797210669189E-2</v>
      </c>
      <c r="K258" s="3">
        <f t="shared" si="244"/>
        <v>3.3631980007829874E-2</v>
      </c>
      <c r="L258" s="3">
        <f t="shared" si="244"/>
        <v>1.2159158148633687E-2</v>
      </c>
      <c r="M258" s="3">
        <f t="shared" si="244"/>
        <v>4.6388915230371616E-7</v>
      </c>
      <c r="N258" s="3">
        <f t="shared" si="244"/>
        <v>3.0305490337069444E-51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2.8120844597267863E-2</v>
      </c>
      <c r="C259" s="3">
        <f t="shared" si="245"/>
        <v>2.8120844594687004E-2</v>
      </c>
      <c r="D259" s="3">
        <f t="shared" si="245"/>
        <v>2.8120844568878402E-2</v>
      </c>
      <c r="E259" s="3">
        <f t="shared" si="245"/>
        <v>2.8120844310792405E-2</v>
      </c>
      <c r="F259" s="3">
        <f t="shared" si="245"/>
        <v>2.8120841729932549E-2</v>
      </c>
      <c r="G259" s="3">
        <f t="shared" si="245"/>
        <v>2.8120815921347027E-2</v>
      </c>
      <c r="H259" s="3">
        <f t="shared" si="245"/>
        <v>2.812055783679452E-2</v>
      </c>
      <c r="I259" s="3">
        <f t="shared" si="245"/>
        <v>2.8117977121540197E-2</v>
      </c>
      <c r="J259" s="3">
        <f t="shared" si="245"/>
        <v>2.8092182991647063E-2</v>
      </c>
      <c r="K259" s="3">
        <f t="shared" si="245"/>
        <v>2.7835539546371527E-2</v>
      </c>
      <c r="L259" s="3">
        <f t="shared" si="245"/>
        <v>2.5394589364003645E-2</v>
      </c>
      <c r="M259" s="3">
        <f t="shared" si="245"/>
        <v>1.0142772916881537E-2</v>
      </c>
      <c r="N259" s="3">
        <f t="shared" si="245"/>
        <v>1.0478805507451346E-6</v>
      </c>
      <c r="O259" s="3">
        <f t="shared" si="245"/>
        <v>1.4516521219850729E-46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2.7436977184855514E-2</v>
      </c>
      <c r="C260" s="3">
        <f t="shared" si="246"/>
        <v>2.7436977184628362E-2</v>
      </c>
      <c r="D260" s="3">
        <f t="shared" si="246"/>
        <v>2.7436977182356832E-2</v>
      </c>
      <c r="E260" s="3">
        <f t="shared" si="246"/>
        <v>2.7436977159641506E-2</v>
      </c>
      <c r="F260" s="3">
        <f t="shared" si="246"/>
        <v>2.7436976932488262E-2</v>
      </c>
      <c r="G260" s="3">
        <f t="shared" si="246"/>
        <v>2.7436974660955959E-2</v>
      </c>
      <c r="H260" s="3">
        <f t="shared" si="246"/>
        <v>2.7436951945643266E-2</v>
      </c>
      <c r="I260" s="3">
        <f t="shared" si="246"/>
        <v>2.7436724793550651E-2</v>
      </c>
      <c r="J260" s="3">
        <f t="shared" si="246"/>
        <v>2.743445337605525E-2</v>
      </c>
      <c r="K260" s="3">
        <f t="shared" si="246"/>
        <v>2.7411749541004986E-2</v>
      </c>
      <c r="L260" s="3">
        <f t="shared" si="246"/>
        <v>2.7185742020497942E-2</v>
      </c>
      <c r="M260" s="3">
        <f t="shared" si="246"/>
        <v>2.502566082470865E-2</v>
      </c>
      <c r="N260" s="3">
        <f t="shared" si="246"/>
        <v>1.0935261756602511E-2</v>
      </c>
      <c r="O260" s="3">
        <f t="shared" si="246"/>
        <v>2.7750158792740582E-6</v>
      </c>
      <c r="P260" s="3">
        <f t="shared" si="246"/>
        <v>3.0734656723096463E-42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2.8525679875275677E-2</v>
      </c>
      <c r="C261" s="3">
        <f t="shared" si="247"/>
        <v>2.8525679875254374E-2</v>
      </c>
      <c r="D261" s="3">
        <f t="shared" si="247"/>
        <v>2.8525679875041329E-2</v>
      </c>
      <c r="E261" s="3">
        <f t="shared" si="247"/>
        <v>2.8525679872910912E-2</v>
      </c>
      <c r="F261" s="3">
        <f t="shared" si="247"/>
        <v>2.8525679851606707E-2</v>
      </c>
      <c r="G261" s="3">
        <f t="shared" si="247"/>
        <v>2.8525679638564689E-2</v>
      </c>
      <c r="H261" s="3">
        <f t="shared" si="247"/>
        <v>2.8525677508144581E-2</v>
      </c>
      <c r="I261" s="3">
        <f t="shared" si="247"/>
        <v>2.8525656203952258E-2</v>
      </c>
      <c r="J261" s="3">
        <f t="shared" si="247"/>
        <v>2.8525443162904125E-2</v>
      </c>
      <c r="K261" s="3">
        <f t="shared" si="247"/>
        <v>2.852331283993001E-2</v>
      </c>
      <c r="L261" s="3">
        <f t="shared" si="247"/>
        <v>2.8502018358493385E-2</v>
      </c>
      <c r="M261" s="3">
        <f t="shared" si="247"/>
        <v>2.8289945961968765E-2</v>
      </c>
      <c r="N261" s="3">
        <f t="shared" si="247"/>
        <v>2.6254100416697478E-2</v>
      </c>
      <c r="O261" s="3">
        <f t="shared" si="247"/>
        <v>1.2440773494886349E-2</v>
      </c>
      <c r="P261" s="3">
        <f t="shared" si="247"/>
        <v>7.1014951383986675E-6</v>
      </c>
      <c r="Q261" s="3">
        <f t="shared" si="247"/>
        <v>2.6083982718698774E-38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2.7750514458376032E-2</v>
      </c>
      <c r="C262" s="3">
        <f t="shared" si="248"/>
        <v>2.7750514458374159E-2</v>
      </c>
      <c r="D262" s="3">
        <f t="shared" si="248"/>
        <v>2.7750514458355462E-2</v>
      </c>
      <c r="E262" s="3">
        <f t="shared" si="248"/>
        <v>2.7750514458168504E-2</v>
      </c>
      <c r="F262" s="3">
        <f t="shared" si="248"/>
        <v>2.7750514456298912E-2</v>
      </c>
      <c r="G262" s="3">
        <f t="shared" si="248"/>
        <v>2.7750514437602989E-2</v>
      </c>
      <c r="H262" s="3">
        <f t="shared" si="248"/>
        <v>2.7750514250643767E-2</v>
      </c>
      <c r="I262" s="3">
        <f t="shared" si="248"/>
        <v>2.7750512381051598E-2</v>
      </c>
      <c r="J262" s="3">
        <f t="shared" si="248"/>
        <v>2.7750493685136848E-2</v>
      </c>
      <c r="K262" s="3">
        <f t="shared" si="248"/>
        <v>2.7750306726682127E-2</v>
      </c>
      <c r="L262" s="3">
        <f t="shared" si="248"/>
        <v>2.774843721140938E-2</v>
      </c>
      <c r="M262" s="3">
        <f t="shared" si="248"/>
        <v>2.7729748984405705E-2</v>
      </c>
      <c r="N262" s="3">
        <f t="shared" si="248"/>
        <v>2.7543557563446605E-2</v>
      </c>
      <c r="O262" s="3">
        <f t="shared" si="248"/>
        <v>2.574903674653474E-2</v>
      </c>
      <c r="P262" s="3">
        <f t="shared" si="248"/>
        <v>1.3127152217806711E-2</v>
      </c>
      <c r="Q262" s="3">
        <f t="shared" si="248"/>
        <v>1.5569184416930585E-5</v>
      </c>
      <c r="R262" s="3">
        <f t="shared" si="248"/>
        <v>8.5747068182551857E-35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2.6288987576301406E-2</v>
      </c>
      <c r="C263" s="3">
        <f t="shared" si="249"/>
        <v>2.6288987576301246E-2</v>
      </c>
      <c r="D263" s="3">
        <f t="shared" si="249"/>
        <v>2.628898757629965E-2</v>
      </c>
      <c r="E263" s="3">
        <f t="shared" si="249"/>
        <v>2.6288987576283673E-2</v>
      </c>
      <c r="F263" s="3">
        <f t="shared" si="249"/>
        <v>2.6288987576123902E-2</v>
      </c>
      <c r="G263" s="3">
        <f t="shared" si="249"/>
        <v>2.6288987574526194E-2</v>
      </c>
      <c r="H263" s="3">
        <f t="shared" si="249"/>
        <v>2.6288987558549158E-2</v>
      </c>
      <c r="I263" s="3">
        <f t="shared" si="249"/>
        <v>2.6288987398778763E-2</v>
      </c>
      <c r="J263" s="3">
        <f t="shared" si="249"/>
        <v>2.6288985801074864E-2</v>
      </c>
      <c r="K263" s="3">
        <f t="shared" si="249"/>
        <v>2.6288969824041213E-2</v>
      </c>
      <c r="L263" s="3">
        <f t="shared" si="249"/>
        <v>2.6288810054238766E-2</v>
      </c>
      <c r="M263" s="3">
        <f t="shared" si="249"/>
        <v>2.6287212409617875E-2</v>
      </c>
      <c r="N263" s="3">
        <f t="shared" si="249"/>
        <v>2.6271241302569137E-2</v>
      </c>
      <c r="O263" s="3">
        <f t="shared" si="249"/>
        <v>2.611206294944781E-2</v>
      </c>
      <c r="P263" s="3">
        <f t="shared" si="249"/>
        <v>2.457237247807504E-2</v>
      </c>
      <c r="Q263" s="3">
        <f t="shared" si="249"/>
        <v>1.3381541600155889E-2</v>
      </c>
      <c r="R263" s="3">
        <f t="shared" si="249"/>
        <v>3.0697056597795455E-5</v>
      </c>
      <c r="S263" s="3">
        <f t="shared" si="249"/>
        <v>1.2388039994579807E-31</v>
      </c>
      <c r="T263" s="3">
        <f t="shared" si="249"/>
        <v>1.4192576291607126E-295</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3.6959544904792509E-2</v>
      </c>
      <c r="C264" s="3">
        <f t="shared" si="250"/>
        <v>3.6959544904792495E-2</v>
      </c>
      <c r="D264" s="3">
        <f t="shared" si="250"/>
        <v>3.6959544904792287E-2</v>
      </c>
      <c r="E264" s="3">
        <f t="shared" si="250"/>
        <v>3.695954490479026E-2</v>
      </c>
      <c r="F264" s="3">
        <f t="shared" si="250"/>
        <v>3.6959544904769999E-2</v>
      </c>
      <c r="G264" s="3">
        <f t="shared" si="250"/>
        <v>3.6959544904567376E-2</v>
      </c>
      <c r="H264" s="3">
        <f t="shared" si="250"/>
        <v>3.6959544902541115E-2</v>
      </c>
      <c r="I264" s="3">
        <f t="shared" si="250"/>
        <v>3.695954488227849E-2</v>
      </c>
      <c r="J264" s="3">
        <f t="shared" si="250"/>
        <v>3.6959544679652262E-2</v>
      </c>
      <c r="K264" s="3">
        <f t="shared" si="250"/>
        <v>3.6959542653390069E-2</v>
      </c>
      <c r="L264" s="3">
        <f t="shared" si="250"/>
        <v>3.6959522390774248E-2</v>
      </c>
      <c r="M264" s="3">
        <f t="shared" si="250"/>
        <v>3.6959319765226969E-2</v>
      </c>
      <c r="N264" s="3">
        <f t="shared" si="250"/>
        <v>3.6957293570850848E-2</v>
      </c>
      <c r="O264" s="3">
        <f t="shared" si="250"/>
        <v>3.6937037735518326E-2</v>
      </c>
      <c r="P264" s="3">
        <f t="shared" si="250"/>
        <v>3.6735088987791487E-2</v>
      </c>
      <c r="Q264" s="3">
        <f t="shared" si="250"/>
        <v>3.4775343422039445E-2</v>
      </c>
      <c r="R264" s="3">
        <f t="shared" si="250"/>
        <v>2.0099013442658312E-2</v>
      </c>
      <c r="S264" s="3">
        <f t="shared" si="250"/>
        <v>8.3600306921824692E-5</v>
      </c>
      <c r="T264" s="3">
        <f t="shared" si="250"/>
        <v>1.2958036053498405E-28</v>
      </c>
      <c r="U264" s="3">
        <f t="shared" si="250"/>
        <v>1.037175632567645E-266</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5.8251521271899753E-2</v>
      </c>
      <c r="C265" s="3">
        <f t="shared" si="251"/>
        <v>5.8251521271899753E-2</v>
      </c>
      <c r="D265" s="3">
        <f t="shared" si="251"/>
        <v>5.8251521271899719E-2</v>
      </c>
      <c r="E265" s="3">
        <f t="shared" si="251"/>
        <v>5.8251521271899434E-2</v>
      </c>
      <c r="F265" s="3">
        <f t="shared" si="251"/>
        <v>5.8251521271896554E-2</v>
      </c>
      <c r="G265" s="3">
        <f t="shared" si="251"/>
        <v>5.8251521271867737E-2</v>
      </c>
      <c r="H265" s="3">
        <f t="shared" si="251"/>
        <v>5.8251521271579655E-2</v>
      </c>
      <c r="I265" s="3">
        <f t="shared" si="251"/>
        <v>5.8251521268698793E-2</v>
      </c>
      <c r="J265" s="3">
        <f t="shared" si="251"/>
        <v>5.8251521239890143E-2</v>
      </c>
      <c r="K265" s="3">
        <f t="shared" si="251"/>
        <v>5.8251520951803644E-2</v>
      </c>
      <c r="L265" s="3">
        <f t="shared" si="251"/>
        <v>5.8251518070938757E-2</v>
      </c>
      <c r="M265" s="3">
        <f t="shared" si="251"/>
        <v>5.8251489262297715E-2</v>
      </c>
      <c r="N265" s="3">
        <f t="shared" si="251"/>
        <v>5.8251201176670889E-2</v>
      </c>
      <c r="O265" s="3">
        <f t="shared" si="251"/>
        <v>5.8248320398762279E-2</v>
      </c>
      <c r="P265" s="3">
        <f t="shared" si="251"/>
        <v>5.821952045420576E-2</v>
      </c>
      <c r="Q265" s="3">
        <f t="shared" si="251"/>
        <v>5.7932303029892662E-2</v>
      </c>
      <c r="R265" s="3">
        <f t="shared" si="251"/>
        <v>5.513691865712405E-2</v>
      </c>
      <c r="S265" s="3">
        <f t="shared" si="251"/>
        <v>3.3624781622159185E-2</v>
      </c>
      <c r="T265" s="3">
        <f t="shared" si="251"/>
        <v>2.392375132296249E-4</v>
      </c>
      <c r="U265" s="3">
        <f t="shared" si="251"/>
        <v>7.9529334690962365E-26</v>
      </c>
      <c r="V265" s="3">
        <f t="shared" si="251"/>
        <v>1.3107143317523281E-240</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6.389288103223241E-2</v>
      </c>
      <c r="C266" s="3">
        <f t="shared" si="252"/>
        <v>6.389288103223241E-2</v>
      </c>
      <c r="D266" s="3">
        <f t="shared" si="252"/>
        <v>6.389288103223241E-2</v>
      </c>
      <c r="E266" s="3">
        <f t="shared" si="252"/>
        <v>6.3892881032232382E-2</v>
      </c>
      <c r="F266" s="3">
        <f t="shared" si="252"/>
        <v>6.3892881032232091E-2</v>
      </c>
      <c r="G266" s="3">
        <f t="shared" si="252"/>
        <v>6.3892881032229246E-2</v>
      </c>
      <c r="H266" s="3">
        <f t="shared" si="252"/>
        <v>6.3892881032200741E-2</v>
      </c>
      <c r="I266" s="3">
        <f t="shared" si="252"/>
        <v>6.3892881031915691E-2</v>
      </c>
      <c r="J266" s="3">
        <f t="shared" si="252"/>
        <v>6.3892881029065235E-2</v>
      </c>
      <c r="K266" s="3">
        <f t="shared" si="252"/>
        <v>6.3892881000560647E-2</v>
      </c>
      <c r="L266" s="3">
        <f t="shared" si="252"/>
        <v>6.3892880715514827E-2</v>
      </c>
      <c r="M266" s="3">
        <f t="shared" si="252"/>
        <v>6.3892877865056583E-2</v>
      </c>
      <c r="N266" s="3">
        <f t="shared" si="252"/>
        <v>6.3892849360481202E-2</v>
      </c>
      <c r="O266" s="3">
        <f t="shared" si="252"/>
        <v>6.3892564315426753E-2</v>
      </c>
      <c r="P266" s="3">
        <f t="shared" si="252"/>
        <v>6.3889713934823344E-2</v>
      </c>
      <c r="Q266" s="3">
        <f t="shared" si="252"/>
        <v>6.3861217121731623E-2</v>
      </c>
      <c r="R266" s="3">
        <f t="shared" si="252"/>
        <v>6.3576947132124348E-2</v>
      </c>
      <c r="S266" s="3">
        <f t="shared" si="252"/>
        <v>6.0802922579219827E-2</v>
      </c>
      <c r="T266" s="3">
        <f t="shared" si="252"/>
        <v>3.8919952640014292E-2</v>
      </c>
      <c r="U266" s="3">
        <f t="shared" si="252"/>
        <v>4.4941833534415982E-4</v>
      </c>
      <c r="V266" s="3">
        <f t="shared" si="252"/>
        <v>1.8942427041756693E-23</v>
      </c>
      <c r="W266" s="3">
        <f t="shared" si="252"/>
        <v>3.3518454656435367E-217</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5.5851877003500798E-2</v>
      </c>
      <c r="C267" s="3">
        <f t="shared" si="253"/>
        <v>5.5851877003500798E-2</v>
      </c>
      <c r="D267" s="3">
        <f t="shared" si="253"/>
        <v>5.5851877003500798E-2</v>
      </c>
      <c r="E267" s="3">
        <f t="shared" si="253"/>
        <v>5.5851877003500798E-2</v>
      </c>
      <c r="F267" s="3">
        <f t="shared" si="253"/>
        <v>5.585187700350077E-2</v>
      </c>
      <c r="G267" s="3">
        <f t="shared" si="253"/>
        <v>5.5851877003500548E-2</v>
      </c>
      <c r="H267" s="3">
        <f t="shared" si="253"/>
        <v>5.58518770034983E-2</v>
      </c>
      <c r="I267" s="3">
        <f t="shared" si="253"/>
        <v>5.5851877003475818E-2</v>
      </c>
      <c r="J267" s="3">
        <f t="shared" si="253"/>
        <v>5.5851877003251046E-2</v>
      </c>
      <c r="K267" s="3">
        <f t="shared" si="253"/>
        <v>5.585187700100331E-2</v>
      </c>
      <c r="L267" s="3">
        <f t="shared" si="253"/>
        <v>5.585187697852588E-2</v>
      </c>
      <c r="M267" s="3">
        <f t="shared" si="253"/>
        <v>5.5851876753751618E-2</v>
      </c>
      <c r="N267" s="3">
        <f t="shared" si="253"/>
        <v>5.5851874506009015E-2</v>
      </c>
      <c r="O267" s="3">
        <f t="shared" si="253"/>
        <v>5.5851852028588028E-2</v>
      </c>
      <c r="P267" s="3">
        <f t="shared" si="253"/>
        <v>5.5851627254875601E-2</v>
      </c>
      <c r="Q267" s="3">
        <f t="shared" si="253"/>
        <v>5.5849379567503438E-2</v>
      </c>
      <c r="R267" s="3">
        <f t="shared" si="253"/>
        <v>5.5826907668245156E-2</v>
      </c>
      <c r="S267" s="3">
        <f t="shared" si="253"/>
        <v>5.5602685382072116E-2</v>
      </c>
      <c r="T267" s="3">
        <f t="shared" si="253"/>
        <v>5.3409401432939395E-2</v>
      </c>
      <c r="U267" s="3">
        <f t="shared" si="253"/>
        <v>3.5713889567779933E-2</v>
      </c>
      <c r="V267" s="3">
        <f t="shared" si="253"/>
        <v>6.3830986636235229E-4</v>
      </c>
      <c r="W267" s="3">
        <f t="shared" si="253"/>
        <v>2.1231252590988834E-21</v>
      </c>
      <c r="X267" s="3">
        <f t="shared" si="253"/>
        <v>3.5189752764839606E-196</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6.3492649829387265E-2</v>
      </c>
      <c r="C268" s="3">
        <f t="shared" si="254"/>
        <v>6.3492649829387265E-2</v>
      </c>
      <c r="D268" s="3">
        <f t="shared" si="254"/>
        <v>6.3492649829387265E-2</v>
      </c>
      <c r="E268" s="3">
        <f t="shared" si="254"/>
        <v>6.3492649829387265E-2</v>
      </c>
      <c r="F268" s="3">
        <f t="shared" si="254"/>
        <v>6.3492649829387265E-2</v>
      </c>
      <c r="G268" s="3">
        <f t="shared" si="254"/>
        <v>6.3492649829387238E-2</v>
      </c>
      <c r="H268" s="3">
        <f t="shared" si="254"/>
        <v>6.3492649829387016E-2</v>
      </c>
      <c r="I268" s="3">
        <f t="shared" si="254"/>
        <v>6.3492649829384712E-2</v>
      </c>
      <c r="J268" s="3">
        <f t="shared" si="254"/>
        <v>6.3492649829361661E-2</v>
      </c>
      <c r="K268" s="3">
        <f t="shared" si="254"/>
        <v>6.3492649829131151E-2</v>
      </c>
      <c r="L268" s="3">
        <f t="shared" si="254"/>
        <v>6.3492649826826106E-2</v>
      </c>
      <c r="M268" s="3">
        <f t="shared" si="254"/>
        <v>6.3492649803775683E-2</v>
      </c>
      <c r="N268" s="3">
        <f t="shared" si="254"/>
        <v>6.349264957327147E-2</v>
      </c>
      <c r="O268" s="3">
        <f t="shared" si="254"/>
        <v>6.3492647268229466E-2</v>
      </c>
      <c r="P268" s="3">
        <f t="shared" si="254"/>
        <v>6.349262421781382E-2</v>
      </c>
      <c r="Q268" s="3">
        <f t="shared" si="254"/>
        <v>6.3492393714117745E-2</v>
      </c>
      <c r="R268" s="3">
        <f t="shared" si="254"/>
        <v>6.349008872318157E-2</v>
      </c>
      <c r="S268" s="3">
        <f t="shared" si="254"/>
        <v>6.3467043415666488E-2</v>
      </c>
      <c r="T268" s="3">
        <f t="shared" si="254"/>
        <v>6.3237049907628753E-2</v>
      </c>
      <c r="U268" s="3">
        <f t="shared" si="254"/>
        <v>6.0982460173412682E-2</v>
      </c>
      <c r="V268" s="3">
        <f t="shared" si="254"/>
        <v>4.2416842431785853E-2</v>
      </c>
      <c r="W268" s="3">
        <f t="shared" si="254"/>
        <v>1.1242743091262489E-3</v>
      </c>
      <c r="X268" s="3">
        <f t="shared" si="254"/>
        <v>1.9240298009829888E-19</v>
      </c>
      <c r="Y268" s="3">
        <f t="shared" si="254"/>
        <v>4.1457859209142088E-177</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2.3429910997179341E-2</v>
      </c>
      <c r="C269" s="3">
        <f t="shared" si="255"/>
        <v>2.3429910997179341E-2</v>
      </c>
      <c r="D269" s="3">
        <f t="shared" si="255"/>
        <v>2.3429910997179341E-2</v>
      </c>
      <c r="E269" s="3">
        <f t="shared" si="255"/>
        <v>2.3429910997179341E-2</v>
      </c>
      <c r="F269" s="3">
        <f t="shared" si="255"/>
        <v>2.3429910997179341E-2</v>
      </c>
      <c r="G269" s="3">
        <f t="shared" si="255"/>
        <v>2.3429910997179341E-2</v>
      </c>
      <c r="H269" s="3">
        <f t="shared" si="255"/>
        <v>2.3429910997179334E-2</v>
      </c>
      <c r="I269" s="3">
        <f t="shared" si="255"/>
        <v>2.3429910997179254E-2</v>
      </c>
      <c r="J269" s="3">
        <f t="shared" si="255"/>
        <v>2.3429910997178487E-2</v>
      </c>
      <c r="K269" s="3">
        <f t="shared" si="255"/>
        <v>2.3429910997170813E-2</v>
      </c>
      <c r="L269" s="3">
        <f t="shared" si="255"/>
        <v>2.3429910997094086E-2</v>
      </c>
      <c r="M269" s="3">
        <f t="shared" si="255"/>
        <v>2.3429910996326769E-2</v>
      </c>
      <c r="N269" s="3">
        <f t="shared" si="255"/>
        <v>2.342991098865364E-2</v>
      </c>
      <c r="O269" s="3">
        <f t="shared" si="255"/>
        <v>2.3429910911922324E-2</v>
      </c>
      <c r="P269" s="3">
        <f t="shared" si="255"/>
        <v>2.3429910144609201E-2</v>
      </c>
      <c r="Q269" s="3">
        <f t="shared" si="255"/>
        <v>2.3429902471479355E-2</v>
      </c>
      <c r="R269" s="3">
        <f t="shared" si="255"/>
        <v>2.3429825740319099E-2</v>
      </c>
      <c r="S269" s="3">
        <f t="shared" si="255"/>
        <v>2.342905844253727E-2</v>
      </c>
      <c r="T269" s="3">
        <f t="shared" si="255"/>
        <v>2.3421386846626074E-2</v>
      </c>
      <c r="U269" s="3">
        <f t="shared" si="255"/>
        <v>2.3344808910922069E-2</v>
      </c>
      <c r="V269" s="3">
        <f t="shared" si="255"/>
        <v>2.2592666103359096E-2</v>
      </c>
      <c r="W269" s="3">
        <f t="shared" si="255"/>
        <v>1.6283174974126496E-2</v>
      </c>
      <c r="X269" s="3">
        <f t="shared" si="255"/>
        <v>6.158219255237475E-4</v>
      </c>
      <c r="Y269" s="3">
        <f t="shared" si="255"/>
        <v>3.6865126080202726E-18</v>
      </c>
      <c r="Z269" s="3">
        <f t="shared" si="255"/>
        <v>2.1788206655261347E-160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6.1780961618441606E-2</v>
      </c>
      <c r="C270" s="3">
        <f t="shared" si="256"/>
        <v>6.1780961618441606E-2</v>
      </c>
      <c r="D270" s="3">
        <f t="shared" si="256"/>
        <v>6.1780961618441606E-2</v>
      </c>
      <c r="E270" s="3">
        <f t="shared" si="256"/>
        <v>6.1780961618441606E-2</v>
      </c>
      <c r="F270" s="3">
        <f t="shared" si="256"/>
        <v>6.1780961618441606E-2</v>
      </c>
      <c r="G270" s="3">
        <f t="shared" si="256"/>
        <v>6.1780961618441606E-2</v>
      </c>
      <c r="H270" s="3">
        <f t="shared" si="256"/>
        <v>6.1780961618441599E-2</v>
      </c>
      <c r="I270" s="3">
        <f t="shared" si="256"/>
        <v>6.1780961618441543E-2</v>
      </c>
      <c r="J270" s="3">
        <f t="shared" si="256"/>
        <v>6.1780961618440981E-2</v>
      </c>
      <c r="K270" s="3">
        <f t="shared" si="256"/>
        <v>6.1780961618435389E-2</v>
      </c>
      <c r="L270" s="3">
        <f t="shared" si="256"/>
        <v>6.1780961618379426E-2</v>
      </c>
      <c r="M270" s="3">
        <f t="shared" si="256"/>
        <v>6.1780961617819839E-2</v>
      </c>
      <c r="N270" s="3">
        <f t="shared" si="256"/>
        <v>6.1780961612223947E-2</v>
      </c>
      <c r="O270" s="3">
        <f t="shared" si="256"/>
        <v>6.1780961556265002E-2</v>
      </c>
      <c r="P270" s="3">
        <f t="shared" si="256"/>
        <v>6.178096099667555E-2</v>
      </c>
      <c r="Q270" s="3">
        <f t="shared" si="256"/>
        <v>6.1780955400781323E-2</v>
      </c>
      <c r="R270" s="3">
        <f t="shared" si="256"/>
        <v>6.1780899441866904E-2</v>
      </c>
      <c r="S270" s="3">
        <f t="shared" si="256"/>
        <v>6.1780339855510423E-2</v>
      </c>
      <c r="T270" s="3">
        <f t="shared" si="256"/>
        <v>6.177474427070595E-2</v>
      </c>
      <c r="U270" s="3">
        <f t="shared" si="256"/>
        <v>6.171881628934954E-2</v>
      </c>
      <c r="V270" s="3">
        <f t="shared" si="256"/>
        <v>6.1162313828172728E-2</v>
      </c>
      <c r="W270" s="3">
        <f t="shared" si="256"/>
        <v>5.58659378718631E-2</v>
      </c>
      <c r="X270" s="3">
        <f t="shared" si="256"/>
        <v>2.2582861259559883E-2</v>
      </c>
      <c r="Y270" s="3">
        <f t="shared" si="256"/>
        <v>2.6308597086096495E-6</v>
      </c>
      <c r="Z270" s="3">
        <f t="shared" si="256"/>
        <v>1.2113926213315903E-45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4.2169062984942343E-2</v>
      </c>
      <c r="C271" s="3">
        <f t="shared" si="257"/>
        <v>4.2169062984942343E-2</v>
      </c>
      <c r="D271" s="3">
        <f t="shared" si="257"/>
        <v>4.2169062984942343E-2</v>
      </c>
      <c r="E271" s="3">
        <f t="shared" si="257"/>
        <v>4.2169062984942343E-2</v>
      </c>
      <c r="F271" s="3">
        <f t="shared" si="257"/>
        <v>4.2169062984942343E-2</v>
      </c>
      <c r="G271" s="3">
        <f t="shared" si="257"/>
        <v>4.2169062984942343E-2</v>
      </c>
      <c r="H271" s="3">
        <f t="shared" si="257"/>
        <v>4.2169062984942343E-2</v>
      </c>
      <c r="I271" s="3">
        <f t="shared" si="257"/>
        <v>4.2169062984942336E-2</v>
      </c>
      <c r="J271" s="3">
        <f t="shared" si="257"/>
        <v>4.2169062984942302E-2</v>
      </c>
      <c r="K271" s="3">
        <f t="shared" si="257"/>
        <v>4.216906298494192E-2</v>
      </c>
      <c r="L271" s="3">
        <f t="shared" si="257"/>
        <v>4.2169062984938104E-2</v>
      </c>
      <c r="M271" s="3">
        <f t="shared" si="257"/>
        <v>4.2169062984899905E-2</v>
      </c>
      <c r="N271" s="3">
        <f t="shared" si="257"/>
        <v>4.2169062984517953E-2</v>
      </c>
      <c r="O271" s="3">
        <f t="shared" si="257"/>
        <v>4.2169062980698432E-2</v>
      </c>
      <c r="P271" s="3">
        <f t="shared" si="257"/>
        <v>4.2169062942503228E-2</v>
      </c>
      <c r="Q271" s="3">
        <f t="shared" si="257"/>
        <v>4.2169062560551217E-2</v>
      </c>
      <c r="R271" s="3">
        <f t="shared" si="257"/>
        <v>4.2169058741031253E-2</v>
      </c>
      <c r="S271" s="3">
        <f t="shared" si="257"/>
        <v>4.2169020545850651E-2</v>
      </c>
      <c r="T271" s="3">
        <f t="shared" si="257"/>
        <v>4.2168638595947418E-2</v>
      </c>
      <c r="U271" s="3">
        <f t="shared" si="257"/>
        <v>4.2164819287185039E-2</v>
      </c>
      <c r="V271" s="3">
        <f t="shared" si="257"/>
        <v>4.2126645220180309E-2</v>
      </c>
      <c r="W271" s="3">
        <f t="shared" si="257"/>
        <v>4.1746800253027266E-2</v>
      </c>
      <c r="X271" s="3">
        <f t="shared" si="257"/>
        <v>3.8131718754734645E-2</v>
      </c>
      <c r="Y271" s="3">
        <f t="shared" si="257"/>
        <v>1.5414102886840373E-2</v>
      </c>
      <c r="Z271" s="3">
        <f t="shared" si="257"/>
        <v>1.7957132076071722E-6</v>
      </c>
      <c r="AA271" s="3">
        <f t="shared" si="257"/>
        <v>8.2684520295938359E-46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3.8068907608639936E-2</v>
      </c>
      <c r="C272" s="3">
        <f t="shared" si="258"/>
        <v>3.8068907608639936E-2</v>
      </c>
      <c r="D272" s="3">
        <f t="shared" si="258"/>
        <v>3.8068907608639936E-2</v>
      </c>
      <c r="E272" s="3">
        <f t="shared" si="258"/>
        <v>3.8068907608639936E-2</v>
      </c>
      <c r="F272" s="3">
        <f t="shared" si="258"/>
        <v>3.8068907608639936E-2</v>
      </c>
      <c r="G272" s="3">
        <f t="shared" si="258"/>
        <v>3.8068907608639936E-2</v>
      </c>
      <c r="H272" s="3">
        <f t="shared" si="258"/>
        <v>3.8068907608639936E-2</v>
      </c>
      <c r="I272" s="3">
        <f t="shared" si="258"/>
        <v>3.8068907608639936E-2</v>
      </c>
      <c r="J272" s="3">
        <f t="shared" si="258"/>
        <v>3.8068907608639929E-2</v>
      </c>
      <c r="K272" s="3">
        <f t="shared" si="258"/>
        <v>3.8068907608639901E-2</v>
      </c>
      <c r="L272" s="3">
        <f t="shared" si="258"/>
        <v>3.8068907608639554E-2</v>
      </c>
      <c r="M272" s="3">
        <f t="shared" si="258"/>
        <v>3.8068907608636106E-2</v>
      </c>
      <c r="N272" s="3">
        <f t="shared" si="258"/>
        <v>3.806890760860162E-2</v>
      </c>
      <c r="O272" s="3">
        <f t="shared" si="258"/>
        <v>3.8068907608256805E-2</v>
      </c>
      <c r="P272" s="3">
        <f t="shared" si="258"/>
        <v>3.8068907604808667E-2</v>
      </c>
      <c r="Q272" s="3">
        <f t="shared" si="258"/>
        <v>3.8068907570327236E-2</v>
      </c>
      <c r="R272" s="3">
        <f t="shared" si="258"/>
        <v>3.8068907225512934E-2</v>
      </c>
      <c r="S272" s="3">
        <f t="shared" si="258"/>
        <v>3.8068903777370093E-2</v>
      </c>
      <c r="T272" s="3">
        <f t="shared" si="258"/>
        <v>3.8068869295958881E-2</v>
      </c>
      <c r="U272" s="3">
        <f t="shared" si="258"/>
        <v>3.8068524483564486E-2</v>
      </c>
      <c r="V272" s="3">
        <f t="shared" si="258"/>
        <v>3.8065076531390261E-2</v>
      </c>
      <c r="W272" s="3">
        <f t="shared" si="258"/>
        <v>3.8030614180866416E-2</v>
      </c>
      <c r="X272" s="3">
        <f t="shared" si="258"/>
        <v>3.7687702056750226E-2</v>
      </c>
      <c r="Y272" s="3">
        <f t="shared" si="258"/>
        <v>3.4424119851820811E-2</v>
      </c>
      <c r="Z272" s="3">
        <f t="shared" si="258"/>
        <v>1.3915368688147734E-2</v>
      </c>
      <c r="AA272" s="3">
        <f t="shared" si="258"/>
        <v>1.6211135688839487E-6</v>
      </c>
      <c r="AB272" s="3">
        <f t="shared" si="258"/>
        <v>7.4644991873183661E-46</v>
      </c>
      <c r="AC272" s="3">
        <f t="shared" si="258"/>
        <v>0</v>
      </c>
      <c r="AD272" s="3">
        <f t="shared" si="258"/>
        <v>0</v>
      </c>
      <c r="AE272" s="3">
        <f t="shared" si="258"/>
        <v>0</v>
      </c>
      <c r="AF272" s="3">
        <f t="shared" si="258"/>
        <v>0</v>
      </c>
      <c r="AG272" s="3"/>
      <c r="AH272" s="3"/>
    </row>
    <row r="273" spans="1:34" x14ac:dyDescent="0.25">
      <c r="B273" s="3">
        <f t="shared" ref="B273:AF273" si="259">$C42*EXP(-B$246/$A42/EXP(-$E$126))</f>
        <v>1.8061881630202923E-2</v>
      </c>
      <c r="C273" s="3">
        <f t="shared" si="259"/>
        <v>1.8061881630202923E-2</v>
      </c>
      <c r="D273" s="3">
        <f t="shared" si="259"/>
        <v>1.8061881630202923E-2</v>
      </c>
      <c r="E273" s="3">
        <f t="shared" si="259"/>
        <v>1.8061881630202923E-2</v>
      </c>
      <c r="F273" s="3">
        <f t="shared" si="259"/>
        <v>1.8061881630202923E-2</v>
      </c>
      <c r="G273" s="3">
        <f t="shared" si="259"/>
        <v>1.8061881630202923E-2</v>
      </c>
      <c r="H273" s="3">
        <f t="shared" si="259"/>
        <v>1.8061881630202923E-2</v>
      </c>
      <c r="I273" s="3">
        <f t="shared" si="259"/>
        <v>1.8061881630202923E-2</v>
      </c>
      <c r="J273" s="3">
        <f t="shared" si="259"/>
        <v>1.8061881630202923E-2</v>
      </c>
      <c r="K273" s="3">
        <f t="shared" si="259"/>
        <v>1.8061881630202919E-2</v>
      </c>
      <c r="L273" s="3">
        <f t="shared" si="259"/>
        <v>1.8061881630202906E-2</v>
      </c>
      <c r="M273" s="3">
        <f t="shared" si="259"/>
        <v>1.8061881630202739E-2</v>
      </c>
      <c r="N273" s="3">
        <f t="shared" si="259"/>
        <v>1.8061881630201105E-2</v>
      </c>
      <c r="O273" s="3">
        <f t="shared" si="259"/>
        <v>1.8061881630184747E-2</v>
      </c>
      <c r="P273" s="3">
        <f t="shared" si="259"/>
        <v>1.8061881630021148E-2</v>
      </c>
      <c r="Q273" s="3">
        <f t="shared" si="259"/>
        <v>1.8061881628385169E-2</v>
      </c>
      <c r="R273" s="3">
        <f t="shared" si="259"/>
        <v>1.8061881612025373E-2</v>
      </c>
      <c r="S273" s="3">
        <f t="shared" si="259"/>
        <v>1.8061881448427426E-2</v>
      </c>
      <c r="T273" s="3">
        <f t="shared" si="259"/>
        <v>1.8061879812448049E-2</v>
      </c>
      <c r="U273" s="3">
        <f t="shared" si="259"/>
        <v>1.8061863452662415E-2</v>
      </c>
      <c r="V273" s="3">
        <f t="shared" si="259"/>
        <v>1.8061699855621064E-2</v>
      </c>
      <c r="W273" s="3">
        <f t="shared" si="259"/>
        <v>1.806006396670411E-2</v>
      </c>
      <c r="X273" s="3">
        <f t="shared" si="259"/>
        <v>1.8043713224459045E-2</v>
      </c>
      <c r="Y273" s="3">
        <f t="shared" si="259"/>
        <v>1.7881017770756492E-2</v>
      </c>
      <c r="Z273" s="3">
        <f t="shared" si="259"/>
        <v>1.6332603613936989E-2</v>
      </c>
      <c r="AA273" s="3">
        <f t="shared" si="259"/>
        <v>6.602178992625312E-3</v>
      </c>
      <c r="AB273" s="3">
        <f t="shared" si="259"/>
        <v>7.6914109780371957E-7</v>
      </c>
      <c r="AC273" s="3">
        <f t="shared" si="259"/>
        <v>3.5415489757707544E-46</v>
      </c>
      <c r="AD273" s="3">
        <f t="shared" si="259"/>
        <v>0</v>
      </c>
      <c r="AE273" s="3">
        <f t="shared" si="259"/>
        <v>0</v>
      </c>
      <c r="AF273" s="3">
        <f t="shared" si="259"/>
        <v>0</v>
      </c>
      <c r="AG273" s="3"/>
      <c r="AH273" s="3"/>
    </row>
    <row r="274" spans="1:34" x14ac:dyDescent="0.25">
      <c r="B274" s="3">
        <f t="shared" ref="B274:AF274" si="260">$C43*EXP(-B$246/$A43/EXP(-$E$126))</f>
        <v>1.0233436786589783E-2</v>
      </c>
      <c r="C274" s="3">
        <f t="shared" si="260"/>
        <v>1.0233436786589783E-2</v>
      </c>
      <c r="D274" s="3">
        <f t="shared" si="260"/>
        <v>1.0233436786589783E-2</v>
      </c>
      <c r="E274" s="3">
        <f t="shared" si="260"/>
        <v>1.0233436786589783E-2</v>
      </c>
      <c r="F274" s="3">
        <f t="shared" si="260"/>
        <v>1.0233436786589783E-2</v>
      </c>
      <c r="G274" s="3">
        <f t="shared" si="260"/>
        <v>1.0233436786589783E-2</v>
      </c>
      <c r="H274" s="3">
        <f t="shared" si="260"/>
        <v>1.0233436786589783E-2</v>
      </c>
      <c r="I274" s="3">
        <f t="shared" si="260"/>
        <v>1.0233436786589783E-2</v>
      </c>
      <c r="J274" s="3">
        <f t="shared" si="260"/>
        <v>1.0233436786589783E-2</v>
      </c>
      <c r="K274" s="3">
        <f t="shared" si="260"/>
        <v>1.0233436786589783E-2</v>
      </c>
      <c r="L274" s="3">
        <f t="shared" si="260"/>
        <v>1.0233436786589781E-2</v>
      </c>
      <c r="M274" s="3">
        <f t="shared" si="260"/>
        <v>1.0233436786589773E-2</v>
      </c>
      <c r="N274" s="3">
        <f t="shared" si="260"/>
        <v>1.0233436786589679E-2</v>
      </c>
      <c r="O274" s="3">
        <f t="shared" si="260"/>
        <v>1.0233436786588754E-2</v>
      </c>
      <c r="P274" s="3">
        <f t="shared" si="260"/>
        <v>1.0233436786579484E-2</v>
      </c>
      <c r="Q274" s="3">
        <f t="shared" si="260"/>
        <v>1.0233436786486793E-2</v>
      </c>
      <c r="R274" s="3">
        <f t="shared" si="260"/>
        <v>1.0233436785559887E-2</v>
      </c>
      <c r="S274" s="3">
        <f t="shared" si="260"/>
        <v>1.0233436776290811E-2</v>
      </c>
      <c r="T274" s="3">
        <f t="shared" si="260"/>
        <v>1.0233436683600067E-2</v>
      </c>
      <c r="U274" s="3">
        <f t="shared" si="260"/>
        <v>1.0233435756692678E-2</v>
      </c>
      <c r="V274" s="3">
        <f t="shared" si="260"/>
        <v>1.02334264876234E-2</v>
      </c>
      <c r="W274" s="3">
        <f t="shared" si="260"/>
        <v>1.023333379739237E-2</v>
      </c>
      <c r="X274" s="3">
        <f t="shared" si="260"/>
        <v>1.0232406941256102E-2</v>
      </c>
      <c r="Y274" s="3">
        <f t="shared" si="260"/>
        <v>1.0223142995748955E-2</v>
      </c>
      <c r="Z274" s="3">
        <f t="shared" si="260"/>
        <v>1.0130963583048868E-2</v>
      </c>
      <c r="AA274" s="3">
        <f t="shared" si="260"/>
        <v>9.2536685858999428E-3</v>
      </c>
      <c r="AB274" s="3">
        <f t="shared" si="260"/>
        <v>3.7406391403763777E-3</v>
      </c>
      <c r="AC274" s="3">
        <f t="shared" si="260"/>
        <v>4.3577723326349831E-7</v>
      </c>
      <c r="AD274" s="3">
        <f t="shared" si="260"/>
        <v>2.0065582485912142E-46</v>
      </c>
      <c r="AE274" s="3">
        <f t="shared" si="260"/>
        <v>0</v>
      </c>
      <c r="AF274" s="3">
        <f t="shared" si="260"/>
        <v>0</v>
      </c>
      <c r="AG274" s="3"/>
      <c r="AH274" s="3"/>
    </row>
    <row r="275" spans="1:34" x14ac:dyDescent="0.25">
      <c r="B275" s="3">
        <f t="shared" ref="B275:AF275" si="261">$C44*EXP(-B$246/$A44/EXP(-$E$126))</f>
        <v>4.802496116573597E-3</v>
      </c>
      <c r="C275" s="3">
        <f t="shared" si="261"/>
        <v>4.802496116573597E-3</v>
      </c>
      <c r="D275" s="3">
        <f t="shared" si="261"/>
        <v>4.802496116573597E-3</v>
      </c>
      <c r="E275" s="3">
        <f t="shared" si="261"/>
        <v>4.802496116573597E-3</v>
      </c>
      <c r="F275" s="3">
        <f t="shared" si="261"/>
        <v>4.802496116573597E-3</v>
      </c>
      <c r="G275" s="3">
        <f t="shared" si="261"/>
        <v>4.802496116573597E-3</v>
      </c>
      <c r="H275" s="3">
        <f t="shared" si="261"/>
        <v>4.802496116573597E-3</v>
      </c>
      <c r="I275" s="3">
        <f t="shared" si="261"/>
        <v>4.802496116573597E-3</v>
      </c>
      <c r="J275" s="3">
        <f t="shared" si="261"/>
        <v>4.802496116573597E-3</v>
      </c>
      <c r="K275" s="3">
        <f t="shared" si="261"/>
        <v>4.802496116573597E-3</v>
      </c>
      <c r="L275" s="3">
        <f t="shared" si="261"/>
        <v>4.802496116573597E-3</v>
      </c>
      <c r="M275" s="3">
        <f t="shared" si="261"/>
        <v>4.8024961165735961E-3</v>
      </c>
      <c r="N275" s="3">
        <f t="shared" si="261"/>
        <v>4.8024961165735918E-3</v>
      </c>
      <c r="O275" s="3">
        <f t="shared" si="261"/>
        <v>4.8024961165735484E-3</v>
      </c>
      <c r="P275" s="3">
        <f t="shared" si="261"/>
        <v>4.8024961165731139E-3</v>
      </c>
      <c r="Q275" s="3">
        <f t="shared" si="261"/>
        <v>4.802496116568764E-3</v>
      </c>
      <c r="R275" s="3">
        <f t="shared" si="261"/>
        <v>4.8024961165252641E-3</v>
      </c>
      <c r="S275" s="3">
        <f t="shared" si="261"/>
        <v>4.8024961160902718E-3</v>
      </c>
      <c r="T275" s="3">
        <f t="shared" si="261"/>
        <v>4.802496111740346E-3</v>
      </c>
      <c r="U275" s="3">
        <f t="shared" si="261"/>
        <v>4.8024960682410845E-3</v>
      </c>
      <c r="V275" s="3">
        <f t="shared" si="261"/>
        <v>4.8024956332484983E-3</v>
      </c>
      <c r="W275" s="3">
        <f t="shared" si="261"/>
        <v>4.8024912833247975E-3</v>
      </c>
      <c r="X275" s="3">
        <f t="shared" si="261"/>
        <v>4.8024477843044934E-3</v>
      </c>
      <c r="Y275" s="3">
        <f t="shared" si="261"/>
        <v>4.8020128157706685E-3</v>
      </c>
      <c r="Z275" s="3">
        <f t="shared" si="261"/>
        <v>4.7976652966282701E-3</v>
      </c>
      <c r="AA275" s="3">
        <f t="shared" si="261"/>
        <v>4.7544060005821637E-3</v>
      </c>
      <c r="AB275" s="3">
        <f t="shared" si="261"/>
        <v>4.3426962392614831E-3</v>
      </c>
      <c r="AC275" s="3">
        <f t="shared" si="261"/>
        <v>1.7554615638708856E-3</v>
      </c>
      <c r="AD275" s="3">
        <f t="shared" si="261"/>
        <v>2.0450788079148856E-7</v>
      </c>
      <c r="AE275" s="3">
        <f t="shared" si="261"/>
        <v>9.4166685127385382E-47</v>
      </c>
      <c r="AF275" s="3">
        <f t="shared" si="261"/>
        <v>0</v>
      </c>
      <c r="AG275" s="3"/>
      <c r="AH275" s="3"/>
    </row>
    <row r="276" spans="1:34" x14ac:dyDescent="0.25">
      <c r="B276" s="3">
        <f t="shared" ref="B276:AF276" si="262">$C45*EXP(-B$246/$A45/EXP(-$E$126))</f>
        <v>2.5220120484412234E-3</v>
      </c>
      <c r="C276" s="3">
        <f t="shared" si="262"/>
        <v>2.5220120484412234E-3</v>
      </c>
      <c r="D276" s="3">
        <f t="shared" si="262"/>
        <v>2.5220120484412234E-3</v>
      </c>
      <c r="E276" s="3">
        <f t="shared" si="262"/>
        <v>2.5220120484412234E-3</v>
      </c>
      <c r="F276" s="3">
        <f t="shared" si="262"/>
        <v>2.5220120484412234E-3</v>
      </c>
      <c r="G276" s="3">
        <f t="shared" si="262"/>
        <v>2.5220120484412234E-3</v>
      </c>
      <c r="H276" s="3">
        <f t="shared" si="262"/>
        <v>2.5220120484412234E-3</v>
      </c>
      <c r="I276" s="3">
        <f t="shared" si="262"/>
        <v>2.5220120484412234E-3</v>
      </c>
      <c r="J276" s="3">
        <f t="shared" si="262"/>
        <v>2.5220120484412234E-3</v>
      </c>
      <c r="K276" s="3">
        <f t="shared" si="262"/>
        <v>2.5220120484412234E-3</v>
      </c>
      <c r="L276" s="3">
        <f t="shared" si="262"/>
        <v>2.5220120484412234E-3</v>
      </c>
      <c r="M276" s="3">
        <f t="shared" si="262"/>
        <v>2.5220120484412234E-3</v>
      </c>
      <c r="N276" s="3">
        <f t="shared" si="262"/>
        <v>2.5220120484412229E-3</v>
      </c>
      <c r="O276" s="3">
        <f t="shared" si="262"/>
        <v>2.5220120484412208E-3</v>
      </c>
      <c r="P276" s="3">
        <f t="shared" si="262"/>
        <v>2.5220120484411978E-3</v>
      </c>
      <c r="Q276" s="3">
        <f t="shared" si="262"/>
        <v>2.5220120484409697E-3</v>
      </c>
      <c r="R276" s="3">
        <f t="shared" si="262"/>
        <v>2.522012048438685E-3</v>
      </c>
      <c r="S276" s="3">
        <f t="shared" si="262"/>
        <v>2.5220120484158418E-3</v>
      </c>
      <c r="T276" s="3">
        <f t="shared" si="262"/>
        <v>2.5220120481874073E-3</v>
      </c>
      <c r="U276" s="3">
        <f t="shared" si="262"/>
        <v>2.5220120459030606E-3</v>
      </c>
      <c r="V276" s="3">
        <f t="shared" si="262"/>
        <v>2.5220120230595939E-3</v>
      </c>
      <c r="W276" s="3">
        <f t="shared" si="262"/>
        <v>2.5220117946249386E-3</v>
      </c>
      <c r="X276" s="3">
        <f t="shared" si="262"/>
        <v>2.5220095102795239E-3</v>
      </c>
      <c r="Y276" s="3">
        <f t="shared" si="262"/>
        <v>2.5219866669391774E-3</v>
      </c>
      <c r="Z276" s="3">
        <f t="shared" si="262"/>
        <v>2.5217582449152194E-3</v>
      </c>
      <c r="AA276" s="3">
        <f t="shared" si="262"/>
        <v>2.5194751622449143E-3</v>
      </c>
      <c r="AB276" s="3">
        <f t="shared" si="262"/>
        <v>2.4967577121549796E-3</v>
      </c>
      <c r="AC276" s="3">
        <f t="shared" si="262"/>
        <v>2.2805499415899438E-3</v>
      </c>
      <c r="AD276" s="3">
        <f t="shared" si="262"/>
        <v>9.2187377296966085E-4</v>
      </c>
      <c r="AE276" s="3">
        <f t="shared" si="262"/>
        <v>1.0739651357080104E-7</v>
      </c>
      <c r="AF276" s="3">
        <f t="shared" si="262"/>
        <v>4.9451266318248867E-47</v>
      </c>
      <c r="AG276" s="3"/>
      <c r="AH276" s="3"/>
    </row>
    <row r="277" spans="1:34" x14ac:dyDescent="0.25">
      <c r="B277" s="3">
        <f t="shared" ref="B277:AF277" si="263">$C46*EXP(-B$246/$A46/EXP(-$E$126))</f>
        <v>2.1848474936022057E-3</v>
      </c>
      <c r="C277" s="3">
        <f t="shared" si="263"/>
        <v>2.1848474936022057E-3</v>
      </c>
      <c r="D277" s="3">
        <f t="shared" si="263"/>
        <v>2.1848474936022057E-3</v>
      </c>
      <c r="E277" s="3">
        <f t="shared" si="263"/>
        <v>2.1848474936022057E-3</v>
      </c>
      <c r="F277" s="3">
        <f t="shared" si="263"/>
        <v>2.1848474936022057E-3</v>
      </c>
      <c r="G277" s="3">
        <f t="shared" si="263"/>
        <v>2.1848474936022057E-3</v>
      </c>
      <c r="H277" s="3">
        <f t="shared" si="263"/>
        <v>2.1848474936022057E-3</v>
      </c>
      <c r="I277" s="3">
        <f t="shared" si="263"/>
        <v>2.1848474936022057E-3</v>
      </c>
      <c r="J277" s="3">
        <f t="shared" si="263"/>
        <v>2.1848474936022057E-3</v>
      </c>
      <c r="K277" s="3">
        <f t="shared" si="263"/>
        <v>2.1848474936022057E-3</v>
      </c>
      <c r="L277" s="3">
        <f t="shared" si="263"/>
        <v>2.1848474936022057E-3</v>
      </c>
      <c r="M277" s="3">
        <f t="shared" si="263"/>
        <v>2.1848474936022057E-3</v>
      </c>
      <c r="N277" s="3">
        <f t="shared" si="263"/>
        <v>2.1848474936022057E-3</v>
      </c>
      <c r="O277" s="3">
        <f t="shared" si="263"/>
        <v>2.1848474936022053E-3</v>
      </c>
      <c r="P277" s="3">
        <f t="shared" si="263"/>
        <v>2.1848474936022036E-3</v>
      </c>
      <c r="Q277" s="3">
        <f t="shared" si="263"/>
        <v>2.1848474936021836E-3</v>
      </c>
      <c r="R277" s="3">
        <f t="shared" si="263"/>
        <v>2.1848474936019859E-3</v>
      </c>
      <c r="S277" s="3">
        <f t="shared" si="263"/>
        <v>2.184847493600007E-3</v>
      </c>
      <c r="T277" s="3">
        <f t="shared" si="263"/>
        <v>2.1848474935802172E-3</v>
      </c>
      <c r="U277" s="3">
        <f t="shared" si="263"/>
        <v>2.1848474933823217E-3</v>
      </c>
      <c r="V277" s="3">
        <f t="shared" si="263"/>
        <v>2.1848474914033665E-3</v>
      </c>
      <c r="W277" s="3">
        <f t="shared" si="263"/>
        <v>2.1848474716138137E-3</v>
      </c>
      <c r="X277" s="3">
        <f t="shared" si="263"/>
        <v>2.1848472737182943E-3</v>
      </c>
      <c r="Y277" s="3">
        <f t="shared" si="263"/>
        <v>2.1848452947640872E-3</v>
      </c>
      <c r="Z277" s="3">
        <f t="shared" si="263"/>
        <v>2.1848255053206023E-3</v>
      </c>
      <c r="AA277" s="3">
        <f t="shared" si="263"/>
        <v>2.1846276207439456E-3</v>
      </c>
      <c r="AB277" s="3">
        <f t="shared" si="263"/>
        <v>2.1826497604664793E-3</v>
      </c>
      <c r="AC277" s="3">
        <f t="shared" si="263"/>
        <v>2.1629693771309977E-3</v>
      </c>
      <c r="AD277" s="3">
        <f t="shared" si="263"/>
        <v>1.9756661460031753E-3</v>
      </c>
      <c r="AE277" s="3">
        <f t="shared" si="263"/>
        <v>7.9862965108959633E-4</v>
      </c>
      <c r="AF277" s="3">
        <f t="shared" si="263"/>
        <v>9.3038811468726585E-8</v>
      </c>
      <c r="AG277" s="3"/>
      <c r="AH277" s="3"/>
    </row>
    <row r="278" spans="1:34" x14ac:dyDescent="0.25">
      <c r="B278" s="3">
        <f t="shared" ref="B278:AF278" si="264">$C47*EXP(-B$246/$A47/EXP(-$E$126))</f>
        <v>3.6320293099179269E-4</v>
      </c>
      <c r="C278" s="3">
        <f t="shared" si="264"/>
        <v>3.6320293099179269E-4</v>
      </c>
      <c r="D278" s="3">
        <f t="shared" si="264"/>
        <v>3.6320293099179269E-4</v>
      </c>
      <c r="E278" s="3">
        <f t="shared" si="264"/>
        <v>3.6320293099179269E-4</v>
      </c>
      <c r="F278" s="3">
        <f t="shared" si="264"/>
        <v>3.6320293099179269E-4</v>
      </c>
      <c r="G278" s="3">
        <f t="shared" si="264"/>
        <v>3.6320293099179269E-4</v>
      </c>
      <c r="H278" s="3">
        <f t="shared" si="264"/>
        <v>3.6320293099179269E-4</v>
      </c>
      <c r="I278" s="3">
        <f t="shared" si="264"/>
        <v>3.6320293099179269E-4</v>
      </c>
      <c r="J278" s="3">
        <f t="shared" si="264"/>
        <v>3.6320293099179269E-4</v>
      </c>
      <c r="K278" s="3">
        <f t="shared" si="264"/>
        <v>3.6320293099179269E-4</v>
      </c>
      <c r="L278" s="3">
        <f t="shared" si="264"/>
        <v>3.6320293099179269E-4</v>
      </c>
      <c r="M278" s="3">
        <f t="shared" si="264"/>
        <v>3.6320293099179269E-4</v>
      </c>
      <c r="N278" s="3">
        <f t="shared" si="264"/>
        <v>3.6320293099179269E-4</v>
      </c>
      <c r="O278" s="3">
        <f t="shared" si="264"/>
        <v>3.6320293099179269E-4</v>
      </c>
      <c r="P278" s="3">
        <f t="shared" si="264"/>
        <v>3.6320293099179263E-4</v>
      </c>
      <c r="Q278" s="3">
        <f t="shared" si="264"/>
        <v>3.6320293099179231E-4</v>
      </c>
      <c r="R278" s="3">
        <f t="shared" si="264"/>
        <v>3.63202930991789E-4</v>
      </c>
      <c r="S278" s="3">
        <f t="shared" si="264"/>
        <v>3.6320293099175615E-4</v>
      </c>
      <c r="T278" s="3">
        <f t="shared" si="264"/>
        <v>3.6320293099142715E-4</v>
      </c>
      <c r="U278" s="3">
        <f t="shared" si="264"/>
        <v>3.6320293098813741E-4</v>
      </c>
      <c r="V278" s="3">
        <f t="shared" si="264"/>
        <v>3.6320293095523979E-4</v>
      </c>
      <c r="W278" s="3">
        <f t="shared" si="264"/>
        <v>3.6320293062626385E-4</v>
      </c>
      <c r="X278" s="3">
        <f t="shared" si="264"/>
        <v>3.6320292733650394E-4</v>
      </c>
      <c r="Y278" s="3">
        <f t="shared" si="264"/>
        <v>3.6320289443890681E-4</v>
      </c>
      <c r="Z278" s="3">
        <f t="shared" si="264"/>
        <v>3.6320256546309938E-4</v>
      </c>
      <c r="AA278" s="3">
        <f t="shared" si="264"/>
        <v>3.6319927572141372E-4</v>
      </c>
      <c r="AB278" s="3">
        <f t="shared" si="264"/>
        <v>3.6316637994335591E-4</v>
      </c>
      <c r="AC278" s="3">
        <f t="shared" si="264"/>
        <v>3.6283758598772674E-4</v>
      </c>
      <c r="AD278" s="3">
        <f t="shared" si="264"/>
        <v>3.5956597415604506E-4</v>
      </c>
      <c r="AE278" s="3">
        <f t="shared" si="264"/>
        <v>3.2842920935709924E-4</v>
      </c>
      <c r="AF278" s="3">
        <f t="shared" si="264"/>
        <v>1.3276195748310938E-4</v>
      </c>
      <c r="AG278" s="3"/>
      <c r="AH278" s="3"/>
    </row>
    <row r="279" spans="1:34" x14ac:dyDescent="0.25">
      <c r="B279" s="3">
        <f t="shared" ref="B279:AF279" si="265">$C48*EXP(-B$246/$A48/EXP(-$E$126))</f>
        <v>1.8415595868786856E-3</v>
      </c>
      <c r="C279" s="3">
        <f t="shared" si="265"/>
        <v>1.8415595868786856E-3</v>
      </c>
      <c r="D279" s="3">
        <f t="shared" si="265"/>
        <v>1.8415595868786856E-3</v>
      </c>
      <c r="E279" s="3">
        <f t="shared" si="265"/>
        <v>1.8415595868786856E-3</v>
      </c>
      <c r="F279" s="3">
        <f t="shared" si="265"/>
        <v>1.8415595868786856E-3</v>
      </c>
      <c r="G279" s="3">
        <f t="shared" si="265"/>
        <v>1.8415595868786856E-3</v>
      </c>
      <c r="H279" s="3">
        <f t="shared" si="265"/>
        <v>1.8415595868786856E-3</v>
      </c>
      <c r="I279" s="3">
        <f t="shared" si="265"/>
        <v>1.8415595868786856E-3</v>
      </c>
      <c r="J279" s="3">
        <f t="shared" si="265"/>
        <v>1.8415595868786856E-3</v>
      </c>
      <c r="K279" s="3">
        <f t="shared" si="265"/>
        <v>1.8415595868786856E-3</v>
      </c>
      <c r="L279" s="3">
        <f t="shared" si="265"/>
        <v>1.8415595868786856E-3</v>
      </c>
      <c r="M279" s="3">
        <f t="shared" si="265"/>
        <v>1.8415595868786856E-3</v>
      </c>
      <c r="N279" s="3">
        <f t="shared" si="265"/>
        <v>1.8415595868786856E-3</v>
      </c>
      <c r="O279" s="3">
        <f t="shared" si="265"/>
        <v>1.8415595868786856E-3</v>
      </c>
      <c r="P279" s="3">
        <f t="shared" si="265"/>
        <v>1.8415595868786856E-3</v>
      </c>
      <c r="Q279" s="3">
        <f t="shared" si="265"/>
        <v>1.8415595868786854E-3</v>
      </c>
      <c r="R279" s="3">
        <f t="shared" si="265"/>
        <v>1.8415595868786839E-3</v>
      </c>
      <c r="S279" s="3">
        <f t="shared" si="265"/>
        <v>1.841559586878667E-3</v>
      </c>
      <c r="T279" s="3">
        <f t="shared" si="265"/>
        <v>1.8415595868785004E-3</v>
      </c>
      <c r="U279" s="3">
        <f t="shared" si="265"/>
        <v>1.8415595868768323E-3</v>
      </c>
      <c r="V279" s="3">
        <f t="shared" si="265"/>
        <v>1.841559586860152E-3</v>
      </c>
      <c r="W279" s="3">
        <f t="shared" si="265"/>
        <v>1.8415595866933504E-3</v>
      </c>
      <c r="X279" s="3">
        <f t="shared" si="265"/>
        <v>1.8415595850253329E-3</v>
      </c>
      <c r="Y279" s="3">
        <f t="shared" si="265"/>
        <v>1.8415595683451565E-3</v>
      </c>
      <c r="Z279" s="3">
        <f t="shared" si="265"/>
        <v>1.8415594015434042E-3</v>
      </c>
      <c r="AA279" s="3">
        <f t="shared" si="265"/>
        <v>1.8415577335267109E-3</v>
      </c>
      <c r="AB279" s="3">
        <f t="shared" si="265"/>
        <v>1.8415410534428716E-3</v>
      </c>
      <c r="AC279" s="3">
        <f t="shared" si="265"/>
        <v>1.8413742609137342E-3</v>
      </c>
      <c r="AD279" s="3">
        <f t="shared" si="265"/>
        <v>1.839707166269307E-3</v>
      </c>
      <c r="AE279" s="3">
        <f t="shared" si="265"/>
        <v>1.8231190068160586E-3</v>
      </c>
      <c r="AF279" s="3">
        <f t="shared" si="265"/>
        <v>1.6652452595880076E-3</v>
      </c>
      <c r="AG279" s="3"/>
      <c r="AH279" s="3"/>
    </row>
    <row r="280" spans="1:34" x14ac:dyDescent="0.25">
      <c r="A280" s="79">
        <f>AVERAGE(B280:AF280)</f>
        <v>7.8774117640497614E-4</v>
      </c>
      <c r="B280" s="80">
        <f>IF($D$61&lt;=B246,IF($E$61&gt;=B246,ABS((B248-B247)/B247),0),0)</f>
        <v>6.8116313025512552E-3</v>
      </c>
      <c r="C280" s="80">
        <f t="shared" ref="C280:AF280" si="266">IF($D$61&lt;=C246,IF($E$61&gt;=C246,ABS((C248-C247)/C247),0),0)</f>
        <v>8.963625257093797E-3</v>
      </c>
      <c r="D280" s="80">
        <f t="shared" si="266"/>
        <v>2.521165505894811E-3</v>
      </c>
      <c r="E280" s="80">
        <f t="shared" si="266"/>
        <v>3.4548720518761235E-4</v>
      </c>
      <c r="F280" s="80">
        <f t="shared" si="266"/>
        <v>1.4451173569894664E-4</v>
      </c>
      <c r="G280" s="80">
        <f t="shared" si="266"/>
        <v>8.8534093331504109E-5</v>
      </c>
      <c r="H280" s="80">
        <f t="shared" si="266"/>
        <v>9.5775002409875288E-5</v>
      </c>
      <c r="I280" s="80">
        <f t="shared" si="266"/>
        <v>1.0880500947865403E-4</v>
      </c>
      <c r="J280" s="80">
        <f t="shared" si="266"/>
        <v>1.0794152582524671E-4</v>
      </c>
      <c r="K280" s="80">
        <f t="shared" si="266"/>
        <v>2.0574068981330033E-4</v>
      </c>
      <c r="L280" s="80">
        <f t="shared" si="266"/>
        <v>7.1358994545092769E-5</v>
      </c>
      <c r="M280" s="80">
        <f t="shared" si="266"/>
        <v>2.5778700675464029E-4</v>
      </c>
      <c r="N280" s="80">
        <f t="shared" si="266"/>
        <v>3.9421654579557015E-5</v>
      </c>
      <c r="O280" s="80">
        <f t="shared" si="266"/>
        <v>3.1742304337653072E-4</v>
      </c>
      <c r="P280" s="80">
        <f t="shared" si="266"/>
        <v>3.9757481266197527E-5</v>
      </c>
      <c r="Q280" s="80">
        <f t="shared" si="266"/>
        <v>2.7788580556047712E-4</v>
      </c>
      <c r="R280" s="80">
        <f t="shared" si="266"/>
        <v>9.8678720899194526E-5</v>
      </c>
      <c r="S280" s="80">
        <f t="shared" si="266"/>
        <v>3.6574749814226315E-4</v>
      </c>
      <c r="T280" s="80">
        <f t="shared" si="266"/>
        <v>3.3136542070839788E-4</v>
      </c>
      <c r="U280" s="80">
        <f t="shared" si="266"/>
        <v>4.0264331630769515E-4</v>
      </c>
      <c r="V280" s="80">
        <f t="shared" si="266"/>
        <v>4.5227980310056016E-4</v>
      </c>
      <c r="W280" s="80">
        <f t="shared" si="266"/>
        <v>4.5602990293599561E-4</v>
      </c>
      <c r="X280" s="80">
        <f t="shared" si="266"/>
        <v>9.9935120346205937E-4</v>
      </c>
      <c r="Y280" s="80">
        <f t="shared" si="266"/>
        <v>9.1702928963058805E-4</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4741.2626633851751</v>
      </c>
      <c r="C281" s="21">
        <f t="shared" ref="C281:AF281" si="267">(C248-C247)^2</f>
        <v>7816.5052536183784</v>
      </c>
      <c r="D281" s="21">
        <f t="shared" si="267"/>
        <v>591.63685185383952</v>
      </c>
      <c r="E281" s="21">
        <f t="shared" si="267"/>
        <v>10.574431664391032</v>
      </c>
      <c r="F281" s="21">
        <f t="shared" si="267"/>
        <v>1.7516148224453931</v>
      </c>
      <c r="G281" s="21">
        <f t="shared" si="267"/>
        <v>0.61788339723420738</v>
      </c>
      <c r="H281" s="21">
        <f t="shared" si="267"/>
        <v>0.6784147186316366</v>
      </c>
      <c r="I281" s="21">
        <f t="shared" si="267"/>
        <v>0.82238652180916083</v>
      </c>
      <c r="J281" s="21">
        <f t="shared" si="267"/>
        <v>0.7506316294447557</v>
      </c>
      <c r="K281" s="21">
        <f t="shared" si="267"/>
        <v>2.4846299177787921</v>
      </c>
      <c r="L281" s="21">
        <f t="shared" si="267"/>
        <v>0.27020843497392455</v>
      </c>
      <c r="M281" s="21">
        <f t="shared" si="267"/>
        <v>3.2236430766320328</v>
      </c>
      <c r="N281" s="21">
        <f t="shared" si="267"/>
        <v>6.9299146246775287E-2</v>
      </c>
      <c r="O281" s="21">
        <f t="shared" si="267"/>
        <v>4.1170384579847195</v>
      </c>
      <c r="P281" s="21">
        <f t="shared" si="267"/>
        <v>5.8836480618638325E-2</v>
      </c>
      <c r="Q281" s="21">
        <f t="shared" si="267"/>
        <v>2.6125942255213852</v>
      </c>
      <c r="R281" s="21">
        <f t="shared" si="267"/>
        <v>0.29243420836177531</v>
      </c>
      <c r="S281" s="21">
        <f t="shared" si="267"/>
        <v>3.3460926171632539</v>
      </c>
      <c r="T281" s="21">
        <f t="shared" si="267"/>
        <v>2.1052415340391377</v>
      </c>
      <c r="U281" s="21">
        <f t="shared" si="267"/>
        <v>2.2744934158535592</v>
      </c>
      <c r="V281" s="21">
        <f t="shared" si="267"/>
        <v>2.0278021745387411</v>
      </c>
      <c r="W281" s="21">
        <f t="shared" si="267"/>
        <v>1.3706713983575041</v>
      </c>
      <c r="X281" s="21">
        <f t="shared" si="267"/>
        <v>3.939348710162951</v>
      </c>
      <c r="Y281" s="21">
        <f t="shared" si="267"/>
        <v>1.7778609759065671</v>
      </c>
      <c r="Z281" s="21">
        <f t="shared" si="267"/>
        <v>1.1283866297015341</v>
      </c>
      <c r="AA281" s="21">
        <f t="shared" si="267"/>
        <v>0.33095337317995843</v>
      </c>
      <c r="AB281" s="21">
        <f t="shared" si="267"/>
        <v>5.7437123189742104E-2</v>
      </c>
      <c r="AC281" s="21">
        <f t="shared" si="267"/>
        <v>2.983737321363213E-2</v>
      </c>
      <c r="AD281" s="21">
        <f t="shared" si="267"/>
        <v>1.9368125637313487E-3</v>
      </c>
      <c r="AE281" s="21">
        <f t="shared" si="267"/>
        <v>9.0034065932610135E-3</v>
      </c>
      <c r="AF281" s="21">
        <f t="shared" si="267"/>
        <v>1.8353821119611411E-5</v>
      </c>
      <c r="AG281" s="3"/>
      <c r="AH281" s="3"/>
    </row>
    <row r="282" spans="1:34" s="3" customFormat="1" x14ac:dyDescent="0.25">
      <c r="A282" s="71">
        <f>SUM(B282:AF282)</f>
        <v>13194.570326385488</v>
      </c>
      <c r="B282" s="21">
        <f>IF($D$61&lt;=B246,IF($E$61&gt;=B246,ABS(B281),0),0)</f>
        <v>4741.2626633851751</v>
      </c>
      <c r="C282" s="21">
        <f t="shared" ref="C282:AF282" si="268">IF($D$61&lt;=C246,IF($E$61&gt;=C246,ABS(C281),0),0)</f>
        <v>7816.5052536183784</v>
      </c>
      <c r="D282" s="21">
        <f t="shared" si="268"/>
        <v>591.63685185383952</v>
      </c>
      <c r="E282" s="21">
        <f t="shared" si="268"/>
        <v>10.574431664391032</v>
      </c>
      <c r="F282" s="21">
        <f t="shared" si="268"/>
        <v>1.7516148224453931</v>
      </c>
      <c r="G282" s="21">
        <f t="shared" si="268"/>
        <v>0.61788339723420738</v>
      </c>
      <c r="H282" s="21">
        <f t="shared" si="268"/>
        <v>0.6784147186316366</v>
      </c>
      <c r="I282" s="21">
        <f t="shared" si="268"/>
        <v>0.82238652180916083</v>
      </c>
      <c r="J282" s="21">
        <f t="shared" si="268"/>
        <v>0.7506316294447557</v>
      </c>
      <c r="K282" s="21">
        <f t="shared" si="268"/>
        <v>2.4846299177787921</v>
      </c>
      <c r="L282" s="21">
        <f t="shared" si="268"/>
        <v>0.27020843497392455</v>
      </c>
      <c r="M282" s="21">
        <f t="shared" si="268"/>
        <v>3.2236430766320328</v>
      </c>
      <c r="N282" s="21">
        <f t="shared" si="268"/>
        <v>6.9299146246775287E-2</v>
      </c>
      <c r="O282" s="21">
        <f t="shared" si="268"/>
        <v>4.1170384579847195</v>
      </c>
      <c r="P282" s="21">
        <f t="shared" si="268"/>
        <v>5.8836480618638325E-2</v>
      </c>
      <c r="Q282" s="21">
        <f t="shared" si="268"/>
        <v>2.6125942255213852</v>
      </c>
      <c r="R282" s="21">
        <f t="shared" si="268"/>
        <v>0.29243420836177531</v>
      </c>
      <c r="S282" s="21">
        <f t="shared" si="268"/>
        <v>3.3460926171632539</v>
      </c>
      <c r="T282" s="21">
        <f t="shared" si="268"/>
        <v>2.1052415340391377</v>
      </c>
      <c r="U282" s="21">
        <f t="shared" si="268"/>
        <v>2.2744934158535592</v>
      </c>
      <c r="V282" s="21">
        <f t="shared" si="268"/>
        <v>2.0278021745387411</v>
      </c>
      <c r="W282" s="21">
        <f t="shared" si="268"/>
        <v>1.3706713983575041</v>
      </c>
      <c r="X282" s="21">
        <f t="shared" si="268"/>
        <v>3.939348710162951</v>
      </c>
      <c r="Y282" s="21">
        <f t="shared" si="268"/>
        <v>1.7778609759065671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9903.09526837456</v>
      </c>
      <c r="C287" s="27">
        <f t="shared" ref="C287:AF287" si="269">($C$17+SUM(C288:C318))*$B$51</f>
        <v>9576.5341239170029</v>
      </c>
      <c r="D287" s="27">
        <f t="shared" si="269"/>
        <v>9372.3943047783141</v>
      </c>
      <c r="E287" s="27">
        <f t="shared" si="269"/>
        <v>9103.372008279448</v>
      </c>
      <c r="F287" s="27">
        <f t="shared" si="269"/>
        <v>8820.7802137510243</v>
      </c>
      <c r="G287" s="27">
        <f t="shared" si="269"/>
        <v>8541.9775920141637</v>
      </c>
      <c r="H287" s="27">
        <f t="shared" si="269"/>
        <v>8273.8719301396086</v>
      </c>
      <c r="I287" s="27">
        <f t="shared" si="269"/>
        <v>7950.546340452076</v>
      </c>
      <c r="J287" s="27">
        <f t="shared" si="269"/>
        <v>7573.2690548306218</v>
      </c>
      <c r="K287" s="27">
        <f t="shared" si="269"/>
        <v>7201.7827193732965</v>
      </c>
      <c r="L287" s="27">
        <f t="shared" si="269"/>
        <v>6897.1779209916358</v>
      </c>
      <c r="M287" s="27">
        <f t="shared" si="269"/>
        <v>6613.0809746053947</v>
      </c>
      <c r="N287" s="27">
        <f t="shared" si="269"/>
        <v>6324.4129974855432</v>
      </c>
      <c r="O287" s="27">
        <f t="shared" si="269"/>
        <v>6038.1258601250611</v>
      </c>
      <c r="P287" s="27">
        <f t="shared" si="269"/>
        <v>5751.3493257133014</v>
      </c>
      <c r="Q287" s="27">
        <f t="shared" si="269"/>
        <v>5391.8745759267931</v>
      </c>
      <c r="R287" s="27">
        <f t="shared" si="269"/>
        <v>4876.4652276867209</v>
      </c>
      <c r="S287" s="27">
        <f t="shared" si="269"/>
        <v>4250.4551249626929</v>
      </c>
      <c r="T287" s="27">
        <f t="shared" si="269"/>
        <v>3632.7543168149546</v>
      </c>
      <c r="U287" s="27">
        <f t="shared" si="269"/>
        <v>3033.4182618117275</v>
      </c>
      <c r="V287" s="27">
        <f t="shared" si="269"/>
        <v>2482.7880420721112</v>
      </c>
      <c r="W287" s="27">
        <f t="shared" si="269"/>
        <v>1841.8236853871704</v>
      </c>
      <c r="X287" s="27">
        <f t="shared" si="269"/>
        <v>1354.7995456343729</v>
      </c>
      <c r="Y287" s="27">
        <f t="shared" si="269"/>
        <v>969.44986637384557</v>
      </c>
      <c r="Z287" s="27">
        <f t="shared" si="269"/>
        <v>745.27487180208118</v>
      </c>
      <c r="AA287" s="27">
        <f t="shared" si="269"/>
        <v>627.27103993241315</v>
      </c>
      <c r="AB287" s="27">
        <f t="shared" si="269"/>
        <v>567.57145904277479</v>
      </c>
      <c r="AC287" s="27">
        <f t="shared" si="269"/>
        <v>536.32250901096359</v>
      </c>
      <c r="AD287" s="27">
        <f t="shared" si="269"/>
        <v>514.75882037918655</v>
      </c>
      <c r="AE287" s="27">
        <f t="shared" si="269"/>
        <v>504.86930159719969</v>
      </c>
      <c r="AF287" s="27">
        <f t="shared" si="269"/>
        <v>491.17355915145401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2.5568221358361603E-2</v>
      </c>
      <c r="C289" s="3">
        <f t="shared" si="271"/>
        <v>6.2835738385699183E-4</v>
      </c>
      <c r="D289" s="3">
        <f t="shared" si="271"/>
        <v>5.0497371844376392E-20</v>
      </c>
      <c r="E289" s="3">
        <f t="shared" si="271"/>
        <v>5.6739996393609267E-181</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1.5982650001280088E-2</v>
      </c>
      <c r="C290" s="3">
        <f t="shared" si="272"/>
        <v>1.1440870217790061E-2</v>
      </c>
      <c r="D290" s="3">
        <f t="shared" si="272"/>
        <v>4.0416784552526589E-4</v>
      </c>
      <c r="E290" s="3">
        <f t="shared" si="272"/>
        <v>1.2234571435825984E-18</v>
      </c>
      <c r="F290" s="3">
        <f t="shared" si="272"/>
        <v>7.9042156208344706E-164</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2.5676072083399497E-2</v>
      </c>
      <c r="C291" s="3">
        <f t="shared" si="273"/>
        <v>2.4913300403419353E-2</v>
      </c>
      <c r="D291" s="3">
        <f t="shared" si="273"/>
        <v>1.8427144849038426E-2</v>
      </c>
      <c r="E291" s="3">
        <f t="shared" si="273"/>
        <v>9.0307932360069495E-4</v>
      </c>
      <c r="F291" s="3">
        <f t="shared" si="273"/>
        <v>7.2177924968516377E-17</v>
      </c>
      <c r="G291" s="3">
        <f t="shared" si="273"/>
        <v>7.6769608627718023E-148</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2.7375077783341265E-2</v>
      </c>
      <c r="C292" s="3">
        <f t="shared" si="274"/>
        <v>2.7300705773135991E-2</v>
      </c>
      <c r="D292" s="3">
        <f t="shared" si="274"/>
        <v>2.6568008461154251E-2</v>
      </c>
      <c r="E292" s="3">
        <f t="shared" si="274"/>
        <v>2.0239988666844309E-2</v>
      </c>
      <c r="F292" s="3">
        <f t="shared" si="274"/>
        <v>1.3326708731238347E-3</v>
      </c>
      <c r="G292" s="3">
        <f t="shared" si="274"/>
        <v>2.0410296546865797E-15</v>
      </c>
      <c r="H292" s="3">
        <f t="shared" si="274"/>
        <v>1.4491502078378993E-133</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2.7544202751863825E-2</v>
      </c>
      <c r="C293" s="3">
        <f t="shared" si="275"/>
        <v>2.7537443972386746E-2</v>
      </c>
      <c r="D293" s="3">
        <f t="shared" si="275"/>
        <v>2.7469947326084213E-2</v>
      </c>
      <c r="E293" s="3">
        <f t="shared" si="275"/>
        <v>2.6804013486185073E-2</v>
      </c>
      <c r="F293" s="3">
        <f t="shared" si="275"/>
        <v>2.0971033738889613E-2</v>
      </c>
      <c r="G293" s="3">
        <f t="shared" si="275"/>
        <v>1.8022704030220026E-3</v>
      </c>
      <c r="H293" s="3">
        <f t="shared" si="275"/>
        <v>3.9611479958588538E-14</v>
      </c>
      <c r="I293" s="3">
        <f t="shared" si="275"/>
        <v>1.0419149000813369E-120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2.4311422160198059E-2</v>
      </c>
      <c r="C294" s="3">
        <f t="shared" si="276"/>
        <v>2.4310883960428391E-2</v>
      </c>
      <c r="D294" s="3">
        <f t="shared" si="276"/>
        <v>2.430550261798697E-2</v>
      </c>
      <c r="E294" s="3">
        <f t="shared" si="276"/>
        <v>2.4251754665455434E-2</v>
      </c>
      <c r="F294" s="3">
        <f t="shared" si="276"/>
        <v>2.3720769016134905E-2</v>
      </c>
      <c r="G294" s="3">
        <f t="shared" si="276"/>
        <v>1.9010115171883959E-2</v>
      </c>
      <c r="H294" s="3">
        <f t="shared" si="276"/>
        <v>2.0775169838557041E-3</v>
      </c>
      <c r="I294" s="3">
        <f t="shared" si="276"/>
        <v>5.0482741461231323E-13</v>
      </c>
      <c r="J294" s="3">
        <f t="shared" si="276"/>
        <v>3.6234845562119652E-109</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3.0651607650511139E-2</v>
      </c>
      <c r="C295" s="3">
        <f t="shared" si="277"/>
        <v>3.0651546438399013E-2</v>
      </c>
      <c r="D295" s="3">
        <f t="shared" si="277"/>
        <v>3.0650934324001074E-2</v>
      </c>
      <c r="E295" s="3">
        <f t="shared" si="277"/>
        <v>3.0644813852300553E-2</v>
      </c>
      <c r="F295" s="3">
        <f t="shared" si="277"/>
        <v>3.0583676313535504E-2</v>
      </c>
      <c r="G295" s="3">
        <f t="shared" si="277"/>
        <v>2.9978969375873576E-2</v>
      </c>
      <c r="H295" s="3">
        <f t="shared" si="277"/>
        <v>2.4551995576666295E-2</v>
      </c>
      <c r="I295" s="3">
        <f t="shared" si="277"/>
        <v>3.3326352534598994E-3</v>
      </c>
      <c r="J295" s="3">
        <f t="shared" si="277"/>
        <v>7.0761601447210679E-12</v>
      </c>
      <c r="K295" s="3">
        <f t="shared" si="277"/>
        <v>1.3179421373191593E-98</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3.7612531134025372E-2</v>
      </c>
      <c r="C296" s="3">
        <f t="shared" si="278"/>
        <v>3.7612524358177406E-2</v>
      </c>
      <c r="D296" s="3">
        <f t="shared" si="278"/>
        <v>3.7612456599764872E-2</v>
      </c>
      <c r="E296" s="3">
        <f t="shared" si="278"/>
        <v>3.7611779022353117E-2</v>
      </c>
      <c r="F296" s="3">
        <f t="shared" si="278"/>
        <v>3.7605003919549081E-2</v>
      </c>
      <c r="G296" s="3">
        <f t="shared" si="278"/>
        <v>3.7537319978130319E-2</v>
      </c>
      <c r="H296" s="3">
        <f t="shared" si="278"/>
        <v>3.6867144724168167E-2</v>
      </c>
      <c r="I296" s="3">
        <f t="shared" si="278"/>
        <v>3.078944904476091E-2</v>
      </c>
      <c r="J296" s="3">
        <f t="shared" si="278"/>
        <v>5.0818993043640548E-3</v>
      </c>
      <c r="K296" s="3">
        <f t="shared" si="278"/>
        <v>7.6254843489822657E-11</v>
      </c>
      <c r="L296" s="3">
        <f t="shared" si="278"/>
        <v>4.4124644560348401E-89</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3.7657090393258541E-2</v>
      </c>
      <c r="C297" s="3">
        <f t="shared" si="279"/>
        <v>3.7657089781296511E-2</v>
      </c>
      <c r="D297" s="3">
        <f t="shared" si="279"/>
        <v>3.7657083661676707E-2</v>
      </c>
      <c r="E297" s="3">
        <f t="shared" si="279"/>
        <v>3.7657022465533381E-2</v>
      </c>
      <c r="F297" s="3">
        <f t="shared" si="279"/>
        <v>3.7656410509569832E-2</v>
      </c>
      <c r="G297" s="3">
        <f t="shared" si="279"/>
        <v>3.7650291496869506E-2</v>
      </c>
      <c r="H297" s="3">
        <f t="shared" si="279"/>
        <v>3.7589156030515151E-2</v>
      </c>
      <c r="I297" s="3">
        <f t="shared" si="279"/>
        <v>3.6983234707681313E-2</v>
      </c>
      <c r="J297" s="3">
        <f t="shared" si="279"/>
        <v>3.1436058057963491E-2</v>
      </c>
      <c r="K297" s="3">
        <f t="shared" si="279"/>
        <v>6.1895627064193571E-3</v>
      </c>
      <c r="L297" s="3">
        <f t="shared" si="279"/>
        <v>5.4197445410473791E-10</v>
      </c>
      <c r="M297" s="3">
        <f t="shared" si="279"/>
        <v>1.4360425602938293E-80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2.8120844592974155E-2</v>
      </c>
      <c r="C298" s="3">
        <f t="shared" si="280"/>
        <v>2.8120844551749912E-2</v>
      </c>
      <c r="D298" s="3">
        <f t="shared" si="280"/>
        <v>2.8120844139507502E-2</v>
      </c>
      <c r="E298" s="3">
        <f t="shared" si="280"/>
        <v>2.8120840017083717E-2</v>
      </c>
      <c r="F298" s="3">
        <f t="shared" si="280"/>
        <v>2.8120798792879109E-2</v>
      </c>
      <c r="G298" s="3">
        <f t="shared" si="280"/>
        <v>2.8120386554156825E-2</v>
      </c>
      <c r="H298" s="3">
        <f t="shared" si="280"/>
        <v>2.811626449929764E-2</v>
      </c>
      <c r="I298" s="3">
        <f t="shared" si="280"/>
        <v>2.807507716904897E-2</v>
      </c>
      <c r="J298" s="3">
        <f t="shared" si="280"/>
        <v>2.7666507753422352E-2</v>
      </c>
      <c r="K298" s="3">
        <f t="shared" si="280"/>
        <v>2.3893963048099352E-2</v>
      </c>
      <c r="L298" s="3">
        <f t="shared" si="280"/>
        <v>5.5160301802239424E-3</v>
      </c>
      <c r="M298" s="3">
        <f t="shared" si="280"/>
        <v>2.3714342796717119E-9</v>
      </c>
      <c r="N298" s="3">
        <f t="shared" si="280"/>
        <v>5.1151183971891032E-73</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2.7436977184477608E-2</v>
      </c>
      <c r="C299" s="3">
        <f t="shared" si="281"/>
        <v>2.7436977180849274E-2</v>
      </c>
      <c r="D299" s="3">
        <f t="shared" si="281"/>
        <v>2.743697714456594E-2</v>
      </c>
      <c r="E299" s="3">
        <f t="shared" si="281"/>
        <v>2.7436976781732618E-2</v>
      </c>
      <c r="F299" s="3">
        <f t="shared" si="281"/>
        <v>2.7436973153399678E-2</v>
      </c>
      <c r="G299" s="3">
        <f t="shared" si="281"/>
        <v>2.7436936870096663E-2</v>
      </c>
      <c r="H299" s="3">
        <f t="shared" si="281"/>
        <v>2.7436574039705498E-2</v>
      </c>
      <c r="I299" s="3">
        <f t="shared" si="281"/>
        <v>2.7432945999680342E-2</v>
      </c>
      <c r="J299" s="3">
        <f t="shared" si="281"/>
        <v>2.739669197517006E-2</v>
      </c>
      <c r="K299" s="3">
        <f t="shared" si="281"/>
        <v>2.7036776444147127E-2</v>
      </c>
      <c r="L299" s="3">
        <f t="shared" si="281"/>
        <v>2.3687691665912673E-2</v>
      </c>
      <c r="M299" s="3">
        <f t="shared" si="281"/>
        <v>6.312495106987252E-3</v>
      </c>
      <c r="N299" s="3">
        <f t="shared" si="281"/>
        <v>1.1402082676899804E-8</v>
      </c>
      <c r="O299" s="3">
        <f t="shared" si="281"/>
        <v>4.215173919699274E-66</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2.8525679875240233E-2</v>
      </c>
      <c r="C300" s="3">
        <f t="shared" si="282"/>
        <v>2.8525679874899939E-2</v>
      </c>
      <c r="D300" s="3">
        <f t="shared" si="282"/>
        <v>2.8525679871497005E-2</v>
      </c>
      <c r="E300" s="3">
        <f t="shared" si="282"/>
        <v>2.8525679837467666E-2</v>
      </c>
      <c r="F300" s="3">
        <f t="shared" si="282"/>
        <v>2.852567949717429E-2</v>
      </c>
      <c r="G300" s="3">
        <f t="shared" si="282"/>
        <v>2.8525676094240747E-2</v>
      </c>
      <c r="H300" s="3">
        <f t="shared" si="282"/>
        <v>2.8525642064927619E-2</v>
      </c>
      <c r="I300" s="3">
        <f t="shared" si="282"/>
        <v>2.8525301774029073E-2</v>
      </c>
      <c r="J300" s="3">
        <f t="shared" si="282"/>
        <v>2.8521899088304367E-2</v>
      </c>
      <c r="K300" s="3">
        <f t="shared" si="282"/>
        <v>2.8487894547281369E-2</v>
      </c>
      <c r="L300" s="3">
        <f t="shared" si="282"/>
        <v>2.8150070940724501E-2</v>
      </c>
      <c r="M300" s="3">
        <f t="shared" si="282"/>
        <v>2.4984513634975829E-2</v>
      </c>
      <c r="N300" s="3">
        <f t="shared" si="282"/>
        <v>7.5785297373566415E-3</v>
      </c>
      <c r="O300" s="3">
        <f t="shared" si="282"/>
        <v>4.9971864518722463E-8</v>
      </c>
      <c r="P300" s="3">
        <f t="shared" si="282"/>
        <v>7.7648219519210592E-60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2.775051445837292E-2</v>
      </c>
      <c r="C301" s="3">
        <f t="shared" si="283"/>
        <v>2.7750514458343055E-2</v>
      </c>
      <c r="D301" s="3">
        <f t="shared" si="283"/>
        <v>2.7750514458044426E-2</v>
      </c>
      <c r="E301" s="3">
        <f t="shared" si="283"/>
        <v>2.7750514455058113E-2</v>
      </c>
      <c r="F301" s="3">
        <f t="shared" si="283"/>
        <v>2.7750514425194998E-2</v>
      </c>
      <c r="G301" s="3">
        <f t="shared" si="283"/>
        <v>2.7750514126563836E-2</v>
      </c>
      <c r="H301" s="3">
        <f t="shared" si="283"/>
        <v>2.7750511140252405E-2</v>
      </c>
      <c r="I301" s="3">
        <f t="shared" si="283"/>
        <v>2.7750481277155768E-2</v>
      </c>
      <c r="J301" s="3">
        <f t="shared" si="283"/>
        <v>2.7750182647956895E-2</v>
      </c>
      <c r="K301" s="3">
        <f t="shared" si="283"/>
        <v>2.7747196532711349E-2</v>
      </c>
      <c r="L301" s="3">
        <f t="shared" si="283"/>
        <v>2.7717353047539542E-2</v>
      </c>
      <c r="M301" s="3">
        <f t="shared" si="283"/>
        <v>2.74206779098497E-2</v>
      </c>
      <c r="N301" s="3">
        <f t="shared" si="283"/>
        <v>2.4623088474092447E-2</v>
      </c>
      <c r="O301" s="3">
        <f t="shared" si="283"/>
        <v>8.394327454763463E-3</v>
      </c>
      <c r="P301" s="3">
        <f t="shared" si="283"/>
        <v>1.7799988312041979E-7</v>
      </c>
      <c r="Q301" s="3">
        <f t="shared" si="283"/>
        <v>3.27158209220842E-54</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2.6288987576301139E-2</v>
      </c>
      <c r="C302" s="3">
        <f t="shared" si="284"/>
        <v>2.6288987576298585E-2</v>
      </c>
      <c r="D302" s="3">
        <f t="shared" si="284"/>
        <v>2.6288987576273067E-2</v>
      </c>
      <c r="E302" s="3">
        <f t="shared" si="284"/>
        <v>2.6288987576017865E-2</v>
      </c>
      <c r="F302" s="3">
        <f t="shared" si="284"/>
        <v>2.6288987573465841E-2</v>
      </c>
      <c r="G302" s="3">
        <f t="shared" si="284"/>
        <v>2.6288987547945612E-2</v>
      </c>
      <c r="H302" s="3">
        <f t="shared" si="284"/>
        <v>2.6288987292743343E-2</v>
      </c>
      <c r="I302" s="3">
        <f t="shared" si="284"/>
        <v>2.628898474072076E-2</v>
      </c>
      <c r="J302" s="3">
        <f t="shared" si="284"/>
        <v>2.6288959220508577E-2</v>
      </c>
      <c r="K302" s="3">
        <f t="shared" si="284"/>
        <v>2.6288704019749302E-2</v>
      </c>
      <c r="L302" s="3">
        <f t="shared" si="284"/>
        <v>2.6286152148407835E-2</v>
      </c>
      <c r="M302" s="3">
        <f t="shared" si="284"/>
        <v>2.6260647055227983E-2</v>
      </c>
      <c r="N302" s="3">
        <f t="shared" si="284"/>
        <v>2.6006953267472547E-2</v>
      </c>
      <c r="O302" s="3">
        <f t="shared" si="284"/>
        <v>2.360097920429283E-2</v>
      </c>
      <c r="P302" s="3">
        <f t="shared" si="284"/>
        <v>8.9399578583266737E-3</v>
      </c>
      <c r="Q302" s="3">
        <f t="shared" si="284"/>
        <v>5.4373835056746641E-7</v>
      </c>
      <c r="R302" s="3">
        <f t="shared" si="284"/>
        <v>3.7664733922406412E-49</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3.6959544904792481E-2</v>
      </c>
      <c r="C303" s="3">
        <f t="shared" si="285"/>
        <v>3.6959544904792155E-2</v>
      </c>
      <c r="D303" s="3">
        <f t="shared" si="285"/>
        <v>3.6959544904788921E-2</v>
      </c>
      <c r="E303" s="3">
        <f t="shared" si="285"/>
        <v>3.6959544904756551E-2</v>
      </c>
      <c r="F303" s="3">
        <f t="shared" si="285"/>
        <v>3.6959544904432901E-2</v>
      </c>
      <c r="G303" s="3">
        <f t="shared" si="285"/>
        <v>3.6959544901196337E-2</v>
      </c>
      <c r="H303" s="3">
        <f t="shared" si="285"/>
        <v>3.695954486883072E-2</v>
      </c>
      <c r="I303" s="3">
        <f t="shared" si="285"/>
        <v>3.6959544545174562E-2</v>
      </c>
      <c r="J303" s="3">
        <f t="shared" si="285"/>
        <v>3.6959541308613085E-2</v>
      </c>
      <c r="K303" s="3">
        <f t="shared" si="285"/>
        <v>3.6959508943013947E-2</v>
      </c>
      <c r="L303" s="3">
        <f t="shared" si="285"/>
        <v>3.6959185288581421E-2</v>
      </c>
      <c r="M303" s="3">
        <f t="shared" si="285"/>
        <v>3.6955948900135378E-2</v>
      </c>
      <c r="N303" s="3">
        <f t="shared" si="285"/>
        <v>3.6923600598546831E-2</v>
      </c>
      <c r="O303" s="3">
        <f t="shared" si="285"/>
        <v>3.6601670832642909E-2</v>
      </c>
      <c r="P303" s="3">
        <f t="shared" si="285"/>
        <v>3.3532781200346175E-2</v>
      </c>
      <c r="Q303" s="3">
        <f t="shared" si="285"/>
        <v>1.396870730012186E-2</v>
      </c>
      <c r="R303" s="3">
        <f t="shared" si="285"/>
        <v>2.1979744402793968E-6</v>
      </c>
      <c r="S303" s="3">
        <f t="shared" si="285"/>
        <v>2.0449695392852714E-44</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5.8251521271899746E-2</v>
      </c>
      <c r="C304" s="3">
        <f t="shared" si="286"/>
        <v>5.8251521271899705E-2</v>
      </c>
      <c r="D304" s="3">
        <f t="shared" si="286"/>
        <v>5.825152127189924E-2</v>
      </c>
      <c r="E304" s="3">
        <f t="shared" si="286"/>
        <v>5.8251521271894639E-2</v>
      </c>
      <c r="F304" s="3">
        <f t="shared" si="286"/>
        <v>5.8251521271848621E-2</v>
      </c>
      <c r="G304" s="3">
        <f t="shared" si="286"/>
        <v>5.8251521271388461E-2</v>
      </c>
      <c r="H304" s="3">
        <f t="shared" si="286"/>
        <v>5.8251521266786836E-2</v>
      </c>
      <c r="I304" s="3">
        <f t="shared" si="286"/>
        <v>5.8251521220770597E-2</v>
      </c>
      <c r="J304" s="3">
        <f t="shared" si="286"/>
        <v>5.8251520760608196E-2</v>
      </c>
      <c r="K304" s="3">
        <f t="shared" si="286"/>
        <v>5.8251516158984405E-2</v>
      </c>
      <c r="L304" s="3">
        <f t="shared" si="286"/>
        <v>5.8251470142766458E-2</v>
      </c>
      <c r="M304" s="3">
        <f t="shared" si="286"/>
        <v>5.825100998258631E-2</v>
      </c>
      <c r="N304" s="3">
        <f t="shared" si="286"/>
        <v>5.8246408580708189E-2</v>
      </c>
      <c r="O304" s="3">
        <f t="shared" si="286"/>
        <v>5.8200414548422286E-2</v>
      </c>
      <c r="P304" s="3">
        <f t="shared" si="286"/>
        <v>5.7742467045679757E-2</v>
      </c>
      <c r="Q304" s="3">
        <f t="shared" si="286"/>
        <v>5.3356570364772066E-2</v>
      </c>
      <c r="R304" s="3">
        <f t="shared" si="286"/>
        <v>2.4216625100885864E-2</v>
      </c>
      <c r="S304" s="3">
        <f t="shared" si="286"/>
        <v>8.981952201669014E-6</v>
      </c>
      <c r="T304" s="3">
        <f t="shared" si="286"/>
        <v>4.42529218389597E-40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6.389288103223241E-2</v>
      </c>
      <c r="C305" s="3">
        <f t="shared" si="287"/>
        <v>6.3892881032232396E-2</v>
      </c>
      <c r="D305" s="3">
        <f t="shared" si="287"/>
        <v>6.3892881032232354E-2</v>
      </c>
      <c r="E305" s="3">
        <f t="shared" si="287"/>
        <v>6.389288103223191E-2</v>
      </c>
      <c r="F305" s="3">
        <f t="shared" si="287"/>
        <v>6.3892881032227358E-2</v>
      </c>
      <c r="G305" s="3">
        <f t="shared" si="287"/>
        <v>6.3892881032181825E-2</v>
      </c>
      <c r="H305" s="3">
        <f t="shared" si="287"/>
        <v>6.3892881031726509E-2</v>
      </c>
      <c r="I305" s="3">
        <f t="shared" si="287"/>
        <v>6.3892881027173457E-2</v>
      </c>
      <c r="J305" s="3">
        <f t="shared" si="287"/>
        <v>6.3892880981642905E-2</v>
      </c>
      <c r="K305" s="3">
        <f t="shared" si="287"/>
        <v>6.3892880526337389E-2</v>
      </c>
      <c r="L305" s="3">
        <f t="shared" si="287"/>
        <v>6.3892875973282318E-2</v>
      </c>
      <c r="M305" s="3">
        <f t="shared" si="287"/>
        <v>6.3892830442749501E-2</v>
      </c>
      <c r="N305" s="3">
        <f t="shared" si="287"/>
        <v>6.3892375139205773E-2</v>
      </c>
      <c r="O305" s="3">
        <f t="shared" si="287"/>
        <v>6.3887822282213208E-2</v>
      </c>
      <c r="P305" s="3">
        <f t="shared" si="287"/>
        <v>6.3842311552040454E-2</v>
      </c>
      <c r="Q305" s="3">
        <f t="shared" si="287"/>
        <v>6.3388983530850138E-2</v>
      </c>
      <c r="R305" s="3">
        <f t="shared" si="287"/>
        <v>5.9029028119675774E-2</v>
      </c>
      <c r="S305" s="3">
        <f t="shared" si="287"/>
        <v>2.8945701832111842E-2</v>
      </c>
      <c r="T305" s="3">
        <f t="shared" si="287"/>
        <v>2.3268511230510024E-5</v>
      </c>
      <c r="U305" s="3">
        <f t="shared" si="287"/>
        <v>2.6218855276134162E-36</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5.5851877003500798E-2</v>
      </c>
      <c r="C306" s="3">
        <f t="shared" si="288"/>
        <v>5.5851877003500798E-2</v>
      </c>
      <c r="D306" s="3">
        <f t="shared" si="288"/>
        <v>5.5851877003500791E-2</v>
      </c>
      <c r="E306" s="3">
        <f t="shared" si="288"/>
        <v>5.5851877003500763E-2</v>
      </c>
      <c r="F306" s="3">
        <f t="shared" si="288"/>
        <v>5.5851877003500403E-2</v>
      </c>
      <c r="G306" s="3">
        <f t="shared" si="288"/>
        <v>5.5851877003496808E-2</v>
      </c>
      <c r="H306" s="3">
        <f t="shared" si="288"/>
        <v>5.5851877003460906E-2</v>
      </c>
      <c r="I306" s="3">
        <f t="shared" si="288"/>
        <v>5.5851877003101867E-2</v>
      </c>
      <c r="J306" s="3">
        <f t="shared" si="288"/>
        <v>5.5851876999511538E-2</v>
      </c>
      <c r="K306" s="3">
        <f t="shared" si="288"/>
        <v>5.5851876963608202E-2</v>
      </c>
      <c r="L306" s="3">
        <f t="shared" si="288"/>
        <v>5.5851876604574836E-2</v>
      </c>
      <c r="M306" s="3">
        <f t="shared" si="288"/>
        <v>5.5851873014241285E-2</v>
      </c>
      <c r="N306" s="3">
        <f t="shared" si="288"/>
        <v>5.5851837110918512E-2</v>
      </c>
      <c r="O306" s="3">
        <f t="shared" si="288"/>
        <v>5.5851478078960147E-2</v>
      </c>
      <c r="P306" s="3">
        <f t="shared" si="288"/>
        <v>5.5847887886311981E-2</v>
      </c>
      <c r="Q306" s="3">
        <f t="shared" si="288"/>
        <v>5.5811998650360808E-2</v>
      </c>
      <c r="R306" s="3">
        <f t="shared" si="288"/>
        <v>5.5454372330669556E-2</v>
      </c>
      <c r="S306" s="3">
        <f t="shared" si="288"/>
        <v>5.2001752948375252E-2</v>
      </c>
      <c r="T306" s="3">
        <f t="shared" si="288"/>
        <v>2.7342604485169595E-2</v>
      </c>
      <c r="U306" s="3">
        <f t="shared" si="288"/>
        <v>4.4163028448975364E-5</v>
      </c>
      <c r="V306" s="3">
        <f t="shared" si="288"/>
        <v>5.3364017178133938E-33</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6.3492649829387265E-2</v>
      </c>
      <c r="C307" s="3">
        <f t="shared" si="289"/>
        <v>6.3492649829387265E-2</v>
      </c>
      <c r="D307" s="3">
        <f t="shared" si="289"/>
        <v>6.3492649829387265E-2</v>
      </c>
      <c r="E307" s="3">
        <f t="shared" si="289"/>
        <v>6.3492649829387252E-2</v>
      </c>
      <c r="F307" s="3">
        <f t="shared" si="289"/>
        <v>6.3492649829387224E-2</v>
      </c>
      <c r="G307" s="3">
        <f t="shared" si="289"/>
        <v>6.3492649829386863E-2</v>
      </c>
      <c r="H307" s="3">
        <f t="shared" si="289"/>
        <v>6.3492649829383171E-2</v>
      </c>
      <c r="I307" s="3">
        <f t="shared" si="289"/>
        <v>6.3492649829346354E-2</v>
      </c>
      <c r="J307" s="3">
        <f t="shared" si="289"/>
        <v>6.3492649828978176E-2</v>
      </c>
      <c r="K307" s="3">
        <f t="shared" si="289"/>
        <v>6.3492649825296316E-2</v>
      </c>
      <c r="L307" s="3">
        <f t="shared" si="289"/>
        <v>6.3492649788477726E-2</v>
      </c>
      <c r="M307" s="3">
        <f t="shared" si="289"/>
        <v>6.3492649420291883E-2</v>
      </c>
      <c r="N307" s="3">
        <f t="shared" si="289"/>
        <v>6.3492645738433592E-2</v>
      </c>
      <c r="O307" s="3">
        <f t="shared" si="289"/>
        <v>6.3492608919862428E-2</v>
      </c>
      <c r="P307" s="3">
        <f t="shared" si="289"/>
        <v>6.349224073532507E-2</v>
      </c>
      <c r="Q307" s="3">
        <f t="shared" si="289"/>
        <v>6.3488559007377127E-2</v>
      </c>
      <c r="R307" s="3">
        <f t="shared" si="289"/>
        <v>6.3451753467945779E-2</v>
      </c>
      <c r="S307" s="3">
        <f t="shared" si="289"/>
        <v>6.3084869563418036E-2</v>
      </c>
      <c r="T307" s="3">
        <f t="shared" si="289"/>
        <v>5.9530704479884768E-2</v>
      </c>
      <c r="U307" s="3">
        <f t="shared" si="289"/>
        <v>3.3334899290772324E-2</v>
      </c>
      <c r="V307" s="3">
        <f t="shared" si="289"/>
        <v>1.0103699046843455E-4</v>
      </c>
      <c r="W307" s="3">
        <f t="shared" si="289"/>
        <v>6.6113925521198573E-30</v>
      </c>
      <c r="X307" s="3">
        <f t="shared" si="289"/>
        <v>9.5152098276011303E-282</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2.3429910997179341E-2</v>
      </c>
      <c r="C308" s="3">
        <f t="shared" si="290"/>
        <v>2.3429910997179341E-2</v>
      </c>
      <c r="D308" s="3">
        <f t="shared" si="290"/>
        <v>2.3429910997179341E-2</v>
      </c>
      <c r="E308" s="3">
        <f t="shared" si="290"/>
        <v>2.3429910997179341E-2</v>
      </c>
      <c r="F308" s="3">
        <f t="shared" si="290"/>
        <v>2.3429910997179337E-2</v>
      </c>
      <c r="G308" s="3">
        <f t="shared" si="290"/>
        <v>2.3429910997179327E-2</v>
      </c>
      <c r="H308" s="3">
        <f t="shared" si="290"/>
        <v>2.3429910997179206E-2</v>
      </c>
      <c r="I308" s="3">
        <f t="shared" si="290"/>
        <v>2.3429910997177977E-2</v>
      </c>
      <c r="J308" s="3">
        <f t="shared" si="290"/>
        <v>2.3429910997165723E-2</v>
      </c>
      <c r="K308" s="3">
        <f t="shared" si="290"/>
        <v>2.3429910997043158E-2</v>
      </c>
      <c r="L308" s="3">
        <f t="shared" si="290"/>
        <v>2.3429910995817524E-2</v>
      </c>
      <c r="M308" s="3">
        <f t="shared" si="290"/>
        <v>2.3429910983561182E-2</v>
      </c>
      <c r="N308" s="3">
        <f t="shared" si="290"/>
        <v>2.3429910860997764E-2</v>
      </c>
      <c r="O308" s="3">
        <f t="shared" si="290"/>
        <v>2.3429909635363632E-2</v>
      </c>
      <c r="P308" s="3">
        <f t="shared" si="290"/>
        <v>2.3429897379025809E-2</v>
      </c>
      <c r="Q308" s="3">
        <f t="shared" si="290"/>
        <v>2.3429774816000195E-2</v>
      </c>
      <c r="R308" s="3">
        <f t="shared" si="290"/>
        <v>2.3428549221005877E-2</v>
      </c>
      <c r="S308" s="3">
        <f t="shared" si="290"/>
        <v>2.3416296796559922E-2</v>
      </c>
      <c r="T308" s="3">
        <f t="shared" si="290"/>
        <v>2.3294124420421516E-2</v>
      </c>
      <c r="U308" s="3">
        <f t="shared" si="290"/>
        <v>2.2106915876323508E-2</v>
      </c>
      <c r="V308" s="3">
        <f t="shared" si="290"/>
        <v>1.3102248633765969E-2</v>
      </c>
      <c r="W308" s="3">
        <f t="shared" si="290"/>
        <v>7.006846696242994E-5</v>
      </c>
      <c r="X308" s="3">
        <f t="shared" si="290"/>
        <v>1.340572809362319E-27</v>
      </c>
      <c r="Y308" s="3">
        <f t="shared" si="290"/>
        <v>8.8098459528758212E-255</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6.1780961618441606E-2</v>
      </c>
      <c r="C309" s="3">
        <f t="shared" si="291"/>
        <v>6.1780961618441606E-2</v>
      </c>
      <c r="D309" s="3">
        <f t="shared" si="291"/>
        <v>6.1780961618441606E-2</v>
      </c>
      <c r="E309" s="3">
        <f t="shared" si="291"/>
        <v>6.1780961618441606E-2</v>
      </c>
      <c r="F309" s="3">
        <f t="shared" si="291"/>
        <v>6.1780961618441606E-2</v>
      </c>
      <c r="G309" s="3">
        <f t="shared" si="291"/>
        <v>6.1780961618441599E-2</v>
      </c>
      <c r="H309" s="3">
        <f t="shared" si="291"/>
        <v>6.1780961618441509E-2</v>
      </c>
      <c r="I309" s="3">
        <f t="shared" si="291"/>
        <v>6.1780961618440614E-2</v>
      </c>
      <c r="J309" s="3">
        <f t="shared" si="291"/>
        <v>6.1780961618431676E-2</v>
      </c>
      <c r="K309" s="3">
        <f t="shared" si="291"/>
        <v>6.1780961618342296E-2</v>
      </c>
      <c r="L309" s="3">
        <f t="shared" si="291"/>
        <v>6.1780961617448456E-2</v>
      </c>
      <c r="M309" s="3">
        <f t="shared" si="291"/>
        <v>6.1780961608510099E-2</v>
      </c>
      <c r="N309" s="3">
        <f t="shared" si="291"/>
        <v>6.1780961519126515E-2</v>
      </c>
      <c r="O309" s="3">
        <f t="shared" si="291"/>
        <v>6.1780960625290718E-2</v>
      </c>
      <c r="P309" s="3">
        <f t="shared" si="291"/>
        <v>6.1780951686933434E-2</v>
      </c>
      <c r="Q309" s="3">
        <f t="shared" si="291"/>
        <v>6.1780862303431751E-2</v>
      </c>
      <c r="R309" s="3">
        <f t="shared" si="291"/>
        <v>6.1779968475527386E-2</v>
      </c>
      <c r="S309" s="3">
        <f t="shared" si="291"/>
        <v>6.177103090769348E-2</v>
      </c>
      <c r="T309" s="3">
        <f t="shared" si="291"/>
        <v>6.1681726312270813E-2</v>
      </c>
      <c r="U309" s="3">
        <f t="shared" si="291"/>
        <v>6.0795750745143158E-2</v>
      </c>
      <c r="V309" s="3">
        <f t="shared" si="291"/>
        <v>5.2606606016032273E-2</v>
      </c>
      <c r="W309" s="3">
        <f t="shared" si="291"/>
        <v>1.237972114026342E-2</v>
      </c>
      <c r="X309" s="3">
        <f t="shared" si="291"/>
        <v>6.4478755510389778E-9</v>
      </c>
      <c r="Y309" s="3">
        <f t="shared" si="291"/>
        <v>9.4727154645497998E-72</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4.2169062984942343E-2</v>
      </c>
      <c r="C310" s="3">
        <f t="shared" si="292"/>
        <v>4.2169062984942343E-2</v>
      </c>
      <c r="D310" s="3">
        <f t="shared" si="292"/>
        <v>4.2169062984942343E-2</v>
      </c>
      <c r="E310" s="3">
        <f t="shared" si="292"/>
        <v>4.2169062984942343E-2</v>
      </c>
      <c r="F310" s="3">
        <f t="shared" si="292"/>
        <v>4.2169062984942343E-2</v>
      </c>
      <c r="G310" s="3">
        <f t="shared" si="292"/>
        <v>4.2169062984942343E-2</v>
      </c>
      <c r="H310" s="3">
        <f t="shared" si="292"/>
        <v>4.2169062984942336E-2</v>
      </c>
      <c r="I310" s="3">
        <f t="shared" si="292"/>
        <v>4.2169062984942281E-2</v>
      </c>
      <c r="J310" s="3">
        <f t="shared" si="292"/>
        <v>4.2169062984941663E-2</v>
      </c>
      <c r="K310" s="3">
        <f t="shared" si="292"/>
        <v>4.2169062984935564E-2</v>
      </c>
      <c r="L310" s="3">
        <f t="shared" si="292"/>
        <v>4.2169062984874557E-2</v>
      </c>
      <c r="M310" s="3">
        <f t="shared" si="292"/>
        <v>4.2169062984264462E-2</v>
      </c>
      <c r="N310" s="3">
        <f t="shared" si="292"/>
        <v>4.2169062978163516E-2</v>
      </c>
      <c r="O310" s="3">
        <f t="shared" si="292"/>
        <v>4.2169062917154075E-2</v>
      </c>
      <c r="P310" s="3">
        <f t="shared" si="292"/>
        <v>4.216906230705969E-2</v>
      </c>
      <c r="Q310" s="3">
        <f t="shared" si="292"/>
        <v>4.2169056206116266E-2</v>
      </c>
      <c r="R310" s="3">
        <f t="shared" si="292"/>
        <v>4.2168995196730633E-2</v>
      </c>
      <c r="S310" s="3">
        <f t="shared" si="292"/>
        <v>4.2168385107728946E-2</v>
      </c>
      <c r="T310" s="3">
        <f t="shared" si="292"/>
        <v>4.2162284703153703E-2</v>
      </c>
      <c r="U310" s="3">
        <f t="shared" si="292"/>
        <v>4.2101329175583874E-2</v>
      </c>
      <c r="V310" s="3">
        <f t="shared" si="292"/>
        <v>4.1496599846117213E-2</v>
      </c>
      <c r="W310" s="3">
        <f t="shared" si="292"/>
        <v>3.5907037126012106E-2</v>
      </c>
      <c r="X310" s="3">
        <f t="shared" si="292"/>
        <v>8.4498723688360526E-3</v>
      </c>
      <c r="Y310" s="3">
        <f t="shared" si="292"/>
        <v>4.401046262602525E-9</v>
      </c>
      <c r="Z310" s="3">
        <f t="shared" si="292"/>
        <v>6.4656736411788144E-72</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3.8068907608639936E-2</v>
      </c>
      <c r="C311" s="3">
        <f t="shared" si="293"/>
        <v>3.8068907608639936E-2</v>
      </c>
      <c r="D311" s="3">
        <f t="shared" si="293"/>
        <v>3.8068907608639936E-2</v>
      </c>
      <c r="E311" s="3">
        <f t="shared" si="293"/>
        <v>3.8068907608639936E-2</v>
      </c>
      <c r="F311" s="3">
        <f t="shared" si="293"/>
        <v>3.8068907608639936E-2</v>
      </c>
      <c r="G311" s="3">
        <f t="shared" si="293"/>
        <v>3.8068907608639936E-2</v>
      </c>
      <c r="H311" s="3">
        <f t="shared" si="293"/>
        <v>3.8068907608639936E-2</v>
      </c>
      <c r="I311" s="3">
        <f t="shared" si="293"/>
        <v>3.8068907608639929E-2</v>
      </c>
      <c r="J311" s="3">
        <f t="shared" si="293"/>
        <v>3.8068907608639874E-2</v>
      </c>
      <c r="K311" s="3">
        <f t="shared" si="293"/>
        <v>3.8068907608639325E-2</v>
      </c>
      <c r="L311" s="3">
        <f t="shared" si="293"/>
        <v>3.8068907608633816E-2</v>
      </c>
      <c r="M311" s="3">
        <f t="shared" si="293"/>
        <v>3.8068907608578742E-2</v>
      </c>
      <c r="N311" s="3">
        <f t="shared" si="293"/>
        <v>3.8068907608027967E-2</v>
      </c>
      <c r="O311" s="3">
        <f t="shared" si="293"/>
        <v>3.8068907602520227E-2</v>
      </c>
      <c r="P311" s="3">
        <f t="shared" si="293"/>
        <v>3.8068907547442812E-2</v>
      </c>
      <c r="Q311" s="3">
        <f t="shared" si="293"/>
        <v>3.8068906996668733E-2</v>
      </c>
      <c r="R311" s="3">
        <f t="shared" si="293"/>
        <v>3.8068901488928344E-2</v>
      </c>
      <c r="S311" s="3">
        <f t="shared" si="293"/>
        <v>3.8068846411568297E-2</v>
      </c>
      <c r="T311" s="3">
        <f t="shared" si="293"/>
        <v>3.8068295642350432E-2</v>
      </c>
      <c r="U311" s="3">
        <f t="shared" si="293"/>
        <v>3.8062788388413274E-2</v>
      </c>
      <c r="V311" s="3">
        <f t="shared" si="293"/>
        <v>3.8007759649735337E-2</v>
      </c>
      <c r="W311" s="3">
        <f t="shared" si="293"/>
        <v>3.7461828975868534E-2</v>
      </c>
      <c r="X311" s="3">
        <f t="shared" si="293"/>
        <v>3.2415747045132684E-2</v>
      </c>
      <c r="Y311" s="3">
        <f t="shared" si="293"/>
        <v>7.62827978010522E-3</v>
      </c>
      <c r="Z311" s="3">
        <f t="shared" si="293"/>
        <v>3.9731265456904172E-9</v>
      </c>
      <c r="AA311" s="3">
        <f t="shared" si="293"/>
        <v>5.837007394770581E-72</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1.8061881630202923E-2</v>
      </c>
      <c r="C312" s="3">
        <f t="shared" si="294"/>
        <v>1.8061881630202923E-2</v>
      </c>
      <c r="D312" s="3">
        <f t="shared" si="294"/>
        <v>1.8061881630202923E-2</v>
      </c>
      <c r="E312" s="3">
        <f t="shared" si="294"/>
        <v>1.8061881630202923E-2</v>
      </c>
      <c r="F312" s="3">
        <f t="shared" si="294"/>
        <v>1.8061881630202923E-2</v>
      </c>
      <c r="G312" s="3">
        <f t="shared" si="294"/>
        <v>1.8061881630202923E-2</v>
      </c>
      <c r="H312" s="3">
        <f t="shared" si="294"/>
        <v>1.8061881630202923E-2</v>
      </c>
      <c r="I312" s="3">
        <f t="shared" si="294"/>
        <v>1.8061881630202923E-2</v>
      </c>
      <c r="J312" s="3">
        <f t="shared" si="294"/>
        <v>1.8061881630202919E-2</v>
      </c>
      <c r="K312" s="3">
        <f t="shared" si="294"/>
        <v>1.8061881630202895E-2</v>
      </c>
      <c r="L312" s="3">
        <f t="shared" si="294"/>
        <v>1.8061881630202632E-2</v>
      </c>
      <c r="M312" s="3">
        <f t="shared" si="294"/>
        <v>1.8061881630200019E-2</v>
      </c>
      <c r="N312" s="3">
        <f t="shared" si="294"/>
        <v>1.8061881630173887E-2</v>
      </c>
      <c r="O312" s="3">
        <f t="shared" si="294"/>
        <v>1.8061881629912572E-2</v>
      </c>
      <c r="P312" s="3">
        <f t="shared" si="294"/>
        <v>1.8061881627299412E-2</v>
      </c>
      <c r="Q312" s="3">
        <f t="shared" si="294"/>
        <v>1.8061881601167805E-2</v>
      </c>
      <c r="R312" s="3">
        <f t="shared" si="294"/>
        <v>1.8061881339851767E-2</v>
      </c>
      <c r="S312" s="3">
        <f t="shared" si="294"/>
        <v>1.8061878726691544E-2</v>
      </c>
      <c r="T312" s="3">
        <f t="shared" si="294"/>
        <v>1.8061852595110152E-2</v>
      </c>
      <c r="U312" s="3">
        <f t="shared" si="294"/>
        <v>1.8061591281375574E-2</v>
      </c>
      <c r="V312" s="3">
        <f t="shared" si="294"/>
        <v>1.8058978351954452E-2</v>
      </c>
      <c r="W312" s="3">
        <f t="shared" si="294"/>
        <v>1.8032869839084108E-2</v>
      </c>
      <c r="X312" s="3">
        <f t="shared" si="294"/>
        <v>1.7773851762940485E-2</v>
      </c>
      <c r="Y312" s="3">
        <f t="shared" si="294"/>
        <v>1.5379726471345001E-2</v>
      </c>
      <c r="Z312" s="3">
        <f t="shared" si="294"/>
        <v>3.6192550583999616E-3</v>
      </c>
      <c r="AA312" s="3">
        <f t="shared" si="294"/>
        <v>1.8850591172148729E-9</v>
      </c>
      <c r="AB312" s="3">
        <f t="shared" si="294"/>
        <v>2.769381714936262E-72</v>
      </c>
      <c r="AC312" s="3">
        <f t="shared" si="294"/>
        <v>0</v>
      </c>
      <c r="AD312" s="3">
        <f t="shared" si="294"/>
        <v>0</v>
      </c>
      <c r="AE312" s="3">
        <f t="shared" si="294"/>
        <v>0</v>
      </c>
      <c r="AF312" s="3">
        <f t="shared" si="294"/>
        <v>0</v>
      </c>
      <c r="AG312" s="3"/>
      <c r="AH312" s="3"/>
    </row>
    <row r="313" spans="1:34" x14ac:dyDescent="0.25">
      <c r="B313" s="3">
        <f t="shared" ref="B313:AF313" si="295">$C43*EXP(-B$285/$A43/EXP(-$F$126))</f>
        <v>1.0233436786589783E-2</v>
      </c>
      <c r="C313" s="3">
        <f t="shared" si="295"/>
        <v>1.0233436786589783E-2</v>
      </c>
      <c r="D313" s="3">
        <f t="shared" si="295"/>
        <v>1.0233436786589783E-2</v>
      </c>
      <c r="E313" s="3">
        <f t="shared" si="295"/>
        <v>1.0233436786589783E-2</v>
      </c>
      <c r="F313" s="3">
        <f t="shared" si="295"/>
        <v>1.0233436786589783E-2</v>
      </c>
      <c r="G313" s="3">
        <f t="shared" si="295"/>
        <v>1.0233436786589783E-2</v>
      </c>
      <c r="H313" s="3">
        <f t="shared" si="295"/>
        <v>1.0233436786589783E-2</v>
      </c>
      <c r="I313" s="3">
        <f t="shared" si="295"/>
        <v>1.0233436786589783E-2</v>
      </c>
      <c r="J313" s="3">
        <f t="shared" si="295"/>
        <v>1.0233436786589783E-2</v>
      </c>
      <c r="K313" s="3">
        <f t="shared" si="295"/>
        <v>1.0233436786589781E-2</v>
      </c>
      <c r="L313" s="3">
        <f t="shared" si="295"/>
        <v>1.0233436786589768E-2</v>
      </c>
      <c r="M313" s="3">
        <f t="shared" si="295"/>
        <v>1.0233436786589618E-2</v>
      </c>
      <c r="N313" s="3">
        <f t="shared" si="295"/>
        <v>1.0233436786588139E-2</v>
      </c>
      <c r="O313" s="3">
        <f t="shared" si="295"/>
        <v>1.0233436786573333E-2</v>
      </c>
      <c r="P313" s="3">
        <f t="shared" si="295"/>
        <v>1.0233436786425278E-2</v>
      </c>
      <c r="Q313" s="3">
        <f t="shared" si="295"/>
        <v>1.0233436784944722E-2</v>
      </c>
      <c r="R313" s="3">
        <f t="shared" si="295"/>
        <v>1.023343677013917E-2</v>
      </c>
      <c r="S313" s="3">
        <f t="shared" si="295"/>
        <v>1.0233436622083654E-2</v>
      </c>
      <c r="T313" s="3">
        <f t="shared" si="295"/>
        <v>1.0233435141528613E-2</v>
      </c>
      <c r="U313" s="3">
        <f t="shared" si="295"/>
        <v>1.0233420335989975E-2</v>
      </c>
      <c r="V313" s="3">
        <f t="shared" si="295"/>
        <v>1.0233272281781725E-2</v>
      </c>
      <c r="W313" s="3">
        <f t="shared" si="295"/>
        <v>1.0231791857504438E-2</v>
      </c>
      <c r="X313" s="3">
        <f t="shared" si="295"/>
        <v>1.0216999388949899E-2</v>
      </c>
      <c r="Y313" s="3">
        <f t="shared" si="295"/>
        <v>1.0070245846707244E-2</v>
      </c>
      <c r="Z313" s="3">
        <f t="shared" si="295"/>
        <v>8.7137908365188636E-3</v>
      </c>
      <c r="AA313" s="3">
        <f t="shared" si="295"/>
        <v>2.0505846850832898E-3</v>
      </c>
      <c r="AB313" s="3">
        <f t="shared" si="295"/>
        <v>1.0680301039480577E-9</v>
      </c>
      <c r="AC313" s="3">
        <f t="shared" si="295"/>
        <v>1.5690664626185708E-72</v>
      </c>
      <c r="AD313" s="3">
        <f t="shared" si="295"/>
        <v>0</v>
      </c>
      <c r="AE313" s="3">
        <f t="shared" si="295"/>
        <v>0</v>
      </c>
      <c r="AF313" s="3">
        <f t="shared" si="295"/>
        <v>0</v>
      </c>
      <c r="AG313" s="3"/>
      <c r="AH313" s="3"/>
    </row>
    <row r="314" spans="1:34" x14ac:dyDescent="0.25">
      <c r="B314" s="3">
        <f t="shared" ref="B314:AF314" si="296">$C44*EXP(-B$285/$A44/EXP(-$F$126))</f>
        <v>4.802496116573597E-3</v>
      </c>
      <c r="C314" s="3">
        <f t="shared" si="296"/>
        <v>4.802496116573597E-3</v>
      </c>
      <c r="D314" s="3">
        <f t="shared" si="296"/>
        <v>4.802496116573597E-3</v>
      </c>
      <c r="E314" s="3">
        <f t="shared" si="296"/>
        <v>4.802496116573597E-3</v>
      </c>
      <c r="F314" s="3">
        <f t="shared" si="296"/>
        <v>4.802496116573597E-3</v>
      </c>
      <c r="G314" s="3">
        <f t="shared" si="296"/>
        <v>4.802496116573597E-3</v>
      </c>
      <c r="H314" s="3">
        <f t="shared" si="296"/>
        <v>4.802496116573597E-3</v>
      </c>
      <c r="I314" s="3">
        <f t="shared" si="296"/>
        <v>4.802496116573597E-3</v>
      </c>
      <c r="J314" s="3">
        <f t="shared" si="296"/>
        <v>4.802496116573597E-3</v>
      </c>
      <c r="K314" s="3">
        <f t="shared" si="296"/>
        <v>4.802496116573597E-3</v>
      </c>
      <c r="L314" s="3">
        <f t="shared" si="296"/>
        <v>4.8024961165735961E-3</v>
      </c>
      <c r="M314" s="3">
        <f t="shared" si="296"/>
        <v>4.8024961165735892E-3</v>
      </c>
      <c r="N314" s="3">
        <f t="shared" si="296"/>
        <v>4.8024961165735198E-3</v>
      </c>
      <c r="O314" s="3">
        <f t="shared" si="296"/>
        <v>4.802496116572825E-3</v>
      </c>
      <c r="P314" s="3">
        <f t="shared" si="296"/>
        <v>4.8024961165658766E-3</v>
      </c>
      <c r="Q314" s="3">
        <f t="shared" si="296"/>
        <v>4.8024961164963948E-3</v>
      </c>
      <c r="R314" s="3">
        <f t="shared" si="296"/>
        <v>4.8024961158015791E-3</v>
      </c>
      <c r="S314" s="3">
        <f t="shared" si="296"/>
        <v>4.802496108853414E-3</v>
      </c>
      <c r="T314" s="3">
        <f t="shared" si="296"/>
        <v>4.802496039371767E-3</v>
      </c>
      <c r="U314" s="3">
        <f t="shared" si="296"/>
        <v>4.8024953445553542E-3</v>
      </c>
      <c r="V314" s="3">
        <f t="shared" si="296"/>
        <v>4.8024883963967554E-3</v>
      </c>
      <c r="W314" s="3">
        <f t="shared" si="296"/>
        <v>4.8024189153636487E-3</v>
      </c>
      <c r="X314" s="3">
        <f t="shared" si="296"/>
        <v>4.8017241603179267E-3</v>
      </c>
      <c r="Y314" s="3">
        <f t="shared" si="296"/>
        <v>4.7947821354372144E-3</v>
      </c>
      <c r="Z314" s="3">
        <f t="shared" si="296"/>
        <v>4.7259114977998822E-3</v>
      </c>
      <c r="AA314" s="3">
        <f t="shared" si="296"/>
        <v>4.0893345535544124E-3</v>
      </c>
      <c r="AB314" s="3">
        <f t="shared" si="296"/>
        <v>9.6232821799640395E-4</v>
      </c>
      <c r="AC314" s="3">
        <f t="shared" si="296"/>
        <v>5.0122070752571803E-10</v>
      </c>
      <c r="AD314" s="3">
        <f t="shared" si="296"/>
        <v>7.3635434023946177E-73</v>
      </c>
      <c r="AE314" s="3">
        <f t="shared" si="296"/>
        <v>0</v>
      </c>
      <c r="AF314" s="3">
        <f t="shared" si="296"/>
        <v>0</v>
      </c>
      <c r="AG314" s="3"/>
      <c r="AH314" s="3"/>
    </row>
    <row r="315" spans="1:34" x14ac:dyDescent="0.25">
      <c r="B315" s="3">
        <f t="shared" ref="B315:AF315" si="297">$C45*EXP(-B$285/$A45/EXP(-$F$126))</f>
        <v>2.5220120484412234E-3</v>
      </c>
      <c r="C315" s="3">
        <f t="shared" si="297"/>
        <v>2.5220120484412234E-3</v>
      </c>
      <c r="D315" s="3">
        <f t="shared" si="297"/>
        <v>2.5220120484412234E-3</v>
      </c>
      <c r="E315" s="3">
        <f t="shared" si="297"/>
        <v>2.5220120484412234E-3</v>
      </c>
      <c r="F315" s="3">
        <f t="shared" si="297"/>
        <v>2.5220120484412234E-3</v>
      </c>
      <c r="G315" s="3">
        <f t="shared" si="297"/>
        <v>2.5220120484412234E-3</v>
      </c>
      <c r="H315" s="3">
        <f t="shared" si="297"/>
        <v>2.5220120484412234E-3</v>
      </c>
      <c r="I315" s="3">
        <f t="shared" si="297"/>
        <v>2.5220120484412234E-3</v>
      </c>
      <c r="J315" s="3">
        <f t="shared" si="297"/>
        <v>2.5220120484412234E-3</v>
      </c>
      <c r="K315" s="3">
        <f t="shared" si="297"/>
        <v>2.5220120484412234E-3</v>
      </c>
      <c r="L315" s="3">
        <f t="shared" si="297"/>
        <v>2.5220120484412234E-3</v>
      </c>
      <c r="M315" s="3">
        <f t="shared" si="297"/>
        <v>2.5220120484412229E-3</v>
      </c>
      <c r="N315" s="3">
        <f t="shared" si="297"/>
        <v>2.5220120484412195E-3</v>
      </c>
      <c r="O315" s="3">
        <f t="shared" si="297"/>
        <v>2.5220120484411826E-3</v>
      </c>
      <c r="P315" s="3">
        <f t="shared" si="297"/>
        <v>2.5220120484408179E-3</v>
      </c>
      <c r="Q315" s="3">
        <f t="shared" si="297"/>
        <v>2.5220120484371693E-3</v>
      </c>
      <c r="R315" s="3">
        <f t="shared" si="297"/>
        <v>2.5220120484006812E-3</v>
      </c>
      <c r="S315" s="3">
        <f t="shared" si="297"/>
        <v>2.5220120480358012E-3</v>
      </c>
      <c r="T315" s="3">
        <f t="shared" si="297"/>
        <v>2.5220120443869994E-3</v>
      </c>
      <c r="U315" s="3">
        <f t="shared" si="297"/>
        <v>2.5220120078989845E-3</v>
      </c>
      <c r="V315" s="3">
        <f t="shared" si="297"/>
        <v>2.5220116430188632E-3</v>
      </c>
      <c r="W315" s="3">
        <f t="shared" si="297"/>
        <v>2.5220079942205559E-3</v>
      </c>
      <c r="X315" s="3">
        <f t="shared" si="297"/>
        <v>2.5219715065278271E-3</v>
      </c>
      <c r="Y315" s="3">
        <f t="shared" si="297"/>
        <v>2.5216066586334208E-3</v>
      </c>
      <c r="Z315" s="3">
        <f t="shared" si="297"/>
        <v>2.5179610814242454E-3</v>
      </c>
      <c r="AA315" s="3">
        <f t="shared" si="297"/>
        <v>2.4817939354882471E-3</v>
      </c>
      <c r="AB315" s="3">
        <f t="shared" si="297"/>
        <v>2.1474980434819037E-3</v>
      </c>
      <c r="AC315" s="3">
        <f t="shared" si="297"/>
        <v>5.0536289909037548E-4</v>
      </c>
      <c r="AD315" s="3">
        <f t="shared" si="297"/>
        <v>2.6321409380128202E-10</v>
      </c>
      <c r="AE315" s="3">
        <f t="shared" si="297"/>
        <v>3.8669360118730891E-73</v>
      </c>
      <c r="AF315" s="3">
        <f t="shared" si="297"/>
        <v>0</v>
      </c>
      <c r="AG315" s="3"/>
      <c r="AH315" s="3"/>
    </row>
    <row r="316" spans="1:34" x14ac:dyDescent="0.25">
      <c r="B316" s="3">
        <f t="shared" ref="B316:AF316" si="298">$C46*EXP(-B$285/$A46/EXP(-$F$126))</f>
        <v>2.1848474936022057E-3</v>
      </c>
      <c r="C316" s="3">
        <f t="shared" si="298"/>
        <v>2.1848474936022057E-3</v>
      </c>
      <c r="D316" s="3">
        <f t="shared" si="298"/>
        <v>2.1848474936022057E-3</v>
      </c>
      <c r="E316" s="3">
        <f t="shared" si="298"/>
        <v>2.1848474936022057E-3</v>
      </c>
      <c r="F316" s="3">
        <f t="shared" si="298"/>
        <v>2.1848474936022057E-3</v>
      </c>
      <c r="G316" s="3">
        <f t="shared" si="298"/>
        <v>2.1848474936022057E-3</v>
      </c>
      <c r="H316" s="3">
        <f t="shared" si="298"/>
        <v>2.1848474936022057E-3</v>
      </c>
      <c r="I316" s="3">
        <f t="shared" si="298"/>
        <v>2.1848474936022057E-3</v>
      </c>
      <c r="J316" s="3">
        <f t="shared" si="298"/>
        <v>2.1848474936022057E-3</v>
      </c>
      <c r="K316" s="3">
        <f t="shared" si="298"/>
        <v>2.1848474936022057E-3</v>
      </c>
      <c r="L316" s="3">
        <f t="shared" si="298"/>
        <v>2.1848474936022057E-3</v>
      </c>
      <c r="M316" s="3">
        <f t="shared" si="298"/>
        <v>2.1848474936022057E-3</v>
      </c>
      <c r="N316" s="3">
        <f t="shared" si="298"/>
        <v>2.1848474936022053E-3</v>
      </c>
      <c r="O316" s="3">
        <f t="shared" si="298"/>
        <v>2.1848474936022023E-3</v>
      </c>
      <c r="P316" s="3">
        <f t="shared" si="298"/>
        <v>2.1848474936021706E-3</v>
      </c>
      <c r="Q316" s="3">
        <f t="shared" si="298"/>
        <v>2.1848474936018544E-3</v>
      </c>
      <c r="R316" s="3">
        <f t="shared" si="298"/>
        <v>2.1848474935986938E-3</v>
      </c>
      <c r="S316" s="3">
        <f t="shared" si="298"/>
        <v>2.1848474935670836E-3</v>
      </c>
      <c r="T316" s="3">
        <f t="shared" si="298"/>
        <v>2.1848474932509836E-3</v>
      </c>
      <c r="U316" s="3">
        <f t="shared" si="298"/>
        <v>2.1848474900899857E-3</v>
      </c>
      <c r="V316" s="3">
        <f t="shared" si="298"/>
        <v>2.1848474584800067E-3</v>
      </c>
      <c r="W316" s="3">
        <f t="shared" si="298"/>
        <v>2.184847142380241E-3</v>
      </c>
      <c r="X316" s="3">
        <f t="shared" si="298"/>
        <v>2.1848439813850974E-3</v>
      </c>
      <c r="Y316" s="3">
        <f t="shared" si="298"/>
        <v>2.1848123716851934E-3</v>
      </c>
      <c r="Z316" s="3">
        <f t="shared" si="298"/>
        <v>2.1844962998376649E-3</v>
      </c>
      <c r="AA316" s="3">
        <f t="shared" si="298"/>
        <v>2.1813380951680545E-3</v>
      </c>
      <c r="AB316" s="3">
        <f t="shared" si="298"/>
        <v>2.1500060885672732E-3</v>
      </c>
      <c r="AC316" s="3">
        <f t="shared" si="298"/>
        <v>1.8604017854383483E-3</v>
      </c>
      <c r="AD316" s="3">
        <f t="shared" si="298"/>
        <v>4.3780158152677588E-4</v>
      </c>
      <c r="AE316" s="3">
        <f t="shared" si="298"/>
        <v>2.2802533932300107E-10</v>
      </c>
      <c r="AF316" s="3">
        <f t="shared" si="298"/>
        <v>3.3499702979939704E-73</v>
      </c>
      <c r="AG316" s="3"/>
      <c r="AH316" s="3"/>
    </row>
    <row r="317" spans="1:34" x14ac:dyDescent="0.25">
      <c r="B317" s="3">
        <f t="shared" ref="B317:AF317" si="299">$C47*EXP(-B$285/$A47/EXP(-$F$126))</f>
        <v>3.6320293099179269E-4</v>
      </c>
      <c r="C317" s="3">
        <f t="shared" si="299"/>
        <v>3.6320293099179269E-4</v>
      </c>
      <c r="D317" s="3">
        <f t="shared" si="299"/>
        <v>3.6320293099179269E-4</v>
      </c>
      <c r="E317" s="3">
        <f t="shared" si="299"/>
        <v>3.6320293099179269E-4</v>
      </c>
      <c r="F317" s="3">
        <f t="shared" si="299"/>
        <v>3.6320293099179269E-4</v>
      </c>
      <c r="G317" s="3">
        <f t="shared" si="299"/>
        <v>3.6320293099179269E-4</v>
      </c>
      <c r="H317" s="3">
        <f t="shared" si="299"/>
        <v>3.6320293099179269E-4</v>
      </c>
      <c r="I317" s="3">
        <f t="shared" si="299"/>
        <v>3.6320293099179269E-4</v>
      </c>
      <c r="J317" s="3">
        <f t="shared" si="299"/>
        <v>3.6320293099179269E-4</v>
      </c>
      <c r="K317" s="3">
        <f t="shared" si="299"/>
        <v>3.6320293099179269E-4</v>
      </c>
      <c r="L317" s="3">
        <f t="shared" si="299"/>
        <v>3.6320293099179269E-4</v>
      </c>
      <c r="M317" s="3">
        <f t="shared" si="299"/>
        <v>3.6320293099179269E-4</v>
      </c>
      <c r="N317" s="3">
        <f t="shared" si="299"/>
        <v>3.6320293099179269E-4</v>
      </c>
      <c r="O317" s="3">
        <f t="shared" si="299"/>
        <v>3.6320293099179263E-4</v>
      </c>
      <c r="P317" s="3">
        <f t="shared" si="299"/>
        <v>3.6320293099179215E-4</v>
      </c>
      <c r="Q317" s="3">
        <f t="shared" si="299"/>
        <v>3.6320293099178683E-4</v>
      </c>
      <c r="R317" s="3">
        <f t="shared" si="299"/>
        <v>3.632029309917343E-4</v>
      </c>
      <c r="S317" s="3">
        <f t="shared" si="299"/>
        <v>3.6320293099120884E-4</v>
      </c>
      <c r="T317" s="3">
        <f t="shared" si="299"/>
        <v>3.6320293098595404E-4</v>
      </c>
      <c r="U317" s="3">
        <f t="shared" si="299"/>
        <v>3.6320293093340656E-4</v>
      </c>
      <c r="V317" s="3">
        <f t="shared" si="299"/>
        <v>3.6320293040793106E-4</v>
      </c>
      <c r="W317" s="3">
        <f t="shared" si="299"/>
        <v>3.6320292515317664E-4</v>
      </c>
      <c r="X317" s="3">
        <f t="shared" si="299"/>
        <v>3.6320287260563648E-4</v>
      </c>
      <c r="Y317" s="3">
        <f t="shared" si="299"/>
        <v>3.6320234713065286E-4</v>
      </c>
      <c r="Z317" s="3">
        <f t="shared" si="299"/>
        <v>3.6319709242263015E-4</v>
      </c>
      <c r="AA317" s="3">
        <f t="shared" si="299"/>
        <v>3.6314454952352052E-4</v>
      </c>
      <c r="AB317" s="3">
        <f t="shared" si="299"/>
        <v>3.6261953842044197E-4</v>
      </c>
      <c r="AC317" s="3">
        <f t="shared" si="299"/>
        <v>3.574109933551314E-4</v>
      </c>
      <c r="AD317" s="3">
        <f t="shared" si="299"/>
        <v>3.0926798473220908E-4</v>
      </c>
      <c r="AE317" s="3">
        <f t="shared" si="299"/>
        <v>7.2778909314719564E-5</v>
      </c>
      <c r="AF317" s="3">
        <f t="shared" si="299"/>
        <v>3.790629406630382E-11</v>
      </c>
      <c r="AG317" s="3"/>
      <c r="AH317" s="3"/>
    </row>
    <row r="318" spans="1:34" x14ac:dyDescent="0.25">
      <c r="B318" s="3">
        <f t="shared" ref="B318:AF318" si="300">$C48*EXP(-B$285/$A48/EXP(-$F$126))</f>
        <v>1.8415595868786856E-3</v>
      </c>
      <c r="C318" s="3">
        <f t="shared" si="300"/>
        <v>1.8415595868786856E-3</v>
      </c>
      <c r="D318" s="3">
        <f t="shared" si="300"/>
        <v>1.8415595868786856E-3</v>
      </c>
      <c r="E318" s="3">
        <f t="shared" si="300"/>
        <v>1.8415595868786856E-3</v>
      </c>
      <c r="F318" s="3">
        <f t="shared" si="300"/>
        <v>1.8415595868786856E-3</v>
      </c>
      <c r="G318" s="3">
        <f t="shared" si="300"/>
        <v>1.8415595868786856E-3</v>
      </c>
      <c r="H318" s="3">
        <f t="shared" si="300"/>
        <v>1.8415595868786856E-3</v>
      </c>
      <c r="I318" s="3">
        <f t="shared" si="300"/>
        <v>1.8415595868786856E-3</v>
      </c>
      <c r="J318" s="3">
        <f t="shared" si="300"/>
        <v>1.8415595868786856E-3</v>
      </c>
      <c r="K318" s="3">
        <f t="shared" si="300"/>
        <v>1.8415595868786856E-3</v>
      </c>
      <c r="L318" s="3">
        <f t="shared" si="300"/>
        <v>1.8415595868786856E-3</v>
      </c>
      <c r="M318" s="3">
        <f t="shared" si="300"/>
        <v>1.8415595868786856E-3</v>
      </c>
      <c r="N318" s="3">
        <f t="shared" si="300"/>
        <v>1.8415595868786856E-3</v>
      </c>
      <c r="O318" s="3">
        <f t="shared" si="300"/>
        <v>1.8415595868786856E-3</v>
      </c>
      <c r="P318" s="3">
        <f t="shared" si="300"/>
        <v>1.8415595868786854E-3</v>
      </c>
      <c r="Q318" s="3">
        <f t="shared" si="300"/>
        <v>1.8415595868786828E-3</v>
      </c>
      <c r="R318" s="3">
        <f t="shared" si="300"/>
        <v>1.8415595868786559E-3</v>
      </c>
      <c r="S318" s="3">
        <f t="shared" si="300"/>
        <v>1.8415595868783896E-3</v>
      </c>
      <c r="T318" s="3">
        <f t="shared" si="300"/>
        <v>1.8415595868757253E-3</v>
      </c>
      <c r="U318" s="3">
        <f t="shared" si="300"/>
        <v>1.8415595868490819E-3</v>
      </c>
      <c r="V318" s="3">
        <f t="shared" si="300"/>
        <v>1.8415595865826483E-3</v>
      </c>
      <c r="W318" s="3">
        <f t="shared" si="300"/>
        <v>1.8415595839183132E-3</v>
      </c>
      <c r="X318" s="3">
        <f t="shared" si="300"/>
        <v>1.8415595572749616E-3</v>
      </c>
      <c r="Y318" s="3">
        <f t="shared" si="300"/>
        <v>1.8415592908414664E-3</v>
      </c>
      <c r="Z318" s="3">
        <f t="shared" si="300"/>
        <v>1.8415566265086343E-3</v>
      </c>
      <c r="AA318" s="3">
        <f t="shared" si="300"/>
        <v>1.8415299833923217E-3</v>
      </c>
      <c r="AB318" s="3">
        <f t="shared" si="300"/>
        <v>1.8412635734288518E-3</v>
      </c>
      <c r="AC318" s="3">
        <f t="shared" si="300"/>
        <v>1.8386015926253052E-3</v>
      </c>
      <c r="AD318" s="3">
        <f t="shared" si="300"/>
        <v>1.8121925378511046E-3</v>
      </c>
      <c r="AE318" s="3">
        <f t="shared" si="300"/>
        <v>1.5680914816491953E-3</v>
      </c>
      <c r="AF318" s="3">
        <f t="shared" si="300"/>
        <v>3.6901326155356631E-4</v>
      </c>
      <c r="AG318" s="3"/>
      <c r="AH318" s="3"/>
    </row>
    <row r="319" spans="1:34" x14ac:dyDescent="0.25">
      <c r="A319" s="79">
        <f>AVERAGE(B319:AF319)</f>
        <v>7.0889364761544367E-3</v>
      </c>
      <c r="B319" s="80">
        <f>IF($A$64&lt;=B285,IF($B$64&gt;=B285,ABS((B287-B286)/B286),0),0)</f>
        <v>7.7393366801366574E-3</v>
      </c>
      <c r="C319" s="80">
        <f t="shared" ref="C319:AF319" si="301">IF($A$64&lt;=C285,IF($B$64&gt;=C285,ABS((C287-C286)/C286),0),0)</f>
        <v>2.2942839304039555E-3</v>
      </c>
      <c r="D319" s="80">
        <f t="shared" si="301"/>
        <v>6.9693371590688214E-3</v>
      </c>
      <c r="E319" s="80">
        <f t="shared" si="301"/>
        <v>5.5874311613878539E-3</v>
      </c>
      <c r="F319" s="80">
        <f t="shared" si="301"/>
        <v>6.2609219742711681E-3</v>
      </c>
      <c r="G319" s="80">
        <f t="shared" si="301"/>
        <v>5.222832181738084E-3</v>
      </c>
      <c r="H319" s="80">
        <f t="shared" si="301"/>
        <v>5.4251776821907715E-3</v>
      </c>
      <c r="I319" s="80">
        <f t="shared" si="301"/>
        <v>5.5076173873293693E-3</v>
      </c>
      <c r="J319" s="80">
        <f t="shared" si="301"/>
        <v>5.0854289058248191E-3</v>
      </c>
      <c r="K319" s="80">
        <f t="shared" si="301"/>
        <v>4.8723684932298781E-3</v>
      </c>
      <c r="L319" s="80">
        <f t="shared" si="301"/>
        <v>4.2913414886967295E-3</v>
      </c>
      <c r="M319" s="80">
        <f t="shared" si="301"/>
        <v>5.2383446001257302E-3</v>
      </c>
      <c r="N319" s="80">
        <f t="shared" si="301"/>
        <v>4.1161302530205125E-3</v>
      </c>
      <c r="O319" s="80">
        <f t="shared" si="301"/>
        <v>5.631695870884015E-3</v>
      </c>
      <c r="P319" s="80">
        <f t="shared" si="301"/>
        <v>3.9087420319146816E-3</v>
      </c>
      <c r="Q319" s="80">
        <f t="shared" si="301"/>
        <v>1.4433406289167177E-3</v>
      </c>
      <c r="R319" s="80">
        <f t="shared" si="301"/>
        <v>1.4239635784184001E-2</v>
      </c>
      <c r="S319" s="80">
        <f t="shared" si="301"/>
        <v>2.0947154765033289E-2</v>
      </c>
      <c r="T319" s="80">
        <f t="shared" si="301"/>
        <v>1.7024343606509743E-2</v>
      </c>
      <c r="U319" s="80">
        <f t="shared" si="301"/>
        <v>1.1515314119089194E-2</v>
      </c>
      <c r="V319" s="80">
        <f t="shared" si="301"/>
        <v>6.332275127694428E-3</v>
      </c>
      <c r="W319" s="80">
        <f t="shared" si="301"/>
        <v>1.519859841826076E-2</v>
      </c>
      <c r="X319" s="80">
        <f t="shared" si="301"/>
        <v>5.0276655172194042E-3</v>
      </c>
      <c r="Y319" s="80">
        <f t="shared" si="301"/>
        <v>9.5005462335683161E-3</v>
      </c>
      <c r="Z319" s="80">
        <f t="shared" si="301"/>
        <v>6.366063166223789E-3</v>
      </c>
      <c r="AA319" s="80">
        <f t="shared" si="301"/>
        <v>2.4010755793955056E-4</v>
      </c>
      <c r="AB319" s="80">
        <f t="shared" si="301"/>
        <v>4.76504225511054E-3</v>
      </c>
      <c r="AC319" s="80">
        <f t="shared" si="301"/>
        <v>2.4890077352088067E-3</v>
      </c>
      <c r="AD319" s="80">
        <f t="shared" si="301"/>
        <v>2.5371851859617225E-3</v>
      </c>
      <c r="AE319" s="80">
        <f t="shared" si="301"/>
        <v>1.3799870371561803E-3</v>
      </c>
      <c r="AF319" s="80">
        <f t="shared" si="301"/>
        <v>2.259977382248806E-2</v>
      </c>
    </row>
    <row r="320" spans="1:34" x14ac:dyDescent="0.25">
      <c r="B320" s="21">
        <f>(B287-B286)^2</f>
        <v>5784.3287923855569</v>
      </c>
      <c r="C320" s="21">
        <f t="shared" ref="C320:AF320" si="302">(C287-C286)^2</f>
        <v>480.53003766390515</v>
      </c>
      <c r="D320" s="21">
        <f t="shared" si="302"/>
        <v>4207.7658122338489</v>
      </c>
      <c r="E320" s="21">
        <f t="shared" si="302"/>
        <v>2558.5227272938396</v>
      </c>
      <c r="F320" s="21">
        <f t="shared" si="302"/>
        <v>3012.0998912035675</v>
      </c>
      <c r="G320" s="21">
        <f t="shared" si="302"/>
        <v>1969.719161421574</v>
      </c>
      <c r="H320" s="21">
        <f t="shared" si="302"/>
        <v>1993.177648687456</v>
      </c>
      <c r="I320" s="21">
        <f t="shared" si="302"/>
        <v>1896.4908036683639</v>
      </c>
      <c r="J320" s="21">
        <f t="shared" si="302"/>
        <v>1468.3040381425074</v>
      </c>
      <c r="K320" s="21">
        <f t="shared" si="302"/>
        <v>1219.3783291986342</v>
      </c>
      <c r="L320" s="21">
        <f t="shared" si="302"/>
        <v>868.57949499187407</v>
      </c>
      <c r="M320" s="21">
        <f t="shared" si="302"/>
        <v>1187.565897721704</v>
      </c>
      <c r="N320" s="21">
        <f t="shared" si="302"/>
        <v>672.12612495358417</v>
      </c>
      <c r="O320" s="21">
        <f t="shared" si="302"/>
        <v>1143.4174172329831</v>
      </c>
      <c r="P320" s="21">
        <f t="shared" si="302"/>
        <v>501.44700170780487</v>
      </c>
      <c r="Q320" s="21">
        <f t="shared" si="302"/>
        <v>60.389922221907646</v>
      </c>
      <c r="R320" s="21">
        <f t="shared" si="302"/>
        <v>4962.0978281101716</v>
      </c>
      <c r="S320" s="21">
        <f t="shared" si="302"/>
        <v>8270.0604861094507</v>
      </c>
      <c r="T320" s="21">
        <f t="shared" si="302"/>
        <v>3958.4693104402927</v>
      </c>
      <c r="U320" s="21">
        <f t="shared" si="302"/>
        <v>1248.7522444431925</v>
      </c>
      <c r="V320" s="21">
        <f t="shared" si="302"/>
        <v>244.07092037393932</v>
      </c>
      <c r="W320" s="21">
        <f t="shared" si="302"/>
        <v>807.98978702310978</v>
      </c>
      <c r="X320" s="21">
        <f t="shared" si="302"/>
        <v>46.866317274729433</v>
      </c>
      <c r="Y320" s="21">
        <f t="shared" si="302"/>
        <v>86.464807911120701</v>
      </c>
      <c r="Z320" s="21">
        <f t="shared" si="302"/>
        <v>22.799326179336472</v>
      </c>
      <c r="AA320" s="21">
        <f t="shared" si="302"/>
        <v>2.2695027633998464E-2</v>
      </c>
      <c r="AB320" s="21">
        <f t="shared" si="302"/>
        <v>7.3845385938760133</v>
      </c>
      <c r="AC320" s="21">
        <f t="shared" si="302"/>
        <v>1.7731492906320623</v>
      </c>
      <c r="AD320" s="21">
        <f t="shared" si="302"/>
        <v>1.7144250330931898</v>
      </c>
      <c r="AE320" s="21">
        <f t="shared" si="302"/>
        <v>0.48407218356705395</v>
      </c>
      <c r="AF320" s="21">
        <f t="shared" si="302"/>
        <v>117.8329527010374</v>
      </c>
      <c r="AG320" s="3"/>
      <c r="AH320" s="3"/>
    </row>
    <row r="321" spans="1:34" x14ac:dyDescent="0.25">
      <c r="A321" s="71">
        <f>SUM(B321:AF321)</f>
        <v>48800.625961424295</v>
      </c>
      <c r="B321" s="60">
        <f>IF($A$64&lt;=B285,IF($B$64&gt;=B285,ABS(B320),0),0)</f>
        <v>5784.3287923855569</v>
      </c>
      <c r="C321" s="60">
        <f t="shared" ref="C321" si="303">IF($A$64&lt;=C285,IF($B$64&gt;=C285,ABS(C320),0),0)</f>
        <v>480.53003766390515</v>
      </c>
      <c r="D321" s="60">
        <f t="shared" ref="D321" si="304">IF($A$64&lt;=D285,IF($B$64&gt;=D285,ABS(D320),0),0)</f>
        <v>4207.7658122338489</v>
      </c>
      <c r="E321" s="60">
        <f t="shared" ref="E321" si="305">IF($A$64&lt;=E285,IF($B$64&gt;=E285,ABS(E320),0),0)</f>
        <v>2558.5227272938396</v>
      </c>
      <c r="F321" s="60">
        <f t="shared" ref="F321" si="306">IF($A$64&lt;=F285,IF($B$64&gt;=F285,ABS(F320),0),0)</f>
        <v>3012.0998912035675</v>
      </c>
      <c r="G321" s="60">
        <f t="shared" ref="G321" si="307">IF($A$64&lt;=G285,IF($B$64&gt;=G285,ABS(G320),0),0)</f>
        <v>1969.719161421574</v>
      </c>
      <c r="H321" s="60">
        <f t="shared" ref="H321" si="308">IF($A$64&lt;=H285,IF($B$64&gt;=H285,ABS(H320),0),0)</f>
        <v>1993.177648687456</v>
      </c>
      <c r="I321" s="60">
        <f t="shared" ref="I321" si="309">IF($A$64&lt;=I285,IF($B$64&gt;=I285,ABS(I320),0),0)</f>
        <v>1896.4908036683639</v>
      </c>
      <c r="J321" s="60">
        <f t="shared" ref="J321" si="310">IF($A$64&lt;=J285,IF($B$64&gt;=J285,ABS(J320),0),0)</f>
        <v>1468.3040381425074</v>
      </c>
      <c r="K321" s="60">
        <f t="shared" ref="K321" si="311">IF($A$64&lt;=K285,IF($B$64&gt;=K285,ABS(K320),0),0)</f>
        <v>1219.3783291986342</v>
      </c>
      <c r="L321" s="60">
        <f t="shared" ref="L321" si="312">IF($A$64&lt;=L285,IF($B$64&gt;=L285,ABS(L320),0),0)</f>
        <v>868.57949499187407</v>
      </c>
      <c r="M321" s="60">
        <f t="shared" ref="M321" si="313">IF($A$64&lt;=M285,IF($B$64&gt;=M285,ABS(M320),0),0)</f>
        <v>1187.565897721704</v>
      </c>
      <c r="N321" s="60">
        <f t="shared" ref="N321" si="314">IF($A$64&lt;=N285,IF($B$64&gt;=N285,ABS(N320),0),0)</f>
        <v>672.12612495358417</v>
      </c>
      <c r="O321" s="60">
        <f t="shared" ref="O321" si="315">IF($A$64&lt;=O285,IF($B$64&gt;=O285,ABS(O320),0),0)</f>
        <v>1143.4174172329831</v>
      </c>
      <c r="P321" s="60">
        <f t="shared" ref="P321" si="316">IF($A$64&lt;=P285,IF($B$64&gt;=P285,ABS(P320),0),0)</f>
        <v>501.44700170780487</v>
      </c>
      <c r="Q321" s="60">
        <f t="shared" ref="Q321" si="317">IF($A$64&lt;=Q285,IF($B$64&gt;=Q285,ABS(Q320),0),0)</f>
        <v>60.389922221907646</v>
      </c>
      <c r="R321" s="60">
        <f t="shared" ref="R321" si="318">IF($A$64&lt;=R285,IF($B$64&gt;=R285,ABS(R320),0),0)</f>
        <v>4962.0978281101716</v>
      </c>
      <c r="S321" s="60">
        <f t="shared" ref="S321" si="319">IF($A$64&lt;=S285,IF($B$64&gt;=S285,ABS(S320),0),0)</f>
        <v>8270.0604861094507</v>
      </c>
      <c r="T321" s="60">
        <f t="shared" ref="T321" si="320">IF($A$64&lt;=T285,IF($B$64&gt;=T285,ABS(T320),0),0)</f>
        <v>3958.4693104402927</v>
      </c>
      <c r="U321" s="60">
        <f t="shared" ref="U321" si="321">IF($A$64&lt;=U285,IF($B$64&gt;=U285,ABS(U320),0),0)</f>
        <v>1248.7522444431925</v>
      </c>
      <c r="V321" s="60">
        <f t="shared" ref="V321" si="322">IF($A$64&lt;=V285,IF($B$64&gt;=V285,ABS(V320),0),0)</f>
        <v>244.07092037393932</v>
      </c>
      <c r="W321" s="60">
        <f t="shared" ref="W321" si="323">IF($A$64&lt;=W285,IF($B$64&gt;=W285,ABS(W320),0),0)</f>
        <v>807.98978702310978</v>
      </c>
      <c r="X321" s="60">
        <f t="shared" ref="X321" si="324">IF($A$64&lt;=X285,IF($B$64&gt;=X285,ABS(X320),0),0)</f>
        <v>46.866317274729433</v>
      </c>
      <c r="Y321" s="60">
        <f t="shared" ref="Y321" si="325">IF($A$64&lt;=Y285,IF($B$64&gt;=Y285,ABS(Y320),0),0)</f>
        <v>86.464807911120701</v>
      </c>
      <c r="Z321" s="60">
        <f t="shared" ref="Z321" si="326">IF($A$64&lt;=Z285,IF($B$64&gt;=Z285,ABS(Z320),0),0)</f>
        <v>22.799326179336472</v>
      </c>
      <c r="AA321" s="60">
        <f t="shared" ref="AA321" si="327">IF($A$64&lt;=AA285,IF($B$64&gt;=AA285,ABS(AA320),0),0)</f>
        <v>2.2695027633998464E-2</v>
      </c>
      <c r="AB321" s="60">
        <f t="shared" ref="AB321" si="328">IF($A$64&lt;=AB285,IF($B$64&gt;=AB285,ABS(AB320),0),0)</f>
        <v>7.3845385938760133</v>
      </c>
      <c r="AC321" s="60">
        <f t="shared" ref="AC321" si="329">IF($A$64&lt;=AC285,IF($B$64&gt;=AC285,ABS(AC320),0),0)</f>
        <v>1.7731492906320623</v>
      </c>
      <c r="AD321" s="60">
        <f t="shared" ref="AD321" si="330">IF($A$64&lt;=AD285,IF($B$64&gt;=AD285,ABS(AD320),0),0)</f>
        <v>1.7144250330931898</v>
      </c>
      <c r="AE321" s="60">
        <f t="shared" ref="AE321" si="331">IF($A$64&lt;=AE285,IF($B$64&gt;=AE285,ABS(AE320),0),0)</f>
        <v>0.48407218356705395</v>
      </c>
      <c r="AF321" s="60">
        <f t="shared" ref="AF321" si="332">IF($A$64&lt;=AF285,IF($B$64&gt;=AF285,ABS(AF320),0),0)</f>
        <v>117.8329527010374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9259.6734447987747</v>
      </c>
      <c r="C326" s="27">
        <f t="shared" ref="C326:AF326" si="333">($C$17+SUM(C327:C357))*$B$51</f>
        <v>8985.2700902240886</v>
      </c>
      <c r="D326" s="27">
        <f t="shared" si="333"/>
        <v>8704.6206096606966</v>
      </c>
      <c r="E326" s="27">
        <f t="shared" si="333"/>
        <v>8433.6661937485442</v>
      </c>
      <c r="F326" s="27">
        <f t="shared" si="333"/>
        <v>8147.3593854315095</v>
      </c>
      <c r="G326" s="27">
        <f t="shared" si="333"/>
        <v>7799.1525576464646</v>
      </c>
      <c r="H326" s="27">
        <f t="shared" si="333"/>
        <v>7414.5946613887436</v>
      </c>
      <c r="I326" s="27">
        <f t="shared" si="333"/>
        <v>7062.3503494043962</v>
      </c>
      <c r="J326" s="27">
        <f t="shared" si="333"/>
        <v>6772.3245241743452</v>
      </c>
      <c r="K326" s="27">
        <f t="shared" si="333"/>
        <v>6484.3923171445331</v>
      </c>
      <c r="L326" s="27">
        <f t="shared" si="333"/>
        <v>6191.2656436865955</v>
      </c>
      <c r="M326" s="27">
        <f t="shared" si="333"/>
        <v>5903.9155090291633</v>
      </c>
      <c r="N326" s="27">
        <f t="shared" si="333"/>
        <v>5598.1077423083652</v>
      </c>
      <c r="O326" s="27">
        <f t="shared" si="333"/>
        <v>5170.1778611266591</v>
      </c>
      <c r="P326" s="27">
        <f t="shared" si="333"/>
        <v>4572.7768634328186</v>
      </c>
      <c r="Q326" s="27">
        <f t="shared" si="333"/>
        <v>3933.9023489527362</v>
      </c>
      <c r="R326" s="27">
        <f t="shared" si="333"/>
        <v>3340.8104026580922</v>
      </c>
      <c r="S326" s="27">
        <f t="shared" si="333"/>
        <v>2739.055447721465</v>
      </c>
      <c r="T326" s="27">
        <f t="shared" si="333"/>
        <v>2229.7696836680589</v>
      </c>
      <c r="U326" s="27">
        <f t="shared" si="333"/>
        <v>1603.3634497231028</v>
      </c>
      <c r="V326" s="27">
        <f t="shared" si="333"/>
        <v>1173.2769914602122</v>
      </c>
      <c r="W326" s="27">
        <f t="shared" si="333"/>
        <v>845.86655561767964</v>
      </c>
      <c r="X326" s="27">
        <f t="shared" si="333"/>
        <v>682.74087145293754</v>
      </c>
      <c r="Y326" s="27">
        <f t="shared" si="333"/>
        <v>594.21693707913789</v>
      </c>
      <c r="Z326" s="27">
        <f t="shared" si="333"/>
        <v>551.13669548562893</v>
      </c>
      <c r="AA326" s="27">
        <f t="shared" si="333"/>
        <v>525.86524833382714</v>
      </c>
      <c r="AB326" s="27">
        <f t="shared" si="333"/>
        <v>508.86863199179646</v>
      </c>
      <c r="AC326" s="27">
        <f t="shared" si="333"/>
        <v>499.8042897138854</v>
      </c>
      <c r="AD326" s="27">
        <f t="shared" si="333"/>
        <v>487.40652411441891</v>
      </c>
      <c r="AE326" s="27">
        <f t="shared" si="333"/>
        <v>487.19991286986709</v>
      </c>
      <c r="AF326" s="27">
        <f t="shared" si="333"/>
        <v>487.19991286986709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6.488362857641751E-53</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4.3602147178126608E-7</v>
      </c>
      <c r="C329" s="3">
        <f t="shared" si="336"/>
        <v>2.6124617079747975E-48</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9.9495881930119906E-3</v>
      </c>
      <c r="C330" s="3">
        <f t="shared" si="337"/>
        <v>1.9019384647342028E-6</v>
      </c>
      <c r="D330" s="3">
        <f t="shared" si="337"/>
        <v>1.2391104480816573E-43</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2.5131272468020036E-2</v>
      </c>
      <c r="C331" s="3">
        <f t="shared" si="338"/>
        <v>1.1608204306550685E-2</v>
      </c>
      <c r="D331" s="3">
        <f t="shared" si="338"/>
        <v>5.1318114048936757E-6</v>
      </c>
      <c r="E331" s="3">
        <f t="shared" si="338"/>
        <v>1.4632789727259946E-39</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2.7332527258365394E-2</v>
      </c>
      <c r="C332" s="3">
        <f t="shared" si="339"/>
        <v>2.5492912781678412E-2</v>
      </c>
      <c r="D332" s="3">
        <f t="shared" si="339"/>
        <v>1.2700363832866952E-2</v>
      </c>
      <c r="E332" s="3">
        <f t="shared" si="339"/>
        <v>1.1961432305823141E-5</v>
      </c>
      <c r="F332" s="3">
        <f t="shared" si="339"/>
        <v>6.5683067836005115E-36</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2.4294509171738983E-2</v>
      </c>
      <c r="C333" s="3">
        <f t="shared" si="340"/>
        <v>2.4142286299060237E-2</v>
      </c>
      <c r="D333" s="3">
        <f t="shared" si="340"/>
        <v>2.2671542073274105E-2</v>
      </c>
      <c r="E333" s="3">
        <f t="shared" si="340"/>
        <v>1.2092266567390887E-2</v>
      </c>
      <c r="F333" s="3">
        <f t="shared" si="340"/>
        <v>2.2530676221102845E-5</v>
      </c>
      <c r="G333" s="3">
        <f t="shared" si="340"/>
        <v>1.1361596672813555E-32</v>
      </c>
      <c r="H333" s="3">
        <f t="shared" si="340"/>
        <v>1.2080663398954608E-305</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3.0649683463346018E-2</v>
      </c>
      <c r="C334" s="3">
        <f t="shared" si="341"/>
        <v>3.0632310039933709E-2</v>
      </c>
      <c r="D334" s="3">
        <f t="shared" si="341"/>
        <v>3.0459116521770819E-2</v>
      </c>
      <c r="E334" s="3">
        <f t="shared" si="341"/>
        <v>2.8780135568507118E-2</v>
      </c>
      <c r="F334" s="3">
        <f t="shared" si="341"/>
        <v>1.6324811142145075E-2</v>
      </c>
      <c r="G334" s="3">
        <f t="shared" si="341"/>
        <v>5.6286140386479347E-5</v>
      </c>
      <c r="H334" s="3">
        <f t="shared" si="341"/>
        <v>1.3363939711397524E-29</v>
      </c>
      <c r="I334" s="3">
        <f t="shared" si="341"/>
        <v>7.6079016502372551E-276</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3.7612318131079882E-2</v>
      </c>
      <c r="C335" s="3">
        <f t="shared" si="342"/>
        <v>3.7610394383386835E-2</v>
      </c>
      <c r="D335" s="3">
        <f t="shared" si="342"/>
        <v>3.7591162317265038E-2</v>
      </c>
      <c r="E335" s="3">
        <f t="shared" si="342"/>
        <v>3.739938171432864E-2</v>
      </c>
      <c r="F335" s="3">
        <f t="shared" si="342"/>
        <v>3.5534573297121612E-2</v>
      </c>
      <c r="G335" s="3">
        <f t="shared" si="342"/>
        <v>2.1306785176901055E-2</v>
      </c>
      <c r="H335" s="3">
        <f t="shared" si="342"/>
        <v>1.2799298021656978E-4</v>
      </c>
      <c r="I335" s="3">
        <f t="shared" si="342"/>
        <v>7.8319227206014227E-27</v>
      </c>
      <c r="J335" s="3">
        <f t="shared" si="342"/>
        <v>5.7635599510080739E-249</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3.765707115580786E-2</v>
      </c>
      <c r="C336" s="3">
        <f t="shared" si="343"/>
        <v>3.7656897407235081E-2</v>
      </c>
      <c r="D336" s="3">
        <f t="shared" si="343"/>
        <v>3.7655159965598539E-2</v>
      </c>
      <c r="E336" s="3">
        <f t="shared" si="343"/>
        <v>3.7637789957607727E-2</v>
      </c>
      <c r="F336" s="3">
        <f t="shared" si="343"/>
        <v>3.7464529963502545E-2</v>
      </c>
      <c r="G336" s="3">
        <f t="shared" si="343"/>
        <v>3.5775196482573594E-2</v>
      </c>
      <c r="H336" s="3">
        <f t="shared" si="343"/>
        <v>2.2552745640202265E-2</v>
      </c>
      <c r="I336" s="3">
        <f t="shared" si="343"/>
        <v>2.235493250729449E-4</v>
      </c>
      <c r="J336" s="3">
        <f t="shared" si="343"/>
        <v>2.04697611613976E-24</v>
      </c>
      <c r="K336" s="3">
        <f t="shared" si="343"/>
        <v>8.4821685728873371E-225</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2.8120843297061261E-2</v>
      </c>
      <c r="C337" s="3">
        <f t="shared" si="344"/>
        <v>2.8120831592623689E-2</v>
      </c>
      <c r="D337" s="3">
        <f t="shared" si="344"/>
        <v>2.812071454851589E-2</v>
      </c>
      <c r="E337" s="3">
        <f t="shared" si="344"/>
        <v>2.811954413423132E-2</v>
      </c>
      <c r="F337" s="3">
        <f t="shared" si="344"/>
        <v>2.8107842670315457E-2</v>
      </c>
      <c r="G337" s="3">
        <f t="shared" si="344"/>
        <v>2.7991095512040626E-2</v>
      </c>
      <c r="H337" s="3">
        <f t="shared" si="344"/>
        <v>2.68499646398189E-2</v>
      </c>
      <c r="I337" s="3">
        <f t="shared" si="344"/>
        <v>1.7708506587897077E-2</v>
      </c>
      <c r="J337" s="3">
        <f t="shared" si="344"/>
        <v>2.7578086540700077E-4</v>
      </c>
      <c r="K337" s="3">
        <f t="shared" si="344"/>
        <v>2.3141209675655669E-22</v>
      </c>
      <c r="L337" s="3">
        <f t="shared" si="344"/>
        <v>4.0050259111141516E-203</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2.7436977070418408E-2</v>
      </c>
      <c r="C338" s="3">
        <f t="shared" si="345"/>
        <v>2.7436976040257317E-2</v>
      </c>
      <c r="D338" s="3">
        <f t="shared" si="345"/>
        <v>2.7436965738648532E-2</v>
      </c>
      <c r="E338" s="3">
        <f t="shared" si="345"/>
        <v>2.7436862722773396E-2</v>
      </c>
      <c r="F338" s="3">
        <f t="shared" si="345"/>
        <v>2.7435832585295101E-2</v>
      </c>
      <c r="G338" s="3">
        <f t="shared" si="345"/>
        <v>2.7425533337522987E-2</v>
      </c>
      <c r="H338" s="3">
        <f t="shared" si="345"/>
        <v>2.7322753265691561E-2</v>
      </c>
      <c r="I338" s="3">
        <f t="shared" si="345"/>
        <v>2.631590099818662E-2</v>
      </c>
      <c r="J338" s="3">
        <f t="shared" si="345"/>
        <v>1.8078237174146576E-2</v>
      </c>
      <c r="K338" s="3">
        <f t="shared" si="345"/>
        <v>4.2318906602655144E-4</v>
      </c>
      <c r="L338" s="3">
        <f t="shared" si="345"/>
        <v>2.0908266330183058E-20</v>
      </c>
      <c r="M338" s="3">
        <f t="shared" si="345"/>
        <v>1.8119819870473704E-183</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2.852567986454287E-2</v>
      </c>
      <c r="C339" s="3">
        <f t="shared" si="346"/>
        <v>2.8525679767926332E-2</v>
      </c>
      <c r="D339" s="3">
        <f t="shared" si="346"/>
        <v>2.8525678801760938E-2</v>
      </c>
      <c r="E339" s="3">
        <f t="shared" si="346"/>
        <v>2.8525669140108824E-2</v>
      </c>
      <c r="F339" s="3">
        <f t="shared" si="346"/>
        <v>2.8525572523767681E-2</v>
      </c>
      <c r="G339" s="3">
        <f t="shared" si="346"/>
        <v>2.8524606378354203E-2</v>
      </c>
      <c r="H339" s="3">
        <f t="shared" si="346"/>
        <v>2.8514946723791245E-2</v>
      </c>
      <c r="I339" s="3">
        <f t="shared" si="346"/>
        <v>2.8418529910027926E-2</v>
      </c>
      <c r="J339" s="3">
        <f t="shared" si="346"/>
        <v>2.7472111746733977E-2</v>
      </c>
      <c r="K339" s="3">
        <f t="shared" si="346"/>
        <v>1.9579266008334244E-2</v>
      </c>
      <c r="L339" s="3">
        <f t="shared" si="346"/>
        <v>6.6197262720552226E-4</v>
      </c>
      <c r="M339" s="3">
        <f t="shared" si="346"/>
        <v>1.2920409515730708E-18</v>
      </c>
      <c r="N339" s="3">
        <f t="shared" si="346"/>
        <v>1.0366657556020397E-165</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2.775051445743415E-2</v>
      </c>
      <c r="C340" s="3">
        <f t="shared" si="347"/>
        <v>2.7750514448955373E-2</v>
      </c>
      <c r="D340" s="3">
        <f t="shared" si="347"/>
        <v>2.7750514364167627E-2</v>
      </c>
      <c r="E340" s="3">
        <f t="shared" si="347"/>
        <v>2.775051351629014E-2</v>
      </c>
      <c r="F340" s="3">
        <f t="shared" si="347"/>
        <v>2.775050503751671E-2</v>
      </c>
      <c r="G340" s="3">
        <f t="shared" si="347"/>
        <v>2.7750420249924891E-2</v>
      </c>
      <c r="H340" s="3">
        <f t="shared" si="347"/>
        <v>2.7749572388254637E-2</v>
      </c>
      <c r="I340" s="3">
        <f t="shared" si="347"/>
        <v>2.7741095196186161E-2</v>
      </c>
      <c r="J340" s="3">
        <f t="shared" si="347"/>
        <v>2.7656465577986601E-2</v>
      </c>
      <c r="K340" s="3">
        <f t="shared" si="347"/>
        <v>2.6824240080331321E-2</v>
      </c>
      <c r="L340" s="3">
        <f t="shared" si="347"/>
        <v>1.9762183391764502E-2</v>
      </c>
      <c r="M340" s="3">
        <f t="shared" si="347"/>
        <v>9.309147314329856E-4</v>
      </c>
      <c r="N340" s="3">
        <f t="shared" si="347"/>
        <v>5.0079464952135386E-17</v>
      </c>
      <c r="O340" s="3">
        <f t="shared" si="347"/>
        <v>1.016617200162686E-149</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2.6288987576220915E-2</v>
      </c>
      <c r="C341" s="3">
        <f t="shared" si="348"/>
        <v>2.6288987575496341E-2</v>
      </c>
      <c r="D341" s="3">
        <f t="shared" si="348"/>
        <v>2.6288987568250603E-2</v>
      </c>
      <c r="E341" s="3">
        <f t="shared" si="348"/>
        <v>2.6288987495793243E-2</v>
      </c>
      <c r="F341" s="3">
        <f t="shared" si="348"/>
        <v>2.6288986771219627E-2</v>
      </c>
      <c r="G341" s="3">
        <f t="shared" si="348"/>
        <v>2.6288979525484538E-2</v>
      </c>
      <c r="H341" s="3">
        <f t="shared" si="348"/>
        <v>2.628890706824354E-2</v>
      </c>
      <c r="I341" s="3">
        <f t="shared" si="348"/>
        <v>2.6288182506817255E-2</v>
      </c>
      <c r="J341" s="3">
        <f t="shared" si="348"/>
        <v>2.6280937990813113E-2</v>
      </c>
      <c r="K341" s="3">
        <f t="shared" si="348"/>
        <v>2.6208602544729169E-2</v>
      </c>
      <c r="L341" s="3">
        <f t="shared" si="348"/>
        <v>2.5496108414605433E-2</v>
      </c>
      <c r="M341" s="3">
        <f t="shared" si="348"/>
        <v>1.9354155284774768E-2</v>
      </c>
      <c r="N341" s="3">
        <f t="shared" si="348"/>
        <v>1.2296385258484636E-3</v>
      </c>
      <c r="O341" s="3">
        <f t="shared" si="348"/>
        <v>1.3176797307750915E-15</v>
      </c>
      <c r="P341" s="3">
        <f t="shared" si="348"/>
        <v>2.6310790947807638E-135</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3.6959544904782309E-2</v>
      </c>
      <c r="C342" s="3">
        <f t="shared" si="349"/>
        <v>3.695954490469041E-2</v>
      </c>
      <c r="D342" s="3">
        <f t="shared" si="349"/>
        <v>3.6959544903771485E-2</v>
      </c>
      <c r="E342" s="3">
        <f t="shared" si="349"/>
        <v>3.6959544894582197E-2</v>
      </c>
      <c r="F342" s="3">
        <f t="shared" si="349"/>
        <v>3.6959544802689315E-2</v>
      </c>
      <c r="G342" s="3">
        <f t="shared" si="349"/>
        <v>3.6959543883760514E-2</v>
      </c>
      <c r="H342" s="3">
        <f t="shared" si="349"/>
        <v>3.6959534694473779E-2</v>
      </c>
      <c r="I342" s="3">
        <f t="shared" si="349"/>
        <v>3.6959442801732037E-2</v>
      </c>
      <c r="J342" s="3">
        <f t="shared" si="349"/>
        <v>3.6958523886880604E-2</v>
      </c>
      <c r="K342" s="3">
        <f t="shared" si="349"/>
        <v>3.6949335994845824E-2</v>
      </c>
      <c r="L342" s="3">
        <f t="shared" si="349"/>
        <v>3.6857582606941365E-2</v>
      </c>
      <c r="M342" s="3">
        <f t="shared" si="349"/>
        <v>3.595248725458304E-2</v>
      </c>
      <c r="N342" s="3">
        <f t="shared" si="349"/>
        <v>2.8038183596929469E-2</v>
      </c>
      <c r="O342" s="3">
        <f t="shared" si="349"/>
        <v>2.3332389488411472E-3</v>
      </c>
      <c r="P342" s="3">
        <f t="shared" si="349"/>
        <v>3.7158026524421608E-14</v>
      </c>
      <c r="Q342" s="3">
        <f t="shared" si="349"/>
        <v>3.8993019716275641E-122</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5.8251521271898303E-2</v>
      </c>
      <c r="C343" s="3">
        <f t="shared" si="350"/>
        <v>5.8251521271885237E-2</v>
      </c>
      <c r="D343" s="3">
        <f t="shared" si="350"/>
        <v>5.8251521271754585E-2</v>
      </c>
      <c r="E343" s="3">
        <f t="shared" si="350"/>
        <v>5.8251521270448088E-2</v>
      </c>
      <c r="F343" s="3">
        <f t="shared" si="350"/>
        <v>5.8251521257383101E-2</v>
      </c>
      <c r="G343" s="3">
        <f t="shared" si="350"/>
        <v>5.8251521126733187E-2</v>
      </c>
      <c r="H343" s="3">
        <f t="shared" si="350"/>
        <v>5.8251519820234098E-2</v>
      </c>
      <c r="I343" s="3">
        <f t="shared" si="350"/>
        <v>5.8251506755244827E-2</v>
      </c>
      <c r="J343" s="3">
        <f t="shared" si="350"/>
        <v>5.8251376105513272E-2</v>
      </c>
      <c r="K343" s="3">
        <f t="shared" si="350"/>
        <v>5.8250069624314178E-2</v>
      </c>
      <c r="L343" s="3">
        <f t="shared" si="350"/>
        <v>5.8237006423835481E-2</v>
      </c>
      <c r="M343" s="3">
        <f t="shared" si="350"/>
        <v>5.8106535436619922E-2</v>
      </c>
      <c r="N343" s="3">
        <f t="shared" si="350"/>
        <v>5.681779449780363E-2</v>
      </c>
      <c r="O343" s="3">
        <f t="shared" si="350"/>
        <v>4.5402343629777707E-2</v>
      </c>
      <c r="P343" s="3">
        <f t="shared" si="350"/>
        <v>4.8196696092623979E-3</v>
      </c>
      <c r="Q343" s="3">
        <f t="shared" si="350"/>
        <v>8.7580462904053809E-13</v>
      </c>
      <c r="R343" s="3">
        <f t="shared" si="350"/>
        <v>3.4380082766537408E-110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6.3892881032232271E-2</v>
      </c>
      <c r="C344" s="3">
        <f t="shared" si="351"/>
        <v>6.389288103223098E-2</v>
      </c>
      <c r="D344" s="3">
        <f t="shared" si="351"/>
        <v>6.3892881032218046E-2</v>
      </c>
      <c r="E344" s="3">
        <f t="shared" si="351"/>
        <v>6.3892881032088775E-2</v>
      </c>
      <c r="F344" s="3">
        <f t="shared" si="351"/>
        <v>6.3892881030796073E-2</v>
      </c>
      <c r="G344" s="3">
        <f t="shared" si="351"/>
        <v>6.3892881017868969E-2</v>
      </c>
      <c r="H344" s="3">
        <f t="shared" si="351"/>
        <v>6.3892880888598041E-2</v>
      </c>
      <c r="I344" s="3">
        <f t="shared" si="351"/>
        <v>6.3892879595888644E-2</v>
      </c>
      <c r="J344" s="3">
        <f t="shared" si="351"/>
        <v>6.3892866668796219E-2</v>
      </c>
      <c r="K344" s="3">
        <f t="shared" si="351"/>
        <v>6.389273739801575E-2</v>
      </c>
      <c r="L344" s="3">
        <f t="shared" si="351"/>
        <v>6.389144470459604E-2</v>
      </c>
      <c r="M344" s="3">
        <f t="shared" si="351"/>
        <v>6.3878519208786455E-2</v>
      </c>
      <c r="N344" s="3">
        <f t="shared" si="351"/>
        <v>6.3749407981824505E-2</v>
      </c>
      <c r="O344" s="3">
        <f t="shared" si="351"/>
        <v>6.2472561808206768E-2</v>
      </c>
      <c r="P344" s="3">
        <f t="shared" si="351"/>
        <v>5.1029452586119475E-2</v>
      </c>
      <c r="Q344" s="3">
        <f t="shared" si="351"/>
        <v>6.7474061175725681E-3</v>
      </c>
      <c r="R344" s="3">
        <f t="shared" si="351"/>
        <v>1.1022909991067216E-11</v>
      </c>
      <c r="S344" s="3">
        <f t="shared" si="351"/>
        <v>1.4924176170378924E-99</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5.5851877003500784E-2</v>
      </c>
      <c r="C345" s="3">
        <f t="shared" si="352"/>
        <v>5.5851877003500687E-2</v>
      </c>
      <c r="D345" s="3">
        <f t="shared" si="352"/>
        <v>5.585187700349966E-2</v>
      </c>
      <c r="E345" s="3">
        <f t="shared" si="352"/>
        <v>5.5851877003489467E-2</v>
      </c>
      <c r="F345" s="3">
        <f t="shared" si="352"/>
        <v>5.5851877003387534E-2</v>
      </c>
      <c r="G345" s="3">
        <f t="shared" si="352"/>
        <v>5.5851877002368162E-2</v>
      </c>
      <c r="H345" s="3">
        <f t="shared" si="352"/>
        <v>5.5851876992174442E-2</v>
      </c>
      <c r="I345" s="3">
        <f t="shared" si="352"/>
        <v>5.5851876890237219E-2</v>
      </c>
      <c r="J345" s="3">
        <f t="shared" si="352"/>
        <v>5.5851875870864993E-2</v>
      </c>
      <c r="K345" s="3">
        <f t="shared" si="352"/>
        <v>5.5851865677143786E-2</v>
      </c>
      <c r="L345" s="3">
        <f t="shared" si="352"/>
        <v>5.5851763740034054E-2</v>
      </c>
      <c r="M345" s="3">
        <f t="shared" si="352"/>
        <v>5.5850744379169322E-2</v>
      </c>
      <c r="N345" s="3">
        <f t="shared" si="352"/>
        <v>5.5840551793715942E-2</v>
      </c>
      <c r="O345" s="3">
        <f t="shared" si="352"/>
        <v>5.5738728189506766E-2</v>
      </c>
      <c r="P345" s="3">
        <f t="shared" si="352"/>
        <v>5.4730648466045424E-2</v>
      </c>
      <c r="Q345" s="3">
        <f t="shared" si="352"/>
        <v>4.5600119603587293E-2</v>
      </c>
      <c r="R345" s="3">
        <f t="shared" si="352"/>
        <v>7.350550423730875E-3</v>
      </c>
      <c r="S345" s="3">
        <f t="shared" si="352"/>
        <v>8.7068017274607641E-11</v>
      </c>
      <c r="T345" s="3">
        <f t="shared" si="352"/>
        <v>4.7341998901057298E-90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6.3492649829387265E-2</v>
      </c>
      <c r="C346" s="3">
        <f t="shared" si="353"/>
        <v>6.3492649829387252E-2</v>
      </c>
      <c r="D346" s="3">
        <f t="shared" si="353"/>
        <v>6.3492649829387154E-2</v>
      </c>
      <c r="E346" s="3">
        <f t="shared" si="353"/>
        <v>6.34926498293861E-2</v>
      </c>
      <c r="F346" s="3">
        <f t="shared" si="353"/>
        <v>6.349264982937565E-2</v>
      </c>
      <c r="G346" s="3">
        <f t="shared" si="353"/>
        <v>6.3492649829271122E-2</v>
      </c>
      <c r="H346" s="3">
        <f t="shared" si="353"/>
        <v>6.349264982822575E-2</v>
      </c>
      <c r="I346" s="3">
        <f t="shared" si="353"/>
        <v>6.3492649817772168E-2</v>
      </c>
      <c r="J346" s="3">
        <f t="shared" si="353"/>
        <v>6.3492649713236371E-2</v>
      </c>
      <c r="K346" s="3">
        <f t="shared" si="353"/>
        <v>6.3492648667878321E-2</v>
      </c>
      <c r="L346" s="3">
        <f t="shared" si="353"/>
        <v>6.3492638214298819E-2</v>
      </c>
      <c r="M346" s="3">
        <f t="shared" si="353"/>
        <v>6.3492533678598362E-2</v>
      </c>
      <c r="N346" s="3">
        <f t="shared" si="353"/>
        <v>6.3491488331059914E-2</v>
      </c>
      <c r="O346" s="3">
        <f t="shared" si="353"/>
        <v>6.3481035802217561E-2</v>
      </c>
      <c r="P346" s="3">
        <f t="shared" si="353"/>
        <v>6.3376605110378695E-2</v>
      </c>
      <c r="Q346" s="3">
        <f t="shared" si="353"/>
        <v>6.2341700477312717E-2</v>
      </c>
      <c r="R346" s="3">
        <f t="shared" si="353"/>
        <v>5.2878042549513997E-2</v>
      </c>
      <c r="S346" s="3">
        <f t="shared" si="353"/>
        <v>1.0191606036152613E-2</v>
      </c>
      <c r="T346" s="3">
        <f t="shared" si="353"/>
        <v>7.2096669195790671E-10</v>
      </c>
      <c r="U346" s="3">
        <f t="shared" si="353"/>
        <v>2.2627727455661428E-81</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2.3429910997179341E-2</v>
      </c>
      <c r="C347" s="3">
        <f t="shared" si="354"/>
        <v>2.3429910997179341E-2</v>
      </c>
      <c r="D347" s="3">
        <f t="shared" si="354"/>
        <v>2.3429910997179337E-2</v>
      </c>
      <c r="E347" s="3">
        <f t="shared" si="354"/>
        <v>2.3429910997179303E-2</v>
      </c>
      <c r="F347" s="3">
        <f t="shared" si="354"/>
        <v>2.3429910997178952E-2</v>
      </c>
      <c r="G347" s="3">
        <f t="shared" si="354"/>
        <v>2.3429910997175476E-2</v>
      </c>
      <c r="H347" s="3">
        <f t="shared" si="354"/>
        <v>2.3429910997140677E-2</v>
      </c>
      <c r="I347" s="3">
        <f t="shared" si="354"/>
        <v>2.3429910996792692E-2</v>
      </c>
      <c r="J347" s="3">
        <f t="shared" si="354"/>
        <v>2.3429910993312857E-2</v>
      </c>
      <c r="K347" s="3">
        <f t="shared" si="354"/>
        <v>2.3429910958514492E-2</v>
      </c>
      <c r="L347" s="3">
        <f t="shared" si="354"/>
        <v>2.3429910610530836E-2</v>
      </c>
      <c r="M347" s="3">
        <f t="shared" si="354"/>
        <v>2.342990713069458E-2</v>
      </c>
      <c r="N347" s="3">
        <f t="shared" si="354"/>
        <v>2.3429872332360466E-2</v>
      </c>
      <c r="O347" s="3">
        <f t="shared" si="354"/>
        <v>2.3429524351861845E-2</v>
      </c>
      <c r="P347" s="3">
        <f t="shared" si="354"/>
        <v>2.3426044831114372E-2</v>
      </c>
      <c r="Q347" s="3">
        <f t="shared" si="354"/>
        <v>2.3391278031897507E-2</v>
      </c>
      <c r="R347" s="3">
        <f t="shared" si="354"/>
        <v>2.3046435316203928E-2</v>
      </c>
      <c r="S347" s="3">
        <f t="shared" si="354"/>
        <v>1.9865607886506816E-2</v>
      </c>
      <c r="T347" s="3">
        <f t="shared" si="354"/>
        <v>4.4986565700139598E-3</v>
      </c>
      <c r="U347" s="3">
        <f t="shared" si="354"/>
        <v>1.5954847290853253E-9</v>
      </c>
      <c r="V347" s="3">
        <f t="shared" si="354"/>
        <v>5.0233191116479589E-74</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6.1780961618441606E-2</v>
      </c>
      <c r="C348" s="3">
        <f t="shared" si="355"/>
        <v>6.1780961618441606E-2</v>
      </c>
      <c r="D348" s="3">
        <f t="shared" si="355"/>
        <v>6.1780961618441606E-2</v>
      </c>
      <c r="E348" s="3">
        <f t="shared" si="355"/>
        <v>6.1780961618441578E-2</v>
      </c>
      <c r="F348" s="3">
        <f t="shared" si="355"/>
        <v>6.1780961618441321E-2</v>
      </c>
      <c r="G348" s="3">
        <f t="shared" si="355"/>
        <v>6.1780961618438789E-2</v>
      </c>
      <c r="H348" s="3">
        <f t="shared" si="355"/>
        <v>6.1780961618413406E-2</v>
      </c>
      <c r="I348" s="3">
        <f t="shared" si="355"/>
        <v>6.178096161815963E-2</v>
      </c>
      <c r="J348" s="3">
        <f t="shared" si="355"/>
        <v>6.1780961615621841E-2</v>
      </c>
      <c r="K348" s="3">
        <f t="shared" si="355"/>
        <v>6.1780961590243939E-2</v>
      </c>
      <c r="L348" s="3">
        <f t="shared" si="355"/>
        <v>6.1780961336464907E-2</v>
      </c>
      <c r="M348" s="3">
        <f t="shared" si="355"/>
        <v>6.1780958798674658E-2</v>
      </c>
      <c r="N348" s="3">
        <f t="shared" si="355"/>
        <v>6.1780933420777943E-2</v>
      </c>
      <c r="O348" s="3">
        <f t="shared" si="355"/>
        <v>6.1780679642384123E-2</v>
      </c>
      <c r="P348" s="3">
        <f t="shared" si="355"/>
        <v>6.1778141915779967E-2</v>
      </c>
      <c r="Q348" s="3">
        <f t="shared" si="355"/>
        <v>6.1752770382265974E-2</v>
      </c>
      <c r="R348" s="3">
        <f t="shared" si="355"/>
        <v>6.1499627429583002E-2</v>
      </c>
      <c r="S348" s="3">
        <f t="shared" si="355"/>
        <v>5.9024575684621966E-2</v>
      </c>
      <c r="T348" s="3">
        <f t="shared" si="355"/>
        <v>3.9141436734812907E-2</v>
      </c>
      <c r="U348" s="3">
        <f t="shared" si="355"/>
        <v>6.4368835912521633E-4</v>
      </c>
      <c r="V348" s="3">
        <f t="shared" si="355"/>
        <v>9.312463364338495E-22</v>
      </c>
      <c r="W348" s="3">
        <f t="shared" si="355"/>
        <v>3.7407079106972204E-200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4.2169062984942343E-2</v>
      </c>
      <c r="C349" s="3">
        <f t="shared" si="356"/>
        <v>4.2169062984942343E-2</v>
      </c>
      <c r="D349" s="3">
        <f t="shared" si="356"/>
        <v>4.2169062984942343E-2</v>
      </c>
      <c r="E349" s="3">
        <f t="shared" si="356"/>
        <v>4.2169062984942343E-2</v>
      </c>
      <c r="F349" s="3">
        <f t="shared" si="356"/>
        <v>4.2169062984942322E-2</v>
      </c>
      <c r="G349" s="3">
        <f t="shared" si="356"/>
        <v>4.2169062984942149E-2</v>
      </c>
      <c r="H349" s="3">
        <f t="shared" si="356"/>
        <v>4.2169062984940421E-2</v>
      </c>
      <c r="I349" s="3">
        <f t="shared" si="356"/>
        <v>4.2169062984923095E-2</v>
      </c>
      <c r="J349" s="3">
        <f t="shared" si="356"/>
        <v>4.2169062984749879E-2</v>
      </c>
      <c r="K349" s="3">
        <f t="shared" si="356"/>
        <v>4.2169062983017688E-2</v>
      </c>
      <c r="L349" s="3">
        <f t="shared" si="356"/>
        <v>4.2169062965695808E-2</v>
      </c>
      <c r="M349" s="3">
        <f t="shared" si="356"/>
        <v>4.2169062792477008E-2</v>
      </c>
      <c r="N349" s="3">
        <f t="shared" si="356"/>
        <v>4.2169061060289073E-2</v>
      </c>
      <c r="O349" s="3">
        <f t="shared" si="356"/>
        <v>4.2169043738413577E-2</v>
      </c>
      <c r="P349" s="3">
        <f t="shared" si="356"/>
        <v>4.2168870520049979E-2</v>
      </c>
      <c r="Q349" s="3">
        <f t="shared" si="356"/>
        <v>4.2167138375547752E-2</v>
      </c>
      <c r="R349" s="3">
        <f t="shared" si="356"/>
        <v>4.2149820843305645E-2</v>
      </c>
      <c r="S349" s="3">
        <f t="shared" si="356"/>
        <v>4.1977036204862976E-2</v>
      </c>
      <c r="T349" s="3">
        <f t="shared" si="356"/>
        <v>4.0287670902185352E-2</v>
      </c>
      <c r="U349" s="3">
        <f t="shared" si="356"/>
        <v>2.6716283912595659E-2</v>
      </c>
      <c r="V349" s="3">
        <f t="shared" si="356"/>
        <v>4.3935436172497249E-4</v>
      </c>
      <c r="W349" s="3">
        <f t="shared" si="356"/>
        <v>6.3562923571998564E-22</v>
      </c>
      <c r="X349" s="3">
        <f t="shared" si="356"/>
        <v>2.5532484986018276E-200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3.8068907608639936E-2</v>
      </c>
      <c r="C350" s="3">
        <f t="shared" si="357"/>
        <v>3.8068907608639936E-2</v>
      </c>
      <c r="D350" s="3">
        <f t="shared" si="357"/>
        <v>3.8068907608639936E-2</v>
      </c>
      <c r="E350" s="3">
        <f t="shared" si="357"/>
        <v>3.8068907608639936E-2</v>
      </c>
      <c r="F350" s="3">
        <f t="shared" si="357"/>
        <v>3.8068907608639936E-2</v>
      </c>
      <c r="G350" s="3">
        <f t="shared" si="357"/>
        <v>3.8068907608639922E-2</v>
      </c>
      <c r="H350" s="3">
        <f t="shared" si="357"/>
        <v>3.8068907608639763E-2</v>
      </c>
      <c r="I350" s="3">
        <f t="shared" si="357"/>
        <v>3.8068907608638201E-2</v>
      </c>
      <c r="J350" s="3">
        <f t="shared" si="357"/>
        <v>3.8068907608622561E-2</v>
      </c>
      <c r="K350" s="3">
        <f t="shared" si="357"/>
        <v>3.8068907608466186E-2</v>
      </c>
      <c r="L350" s="3">
        <f t="shared" si="357"/>
        <v>3.8068907606902416E-2</v>
      </c>
      <c r="M350" s="3">
        <f t="shared" si="357"/>
        <v>3.8068907591264772E-2</v>
      </c>
      <c r="N350" s="3">
        <f t="shared" si="357"/>
        <v>3.806890743488827E-2</v>
      </c>
      <c r="O350" s="3">
        <f t="shared" si="357"/>
        <v>3.8068905871123319E-2</v>
      </c>
      <c r="P350" s="3">
        <f t="shared" si="357"/>
        <v>3.806889023347735E-2</v>
      </c>
      <c r="Q350" s="3">
        <f t="shared" si="357"/>
        <v>3.8068733857370952E-2</v>
      </c>
      <c r="R350" s="3">
        <f t="shared" si="357"/>
        <v>3.8067170131635727E-2</v>
      </c>
      <c r="S350" s="3">
        <f t="shared" si="357"/>
        <v>3.8051536406618645E-2</v>
      </c>
      <c r="T350" s="3">
        <f t="shared" si="357"/>
        <v>3.789555185369143E-2</v>
      </c>
      <c r="U350" s="3">
        <f t="shared" si="357"/>
        <v>3.637044583822599E-2</v>
      </c>
      <c r="V350" s="3">
        <f t="shared" si="357"/>
        <v>2.4118623273131953E-2</v>
      </c>
      <c r="W350" s="3">
        <f t="shared" si="357"/>
        <v>3.9663533927546232E-4</v>
      </c>
      <c r="X350" s="3">
        <f t="shared" si="357"/>
        <v>5.738261401875357E-22</v>
      </c>
      <c r="Y350" s="3">
        <f t="shared" si="357"/>
        <v>2.3049926727060403E-200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1.8061881630202923E-2</v>
      </c>
      <c r="C351" s="3">
        <f t="shared" si="358"/>
        <v>1.8061881630202923E-2</v>
      </c>
      <c r="D351" s="3">
        <f t="shared" si="358"/>
        <v>1.8061881630202923E-2</v>
      </c>
      <c r="E351" s="3">
        <f t="shared" si="358"/>
        <v>1.8061881630202923E-2</v>
      </c>
      <c r="F351" s="3">
        <f t="shared" si="358"/>
        <v>1.8061881630202923E-2</v>
      </c>
      <c r="G351" s="3">
        <f t="shared" si="358"/>
        <v>1.8061881630202923E-2</v>
      </c>
      <c r="H351" s="3">
        <f t="shared" si="358"/>
        <v>1.8061881630202916E-2</v>
      </c>
      <c r="I351" s="3">
        <f t="shared" si="358"/>
        <v>1.806188163020284E-2</v>
      </c>
      <c r="J351" s="3">
        <f t="shared" si="358"/>
        <v>1.8061881630202097E-2</v>
      </c>
      <c r="K351" s="3">
        <f t="shared" si="358"/>
        <v>1.806188163019468E-2</v>
      </c>
      <c r="L351" s="3">
        <f t="shared" si="358"/>
        <v>1.8061881630120485E-2</v>
      </c>
      <c r="M351" s="3">
        <f t="shared" si="358"/>
        <v>1.8061881629378555E-2</v>
      </c>
      <c r="N351" s="3">
        <f t="shared" si="358"/>
        <v>1.8061881621959236E-2</v>
      </c>
      <c r="O351" s="3">
        <f t="shared" si="358"/>
        <v>1.8061881547766043E-2</v>
      </c>
      <c r="P351" s="3">
        <f t="shared" si="358"/>
        <v>1.8061880805834128E-2</v>
      </c>
      <c r="Q351" s="3">
        <f t="shared" si="358"/>
        <v>1.8061873386516679E-2</v>
      </c>
      <c r="R351" s="3">
        <f t="shared" si="358"/>
        <v>1.8061799193509816E-2</v>
      </c>
      <c r="S351" s="3">
        <f t="shared" si="358"/>
        <v>1.8061057280202977E-2</v>
      </c>
      <c r="T351" s="3">
        <f t="shared" si="358"/>
        <v>1.8053639823059194E-2</v>
      </c>
      <c r="U351" s="3">
        <f t="shared" si="358"/>
        <v>1.7979632589647743E-2</v>
      </c>
      <c r="V351" s="3">
        <f t="shared" si="358"/>
        <v>1.7256042498541596E-2</v>
      </c>
      <c r="W351" s="3">
        <f t="shared" si="358"/>
        <v>1.1443136827595724E-2</v>
      </c>
      <c r="X351" s="3">
        <f t="shared" si="358"/>
        <v>1.8818455790737938E-4</v>
      </c>
      <c r="Y351" s="3">
        <f t="shared" si="358"/>
        <v>2.7225314492689171E-22</v>
      </c>
      <c r="Z351" s="3">
        <f t="shared" si="358"/>
        <v>1.0936091269257449E-200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1.0233436786589783E-2</v>
      </c>
      <c r="C352" s="3">
        <f t="shared" si="359"/>
        <v>1.0233436786589783E-2</v>
      </c>
      <c r="D352" s="3">
        <f t="shared" si="359"/>
        <v>1.0233436786589783E-2</v>
      </c>
      <c r="E352" s="3">
        <f t="shared" si="359"/>
        <v>1.0233436786589783E-2</v>
      </c>
      <c r="F352" s="3">
        <f t="shared" si="359"/>
        <v>1.0233436786589783E-2</v>
      </c>
      <c r="G352" s="3">
        <f t="shared" si="359"/>
        <v>1.0233436786589783E-2</v>
      </c>
      <c r="H352" s="3">
        <f t="shared" si="359"/>
        <v>1.0233436786589783E-2</v>
      </c>
      <c r="I352" s="3">
        <f t="shared" si="359"/>
        <v>1.0233436786589778E-2</v>
      </c>
      <c r="J352" s="3">
        <f t="shared" si="359"/>
        <v>1.0233436786589736E-2</v>
      </c>
      <c r="K352" s="3">
        <f t="shared" si="359"/>
        <v>1.0233436786589317E-2</v>
      </c>
      <c r="L352" s="3">
        <f t="shared" si="359"/>
        <v>1.0233436786585113E-2</v>
      </c>
      <c r="M352" s="3">
        <f t="shared" si="359"/>
        <v>1.0233436786543076E-2</v>
      </c>
      <c r="N352" s="3">
        <f t="shared" si="359"/>
        <v>1.0233436786122716E-2</v>
      </c>
      <c r="O352" s="3">
        <f t="shared" si="359"/>
        <v>1.0233436781919104E-2</v>
      </c>
      <c r="P352" s="3">
        <f t="shared" si="359"/>
        <v>1.0233436739882987E-2</v>
      </c>
      <c r="Q352" s="3">
        <f t="shared" si="359"/>
        <v>1.0233436319521838E-2</v>
      </c>
      <c r="R352" s="3">
        <f t="shared" si="359"/>
        <v>1.0233432115911292E-2</v>
      </c>
      <c r="S352" s="3">
        <f t="shared" si="359"/>
        <v>1.0233390079900798E-2</v>
      </c>
      <c r="T352" s="3">
        <f t="shared" si="359"/>
        <v>1.0232969729292697E-2</v>
      </c>
      <c r="U352" s="3">
        <f t="shared" si="359"/>
        <v>1.0228767172751124E-2</v>
      </c>
      <c r="V352" s="3">
        <f t="shared" si="359"/>
        <v>1.0186836417120435E-2</v>
      </c>
      <c r="W352" s="3">
        <f t="shared" si="359"/>
        <v>9.7768673115564159E-3</v>
      </c>
      <c r="X352" s="3">
        <f t="shared" si="359"/>
        <v>6.4834118483912779E-3</v>
      </c>
      <c r="Y352" s="3">
        <f t="shared" si="359"/>
        <v>1.0662093889139697E-4</v>
      </c>
      <c r="Z352" s="3">
        <f t="shared" si="359"/>
        <v>1.5425222053834885E-22</v>
      </c>
      <c r="AA352" s="3">
        <f t="shared" si="359"/>
        <v>6.1961317756164037E-201</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4.802496116573597E-3</v>
      </c>
      <c r="C353" s="3">
        <f t="shared" si="360"/>
        <v>4.802496116573597E-3</v>
      </c>
      <c r="D353" s="3">
        <f t="shared" si="360"/>
        <v>4.802496116573597E-3</v>
      </c>
      <c r="E353" s="3">
        <f t="shared" si="360"/>
        <v>4.802496116573597E-3</v>
      </c>
      <c r="F353" s="3">
        <f t="shared" si="360"/>
        <v>4.802496116573597E-3</v>
      </c>
      <c r="G353" s="3">
        <f t="shared" si="360"/>
        <v>4.802496116573597E-3</v>
      </c>
      <c r="H353" s="3">
        <f t="shared" si="360"/>
        <v>4.802496116573597E-3</v>
      </c>
      <c r="I353" s="3">
        <f t="shared" si="360"/>
        <v>4.802496116573597E-3</v>
      </c>
      <c r="J353" s="3">
        <f t="shared" si="360"/>
        <v>4.8024961165735952E-3</v>
      </c>
      <c r="K353" s="3">
        <f t="shared" si="360"/>
        <v>4.8024961165735753E-3</v>
      </c>
      <c r="L353" s="3">
        <f t="shared" si="360"/>
        <v>4.8024961165733775E-3</v>
      </c>
      <c r="M353" s="3">
        <f t="shared" si="360"/>
        <v>4.8024961165714052E-3</v>
      </c>
      <c r="N353" s="3">
        <f t="shared" si="360"/>
        <v>4.8024961165516779E-3</v>
      </c>
      <c r="O353" s="3">
        <f t="shared" si="360"/>
        <v>4.8024961163544043E-3</v>
      </c>
      <c r="P353" s="3">
        <f t="shared" si="360"/>
        <v>4.8024961143816724E-3</v>
      </c>
      <c r="Q353" s="3">
        <f t="shared" si="360"/>
        <v>4.8024960946543519E-3</v>
      </c>
      <c r="R353" s="3">
        <f t="shared" si="360"/>
        <v>4.8024958973811559E-3</v>
      </c>
      <c r="S353" s="3">
        <f t="shared" si="360"/>
        <v>4.8024939246496335E-3</v>
      </c>
      <c r="T353" s="3">
        <f t="shared" si="360"/>
        <v>4.8024741973789848E-3</v>
      </c>
      <c r="U353" s="3">
        <f t="shared" si="360"/>
        <v>4.8022769291293154E-3</v>
      </c>
      <c r="V353" s="3">
        <f t="shared" si="360"/>
        <v>4.8003046922462933E-3</v>
      </c>
      <c r="W353" s="3">
        <f t="shared" si="360"/>
        <v>4.7806268171315253E-3</v>
      </c>
      <c r="X353" s="3">
        <f t="shared" si="360"/>
        <v>4.5882305500273574E-3</v>
      </c>
      <c r="Y353" s="3">
        <f t="shared" si="360"/>
        <v>3.0426298489329298E-3</v>
      </c>
      <c r="Z353" s="3">
        <f t="shared" si="360"/>
        <v>5.0036625588225333E-5</v>
      </c>
      <c r="AA353" s="3">
        <f t="shared" si="360"/>
        <v>7.2389726497263983E-23</v>
      </c>
      <c r="AB353" s="3">
        <f t="shared" si="360"/>
        <v>2.9078108763197148E-201</v>
      </c>
      <c r="AC353" s="3">
        <f t="shared" si="360"/>
        <v>0</v>
      </c>
      <c r="AD353" s="3">
        <f t="shared" si="360"/>
        <v>0</v>
      </c>
      <c r="AE353" s="3">
        <f t="shared" si="360"/>
        <v>0</v>
      </c>
      <c r="AF353" s="3">
        <f t="shared" si="360"/>
        <v>0</v>
      </c>
      <c r="AG353" s="3"/>
      <c r="AH353" s="3"/>
    </row>
    <row r="354" spans="1:34" x14ac:dyDescent="0.25">
      <c r="B354" s="3">
        <f t="shared" ref="B354:AF354" si="361">$C45*EXP(-B$363/$A45/EXP(-$G$126))</f>
        <v>2.5220120484412234E-3</v>
      </c>
      <c r="C354" s="3">
        <f t="shared" si="361"/>
        <v>2.5220120484412234E-3</v>
      </c>
      <c r="D354" s="3">
        <f t="shared" si="361"/>
        <v>2.5220120484412234E-3</v>
      </c>
      <c r="E354" s="3">
        <f t="shared" si="361"/>
        <v>2.5220120484412234E-3</v>
      </c>
      <c r="F354" s="3">
        <f t="shared" si="361"/>
        <v>2.5220120484412234E-3</v>
      </c>
      <c r="G354" s="3">
        <f t="shared" si="361"/>
        <v>2.5220120484412234E-3</v>
      </c>
      <c r="H354" s="3">
        <f t="shared" si="361"/>
        <v>2.5220120484412234E-3</v>
      </c>
      <c r="I354" s="3">
        <f t="shared" si="361"/>
        <v>2.5220120484412234E-3</v>
      </c>
      <c r="J354" s="3">
        <f t="shared" si="361"/>
        <v>2.5220120484412234E-3</v>
      </c>
      <c r="K354" s="3">
        <f t="shared" si="361"/>
        <v>2.5220120484412221E-3</v>
      </c>
      <c r="L354" s="3">
        <f t="shared" si="361"/>
        <v>2.5220120484412121E-3</v>
      </c>
      <c r="M354" s="3">
        <f t="shared" si="361"/>
        <v>2.5220120484411085E-3</v>
      </c>
      <c r="N354" s="3">
        <f t="shared" si="361"/>
        <v>2.5220120484400724E-3</v>
      </c>
      <c r="O354" s="3">
        <f t="shared" si="361"/>
        <v>2.5220120484297126E-3</v>
      </c>
      <c r="P354" s="3">
        <f t="shared" si="361"/>
        <v>2.5220120483261154E-3</v>
      </c>
      <c r="Q354" s="3">
        <f t="shared" si="361"/>
        <v>2.5220120472901428E-3</v>
      </c>
      <c r="R354" s="3">
        <f t="shared" si="361"/>
        <v>2.5220120369304176E-3</v>
      </c>
      <c r="S354" s="3">
        <f t="shared" si="361"/>
        <v>2.5220119333331701E-3</v>
      </c>
      <c r="T354" s="3">
        <f t="shared" si="361"/>
        <v>2.5220108973609289E-3</v>
      </c>
      <c r="U354" s="3">
        <f t="shared" si="361"/>
        <v>2.5220005376619201E-3</v>
      </c>
      <c r="V354" s="3">
        <f t="shared" si="361"/>
        <v>2.5218969430123115E-3</v>
      </c>
      <c r="W354" s="3">
        <f t="shared" si="361"/>
        <v>2.5208612305285061E-3</v>
      </c>
      <c r="X354" s="3">
        <f t="shared" si="361"/>
        <v>2.5105274713910653E-3</v>
      </c>
      <c r="Y354" s="3">
        <f t="shared" si="361"/>
        <v>2.4094913243680005E-3</v>
      </c>
      <c r="Z354" s="3">
        <f t="shared" si="361"/>
        <v>1.5978251625178911E-3</v>
      </c>
      <c r="AA354" s="3">
        <f t="shared" si="361"/>
        <v>2.6276538186329802E-5</v>
      </c>
      <c r="AB354" s="3">
        <f t="shared" si="361"/>
        <v>3.8015181684252974E-23</v>
      </c>
      <c r="AC354" s="3">
        <f t="shared" si="361"/>
        <v>1.527025506456621E-201</v>
      </c>
      <c r="AD354" s="3">
        <f t="shared" si="361"/>
        <v>0</v>
      </c>
      <c r="AE354" s="3">
        <f t="shared" si="361"/>
        <v>0</v>
      </c>
      <c r="AF354" s="3">
        <f t="shared" si="361"/>
        <v>0</v>
      </c>
      <c r="AG354" s="3"/>
      <c r="AH354" s="3"/>
    </row>
    <row r="355" spans="1:34" x14ac:dyDescent="0.25">
      <c r="B355" s="3">
        <f t="shared" ref="B355:AF355" si="362">$C46*EXP(-B$363/$A46/EXP(-$G$126))</f>
        <v>2.1848474936022057E-3</v>
      </c>
      <c r="C355" s="3">
        <f t="shared" si="362"/>
        <v>2.1848474936022057E-3</v>
      </c>
      <c r="D355" s="3">
        <f t="shared" si="362"/>
        <v>2.1848474936022057E-3</v>
      </c>
      <c r="E355" s="3">
        <f t="shared" si="362"/>
        <v>2.1848474936022057E-3</v>
      </c>
      <c r="F355" s="3">
        <f t="shared" si="362"/>
        <v>2.1848474936022057E-3</v>
      </c>
      <c r="G355" s="3">
        <f t="shared" si="362"/>
        <v>2.1848474936022057E-3</v>
      </c>
      <c r="H355" s="3">
        <f t="shared" si="362"/>
        <v>2.1848474936022057E-3</v>
      </c>
      <c r="I355" s="3">
        <f t="shared" si="362"/>
        <v>2.1848474936022057E-3</v>
      </c>
      <c r="J355" s="3">
        <f t="shared" si="362"/>
        <v>2.1848474936022057E-3</v>
      </c>
      <c r="K355" s="3">
        <f t="shared" si="362"/>
        <v>2.1848474936022057E-3</v>
      </c>
      <c r="L355" s="3">
        <f t="shared" si="362"/>
        <v>2.1848474936022049E-3</v>
      </c>
      <c r="M355" s="3">
        <f t="shared" si="362"/>
        <v>2.1848474936021958E-3</v>
      </c>
      <c r="N355" s="3">
        <f t="shared" si="362"/>
        <v>2.184847493602106E-3</v>
      </c>
      <c r="O355" s="3">
        <f t="shared" si="362"/>
        <v>2.1848474936012087E-3</v>
      </c>
      <c r="P355" s="3">
        <f t="shared" si="362"/>
        <v>2.1848474935922337E-3</v>
      </c>
      <c r="Q355" s="3">
        <f t="shared" si="362"/>
        <v>2.1848474935024864E-3</v>
      </c>
      <c r="R355" s="3">
        <f t="shared" si="362"/>
        <v>2.1848474926050116E-3</v>
      </c>
      <c r="S355" s="3">
        <f t="shared" si="362"/>
        <v>2.1848474836302649E-3</v>
      </c>
      <c r="T355" s="3">
        <f t="shared" si="362"/>
        <v>2.1848473938828007E-3</v>
      </c>
      <c r="U355" s="3">
        <f t="shared" si="362"/>
        <v>2.1848464964083587E-3</v>
      </c>
      <c r="V355" s="3">
        <f t="shared" si="362"/>
        <v>2.1848375216842182E-3</v>
      </c>
      <c r="W355" s="3">
        <f t="shared" si="362"/>
        <v>2.184747776470397E-3</v>
      </c>
      <c r="X355" s="3">
        <f t="shared" si="362"/>
        <v>2.18385052705966E-3</v>
      </c>
      <c r="Y355" s="3">
        <f t="shared" si="362"/>
        <v>2.1748982749223715E-3</v>
      </c>
      <c r="Z355" s="3">
        <f t="shared" si="362"/>
        <v>2.0873695207584073E-3</v>
      </c>
      <c r="AA355" s="3">
        <f t="shared" si="362"/>
        <v>1.3842139666618292E-3</v>
      </c>
      <c r="AB355" s="3">
        <f t="shared" si="362"/>
        <v>2.2763661510827746E-5</v>
      </c>
      <c r="AC355" s="3">
        <f t="shared" si="362"/>
        <v>3.2932980821010646E-23</v>
      </c>
      <c r="AD355" s="3">
        <f t="shared" si="362"/>
        <v>1.3228794257785013E-201</v>
      </c>
      <c r="AE355" s="3">
        <f t="shared" si="362"/>
        <v>0</v>
      </c>
      <c r="AF355" s="3">
        <f t="shared" si="362"/>
        <v>0</v>
      </c>
      <c r="AG355" s="3"/>
      <c r="AH355" s="3"/>
    </row>
    <row r="356" spans="1:34" x14ac:dyDescent="0.25">
      <c r="B356" s="3">
        <f t="shared" ref="B356:AF356" si="363">$C47*EXP(-B$363/$A47/EXP(-$G$126))</f>
        <v>3.6320293099179269E-4</v>
      </c>
      <c r="C356" s="3">
        <f t="shared" si="363"/>
        <v>3.6320293099179269E-4</v>
      </c>
      <c r="D356" s="3">
        <f t="shared" si="363"/>
        <v>3.6320293099179269E-4</v>
      </c>
      <c r="E356" s="3">
        <f t="shared" si="363"/>
        <v>3.6320293099179269E-4</v>
      </c>
      <c r="F356" s="3">
        <f t="shared" si="363"/>
        <v>3.6320293099179269E-4</v>
      </c>
      <c r="G356" s="3">
        <f t="shared" si="363"/>
        <v>3.6320293099179269E-4</v>
      </c>
      <c r="H356" s="3">
        <f t="shared" si="363"/>
        <v>3.6320293099179269E-4</v>
      </c>
      <c r="I356" s="3">
        <f t="shared" si="363"/>
        <v>3.6320293099179269E-4</v>
      </c>
      <c r="J356" s="3">
        <f t="shared" si="363"/>
        <v>3.6320293099179269E-4</v>
      </c>
      <c r="K356" s="3">
        <f t="shared" si="363"/>
        <v>3.6320293099179269E-4</v>
      </c>
      <c r="L356" s="3">
        <f t="shared" si="363"/>
        <v>3.6320293099179269E-4</v>
      </c>
      <c r="M356" s="3">
        <f t="shared" si="363"/>
        <v>3.6320293099179253E-4</v>
      </c>
      <c r="N356" s="3">
        <f t="shared" si="363"/>
        <v>3.6320293099179106E-4</v>
      </c>
      <c r="O356" s="3">
        <f t="shared" si="363"/>
        <v>3.632029309917761E-4</v>
      </c>
      <c r="P356" s="3">
        <f t="shared" si="363"/>
        <v>3.6320293099162691E-4</v>
      </c>
      <c r="Q356" s="3">
        <f t="shared" si="363"/>
        <v>3.63202930990135E-4</v>
      </c>
      <c r="R356" s="3">
        <f t="shared" si="363"/>
        <v>3.6320293097521562E-4</v>
      </c>
      <c r="S356" s="3">
        <f t="shared" si="363"/>
        <v>3.6320293082602192E-4</v>
      </c>
      <c r="T356" s="3">
        <f t="shared" si="363"/>
        <v>3.6320292933408519E-4</v>
      </c>
      <c r="U356" s="3">
        <f t="shared" si="363"/>
        <v>3.6320291441471791E-4</v>
      </c>
      <c r="V356" s="3">
        <f t="shared" si="363"/>
        <v>3.6320276522107918E-4</v>
      </c>
      <c r="W356" s="3">
        <f t="shared" si="363"/>
        <v>3.6320127328806222E-4</v>
      </c>
      <c r="X356" s="3">
        <f t="shared" si="363"/>
        <v>3.6318635429495268E-4</v>
      </c>
      <c r="Y356" s="3">
        <f t="shared" si="363"/>
        <v>3.6303719806470572E-4</v>
      </c>
      <c r="Z356" s="3">
        <f t="shared" si="363"/>
        <v>3.6154900073067579E-4</v>
      </c>
      <c r="AA356" s="3">
        <f t="shared" si="363"/>
        <v>3.4699846566976046E-4</v>
      </c>
      <c r="AB356" s="3">
        <f t="shared" si="363"/>
        <v>2.301078547969754E-4</v>
      </c>
      <c r="AC356" s="3">
        <f t="shared" si="363"/>
        <v>3.7841673641057426E-6</v>
      </c>
      <c r="AD356" s="3">
        <f t="shared" si="363"/>
        <v>5.4746865378537771E-24</v>
      </c>
      <c r="AE356" s="3">
        <f t="shared" si="363"/>
        <v>2.1991177242276251E-202</v>
      </c>
      <c r="AF356" s="3">
        <f t="shared" si="363"/>
        <v>0</v>
      </c>
      <c r="AG356" s="3"/>
      <c r="AH356" s="3"/>
    </row>
    <row r="357" spans="1:34" x14ac:dyDescent="0.25">
      <c r="B357" s="3">
        <f t="shared" ref="B357:AF357" si="364">$C48*EXP(-B$363/$A48/EXP(-$G$126))</f>
        <v>1.8415595868786856E-3</v>
      </c>
      <c r="C357" s="3">
        <f t="shared" si="364"/>
        <v>1.8415595868786856E-3</v>
      </c>
      <c r="D357" s="3">
        <f t="shared" si="364"/>
        <v>1.8415595868786856E-3</v>
      </c>
      <c r="E357" s="3">
        <f t="shared" si="364"/>
        <v>1.8415595868786856E-3</v>
      </c>
      <c r="F357" s="3">
        <f t="shared" si="364"/>
        <v>1.8415595868786856E-3</v>
      </c>
      <c r="G357" s="3">
        <f t="shared" si="364"/>
        <v>1.8415595868786856E-3</v>
      </c>
      <c r="H357" s="3">
        <f t="shared" si="364"/>
        <v>1.8415595868786856E-3</v>
      </c>
      <c r="I357" s="3">
        <f t="shared" si="364"/>
        <v>1.8415595868786856E-3</v>
      </c>
      <c r="J357" s="3">
        <f t="shared" si="364"/>
        <v>1.8415595868786856E-3</v>
      </c>
      <c r="K357" s="3">
        <f t="shared" si="364"/>
        <v>1.8415595868786856E-3</v>
      </c>
      <c r="L357" s="3">
        <f t="shared" si="364"/>
        <v>1.8415595868786856E-3</v>
      </c>
      <c r="M357" s="3">
        <f t="shared" si="364"/>
        <v>1.8415595868786856E-3</v>
      </c>
      <c r="N357" s="3">
        <f t="shared" si="364"/>
        <v>1.8415595868786847E-3</v>
      </c>
      <c r="O357" s="3">
        <f t="shared" si="364"/>
        <v>1.8415595868786772E-3</v>
      </c>
      <c r="P357" s="3">
        <f t="shared" si="364"/>
        <v>1.8415595868786015E-3</v>
      </c>
      <c r="Q357" s="3">
        <f t="shared" si="364"/>
        <v>1.8415595868778451E-3</v>
      </c>
      <c r="R357" s="3">
        <f t="shared" si="364"/>
        <v>1.8415595868702804E-3</v>
      </c>
      <c r="S357" s="3">
        <f t="shared" si="364"/>
        <v>1.8415595867946344E-3</v>
      </c>
      <c r="T357" s="3">
        <f t="shared" si="364"/>
        <v>1.8415595860381728E-3</v>
      </c>
      <c r="U357" s="3">
        <f t="shared" si="364"/>
        <v>1.8415595784735575E-3</v>
      </c>
      <c r="V357" s="3">
        <f t="shared" si="364"/>
        <v>1.8415595028274064E-3</v>
      </c>
      <c r="W357" s="3">
        <f t="shared" si="364"/>
        <v>1.8415587463660667E-3</v>
      </c>
      <c r="X357" s="3">
        <f t="shared" si="364"/>
        <v>1.8415511817697601E-3</v>
      </c>
      <c r="Y357" s="3">
        <f t="shared" si="364"/>
        <v>1.8414755375156997E-3</v>
      </c>
      <c r="Z357" s="3">
        <f t="shared" si="364"/>
        <v>1.8407192658495986E-3</v>
      </c>
      <c r="AA357" s="3">
        <f t="shared" si="364"/>
        <v>1.8331736106970743E-3</v>
      </c>
      <c r="AB357" s="3">
        <f t="shared" si="364"/>
        <v>1.7593975614166554E-3</v>
      </c>
      <c r="AC357" s="3">
        <f t="shared" si="364"/>
        <v>1.1667233104653394E-3</v>
      </c>
      <c r="AD357" s="3">
        <f t="shared" si="364"/>
        <v>1.9186986373410764E-5</v>
      </c>
      <c r="AE357" s="3">
        <f t="shared" si="364"/>
        <v>2.7758480504024695E-23</v>
      </c>
      <c r="AF357" s="3">
        <f t="shared" si="364"/>
        <v>1.1150257837037482E-201</v>
      </c>
      <c r="AG357" s="3"/>
      <c r="AH357" s="3"/>
    </row>
    <row r="358" spans="1:34" x14ac:dyDescent="0.25">
      <c r="A358" s="79">
        <f>AVERAGE(B358:AF358)</f>
        <v>2.3441264316721371E-2</v>
      </c>
      <c r="B358" s="80">
        <f>IF($A$64&lt;=B324,IF($B$64&gt;=B324,ABS((B326-B325)/B325),0),0)</f>
        <v>1.2004468055908197E-2</v>
      </c>
      <c r="C358" s="80">
        <f t="shared" ref="C358:AF358" si="365">IF($A$64&lt;=C324,IF($B$64&gt;=C324,ABS((C326-C325)/C325),0),0)</f>
        <v>1.8705895006165103E-2</v>
      </c>
      <c r="D358" s="80">
        <f t="shared" si="365"/>
        <v>2.0008308528032741E-2</v>
      </c>
      <c r="E358" s="80">
        <f t="shared" si="365"/>
        <v>1.9334105479090664E-2</v>
      </c>
      <c r="F358" s="80">
        <f t="shared" si="365"/>
        <v>2.1089277451642355E-2</v>
      </c>
      <c r="G358" s="80">
        <f t="shared" si="365"/>
        <v>2.2796888097440279E-2</v>
      </c>
      <c r="H358" s="80">
        <f t="shared" si="365"/>
        <v>2.2552795824454096E-2</v>
      </c>
      <c r="I358" s="80">
        <f t="shared" si="365"/>
        <v>1.9923325305442632E-2</v>
      </c>
      <c r="J358" s="80">
        <f t="shared" si="365"/>
        <v>1.9320330843132432E-2</v>
      </c>
      <c r="K358" s="80">
        <f t="shared" si="365"/>
        <v>1.9520557809317142E-2</v>
      </c>
      <c r="L358" s="80">
        <f t="shared" si="365"/>
        <v>1.8773465703979697E-2</v>
      </c>
      <c r="M358" s="80">
        <f t="shared" si="365"/>
        <v>1.8909165155012612E-2</v>
      </c>
      <c r="N358" s="80">
        <f t="shared" si="365"/>
        <v>1.8307858249428027E-2</v>
      </c>
      <c r="O358" s="80">
        <f t="shared" si="365"/>
        <v>5.4089769173639177E-3</v>
      </c>
      <c r="P358" s="80">
        <f t="shared" si="365"/>
        <v>3.8388584585971441E-2</v>
      </c>
      <c r="Q358" s="80">
        <f t="shared" si="365"/>
        <v>7.6539037901991028E-2</v>
      </c>
      <c r="R358" s="80">
        <f t="shared" si="365"/>
        <v>7.4280814123777905E-2</v>
      </c>
      <c r="S358" s="80">
        <f t="shared" si="365"/>
        <v>5.3833207535429521E-2</v>
      </c>
      <c r="T358" s="80">
        <f t="shared" si="365"/>
        <v>9.8349896230223964E-3</v>
      </c>
      <c r="U358" s="80">
        <f t="shared" si="365"/>
        <v>7.9285956116960463E-3</v>
      </c>
      <c r="V358" s="80">
        <f t="shared" si="365"/>
        <v>3.4264404804946393E-2</v>
      </c>
      <c r="W358" s="80">
        <f t="shared" si="365"/>
        <v>2.1443598587744361E-2</v>
      </c>
      <c r="X358" s="80">
        <f t="shared" si="365"/>
        <v>1.1716228587082806E-2</v>
      </c>
      <c r="Y358" s="80">
        <f t="shared" si="365"/>
        <v>6.0669576597068035E-3</v>
      </c>
      <c r="Z358" s="80">
        <f t="shared" si="365"/>
        <v>2.2110407718566455E-3</v>
      </c>
      <c r="AA358" s="80">
        <f t="shared" si="365"/>
        <v>4.5233028797417568E-3</v>
      </c>
      <c r="AB358" s="80">
        <f t="shared" si="365"/>
        <v>5.4994515238124663E-3</v>
      </c>
      <c r="AC358" s="80">
        <f t="shared" si="365"/>
        <v>1.0761355149672152E-2</v>
      </c>
      <c r="AD358" s="80">
        <f t="shared" si="365"/>
        <v>3.3325811523554717E-2</v>
      </c>
      <c r="AE358" s="80">
        <f t="shared" si="365"/>
        <v>3.9439956188050795E-2</v>
      </c>
      <c r="AF358" s="80">
        <f t="shared" si="365"/>
        <v>3.9966438333895564E-2</v>
      </c>
    </row>
    <row r="359" spans="1:34" x14ac:dyDescent="0.25">
      <c r="B359" s="21">
        <f>(B326-B325)^2</f>
        <v>12064.58319560328</v>
      </c>
      <c r="C359" s="21">
        <f t="shared" ref="C359:AF359" si="366">(C326-C325)^2</f>
        <v>27222.099590589296</v>
      </c>
      <c r="D359" s="21">
        <f t="shared" si="366"/>
        <v>29154.998729789528</v>
      </c>
      <c r="E359" s="21">
        <f t="shared" si="366"/>
        <v>25588.679315716254</v>
      </c>
      <c r="F359" s="21">
        <f t="shared" si="366"/>
        <v>28315.857437255232</v>
      </c>
      <c r="G359" s="21">
        <f t="shared" si="366"/>
        <v>30218.101108448438</v>
      </c>
      <c r="H359" s="21">
        <f t="shared" si="366"/>
        <v>26742.630491623091</v>
      </c>
      <c r="I359" s="21">
        <f t="shared" si="366"/>
        <v>19032.117953816913</v>
      </c>
      <c r="J359" s="21">
        <f t="shared" si="366"/>
        <v>16477.194452934524</v>
      </c>
      <c r="K359" s="21">
        <f t="shared" si="366"/>
        <v>15414.556632378917</v>
      </c>
      <c r="L359" s="21">
        <f t="shared" si="366"/>
        <v>13016.449378166109</v>
      </c>
      <c r="M359" s="21">
        <f t="shared" si="366"/>
        <v>12004.775420355903</v>
      </c>
      <c r="N359" s="21">
        <f t="shared" si="366"/>
        <v>10129.765632561601</v>
      </c>
      <c r="O359" s="21">
        <f t="shared" si="366"/>
        <v>773.66991012542462</v>
      </c>
      <c r="P359" s="21">
        <f t="shared" si="366"/>
        <v>33324.604074898132</v>
      </c>
      <c r="Q359" s="21">
        <f t="shared" si="366"/>
        <v>106310.47683457863</v>
      </c>
      <c r="R359" s="21">
        <f t="shared" si="366"/>
        <v>71861.857561375786</v>
      </c>
      <c r="S359" s="21">
        <f t="shared" si="366"/>
        <v>24286.602170332262</v>
      </c>
      <c r="T359" s="21">
        <f t="shared" si="366"/>
        <v>471.59261553637401</v>
      </c>
      <c r="U359" s="21">
        <f t="shared" si="366"/>
        <v>159.07317913864327</v>
      </c>
      <c r="V359" s="21">
        <f t="shared" si="366"/>
        <v>1510.8603915803048</v>
      </c>
      <c r="W359" s="21">
        <f t="shared" si="366"/>
        <v>315.33361055153762</v>
      </c>
      <c r="X359" s="21">
        <f t="shared" si="366"/>
        <v>62.512957229183293</v>
      </c>
      <c r="Y359" s="21">
        <f t="shared" si="366"/>
        <v>12.840389851192132</v>
      </c>
      <c r="Z359" s="21">
        <f t="shared" si="366"/>
        <v>1.4915395371869278</v>
      </c>
      <c r="AA359" s="21">
        <f t="shared" si="366"/>
        <v>5.6071251451532245</v>
      </c>
      <c r="AB359" s="21">
        <f t="shared" si="366"/>
        <v>7.9184479026883858</v>
      </c>
      <c r="AC359" s="21">
        <f t="shared" si="366"/>
        <v>28.31630810878767</v>
      </c>
      <c r="AD359" s="21">
        <f t="shared" si="366"/>
        <v>247.0982036408177</v>
      </c>
      <c r="AE359" s="21">
        <f t="shared" si="366"/>
        <v>341.73419457384398</v>
      </c>
      <c r="AF359" s="21">
        <f t="shared" si="366"/>
        <v>350.56346293327664</v>
      </c>
      <c r="AG359" s="3"/>
      <c r="AH359" s="3"/>
    </row>
    <row r="360" spans="1:34" x14ac:dyDescent="0.25">
      <c r="A360" s="71">
        <f>SUM(B360:AF360)</f>
        <v>505453.96231627843</v>
      </c>
      <c r="B360" s="60">
        <f>IF($A$64&lt;=B324,IF($B$64&gt;=B324,ABS(B359),0),0)</f>
        <v>12064.58319560328</v>
      </c>
      <c r="C360" s="60">
        <f t="shared" ref="C360:AF360" si="367">IF($A$64&lt;=C324,IF($B$64&gt;=C324,ABS(C359),0),0)</f>
        <v>27222.099590589296</v>
      </c>
      <c r="D360" s="60">
        <f t="shared" si="367"/>
        <v>29154.998729789528</v>
      </c>
      <c r="E360" s="60">
        <f t="shared" si="367"/>
        <v>25588.679315716254</v>
      </c>
      <c r="F360" s="60">
        <f t="shared" si="367"/>
        <v>28315.857437255232</v>
      </c>
      <c r="G360" s="60">
        <f t="shared" si="367"/>
        <v>30218.101108448438</v>
      </c>
      <c r="H360" s="60">
        <f t="shared" si="367"/>
        <v>26742.630491623091</v>
      </c>
      <c r="I360" s="60">
        <f t="shared" si="367"/>
        <v>19032.117953816913</v>
      </c>
      <c r="J360" s="60">
        <f t="shared" si="367"/>
        <v>16477.194452934524</v>
      </c>
      <c r="K360" s="60">
        <f t="shared" si="367"/>
        <v>15414.556632378917</v>
      </c>
      <c r="L360" s="60">
        <f t="shared" si="367"/>
        <v>13016.449378166109</v>
      </c>
      <c r="M360" s="60">
        <f t="shared" si="367"/>
        <v>12004.775420355903</v>
      </c>
      <c r="N360" s="60">
        <f t="shared" si="367"/>
        <v>10129.765632561601</v>
      </c>
      <c r="O360" s="60">
        <f t="shared" si="367"/>
        <v>773.66991012542462</v>
      </c>
      <c r="P360" s="60">
        <f t="shared" si="367"/>
        <v>33324.604074898132</v>
      </c>
      <c r="Q360" s="60">
        <f t="shared" si="367"/>
        <v>106310.47683457863</v>
      </c>
      <c r="R360" s="60">
        <f t="shared" si="367"/>
        <v>71861.857561375786</v>
      </c>
      <c r="S360" s="60">
        <f t="shared" si="367"/>
        <v>24286.602170332262</v>
      </c>
      <c r="T360" s="60">
        <f t="shared" si="367"/>
        <v>471.59261553637401</v>
      </c>
      <c r="U360" s="60">
        <f t="shared" si="367"/>
        <v>159.07317913864327</v>
      </c>
      <c r="V360" s="60">
        <f t="shared" si="367"/>
        <v>1510.8603915803048</v>
      </c>
      <c r="W360" s="60">
        <f t="shared" si="367"/>
        <v>315.33361055153762</v>
      </c>
      <c r="X360" s="60">
        <f t="shared" si="367"/>
        <v>62.512957229183293</v>
      </c>
      <c r="Y360" s="60">
        <f t="shared" si="367"/>
        <v>12.840389851192132</v>
      </c>
      <c r="Z360" s="60">
        <f t="shared" si="367"/>
        <v>1.4915395371869278</v>
      </c>
      <c r="AA360" s="60">
        <f t="shared" si="367"/>
        <v>5.6071251451532245</v>
      </c>
      <c r="AB360" s="60">
        <f t="shared" si="367"/>
        <v>7.9184479026883858</v>
      </c>
      <c r="AC360" s="60">
        <f t="shared" si="367"/>
        <v>28.31630810878767</v>
      </c>
      <c r="AD360" s="60">
        <f t="shared" si="367"/>
        <v>247.0982036408177</v>
      </c>
      <c r="AE360" s="60">
        <f t="shared" si="367"/>
        <v>341.73419457384398</v>
      </c>
      <c r="AF360" s="60">
        <f t="shared" si="367"/>
        <v>350.56346293327664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8567.6793523007018</v>
      </c>
      <c r="C365" s="27">
        <f t="shared" ref="C365:AF365" si="368">($C$17+SUM(C366:C396))*$B$51</f>
        <v>8301.5111459893633</v>
      </c>
      <c r="D365" s="27">
        <f t="shared" si="368"/>
        <v>7985.2760789847089</v>
      </c>
      <c r="E365" s="27">
        <f t="shared" si="368"/>
        <v>7613.2554409086642</v>
      </c>
      <c r="F365" s="27">
        <f t="shared" si="368"/>
        <v>7239.7911589376408</v>
      </c>
      <c r="G365" s="27">
        <f t="shared" si="368"/>
        <v>6928.183408361393</v>
      </c>
      <c r="H365" s="27">
        <f t="shared" si="368"/>
        <v>6643.9531284837194</v>
      </c>
      <c r="I365" s="27">
        <f t="shared" si="368"/>
        <v>6355.9403641051213</v>
      </c>
      <c r="J365" s="27">
        <f t="shared" si="368"/>
        <v>6068.6400777062963</v>
      </c>
      <c r="K365" s="27">
        <f t="shared" si="368"/>
        <v>5782.5054660305777</v>
      </c>
      <c r="L365" s="27">
        <f t="shared" si="368"/>
        <v>5435.1074721978493</v>
      </c>
      <c r="M365" s="27">
        <f t="shared" si="368"/>
        <v>4937.0712143192877</v>
      </c>
      <c r="N365" s="27">
        <f t="shared" si="368"/>
        <v>4312.6967166759941</v>
      </c>
      <c r="O365" s="27">
        <f t="shared" si="368"/>
        <v>3687.1707128633507</v>
      </c>
      <c r="P365" s="27">
        <f t="shared" si="368"/>
        <v>3088.7338197190547</v>
      </c>
      <c r="Q365" s="27">
        <f t="shared" si="368"/>
        <v>2522.680144665283</v>
      </c>
      <c r="R365" s="27">
        <f t="shared" si="368"/>
        <v>1907.2598693420578</v>
      </c>
      <c r="S365" s="27">
        <f t="shared" si="368"/>
        <v>1400.8303374175889</v>
      </c>
      <c r="T365" s="27">
        <f t="shared" si="368"/>
        <v>1005.9492277152478</v>
      </c>
      <c r="U365" s="27">
        <f t="shared" si="368"/>
        <v>763.08526955508523</v>
      </c>
      <c r="V365" s="27">
        <f t="shared" si="368"/>
        <v>637.06234940537695</v>
      </c>
      <c r="W365" s="27">
        <f t="shared" si="368"/>
        <v>572.278138061866</v>
      </c>
      <c r="X365" s="27">
        <f t="shared" si="368"/>
        <v>539.02813193567522</v>
      </c>
      <c r="Y365" s="27">
        <f t="shared" si="368"/>
        <v>516.69529646739306</v>
      </c>
      <c r="Z365" s="27">
        <f t="shared" si="368"/>
        <v>505.7090355245557</v>
      </c>
      <c r="AA365" s="27">
        <f t="shared" si="368"/>
        <v>492.66252986744206</v>
      </c>
      <c r="AB365" s="27">
        <f t="shared" si="368"/>
        <v>487.1999627586643</v>
      </c>
      <c r="AC365" s="27">
        <f t="shared" si="368"/>
        <v>487.19991286986709</v>
      </c>
      <c r="AD365" s="27">
        <f t="shared" si="368"/>
        <v>487.19991286986709</v>
      </c>
      <c r="AE365" s="27">
        <f t="shared" si="368"/>
        <v>487.19991286986709</v>
      </c>
      <c r="AF365" s="27">
        <f t="shared" si="368"/>
        <v>487.19991286986709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4.9520025681551589E-119</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8.1042745241030369E-13</v>
      </c>
      <c r="C370" s="3">
        <f t="shared" si="373"/>
        <v>1.4117626726493036E-107</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3.0921402133854709E-3</v>
      </c>
      <c r="C371" s="3">
        <f t="shared" si="374"/>
        <v>8.7541372104659101E-12</v>
      </c>
      <c r="D371" s="3">
        <f t="shared" si="374"/>
        <v>2.8957099265155847E-97</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1.9958739818045485E-2</v>
      </c>
      <c r="C372" s="3">
        <f t="shared" si="375"/>
        <v>3.3808684297031545E-3</v>
      </c>
      <c r="D372" s="3">
        <f t="shared" si="375"/>
        <v>6.5762725343144559E-11</v>
      </c>
      <c r="E372" s="3">
        <f t="shared" si="375"/>
        <v>5.099118822440774E-88</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3.0110949970387622E-2</v>
      </c>
      <c r="C373" s="3">
        <f t="shared" si="376"/>
        <v>2.5654549050743384E-2</v>
      </c>
      <c r="D373" s="3">
        <f t="shared" si="376"/>
        <v>5.1708705272440385E-3</v>
      </c>
      <c r="E373" s="3">
        <f t="shared" si="376"/>
        <v>5.7221132496849832E-10</v>
      </c>
      <c r="F373" s="3">
        <f t="shared" si="376"/>
        <v>1.5757390635557656E-79</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3.7552197652784836E-2</v>
      </c>
      <c r="C374" s="3">
        <f t="shared" si="377"/>
        <v>3.701352616267705E-2</v>
      </c>
      <c r="D374" s="3">
        <f t="shared" si="377"/>
        <v>3.203402343990662E-2</v>
      </c>
      <c r="E374" s="3">
        <f t="shared" si="377"/>
        <v>7.5530397421447789E-3</v>
      </c>
      <c r="F374" s="3">
        <f t="shared" si="377"/>
        <v>4.010740634977225E-9</v>
      </c>
      <c r="G374" s="3">
        <f t="shared" si="377"/>
        <v>7.1491212141300897E-72</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3.7651637383380045E-2</v>
      </c>
      <c r="C375" s="3">
        <f t="shared" si="378"/>
        <v>3.7602595203206655E-2</v>
      </c>
      <c r="D375" s="3">
        <f t="shared" si="378"/>
        <v>3.7115673033862262E-2</v>
      </c>
      <c r="E375" s="3">
        <f t="shared" si="378"/>
        <v>3.2580110078029932E-2</v>
      </c>
      <c r="F375" s="3">
        <f t="shared" si="378"/>
        <v>8.8492123854596039E-3</v>
      </c>
      <c r="G375" s="3">
        <f t="shared" si="378"/>
        <v>1.9338613352184773E-8</v>
      </c>
      <c r="H375" s="3">
        <f t="shared" si="378"/>
        <v>4.8043257814018854E-65</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2.8120477231943837E-2</v>
      </c>
      <c r="C376" s="3">
        <f t="shared" si="379"/>
        <v>2.8117171157403104E-2</v>
      </c>
      <c r="D376" s="3">
        <f t="shared" si="379"/>
        <v>2.808413178236947E-2</v>
      </c>
      <c r="E376" s="3">
        <f t="shared" si="379"/>
        <v>2.7755865801857155E-2</v>
      </c>
      <c r="F376" s="3">
        <f t="shared" si="379"/>
        <v>2.4677010551617338E-2</v>
      </c>
      <c r="G376" s="3">
        <f t="shared" si="379"/>
        <v>7.6150055526770007E-3</v>
      </c>
      <c r="H376" s="3">
        <f t="shared" si="379"/>
        <v>5.9627554764757599E-8</v>
      </c>
      <c r="I376" s="3">
        <f t="shared" si="379"/>
        <v>5.1667179721924199E-59</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2.7436944851168214E-2</v>
      </c>
      <c r="C377" s="3">
        <f t="shared" si="380"/>
        <v>2.743665384947002E-2</v>
      </c>
      <c r="D377" s="3">
        <f t="shared" si="380"/>
        <v>2.7433744002235885E-2</v>
      </c>
      <c r="E377" s="3">
        <f t="shared" si="380"/>
        <v>2.7404662498015542E-2</v>
      </c>
      <c r="F377" s="3">
        <f t="shared" si="380"/>
        <v>2.711553762793353E-2</v>
      </c>
      <c r="G377" s="3">
        <f t="shared" si="380"/>
        <v>2.4386857372507915E-2</v>
      </c>
      <c r="H377" s="3">
        <f t="shared" si="380"/>
        <v>8.4436850119121651E-3</v>
      </c>
      <c r="I377" s="3">
        <f t="shared" si="380"/>
        <v>2.0907103947939374E-7</v>
      </c>
      <c r="J377" s="3">
        <f t="shared" si="380"/>
        <v>1.8109748787532155E-53</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2.8525676842768764E-2</v>
      </c>
      <c r="C378" s="3">
        <f t="shared" si="381"/>
        <v>2.852564955019974E-2</v>
      </c>
      <c r="D378" s="3">
        <f t="shared" si="381"/>
        <v>2.852537662594572E-2</v>
      </c>
      <c r="E378" s="3">
        <f t="shared" si="381"/>
        <v>2.8522647527020252E-2</v>
      </c>
      <c r="F378" s="3">
        <f t="shared" si="381"/>
        <v>2.8495370894154447E-2</v>
      </c>
      <c r="G378" s="3">
        <f t="shared" si="381"/>
        <v>2.8224035135123379E-2</v>
      </c>
      <c r="H378" s="3">
        <f t="shared" si="381"/>
        <v>2.5648797218163859E-2</v>
      </c>
      <c r="I378" s="3">
        <f t="shared" si="381"/>
        <v>9.852490007847256E-3</v>
      </c>
      <c r="J378" s="3">
        <f t="shared" si="381"/>
        <v>6.8918528157783367E-7</v>
      </c>
      <c r="K378" s="3">
        <f t="shared" si="381"/>
        <v>1.9330180206381206E-48</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2.7750514192252395E-2</v>
      </c>
      <c r="C379" s="3">
        <f t="shared" si="382"/>
        <v>2.7750511797137927E-2</v>
      </c>
      <c r="D379" s="3">
        <f t="shared" si="382"/>
        <v>2.7750487846004632E-2</v>
      </c>
      <c r="E379" s="3">
        <f t="shared" si="382"/>
        <v>2.7750248335808615E-2</v>
      </c>
      <c r="F379" s="3">
        <f t="shared" si="382"/>
        <v>2.7747853347540177E-2</v>
      </c>
      <c r="G379" s="3">
        <f t="shared" si="382"/>
        <v>2.7723914830397923E-2</v>
      </c>
      <c r="H379" s="3">
        <f t="shared" si="382"/>
        <v>2.7485662592048658E-2</v>
      </c>
      <c r="I379" s="3">
        <f t="shared" si="382"/>
        <v>2.5212897590331532E-2</v>
      </c>
      <c r="J379" s="3">
        <f t="shared" si="382"/>
        <v>1.0636242953982827E-2</v>
      </c>
      <c r="K379" s="3">
        <f t="shared" si="382"/>
        <v>1.8986422485893906E-6</v>
      </c>
      <c r="L379" s="3">
        <f t="shared" si="382"/>
        <v>6.2372342722455852E-44</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2.6288987553559184E-2</v>
      </c>
      <c r="C380" s="3">
        <f t="shared" si="383"/>
        <v>2.6288987348879043E-2</v>
      </c>
      <c r="D380" s="3">
        <f t="shared" si="383"/>
        <v>2.6288985302077718E-2</v>
      </c>
      <c r="E380" s="3">
        <f t="shared" si="383"/>
        <v>2.6288964834073232E-2</v>
      </c>
      <c r="F380" s="3">
        <f t="shared" si="383"/>
        <v>2.628876015490483E-2</v>
      </c>
      <c r="G380" s="3">
        <f t="shared" si="383"/>
        <v>2.6286713450865674E-2</v>
      </c>
      <c r="H380" s="3">
        <f t="shared" si="383"/>
        <v>2.6266255172433708E-2</v>
      </c>
      <c r="I380" s="3">
        <f t="shared" si="383"/>
        <v>2.6062546065233467E-2</v>
      </c>
      <c r="J380" s="3">
        <f t="shared" si="383"/>
        <v>2.4110357429795653E-2</v>
      </c>
      <c r="K380" s="3">
        <f t="shared" si="383"/>
        <v>1.1068065910918771E-2</v>
      </c>
      <c r="L380" s="3">
        <f t="shared" si="383"/>
        <v>4.5999447635325318E-6</v>
      </c>
      <c r="M380" s="3">
        <f t="shared" si="383"/>
        <v>7.0723120739820318E-40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3.6959544901908267E-2</v>
      </c>
      <c r="C381" s="3">
        <f t="shared" si="384"/>
        <v>3.6959544875950039E-2</v>
      </c>
      <c r="D381" s="3">
        <f t="shared" si="384"/>
        <v>3.6959544616367752E-2</v>
      </c>
      <c r="E381" s="3">
        <f t="shared" si="384"/>
        <v>3.6959542020544994E-2</v>
      </c>
      <c r="F381" s="3">
        <f t="shared" si="384"/>
        <v>3.6959516062327405E-2</v>
      </c>
      <c r="G381" s="3">
        <f t="shared" si="384"/>
        <v>3.6959256481154258E-2</v>
      </c>
      <c r="H381" s="3">
        <f t="shared" si="384"/>
        <v>3.6956660769693402E-2</v>
      </c>
      <c r="I381" s="3">
        <f t="shared" si="384"/>
        <v>3.6930713679540352E-2</v>
      </c>
      <c r="J381" s="3">
        <f t="shared" si="384"/>
        <v>3.6672242623427817E-2</v>
      </c>
      <c r="K381" s="3">
        <f t="shared" si="384"/>
        <v>3.4184966433753704E-2</v>
      </c>
      <c r="L381" s="3">
        <f t="shared" si="384"/>
        <v>1.6936046729550781E-2</v>
      </c>
      <c r="M381" s="3">
        <f t="shared" si="384"/>
        <v>1.5086236038060443E-5</v>
      </c>
      <c r="N381" s="3">
        <f t="shared" si="384"/>
        <v>4.7453631014338215E-36</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5.8251521271489679E-2</v>
      </c>
      <c r="C382" s="3">
        <f t="shared" si="385"/>
        <v>5.825152126779904E-2</v>
      </c>
      <c r="D382" s="3">
        <f t="shared" si="385"/>
        <v>5.8251521230892583E-2</v>
      </c>
      <c r="E382" s="3">
        <f t="shared" si="385"/>
        <v>5.8251520861828061E-2</v>
      </c>
      <c r="F382" s="3">
        <f t="shared" si="385"/>
        <v>5.8251517171182952E-2</v>
      </c>
      <c r="G382" s="3">
        <f t="shared" si="385"/>
        <v>5.8251480264744714E-2</v>
      </c>
      <c r="H382" s="3">
        <f t="shared" si="385"/>
        <v>5.8251111201648387E-2</v>
      </c>
      <c r="I382" s="3">
        <f t="shared" si="385"/>
        <v>5.8247420699287428E-2</v>
      </c>
      <c r="J382" s="3">
        <f t="shared" si="385"/>
        <v>5.8210528532892915E-2</v>
      </c>
      <c r="K382" s="3">
        <f t="shared" si="385"/>
        <v>5.7842889581552467E-2</v>
      </c>
      <c r="L382" s="3">
        <f t="shared" si="385"/>
        <v>5.4291814659282164E-2</v>
      </c>
      <c r="M382" s="3">
        <f t="shared" si="385"/>
        <v>2.8812313599242838E-2</v>
      </c>
      <c r="N382" s="3">
        <f t="shared" si="385"/>
        <v>5.1052367349558919E-5</v>
      </c>
      <c r="O382" s="3">
        <f t="shared" si="385"/>
        <v>1.5573757584852064E-32</v>
      </c>
      <c r="P382" s="3">
        <f t="shared" si="385"/>
        <v>1.0868476189122382E-307</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6.3892881032191831E-2</v>
      </c>
      <c r="C383" s="3">
        <f t="shared" si="386"/>
        <v>6.3892881031826665E-2</v>
      </c>
      <c r="D383" s="3">
        <f t="shared" si="386"/>
        <v>6.3892881028174975E-2</v>
      </c>
      <c r="E383" s="3">
        <f t="shared" si="386"/>
        <v>6.389288099165806E-2</v>
      </c>
      <c r="F383" s="3">
        <f t="shared" si="386"/>
        <v>6.3892880626488902E-2</v>
      </c>
      <c r="G383" s="3">
        <f t="shared" si="386"/>
        <v>6.3892876974797411E-2</v>
      </c>
      <c r="H383" s="3">
        <f t="shared" si="386"/>
        <v>6.3892840457894104E-2</v>
      </c>
      <c r="I383" s="3">
        <f t="shared" si="386"/>
        <v>6.3892475290008799E-2</v>
      </c>
      <c r="J383" s="3">
        <f t="shared" si="386"/>
        <v>6.3888823725941568E-2</v>
      </c>
      <c r="K383" s="3">
        <f t="shared" si="386"/>
        <v>6.385231956142319E-2</v>
      </c>
      <c r="L383" s="3">
        <f t="shared" si="386"/>
        <v>6.3488423108508121E-2</v>
      </c>
      <c r="M383" s="3">
        <f t="shared" si="386"/>
        <v>5.9961592675370878E-2</v>
      </c>
      <c r="N383" s="3">
        <f t="shared" si="386"/>
        <v>3.3857848265727297E-2</v>
      </c>
      <c r="O383" s="3">
        <f t="shared" si="386"/>
        <v>1.1156328641632566E-4</v>
      </c>
      <c r="P383" s="3">
        <f t="shared" si="386"/>
        <v>1.6832194746946013E-29</v>
      </c>
      <c r="Q383" s="3">
        <f t="shared" si="386"/>
        <v>1.02881012107574E-277</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5.5851877003497599E-2</v>
      </c>
      <c r="C384" s="3">
        <f t="shared" si="387"/>
        <v>5.5851877003468803E-2</v>
      </c>
      <c r="D384" s="3">
        <f t="shared" si="387"/>
        <v>5.5851877003180846E-2</v>
      </c>
      <c r="E384" s="3">
        <f t="shared" si="387"/>
        <v>5.5851877000301288E-2</v>
      </c>
      <c r="F384" s="3">
        <f t="shared" si="387"/>
        <v>5.5851876971505697E-2</v>
      </c>
      <c r="G384" s="3">
        <f t="shared" si="387"/>
        <v>5.5851876683549795E-2</v>
      </c>
      <c r="H384" s="3">
        <f t="shared" si="387"/>
        <v>5.5851873803990856E-2</v>
      </c>
      <c r="I384" s="3">
        <f t="shared" si="387"/>
        <v>5.5851845008409645E-2</v>
      </c>
      <c r="J384" s="3">
        <f t="shared" si="387"/>
        <v>5.5851557053414047E-2</v>
      </c>
      <c r="K384" s="3">
        <f t="shared" si="387"/>
        <v>5.5848677585110237E-2</v>
      </c>
      <c r="L384" s="3">
        <f t="shared" si="387"/>
        <v>5.5819891065730876E-2</v>
      </c>
      <c r="M384" s="3">
        <f t="shared" si="387"/>
        <v>5.553284068264349E-2</v>
      </c>
      <c r="N384" s="3">
        <f t="shared" si="387"/>
        <v>5.2742284782987703E-2</v>
      </c>
      <c r="O384" s="3">
        <f t="shared" si="387"/>
        <v>3.1495567454096478E-2</v>
      </c>
      <c r="P384" s="3">
        <f t="shared" si="387"/>
        <v>1.816161301858136E-4</v>
      </c>
      <c r="Q384" s="3">
        <f t="shared" si="387"/>
        <v>7.3825129909612218E-27</v>
      </c>
      <c r="R384" s="3">
        <f t="shared" si="387"/>
        <v>9.0928963812853414E-251</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6.3492649829386932E-2</v>
      </c>
      <c r="C385" s="3">
        <f t="shared" si="388"/>
        <v>6.349264982938399E-2</v>
      </c>
      <c r="D385" s="3">
        <f t="shared" si="388"/>
        <v>6.3492649829354458E-2</v>
      </c>
      <c r="E385" s="3">
        <f t="shared" si="388"/>
        <v>6.3492649829059153E-2</v>
      </c>
      <c r="F385" s="3">
        <f t="shared" si="388"/>
        <v>6.3492649826106196E-2</v>
      </c>
      <c r="G385" s="3">
        <f t="shared" si="388"/>
        <v>6.3492649796576539E-2</v>
      </c>
      <c r="H385" s="3">
        <f t="shared" si="388"/>
        <v>6.3492649501280071E-2</v>
      </c>
      <c r="I385" s="3">
        <f t="shared" si="388"/>
        <v>6.3492646548315448E-2</v>
      </c>
      <c r="J385" s="3">
        <f t="shared" si="388"/>
        <v>6.3492617018676797E-2</v>
      </c>
      <c r="K385" s="3">
        <f t="shared" si="388"/>
        <v>6.3492321723045614E-2</v>
      </c>
      <c r="L385" s="3">
        <f t="shared" si="388"/>
        <v>6.3489368842268634E-2</v>
      </c>
      <c r="M385" s="3">
        <f t="shared" si="388"/>
        <v>6.3459847586685381E-2</v>
      </c>
      <c r="N385" s="3">
        <f t="shared" si="388"/>
        <v>6.3165388951532717E-2</v>
      </c>
      <c r="O385" s="3">
        <f t="shared" si="388"/>
        <v>6.0294913284624989E-2</v>
      </c>
      <c r="P385" s="3">
        <f t="shared" si="388"/>
        <v>3.7870032396035938E-2</v>
      </c>
      <c r="Q385" s="3">
        <f t="shared" si="388"/>
        <v>3.6178094933144047E-4</v>
      </c>
      <c r="R385" s="3">
        <f t="shared" si="388"/>
        <v>2.2905821288519651E-24</v>
      </c>
      <c r="S385" s="3">
        <f t="shared" si="388"/>
        <v>2.3710876468619599E-226</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2.342991099717933E-2</v>
      </c>
      <c r="C386" s="3">
        <f t="shared" si="389"/>
        <v>2.3429910997179233E-2</v>
      </c>
      <c r="D386" s="3">
        <f t="shared" si="389"/>
        <v>2.3429910997178248E-2</v>
      </c>
      <c r="E386" s="3">
        <f t="shared" si="389"/>
        <v>2.3429910997168419E-2</v>
      </c>
      <c r="F386" s="3">
        <f t="shared" si="389"/>
        <v>2.3429910997070119E-2</v>
      </c>
      <c r="G386" s="3">
        <f t="shared" si="389"/>
        <v>2.3429910996087124E-2</v>
      </c>
      <c r="H386" s="3">
        <f t="shared" si="389"/>
        <v>2.3429910986257154E-2</v>
      </c>
      <c r="I386" s="3">
        <f t="shared" si="389"/>
        <v>2.3429910887957494E-2</v>
      </c>
      <c r="J386" s="3">
        <f t="shared" si="389"/>
        <v>2.3429909904960876E-2</v>
      </c>
      <c r="K386" s="3">
        <f t="shared" si="389"/>
        <v>2.3429900074996998E-2</v>
      </c>
      <c r="L386" s="3">
        <f t="shared" si="389"/>
        <v>2.342980177558502E-2</v>
      </c>
      <c r="M386" s="3">
        <f t="shared" si="389"/>
        <v>2.3428818804147624E-2</v>
      </c>
      <c r="N386" s="3">
        <f t="shared" si="389"/>
        <v>2.3418991357659655E-2</v>
      </c>
      <c r="O386" s="3">
        <f t="shared" si="389"/>
        <v>2.3320943329720678E-2</v>
      </c>
      <c r="P386" s="3">
        <f t="shared" si="389"/>
        <v>2.2362759150119527E-2</v>
      </c>
      <c r="Q386" s="3">
        <f t="shared" si="389"/>
        <v>1.4700026391321373E-2</v>
      </c>
      <c r="R386" s="3">
        <f t="shared" si="389"/>
        <v>2.2143455553811904E-4</v>
      </c>
      <c r="S386" s="3">
        <f t="shared" si="389"/>
        <v>1.33204285831549E-22</v>
      </c>
      <c r="T386" s="3">
        <f t="shared" si="389"/>
        <v>8.2650642622566534E-205</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6.1780961618441599E-2</v>
      </c>
      <c r="C387" s="3">
        <f t="shared" si="390"/>
        <v>6.1780961618441523E-2</v>
      </c>
      <c r="D387" s="3">
        <f t="shared" si="390"/>
        <v>6.1780961618440808E-2</v>
      </c>
      <c r="E387" s="3">
        <f t="shared" si="390"/>
        <v>6.178096161843364E-2</v>
      </c>
      <c r="F387" s="3">
        <f t="shared" si="390"/>
        <v>6.1780961618361954E-2</v>
      </c>
      <c r="G387" s="3">
        <f t="shared" si="390"/>
        <v>6.1780961617645069E-2</v>
      </c>
      <c r="H387" s="3">
        <f t="shared" si="390"/>
        <v>6.1780961610476227E-2</v>
      </c>
      <c r="I387" s="3">
        <f t="shared" si="390"/>
        <v>6.1780961538787822E-2</v>
      </c>
      <c r="J387" s="3">
        <f t="shared" si="390"/>
        <v>6.1780960821903777E-2</v>
      </c>
      <c r="K387" s="3">
        <f t="shared" si="390"/>
        <v>6.1780953653063742E-2</v>
      </c>
      <c r="L387" s="3">
        <f t="shared" si="390"/>
        <v>6.1780881964709211E-2</v>
      </c>
      <c r="M387" s="3">
        <f t="shared" si="390"/>
        <v>6.1780165085738956E-2</v>
      </c>
      <c r="N387" s="3">
        <f t="shared" si="390"/>
        <v>6.1772996753530131E-2</v>
      </c>
      <c r="O387" s="3">
        <f t="shared" si="390"/>
        <v>6.170135916117947E-2</v>
      </c>
      <c r="P387" s="3">
        <f t="shared" si="390"/>
        <v>6.09895366388543E-2</v>
      </c>
      <c r="Q387" s="3">
        <f t="shared" si="390"/>
        <v>5.4307694278262347E-2</v>
      </c>
      <c r="R387" s="3">
        <f t="shared" si="390"/>
        <v>1.7018515356454378E-2</v>
      </c>
      <c r="S387" s="3">
        <f t="shared" si="390"/>
        <v>1.5542638088408673E-7</v>
      </c>
      <c r="T387" s="3">
        <f t="shared" si="390"/>
        <v>6.274156845231769E-58</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4.2169062984942343E-2</v>
      </c>
      <c r="C388" s="3">
        <f t="shared" si="391"/>
        <v>4.2169062984942336E-2</v>
      </c>
      <c r="D388" s="3">
        <f t="shared" si="391"/>
        <v>4.2169062984942288E-2</v>
      </c>
      <c r="E388" s="3">
        <f t="shared" si="391"/>
        <v>4.2169062984941802E-2</v>
      </c>
      <c r="F388" s="3">
        <f t="shared" si="391"/>
        <v>4.216906298493691E-2</v>
      </c>
      <c r="G388" s="3">
        <f t="shared" si="391"/>
        <v>4.2169062984887977E-2</v>
      </c>
      <c r="H388" s="3">
        <f t="shared" si="391"/>
        <v>4.216906298439866E-2</v>
      </c>
      <c r="I388" s="3">
        <f t="shared" si="391"/>
        <v>4.2169062979505512E-2</v>
      </c>
      <c r="J388" s="3">
        <f t="shared" si="391"/>
        <v>4.2169062930574049E-2</v>
      </c>
      <c r="K388" s="3">
        <f t="shared" si="391"/>
        <v>4.2169062441259418E-2</v>
      </c>
      <c r="L388" s="3">
        <f t="shared" si="391"/>
        <v>4.2169057548113391E-2</v>
      </c>
      <c r="M388" s="3">
        <f t="shared" si="391"/>
        <v>4.2169008616684378E-2</v>
      </c>
      <c r="N388" s="3">
        <f t="shared" si="391"/>
        <v>4.2168519305517037E-2</v>
      </c>
      <c r="O388" s="3">
        <f t="shared" si="391"/>
        <v>4.2163626506109386E-2</v>
      </c>
      <c r="P388" s="3">
        <f t="shared" si="391"/>
        <v>4.2114729725211388E-2</v>
      </c>
      <c r="Q388" s="3">
        <f t="shared" si="391"/>
        <v>4.1628869874673374E-2</v>
      </c>
      <c r="R388" s="3">
        <f t="shared" si="391"/>
        <v>3.7068127795269572E-2</v>
      </c>
      <c r="S388" s="3">
        <f t="shared" si="391"/>
        <v>1.1616116473044882E-2</v>
      </c>
      <c r="T388" s="3">
        <f t="shared" si="391"/>
        <v>1.0608745272534362E-7</v>
      </c>
      <c r="U388" s="3">
        <f t="shared" si="391"/>
        <v>4.2824732450426917E-58</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3.8068907608639936E-2</v>
      </c>
      <c r="C389" s="3">
        <f t="shared" si="392"/>
        <v>3.8068907608639936E-2</v>
      </c>
      <c r="D389" s="3">
        <f t="shared" si="392"/>
        <v>3.8068907608639929E-2</v>
      </c>
      <c r="E389" s="3">
        <f t="shared" si="392"/>
        <v>3.8068907608639888E-2</v>
      </c>
      <c r="F389" s="3">
        <f t="shared" si="392"/>
        <v>3.8068907608639443E-2</v>
      </c>
      <c r="G389" s="3">
        <f t="shared" si="392"/>
        <v>3.806890760863503E-2</v>
      </c>
      <c r="H389" s="3">
        <f t="shared" si="392"/>
        <v>3.806890760859085E-2</v>
      </c>
      <c r="I389" s="3">
        <f t="shared" si="392"/>
        <v>3.806890760814912E-2</v>
      </c>
      <c r="J389" s="3">
        <f t="shared" si="392"/>
        <v>3.8068907603731737E-2</v>
      </c>
      <c r="K389" s="3">
        <f t="shared" si="392"/>
        <v>3.8068907559557948E-2</v>
      </c>
      <c r="L389" s="3">
        <f t="shared" si="392"/>
        <v>3.8068907117820044E-2</v>
      </c>
      <c r="M389" s="3">
        <f t="shared" si="392"/>
        <v>3.8068902700441262E-2</v>
      </c>
      <c r="N389" s="3">
        <f t="shared" si="392"/>
        <v>3.8068858526681675E-2</v>
      </c>
      <c r="O389" s="3">
        <f t="shared" si="392"/>
        <v>3.8068416791904973E-2</v>
      </c>
      <c r="P389" s="3">
        <f t="shared" si="392"/>
        <v>3.8063999726041686E-2</v>
      </c>
      <c r="Q389" s="3">
        <f t="shared" si="392"/>
        <v>3.8019857245687537E-2</v>
      </c>
      <c r="R389" s="3">
        <f t="shared" si="392"/>
        <v>3.758123820955947E-2</v>
      </c>
      <c r="S389" s="3">
        <f t="shared" si="392"/>
        <v>3.3463943288644188E-2</v>
      </c>
      <c r="T389" s="3">
        <f t="shared" si="392"/>
        <v>1.0486665661540799E-2</v>
      </c>
      <c r="U389" s="3">
        <f t="shared" si="392"/>
        <v>9.5772425336535731E-8</v>
      </c>
      <c r="V389" s="3">
        <f t="shared" si="392"/>
        <v>3.8660825439781963E-58</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1.8061881630202923E-2</v>
      </c>
      <c r="C390" s="3">
        <f t="shared" si="393"/>
        <v>1.8061881630202923E-2</v>
      </c>
      <c r="D390" s="3">
        <f t="shared" si="393"/>
        <v>1.8061881630202923E-2</v>
      </c>
      <c r="E390" s="3">
        <f t="shared" si="393"/>
        <v>1.8061881630202919E-2</v>
      </c>
      <c r="F390" s="3">
        <f t="shared" si="393"/>
        <v>1.8061881630202899E-2</v>
      </c>
      <c r="G390" s="3">
        <f t="shared" si="393"/>
        <v>1.806188163020269E-2</v>
      </c>
      <c r="H390" s="3">
        <f t="shared" si="393"/>
        <v>1.8061881630200595E-2</v>
      </c>
      <c r="I390" s="3">
        <f t="shared" si="393"/>
        <v>1.8061881630179636E-2</v>
      </c>
      <c r="J390" s="3">
        <f t="shared" si="393"/>
        <v>1.8061881629970054E-2</v>
      </c>
      <c r="K390" s="3">
        <f t="shared" si="393"/>
        <v>1.8061881627874216E-2</v>
      </c>
      <c r="L390" s="3">
        <f t="shared" si="393"/>
        <v>1.806188160691586E-2</v>
      </c>
      <c r="M390" s="3">
        <f t="shared" si="393"/>
        <v>1.8061881397332284E-2</v>
      </c>
      <c r="N390" s="3">
        <f t="shared" si="393"/>
        <v>1.806187930149666E-2</v>
      </c>
      <c r="O390" s="3">
        <f t="shared" si="393"/>
        <v>1.8061858343153835E-2</v>
      </c>
      <c r="P390" s="3">
        <f t="shared" si="393"/>
        <v>1.8061648761063094E-2</v>
      </c>
      <c r="Q390" s="3">
        <f t="shared" si="393"/>
        <v>1.8059553073905596E-2</v>
      </c>
      <c r="R390" s="3">
        <f t="shared" si="393"/>
        <v>1.803860957158037E-2</v>
      </c>
      <c r="S390" s="3">
        <f t="shared" si="393"/>
        <v>1.7830505751193867E-2</v>
      </c>
      <c r="T390" s="3">
        <f t="shared" si="393"/>
        <v>1.5877045613521577E-2</v>
      </c>
      <c r="U390" s="3">
        <f t="shared" si="393"/>
        <v>4.9754228784667362E-3</v>
      </c>
      <c r="V390" s="3">
        <f t="shared" si="393"/>
        <v>4.5439449632995552E-8</v>
      </c>
      <c r="W390" s="3">
        <f t="shared" si="393"/>
        <v>1.8342718419921242E-58</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1.0233436786589783E-2</v>
      </c>
      <c r="C391" s="3">
        <f t="shared" si="394"/>
        <v>1.0233436786589783E-2</v>
      </c>
      <c r="D391" s="3">
        <f t="shared" si="394"/>
        <v>1.0233436786589783E-2</v>
      </c>
      <c r="E391" s="3">
        <f t="shared" si="394"/>
        <v>1.0233436786589783E-2</v>
      </c>
      <c r="F391" s="3">
        <f t="shared" si="394"/>
        <v>1.0233436786589781E-2</v>
      </c>
      <c r="G391" s="3">
        <f t="shared" si="394"/>
        <v>1.0233436786589769E-2</v>
      </c>
      <c r="H391" s="3">
        <f t="shared" si="394"/>
        <v>1.0233436786589651E-2</v>
      </c>
      <c r="I391" s="3">
        <f t="shared" si="394"/>
        <v>1.0233436786588465E-2</v>
      </c>
      <c r="J391" s="3">
        <f t="shared" si="394"/>
        <v>1.0233436786576589E-2</v>
      </c>
      <c r="K391" s="3">
        <f t="shared" si="394"/>
        <v>1.0233436786457844E-2</v>
      </c>
      <c r="L391" s="3">
        <f t="shared" si="394"/>
        <v>1.0233436785270392E-2</v>
      </c>
      <c r="M391" s="3">
        <f t="shared" si="394"/>
        <v>1.0233436773395881E-2</v>
      </c>
      <c r="N391" s="3">
        <f t="shared" si="394"/>
        <v>1.0233436654650763E-2</v>
      </c>
      <c r="O391" s="3">
        <f t="shared" si="394"/>
        <v>1.0233435467199655E-2</v>
      </c>
      <c r="P391" s="3">
        <f t="shared" si="394"/>
        <v>1.0233423592696163E-2</v>
      </c>
      <c r="Q391" s="3">
        <f t="shared" si="394"/>
        <v>1.0233304848419066E-2</v>
      </c>
      <c r="R391" s="3">
        <f t="shared" si="394"/>
        <v>1.0232117481427641E-2</v>
      </c>
      <c r="S391" s="3">
        <f t="shared" si="394"/>
        <v>1.0220251386215469E-2</v>
      </c>
      <c r="T391" s="3">
        <f t="shared" si="394"/>
        <v>1.0102344662288544E-2</v>
      </c>
      <c r="U391" s="3">
        <f t="shared" si="394"/>
        <v>8.9955601509470323E-3</v>
      </c>
      <c r="V391" s="3">
        <f t="shared" si="394"/>
        <v>2.8189574350991854E-3</v>
      </c>
      <c r="W391" s="3">
        <f t="shared" si="394"/>
        <v>2.5744922093782212E-8</v>
      </c>
      <c r="X391" s="3">
        <f t="shared" si="394"/>
        <v>1.0392552298127931E-58</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4.802496116573597E-3</v>
      </c>
      <c r="C392" s="3">
        <f t="shared" si="395"/>
        <v>4.802496116573597E-3</v>
      </c>
      <c r="D392" s="3">
        <f t="shared" si="395"/>
        <v>4.802496116573597E-3</v>
      </c>
      <c r="E392" s="3">
        <f t="shared" si="395"/>
        <v>4.802496116573597E-3</v>
      </c>
      <c r="F392" s="3">
        <f t="shared" si="395"/>
        <v>4.802496116573597E-3</v>
      </c>
      <c r="G392" s="3">
        <f t="shared" si="395"/>
        <v>4.8024961165735961E-3</v>
      </c>
      <c r="H392" s="3">
        <f t="shared" si="395"/>
        <v>4.8024961165735909E-3</v>
      </c>
      <c r="I392" s="3">
        <f t="shared" si="395"/>
        <v>4.8024961165735354E-3</v>
      </c>
      <c r="J392" s="3">
        <f t="shared" si="395"/>
        <v>4.8024961165729777E-3</v>
      </c>
      <c r="K392" s="3">
        <f t="shared" si="395"/>
        <v>4.8024961165674049E-3</v>
      </c>
      <c r="L392" s="3">
        <f t="shared" si="395"/>
        <v>4.8024961165116786E-3</v>
      </c>
      <c r="M392" s="3">
        <f t="shared" si="395"/>
        <v>4.8024961159544143E-3</v>
      </c>
      <c r="N392" s="3">
        <f t="shared" si="395"/>
        <v>4.8024961103817704E-3</v>
      </c>
      <c r="O392" s="3">
        <f t="shared" si="395"/>
        <v>4.8024960546553339E-3</v>
      </c>
      <c r="P392" s="3">
        <f t="shared" si="395"/>
        <v>4.8024954973910003E-3</v>
      </c>
      <c r="Q392" s="3">
        <f t="shared" si="395"/>
        <v>4.8024899247512218E-3</v>
      </c>
      <c r="R392" s="3">
        <f t="shared" si="395"/>
        <v>4.80243419870908E-3</v>
      </c>
      <c r="S392" s="3">
        <f t="shared" si="395"/>
        <v>4.8018769738505905E-3</v>
      </c>
      <c r="T392" s="3">
        <f t="shared" si="395"/>
        <v>4.7963082800321051E-3</v>
      </c>
      <c r="U392" s="3">
        <f t="shared" si="395"/>
        <v>4.7409752970288778E-3</v>
      </c>
      <c r="V392" s="3">
        <f t="shared" si="395"/>
        <v>4.2215673573065366E-3</v>
      </c>
      <c r="W392" s="3">
        <f t="shared" si="395"/>
        <v>1.3229213623120991E-3</v>
      </c>
      <c r="X392" s="3">
        <f t="shared" si="395"/>
        <v>1.2081951641006906E-8</v>
      </c>
      <c r="Y392" s="3">
        <f t="shared" si="395"/>
        <v>4.8771681590344392E-59</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2.5220120484412234E-3</v>
      </c>
      <c r="C393" s="3">
        <f t="shared" si="396"/>
        <v>2.5220120484412234E-3</v>
      </c>
      <c r="D393" s="3">
        <f t="shared" si="396"/>
        <v>2.5220120484412234E-3</v>
      </c>
      <c r="E393" s="3">
        <f t="shared" si="396"/>
        <v>2.5220120484412234E-3</v>
      </c>
      <c r="F393" s="3">
        <f t="shared" si="396"/>
        <v>2.5220120484412234E-3</v>
      </c>
      <c r="G393" s="3">
        <f t="shared" si="396"/>
        <v>2.5220120484412234E-3</v>
      </c>
      <c r="H393" s="3">
        <f t="shared" si="396"/>
        <v>2.5220120484412229E-3</v>
      </c>
      <c r="I393" s="3">
        <f t="shared" si="396"/>
        <v>2.5220120484412199E-3</v>
      </c>
      <c r="J393" s="3">
        <f t="shared" si="396"/>
        <v>2.5220120484411909E-3</v>
      </c>
      <c r="K393" s="3">
        <f t="shared" si="396"/>
        <v>2.5220120484408981E-3</v>
      </c>
      <c r="L393" s="3">
        <f t="shared" si="396"/>
        <v>2.5220120484379716E-3</v>
      </c>
      <c r="M393" s="3">
        <f t="shared" si="396"/>
        <v>2.5220120484087073E-3</v>
      </c>
      <c r="N393" s="3">
        <f t="shared" si="396"/>
        <v>2.522012048116062E-3</v>
      </c>
      <c r="O393" s="3">
        <f t="shared" si="396"/>
        <v>2.52201204518961E-3</v>
      </c>
      <c r="P393" s="3">
        <f t="shared" si="396"/>
        <v>2.5220120159250899E-3</v>
      </c>
      <c r="Q393" s="3">
        <f t="shared" si="396"/>
        <v>2.5220117232799049E-3</v>
      </c>
      <c r="R393" s="3">
        <f t="shared" si="396"/>
        <v>2.522008796829925E-3</v>
      </c>
      <c r="S393" s="3">
        <f t="shared" si="396"/>
        <v>2.5219795325168927E-3</v>
      </c>
      <c r="T393" s="3">
        <f t="shared" si="396"/>
        <v>2.5216869080622989E-3</v>
      </c>
      <c r="U393" s="3">
        <f t="shared" si="396"/>
        <v>2.5187625302880339E-3</v>
      </c>
      <c r="V393" s="3">
        <f t="shared" si="396"/>
        <v>2.4897046307243592E-3</v>
      </c>
      <c r="W393" s="3">
        <f t="shared" si="396"/>
        <v>2.2169395830827633E-3</v>
      </c>
      <c r="X393" s="3">
        <f t="shared" si="396"/>
        <v>6.9472697820145354E-4</v>
      </c>
      <c r="Y393" s="3">
        <f t="shared" si="396"/>
        <v>6.3447896401514295E-9</v>
      </c>
      <c r="Z393" s="3">
        <f t="shared" si="396"/>
        <v>2.5612257794254186E-59</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2.1848474936022057E-3</v>
      </c>
      <c r="C394" s="3">
        <f t="shared" si="397"/>
        <v>2.1848474936022057E-3</v>
      </c>
      <c r="D394" s="3">
        <f t="shared" si="397"/>
        <v>2.1848474936022057E-3</v>
      </c>
      <c r="E394" s="3">
        <f t="shared" si="397"/>
        <v>2.1848474936022057E-3</v>
      </c>
      <c r="F394" s="3">
        <f t="shared" si="397"/>
        <v>2.1848474936022057E-3</v>
      </c>
      <c r="G394" s="3">
        <f t="shared" si="397"/>
        <v>2.1848474936022057E-3</v>
      </c>
      <c r="H394" s="3">
        <f t="shared" si="397"/>
        <v>2.1848474936022057E-3</v>
      </c>
      <c r="I394" s="3">
        <f t="shared" si="397"/>
        <v>2.1848474936022053E-3</v>
      </c>
      <c r="J394" s="3">
        <f t="shared" si="397"/>
        <v>2.1848474936022027E-3</v>
      </c>
      <c r="K394" s="3">
        <f t="shared" si="397"/>
        <v>2.1848474936021775E-3</v>
      </c>
      <c r="L394" s="3">
        <f t="shared" si="397"/>
        <v>2.1848474936019243E-3</v>
      </c>
      <c r="M394" s="3">
        <f t="shared" si="397"/>
        <v>2.184847493599389E-3</v>
      </c>
      <c r="N394" s="3">
        <f t="shared" si="397"/>
        <v>2.1848474935740369E-3</v>
      </c>
      <c r="O394" s="3">
        <f t="shared" si="397"/>
        <v>2.1848474933205148E-3</v>
      </c>
      <c r="P394" s="3">
        <f t="shared" si="397"/>
        <v>2.1848474907852963E-3</v>
      </c>
      <c r="Q394" s="3">
        <f t="shared" si="397"/>
        <v>2.1848474654331124E-3</v>
      </c>
      <c r="R394" s="3">
        <f t="shared" si="397"/>
        <v>2.1848472119112864E-3</v>
      </c>
      <c r="S394" s="3">
        <f t="shared" si="397"/>
        <v>2.18484467669465E-3</v>
      </c>
      <c r="T394" s="3">
        <f t="shared" si="397"/>
        <v>2.1848193246900784E-3</v>
      </c>
      <c r="U394" s="3">
        <f t="shared" si="397"/>
        <v>2.1845658208233618E-3</v>
      </c>
      <c r="V394" s="3">
        <f t="shared" si="397"/>
        <v>2.1820323993615581E-3</v>
      </c>
      <c r="W394" s="3">
        <f t="shared" si="397"/>
        <v>2.1568592131072425E-3</v>
      </c>
      <c r="X394" s="3">
        <f t="shared" si="397"/>
        <v>1.9205597747083E-3</v>
      </c>
      <c r="Y394" s="3">
        <f t="shared" si="397"/>
        <v>6.018498198687946E-4</v>
      </c>
      <c r="Z394" s="3">
        <f t="shared" si="397"/>
        <v>5.4965628539665403E-9</v>
      </c>
      <c r="AA394" s="3">
        <f t="shared" si="397"/>
        <v>2.2188187912050714E-59</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3.6320293099179269E-4</v>
      </c>
      <c r="C395" s="3">
        <f t="shared" si="398"/>
        <v>3.6320293099179269E-4</v>
      </c>
      <c r="D395" s="3">
        <f t="shared" si="398"/>
        <v>3.6320293099179269E-4</v>
      </c>
      <c r="E395" s="3">
        <f t="shared" si="398"/>
        <v>3.6320293099179269E-4</v>
      </c>
      <c r="F395" s="3">
        <f t="shared" si="398"/>
        <v>3.6320293099179269E-4</v>
      </c>
      <c r="G395" s="3">
        <f t="shared" si="398"/>
        <v>3.6320293099179269E-4</v>
      </c>
      <c r="H395" s="3">
        <f t="shared" si="398"/>
        <v>3.6320293099179269E-4</v>
      </c>
      <c r="I395" s="3">
        <f t="shared" si="398"/>
        <v>3.6320293099179269E-4</v>
      </c>
      <c r="J395" s="3">
        <f t="shared" si="398"/>
        <v>3.6320293099179263E-4</v>
      </c>
      <c r="K395" s="3">
        <f t="shared" si="398"/>
        <v>3.632029309917922E-4</v>
      </c>
      <c r="L395" s="3">
        <f t="shared" si="398"/>
        <v>3.6320293099178803E-4</v>
      </c>
      <c r="M395" s="3">
        <f t="shared" si="398"/>
        <v>3.6320293099174585E-4</v>
      </c>
      <c r="N395" s="3">
        <f t="shared" si="398"/>
        <v>3.6320293099132442E-4</v>
      </c>
      <c r="O395" s="3">
        <f t="shared" si="398"/>
        <v>3.6320293098710996E-4</v>
      </c>
      <c r="P395" s="3">
        <f t="shared" si="398"/>
        <v>3.6320293094496518E-4</v>
      </c>
      <c r="Q395" s="3">
        <f t="shared" si="398"/>
        <v>3.6320293052351758E-4</v>
      </c>
      <c r="R395" s="3">
        <f t="shared" si="398"/>
        <v>3.6320292630904143E-4</v>
      </c>
      <c r="S395" s="3">
        <f t="shared" si="398"/>
        <v>3.6320288416428288E-4</v>
      </c>
      <c r="T395" s="3">
        <f t="shared" si="398"/>
        <v>3.6320246271696638E-4</v>
      </c>
      <c r="U395" s="3">
        <f t="shared" si="398"/>
        <v>3.631982482706978E-4</v>
      </c>
      <c r="V395" s="3">
        <f t="shared" si="398"/>
        <v>3.6315610649756311E-4</v>
      </c>
      <c r="W395" s="3">
        <f t="shared" si="398"/>
        <v>3.627349576059086E-4</v>
      </c>
      <c r="X395" s="3">
        <f t="shared" si="398"/>
        <v>3.5855023759376006E-4</v>
      </c>
      <c r="Y395" s="3">
        <f t="shared" si="398"/>
        <v>3.1926848045989739E-4</v>
      </c>
      <c r="Z395" s="3">
        <f t="shared" si="398"/>
        <v>1.0004982921385904E-4</v>
      </c>
      <c r="AA395" s="3">
        <f t="shared" si="398"/>
        <v>9.1373322155763163E-10</v>
      </c>
      <c r="AB395" s="3">
        <f t="shared" si="398"/>
        <v>3.6885022440475881E-60</v>
      </c>
      <c r="AC395" s="3">
        <f t="shared" si="398"/>
        <v>0</v>
      </c>
      <c r="AD395" s="3">
        <f t="shared" si="398"/>
        <v>0</v>
      </c>
      <c r="AE395" s="3">
        <f t="shared" si="398"/>
        <v>0</v>
      </c>
      <c r="AF395" s="3">
        <f t="shared" si="398"/>
        <v>0</v>
      </c>
      <c r="AG395" s="3"/>
      <c r="AH395" s="3"/>
    </row>
    <row r="396" spans="1:34" x14ac:dyDescent="0.25">
      <c r="B396" s="3">
        <f t="shared" ref="B396:AF396" si="399">$C48*EXP(-B$363/$A48/EXP(-$H$126))</f>
        <v>1.8415595868786856E-3</v>
      </c>
      <c r="C396" s="3">
        <f t="shared" si="399"/>
        <v>1.8415595868786856E-3</v>
      </c>
      <c r="D396" s="3">
        <f t="shared" si="399"/>
        <v>1.8415595868786856E-3</v>
      </c>
      <c r="E396" s="3">
        <f t="shared" si="399"/>
        <v>1.8415595868786856E-3</v>
      </c>
      <c r="F396" s="3">
        <f t="shared" si="399"/>
        <v>1.8415595868786856E-3</v>
      </c>
      <c r="G396" s="3">
        <f t="shared" si="399"/>
        <v>1.8415595868786856E-3</v>
      </c>
      <c r="H396" s="3">
        <f t="shared" si="399"/>
        <v>1.8415595868786856E-3</v>
      </c>
      <c r="I396" s="3">
        <f t="shared" si="399"/>
        <v>1.8415595868786856E-3</v>
      </c>
      <c r="J396" s="3">
        <f t="shared" si="399"/>
        <v>1.8415595868786856E-3</v>
      </c>
      <c r="K396" s="3">
        <f t="shared" si="399"/>
        <v>1.8415595868786854E-3</v>
      </c>
      <c r="L396" s="3">
        <f t="shared" si="399"/>
        <v>1.8415595868786832E-3</v>
      </c>
      <c r="M396" s="3">
        <f t="shared" si="399"/>
        <v>1.841559586878662E-3</v>
      </c>
      <c r="N396" s="3">
        <f t="shared" si="399"/>
        <v>1.8415595868784482E-3</v>
      </c>
      <c r="O396" s="3">
        <f t="shared" si="399"/>
        <v>1.8415595868763112E-3</v>
      </c>
      <c r="P396" s="3">
        <f t="shared" si="399"/>
        <v>1.8415595868549425E-3</v>
      </c>
      <c r="Q396" s="3">
        <f t="shared" si="399"/>
        <v>1.8415595866412547E-3</v>
      </c>
      <c r="R396" s="3">
        <f t="shared" si="399"/>
        <v>1.841559584504375E-3</v>
      </c>
      <c r="S396" s="3">
        <f t="shared" si="399"/>
        <v>1.8415595631355803E-3</v>
      </c>
      <c r="T396" s="3">
        <f t="shared" si="399"/>
        <v>1.8415593494476457E-3</v>
      </c>
      <c r="U396" s="3">
        <f t="shared" si="399"/>
        <v>1.8415572125696641E-3</v>
      </c>
      <c r="V396" s="3">
        <f t="shared" si="399"/>
        <v>1.8415358439262226E-3</v>
      </c>
      <c r="W396" s="3">
        <f t="shared" si="399"/>
        <v>1.8413221711287252E-3</v>
      </c>
      <c r="X396" s="3">
        <f t="shared" si="399"/>
        <v>1.839186806260353E-3</v>
      </c>
      <c r="Y396" s="3">
        <f t="shared" si="399"/>
        <v>1.8179688848197649E-3</v>
      </c>
      <c r="Z396" s="3">
        <f t="shared" si="399"/>
        <v>1.6187973191009307E-3</v>
      </c>
      <c r="AA396" s="3">
        <f t="shared" si="399"/>
        <v>5.0728589015301966E-4</v>
      </c>
      <c r="AB396" s="3">
        <f t="shared" si="399"/>
        <v>4.6329311534301091E-9</v>
      </c>
      <c r="AC396" s="3">
        <f t="shared" si="399"/>
        <v>1.8701932416131506E-59</v>
      </c>
      <c r="AD396" s="3">
        <f t="shared" si="399"/>
        <v>0</v>
      </c>
      <c r="AE396" s="3">
        <f t="shared" si="399"/>
        <v>0</v>
      </c>
      <c r="AF396" s="3">
        <f t="shared" si="399"/>
        <v>0</v>
      </c>
      <c r="AG396" s="3"/>
      <c r="AH396" s="3"/>
    </row>
    <row r="397" spans="1:34" x14ac:dyDescent="0.25">
      <c r="A397" s="79">
        <f>AVERAGE(B397:AF397)</f>
        <v>3.2025433590324406E-2</v>
      </c>
      <c r="B397" s="80">
        <f>IF($A$64&lt;=B363,IF($B$64&gt;=B363,ABS((B365-B364)/B364),0),0)</f>
        <v>1.6757136967254668E-2</v>
      </c>
      <c r="C397" s="80">
        <f t="shared" ref="C397:AF397" si="400">IF($A$64&lt;=C363,IF($B$64&gt;=C363,ABS((C365-C364)/C364),0),0)</f>
        <v>2.6762159655080022E-2</v>
      </c>
      <c r="D397" s="80">
        <f t="shared" si="400"/>
        <v>3.0140631829720394E-2</v>
      </c>
      <c r="E397" s="80">
        <f t="shared" si="400"/>
        <v>3.1630654670667439E-2</v>
      </c>
      <c r="F397" s="80">
        <f t="shared" si="400"/>
        <v>3.081440995613351E-2</v>
      </c>
      <c r="G397" s="80">
        <f t="shared" si="400"/>
        <v>2.8114776328512458E-2</v>
      </c>
      <c r="H397" s="80">
        <f t="shared" si="400"/>
        <v>2.9603264360741767E-2</v>
      </c>
      <c r="I397" s="80">
        <f t="shared" si="400"/>
        <v>2.8698131935897285E-2</v>
      </c>
      <c r="J397" s="80">
        <f t="shared" si="400"/>
        <v>3.0689570511543036E-2</v>
      </c>
      <c r="K397" s="80">
        <f t="shared" si="400"/>
        <v>2.9056139839045442E-2</v>
      </c>
      <c r="L397" s="80">
        <f t="shared" si="400"/>
        <v>2.930503222856352E-2</v>
      </c>
      <c r="M397" s="80">
        <f t="shared" si="400"/>
        <v>2.2911336598835973E-3</v>
      </c>
      <c r="N397" s="80">
        <f t="shared" si="400"/>
        <v>4.5064062143785361E-2</v>
      </c>
      <c r="O397" s="80">
        <f t="shared" si="400"/>
        <v>9.0645813092858088E-2</v>
      </c>
      <c r="P397" s="80">
        <f t="shared" si="400"/>
        <v>0.11268159155278293</v>
      </c>
      <c r="Q397" s="80">
        <f t="shared" si="400"/>
        <v>9.1524858262704137E-2</v>
      </c>
      <c r="R397" s="80">
        <f t="shared" si="400"/>
        <v>5.6541667488845385E-2</v>
      </c>
      <c r="S397" s="80">
        <f t="shared" si="400"/>
        <v>1.6978501350416644E-2</v>
      </c>
      <c r="T397" s="80">
        <f t="shared" si="400"/>
        <v>5.6329975160232509E-3</v>
      </c>
      <c r="U397" s="80">
        <f t="shared" si="400"/>
        <v>4.494031542874804E-3</v>
      </c>
      <c r="V397" s="80">
        <f t="shared" si="400"/>
        <v>1.0063193909033204E-3</v>
      </c>
      <c r="W397" s="80">
        <f t="shared" si="400"/>
        <v>1.4706375183117213E-2</v>
      </c>
      <c r="X397" s="80">
        <f t="shared" si="400"/>
        <v>3.2615509140730158E-3</v>
      </c>
      <c r="Y397" s="80">
        <f t="shared" si="400"/>
        <v>6.1291863581457552E-3</v>
      </c>
      <c r="Z397" s="80">
        <f t="shared" si="400"/>
        <v>7.1413060663438549E-3</v>
      </c>
      <c r="AA397" s="80">
        <f t="shared" si="400"/>
        <v>2.5189904044529372E-2</v>
      </c>
      <c r="AB397" s="80">
        <f t="shared" si="400"/>
        <v>3.3207522302103526E-2</v>
      </c>
      <c r="AC397" s="80">
        <f t="shared" si="400"/>
        <v>3.7912765421171342E-2</v>
      </c>
      <c r="AD397" s="80">
        <f t="shared" si="400"/>
        <v>3.8667563366184356E-2</v>
      </c>
      <c r="AE397" s="80">
        <f t="shared" si="400"/>
        <v>4.3004867550507211E-2</v>
      </c>
      <c r="AF397" s="80">
        <f t="shared" si="400"/>
        <v>4.5134515809643755E-2</v>
      </c>
    </row>
    <row r="398" spans="1:34" x14ac:dyDescent="0.25">
      <c r="B398" s="21">
        <f>(B365-B364)^2</f>
        <v>19938.458967350518</v>
      </c>
      <c r="C398" s="21">
        <f t="shared" ref="C398:AF398" si="401">(C365-C364)^2</f>
        <v>46818.437497527368</v>
      </c>
      <c r="D398" s="21">
        <f t="shared" si="401"/>
        <v>54587.290857766573</v>
      </c>
      <c r="E398" s="21">
        <f t="shared" si="401"/>
        <v>54488.981140796386</v>
      </c>
      <c r="F398" s="21">
        <f t="shared" si="401"/>
        <v>46838.052327781726</v>
      </c>
      <c r="G398" s="21">
        <f t="shared" si="401"/>
        <v>35894.244424806107</v>
      </c>
      <c r="H398" s="21">
        <f t="shared" si="401"/>
        <v>36491.566344680905</v>
      </c>
      <c r="I398" s="21">
        <f t="shared" si="401"/>
        <v>31440.611252593131</v>
      </c>
      <c r="J398" s="21">
        <f t="shared" si="401"/>
        <v>32651.912213414831</v>
      </c>
      <c r="K398" s="21">
        <f t="shared" si="401"/>
        <v>26658.137365379858</v>
      </c>
      <c r="L398" s="21">
        <f t="shared" si="401"/>
        <v>23944.870182726347</v>
      </c>
      <c r="M398" s="21">
        <f t="shared" si="401"/>
        <v>127.36551551499828</v>
      </c>
      <c r="N398" s="21">
        <f t="shared" si="401"/>
        <v>41419.994320233323</v>
      </c>
      <c r="O398" s="21">
        <f t="shared" si="401"/>
        <v>135087.7124445384</v>
      </c>
      <c r="P398" s="21">
        <f t="shared" si="401"/>
        <v>153853.69419494728</v>
      </c>
      <c r="Q398" s="21">
        <f t="shared" si="401"/>
        <v>64591.654829083869</v>
      </c>
      <c r="R398" s="21">
        <f t="shared" si="401"/>
        <v>13065.06327394053</v>
      </c>
      <c r="S398" s="21">
        <f t="shared" si="401"/>
        <v>585.38791484239687</v>
      </c>
      <c r="T398" s="21">
        <f t="shared" si="401"/>
        <v>31.750620127744398</v>
      </c>
      <c r="U398" s="21">
        <f t="shared" si="401"/>
        <v>11.86671840045077</v>
      </c>
      <c r="V398" s="21">
        <f t="shared" si="401"/>
        <v>0.41182250721357849</v>
      </c>
      <c r="W398" s="21">
        <f t="shared" si="401"/>
        <v>72.961583008594474</v>
      </c>
      <c r="X398" s="21">
        <f t="shared" si="401"/>
        <v>3.1110627094672991</v>
      </c>
      <c r="Y398" s="21">
        <f t="shared" si="401"/>
        <v>10.153477121329438</v>
      </c>
      <c r="Z398" s="21">
        <f t="shared" si="401"/>
        <v>13.230669893316284</v>
      </c>
      <c r="AA398" s="21">
        <f t="shared" si="401"/>
        <v>146.53570237502379</v>
      </c>
      <c r="AB398" s="21">
        <f t="shared" si="401"/>
        <v>245.19540095718182</v>
      </c>
      <c r="AC398" s="21">
        <f t="shared" si="401"/>
        <v>316.7113478740626</v>
      </c>
      <c r="AD398" s="21">
        <f t="shared" si="401"/>
        <v>328.96892623875073</v>
      </c>
      <c r="AE398" s="21">
        <f t="shared" si="401"/>
        <v>403.5310545335193</v>
      </c>
      <c r="AF398" s="21">
        <f t="shared" si="401"/>
        <v>442.67765253698985</v>
      </c>
      <c r="AG398" s="3"/>
      <c r="AH398" s="3"/>
    </row>
    <row r="399" spans="1:34" x14ac:dyDescent="0.25">
      <c r="A399" s="71">
        <f>SUM(B399:AF399)</f>
        <v>820510.54110620811</v>
      </c>
      <c r="B399" s="60">
        <f>IF($A$64&lt;=B363,IF($B$64&gt;=B363,ABS(B398),0),0)</f>
        <v>19938.458967350518</v>
      </c>
      <c r="C399" s="60">
        <f t="shared" ref="C399" si="402">IF($A$64&lt;=C363,IF($B$64&gt;=C363,ABS(C398),0),0)</f>
        <v>46818.437497527368</v>
      </c>
      <c r="D399" s="60">
        <f t="shared" ref="D399" si="403">IF($A$64&lt;=D363,IF($B$64&gt;=D363,ABS(D398),0),0)</f>
        <v>54587.290857766573</v>
      </c>
      <c r="E399" s="60">
        <f t="shared" ref="E399" si="404">IF($A$64&lt;=E363,IF($B$64&gt;=E363,ABS(E398),0),0)</f>
        <v>54488.981140796386</v>
      </c>
      <c r="F399" s="60">
        <f t="shared" ref="F399" si="405">IF($A$64&lt;=F363,IF($B$64&gt;=F363,ABS(F398),0),0)</f>
        <v>46838.052327781726</v>
      </c>
      <c r="G399" s="60">
        <f t="shared" ref="G399" si="406">IF($A$64&lt;=G363,IF($B$64&gt;=G363,ABS(G398),0),0)</f>
        <v>35894.244424806107</v>
      </c>
      <c r="H399" s="60">
        <f t="shared" ref="H399" si="407">IF($A$64&lt;=H363,IF($B$64&gt;=H363,ABS(H398),0),0)</f>
        <v>36491.566344680905</v>
      </c>
      <c r="I399" s="60">
        <f t="shared" ref="I399" si="408">IF($A$64&lt;=I363,IF($B$64&gt;=I363,ABS(I398),0),0)</f>
        <v>31440.611252593131</v>
      </c>
      <c r="J399" s="60">
        <f t="shared" ref="J399" si="409">IF($A$64&lt;=J363,IF($B$64&gt;=J363,ABS(J398),0),0)</f>
        <v>32651.912213414831</v>
      </c>
      <c r="K399" s="60">
        <f t="shared" ref="K399" si="410">IF($A$64&lt;=K363,IF($B$64&gt;=K363,ABS(K398),0),0)</f>
        <v>26658.137365379858</v>
      </c>
      <c r="L399" s="60">
        <f t="shared" ref="L399" si="411">IF($A$64&lt;=L363,IF($B$64&gt;=L363,ABS(L398),0),0)</f>
        <v>23944.870182726347</v>
      </c>
      <c r="M399" s="60">
        <f t="shared" ref="M399" si="412">IF($A$64&lt;=M363,IF($B$64&gt;=M363,ABS(M398),0),0)</f>
        <v>127.36551551499828</v>
      </c>
      <c r="N399" s="60">
        <f t="shared" ref="N399" si="413">IF($A$64&lt;=N363,IF($B$64&gt;=N363,ABS(N398),0),0)</f>
        <v>41419.994320233323</v>
      </c>
      <c r="O399" s="60">
        <f t="shared" ref="O399" si="414">IF($A$64&lt;=O363,IF($B$64&gt;=O363,ABS(O398),0),0)</f>
        <v>135087.7124445384</v>
      </c>
      <c r="P399" s="60">
        <f t="shared" ref="P399" si="415">IF($A$64&lt;=P363,IF($B$64&gt;=P363,ABS(P398),0),0)</f>
        <v>153853.69419494728</v>
      </c>
      <c r="Q399" s="60">
        <f t="shared" ref="Q399" si="416">IF($A$64&lt;=Q363,IF($B$64&gt;=Q363,ABS(Q398),0),0)</f>
        <v>64591.654829083869</v>
      </c>
      <c r="R399" s="60">
        <f t="shared" ref="R399" si="417">IF($A$64&lt;=R363,IF($B$64&gt;=R363,ABS(R398),0),0)</f>
        <v>13065.06327394053</v>
      </c>
      <c r="S399" s="60">
        <f t="shared" ref="S399" si="418">IF($A$64&lt;=S363,IF($B$64&gt;=S363,ABS(S398),0),0)</f>
        <v>585.38791484239687</v>
      </c>
      <c r="T399" s="60">
        <f t="shared" ref="T399" si="419">IF($A$64&lt;=T363,IF($B$64&gt;=T363,ABS(T398),0),0)</f>
        <v>31.750620127744398</v>
      </c>
      <c r="U399" s="60">
        <f t="shared" ref="U399" si="420">IF($A$64&lt;=U363,IF($B$64&gt;=U363,ABS(U398),0),0)</f>
        <v>11.86671840045077</v>
      </c>
      <c r="V399" s="60">
        <f t="shared" ref="V399" si="421">IF($A$64&lt;=V363,IF($B$64&gt;=V363,ABS(V398),0),0)</f>
        <v>0.41182250721357849</v>
      </c>
      <c r="W399" s="60">
        <f t="shared" ref="W399" si="422">IF($A$64&lt;=W363,IF($B$64&gt;=W363,ABS(W398),0),0)</f>
        <v>72.961583008594474</v>
      </c>
      <c r="X399" s="60">
        <f t="shared" ref="X399" si="423">IF($A$64&lt;=X363,IF($B$64&gt;=X363,ABS(X398),0),0)</f>
        <v>3.1110627094672991</v>
      </c>
      <c r="Y399" s="60">
        <f t="shared" ref="Y399" si="424">IF($A$64&lt;=Y363,IF($B$64&gt;=Y363,ABS(Y398),0),0)</f>
        <v>10.153477121329438</v>
      </c>
      <c r="Z399" s="60">
        <f t="shared" ref="Z399" si="425">IF($A$64&lt;=Z363,IF($B$64&gt;=Z363,ABS(Z398),0),0)</f>
        <v>13.230669893316284</v>
      </c>
      <c r="AA399" s="60">
        <f t="shared" ref="AA399" si="426">IF($A$64&lt;=AA363,IF($B$64&gt;=AA363,ABS(AA398),0),0)</f>
        <v>146.53570237502379</v>
      </c>
      <c r="AB399" s="60">
        <f t="shared" ref="AB399" si="427">IF($A$64&lt;=AB363,IF($B$64&gt;=AB363,ABS(AB398),0),0)</f>
        <v>245.19540095718182</v>
      </c>
      <c r="AC399" s="60">
        <f t="shared" ref="AC399" si="428">IF($A$64&lt;=AC363,IF($B$64&gt;=AC363,ABS(AC398),0),0)</f>
        <v>316.7113478740626</v>
      </c>
      <c r="AD399" s="60">
        <f t="shared" ref="AD399" si="429">IF($A$64&lt;=AD363,IF($B$64&gt;=AD363,ABS(AD398),0),0)</f>
        <v>328.96892623875073</v>
      </c>
      <c r="AE399" s="60">
        <f t="shared" ref="AE399" si="430">IF($A$64&lt;=AE363,IF($B$64&gt;=AE363,ABS(AE398),0),0)</f>
        <v>403.5310545335193</v>
      </c>
      <c r="AF399" s="60">
        <f t="shared" ref="AF399" si="431">IF($A$64&lt;=AF363,IF($B$64&gt;=AF363,ABS(AF398),0),0)</f>
        <v>442.67765253698985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-8.2045919832054164</v>
      </c>
      <c r="C403" s="107">
        <f t="shared" ref="C403:H403" si="432">IF(C125=$B$2,0,C126)</f>
        <v>-4.7518616410624546</v>
      </c>
      <c r="D403" s="107">
        <f t="shared" si="432"/>
        <v>-2.2155287311814971</v>
      </c>
      <c r="E403" s="107">
        <f t="shared" si="432"/>
        <v>0</v>
      </c>
      <c r="F403" s="107">
        <f t="shared" si="432"/>
        <v>2.7772873604500741</v>
      </c>
      <c r="G403" s="107">
        <f t="shared" si="432"/>
        <v>8.42598447324273</v>
      </c>
      <c r="H403" s="107">
        <f t="shared" si="432"/>
        <v>14.069604845309605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2.7339525667937425E-19</v>
      </c>
      <c r="C404" s="3">
        <f t="shared" ref="C404:H419" si="433">$A404/EXP(-C$403)</f>
        <v>8.6356038348939163E-18</v>
      </c>
      <c r="D404" s="3">
        <f t="shared" si="433"/>
        <v>1.0909581663651832E-16</v>
      </c>
      <c r="E404" s="3">
        <f t="shared" si="433"/>
        <v>1.0000000000000001E-15</v>
      </c>
      <c r="F404" s="3">
        <f t="shared" si="433"/>
        <v>1.6075355105918924E-14</v>
      </c>
      <c r="G404" s="3">
        <f t="shared" si="433"/>
        <v>4.5641358369795241E-12</v>
      </c>
      <c r="H404" s="3">
        <f t="shared" si="433"/>
        <v>1.2892933625855204E-9</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2.7339525667937426E-18</v>
      </c>
      <c r="C405" s="3">
        <f t="shared" si="433"/>
        <v>8.6356038348939157E-17</v>
      </c>
      <c r="D405" s="3">
        <f t="shared" si="433"/>
        <v>1.090958166365183E-15</v>
      </c>
      <c r="E405" s="3">
        <f t="shared" si="433"/>
        <v>1E-14</v>
      </c>
      <c r="F405" s="3">
        <f t="shared" si="433"/>
        <v>1.6075355105918923E-13</v>
      </c>
      <c r="G405" s="3">
        <f t="shared" si="433"/>
        <v>4.5641358369795234E-11</v>
      </c>
      <c r="H405" s="3">
        <f t="shared" si="433"/>
        <v>1.2892933625855203E-8</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2.7339525667937425E-17</v>
      </c>
      <c r="C406" s="3">
        <f t="shared" si="433"/>
        <v>8.6356038348939162E-16</v>
      </c>
      <c r="D406" s="3">
        <f t="shared" si="433"/>
        <v>1.0909581663651832E-14</v>
      </c>
      <c r="E406" s="3">
        <f t="shared" si="433"/>
        <v>1E-13</v>
      </c>
      <c r="F406" s="3">
        <f t="shared" si="433"/>
        <v>1.6075355105918923E-12</v>
      </c>
      <c r="G406" s="3">
        <f t="shared" si="433"/>
        <v>4.5641358369795234E-10</v>
      </c>
      <c r="H406" s="3">
        <f t="shared" si="433"/>
        <v>1.2892933625855202E-7</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2.7339525667937426E-16</v>
      </c>
      <c r="C407" s="3">
        <f t="shared" si="433"/>
        <v>8.6356038348939158E-15</v>
      </c>
      <c r="D407" s="3">
        <f t="shared" si="433"/>
        <v>1.090958166365183E-13</v>
      </c>
      <c r="E407" s="3">
        <f t="shared" si="433"/>
        <v>9.9999999999999998E-13</v>
      </c>
      <c r="F407" s="3">
        <f t="shared" si="433"/>
        <v>1.6075355105918925E-11</v>
      </c>
      <c r="G407" s="3">
        <f t="shared" si="433"/>
        <v>4.5641358369795235E-9</v>
      </c>
      <c r="H407" s="3">
        <f t="shared" si="433"/>
        <v>1.2892933625855201E-6</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2.7339525667937424E-15</v>
      </c>
      <c r="C408" s="3">
        <f t="shared" si="433"/>
        <v>8.6356038348939145E-14</v>
      </c>
      <c r="D408" s="3">
        <f t="shared" si="433"/>
        <v>1.0909581663651829E-12</v>
      </c>
      <c r="E408" s="3">
        <f t="shared" si="433"/>
        <v>9.9999999999999994E-12</v>
      </c>
      <c r="F408" s="3">
        <f t="shared" si="433"/>
        <v>1.6075355105918922E-10</v>
      </c>
      <c r="G408" s="3">
        <f t="shared" si="433"/>
        <v>4.5641358369795235E-8</v>
      </c>
      <c r="H408" s="3">
        <f t="shared" si="433"/>
        <v>1.2892933625855201E-5</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2.7339525667937427E-14</v>
      </c>
      <c r="C409" s="3">
        <f t="shared" si="433"/>
        <v>8.6356038348939161E-13</v>
      </c>
      <c r="D409" s="3">
        <f t="shared" si="433"/>
        <v>1.0909581663651831E-11</v>
      </c>
      <c r="E409" s="3">
        <f t="shared" si="433"/>
        <v>1E-10</v>
      </c>
      <c r="F409" s="3">
        <f t="shared" si="433"/>
        <v>1.6075355105918925E-9</v>
      </c>
      <c r="G409" s="3">
        <f t="shared" si="433"/>
        <v>4.5641358369795237E-7</v>
      </c>
      <c r="H409" s="3">
        <f t="shared" si="433"/>
        <v>1.2892933625855202E-4</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2.7339525667937425E-13</v>
      </c>
      <c r="C410" s="3">
        <f t="shared" si="433"/>
        <v>8.6356038348939169E-12</v>
      </c>
      <c r="D410" s="3">
        <f t="shared" si="433"/>
        <v>1.0909581663651832E-10</v>
      </c>
      <c r="E410" s="3">
        <f t="shared" si="433"/>
        <v>1.0000000000000001E-9</v>
      </c>
      <c r="F410" s="3">
        <f t="shared" si="433"/>
        <v>1.6075355105918923E-8</v>
      </c>
      <c r="G410" s="3">
        <f t="shared" si="433"/>
        <v>4.5641358369795242E-6</v>
      </c>
      <c r="H410" s="3">
        <f t="shared" si="433"/>
        <v>1.2892933625855204E-3</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2.7339525667937426E-12</v>
      </c>
      <c r="C411" s="3">
        <f t="shared" si="433"/>
        <v>8.6356038348939162E-11</v>
      </c>
      <c r="D411" s="3">
        <f t="shared" si="433"/>
        <v>1.0909581663651831E-9</v>
      </c>
      <c r="E411" s="3">
        <f t="shared" si="433"/>
        <v>1E-8</v>
      </c>
      <c r="F411" s="3">
        <f t="shared" si="433"/>
        <v>1.6075355105918923E-7</v>
      </c>
      <c r="G411" s="3">
        <f t="shared" si="433"/>
        <v>4.5641358369795237E-5</v>
      </c>
      <c r="H411" s="3">
        <f t="shared" si="433"/>
        <v>1.2892933625855203E-2</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2.7339525667937423E-11</v>
      </c>
      <c r="C412" s="3">
        <f t="shared" si="433"/>
        <v>8.6356038348939152E-10</v>
      </c>
      <c r="D412" s="3">
        <f t="shared" si="433"/>
        <v>1.090958166365183E-8</v>
      </c>
      <c r="E412" s="3">
        <f t="shared" si="433"/>
        <v>9.9999999999999995E-8</v>
      </c>
      <c r="F412" s="3">
        <f t="shared" si="433"/>
        <v>1.6075355105918924E-6</v>
      </c>
      <c r="G412" s="3">
        <f t="shared" si="433"/>
        <v>4.5641358369795235E-4</v>
      </c>
      <c r="H412" s="3">
        <f t="shared" si="433"/>
        <v>0.12892933625855202</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2.7339525667937425E-10</v>
      </c>
      <c r="C413" s="3">
        <f t="shared" si="433"/>
        <v>8.6356038348939158E-9</v>
      </c>
      <c r="D413" s="3">
        <f t="shared" si="433"/>
        <v>1.0909581663651831E-7</v>
      </c>
      <c r="E413" s="3">
        <f t="shared" si="433"/>
        <v>9.9999999999999995E-7</v>
      </c>
      <c r="F413" s="3">
        <f t="shared" si="433"/>
        <v>1.6075355105918924E-5</v>
      </c>
      <c r="G413" s="3">
        <f t="shared" si="433"/>
        <v>4.5641358369795234E-3</v>
      </c>
      <c r="H413" s="3">
        <f t="shared" si="433"/>
        <v>1.2892933625855203</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2.7339525667937426E-9</v>
      </c>
      <c r="C414" s="3">
        <f t="shared" si="433"/>
        <v>8.6356038348939168E-8</v>
      </c>
      <c r="D414" s="3">
        <f t="shared" si="433"/>
        <v>1.0909581663651831E-6</v>
      </c>
      <c r="E414" s="3">
        <f t="shared" si="433"/>
        <v>1.0000000000000001E-5</v>
      </c>
      <c r="F414" s="3">
        <f t="shared" si="433"/>
        <v>1.6075355105918924E-4</v>
      </c>
      <c r="G414" s="3">
        <f t="shared" si="433"/>
        <v>4.5641358369795236E-2</v>
      </c>
      <c r="H414" s="3">
        <f t="shared" si="433"/>
        <v>12.892933625855203</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2.7339525667937425E-8</v>
      </c>
      <c r="C415" s="3">
        <f t="shared" si="433"/>
        <v>8.6356038348939165E-7</v>
      </c>
      <c r="D415" s="3">
        <f t="shared" si="433"/>
        <v>1.0909581663651831E-5</v>
      </c>
      <c r="E415" s="3">
        <f t="shared" si="433"/>
        <v>1E-4</v>
      </c>
      <c r="F415" s="3">
        <f t="shared" si="433"/>
        <v>1.6075355105918923E-3</v>
      </c>
      <c r="G415" s="3">
        <f t="shared" si="433"/>
        <v>0.45641358369795237</v>
      </c>
      <c r="H415" s="3">
        <f t="shared" si="433"/>
        <v>128.92933625855204</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2.7339525667937426E-7</v>
      </c>
      <c r="C416" s="3">
        <f t="shared" si="433"/>
        <v>8.6356038348939155E-6</v>
      </c>
      <c r="D416" s="3">
        <f t="shared" si="433"/>
        <v>1.0909581663651831E-4</v>
      </c>
      <c r="E416" s="3">
        <f t="shared" si="433"/>
        <v>1E-3</v>
      </c>
      <c r="F416" s="3">
        <f t="shared" si="433"/>
        <v>1.6075355105918922E-2</v>
      </c>
      <c r="G416" s="3">
        <f t="shared" si="433"/>
        <v>4.5641358369795233</v>
      </c>
      <c r="H416" s="3">
        <f t="shared" si="433"/>
        <v>1289.2933625855203</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2.7339525667937424E-6</v>
      </c>
      <c r="C417" s="3">
        <f t="shared" si="433"/>
        <v>8.6356038348939162E-5</v>
      </c>
      <c r="D417" s="3">
        <f t="shared" si="433"/>
        <v>1.0909581663651831E-3</v>
      </c>
      <c r="E417" s="3">
        <f t="shared" si="433"/>
        <v>0.01</v>
      </c>
      <c r="F417" s="3">
        <f t="shared" si="433"/>
        <v>0.16075355105918923</v>
      </c>
      <c r="G417" s="3">
        <f t="shared" si="433"/>
        <v>45.641358369795235</v>
      </c>
      <c r="H417" s="3">
        <f t="shared" si="433"/>
        <v>12892.933625855203</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2.7339525667937426E-5</v>
      </c>
      <c r="C418" s="3">
        <f t="shared" si="433"/>
        <v>8.6356038348939159E-4</v>
      </c>
      <c r="D418" s="3">
        <f t="shared" si="433"/>
        <v>1.0909581663651831E-2</v>
      </c>
      <c r="E418" s="3">
        <f t="shared" si="433"/>
        <v>0.1</v>
      </c>
      <c r="F418" s="3">
        <f t="shared" si="433"/>
        <v>1.6075355105918925</v>
      </c>
      <c r="G418" s="3">
        <f t="shared" si="433"/>
        <v>456.41358369795239</v>
      </c>
      <c r="H418" s="3">
        <f t="shared" si="433"/>
        <v>128929.33625855204</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2.7339525667937427E-4</v>
      </c>
      <c r="C419" s="3">
        <f t="shared" si="433"/>
        <v>8.6356038348939148E-3</v>
      </c>
      <c r="D419" s="3">
        <f t="shared" si="433"/>
        <v>0.10909581663651831</v>
      </c>
      <c r="E419" s="3">
        <f t="shared" si="433"/>
        <v>1</v>
      </c>
      <c r="F419" s="3">
        <f t="shared" si="433"/>
        <v>16.075355105918923</v>
      </c>
      <c r="G419" s="3">
        <f t="shared" si="433"/>
        <v>4564.1358369795234</v>
      </c>
      <c r="H419" s="3">
        <f t="shared" si="433"/>
        <v>1289293.3625855201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2.7339525667937426E-3</v>
      </c>
      <c r="C420" s="3">
        <f t="shared" si="434"/>
        <v>8.6356038348939151E-2</v>
      </c>
      <c r="D420" s="3">
        <f t="shared" si="434"/>
        <v>1.0909581663651831</v>
      </c>
      <c r="E420" s="3">
        <f t="shared" si="434"/>
        <v>10</v>
      </c>
      <c r="F420" s="3">
        <f t="shared" si="434"/>
        <v>160.75355105918922</v>
      </c>
      <c r="G420" s="3">
        <f t="shared" si="434"/>
        <v>45641.358369795234</v>
      </c>
      <c r="H420" s="3">
        <f t="shared" si="434"/>
        <v>12892933.625855202</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2.7339525667937424E-2</v>
      </c>
      <c r="C421" s="3">
        <f t="shared" si="434"/>
        <v>0.86356038348939157</v>
      </c>
      <c r="D421" s="3">
        <f t="shared" si="434"/>
        <v>10.909581663651831</v>
      </c>
      <c r="E421" s="3">
        <f t="shared" si="434"/>
        <v>100</v>
      </c>
      <c r="F421" s="3">
        <f t="shared" si="434"/>
        <v>1607.5355105918923</v>
      </c>
      <c r="G421" s="3">
        <f t="shared" si="434"/>
        <v>456413.58369795233</v>
      </c>
      <c r="H421" s="3">
        <f t="shared" si="434"/>
        <v>128929336.25855203</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0.27339525667937425</v>
      </c>
      <c r="C422" s="3">
        <f t="shared" si="434"/>
        <v>8.6356038348939155</v>
      </c>
      <c r="D422" s="3">
        <f t="shared" si="434"/>
        <v>109.09581663651831</v>
      </c>
      <c r="E422" s="3">
        <f t="shared" si="434"/>
        <v>1000</v>
      </c>
      <c r="F422" s="3">
        <f t="shared" si="434"/>
        <v>16075.355105918923</v>
      </c>
      <c r="G422" s="3">
        <f t="shared" si="434"/>
        <v>4564135.8369795233</v>
      </c>
      <c r="H422" s="3">
        <f t="shared" si="434"/>
        <v>1289293362.5855203</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2.7339525667937425</v>
      </c>
      <c r="C423" s="3">
        <f t="shared" si="434"/>
        <v>86.356038348939151</v>
      </c>
      <c r="D423" s="3">
        <f t="shared" si="434"/>
        <v>1090.9581663651832</v>
      </c>
      <c r="E423" s="3">
        <f t="shared" si="434"/>
        <v>10000</v>
      </c>
      <c r="F423" s="3">
        <f t="shared" si="434"/>
        <v>160753.55105918922</v>
      </c>
      <c r="G423" s="3">
        <f t="shared" si="434"/>
        <v>45641358.369795233</v>
      </c>
      <c r="H423" s="3">
        <f t="shared" si="434"/>
        <v>12892933625.855202</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27.339525667937426</v>
      </c>
      <c r="C424" s="3">
        <f t="shared" si="434"/>
        <v>863.5603834893916</v>
      </c>
      <c r="D424" s="3">
        <f t="shared" si="434"/>
        <v>10909.58166365183</v>
      </c>
      <c r="E424" s="3">
        <f t="shared" si="434"/>
        <v>100000</v>
      </c>
      <c r="F424" s="3">
        <f t="shared" si="434"/>
        <v>1607535.5105918923</v>
      </c>
      <c r="G424" s="3">
        <f t="shared" si="434"/>
        <v>456413583.69795233</v>
      </c>
      <c r="H424" s="3">
        <f t="shared" si="434"/>
        <v>128929336258.55203</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273.39525667937426</v>
      </c>
      <c r="C425" s="3">
        <f t="shared" si="434"/>
        <v>8635.6038348939164</v>
      </c>
      <c r="D425" s="3">
        <f t="shared" si="434"/>
        <v>109095.81663651831</v>
      </c>
      <c r="E425" s="3">
        <f t="shared" si="434"/>
        <v>1000000</v>
      </c>
      <c r="F425" s="3">
        <f t="shared" si="434"/>
        <v>16075355.105918923</v>
      </c>
      <c r="G425" s="3">
        <f t="shared" si="434"/>
        <v>4564135836.9795237</v>
      </c>
      <c r="H425" s="3">
        <f t="shared" si="434"/>
        <v>1289293362585.5203</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2733.9525667937423</v>
      </c>
      <c r="C426" s="3">
        <f t="shared" si="434"/>
        <v>86356.038348939153</v>
      </c>
      <c r="D426" s="3">
        <f t="shared" si="434"/>
        <v>1090958.166365183</v>
      </c>
      <c r="E426" s="3">
        <f t="shared" si="434"/>
        <v>10000000</v>
      </c>
      <c r="F426" s="3">
        <f t="shared" si="434"/>
        <v>160753551.05918923</v>
      </c>
      <c r="G426" s="3">
        <f t="shared" si="434"/>
        <v>45641358369.795235</v>
      </c>
      <c r="H426" s="3">
        <f t="shared" si="434"/>
        <v>12892933625855.203</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27339.525667937425</v>
      </c>
      <c r="C427" s="3">
        <f t="shared" si="434"/>
        <v>863560.38348939153</v>
      </c>
      <c r="D427" s="3">
        <f t="shared" si="434"/>
        <v>10909581.663651831</v>
      </c>
      <c r="E427" s="3">
        <f t="shared" si="434"/>
        <v>100000000</v>
      </c>
      <c r="F427" s="3">
        <f t="shared" si="434"/>
        <v>1607535510.5918922</v>
      </c>
      <c r="G427" s="3">
        <f t="shared" si="434"/>
        <v>456413583697.95233</v>
      </c>
      <c r="H427" s="3">
        <f t="shared" si="434"/>
        <v>128929336258552.03</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273395.25667937426</v>
      </c>
      <c r="C428" s="3">
        <f t="shared" si="434"/>
        <v>8635603.8348939158</v>
      </c>
      <c r="D428" s="3">
        <f t="shared" si="434"/>
        <v>109095816.6365183</v>
      </c>
      <c r="E428" s="3">
        <f t="shared" si="434"/>
        <v>1000000000</v>
      </c>
      <c r="F428" s="3">
        <f t="shared" si="434"/>
        <v>16075355105.918924</v>
      </c>
      <c r="G428" s="3">
        <f t="shared" si="434"/>
        <v>4564135836979.5234</v>
      </c>
      <c r="H428" s="3">
        <f t="shared" si="434"/>
        <v>1289293362585520.2</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2733952.5667937426</v>
      </c>
      <c r="C429" s="3">
        <f t="shared" si="434"/>
        <v>86356038.348939151</v>
      </c>
      <c r="D429" s="3">
        <f t="shared" si="434"/>
        <v>1090958166.3651831</v>
      </c>
      <c r="E429" s="3">
        <f t="shared" si="434"/>
        <v>10000000000</v>
      </c>
      <c r="F429" s="3">
        <f t="shared" si="434"/>
        <v>160753551059.18924</v>
      </c>
      <c r="G429" s="3">
        <f t="shared" si="434"/>
        <v>45641358369795.234</v>
      </c>
      <c r="H429" s="3">
        <f t="shared" si="434"/>
        <v>1.2892933625855202E+16</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27339525.667937424</v>
      </c>
      <c r="C430" s="3">
        <f t="shared" si="434"/>
        <v>863560383.48939157</v>
      </c>
      <c r="D430" s="3">
        <f t="shared" si="434"/>
        <v>10909581663.651831</v>
      </c>
      <c r="E430" s="3">
        <f t="shared" si="434"/>
        <v>100000000000</v>
      </c>
      <c r="F430" s="3">
        <f t="shared" si="434"/>
        <v>1607535510591.8923</v>
      </c>
      <c r="G430" s="3">
        <f t="shared" si="434"/>
        <v>456413583697952.37</v>
      </c>
      <c r="H430" s="3">
        <f t="shared" si="434"/>
        <v>1.2892933625855203E+17</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273395256.67937422</v>
      </c>
      <c r="C431" s="3">
        <f t="shared" si="434"/>
        <v>8635603834.8939152</v>
      </c>
      <c r="D431" s="3">
        <f t="shared" si="434"/>
        <v>109095816636.51831</v>
      </c>
      <c r="E431" s="3">
        <f t="shared" si="434"/>
        <v>1000000000000</v>
      </c>
      <c r="F431" s="3">
        <f t="shared" si="434"/>
        <v>16075355105918.924</v>
      </c>
      <c r="G431" s="3">
        <f t="shared" si="434"/>
        <v>4564135836979523</v>
      </c>
      <c r="H431" s="3">
        <f t="shared" si="434"/>
        <v>1.2892933625855201E+18</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2733952566.7937427</v>
      </c>
      <c r="C432" s="3">
        <f t="shared" si="434"/>
        <v>86356038348.939163</v>
      </c>
      <c r="D432" s="3">
        <f t="shared" si="434"/>
        <v>1090958166365.1831</v>
      </c>
      <c r="E432" s="3">
        <f t="shared" si="434"/>
        <v>10000000000000</v>
      </c>
      <c r="F432" s="3">
        <f t="shared" si="434"/>
        <v>160753551059189.25</v>
      </c>
      <c r="G432" s="3">
        <f t="shared" si="434"/>
        <v>4.5641358369795232E+16</v>
      </c>
      <c r="H432" s="3">
        <f t="shared" si="434"/>
        <v>1.2892933625855203E+19</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27339525667.937424</v>
      </c>
      <c r="C433" s="3">
        <f t="shared" si="434"/>
        <v>863560383489.3916</v>
      </c>
      <c r="D433" s="3">
        <f t="shared" si="434"/>
        <v>10909581663651.83</v>
      </c>
      <c r="E433" s="3">
        <f t="shared" si="434"/>
        <v>100000000000000</v>
      </c>
      <c r="F433" s="3">
        <f t="shared" si="434"/>
        <v>1607535510591892.2</v>
      </c>
      <c r="G433" s="3">
        <f t="shared" si="434"/>
        <v>4.5641358369795232E+17</v>
      </c>
      <c r="H433" s="3">
        <f t="shared" si="434"/>
        <v>1.2892933625855202E+20</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273395256679.37424</v>
      </c>
      <c r="C434" s="3">
        <f t="shared" si="434"/>
        <v>8635603834893.916</v>
      </c>
      <c r="D434" s="3">
        <f t="shared" si="434"/>
        <v>109095816636518.31</v>
      </c>
      <c r="E434" s="3">
        <f t="shared" si="434"/>
        <v>1000000000000000</v>
      </c>
      <c r="F434" s="3">
        <f t="shared" si="434"/>
        <v>1.6075355105918924E+16</v>
      </c>
      <c r="G434" s="3">
        <f t="shared" si="434"/>
        <v>4.5641358369795236E+18</v>
      </c>
      <c r="H434" s="3">
        <f t="shared" si="434"/>
        <v>1.2892933625855203E+21</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-8.2045919832054164</v>
      </c>
      <c r="M1" s="54">
        <v>1</v>
      </c>
      <c r="N1" s="56">
        <f>INDEX($H$217:$P$217,1,Q1)</f>
        <v>8.5377486153623033E-2</v>
      </c>
      <c r="O1" s="11"/>
      <c r="P1" s="55">
        <v>1</v>
      </c>
      <c r="Q1" s="11">
        <v>2</v>
      </c>
    </row>
    <row r="2" spans="1:17" x14ac:dyDescent="0.25">
      <c r="A2" s="11">
        <f>'Mastercurve bestimmen'!M119</f>
        <v>0</v>
      </c>
      <c r="B2" s="11">
        <f>'Mastercurve bestimmen'!N119</f>
        <v>-4.7518616410624546</v>
      </c>
      <c r="M2" s="54">
        <v>2</v>
      </c>
      <c r="N2" s="56">
        <f t="shared" ref="N2:N9" si="0">INDEX($H$217:$P$217,1,Q2)</f>
        <v>2.5196417463843287E-5</v>
      </c>
      <c r="O2" s="11"/>
      <c r="P2" s="55">
        <v>2</v>
      </c>
      <c r="Q2" s="11">
        <f>Q1+1</f>
        <v>3</v>
      </c>
    </row>
    <row r="3" spans="1:17" x14ac:dyDescent="0.25">
      <c r="A3" s="11">
        <f>'Mastercurve bestimmen'!M120</f>
        <v>25</v>
      </c>
      <c r="B3" s="11">
        <f>'Mastercurve bestimmen'!N120</f>
        <v>-2.2155287311814971</v>
      </c>
      <c r="M3" s="54">
        <v>3</v>
      </c>
      <c r="N3" s="56">
        <f t="shared" si="0"/>
        <v>7.8842129782641084E-6</v>
      </c>
      <c r="O3" s="11"/>
      <c r="P3" s="55">
        <v>3</v>
      </c>
      <c r="Q3" s="11">
        <f t="shared" ref="Q3:Q8" si="1">Q2+1</f>
        <v>4</v>
      </c>
    </row>
    <row r="4" spans="1:17" x14ac:dyDescent="0.25">
      <c r="A4" s="11">
        <f>'Mastercurve bestimmen'!M121</f>
        <v>50</v>
      </c>
      <c r="B4" s="11">
        <f>'Mastercurve bestimmen'!N121</f>
        <v>0</v>
      </c>
      <c r="M4" s="54">
        <v>4</v>
      </c>
      <c r="N4" s="56">
        <f t="shared" si="0"/>
        <v>-1.0147604042883616E-8</v>
      </c>
      <c r="O4" s="11"/>
      <c r="P4" s="55">
        <v>4</v>
      </c>
      <c r="Q4" s="11">
        <f t="shared" si="1"/>
        <v>5</v>
      </c>
    </row>
    <row r="5" spans="1:17" x14ac:dyDescent="0.25">
      <c r="A5" s="11">
        <f>'Mastercurve bestimmen'!M122</f>
        <v>80</v>
      </c>
      <c r="B5" s="11">
        <f>'Mastercurve bestimmen'!N122</f>
        <v>2.7772873604500741</v>
      </c>
      <c r="M5" s="54">
        <v>5</v>
      </c>
      <c r="N5" s="56">
        <f t="shared" si="0"/>
        <v>-1.0872305260990225E-9</v>
      </c>
      <c r="O5" s="11"/>
      <c r="P5" s="55">
        <v>5</v>
      </c>
      <c r="Q5" s="11">
        <f t="shared" si="1"/>
        <v>6</v>
      </c>
    </row>
    <row r="6" spans="1:17" x14ac:dyDescent="0.25">
      <c r="A6" s="11">
        <f>'Mastercurve bestimmen'!M123</f>
        <v>125</v>
      </c>
      <c r="B6" s="11">
        <f>'Mastercurve bestimmen'!N123</f>
        <v>8.42598447324273</v>
      </c>
      <c r="M6" s="54">
        <v>6</v>
      </c>
      <c r="N6" s="56">
        <f t="shared" si="0"/>
        <v>6.6791217274030519E-12</v>
      </c>
      <c r="O6" s="11"/>
      <c r="P6" s="55">
        <v>6</v>
      </c>
      <c r="Q6" s="11">
        <f t="shared" si="1"/>
        <v>7</v>
      </c>
    </row>
    <row r="7" spans="1:17" x14ac:dyDescent="0.25">
      <c r="A7" s="11">
        <f>'Mastercurve bestimmen'!M124</f>
        <v>160</v>
      </c>
      <c r="B7" s="11">
        <f>'Mastercurve bestimmen'!N124</f>
        <v>14.069604845309605</v>
      </c>
      <c r="M7" s="54">
        <v>7</v>
      </c>
      <c r="N7" s="56">
        <f t="shared" si="0"/>
        <v>5.1490352411241208E-14</v>
      </c>
      <c r="O7" s="11"/>
      <c r="P7" s="55">
        <v>7</v>
      </c>
      <c r="Q7" s="11">
        <f t="shared" si="1"/>
        <v>8</v>
      </c>
    </row>
    <row r="8" spans="1:17" x14ac:dyDescent="0.25">
      <c r="A8" s="11"/>
      <c r="B8" s="11"/>
      <c r="M8" s="54">
        <v>8</v>
      </c>
      <c r="N8" s="56">
        <f t="shared" si="0"/>
        <v>-4.205464914492846E-16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-8.2045919832054164</v>
      </c>
      <c r="E15" s="11">
        <f>A15-'Mastercurve bestimmen'!$B$2</f>
        <v>-90</v>
      </c>
      <c r="F15" s="11">
        <f>B15</f>
        <v>-8.2045919832054164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-8.1438503211479834</v>
      </c>
      <c r="E16" s="11">
        <f>A16-'Mastercurve bestimmen'!$B$2</f>
        <v>-89</v>
      </c>
      <c r="F16" s="11">
        <f t="shared" ref="F16:F79" si="4">B16</f>
        <v>-8.1438503211479834</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-8.0830126868710543</v>
      </c>
      <c r="E17" s="11">
        <f>A17-'Mastercurve bestimmen'!$B$2</f>
        <v>-88</v>
      </c>
      <c r="F17" s="11">
        <f t="shared" si="4"/>
        <v>-8.0830126868710543</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-8.0219831081551281</v>
      </c>
      <c r="E18" s="11">
        <f>A18-'Mastercurve bestimmen'!$B$2</f>
        <v>-87</v>
      </c>
      <c r="F18" s="11">
        <f t="shared" si="4"/>
        <v>-8.0219831081551281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-7.9606656127807094</v>
      </c>
      <c r="E19" s="11">
        <f>A19-'Mastercurve bestimmen'!$B$2</f>
        <v>-86</v>
      </c>
      <c r="F19" s="11">
        <f t="shared" si="4"/>
        <v>-7.9606656127807094</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-7.8989642285282997</v>
      </c>
      <c r="E20" s="11">
        <f>A20-'Mastercurve bestimmen'!$B$2</f>
        <v>-85</v>
      </c>
      <c r="F20" s="11">
        <f t="shared" si="4"/>
        <v>-7.8989642285282997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-7.8367829831784013</v>
      </c>
      <c r="E21" s="11">
        <f>A21-'Mastercurve bestimmen'!$B$2</f>
        <v>-84</v>
      </c>
      <c r="F21" s="11">
        <f t="shared" si="4"/>
        <v>-7.8367829831784013</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-7.7740259045115172</v>
      </c>
      <c r="E22" s="11">
        <f>A22-'Mastercurve bestimmen'!$B$2</f>
        <v>-83</v>
      </c>
      <c r="F22" s="11">
        <f t="shared" si="4"/>
        <v>-7.7740259045115172</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-7.710597020308148</v>
      </c>
      <c r="E23" s="11">
        <f>A23-'Mastercurve bestimmen'!$B$2</f>
        <v>-82</v>
      </c>
      <c r="F23" s="11">
        <f t="shared" si="4"/>
        <v>-7.710597020308148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-7.6464003583487976</v>
      </c>
      <c r="E24" s="11">
        <f>A24-'Mastercurve bestimmen'!$B$2</f>
        <v>-81</v>
      </c>
      <c r="F24" s="11">
        <f t="shared" si="4"/>
        <v>-7.6464003583487976</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-7.5813399464139684</v>
      </c>
      <c r="E25" s="11">
        <f>A25-'Mastercurve bestimmen'!$B$2</f>
        <v>-80</v>
      </c>
      <c r="F25" s="11">
        <f t="shared" si="4"/>
        <v>-7.5813399464139684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-7.5153198122841616</v>
      </c>
      <c r="E26" s="11">
        <f>A26-'Mastercurve bestimmen'!$B$2</f>
        <v>-79</v>
      </c>
      <c r="F26" s="11">
        <f t="shared" si="4"/>
        <v>-7.5153198122841616</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-7.4482439837398804</v>
      </c>
      <c r="E27" s="11">
        <f>A27-'Mastercurve bestimmen'!$B$2</f>
        <v>-78</v>
      </c>
      <c r="F27" s="11">
        <f t="shared" si="4"/>
        <v>-7.4482439837398804</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-7.3800164885616253</v>
      </c>
      <c r="E28" s="11">
        <f>A28-'Mastercurve bestimmen'!$B$2</f>
        <v>-77</v>
      </c>
      <c r="F28" s="11">
        <f t="shared" si="4"/>
        <v>-7.3800164885616253</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-7.3105413545299003</v>
      </c>
      <c r="E29" s="11">
        <f>A29-'Mastercurve bestimmen'!$B$2</f>
        <v>-76</v>
      </c>
      <c r="F29" s="11">
        <f t="shared" si="4"/>
        <v>-7.3105413545299003</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-7.2397226094252076</v>
      </c>
      <c r="E30" s="11">
        <f>A30-'Mastercurve bestimmen'!$B$2</f>
        <v>-75</v>
      </c>
      <c r="F30" s="11">
        <f t="shared" si="4"/>
        <v>-7.2397226094252076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-7.1674642810280496</v>
      </c>
      <c r="E31" s="11">
        <f>A31-'Mastercurve bestimmen'!$B$2</f>
        <v>-74</v>
      </c>
      <c r="F31" s="11">
        <f t="shared" si="4"/>
        <v>-7.1674642810280496</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-7.0936703971189283</v>
      </c>
      <c r="E32" s="11">
        <f>A32-'Mastercurve bestimmen'!$B$2</f>
        <v>-73</v>
      </c>
      <c r="F32" s="11">
        <f t="shared" si="4"/>
        <v>-7.0936703971189283</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-7.0182449854783444</v>
      </c>
      <c r="E33" s="11">
        <f>A33-'Mastercurve bestimmen'!$B$2</f>
        <v>-72</v>
      </c>
      <c r="F33" s="11">
        <f t="shared" si="4"/>
        <v>-7.0182449854783444</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-6.9410920738868036</v>
      </c>
      <c r="E34" s="11">
        <f>A34-'Mastercurve bestimmen'!$B$2</f>
        <v>-71</v>
      </c>
      <c r="F34" s="11">
        <f t="shared" si="4"/>
        <v>-6.9410920738868036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-6.8621156901248037</v>
      </c>
      <c r="E35" s="11">
        <f>A35-'Mastercurve bestimmen'!$B$2</f>
        <v>-70</v>
      </c>
      <c r="F35" s="11">
        <f t="shared" si="4"/>
        <v>-6.8621156901248037</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-6.7812198619728505</v>
      </c>
      <c r="E36" s="11">
        <f>A36-'Mastercurve bestimmen'!$B$2</f>
        <v>-69</v>
      </c>
      <c r="F36" s="11">
        <f t="shared" si="4"/>
        <v>-6.7812198619728505</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-6.6983086172114454</v>
      </c>
      <c r="E37" s="11">
        <f>A37-'Mastercurve bestimmen'!$B$2</f>
        <v>-68</v>
      </c>
      <c r="F37" s="11">
        <f t="shared" si="4"/>
        <v>-6.6983086172114454</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-6.6132859836210907</v>
      </c>
      <c r="E38" s="11">
        <f>A38-'Mastercurve bestimmen'!$B$2</f>
        <v>-67</v>
      </c>
      <c r="F38" s="11">
        <f t="shared" si="4"/>
        <v>-6.6132859836210907</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-6.5260559889822884</v>
      </c>
      <c r="E39" s="11">
        <f>A39-'Mastercurve bestimmen'!$B$2</f>
        <v>-66</v>
      </c>
      <c r="F39" s="11">
        <f t="shared" si="4"/>
        <v>-6.5260559889822884</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-6.4365226610755411</v>
      </c>
      <c r="E40" s="11">
        <f>A40-'Mastercurve bestimmen'!$B$2</f>
        <v>-65</v>
      </c>
      <c r="F40" s="11">
        <f t="shared" si="4"/>
        <v>-6.4365226610755411</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-6.3445900276813507</v>
      </c>
      <c r="E41" s="11">
        <f>A41-'Mastercurve bestimmen'!$B$2</f>
        <v>-64</v>
      </c>
      <c r="F41" s="11">
        <f t="shared" si="4"/>
        <v>-6.3445900276813507</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-6.2501621165802188</v>
      </c>
      <c r="E42" s="11">
        <f>A42-'Mastercurve bestimmen'!$B$2</f>
        <v>-63</v>
      </c>
      <c r="F42" s="11">
        <f t="shared" si="4"/>
        <v>-6.2501621165802188</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-6.1531429555526493</v>
      </c>
      <c r="E43" s="11">
        <f>A43-'Mastercurve bestimmen'!$B$2</f>
        <v>-62</v>
      </c>
      <c r="F43" s="11">
        <f t="shared" si="4"/>
        <v>-6.1531429555526493</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-6.0534365723791446</v>
      </c>
      <c r="E44" s="11">
        <f>A44-'Mastercurve bestimmen'!$B$2</f>
        <v>-61</v>
      </c>
      <c r="F44" s="11">
        <f t="shared" si="4"/>
        <v>-6.0534365723791446</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-5.950946994840205</v>
      </c>
      <c r="E45" s="11">
        <f>A45-'Mastercurve bestimmen'!$B$2</f>
        <v>-60</v>
      </c>
      <c r="F45" s="11">
        <f t="shared" si="4"/>
        <v>-5.950946994840205</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-5.8455782507163345</v>
      </c>
      <c r="E46" s="11">
        <f>A46-'Mastercurve bestimmen'!$B$2</f>
        <v>-59</v>
      </c>
      <c r="F46" s="11">
        <f t="shared" si="4"/>
        <v>-5.8455782507163345</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-5.7372343677880338</v>
      </c>
      <c r="E47" s="11">
        <f>A47-'Mastercurve bestimmen'!$B$2</f>
        <v>-58</v>
      </c>
      <c r="F47" s="11">
        <f t="shared" si="4"/>
        <v>-5.7372343677880338</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-5.6258193738358067</v>
      </c>
      <c r="E48" s="11">
        <f>A48-'Mastercurve bestimmen'!$B$2</f>
        <v>-57</v>
      </c>
      <c r="F48" s="11">
        <f t="shared" si="4"/>
        <v>-5.6258193738358067</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-5.5112372966401555</v>
      </c>
      <c r="E49" s="11">
        <f>A49-'Mastercurve bestimmen'!$B$2</f>
        <v>-56</v>
      </c>
      <c r="F49" s="11">
        <f t="shared" si="4"/>
        <v>-5.5112372966401555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-5.3933921639815807</v>
      </c>
      <c r="E50" s="11">
        <f>A50-'Mastercurve bestimmen'!$B$2</f>
        <v>-55</v>
      </c>
      <c r="F50" s="11">
        <f t="shared" si="4"/>
        <v>-5.3933921639815807</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-5.2721880036405864</v>
      </c>
      <c r="E51" s="11">
        <f>A51-'Mastercurve bestimmen'!$B$2</f>
        <v>-54</v>
      </c>
      <c r="F51" s="11">
        <f t="shared" si="4"/>
        <v>-5.2721880036405864</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-5.1475288433976747</v>
      </c>
      <c r="E52" s="11">
        <f>A52-'Mastercurve bestimmen'!$B$2</f>
        <v>-53</v>
      </c>
      <c r="F52" s="11">
        <f t="shared" si="4"/>
        <v>-5.1475288433976747</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-5.019318711033347</v>
      </c>
      <c r="E53" s="11">
        <f>A53-'Mastercurve bestimmen'!$B$2</f>
        <v>-52</v>
      </c>
      <c r="F53" s="11">
        <f t="shared" si="4"/>
        <v>-5.019318711033347</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-4.8874616343281065</v>
      </c>
      <c r="E54" s="11">
        <f>A54-'Mastercurve bestimmen'!$B$2</f>
        <v>-51</v>
      </c>
      <c r="F54" s="11">
        <f t="shared" si="4"/>
        <v>-4.8874616343281065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-4.7518616410624546</v>
      </c>
      <c r="E55" s="11">
        <f>A55-'Mastercurve bestimmen'!$B$2</f>
        <v>-50</v>
      </c>
      <c r="F55" s="11">
        <f t="shared" si="4"/>
        <v>-4.7518616410624546</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-4.6729144539877172</v>
      </c>
      <c r="E56" s="11">
        <f>A56-'Mastercurve bestimmen'!$B$2</f>
        <v>-49</v>
      </c>
      <c r="F56" s="11">
        <f t="shared" si="4"/>
        <v>-4.6729144539877172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-4.5903549217488253</v>
      </c>
      <c r="E57" s="11">
        <f>A57-'Mastercurve bestimmen'!$B$2</f>
        <v>-48</v>
      </c>
      <c r="F57" s="11">
        <f t="shared" si="4"/>
        <v>-4.5903549217488253</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-4.5044095879615327</v>
      </c>
      <c r="E58" s="11">
        <f>A58-'Mastercurve bestimmen'!$B$2</f>
        <v>-47</v>
      </c>
      <c r="F58" s="11">
        <f t="shared" si="4"/>
        <v>-4.5044095879615327</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-4.4153049962415922</v>
      </c>
      <c r="E59" s="11">
        <f>A59-'Mastercurve bestimmen'!$B$2</f>
        <v>-46</v>
      </c>
      <c r="F59" s="11">
        <f t="shared" si="4"/>
        <v>-4.4153049962415922</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-4.3232676902047595</v>
      </c>
      <c r="E60" s="11">
        <f>A60-'Mastercurve bestimmen'!$B$2</f>
        <v>-45</v>
      </c>
      <c r="F60" s="11">
        <f t="shared" si="4"/>
        <v>-4.3232676902047595</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-4.2285242134667866</v>
      </c>
      <c r="E61" s="11">
        <f>A61-'Mastercurve bestimmen'!$B$2</f>
        <v>-44</v>
      </c>
      <c r="F61" s="11">
        <f t="shared" si="4"/>
        <v>-4.2285242134667866</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-4.1313011096434291</v>
      </c>
      <c r="E62" s="11">
        <f>A62-'Mastercurve bestimmen'!$B$2</f>
        <v>-43</v>
      </c>
      <c r="F62" s="11">
        <f t="shared" si="4"/>
        <v>-4.1313011096434291</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-4.031824922350439</v>
      </c>
      <c r="E63" s="11">
        <f>A63-'Mastercurve bestimmen'!$B$2</f>
        <v>-42</v>
      </c>
      <c r="F63" s="11">
        <f t="shared" si="4"/>
        <v>-4.031824922350439</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-3.9303221952035718</v>
      </c>
      <c r="E64" s="11">
        <f>A64-'Mastercurve bestimmen'!$B$2</f>
        <v>-41</v>
      </c>
      <c r="F64" s="11">
        <f t="shared" si="4"/>
        <v>-3.9303221952035718</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-3.8270194718185815</v>
      </c>
      <c r="E65" s="11">
        <f>A65-'Mastercurve bestimmen'!$B$2</f>
        <v>-40</v>
      </c>
      <c r="F65" s="11">
        <f t="shared" si="4"/>
        <v>-3.8270194718185815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-3.7221432958112199</v>
      </c>
      <c r="E66" s="11">
        <f>A66-'Mastercurve bestimmen'!$B$2</f>
        <v>-39</v>
      </c>
      <c r="F66" s="11">
        <f t="shared" si="4"/>
        <v>-3.7221432958112199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-3.6159202107972432</v>
      </c>
      <c r="E67" s="11">
        <f>A67-'Mastercurve bestimmen'!$B$2</f>
        <v>-38</v>
      </c>
      <c r="F67" s="11">
        <f t="shared" si="4"/>
        <v>-3.6159202107972432</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-3.5085767603924038</v>
      </c>
      <c r="E68" s="11">
        <f>A68-'Mastercurve bestimmen'!$B$2</f>
        <v>-37</v>
      </c>
      <c r="F68" s="11">
        <f t="shared" si="4"/>
        <v>-3.5085767603924038</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-3.4003394882124565</v>
      </c>
      <c r="E69" s="11">
        <f>A69-'Mastercurve bestimmen'!$B$2</f>
        <v>-36</v>
      </c>
      <c r="F69" s="11">
        <f t="shared" si="4"/>
        <v>-3.4003394882124565</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-3.2914349378731549</v>
      </c>
      <c r="E70" s="11">
        <f>A70-'Mastercurve bestimmen'!$B$2</f>
        <v>-35</v>
      </c>
      <c r="F70" s="11">
        <f t="shared" si="4"/>
        <v>-3.2914349378731549</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-3.1820896529902525</v>
      </c>
      <c r="E71" s="11">
        <f>A71-'Mastercurve bestimmen'!$B$2</f>
        <v>-34</v>
      </c>
      <c r="F71" s="11">
        <f t="shared" si="4"/>
        <v>-3.1820896529902525</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-3.0725301771795035</v>
      </c>
      <c r="E72" s="11">
        <f>A72-'Mastercurve bestimmen'!$B$2</f>
        <v>-33</v>
      </c>
      <c r="F72" s="11">
        <f t="shared" si="4"/>
        <v>-3.0725301771795035</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-2.9629830540566617</v>
      </c>
      <c r="E73" s="11">
        <f>A73-'Mastercurve bestimmen'!$B$2</f>
        <v>-32</v>
      </c>
      <c r="F73" s="11">
        <f t="shared" si="4"/>
        <v>-2.9629830540566617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-2.853674827237481</v>
      </c>
      <c r="E74" s="11">
        <f>A74-'Mastercurve bestimmen'!$B$2</f>
        <v>-31</v>
      </c>
      <c r="F74" s="11">
        <f t="shared" si="4"/>
        <v>-2.853674827237481</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-2.7448320403377151</v>
      </c>
      <c r="E75" s="11">
        <f>A75-'Mastercurve bestimmen'!$B$2</f>
        <v>-30</v>
      </c>
      <c r="F75" s="11">
        <f t="shared" si="4"/>
        <v>-2.7448320403377151</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-2.6366812369731187</v>
      </c>
      <c r="E76" s="11">
        <f>A76-'Mastercurve bestimmen'!$B$2</f>
        <v>-29</v>
      </c>
      <c r="F76" s="11">
        <f t="shared" si="4"/>
        <v>-2.6366812369731187</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-2.5294489607594444</v>
      </c>
      <c r="E77" s="11">
        <f>A77-'Mastercurve bestimmen'!$B$2</f>
        <v>-28</v>
      </c>
      <c r="F77" s="11">
        <f t="shared" si="4"/>
        <v>-2.5294489607594444</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-2.4233617553124471</v>
      </c>
      <c r="E78" s="11">
        <f>A78-'Mastercurve bestimmen'!$B$2</f>
        <v>-27</v>
      </c>
      <c r="F78" s="11">
        <f t="shared" si="4"/>
        <v>-2.4233617553124471</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-2.3186461642478799</v>
      </c>
      <c r="E79" s="11">
        <f>A79-'Mastercurve bestimmen'!$B$2</f>
        <v>-26</v>
      </c>
      <c r="F79" s="11">
        <f t="shared" si="4"/>
        <v>-2.3186461642478799</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-2.2155287311814971</v>
      </c>
      <c r="E80" s="11">
        <f>A80-'Mastercurve bestimmen'!$B$2</f>
        <v>-25</v>
      </c>
      <c r="F80" s="11">
        <f t="shared" ref="F80:F143" si="10">B80</f>
        <v>-2.2155287311814971</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-2.114183543131932</v>
      </c>
      <c r="E81" s="11">
        <f>A81-'Mastercurve bestimmen'!$B$2</f>
        <v>-24</v>
      </c>
      <c r="F81" s="11">
        <f t="shared" si="10"/>
        <v>-2.114183543131932</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-2.0145748607293341</v>
      </c>
      <c r="E82" s="11">
        <f>A82-'Mastercurve bestimmen'!$B$2</f>
        <v>-23</v>
      </c>
      <c r="F82" s="11">
        <f t="shared" si="10"/>
        <v>-2.0145748607293341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-1.9166144880067335</v>
      </c>
      <c r="E83" s="11">
        <f>A83-'Mastercurve bestimmen'!$B$2</f>
        <v>-22</v>
      </c>
      <c r="F83" s="11">
        <f t="shared" si="10"/>
        <v>-1.9166144880067335</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-1.8202142289971588</v>
      </c>
      <c r="E84" s="11">
        <f>A84-'Mastercurve bestimmen'!$B$2</f>
        <v>-21</v>
      </c>
      <c r="F84" s="11">
        <f t="shared" si="10"/>
        <v>-1.8202142289971588</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-1.7252858877336392</v>
      </c>
      <c r="E85" s="11">
        <f>A85-'Mastercurve bestimmen'!$B$2</f>
        <v>-20</v>
      </c>
      <c r="F85" s="11">
        <f t="shared" si="10"/>
        <v>-1.7252858877336392</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-1.631741268249205</v>
      </c>
      <c r="E86" s="11">
        <f>A86-'Mastercurve bestimmen'!$B$2</f>
        <v>-19</v>
      </c>
      <c r="F86" s="11">
        <f t="shared" si="10"/>
        <v>-1.631741268249205</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-1.5394921745768841</v>
      </c>
      <c r="E87" s="11">
        <f>A87-'Mastercurve bestimmen'!$B$2</f>
        <v>-18</v>
      </c>
      <c r="F87" s="11">
        <f t="shared" si="10"/>
        <v>-1.5394921745768841</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-1.4484504107497069</v>
      </c>
      <c r="E88" s="11">
        <f>A88-'Mastercurve bestimmen'!$B$2</f>
        <v>-17</v>
      </c>
      <c r="F88" s="11">
        <f t="shared" si="10"/>
        <v>-1.4484504107497069</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-1.3585277808007021</v>
      </c>
      <c r="E89" s="11">
        <f>A89-'Mastercurve bestimmen'!$B$2</f>
        <v>-16</v>
      </c>
      <c r="F89" s="11">
        <f t="shared" si="10"/>
        <v>-1.3585277808007021</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-1.2696360887628992</v>
      </c>
      <c r="E90" s="11">
        <f>A90-'Mastercurve bestimmen'!$B$2</f>
        <v>-15</v>
      </c>
      <c r="F90" s="11">
        <f t="shared" si="10"/>
        <v>-1.2696360887628992</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-1.1816871386693275</v>
      </c>
      <c r="E91" s="11">
        <f>A91-'Mastercurve bestimmen'!$B$2</f>
        <v>-14</v>
      </c>
      <c r="F91" s="11">
        <f t="shared" si="10"/>
        <v>-1.1816871386693275</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-1.0945927345530162</v>
      </c>
      <c r="E92" s="11">
        <f>A92-'Mastercurve bestimmen'!$B$2</f>
        <v>-13</v>
      </c>
      <c r="F92" s="11">
        <f t="shared" si="10"/>
        <v>-1.0945927345530162</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-1.0082646804469948</v>
      </c>
      <c r="E93" s="11">
        <f>A93-'Mastercurve bestimmen'!$B$2</f>
        <v>-12</v>
      </c>
      <c r="F93" s="11">
        <f t="shared" si="10"/>
        <v>-1.0082646804469948</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-0.92261478038429223</v>
      </c>
      <c r="E94" s="11">
        <f>A94-'Mastercurve bestimmen'!$B$2</f>
        <v>-11</v>
      </c>
      <c r="F94" s="11">
        <f t="shared" si="10"/>
        <v>-0.92261478038429223</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-0.8375548383979381</v>
      </c>
      <c r="E95" s="11">
        <f>A95-'Mastercurve bestimmen'!$B$2</f>
        <v>-10</v>
      </c>
      <c r="F95" s="11">
        <f t="shared" si="10"/>
        <v>-0.8375548383979381</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-0.75299665852096165</v>
      </c>
      <c r="E96" s="11">
        <f>A96-'Mastercurve bestimmen'!$B$2</f>
        <v>-9</v>
      </c>
      <c r="F96" s="11">
        <f t="shared" si="10"/>
        <v>-0.75299665852096165</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-0.66885204478639204</v>
      </c>
      <c r="E97" s="11">
        <f>A97-'Mastercurve bestimmen'!$B$2</f>
        <v>-8</v>
      </c>
      <c r="F97" s="11">
        <f t="shared" si="10"/>
        <v>-0.66885204478639204</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-0.58503280122725865</v>
      </c>
      <c r="E98" s="11">
        <f>A98-'Mastercurve bestimmen'!$B$2</f>
        <v>-7</v>
      </c>
      <c r="F98" s="11">
        <f t="shared" si="10"/>
        <v>-0.58503280122725865</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-0.50145073187659084</v>
      </c>
      <c r="E99" s="11">
        <f>A99-'Mastercurve bestimmen'!$B$2</f>
        <v>-6</v>
      </c>
      <c r="F99" s="11">
        <f t="shared" si="10"/>
        <v>-0.50145073187659084</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-0.41801764076741788</v>
      </c>
      <c r="E100" s="11">
        <f>A100-'Mastercurve bestimmen'!$B$2</f>
        <v>-5</v>
      </c>
      <c r="F100" s="11">
        <f t="shared" si="10"/>
        <v>-0.41801764076741788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-0.33464533193276891</v>
      </c>
      <c r="E101" s="11">
        <f>A101-'Mastercurve bestimmen'!$B$2</f>
        <v>-4</v>
      </c>
      <c r="F101" s="11">
        <f t="shared" si="10"/>
        <v>-0.33464533193276891</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-0.25124560940567336</v>
      </c>
      <c r="E102" s="11">
        <f>A102-'Mastercurve bestimmen'!$B$2</f>
        <v>-3</v>
      </c>
      <c r="F102" s="11">
        <f t="shared" si="10"/>
        <v>-0.25124560940567336</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-0.16773027721916051</v>
      </c>
      <c r="E103" s="11">
        <f>A103-'Mastercurve bestimmen'!$B$2</f>
        <v>-2</v>
      </c>
      <c r="F103" s="11">
        <f t="shared" si="10"/>
        <v>-0.16773027721916051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-8.4011139406259622E-2</v>
      </c>
      <c r="E104" s="11">
        <f>A104-'Mastercurve bestimmen'!$B$2</f>
        <v>-1</v>
      </c>
      <c r="F104" s="11">
        <f t="shared" si="10"/>
        <v>-8.4011139406259622E-2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8.4379622908854812E-2</v>
      </c>
      <c r="E106" s="11">
        <f>A106-'Mastercurve bestimmen'!$B$2</f>
        <v>1</v>
      </c>
      <c r="F106" s="11">
        <f t="shared" si="10"/>
        <v>8.4379622908854812E-2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0.16915735499860435</v>
      </c>
      <c r="E107" s="11">
        <f>A107-'Mastercurve bestimmen'!$B$2</f>
        <v>2</v>
      </c>
      <c r="F107" s="11">
        <f t="shared" si="10"/>
        <v>0.16915735499860435</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0.25435110788981397</v>
      </c>
      <c r="E108" s="11">
        <f>A108-'Mastercurve bestimmen'!$B$2</f>
        <v>3</v>
      </c>
      <c r="F108" s="11">
        <f t="shared" si="10"/>
        <v>0.25435110788981397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0.33997879320304908</v>
      </c>
      <c r="E109" s="11">
        <f>A109-'Mastercurve bestimmen'!$B$2</f>
        <v>4</v>
      </c>
      <c r="F109" s="11">
        <f t="shared" si="10"/>
        <v>0.33997879320304908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0.42605832255887488</v>
      </c>
      <c r="E110" s="11">
        <f>A110-'Mastercurve bestimmen'!$B$2</f>
        <v>5</v>
      </c>
      <c r="F110" s="11">
        <f t="shared" si="10"/>
        <v>0.42605832255887488</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0.51260760757785662</v>
      </c>
      <c r="E111" s="11">
        <f>A111-'Mastercurve bestimmen'!$B$2</f>
        <v>6</v>
      </c>
      <c r="F111" s="11">
        <f t="shared" si="10"/>
        <v>0.51260760757785662</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0.59964455988055987</v>
      </c>
      <c r="E112" s="11">
        <f>A112-'Mastercurve bestimmen'!$B$2</f>
        <v>7</v>
      </c>
      <c r="F112" s="11">
        <f t="shared" si="10"/>
        <v>0.59964455988055987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0.68718709108754972</v>
      </c>
      <c r="E113" s="11">
        <f>A113-'Mastercurve bestimmen'!$B$2</f>
        <v>8</v>
      </c>
      <c r="F113" s="11">
        <f t="shared" si="10"/>
        <v>0.68718709108754972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0.77525311281939169</v>
      </c>
      <c r="E114" s="11">
        <f>A114-'Mastercurve bestimmen'!$B$2</f>
        <v>9</v>
      </c>
      <c r="F114" s="11">
        <f t="shared" si="10"/>
        <v>0.77525311281939169</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0.86386053669665097</v>
      </c>
      <c r="E115" s="11">
        <f>A115-'Mastercurve bestimmen'!$B$2</f>
        <v>10</v>
      </c>
      <c r="F115" s="11">
        <f t="shared" si="10"/>
        <v>0.86386053669665097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0.95302727433989276</v>
      </c>
      <c r="E116" s="11">
        <f>A116-'Mastercurve bestimmen'!$B$2</f>
        <v>11</v>
      </c>
      <c r="F116" s="11">
        <f t="shared" si="10"/>
        <v>0.95302727433989276</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1.0427712373696827</v>
      </c>
      <c r="E117" s="11">
        <f>A117-'Mastercurve bestimmen'!$B$2</f>
        <v>12</v>
      </c>
      <c r="F117" s="11">
        <f t="shared" si="10"/>
        <v>1.0427712373696827</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1.1331103374065861</v>
      </c>
      <c r="E118" s="11">
        <f>A118-'Mastercurve bestimmen'!$B$2</f>
        <v>13</v>
      </c>
      <c r="F118" s="11">
        <f t="shared" si="10"/>
        <v>1.1331103374065861</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1.2240624860711677</v>
      </c>
      <c r="E119" s="11">
        <f>A119-'Mastercurve bestimmen'!$B$2</f>
        <v>14</v>
      </c>
      <c r="F119" s="11">
        <f t="shared" si="10"/>
        <v>1.2240624860711677</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1.3156455949839936</v>
      </c>
      <c r="E120" s="11">
        <f>A120-'Mastercurve bestimmen'!$B$2</f>
        <v>15</v>
      </c>
      <c r="F120" s="11">
        <f t="shared" si="10"/>
        <v>1.3156455949839936</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1.4078775757656286</v>
      </c>
      <c r="E121" s="11">
        <f>A121-'Mastercurve bestimmen'!$B$2</f>
        <v>16</v>
      </c>
      <c r="F121" s="11">
        <f t="shared" si="10"/>
        <v>1.4078775757656286</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1.5007763400366383</v>
      </c>
      <c r="E122" s="11">
        <f>A122-'Mastercurve bestimmen'!$B$2</f>
        <v>17</v>
      </c>
      <c r="F122" s="11">
        <f t="shared" si="10"/>
        <v>1.5007763400366383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1.594359799417588</v>
      </c>
      <c r="E123" s="11">
        <f>A123-'Mastercurve bestimmen'!$B$2</f>
        <v>18</v>
      </c>
      <c r="F123" s="11">
        <f t="shared" si="10"/>
        <v>1.594359799417588</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1.6886458655290426</v>
      </c>
      <c r="E124" s="11">
        <f>A124-'Mastercurve bestimmen'!$B$2</f>
        <v>19</v>
      </c>
      <c r="F124" s="11">
        <f t="shared" si="10"/>
        <v>1.6886458655290426</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1.7836524499915682</v>
      </c>
      <c r="E125" s="11">
        <f>A125-'Mastercurve bestimmen'!$B$2</f>
        <v>20</v>
      </c>
      <c r="F125" s="11">
        <f t="shared" si="10"/>
        <v>1.7836524499915682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1.8793974644257294</v>
      </c>
      <c r="E126" s="11">
        <f>A126-'Mastercurve bestimmen'!$B$2</f>
        <v>21</v>
      </c>
      <c r="F126" s="11">
        <f t="shared" si="10"/>
        <v>1.8793974644257294</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1.9758988204520918</v>
      </c>
      <c r="E127" s="11">
        <f>A127-'Mastercurve bestimmen'!$B$2</f>
        <v>22</v>
      </c>
      <c r="F127" s="11">
        <f t="shared" si="10"/>
        <v>1.9758988204520918</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2.0731744296912207</v>
      </c>
      <c r="E128" s="11">
        <f>A128-'Mastercurve bestimmen'!$B$2</f>
        <v>23</v>
      </c>
      <c r="F128" s="11">
        <f t="shared" si="10"/>
        <v>2.0731744296912207</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2.1712422037636814</v>
      </c>
      <c r="E129" s="11">
        <f>A129-'Mastercurve bestimmen'!$B$2</f>
        <v>24</v>
      </c>
      <c r="F129" s="11">
        <f t="shared" si="10"/>
        <v>2.1712422037636814</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2.2701200542900399</v>
      </c>
      <c r="E130" s="11">
        <f>A130-'Mastercurve bestimmen'!$B$2</f>
        <v>25</v>
      </c>
      <c r="F130" s="11">
        <f t="shared" si="10"/>
        <v>2.2701200542900399</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2.3698258928908604</v>
      </c>
      <c r="E131" s="11">
        <f>A131-'Mastercurve bestimmen'!$B$2</f>
        <v>26</v>
      </c>
      <c r="F131" s="11">
        <f t="shared" si="10"/>
        <v>2.3698258928908604</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2.4703776311867087</v>
      </c>
      <c r="E132" s="11">
        <f>A132-'Mastercurve bestimmen'!$B$2</f>
        <v>27</v>
      </c>
      <c r="F132" s="11">
        <f t="shared" si="10"/>
        <v>2.4703776311867087</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2.5717931807981502</v>
      </c>
      <c r="E133" s="11">
        <f>A133-'Mastercurve bestimmen'!$B$2</f>
        <v>28</v>
      </c>
      <c r="F133" s="11">
        <f t="shared" si="10"/>
        <v>2.5717931807981502</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2.6740904533457499</v>
      </c>
      <c r="E134" s="11">
        <f>A134-'Mastercurve bestimmen'!$B$2</f>
        <v>29</v>
      </c>
      <c r="F134" s="11">
        <f t="shared" si="10"/>
        <v>2.6740904533457499</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2.7772873604500741</v>
      </c>
      <c r="E135" s="11">
        <f>A135-'Mastercurve bestimmen'!$B$2</f>
        <v>30</v>
      </c>
      <c r="F135" s="11">
        <f t="shared" si="10"/>
        <v>2.7772873604500741</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2.8813994354337384</v>
      </c>
      <c r="E136" s="11">
        <f>A136-'Mastercurve bestimmen'!$B$2</f>
        <v>31</v>
      </c>
      <c r="F136" s="11">
        <f t="shared" si="10"/>
        <v>2.8813994354337384</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2.9864326984275644</v>
      </c>
      <c r="E137" s="11">
        <f>A137-'Mastercurve bestimmen'!$B$2</f>
        <v>32</v>
      </c>
      <c r="F137" s="11">
        <f t="shared" si="10"/>
        <v>2.9864326984275644</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3.092390791264426</v>
      </c>
      <c r="E138" s="11">
        <f>A138-'Mastercurve bestimmen'!$B$2</f>
        <v>33</v>
      </c>
      <c r="F138" s="11">
        <f t="shared" si="10"/>
        <v>3.092390791264426</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3.1992773557771952</v>
      </c>
      <c r="E139" s="11">
        <f>A139-'Mastercurve bestimmen'!$B$2</f>
        <v>34</v>
      </c>
      <c r="F139" s="11">
        <f t="shared" si="10"/>
        <v>3.1992773557771952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3.3070960337987452</v>
      </c>
      <c r="E140" s="11">
        <f>A140-'Mastercurve bestimmen'!$B$2</f>
        <v>35</v>
      </c>
      <c r="F140" s="11">
        <f t="shared" si="10"/>
        <v>3.3070960337987452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3.415850467161949</v>
      </c>
      <c r="E141" s="11">
        <f>A141-'Mastercurve bestimmen'!$B$2</f>
        <v>36</v>
      </c>
      <c r="F141" s="11">
        <f t="shared" si="10"/>
        <v>3.415850467161949</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3.5255442976996809</v>
      </c>
      <c r="E142" s="11">
        <f>A142-'Mastercurve bestimmen'!$B$2</f>
        <v>37</v>
      </c>
      <c r="F142" s="11">
        <f t="shared" si="10"/>
        <v>3.5255442976996809</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3.6361811672448114</v>
      </c>
      <c r="E143" s="11">
        <f>A143-'Mastercurve bestimmen'!$B$2</f>
        <v>38</v>
      </c>
      <c r="F143" s="11">
        <f t="shared" si="10"/>
        <v>3.6361811672448114</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3.7477647176302149</v>
      </c>
      <c r="E144" s="11">
        <f>A144-'Mastercurve bestimmen'!$B$2</f>
        <v>39</v>
      </c>
      <c r="F144" s="11">
        <f t="shared" ref="F144:F207" si="15">B144</f>
        <v>3.7477647176302149</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3.8602985906887648</v>
      </c>
      <c r="E145" s="11">
        <f>A145-'Mastercurve bestimmen'!$B$2</f>
        <v>40</v>
      </c>
      <c r="F145" s="11">
        <f t="shared" si="15"/>
        <v>3.8602985906887648</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3.9737864282533328</v>
      </c>
      <c r="E146" s="11">
        <f>A146-'Mastercurve bestimmen'!$B$2</f>
        <v>41</v>
      </c>
      <c r="F146" s="11">
        <f t="shared" si="15"/>
        <v>3.9737864282533328</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4.0882318721567925</v>
      </c>
      <c r="E147" s="11">
        <f>A147-'Mastercurve bestimmen'!$B$2</f>
        <v>42</v>
      </c>
      <c r="F147" s="11">
        <f t="shared" si="15"/>
        <v>4.0882318721567925</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4.2036385642320173</v>
      </c>
      <c r="E148" s="11">
        <f>A148-'Mastercurve bestimmen'!$B$2</f>
        <v>43</v>
      </c>
      <c r="F148" s="11">
        <f t="shared" si="15"/>
        <v>4.2036385642320173</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4.320010146311879</v>
      </c>
      <c r="E149" s="11">
        <f>A149-'Mastercurve bestimmen'!$B$2</f>
        <v>44</v>
      </c>
      <c r="F149" s="11">
        <f t="shared" si="15"/>
        <v>4.320010146311879</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4.4373502602292518</v>
      </c>
      <c r="E150" s="11">
        <f>A150-'Mastercurve bestimmen'!$B$2</f>
        <v>45</v>
      </c>
      <c r="F150" s="11">
        <f t="shared" si="15"/>
        <v>4.4373502602292518</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4.5556625478170076</v>
      </c>
      <c r="E151" s="11">
        <f>A151-'Mastercurve bestimmen'!$B$2</f>
        <v>46</v>
      </c>
      <c r="F151" s="11">
        <f t="shared" si="15"/>
        <v>4.5556625478170076</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4.6749506509080208</v>
      </c>
      <c r="E152" s="11">
        <f>A152-'Mastercurve bestimmen'!$B$2</f>
        <v>47</v>
      </c>
      <c r="F152" s="11">
        <f t="shared" si="15"/>
        <v>4.6749506509080208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4.7952182113351629</v>
      </c>
      <c r="E153" s="11">
        <f>A153-'Mastercurve bestimmen'!$B$2</f>
        <v>48</v>
      </c>
      <c r="F153" s="11">
        <f t="shared" si="15"/>
        <v>4.7952182113351629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4.9164688709313076</v>
      </c>
      <c r="E154" s="11">
        <f>A154-'Mastercurve bestimmen'!$B$2</f>
        <v>49</v>
      </c>
      <c r="F154" s="11">
        <f t="shared" si="15"/>
        <v>4.9164688709313076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5.0387062715293274</v>
      </c>
      <c r="E155" s="11">
        <f>A155-'Mastercurve bestimmen'!$B$2</f>
        <v>50</v>
      </c>
      <c r="F155" s="11">
        <f t="shared" si="15"/>
        <v>5.0387062715293274</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5.1619340549620958</v>
      </c>
      <c r="E156" s="11">
        <f>A156-'Mastercurve bestimmen'!$B$2</f>
        <v>51</v>
      </c>
      <c r="F156" s="11">
        <f t="shared" si="15"/>
        <v>5.1619340549620958</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5.2861558630624845</v>
      </c>
      <c r="E157" s="11">
        <f>A157-'Mastercurve bestimmen'!$B$2</f>
        <v>52</v>
      </c>
      <c r="F157" s="11">
        <f t="shared" si="15"/>
        <v>5.2861558630624845</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5.4113753376633689</v>
      </c>
      <c r="E158" s="11">
        <f>A158-'Mastercurve bestimmen'!$B$2</f>
        <v>53</v>
      </c>
      <c r="F158" s="11">
        <f t="shared" si="15"/>
        <v>5.4113753376633689</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5.5375961205976196</v>
      </c>
      <c r="E159" s="11">
        <f>A159-'Mastercurve bestimmen'!$B$2</f>
        <v>54</v>
      </c>
      <c r="F159" s="11">
        <f t="shared" si="15"/>
        <v>5.5375961205976196</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5.6648218536981103</v>
      </c>
      <c r="E160" s="11">
        <f>A160-'Mastercurve bestimmen'!$B$2</f>
        <v>55</v>
      </c>
      <c r="F160" s="11">
        <f t="shared" si="15"/>
        <v>5.6648218536981103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5.7930561787977144</v>
      </c>
      <c r="E161" s="11">
        <f>A161-'Mastercurve bestimmen'!$B$2</f>
        <v>56</v>
      </c>
      <c r="F161" s="11">
        <f t="shared" si="15"/>
        <v>5.7930561787977144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5.9223027377293054</v>
      </c>
      <c r="E162" s="11">
        <f>A162-'Mastercurve bestimmen'!$B$2</f>
        <v>57</v>
      </c>
      <c r="F162" s="11">
        <f t="shared" si="15"/>
        <v>5.9223027377293054</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6.052565172325755</v>
      </c>
      <c r="E163" s="11">
        <f>A163-'Mastercurve bestimmen'!$B$2</f>
        <v>58</v>
      </c>
      <c r="F163" s="11">
        <f t="shared" si="15"/>
        <v>6.052565172325755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6.1838471244199367</v>
      </c>
      <c r="E164" s="11">
        <f>A164-'Mastercurve bestimmen'!$B$2</f>
        <v>59</v>
      </c>
      <c r="F164" s="11">
        <f t="shared" si="15"/>
        <v>6.1838471244199367</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6.3161522358447231</v>
      </c>
      <c r="E165" s="11">
        <f>A165-'Mastercurve bestimmen'!$B$2</f>
        <v>60</v>
      </c>
      <c r="F165" s="11">
        <f t="shared" si="15"/>
        <v>6.3161522358447231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6.4494841484329868</v>
      </c>
      <c r="E166" s="11">
        <f>A166-'Mastercurve bestimmen'!$B$2</f>
        <v>61</v>
      </c>
      <c r="F166" s="11">
        <f t="shared" si="15"/>
        <v>6.4494841484329868</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6.5838465040176022</v>
      </c>
      <c r="E167" s="11">
        <f>A167-'Mastercurve bestimmen'!$B$2</f>
        <v>62</v>
      </c>
      <c r="F167" s="11">
        <f t="shared" si="15"/>
        <v>6.5838465040176022</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6.7192429444314419</v>
      </c>
      <c r="E168" s="11">
        <f>A168-'Mastercurve bestimmen'!$B$2</f>
        <v>63</v>
      </c>
      <c r="F168" s="11">
        <f t="shared" si="15"/>
        <v>6.7192429444314419</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6.8556771115073776</v>
      </c>
      <c r="E169" s="11">
        <f>A169-'Mastercurve bestimmen'!$B$2</f>
        <v>64</v>
      </c>
      <c r="F169" s="11">
        <f t="shared" si="15"/>
        <v>6.8556771115073776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6.9931526470782837</v>
      </c>
      <c r="E170" s="11">
        <f>A170-'Mastercurve bestimmen'!$B$2</f>
        <v>65</v>
      </c>
      <c r="F170" s="11">
        <f t="shared" si="15"/>
        <v>6.9931526470782837</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7.1316731929770318</v>
      </c>
      <c r="E171" s="11">
        <f>A171-'Mastercurve bestimmen'!$B$2</f>
        <v>66</v>
      </c>
      <c r="F171" s="11">
        <f t="shared" si="15"/>
        <v>7.1316731929770318</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7.2712423910364965</v>
      </c>
      <c r="E172" s="11">
        <f>A172-'Mastercurve bestimmen'!$B$2</f>
        <v>67</v>
      </c>
      <c r="F172" s="11">
        <f t="shared" si="15"/>
        <v>7.2712423910364965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7.4118638830895494</v>
      </c>
      <c r="E173" s="11">
        <f>A173-'Mastercurve bestimmen'!$B$2</f>
        <v>68</v>
      </c>
      <c r="F173" s="11">
        <f t="shared" si="15"/>
        <v>7.4118638830895494</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7.5535413109690639</v>
      </c>
      <c r="E174" s="11">
        <f>A174-'Mastercurve bestimmen'!$B$2</f>
        <v>69</v>
      </c>
      <c r="F174" s="11">
        <f t="shared" si="15"/>
        <v>7.5535413109690639</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7.6962783165079127</v>
      </c>
      <c r="E175" s="11">
        <f>A175-'Mastercurve bestimmen'!$B$2</f>
        <v>70</v>
      </c>
      <c r="F175" s="11">
        <f t="shared" si="15"/>
        <v>7.6962783165079127</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7.8400785415389693</v>
      </c>
      <c r="E176" s="11">
        <f>A176-'Mastercurve bestimmen'!$B$2</f>
        <v>71</v>
      </c>
      <c r="F176" s="11">
        <f t="shared" si="15"/>
        <v>7.8400785415389693</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7.9849456278951063</v>
      </c>
      <c r="E177" s="11">
        <f>A177-'Mastercurve bestimmen'!$B$2</f>
        <v>72</v>
      </c>
      <c r="F177" s="11">
        <f t="shared" si="15"/>
        <v>7.9849456278951063</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8.1308832174091972</v>
      </c>
      <c r="E178" s="11">
        <f>A178-'Mastercurve bestimmen'!$B$2</f>
        <v>73</v>
      </c>
      <c r="F178" s="11">
        <f t="shared" si="15"/>
        <v>8.1308832174091972</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8.2778949519141136</v>
      </c>
      <c r="E179" s="11">
        <f>A179-'Mastercurve bestimmen'!$B$2</f>
        <v>74</v>
      </c>
      <c r="F179" s="11">
        <f t="shared" si="15"/>
        <v>8.2778949519141136</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8.42598447324273</v>
      </c>
      <c r="E180" s="11">
        <f>A180-'Mastercurve bestimmen'!$B$2</f>
        <v>75</v>
      </c>
      <c r="F180" s="11">
        <f t="shared" si="15"/>
        <v>8.42598447324273</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8.5751496665955056</v>
      </c>
      <c r="E181" s="11">
        <f>A181-'Mastercurve bestimmen'!$B$2</f>
        <v>76</v>
      </c>
      <c r="F181" s="11">
        <f t="shared" si="15"/>
        <v>8.5751496665955056</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8.7253653906432334</v>
      </c>
      <c r="E182" s="11">
        <f>A182-'Mastercurve bestimmen'!$B$2</f>
        <v>77</v>
      </c>
      <c r="F182" s="11">
        <f t="shared" si="15"/>
        <v>8.7253653906432334</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8.8766007474243036</v>
      </c>
      <c r="E183" s="11">
        <f>A183-'Mastercurve bestimmen'!$B$2</f>
        <v>78</v>
      </c>
      <c r="F183" s="11">
        <f t="shared" si="15"/>
        <v>8.8766007474243036</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9.028824838977096</v>
      </c>
      <c r="E184" s="11">
        <f>A184-'Mastercurve bestimmen'!$B$2</f>
        <v>79</v>
      </c>
      <c r="F184" s="11">
        <f t="shared" si="15"/>
        <v>9.028824838977096</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9.1820067673399954</v>
      </c>
      <c r="E185" s="11">
        <f>A185-'Mastercurve bestimmen'!$B$2</f>
        <v>80</v>
      </c>
      <c r="F185" s="11">
        <f t="shared" si="15"/>
        <v>9.1820067673399954</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9.3361156345513869</v>
      </c>
      <c r="E186" s="11">
        <f>A186-'Mastercurve bestimmen'!$B$2</f>
        <v>81</v>
      </c>
      <c r="F186" s="11">
        <f t="shared" si="15"/>
        <v>9.3361156345513869</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9.4911205426496501</v>
      </c>
      <c r="E187" s="11">
        <f>A187-'Mastercurve bestimmen'!$B$2</f>
        <v>82</v>
      </c>
      <c r="F187" s="11">
        <f t="shared" si="15"/>
        <v>9.4911205426496501</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9.6469905936731735</v>
      </c>
      <c r="E188" s="11">
        <f>A188-'Mastercurve bestimmen'!$B$2</f>
        <v>83</v>
      </c>
      <c r="F188" s="11">
        <f t="shared" si="15"/>
        <v>9.6469905936731735</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9.8036948896603366</v>
      </c>
      <c r="E189" s="11">
        <f>A189-'Mastercurve bestimmen'!$B$2</f>
        <v>84</v>
      </c>
      <c r="F189" s="11">
        <f t="shared" si="15"/>
        <v>9.8036948896603366</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9.9612025326495264</v>
      </c>
      <c r="E190" s="11">
        <f>A190-'Mastercurve bestimmen'!$B$2</f>
        <v>85</v>
      </c>
      <c r="F190" s="11">
        <f t="shared" si="15"/>
        <v>9.9612025326495264</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10.119482624679124</v>
      </c>
      <c r="E191" s="11">
        <f>A191-'Mastercurve bestimmen'!$B$2</f>
        <v>86</v>
      </c>
      <c r="F191" s="11">
        <f t="shared" si="15"/>
        <v>10.119482624679124</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10.278504267787515</v>
      </c>
      <c r="E192" s="11">
        <f>A192-'Mastercurve bestimmen'!$B$2</f>
        <v>87</v>
      </c>
      <c r="F192" s="11">
        <f t="shared" si="15"/>
        <v>10.278504267787515</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10.438236564013081</v>
      </c>
      <c r="E193" s="11">
        <f>A193-'Mastercurve bestimmen'!$B$2</f>
        <v>88</v>
      </c>
      <c r="F193" s="11">
        <f t="shared" si="15"/>
        <v>10.438236564013081</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10.598648615394207</v>
      </c>
      <c r="E194" s="11">
        <f>A194-'Mastercurve bestimmen'!$B$2</f>
        <v>89</v>
      </c>
      <c r="F194" s="11">
        <f t="shared" si="15"/>
        <v>10.598648615394207</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10.759709523969278</v>
      </c>
      <c r="E195" s="11">
        <f>A195-'Mastercurve bestimmen'!$B$2</f>
        <v>90</v>
      </c>
      <c r="F195" s="11">
        <f t="shared" si="15"/>
        <v>10.759709523969278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10.921388391776674</v>
      </c>
      <c r="E196" s="11">
        <f>A196-'Mastercurve bestimmen'!$B$2</f>
        <v>91</v>
      </c>
      <c r="F196" s="11">
        <f t="shared" si="15"/>
        <v>10.921388391776674</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11.08365432085478</v>
      </c>
      <c r="E197" s="11">
        <f>A197-'Mastercurve bestimmen'!$B$2</f>
        <v>92</v>
      </c>
      <c r="F197" s="11">
        <f t="shared" si="15"/>
        <v>11.08365432085478</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11.246476413241984</v>
      </c>
      <c r="E198" s="11">
        <f>A198-'Mastercurve bestimmen'!$B$2</f>
        <v>93</v>
      </c>
      <c r="F198" s="11">
        <f t="shared" si="15"/>
        <v>11.246476413241984</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11.409823770976663</v>
      </c>
      <c r="E199" s="11">
        <f>A199-'Mastercurve bestimmen'!$B$2</f>
        <v>94</v>
      </c>
      <c r="F199" s="11">
        <f t="shared" si="15"/>
        <v>11.409823770976663</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11.573665496097204</v>
      </c>
      <c r="E200" s="11">
        <f>A200-'Mastercurve bestimmen'!$B$2</f>
        <v>95</v>
      </c>
      <c r="F200" s="11">
        <f t="shared" si="15"/>
        <v>11.573665496097204</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11.737970690641992</v>
      </c>
      <c r="E201" s="11">
        <f>A201-'Mastercurve bestimmen'!$B$2</f>
        <v>96</v>
      </c>
      <c r="F201" s="11">
        <f t="shared" si="15"/>
        <v>11.737970690641992</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11.902708456649407</v>
      </c>
      <c r="E202" s="11">
        <f>A202-'Mastercurve bestimmen'!$B$2</f>
        <v>97</v>
      </c>
      <c r="F202" s="11">
        <f t="shared" si="15"/>
        <v>11.902708456649407</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12.067847896157836</v>
      </c>
      <c r="E203" s="11">
        <f>A203-'Mastercurve bestimmen'!$B$2</f>
        <v>98</v>
      </c>
      <c r="F203" s="11">
        <f t="shared" si="15"/>
        <v>12.067847896157836</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12.233358111205661</v>
      </c>
      <c r="E204" s="11">
        <f>A204-'Mastercurve bestimmen'!$B$2</f>
        <v>99</v>
      </c>
      <c r="F204" s="11">
        <f t="shared" si="15"/>
        <v>12.233358111205661</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12.399208203831265</v>
      </c>
      <c r="E205" s="11">
        <f>A205-'Mastercurve bestimmen'!$B$2</f>
        <v>100</v>
      </c>
      <c r="F205" s="11">
        <f t="shared" si="15"/>
        <v>12.399208203831265</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12.565367276073033</v>
      </c>
      <c r="E206" s="11">
        <f>A206-'Mastercurve bestimmen'!$B$2</f>
        <v>101</v>
      </c>
      <c r="F206" s="11">
        <f t="shared" si="15"/>
        <v>12.565367276073033</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12.731804429969348</v>
      </c>
      <c r="E207" s="11">
        <f>A207-'Mastercurve bestimmen'!$B$2</f>
        <v>102</v>
      </c>
      <c r="F207" s="11">
        <f t="shared" si="15"/>
        <v>12.731804429969348</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12.898488767558593</v>
      </c>
      <c r="E208" s="11">
        <f>A208-'Mastercurve bestimmen'!$B$2</f>
        <v>103</v>
      </c>
      <c r="F208" s="11">
        <f t="shared" ref="F208:F215" si="21">B208</f>
        <v>12.898488767558593</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13.065389390879155</v>
      </c>
      <c r="E209" s="11">
        <f>A209-'Mastercurve bestimmen'!$B$2</f>
        <v>104</v>
      </c>
      <c r="F209" s="11">
        <f t="shared" si="21"/>
        <v>13.065389390879155</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13.232475401969413</v>
      </c>
      <c r="E210" s="11">
        <f>A210-'Mastercurve bestimmen'!$B$2</f>
        <v>105</v>
      </c>
      <c r="F210" s="11">
        <f t="shared" si="21"/>
        <v>13.232475401969413</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13.399715902867753</v>
      </c>
      <c r="E211" s="11">
        <f>A211-'Mastercurve bestimmen'!$B$2</f>
        <v>106</v>
      </c>
      <c r="F211" s="11">
        <f t="shared" si="21"/>
        <v>13.399715902867753</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13.567079995612559</v>
      </c>
      <c r="E212" s="11">
        <f>A212-'Mastercurve bestimmen'!$B$2</f>
        <v>107</v>
      </c>
      <c r="F212" s="11">
        <f t="shared" si="21"/>
        <v>13.567079995612559</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13.734536782242214</v>
      </c>
      <c r="E213" s="11">
        <f>A213-'Mastercurve bestimmen'!$B$2</f>
        <v>108</v>
      </c>
      <c r="F213" s="11">
        <f t="shared" si="21"/>
        <v>13.734536782242214</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13.902055364795102</v>
      </c>
      <c r="E214" s="11">
        <f>A214-'Mastercurve bestimmen'!$B$2</f>
        <v>109</v>
      </c>
      <c r="F214" s="11">
        <f t="shared" si="21"/>
        <v>13.902055364795102</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14.069604845309605</v>
      </c>
      <c r="E215" s="11">
        <f>A215-'Mastercurve bestimmen'!$B$2</f>
        <v>110</v>
      </c>
      <c r="F215" s="11">
        <f t="shared" si="21"/>
        <v>14.069604845309605</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8.5377486153623033E-2</v>
      </c>
      <c r="J217" s="98">
        <v>2.5196417463843287E-5</v>
      </c>
      <c r="K217" s="98">
        <v>7.8842129782641084E-6</v>
      </c>
      <c r="L217" s="98">
        <v>-1.0147604042883616E-8</v>
      </c>
      <c r="M217" s="98">
        <v>-1.0872305260990225E-9</v>
      </c>
      <c r="N217" s="98">
        <v>6.6791217274030519E-12</v>
      </c>
      <c r="O217" s="98">
        <v>5.1490352411241208E-14</v>
      </c>
      <c r="P217" s="98">
        <v>-4.205464914492846E-16</v>
      </c>
    </row>
    <row r="218" spans="1:16" x14ac:dyDescent="0.25">
      <c r="G218" s="11"/>
      <c r="H218" s="11">
        <v>0</v>
      </c>
      <c r="I218" s="11">
        <v>1.9669440667939491E-4</v>
      </c>
      <c r="J218" s="11">
        <v>4.4177729422119401E-6</v>
      </c>
      <c r="K218" s="3">
        <v>1.652126489500028E-7</v>
      </c>
      <c r="L218" s="3">
        <v>2.4802905030163456E-9</v>
      </c>
      <c r="M218" s="3">
        <v>4.0338213215604209E-11</v>
      </c>
      <c r="N218" s="3">
        <v>4.6637563079515949E-13</v>
      </c>
      <c r="O218" s="11">
        <v>2.9212221093746638E-15</v>
      </c>
      <c r="P218" s="11">
        <v>2.9486009878980808E-17</v>
      </c>
    </row>
    <row r="219" spans="1:16" x14ac:dyDescent="0.25">
      <c r="G219" s="11"/>
      <c r="H219" s="11">
        <v>0.99998882622016405</v>
      </c>
      <c r="I219" s="11">
        <v>2.2043493303315946E-2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-8.1967940135971933</v>
      </c>
      <c r="G222">
        <f>F15</f>
        <v>-8.2045919832054164</v>
      </c>
    </row>
    <row r="223" spans="1:16" x14ac:dyDescent="0.25">
      <c r="E223" s="11">
        <f t="shared" ref="E223:E286" si="25">E16</f>
        <v>-89</v>
      </c>
      <c r="F223" s="11">
        <f t="shared" ref="F223:F286" si="26">$H$217*0+E223*$I$217+E223^2*$J$217+E223^3*$K$217+E223^4*$L$217+E223^5*$M$217+E223^6*$N$217+E223^7*$O$217+E223^8*$P$217</f>
        <v>-8.1362718032784329</v>
      </c>
      <c r="G223" s="11">
        <f t="shared" ref="G223:G286" si="27">F16</f>
        <v>-8.1438503211479834</v>
      </c>
    </row>
    <row r="224" spans="1:16" x14ac:dyDescent="0.25">
      <c r="E224" s="11">
        <f t="shared" si="25"/>
        <v>-88</v>
      </c>
      <c r="F224" s="11">
        <f t="shared" si="26"/>
        <v>-8.0767567196210912</v>
      </c>
      <c r="G224" s="11">
        <f t="shared" si="27"/>
        <v>-8.0830126868710543</v>
      </c>
    </row>
    <row r="225" spans="5:7" x14ac:dyDescent="0.25">
      <c r="E225" s="11">
        <f t="shared" si="25"/>
        <v>-87</v>
      </c>
      <c r="F225" s="11">
        <f t="shared" si="26"/>
        <v>-8.0178156446151334</v>
      </c>
      <c r="G225" s="11">
        <f t="shared" si="27"/>
        <v>-8.0219831081551281</v>
      </c>
    </row>
    <row r="226" spans="5:7" x14ac:dyDescent="0.25">
      <c r="E226" s="11">
        <f t="shared" si="25"/>
        <v>-86</v>
      </c>
      <c r="F226" s="11">
        <f t="shared" si="26"/>
        <v>-7.9590574607824438</v>
      </c>
      <c r="G226" s="11">
        <f t="shared" si="27"/>
        <v>-7.9606656127807094</v>
      </c>
    </row>
    <row r="227" spans="5:7" x14ac:dyDescent="0.25">
      <c r="E227" s="11">
        <f t="shared" si="25"/>
        <v>-85</v>
      </c>
      <c r="F227" s="11">
        <f t="shared" si="26"/>
        <v>-7.9001307153762754</v>
      </c>
      <c r="G227" s="11">
        <f t="shared" si="27"/>
        <v>-7.8989642285282997</v>
      </c>
    </row>
    <row r="228" spans="5:7" x14ac:dyDescent="0.25">
      <c r="E228" s="11">
        <f t="shared" si="25"/>
        <v>-84</v>
      </c>
      <c r="F228" s="11">
        <f t="shared" si="26"/>
        <v>-7.8407213665250737</v>
      </c>
      <c r="G228" s="11">
        <f t="shared" si="27"/>
        <v>-7.8367829831784013</v>
      </c>
    </row>
    <row r="229" spans="5:7" x14ac:dyDescent="0.25">
      <c r="E229" s="11">
        <f t="shared" si="25"/>
        <v>-83</v>
      </c>
      <c r="F229" s="11">
        <f t="shared" si="26"/>
        <v>-7.7805506095944432</v>
      </c>
      <c r="G229" s="11">
        <f t="shared" si="27"/>
        <v>-7.7740259045115172</v>
      </c>
    </row>
    <row r="230" spans="5:7" x14ac:dyDescent="0.25">
      <c r="E230" s="11">
        <f t="shared" si="25"/>
        <v>-82</v>
      </c>
      <c r="F230" s="11">
        <f t="shared" si="26"/>
        <v>-7.7193727820579987</v>
      </c>
      <c r="G230" s="11">
        <f t="shared" si="27"/>
        <v>-7.710597020308148</v>
      </c>
    </row>
    <row r="231" spans="5:7" x14ac:dyDescent="0.25">
      <c r="E231" s="11">
        <f t="shared" si="25"/>
        <v>-81</v>
      </c>
      <c r="F231" s="11">
        <f t="shared" si="26"/>
        <v>-7.6569733451847135</v>
      </c>
      <c r="G231" s="11">
        <f t="shared" si="27"/>
        <v>-7.6464003583487976</v>
      </c>
    </row>
    <row r="232" spans="5:7" x14ac:dyDescent="0.25">
      <c r="E232" s="11">
        <f t="shared" si="25"/>
        <v>-80</v>
      </c>
      <c r="F232" s="11">
        <f t="shared" si="26"/>
        <v>-7.5931669408674329</v>
      </c>
      <c r="G232" s="11">
        <f t="shared" si="27"/>
        <v>-7.5813399464139684</v>
      </c>
    </row>
    <row r="233" spans="5:7" x14ac:dyDescent="0.25">
      <c r="E233" s="11">
        <f t="shared" si="25"/>
        <v>-79</v>
      </c>
      <c r="F233" s="11">
        <f t="shared" si="26"/>
        <v>-7.5277955219341406</v>
      </c>
      <c r="G233" s="11">
        <f t="shared" si="27"/>
        <v>-7.5153198122841616</v>
      </c>
    </row>
    <row r="234" spans="5:7" x14ac:dyDescent="0.25">
      <c r="E234" s="11">
        <f t="shared" si="25"/>
        <v>-78</v>
      </c>
      <c r="F234" s="11">
        <f t="shared" si="26"/>
        <v>-7.460726554300475</v>
      </c>
      <c r="G234" s="11">
        <f t="shared" si="27"/>
        <v>-7.4482439837398804</v>
      </c>
    </row>
    <row r="235" spans="5:7" x14ac:dyDescent="0.25">
      <c r="E235" s="11">
        <f t="shared" si="25"/>
        <v>-77</v>
      </c>
      <c r="F235" s="11">
        <f t="shared" si="26"/>
        <v>-7.3918512893390353</v>
      </c>
      <c r="G235" s="11">
        <f t="shared" si="27"/>
        <v>-7.3800164885616253</v>
      </c>
    </row>
    <row r="236" spans="5:7" x14ac:dyDescent="0.25">
      <c r="E236" s="11">
        <f t="shared" si="25"/>
        <v>-76</v>
      </c>
      <c r="F236" s="11">
        <f t="shared" si="26"/>
        <v>-7.3210831048579053</v>
      </c>
      <c r="G236" s="11">
        <f t="shared" si="27"/>
        <v>-7.3105413545299003</v>
      </c>
    </row>
    <row r="237" spans="5:7" x14ac:dyDescent="0.25">
      <c r="E237" s="11">
        <f t="shared" si="25"/>
        <v>-75</v>
      </c>
      <c r="F237" s="11">
        <f t="shared" si="26"/>
        <v>-7.248355913097817</v>
      </c>
      <c r="G237" s="11">
        <f t="shared" si="27"/>
        <v>-7.2397226094252076</v>
      </c>
    </row>
    <row r="238" spans="5:7" x14ac:dyDescent="0.25">
      <c r="E238" s="11">
        <f t="shared" si="25"/>
        <v>-74</v>
      </c>
      <c r="F238" s="11">
        <f t="shared" si="26"/>
        <v>-7.1736226341742952</v>
      </c>
      <c r="G238" s="11">
        <f t="shared" si="27"/>
        <v>-7.1674642810280496</v>
      </c>
    </row>
    <row r="239" spans="5:7" x14ac:dyDescent="0.25">
      <c r="E239" s="11">
        <f t="shared" si="25"/>
        <v>-73</v>
      </c>
      <c r="F239" s="11">
        <f t="shared" si="26"/>
        <v>-7.0968537334081461</v>
      </c>
      <c r="G239" s="11">
        <f t="shared" si="27"/>
        <v>-7.0936703971189283</v>
      </c>
    </row>
    <row r="240" spans="5:7" x14ac:dyDescent="0.25">
      <c r="E240" s="11">
        <f t="shared" si="25"/>
        <v>-72</v>
      </c>
      <c r="F240" s="11">
        <f t="shared" si="26"/>
        <v>-7.0180358210045171</v>
      </c>
      <c r="G240" s="11">
        <f t="shared" si="27"/>
        <v>-7.0182449854783444</v>
      </c>
    </row>
    <row r="241" spans="5:7" x14ac:dyDescent="0.25">
      <c r="E241" s="11">
        <f t="shared" si="25"/>
        <v>-71</v>
      </c>
      <c r="F241" s="11">
        <f t="shared" si="26"/>
        <v>-6.9371703125578028</v>
      </c>
      <c r="G241" s="11">
        <f t="shared" si="27"/>
        <v>-6.9410920738868036</v>
      </c>
    </row>
    <row r="242" spans="5:7" x14ac:dyDescent="0.25">
      <c r="E242" s="11">
        <f t="shared" si="25"/>
        <v>-70</v>
      </c>
      <c r="F242" s="11">
        <f t="shared" si="26"/>
        <v>-6.8542721488765794</v>
      </c>
      <c r="G242" s="11">
        <f t="shared" si="27"/>
        <v>-6.8621156901248037</v>
      </c>
    </row>
    <row r="243" spans="5:7" x14ac:dyDescent="0.25">
      <c r="E243" s="11">
        <f t="shared" si="25"/>
        <v>-69</v>
      </c>
      <c r="F243" s="11">
        <f t="shared" si="26"/>
        <v>-6.7693685736396727</v>
      </c>
      <c r="G243" s="11">
        <f t="shared" si="27"/>
        <v>-6.7812198619728505</v>
      </c>
    </row>
    <row r="244" spans="5:7" x14ac:dyDescent="0.25">
      <c r="E244" s="11">
        <f t="shared" si="25"/>
        <v>-68</v>
      </c>
      <c r="F244" s="11">
        <f t="shared" si="26"/>
        <v>-6.6824979674115523</v>
      </c>
      <c r="G244" s="11">
        <f t="shared" si="27"/>
        <v>-6.6983086172114454</v>
      </c>
    </row>
    <row r="245" spans="5:7" x14ac:dyDescent="0.25">
      <c r="E245" s="11">
        <f t="shared" si="25"/>
        <v>-67</v>
      </c>
      <c r="F245" s="11">
        <f t="shared" si="26"/>
        <v>-6.5937087365620162</v>
      </c>
      <c r="G245" s="11">
        <f t="shared" si="27"/>
        <v>-6.6132859836210907</v>
      </c>
    </row>
    <row r="246" spans="5:7" x14ac:dyDescent="0.25">
      <c r="E246" s="11">
        <f t="shared" si="25"/>
        <v>-66</v>
      </c>
      <c r="F246" s="11">
        <f t="shared" si="26"/>
        <v>-6.5030582556522321</v>
      </c>
      <c r="G246" s="11">
        <f t="shared" si="27"/>
        <v>-6.5260559889822884</v>
      </c>
    </row>
    <row r="247" spans="5:7" x14ac:dyDescent="0.25">
      <c r="E247" s="11">
        <f t="shared" si="25"/>
        <v>-65</v>
      </c>
      <c r="F247" s="11">
        <f t="shared" si="26"/>
        <v>-6.4106118618661165</v>
      </c>
      <c r="G247" s="11">
        <f t="shared" si="27"/>
        <v>-6.4365226610755411</v>
      </c>
    </row>
    <row r="248" spans="5:7" x14ac:dyDescent="0.25">
      <c r="E248" s="11">
        <f t="shared" si="25"/>
        <v>-64</v>
      </c>
      <c r="F248" s="11">
        <f t="shared" si="26"/>
        <v>-6.3164419000829497</v>
      </c>
      <c r="G248" s="11">
        <f t="shared" si="27"/>
        <v>-6.3445900276813507</v>
      </c>
    </row>
    <row r="249" spans="5:7" x14ac:dyDescent="0.25">
      <c r="E249" s="11">
        <f t="shared" si="25"/>
        <v>-63</v>
      </c>
      <c r="F249" s="11">
        <f t="shared" si="26"/>
        <v>-6.2206268172041312</v>
      </c>
      <c r="G249" s="11">
        <f t="shared" si="27"/>
        <v>-6.2501621165802188</v>
      </c>
    </row>
    <row r="250" spans="5:7" x14ac:dyDescent="0.25">
      <c r="E250" s="11">
        <f t="shared" si="25"/>
        <v>-62</v>
      </c>
      <c r="F250" s="11">
        <f t="shared" si="26"/>
        <v>-6.1232503043639133</v>
      </c>
      <c r="G250" s="11">
        <f t="shared" si="27"/>
        <v>-6.1531429555526493</v>
      </c>
    </row>
    <row r="251" spans="5:7" x14ac:dyDescent="0.25">
      <c r="E251" s="11">
        <f t="shared" si="25"/>
        <v>-61</v>
      </c>
      <c r="F251" s="11">
        <f t="shared" si="26"/>
        <v>-6.0244004856709212</v>
      </c>
      <c r="G251" s="11">
        <f t="shared" si="27"/>
        <v>-6.0534365723791446</v>
      </c>
    </row>
    <row r="252" spans="5:7" x14ac:dyDescent="0.25">
      <c r="E252" s="11">
        <f t="shared" si="25"/>
        <v>-60</v>
      </c>
      <c r="F252" s="11">
        <f t="shared" si="26"/>
        <v>-5.9241691521441906</v>
      </c>
      <c r="G252" s="11">
        <f t="shared" si="27"/>
        <v>-5.950946994840205</v>
      </c>
    </row>
    <row r="253" spans="5:7" x14ac:dyDescent="0.25">
      <c r="E253" s="11">
        <f t="shared" si="25"/>
        <v>-59</v>
      </c>
      <c r="F253" s="11">
        <f t="shared" si="26"/>
        <v>-5.82265103952445</v>
      </c>
      <c r="G253" s="11">
        <f t="shared" si="27"/>
        <v>-5.8455782507163345</v>
      </c>
    </row>
    <row r="254" spans="5:7" x14ac:dyDescent="0.25">
      <c r="E254" s="11">
        <f t="shared" si="25"/>
        <v>-58</v>
      </c>
      <c r="F254" s="11">
        <f t="shared" si="26"/>
        <v>-5.7199431486583459</v>
      </c>
      <c r="G254" s="11">
        <f t="shared" si="27"/>
        <v>-5.7372343677880338</v>
      </c>
    </row>
    <row r="255" spans="5:7" x14ac:dyDescent="0.25">
      <c r="E255" s="11">
        <f t="shared" si="25"/>
        <v>-57</v>
      </c>
      <c r="F255" s="11">
        <f t="shared" si="26"/>
        <v>-5.6161441071701566</v>
      </c>
      <c r="G255" s="11">
        <f t="shared" si="27"/>
        <v>-5.6258193738358067</v>
      </c>
    </row>
    <row r="256" spans="5:7" x14ac:dyDescent="0.25">
      <c r="E256" s="11">
        <f t="shared" si="25"/>
        <v>-56</v>
      </c>
      <c r="F256" s="11">
        <f t="shared" si="26"/>
        <v>-5.5113535711526476</v>
      </c>
      <c r="G256" s="11">
        <f t="shared" si="27"/>
        <v>-5.5112372966401555</v>
      </c>
    </row>
    <row r="257" spans="5:7" x14ac:dyDescent="0.25">
      <c r="E257" s="11">
        <f t="shared" si="25"/>
        <v>-55</v>
      </c>
      <c r="F257" s="11">
        <f t="shared" si="26"/>
        <v>-5.4056716656255963</v>
      </c>
      <c r="G257" s="11">
        <f t="shared" si="27"/>
        <v>-5.3933921639815807</v>
      </c>
    </row>
    <row r="258" spans="5:7" x14ac:dyDescent="0.25">
      <c r="E258" s="11">
        <f t="shared" si="25"/>
        <v>-54</v>
      </c>
      <c r="F258" s="11">
        <f t="shared" si="26"/>
        <v>-5.2991984625274338</v>
      </c>
      <c r="G258" s="11">
        <f t="shared" si="27"/>
        <v>-5.2721880036405864</v>
      </c>
    </row>
    <row r="259" spans="5:7" x14ac:dyDescent="0.25">
      <c r="E259" s="11">
        <f t="shared" si="25"/>
        <v>-53</v>
      </c>
      <c r="F259" s="11">
        <f t="shared" si="26"/>
        <v>-5.1920334950224989</v>
      </c>
      <c r="G259" s="11">
        <f t="shared" si="27"/>
        <v>-5.1475288433976747</v>
      </c>
    </row>
    <row r="260" spans="5:7" x14ac:dyDescent="0.25">
      <c r="E260" s="11">
        <f t="shared" si="25"/>
        <v>-52</v>
      </c>
      <c r="F260" s="11">
        <f t="shared" si="26"/>
        <v>-5.0842753069233071</v>
      </c>
      <c r="G260" s="11">
        <f t="shared" si="27"/>
        <v>-5.019318711033347</v>
      </c>
    </row>
    <row r="261" spans="5:7" x14ac:dyDescent="0.25">
      <c r="E261" s="11">
        <f t="shared" si="25"/>
        <v>-51</v>
      </c>
      <c r="F261" s="11">
        <f t="shared" si="26"/>
        <v>-4.9760210360441626</v>
      </c>
      <c r="G261" s="11">
        <f t="shared" si="27"/>
        <v>-4.8874616343281065</v>
      </c>
    </row>
    <row r="262" spans="5:7" x14ac:dyDescent="0.25">
      <c r="E262" s="11">
        <f t="shared" si="25"/>
        <v>-50</v>
      </c>
      <c r="F262" s="11">
        <f t="shared" si="26"/>
        <v>-4.8673660303194826</v>
      </c>
      <c r="G262" s="11">
        <f t="shared" si="27"/>
        <v>-4.7518616410624546</v>
      </c>
    </row>
    <row r="263" spans="5:7" x14ac:dyDescent="0.25">
      <c r="E263" s="11">
        <f t="shared" si="25"/>
        <v>-49</v>
      </c>
      <c r="F263" s="11">
        <f t="shared" si="26"/>
        <v>-4.7584034955370607</v>
      </c>
      <c r="G263" s="11">
        <f t="shared" si="27"/>
        <v>-4.6729144539877172</v>
      </c>
    </row>
    <row r="264" spans="5:7" x14ac:dyDescent="0.25">
      <c r="E264" s="11">
        <f t="shared" si="25"/>
        <v>-48</v>
      </c>
      <c r="F264" s="11">
        <f t="shared" si="26"/>
        <v>-4.649224173553546</v>
      </c>
      <c r="G264" s="11">
        <f t="shared" si="27"/>
        <v>-4.5903549217488253</v>
      </c>
    </row>
    <row r="265" spans="5:7" x14ac:dyDescent="0.25">
      <c r="E265" s="11">
        <f t="shared" si="25"/>
        <v>-47</v>
      </c>
      <c r="F265" s="11">
        <f t="shared" si="26"/>
        <v>-4.5399160498762949</v>
      </c>
      <c r="G265" s="11">
        <f t="shared" si="27"/>
        <v>-4.5044095879615327</v>
      </c>
    </row>
    <row r="266" spans="5:7" x14ac:dyDescent="0.25">
      <c r="E266" s="11">
        <f t="shared" si="25"/>
        <v>-46</v>
      </c>
      <c r="F266" s="11">
        <f t="shared" si="26"/>
        <v>-4.4305640895127443</v>
      </c>
      <c r="G266" s="11">
        <f t="shared" si="27"/>
        <v>-4.4153049962415922</v>
      </c>
    </row>
    <row r="267" spans="5:7" x14ac:dyDescent="0.25">
      <c r="E267" s="11">
        <f t="shared" si="25"/>
        <v>-45</v>
      </c>
      <c r="F267" s="11">
        <f t="shared" si="26"/>
        <v>-4.3212500000054339</v>
      </c>
      <c r="G267" s="11">
        <f t="shared" si="27"/>
        <v>-4.3232676902047595</v>
      </c>
    </row>
    <row r="268" spans="5:7" x14ac:dyDescent="0.25">
      <c r="E268" s="11">
        <f t="shared" si="25"/>
        <v>-44</v>
      </c>
      <c r="F268" s="11">
        <f t="shared" si="26"/>
        <v>-4.2120520205876977</v>
      </c>
      <c r="G268" s="11">
        <f t="shared" si="27"/>
        <v>-4.2285242134667866</v>
      </c>
    </row>
    <row r="269" spans="5:7" x14ac:dyDescent="0.25">
      <c r="E269" s="11">
        <f t="shared" si="25"/>
        <v>-43</v>
      </c>
      <c r="F269" s="11">
        <f t="shared" si="26"/>
        <v>-4.1030447364120715</v>
      </c>
      <c r="G269" s="11">
        <f t="shared" si="27"/>
        <v>-4.1313011096434291</v>
      </c>
    </row>
    <row r="270" spans="5:7" x14ac:dyDescent="0.25">
      <c r="E270" s="11">
        <f t="shared" si="25"/>
        <v>-42</v>
      </c>
      <c r="F270" s="11">
        <f t="shared" si="26"/>
        <v>-3.9942989168203682</v>
      </c>
      <c r="G270" s="11">
        <f t="shared" si="27"/>
        <v>-4.031824922350439</v>
      </c>
    </row>
    <row r="271" spans="5:7" x14ac:dyDescent="0.25">
      <c r="E271" s="11">
        <f t="shared" si="25"/>
        <v>-41</v>
      </c>
      <c r="F271" s="11">
        <f t="shared" si="26"/>
        <v>-3.8858813766413509</v>
      </c>
      <c r="G271" s="11">
        <f t="shared" si="27"/>
        <v>-3.9303221952035718</v>
      </c>
    </row>
    <row r="272" spans="5:7" x14ac:dyDescent="0.25">
      <c r="E272" s="11">
        <f t="shared" si="25"/>
        <v>-40</v>
      </c>
      <c r="F272" s="11">
        <f t="shared" si="26"/>
        <v>-3.7778548595188948</v>
      </c>
      <c r="G272" s="11">
        <f t="shared" si="27"/>
        <v>-3.8270194718185815</v>
      </c>
    </row>
    <row r="273" spans="5:7" x14ac:dyDescent="0.25">
      <c r="E273" s="11">
        <f t="shared" si="25"/>
        <v>-39</v>
      </c>
      <c r="F273" s="11">
        <f t="shared" si="26"/>
        <v>-3.6702779422904723</v>
      </c>
      <c r="G273" s="11">
        <f t="shared" si="27"/>
        <v>-3.7221432958112199</v>
      </c>
    </row>
    <row r="274" spans="5:7" x14ac:dyDescent="0.25">
      <c r="E274" s="11">
        <f t="shared" si="25"/>
        <v>-38</v>
      </c>
      <c r="F274" s="11">
        <f t="shared" si="26"/>
        <v>-3.5632049594527633</v>
      </c>
      <c r="G274" s="11">
        <f t="shared" si="27"/>
        <v>-3.6159202107972432</v>
      </c>
    </row>
    <row r="275" spans="5:7" x14ac:dyDescent="0.25">
      <c r="E275" s="11">
        <f t="shared" si="25"/>
        <v>-37</v>
      </c>
      <c r="F275" s="11">
        <f t="shared" si="26"/>
        <v>-3.4566859467681286</v>
      </c>
      <c r="G275" s="11">
        <f t="shared" si="27"/>
        <v>-3.5085767603924038</v>
      </c>
    </row>
    <row r="276" spans="5:7" x14ac:dyDescent="0.25">
      <c r="E276" s="11">
        <f t="shared" si="25"/>
        <v>-36</v>
      </c>
      <c r="F276" s="11">
        <f t="shared" si="26"/>
        <v>-3.3507666030826786</v>
      </c>
      <c r="G276" s="11">
        <f t="shared" si="27"/>
        <v>-3.4003394882124565</v>
      </c>
    </row>
    <row r="277" spans="5:7" x14ac:dyDescent="0.25">
      <c r="E277" s="11">
        <f t="shared" si="25"/>
        <v>-35</v>
      </c>
      <c r="F277" s="11">
        <f t="shared" si="26"/>
        <v>-3.2454882694435847</v>
      </c>
      <c r="G277" s="11">
        <f t="shared" si="27"/>
        <v>-3.2914349378731549</v>
      </c>
    </row>
    <row r="278" spans="5:7" x14ac:dyDescent="0.25">
      <c r="E278" s="11">
        <f t="shared" si="25"/>
        <v>-34</v>
      </c>
      <c r="F278" s="11">
        <f t="shared" si="26"/>
        <v>-3.1408879246202668</v>
      </c>
      <c r="G278" s="11">
        <f t="shared" si="27"/>
        <v>-3.1820896529902525</v>
      </c>
    </row>
    <row r="279" spans="5:7" x14ac:dyDescent="0.25">
      <c r="E279" s="11">
        <f t="shared" si="25"/>
        <v>-33</v>
      </c>
      <c r="F279" s="11">
        <f t="shared" si="26"/>
        <v>-3.0369981961510266</v>
      </c>
      <c r="G279" s="11">
        <f t="shared" si="27"/>
        <v>-3.0725301771795035</v>
      </c>
    </row>
    <row r="280" spans="5:7" x14ac:dyDescent="0.25">
      <c r="E280" s="11">
        <f t="shared" si="25"/>
        <v>-32</v>
      </c>
      <c r="F280" s="11">
        <f t="shared" si="26"/>
        <v>-2.9338473860536718</v>
      </c>
      <c r="G280" s="11">
        <f t="shared" si="27"/>
        <v>-2.9629830540566617</v>
      </c>
    </row>
    <row r="281" spans="5:7" x14ac:dyDescent="0.25">
      <c r="E281" s="11">
        <f t="shared" si="25"/>
        <v>-31</v>
      </c>
      <c r="F281" s="11">
        <f t="shared" si="26"/>
        <v>-2.8314595103556126</v>
      </c>
      <c r="G281" s="11">
        <f t="shared" si="27"/>
        <v>-2.853674827237481</v>
      </c>
    </row>
    <row r="282" spans="5:7" x14ac:dyDescent="0.25">
      <c r="E282" s="11">
        <f t="shared" si="25"/>
        <v>-30</v>
      </c>
      <c r="F282" s="11">
        <f t="shared" si="26"/>
        <v>-2.7298543516158897</v>
      </c>
      <c r="G282" s="11">
        <f t="shared" si="27"/>
        <v>-2.7448320403377151</v>
      </c>
    </row>
    <row r="283" spans="5:7" x14ac:dyDescent="0.25">
      <c r="E283" s="11">
        <f t="shared" si="25"/>
        <v>-29</v>
      </c>
      <c r="F283" s="11">
        <f t="shared" si="26"/>
        <v>-2.6290475236285231</v>
      </c>
      <c r="G283" s="11">
        <f t="shared" si="27"/>
        <v>-2.6366812369731187</v>
      </c>
    </row>
    <row r="284" spans="5:7" x14ac:dyDescent="0.25">
      <c r="E284" s="11">
        <f t="shared" si="25"/>
        <v>-28</v>
      </c>
      <c r="F284" s="11">
        <f t="shared" si="26"/>
        <v>-2.5290505475135645</v>
      </c>
      <c r="G284" s="11">
        <f t="shared" si="27"/>
        <v>-2.5294489607594444</v>
      </c>
    </row>
    <row r="285" spans="5:7" x14ac:dyDescent="0.25">
      <c r="E285" s="11">
        <f t="shared" si="25"/>
        <v>-27</v>
      </c>
      <c r="F285" s="11">
        <f t="shared" si="26"/>
        <v>-2.429870938419147</v>
      </c>
      <c r="G285" s="11">
        <f t="shared" si="27"/>
        <v>-2.4233617553124471</v>
      </c>
    </row>
    <row r="286" spans="5:7" x14ac:dyDescent="0.25">
      <c r="E286" s="11">
        <f t="shared" si="25"/>
        <v>-26</v>
      </c>
      <c r="F286" s="11">
        <f t="shared" si="26"/>
        <v>-2.3315123020748216</v>
      </c>
      <c r="G286" s="11">
        <f t="shared" si="27"/>
        <v>-2.3186461642478799</v>
      </c>
    </row>
    <row r="287" spans="5:7" x14ac:dyDescent="0.25">
      <c r="E287" s="11">
        <f t="shared" ref="E287:E350" si="28">E80</f>
        <v>-25</v>
      </c>
      <c r="F287" s="11">
        <f t="shared" ref="F287:F350" si="29">$H$217*0+E287*$I$217+E287^2*$J$217+E287^3*$K$217+E287^4*$L$217+E287^5*$M$217+E287^6*$N$217+E287^7*$O$217+E287^8*$P$217</f>
        <v>-2.2339744404534065</v>
      </c>
      <c r="G287" s="11">
        <f t="shared" ref="G287:G350" si="30">F80</f>
        <v>-2.2155287311814971</v>
      </c>
    </row>
    <row r="288" spans="5:7" x14ac:dyDescent="0.25">
      <c r="E288" s="11">
        <f t="shared" si="28"/>
        <v>-24</v>
      </c>
      <c r="F288" s="11">
        <f t="shared" si="29"/>
        <v>-2.1372534658155296</v>
      </c>
      <c r="G288" s="11">
        <f t="shared" si="30"/>
        <v>-2.114183543131932</v>
      </c>
    </row>
    <row r="289" spans="5:7" x14ac:dyDescent="0.25">
      <c r="E289" s="11">
        <f t="shared" si="28"/>
        <v>-23</v>
      </c>
      <c r="F289" s="11">
        <f t="shared" si="29"/>
        <v>-2.0413419224280283</v>
      </c>
      <c r="G289" s="11">
        <f t="shared" si="30"/>
        <v>-2.0145748607293341</v>
      </c>
    </row>
    <row r="290" spans="5:7" x14ac:dyDescent="0.25">
      <c r="E290" s="11">
        <f t="shared" si="28"/>
        <v>-22</v>
      </c>
      <c r="F290" s="11">
        <f t="shared" si="29"/>
        <v>-1.9462289152642684</v>
      </c>
      <c r="G290" s="11">
        <f t="shared" si="30"/>
        <v>-1.9166144880067335</v>
      </c>
    </row>
    <row r="291" spans="5:7" x14ac:dyDescent="0.25">
      <c r="E291" s="11">
        <f t="shared" si="28"/>
        <v>-21</v>
      </c>
      <c r="F291" s="11">
        <f t="shared" si="29"/>
        <v>-1.8519002450114801</v>
      </c>
      <c r="G291" s="11">
        <f t="shared" si="30"/>
        <v>-1.8202142289971588</v>
      </c>
    </row>
    <row r="292" spans="5:7" x14ac:dyDescent="0.25">
      <c r="E292" s="11">
        <f t="shared" si="28"/>
        <v>-20</v>
      </c>
      <c r="F292" s="11">
        <f t="shared" si="29"/>
        <v>-1.7583385487270948</v>
      </c>
      <c r="G292" s="11">
        <f t="shared" si="30"/>
        <v>-1.7252858877336392</v>
      </c>
    </row>
    <row r="293" spans="5:7" x14ac:dyDescent="0.25">
      <c r="E293" s="11">
        <f t="shared" si="28"/>
        <v>-19</v>
      </c>
      <c r="F293" s="11">
        <f t="shared" si="29"/>
        <v>-1.6655234455030619</v>
      </c>
      <c r="G293" s="11">
        <f t="shared" si="30"/>
        <v>-1.631741268249205</v>
      </c>
    </row>
    <row r="294" spans="5:7" x14ac:dyDescent="0.25">
      <c r="E294" s="11">
        <f t="shared" si="28"/>
        <v>-18</v>
      </c>
      <c r="F294" s="11">
        <f t="shared" si="29"/>
        <v>-1.5734316865140729</v>
      </c>
      <c r="G294" s="11">
        <f t="shared" si="30"/>
        <v>-1.5394921745768841</v>
      </c>
    </row>
    <row r="295" spans="5:7" x14ac:dyDescent="0.25">
      <c r="E295" s="11">
        <f t="shared" si="28"/>
        <v>-17</v>
      </c>
      <c r="F295" s="11">
        <f t="shared" si="29"/>
        <v>-1.482037308842566</v>
      </c>
      <c r="G295" s="11">
        <f t="shared" si="30"/>
        <v>-1.4484504107497069</v>
      </c>
    </row>
    <row r="296" spans="5:7" x14ac:dyDescent="0.25">
      <c r="E296" s="11">
        <f t="shared" si="28"/>
        <v>-16</v>
      </c>
      <c r="F296" s="11">
        <f t="shared" si="29"/>
        <v>-1.3913117924903595</v>
      </c>
      <c r="G296" s="11">
        <f t="shared" si="30"/>
        <v>-1.3585277808007021</v>
      </c>
    </row>
    <row r="297" spans="5:7" x14ac:dyDescent="0.25">
      <c r="E297" s="11">
        <f t="shared" si="28"/>
        <v>-15</v>
      </c>
      <c r="F297" s="11">
        <f t="shared" si="29"/>
        <v>-1.3012242200037025</v>
      </c>
      <c r="G297" s="11">
        <f t="shared" si="30"/>
        <v>-1.2696360887628992</v>
      </c>
    </row>
    <row r="298" spans="5:7" x14ac:dyDescent="0.25">
      <c r="E298" s="11">
        <f t="shared" si="28"/>
        <v>-14</v>
      </c>
      <c r="F298" s="11">
        <f t="shared" si="29"/>
        <v>-1.2117414381554932</v>
      </c>
      <c r="G298" s="11">
        <f t="shared" si="30"/>
        <v>-1.1816871386693275</v>
      </c>
    </row>
    <row r="299" spans="5:7" x14ac:dyDescent="0.25">
      <c r="E299" s="11">
        <f t="shared" si="28"/>
        <v>-13</v>
      </c>
      <c r="F299" s="11">
        <f t="shared" si="29"/>
        <v>-1.1228282211453786</v>
      </c>
      <c r="G299" s="11">
        <f t="shared" si="30"/>
        <v>-1.0945927345530162</v>
      </c>
    </row>
    <row r="300" spans="5:7" x14ac:dyDescent="0.25">
      <c r="E300" s="11">
        <f t="shared" si="28"/>
        <v>-12</v>
      </c>
      <c r="F300" s="11">
        <f t="shared" si="29"/>
        <v>-1.0344474347953891</v>
      </c>
      <c r="G300" s="11">
        <f t="shared" si="30"/>
        <v>-1.0082646804469948</v>
      </c>
    </row>
    <row r="301" spans="5:7" x14ac:dyDescent="0.25">
      <c r="E301" s="11">
        <f t="shared" si="28"/>
        <v>-11</v>
      </c>
      <c r="F301" s="11">
        <f t="shared" si="29"/>
        <v>-0.94656020123574203</v>
      </c>
      <c r="G301" s="11">
        <f t="shared" si="30"/>
        <v>-0.92261478038429223</v>
      </c>
    </row>
    <row r="302" spans="5:7" x14ac:dyDescent="0.25">
      <c r="E302" s="11">
        <f t="shared" si="28"/>
        <v>-10</v>
      </c>
      <c r="F302" s="11">
        <f t="shared" si="29"/>
        <v>-0.85912606359237509</v>
      </c>
      <c r="G302" s="11">
        <f t="shared" si="30"/>
        <v>-0.8375548383979381</v>
      </c>
    </row>
    <row r="303" spans="5:7" x14ac:dyDescent="0.25">
      <c r="E303" s="11">
        <f t="shared" si="28"/>
        <v>-9</v>
      </c>
      <c r="F303" s="11">
        <f t="shared" si="29"/>
        <v>-0.77210315020475739</v>
      </c>
      <c r="G303" s="11">
        <f t="shared" si="30"/>
        <v>-0.75299665852096165</v>
      </c>
    </row>
    <row r="304" spans="5:7" x14ac:dyDescent="0.25">
      <c r="E304" s="11">
        <f t="shared" si="28"/>
        <v>-8</v>
      </c>
      <c r="F304" s="11">
        <f t="shared" si="29"/>
        <v>-0.68544833791945881</v>
      </c>
      <c r="G304" s="11">
        <f t="shared" si="30"/>
        <v>-0.66885204478639204</v>
      </c>
    </row>
    <row r="305" spans="5:7" x14ac:dyDescent="0.25">
      <c r="E305" s="11">
        <f t="shared" si="28"/>
        <v>-7</v>
      </c>
      <c r="F305" s="11">
        <f t="shared" si="29"/>
        <v>-0.59911741402192631</v>
      </c>
      <c r="G305" s="11">
        <f t="shared" si="30"/>
        <v>-0.58503280122725865</v>
      </c>
    </row>
    <row r="306" spans="5:7" x14ac:dyDescent="0.25">
      <c r="E306" s="11">
        <f t="shared" si="28"/>
        <v>-6</v>
      </c>
      <c r="F306" s="11">
        <f t="shared" si="29"/>
        <v>-0.51306523638587009</v>
      </c>
      <c r="G306" s="11">
        <f t="shared" si="30"/>
        <v>-0.50145073187659084</v>
      </c>
    </row>
    <row r="307" spans="5:7" x14ac:dyDescent="0.25">
      <c r="E307" s="11">
        <f t="shared" si="28"/>
        <v>-5</v>
      </c>
      <c r="F307" s="11">
        <f t="shared" si="29"/>
        <v>-0.42724589143661762</v>
      </c>
      <c r="G307" s="11">
        <f t="shared" si="30"/>
        <v>-0.41801764076741788</v>
      </c>
    </row>
    <row r="308" spans="5:7" x14ac:dyDescent="0.25">
      <c r="E308" s="11">
        <f t="shared" si="28"/>
        <v>-4</v>
      </c>
      <c r="F308" s="11">
        <f t="shared" si="29"/>
        <v>-0.34161284954175208</v>
      </c>
      <c r="G308" s="11">
        <f t="shared" si="30"/>
        <v>-0.33464533193276891</v>
      </c>
    </row>
    <row r="309" spans="5:7" x14ac:dyDescent="0.25">
      <c r="E309" s="11">
        <f t="shared" si="28"/>
        <v>-3</v>
      </c>
      <c r="F309" s="11">
        <f t="shared" si="29"/>
        <v>-0.25611911745930616</v>
      </c>
      <c r="G309" s="11">
        <f t="shared" si="30"/>
        <v>-0.25124560940567336</v>
      </c>
    </row>
    <row r="310" spans="5:7" x14ac:dyDescent="0.25">
      <c r="E310" s="11">
        <f t="shared" si="28"/>
        <v>-2</v>
      </c>
      <c r="F310" s="11">
        <f t="shared" si="29"/>
        <v>-0.17071738749073928</v>
      </c>
      <c r="G310" s="11">
        <f t="shared" si="30"/>
        <v>-0.16773027721916051</v>
      </c>
    </row>
    <row r="311" spans="5:7" x14ac:dyDescent="0.25">
      <c r="E311" s="11">
        <f t="shared" si="28"/>
        <v>-1</v>
      </c>
      <c r="F311" s="11">
        <f t="shared" si="29"/>
        <v>-8.5360183002883755E-2</v>
      </c>
      <c r="G311" s="11">
        <f t="shared" si="30"/>
        <v>-8.4011139406259622E-2</v>
      </c>
    </row>
    <row r="312" spans="5:7" x14ac:dyDescent="0.25">
      <c r="E312" s="11">
        <f t="shared" si="28"/>
        <v>0</v>
      </c>
      <c r="F312" s="11">
        <f t="shared" si="29"/>
        <v>0</v>
      </c>
      <c r="G312" s="11">
        <f t="shared" si="30"/>
        <v>0</v>
      </c>
    </row>
    <row r="313" spans="5:7" x14ac:dyDescent="0.25">
      <c r="E313" s="11">
        <f t="shared" si="28"/>
        <v>1</v>
      </c>
      <c r="F313" s="11">
        <f t="shared" si="29"/>
        <v>8.5410555555960749E-2</v>
      </c>
      <c r="G313" s="11">
        <f t="shared" si="30"/>
        <v>8.4379622908854812E-2</v>
      </c>
    </row>
    <row r="314" spans="5:7" x14ac:dyDescent="0.25">
      <c r="E314" s="11">
        <f t="shared" si="28"/>
        <v>2</v>
      </c>
      <c r="F314" s="11">
        <f t="shared" si="29"/>
        <v>0.1709186349618329</v>
      </c>
      <c r="G314" s="11">
        <f t="shared" si="30"/>
        <v>0.16915735499860435</v>
      </c>
    </row>
    <row r="315" spans="5:7" x14ac:dyDescent="0.25">
      <c r="E315" s="11">
        <f t="shared" si="28"/>
        <v>3</v>
      </c>
      <c r="F315" s="11">
        <f t="shared" si="29"/>
        <v>0.25657101879444144</v>
      </c>
      <c r="G315" s="11">
        <f t="shared" si="30"/>
        <v>0.25435110788981397</v>
      </c>
    </row>
    <row r="316" spans="5:7" x14ac:dyDescent="0.25">
      <c r="E316" s="11">
        <f t="shared" si="28"/>
        <v>4</v>
      </c>
      <c r="F316" s="11">
        <f t="shared" si="29"/>
        <v>0.34241399398756844</v>
      </c>
      <c r="G316" s="11">
        <f t="shared" si="30"/>
        <v>0.33997879320304908</v>
      </c>
    </row>
    <row r="317" spans="5:7" x14ac:dyDescent="0.25">
      <c r="E317" s="11">
        <f t="shared" si="28"/>
        <v>5</v>
      </c>
      <c r="F317" s="11">
        <f t="shared" si="29"/>
        <v>0.42849323619875823</v>
      </c>
      <c r="G317" s="11">
        <f t="shared" si="30"/>
        <v>0.42605832255887488</v>
      </c>
    </row>
    <row r="318" spans="5:7" x14ac:dyDescent="0.25">
      <c r="E318" s="11">
        <f t="shared" si="28"/>
        <v>6</v>
      </c>
      <c r="F318" s="11">
        <f t="shared" si="29"/>
        <v>0.51485369768308109</v>
      </c>
      <c r="G318" s="11">
        <f t="shared" si="30"/>
        <v>0.51260760757785662</v>
      </c>
    </row>
    <row r="319" spans="5:7" x14ac:dyDescent="0.25">
      <c r="E319" s="11">
        <f t="shared" si="28"/>
        <v>7</v>
      </c>
      <c r="F319" s="11">
        <f t="shared" si="29"/>
        <v>0.60153950087401975</v>
      </c>
      <c r="G319" s="11">
        <f t="shared" si="30"/>
        <v>0.59964455988055987</v>
      </c>
    </row>
    <row r="320" spans="5:7" x14ac:dyDescent="0.25">
      <c r="E320" s="11">
        <f t="shared" si="28"/>
        <v>8</v>
      </c>
      <c r="F320" s="11">
        <f t="shared" si="29"/>
        <v>0.68859383785468486</v>
      </c>
      <c r="G320" s="11">
        <f t="shared" si="30"/>
        <v>0.68718709108754972</v>
      </c>
    </row>
    <row r="321" spans="5:7" x14ac:dyDescent="0.25">
      <c r="E321" s="11">
        <f t="shared" si="28"/>
        <v>9</v>
      </c>
      <c r="F321" s="11">
        <f t="shared" si="29"/>
        <v>0.77605887588561406</v>
      </c>
      <c r="G321" s="11">
        <f t="shared" si="30"/>
        <v>0.77525311281939169</v>
      </c>
    </row>
    <row r="322" spans="5:7" x14ac:dyDescent="0.25">
      <c r="E322" s="11">
        <f t="shared" si="28"/>
        <v>10</v>
      </c>
      <c r="F322" s="11">
        <f t="shared" si="29"/>
        <v>0.86397566913844248</v>
      </c>
      <c r="G322" s="11">
        <f t="shared" si="30"/>
        <v>0.86386053669665097</v>
      </c>
    </row>
    <row r="323" spans="5:7" x14ac:dyDescent="0.25">
      <c r="E323" s="11">
        <f t="shared" si="28"/>
        <v>11</v>
      </c>
      <c r="F323" s="11">
        <f t="shared" si="29"/>
        <v>0.9523840767677908</v>
      </c>
      <c r="G323" s="11">
        <f t="shared" si="30"/>
        <v>0.95302727433989276</v>
      </c>
    </row>
    <row r="324" spans="5:7" x14ac:dyDescent="0.25">
      <c r="E324" s="11">
        <f t="shared" si="28"/>
        <v>12</v>
      </c>
      <c r="F324" s="11">
        <f t="shared" si="29"/>
        <v>1.0413226874367467</v>
      </c>
      <c r="G324" s="11">
        <f t="shared" si="30"/>
        <v>1.0427712373696827</v>
      </c>
    </row>
    <row r="325" spans="5:7" x14ac:dyDescent="0.25">
      <c r="E325" s="11">
        <f t="shared" si="28"/>
        <v>13</v>
      </c>
      <c r="F325" s="11">
        <f t="shared" si="29"/>
        <v>1.1308287503943664</v>
      </c>
      <c r="G325" s="11">
        <f t="shared" si="30"/>
        <v>1.1331103374065861</v>
      </c>
    </row>
    <row r="326" spans="5:7" x14ac:dyDescent="0.25">
      <c r="E326" s="11">
        <f t="shared" si="28"/>
        <v>14</v>
      </c>
      <c r="F326" s="11">
        <f t="shared" si="29"/>
        <v>1.2209381131866675</v>
      </c>
      <c r="G326" s="11">
        <f t="shared" si="30"/>
        <v>1.2240624860711677</v>
      </c>
    </row>
    <row r="327" spans="5:7" x14ac:dyDescent="0.25">
      <c r="E327" s="11">
        <f t="shared" si="28"/>
        <v>15</v>
      </c>
      <c r="F327" s="11">
        <f t="shared" si="29"/>
        <v>1.3116851660656217</v>
      </c>
      <c r="G327" s="11">
        <f t="shared" si="30"/>
        <v>1.3156455949839936</v>
      </c>
    </row>
    <row r="328" spans="5:7" x14ac:dyDescent="0.25">
      <c r="E328" s="11">
        <f t="shared" si="28"/>
        <v>16</v>
      </c>
      <c r="F328" s="11">
        <f t="shared" si="29"/>
        <v>1.4031027931437055</v>
      </c>
      <c r="G328" s="11">
        <f t="shared" si="30"/>
        <v>1.4078775757656286</v>
      </c>
    </row>
    <row r="329" spans="5:7" x14ac:dyDescent="0.25">
      <c r="E329" s="11">
        <f t="shared" si="28"/>
        <v>17</v>
      </c>
      <c r="F329" s="11">
        <f t="shared" si="29"/>
        <v>1.495222330324611</v>
      </c>
      <c r="G329" s="11">
        <f t="shared" si="30"/>
        <v>1.5007763400366383</v>
      </c>
    </row>
    <row r="330" spans="5:7" x14ac:dyDescent="0.25">
      <c r="E330" s="11">
        <f t="shared" si="28"/>
        <v>18</v>
      </c>
      <c r="F330" s="11">
        <f t="shared" si="29"/>
        <v>1.5880735300237507</v>
      </c>
      <c r="G330" s="11">
        <f t="shared" si="30"/>
        <v>1.594359799417588</v>
      </c>
    </row>
    <row r="331" spans="5:7" x14ac:dyDescent="0.25">
      <c r="E331" s="11">
        <f t="shared" si="28"/>
        <v>19</v>
      </c>
      <c r="F331" s="11">
        <f t="shared" si="29"/>
        <v>1.681684532675257</v>
      </c>
      <c r="G331" s="11">
        <f t="shared" si="30"/>
        <v>1.6886458655290426</v>
      </c>
    </row>
    <row r="332" spans="5:7" x14ac:dyDescent="0.25">
      <c r="E332" s="11">
        <f t="shared" si="28"/>
        <v>20</v>
      </c>
      <c r="F332" s="11">
        <f t="shared" si="29"/>
        <v>1.7760818450051918</v>
      </c>
      <c r="G332" s="11">
        <f t="shared" si="30"/>
        <v>1.7836524499915682</v>
      </c>
    </row>
    <row r="333" spans="5:7" x14ac:dyDescent="0.25">
      <c r="E333" s="11">
        <f t="shared" si="28"/>
        <v>21</v>
      </c>
      <c r="F333" s="11">
        <f t="shared" si="29"/>
        <v>1.871290325033752</v>
      </c>
      <c r="G333" s="11">
        <f t="shared" si="30"/>
        <v>1.8793974644257294</v>
      </c>
    </row>
    <row r="334" spans="5:7" x14ac:dyDescent="0.25">
      <c r="E334" s="11">
        <f t="shared" si="28"/>
        <v>22</v>
      </c>
      <c r="F334" s="11">
        <f t="shared" si="29"/>
        <v>1.9673331737522819</v>
      </c>
      <c r="G334" s="11">
        <f t="shared" si="30"/>
        <v>1.9758988204520918</v>
      </c>
    </row>
    <row r="335" spans="5:7" x14ac:dyDescent="0.25">
      <c r="E335" s="11">
        <f t="shared" si="28"/>
        <v>23</v>
      </c>
      <c r="F335" s="11">
        <f t="shared" si="29"/>
        <v>2.0642319334039527</v>
      </c>
      <c r="G335" s="11">
        <f t="shared" si="30"/>
        <v>2.0731744296912207</v>
      </c>
    </row>
    <row r="336" spans="5:7" x14ac:dyDescent="0.25">
      <c r="E336" s="11">
        <f t="shared" si="28"/>
        <v>24</v>
      </c>
      <c r="F336" s="11">
        <f t="shared" si="29"/>
        <v>2.1620064922800157</v>
      </c>
      <c r="G336" s="11">
        <f t="shared" si="30"/>
        <v>2.1712422037636814</v>
      </c>
    </row>
    <row r="337" spans="5:7" x14ac:dyDescent="0.25">
      <c r="E337" s="11">
        <f t="shared" si="28"/>
        <v>25</v>
      </c>
      <c r="F337" s="11">
        <f t="shared" si="29"/>
        <v>2.2606750959265853</v>
      </c>
      <c r="G337" s="11">
        <f t="shared" si="30"/>
        <v>2.2701200542900399</v>
      </c>
    </row>
    <row r="338" spans="5:7" x14ac:dyDescent="0.25">
      <c r="E338" s="11">
        <f t="shared" si="28"/>
        <v>26</v>
      </c>
      <c r="F338" s="11">
        <f t="shared" si="29"/>
        <v>2.3602543646399208</v>
      </c>
      <c r="G338" s="11">
        <f t="shared" si="30"/>
        <v>2.3698258928908604</v>
      </c>
    </row>
    <row r="339" spans="5:7" x14ac:dyDescent="0.25">
      <c r="E339" s="11">
        <f t="shared" si="28"/>
        <v>27</v>
      </c>
      <c r="F339" s="11">
        <f t="shared" si="29"/>
        <v>2.4607593171112674</v>
      </c>
      <c r="G339" s="11">
        <f t="shared" si="30"/>
        <v>2.4703776311867087</v>
      </c>
    </row>
    <row r="340" spans="5:7" x14ac:dyDescent="0.25">
      <c r="E340" s="11">
        <f t="shared" si="28"/>
        <v>28</v>
      </c>
      <c r="F340" s="11">
        <f t="shared" si="29"/>
        <v>2.562203400065322</v>
      </c>
      <c r="G340" s="11">
        <f t="shared" si="30"/>
        <v>2.5717931807981502</v>
      </c>
    </row>
    <row r="341" spans="5:7" x14ac:dyDescent="0.25">
      <c r="E341" s="11">
        <f t="shared" si="28"/>
        <v>29</v>
      </c>
      <c r="F341" s="11">
        <f t="shared" si="29"/>
        <v>2.6645985237194503</v>
      </c>
      <c r="G341" s="11">
        <f t="shared" si="30"/>
        <v>2.6740904533457499</v>
      </c>
    </row>
    <row r="342" spans="5:7" x14ac:dyDescent="0.25">
      <c r="E342" s="11">
        <f t="shared" si="28"/>
        <v>30</v>
      </c>
      <c r="F342" s="11">
        <f t="shared" si="29"/>
        <v>2.7679551028738096</v>
      </c>
      <c r="G342" s="11">
        <f t="shared" si="30"/>
        <v>2.7772873604500741</v>
      </c>
    </row>
    <row r="343" spans="5:7" x14ac:dyDescent="0.25">
      <c r="E343" s="11">
        <f t="shared" si="28"/>
        <v>31</v>
      </c>
      <c r="F343" s="11">
        <f t="shared" si="29"/>
        <v>2.8722821034256105</v>
      </c>
      <c r="G343" s="11">
        <f t="shared" si="30"/>
        <v>2.8813994354337384</v>
      </c>
    </row>
    <row r="344" spans="5:7" x14ac:dyDescent="0.25">
      <c r="E344" s="11">
        <f t="shared" si="28"/>
        <v>32</v>
      </c>
      <c r="F344" s="11">
        <f t="shared" si="29"/>
        <v>2.9775870940837432</v>
      </c>
      <c r="G344" s="11">
        <f t="shared" si="30"/>
        <v>2.9864326984275644</v>
      </c>
    </row>
    <row r="345" spans="5:7" x14ac:dyDescent="0.25">
      <c r="E345" s="11">
        <f t="shared" si="28"/>
        <v>33</v>
      </c>
      <c r="F345" s="11">
        <f t="shared" si="29"/>
        <v>3.083876303043092</v>
      </c>
      <c r="G345" s="11">
        <f t="shared" si="30"/>
        <v>3.092390791264426</v>
      </c>
    </row>
    <row r="346" spans="5:7" x14ac:dyDescent="0.25">
      <c r="E346" s="11">
        <f t="shared" si="28"/>
        <v>34</v>
      </c>
      <c r="F346" s="11">
        <f t="shared" si="29"/>
        <v>3.1911546793608467</v>
      </c>
      <c r="G346" s="11">
        <f t="shared" si="30"/>
        <v>3.1992773557771952</v>
      </c>
    </row>
    <row r="347" spans="5:7" x14ac:dyDescent="0.25">
      <c r="E347" s="11">
        <f t="shared" si="28"/>
        <v>35</v>
      </c>
      <c r="F347" s="11">
        <f t="shared" si="29"/>
        <v>3.2994259587602306</v>
      </c>
      <c r="G347" s="11">
        <f t="shared" si="30"/>
        <v>3.3070960337987452</v>
      </c>
    </row>
    <row r="348" spans="5:7" x14ac:dyDescent="0.25">
      <c r="E348" s="11">
        <f t="shared" si="28"/>
        <v>36</v>
      </c>
      <c r="F348" s="11">
        <f t="shared" si="29"/>
        <v>3.4086927335700392</v>
      </c>
      <c r="G348" s="11">
        <f t="shared" si="30"/>
        <v>3.415850467161949</v>
      </c>
    </row>
    <row r="349" spans="5:7" x14ac:dyDescent="0.25">
      <c r="E349" s="11">
        <f t="shared" si="28"/>
        <v>37</v>
      </c>
      <c r="F349" s="11">
        <f t="shared" si="29"/>
        <v>3.5189565264914813</v>
      </c>
      <c r="G349" s="11">
        <f t="shared" si="30"/>
        <v>3.5255442976996809</v>
      </c>
    </row>
    <row r="350" spans="5:7" x14ac:dyDescent="0.25">
      <c r="E350" s="11">
        <f t="shared" si="28"/>
        <v>38</v>
      </c>
      <c r="F350" s="11">
        <f t="shared" si="29"/>
        <v>3.6302178678668335</v>
      </c>
      <c r="G350" s="11">
        <f t="shared" si="30"/>
        <v>3.6361811672448114</v>
      </c>
    </row>
    <row r="351" spans="5:7" x14ac:dyDescent="0.25">
      <c r="E351" s="11">
        <f t="shared" ref="E351:E414" si="31">E144</f>
        <v>39</v>
      </c>
      <c r="F351" s="11">
        <f t="shared" ref="F351:F414" si="32">$H$217*0+E351*$I$217+E351^2*$J$217+E351^3*$K$217+E351^4*$L$217+E351^5*$M$217+E351^6*$N$217+E351^7*$O$217+E351^8*$P$217</f>
        <v>3.7424763761074584</v>
      </c>
      <c r="G351" s="11">
        <f t="shared" ref="G351:G414" si="33">F144</f>
        <v>3.7477647176302149</v>
      </c>
    </row>
    <row r="352" spans="5:7" x14ac:dyDescent="0.25">
      <c r="E352" s="11">
        <f t="shared" si="31"/>
        <v>40</v>
      </c>
      <c r="F352" s="11">
        <f t="shared" si="32"/>
        <v>3.8557308409217903</v>
      </c>
      <c r="G352" s="11">
        <f t="shared" si="33"/>
        <v>3.8602985906887648</v>
      </c>
    </row>
    <row r="353" spans="5:7" x14ac:dyDescent="0.25">
      <c r="E353" s="11">
        <f t="shared" si="31"/>
        <v>41</v>
      </c>
      <c r="F353" s="11">
        <f t="shared" si="32"/>
        <v>3.9699793089669471</v>
      </c>
      <c r="G353" s="11">
        <f t="shared" si="33"/>
        <v>3.9737864282533328</v>
      </c>
    </row>
    <row r="354" spans="5:7" x14ac:dyDescent="0.25">
      <c r="E354" s="11">
        <f t="shared" si="31"/>
        <v>42</v>
      </c>
      <c r="F354" s="11">
        <f t="shared" si="32"/>
        <v>4.0852191715306354</v>
      </c>
      <c r="G354" s="11">
        <f t="shared" si="33"/>
        <v>4.0882318721567925</v>
      </c>
    </row>
    <row r="355" spans="5:7" x14ac:dyDescent="0.25">
      <c r="E355" s="11">
        <f t="shared" si="31"/>
        <v>43</v>
      </c>
      <c r="F355" s="11">
        <f t="shared" si="32"/>
        <v>4.2014472538330887</v>
      </c>
      <c r="G355" s="11">
        <f t="shared" si="33"/>
        <v>4.2036385642320173</v>
      </c>
    </row>
    <row r="356" spans="5:7" x14ac:dyDescent="0.25">
      <c r="E356" s="11">
        <f t="shared" si="31"/>
        <v>44</v>
      </c>
      <c r="F356" s="11">
        <f t="shared" si="32"/>
        <v>4.3186599055218391</v>
      </c>
      <c r="G356" s="11">
        <f t="shared" si="33"/>
        <v>4.320010146311879</v>
      </c>
    </row>
    <row r="357" spans="5:7" x14ac:dyDescent="0.25">
      <c r="E357" s="11">
        <f t="shared" si="31"/>
        <v>45</v>
      </c>
      <c r="F357" s="11">
        <f t="shared" si="32"/>
        <v>4.4368530919150855</v>
      </c>
      <c r="G357" s="11">
        <f t="shared" si="33"/>
        <v>4.4373502602292518</v>
      </c>
    </row>
    <row r="358" spans="5:7" x14ac:dyDescent="0.25">
      <c r="E358" s="11">
        <f t="shared" si="31"/>
        <v>46</v>
      </c>
      <c r="F358" s="11">
        <f t="shared" si="32"/>
        <v>4.5560224855325906</v>
      </c>
      <c r="G358" s="11">
        <f t="shared" si="33"/>
        <v>4.5556625478170076</v>
      </c>
    </row>
    <row r="359" spans="5:7" x14ac:dyDescent="0.25">
      <c r="E359" s="11">
        <f t="shared" si="31"/>
        <v>47</v>
      </c>
      <c r="F359" s="11">
        <f t="shared" si="32"/>
        <v>4.6761635574359577</v>
      </c>
      <c r="G359" s="11">
        <f t="shared" si="33"/>
        <v>4.6749506509080208</v>
      </c>
    </row>
    <row r="360" spans="5:7" x14ac:dyDescent="0.25">
      <c r="E360" s="11">
        <f t="shared" si="31"/>
        <v>48</v>
      </c>
      <c r="F360" s="11">
        <f t="shared" si="32"/>
        <v>4.7972716678832521</v>
      </c>
      <c r="G360" s="11">
        <f t="shared" si="33"/>
        <v>4.7952182113351629</v>
      </c>
    </row>
    <row r="361" spans="5:7" x14ac:dyDescent="0.25">
      <c r="E361" s="11">
        <f t="shared" si="31"/>
        <v>49</v>
      </c>
      <c r="F361" s="11">
        <f t="shared" si="32"/>
        <v>4.9193421557860004</v>
      </c>
      <c r="G361" s="11">
        <f t="shared" si="33"/>
        <v>4.9164688709313076</v>
      </c>
    </row>
    <row r="362" spans="5:7" x14ac:dyDescent="0.25">
      <c r="E362" s="11">
        <f t="shared" si="31"/>
        <v>50</v>
      </c>
      <c r="F362" s="11">
        <f t="shared" si="32"/>
        <v>5.0423704264395237</v>
      </c>
      <c r="G362" s="11">
        <f t="shared" si="33"/>
        <v>5.0387062715293274</v>
      </c>
    </row>
    <row r="363" spans="5:7" x14ac:dyDescent="0.25">
      <c r="E363" s="11">
        <f t="shared" si="31"/>
        <v>51</v>
      </c>
      <c r="F363" s="11">
        <f t="shared" si="32"/>
        <v>5.1663520369807738</v>
      </c>
      <c r="G363" s="11">
        <f t="shared" si="33"/>
        <v>5.1619340549620958</v>
      </c>
    </row>
    <row r="364" spans="5:7" x14ac:dyDescent="0.25">
      <c r="E364" s="11">
        <f t="shared" si="31"/>
        <v>52</v>
      </c>
      <c r="F364" s="11">
        <f t="shared" si="32"/>
        <v>5.2912827790107313</v>
      </c>
      <c r="G364" s="11">
        <f t="shared" si="33"/>
        <v>5.2861558630624845</v>
      </c>
    </row>
    <row r="365" spans="5:7" x14ac:dyDescent="0.25">
      <c r="E365" s="11">
        <f t="shared" si="31"/>
        <v>53</v>
      </c>
      <c r="F365" s="11">
        <f t="shared" si="32"/>
        <v>5.4171587578015687</v>
      </c>
      <c r="G365" s="11">
        <f t="shared" si="33"/>
        <v>5.4113753376633689</v>
      </c>
    </row>
    <row r="366" spans="5:7" x14ac:dyDescent="0.25">
      <c r="E366" s="11">
        <f t="shared" si="31"/>
        <v>54</v>
      </c>
      <c r="F366" s="11">
        <f t="shared" si="32"/>
        <v>5.543976467491774</v>
      </c>
      <c r="G366" s="11">
        <f t="shared" si="33"/>
        <v>5.5375961205976196</v>
      </c>
    </row>
    <row r="367" spans="5:7" x14ac:dyDescent="0.25">
      <c r="E367" s="11">
        <f t="shared" si="31"/>
        <v>55</v>
      </c>
      <c r="F367" s="11">
        <f t="shared" si="32"/>
        <v>5.6717328616555021</v>
      </c>
      <c r="G367" s="11">
        <f t="shared" si="33"/>
        <v>5.6648218536981103</v>
      </c>
    </row>
    <row r="368" spans="5:7" x14ac:dyDescent="0.25">
      <c r="E368" s="11">
        <f t="shared" si="31"/>
        <v>56</v>
      </c>
      <c r="F368" s="11">
        <f t="shared" si="32"/>
        <v>5.8004254186154283</v>
      </c>
      <c r="G368" s="11">
        <f t="shared" si="33"/>
        <v>5.7930561787977144</v>
      </c>
    </row>
    <row r="369" spans="5:7" x14ac:dyDescent="0.25">
      <c r="E369" s="11">
        <f t="shared" si="31"/>
        <v>57</v>
      </c>
      <c r="F369" s="11">
        <f t="shared" si="32"/>
        <v>5.9300522008514944</v>
      </c>
      <c r="G369" s="11">
        <f t="shared" si="33"/>
        <v>5.9223027377293054</v>
      </c>
    </row>
    <row r="370" spans="5:7" x14ac:dyDescent="0.25">
      <c r="E370" s="11">
        <f t="shared" si="31"/>
        <v>58</v>
      </c>
      <c r="F370" s="11">
        <f t="shared" si="32"/>
        <v>6.0606119078408573</v>
      </c>
      <c r="G370" s="11">
        <f t="shared" si="33"/>
        <v>6.052565172325755</v>
      </c>
    </row>
    <row r="371" spans="5:7" x14ac:dyDescent="0.25">
      <c r="E371" s="11">
        <f t="shared" si="31"/>
        <v>59</v>
      </c>
      <c r="F371" s="11">
        <f t="shared" si="32"/>
        <v>6.1921039216475631</v>
      </c>
      <c r="G371" s="11">
        <f t="shared" si="33"/>
        <v>6.1838471244199367</v>
      </c>
    </row>
    <row r="372" spans="5:7" x14ac:dyDescent="0.25">
      <c r="E372" s="11">
        <f t="shared" si="31"/>
        <v>60</v>
      </c>
      <c r="F372" s="11">
        <f t="shared" si="32"/>
        <v>6.3245283445633342</v>
      </c>
      <c r="G372" s="11">
        <f t="shared" si="33"/>
        <v>6.3161522358447231</v>
      </c>
    </row>
    <row r="373" spans="5:7" x14ac:dyDescent="0.25">
      <c r="E373" s="11">
        <f t="shared" si="31"/>
        <v>61</v>
      </c>
      <c r="F373" s="11">
        <f t="shared" si="32"/>
        <v>6.4578860280840322</v>
      </c>
      <c r="G373" s="11">
        <f t="shared" si="33"/>
        <v>6.4494841484329868</v>
      </c>
    </row>
    <row r="374" spans="5:7" x14ac:dyDescent="0.25">
      <c r="E374" s="11">
        <f t="shared" si="31"/>
        <v>62</v>
      </c>
      <c r="F374" s="11">
        <f t="shared" si="32"/>
        <v>6.5921785924893532</v>
      </c>
      <c r="G374" s="11">
        <f t="shared" si="33"/>
        <v>6.5838465040176022</v>
      </c>
    </row>
    <row r="375" spans="5:7" x14ac:dyDescent="0.25">
      <c r="E375" s="11">
        <f t="shared" si="31"/>
        <v>63</v>
      </c>
      <c r="F375" s="11">
        <f t="shared" si="32"/>
        <v>6.7274084362763418</v>
      </c>
      <c r="G375" s="11">
        <f t="shared" si="33"/>
        <v>6.7192429444314419</v>
      </c>
    </row>
    <row r="376" spans="5:7" x14ac:dyDescent="0.25">
      <c r="E376" s="11">
        <f t="shared" si="31"/>
        <v>64</v>
      </c>
      <c r="F376" s="11">
        <f t="shared" si="32"/>
        <v>6.8635787346803934</v>
      </c>
      <c r="G376" s="11">
        <f t="shared" si="33"/>
        <v>6.8556771115073776</v>
      </c>
    </row>
    <row r="377" spans="5:7" x14ac:dyDescent="0.25">
      <c r="E377" s="11">
        <f t="shared" si="31"/>
        <v>65</v>
      </c>
      <c r="F377" s="11">
        <f t="shared" si="32"/>
        <v>7.0006934265004057</v>
      </c>
      <c r="G377" s="11">
        <f t="shared" si="33"/>
        <v>6.9931526470782837</v>
      </c>
    </row>
    <row r="378" spans="5:7" x14ac:dyDescent="0.25">
      <c r="E378" s="11">
        <f t="shared" si="31"/>
        <v>66</v>
      </c>
      <c r="F378" s="11">
        <f t="shared" si="32"/>
        <v>7.1387571884278493</v>
      </c>
      <c r="G378" s="11">
        <f t="shared" si="33"/>
        <v>7.1316731929770318</v>
      </c>
    </row>
    <row r="379" spans="5:7" x14ac:dyDescent="0.25">
      <c r="E379" s="11">
        <f t="shared" si="31"/>
        <v>67</v>
      </c>
      <c r="F379" s="11">
        <f t="shared" si="32"/>
        <v>7.2777753960625109</v>
      </c>
      <c r="G379" s="11">
        <f t="shared" si="33"/>
        <v>7.2712423910364965</v>
      </c>
    </row>
    <row r="380" spans="5:7" x14ac:dyDescent="0.25">
      <c r="E380" s="11">
        <f t="shared" si="31"/>
        <v>68</v>
      </c>
      <c r="F380" s="11">
        <f t="shared" si="32"/>
        <v>7.4177540707807177</v>
      </c>
      <c r="G380" s="11">
        <f t="shared" si="33"/>
        <v>7.4118638830895494</v>
      </c>
    </row>
    <row r="381" spans="5:7" x14ac:dyDescent="0.25">
      <c r="E381" s="11">
        <f t="shared" si="31"/>
        <v>69</v>
      </c>
      <c r="F381" s="11">
        <f t="shared" si="32"/>
        <v>7.5586998116049671</v>
      </c>
      <c r="G381" s="11">
        <f t="shared" si="33"/>
        <v>7.5535413109690639</v>
      </c>
    </row>
    <row r="382" spans="5:7" x14ac:dyDescent="0.25">
      <c r="E382" s="11">
        <f t="shared" si="31"/>
        <v>70</v>
      </c>
      <c r="F382" s="11">
        <f t="shared" si="32"/>
        <v>7.7006197112067882</v>
      </c>
      <c r="G382" s="11">
        <f t="shared" si="33"/>
        <v>7.6962783165079127</v>
      </c>
    </row>
    <row r="383" spans="5:7" x14ac:dyDescent="0.25">
      <c r="E383" s="11">
        <f t="shared" si="31"/>
        <v>71</v>
      </c>
      <c r="F383" s="11">
        <f t="shared" si="32"/>
        <v>7.8435212551578548</v>
      </c>
      <c r="G383" s="11">
        <f t="shared" si="33"/>
        <v>7.8400785415389693</v>
      </c>
    </row>
    <row r="384" spans="5:7" x14ac:dyDescent="0.25">
      <c r="E384" s="11">
        <f t="shared" si="31"/>
        <v>72</v>
      </c>
      <c r="F384" s="11">
        <f t="shared" si="32"/>
        <v>7.9874122035273132</v>
      </c>
      <c r="G384" s="11">
        <f t="shared" si="33"/>
        <v>7.9849456278951063</v>
      </c>
    </row>
    <row r="385" spans="5:7" x14ac:dyDescent="0.25">
      <c r="E385" s="11">
        <f t="shared" si="31"/>
        <v>73</v>
      </c>
      <c r="F385" s="11">
        <f t="shared" si="32"/>
        <v>8.132300453906355</v>
      </c>
      <c r="G385" s="11">
        <f t="shared" si="33"/>
        <v>8.1308832174091972</v>
      </c>
    </row>
    <row r="386" spans="5:7" x14ac:dyDescent="0.25">
      <c r="E386" s="11">
        <f t="shared" si="31"/>
        <v>74</v>
      </c>
      <c r="F386" s="11">
        <f t="shared" si="32"/>
        <v>8.2781938849241694</v>
      </c>
      <c r="G386" s="11">
        <f t="shared" si="33"/>
        <v>8.2778949519141136</v>
      </c>
    </row>
    <row r="387" spans="5:7" x14ac:dyDescent="0.25">
      <c r="E387" s="11">
        <f t="shared" si="31"/>
        <v>75</v>
      </c>
      <c r="F387" s="11">
        <f t="shared" si="32"/>
        <v>8.4251001793023246</v>
      </c>
      <c r="G387" s="11">
        <f t="shared" si="33"/>
        <v>8.42598447324273</v>
      </c>
    </row>
    <row r="388" spans="5:7" x14ac:dyDescent="0.25">
      <c r="E388" s="11">
        <f t="shared" si="31"/>
        <v>76</v>
      </c>
      <c r="F388" s="11">
        <f t="shared" si="32"/>
        <v>8.5730266254778069</v>
      </c>
      <c r="G388" s="11">
        <f t="shared" si="33"/>
        <v>8.5751496665955056</v>
      </c>
    </row>
    <row r="389" spans="5:7" x14ac:dyDescent="0.25">
      <c r="E389" s="11">
        <f t="shared" si="31"/>
        <v>77</v>
      </c>
      <c r="F389" s="11">
        <f t="shared" si="32"/>
        <v>8.7219798968079196</v>
      </c>
      <c r="G389" s="11">
        <f t="shared" si="33"/>
        <v>8.7253653906432334</v>
      </c>
    </row>
    <row r="390" spans="5:7" x14ac:dyDescent="0.25">
      <c r="E390" s="11">
        <f t="shared" si="31"/>
        <v>78</v>
      </c>
      <c r="F390" s="11">
        <f t="shared" si="32"/>
        <v>8.8719658073532734</v>
      </c>
      <c r="G390" s="11">
        <f t="shared" si="33"/>
        <v>8.8766007474243036</v>
      </c>
    </row>
    <row r="391" spans="5:7" x14ac:dyDescent="0.25">
      <c r="E391" s="11">
        <f t="shared" si="31"/>
        <v>79</v>
      </c>
      <c r="F391" s="11">
        <f t="shared" si="32"/>
        <v>9.0229890432182032</v>
      </c>
      <c r="G391" s="11">
        <f t="shared" si="33"/>
        <v>9.028824838977096</v>
      </c>
    </row>
    <row r="392" spans="5:7" x14ac:dyDescent="0.25">
      <c r="E392" s="11">
        <f t="shared" si="31"/>
        <v>80</v>
      </c>
      <c r="F392" s="11">
        <f t="shared" si="32"/>
        <v>9.1750528684109334</v>
      </c>
      <c r="G392" s="11">
        <f t="shared" si="33"/>
        <v>9.1820067673399954</v>
      </c>
    </row>
    <row r="393" spans="5:7" x14ac:dyDescent="0.25">
      <c r="E393" s="11">
        <f t="shared" si="31"/>
        <v>81</v>
      </c>
      <c r="F393" s="11">
        <f t="shared" si="32"/>
        <v>9.3281588041688721</v>
      </c>
      <c r="G393" s="11">
        <f t="shared" si="33"/>
        <v>9.3361156345513869</v>
      </c>
    </row>
    <row r="394" spans="5:7" x14ac:dyDescent="0.25">
      <c r="E394" s="11">
        <f t="shared" si="31"/>
        <v>82</v>
      </c>
      <c r="F394" s="11">
        <f t="shared" si="32"/>
        <v>9.4823062806775127</v>
      </c>
      <c r="G394" s="11">
        <f t="shared" si="33"/>
        <v>9.4911205426496501</v>
      </c>
    </row>
    <row r="395" spans="5:7" x14ac:dyDescent="0.25">
      <c r="E395" s="11">
        <f t="shared" si="31"/>
        <v>83</v>
      </c>
      <c r="F395" s="11">
        <f t="shared" si="32"/>
        <v>9.6374922600943478</v>
      </c>
      <c r="G395" s="11">
        <f t="shared" si="33"/>
        <v>9.6469905936731735</v>
      </c>
    </row>
    <row r="396" spans="5:7" x14ac:dyDescent="0.25">
      <c r="E396" s="11">
        <f t="shared" si="31"/>
        <v>84</v>
      </c>
      <c r="F396" s="11">
        <f t="shared" si="32"/>
        <v>9.7937108297723512</v>
      </c>
      <c r="G396" s="11">
        <f t="shared" si="33"/>
        <v>9.8036948896603366</v>
      </c>
    </row>
    <row r="397" spans="5:7" x14ac:dyDescent="0.25">
      <c r="E397" s="11">
        <f t="shared" si="31"/>
        <v>85</v>
      </c>
      <c r="F397" s="11">
        <f t="shared" si="32"/>
        <v>9.9509527645606362</v>
      </c>
      <c r="G397" s="11">
        <f t="shared" si="33"/>
        <v>9.9612025326495264</v>
      </c>
    </row>
    <row r="398" spans="5:7" x14ac:dyDescent="0.25">
      <c r="E398" s="11">
        <f t="shared" si="31"/>
        <v>86</v>
      </c>
      <c r="F398" s="11">
        <f t="shared" si="32"/>
        <v>10.109205057042775</v>
      </c>
      <c r="G398" s="11">
        <f t="shared" si="33"/>
        <v>10.119482624679124</v>
      </c>
    </row>
    <row r="399" spans="5:7" x14ac:dyDescent="0.25">
      <c r="E399" s="11">
        <f t="shared" si="31"/>
        <v>87</v>
      </c>
      <c r="F399" s="11">
        <f t="shared" si="32"/>
        <v>10.268450414556566</v>
      </c>
      <c r="G399" s="11">
        <f t="shared" si="33"/>
        <v>10.278504267787515</v>
      </c>
    </row>
    <row r="400" spans="5:7" x14ac:dyDescent="0.25">
      <c r="E400" s="11">
        <f t="shared" si="31"/>
        <v>88</v>
      </c>
      <c r="F400" s="11">
        <f t="shared" si="32"/>
        <v>10.428666721821838</v>
      </c>
      <c r="G400" s="11">
        <f t="shared" si="33"/>
        <v>10.438236564013081</v>
      </c>
    </row>
    <row r="401" spans="5:7" x14ac:dyDescent="0.25">
      <c r="E401" s="11">
        <f t="shared" si="31"/>
        <v>89</v>
      </c>
      <c r="F401" s="11">
        <f t="shared" si="32"/>
        <v>10.589826467986072</v>
      </c>
      <c r="G401" s="11">
        <f t="shared" si="33"/>
        <v>10.598648615394207</v>
      </c>
    </row>
    <row r="402" spans="5:7" x14ac:dyDescent="0.25">
      <c r="E402" s="11">
        <f t="shared" si="31"/>
        <v>90</v>
      </c>
      <c r="F402" s="11">
        <f t="shared" si="32"/>
        <v>10.751896136880626</v>
      </c>
      <c r="G402" s="11">
        <f t="shared" si="33"/>
        <v>10.759709523969278</v>
      </c>
    </row>
    <row r="403" spans="5:7" x14ac:dyDescent="0.25">
      <c r="E403" s="11">
        <f t="shared" si="31"/>
        <v>91</v>
      </c>
      <c r="F403" s="11">
        <f t="shared" si="32"/>
        <v>10.914835559263391</v>
      </c>
      <c r="G403" s="11">
        <f t="shared" si="33"/>
        <v>10.921388391776674</v>
      </c>
    </row>
    <row r="404" spans="5:7" x14ac:dyDescent="0.25">
      <c r="E404" s="11">
        <f t="shared" si="31"/>
        <v>92</v>
      </c>
      <c r="F404" s="11">
        <f t="shared" si="32"/>
        <v>11.078597225806661</v>
      </c>
      <c r="G404" s="11">
        <f t="shared" si="33"/>
        <v>11.08365432085478</v>
      </c>
    </row>
    <row r="405" spans="5:7" x14ac:dyDescent="0.25">
      <c r="E405" s="11">
        <f t="shared" si="31"/>
        <v>93</v>
      </c>
      <c r="F405" s="11">
        <f t="shared" si="32"/>
        <v>11.24312555957229</v>
      </c>
      <c r="G405" s="11">
        <f t="shared" si="33"/>
        <v>11.246476413241984</v>
      </c>
    </row>
    <row r="406" spans="5:7" x14ac:dyDescent="0.25">
      <c r="E406" s="11">
        <f t="shared" si="31"/>
        <v>94</v>
      </c>
      <c r="F406" s="11">
        <f t="shared" si="32"/>
        <v>11.408356146698916</v>
      </c>
      <c r="G406" s="11">
        <f t="shared" si="33"/>
        <v>11.409823770976663</v>
      </c>
    </row>
    <row r="407" spans="5:7" x14ac:dyDescent="0.25">
      <c r="E407" s="11">
        <f t="shared" si="31"/>
        <v>95</v>
      </c>
      <c r="F407" s="11">
        <f t="shared" si="32"/>
        <v>11.574214924009377</v>
      </c>
      <c r="G407" s="11">
        <f t="shared" si="33"/>
        <v>11.573665496097204</v>
      </c>
    </row>
    <row r="408" spans="5:7" x14ac:dyDescent="0.25">
      <c r="E408" s="11">
        <f t="shared" si="31"/>
        <v>96</v>
      </c>
      <c r="F408" s="11">
        <f t="shared" si="32"/>
        <v>11.740617322229287</v>
      </c>
      <c r="G408" s="11">
        <f t="shared" si="33"/>
        <v>11.737970690641992</v>
      </c>
    </row>
    <row r="409" spans="5:7" x14ac:dyDescent="0.25">
      <c r="E409" s="11">
        <f t="shared" si="31"/>
        <v>97</v>
      </c>
      <c r="F409" s="11">
        <f t="shared" si="32"/>
        <v>11.907467363490909</v>
      </c>
      <c r="G409" s="11">
        <f t="shared" si="33"/>
        <v>11.902708456649407</v>
      </c>
    </row>
    <row r="410" spans="5:7" x14ac:dyDescent="0.25">
      <c r="E410" s="11">
        <f t="shared" si="31"/>
        <v>98</v>
      </c>
      <c r="F410" s="11">
        <f t="shared" si="32"/>
        <v>12.074656711779371</v>
      </c>
      <c r="G410" s="11">
        <f t="shared" si="33"/>
        <v>12.067847896157836</v>
      </c>
    </row>
    <row r="411" spans="5:7" x14ac:dyDescent="0.25">
      <c r="E411" s="11">
        <f t="shared" si="31"/>
        <v>99</v>
      </c>
      <c r="F411" s="11">
        <f t="shared" si="32"/>
        <v>12.242063674961537</v>
      </c>
      <c r="G411" s="11">
        <f t="shared" si="33"/>
        <v>12.233358111205661</v>
      </c>
    </row>
    <row r="412" spans="5:7" x14ac:dyDescent="0.25">
      <c r="E412" s="11">
        <f t="shared" si="31"/>
        <v>100</v>
      </c>
      <c r="F412" s="11">
        <f t="shared" si="32"/>
        <v>12.409552157020581</v>
      </c>
      <c r="G412" s="11">
        <f t="shared" si="33"/>
        <v>12.399208203831265</v>
      </c>
    </row>
    <row r="413" spans="5:7" x14ac:dyDescent="0.25">
      <c r="E413" s="11">
        <f t="shared" si="31"/>
        <v>101</v>
      </c>
      <c r="F413" s="11">
        <f t="shared" si="32"/>
        <v>12.576970559102673</v>
      </c>
      <c r="G413" s="11">
        <f t="shared" si="33"/>
        <v>12.565367276073033</v>
      </c>
    </row>
    <row r="414" spans="5:7" x14ac:dyDescent="0.25">
      <c r="E414" s="11">
        <f t="shared" si="31"/>
        <v>102</v>
      </c>
      <c r="F414" s="11">
        <f t="shared" si="32"/>
        <v>12.744150627964942</v>
      </c>
      <c r="G414" s="11">
        <f t="shared" si="33"/>
        <v>12.731804429969348</v>
      </c>
    </row>
    <row r="415" spans="5:7" x14ac:dyDescent="0.25">
      <c r="E415" s="11">
        <f t="shared" ref="E415:E422" si="34">E208</f>
        <v>103</v>
      </c>
      <c r="F415" s="11">
        <f t="shared" ref="F415:F422" si="35">$H$217*0+E415*$I$217+E415^2*$J$217+E415^3*$K$217+E415^4*$L$217+E415^5*$M$217+E415^6*$N$217+E415^7*$O$217+E415^8*$P$217</f>
        <v>12.910906250397208</v>
      </c>
      <c r="G415" s="11">
        <f t="shared" ref="G415:G422" si="36">F208</f>
        <v>12.898488767558593</v>
      </c>
    </row>
    <row r="416" spans="5:7" x14ac:dyDescent="0.25">
      <c r="E416" s="11">
        <f t="shared" si="34"/>
        <v>104</v>
      </c>
      <c r="F416" s="11">
        <f t="shared" si="35"/>
        <v>13.07703219217273</v>
      </c>
      <c r="G416" s="11">
        <f t="shared" si="36"/>
        <v>13.065389390879155</v>
      </c>
    </row>
    <row r="417" spans="5:7" x14ac:dyDescent="0.25">
      <c r="E417" s="11">
        <f t="shared" si="34"/>
        <v>105</v>
      </c>
      <c r="F417" s="11">
        <f t="shared" si="35"/>
        <v>13.242302780066542</v>
      </c>
      <c r="G417" s="11">
        <f t="shared" si="36"/>
        <v>13.232475401969413</v>
      </c>
    </row>
    <row r="418" spans="5:7" x14ac:dyDescent="0.25">
      <c r="E418" s="11">
        <f t="shared" si="34"/>
        <v>106</v>
      </c>
      <c r="F418" s="11">
        <f t="shared" si="35"/>
        <v>13.406470525462698</v>
      </c>
      <c r="G418" s="11">
        <f t="shared" si="36"/>
        <v>13.399715902867753</v>
      </c>
    </row>
    <row r="419" spans="5:7" x14ac:dyDescent="0.25">
      <c r="E419" s="11">
        <f t="shared" si="34"/>
        <v>107</v>
      </c>
      <c r="F419" s="11">
        <f t="shared" si="35"/>
        <v>13.569264688055082</v>
      </c>
      <c r="G419" s="11">
        <f t="shared" si="36"/>
        <v>13.567079995612559</v>
      </c>
    </row>
    <row r="420" spans="5:7" x14ac:dyDescent="0.25">
      <c r="E420" s="11">
        <f t="shared" si="34"/>
        <v>108</v>
      </c>
      <c r="F420" s="11">
        <f t="shared" si="35"/>
        <v>13.730389778129332</v>
      </c>
      <c r="G420" s="11">
        <f t="shared" si="36"/>
        <v>13.734536782242214</v>
      </c>
    </row>
    <row r="421" spans="5:7" x14ac:dyDescent="0.25">
      <c r="E421" s="11">
        <f t="shared" si="34"/>
        <v>109</v>
      </c>
      <c r="F421" s="11">
        <f t="shared" si="35"/>
        <v>13.889523995896345</v>
      </c>
      <c r="G421" s="11">
        <f t="shared" si="36"/>
        <v>13.902055364795102</v>
      </c>
    </row>
    <row r="422" spans="5:7" x14ac:dyDescent="0.25">
      <c r="E422" s="11">
        <f t="shared" si="34"/>
        <v>110</v>
      </c>
      <c r="F422" s="11">
        <f t="shared" si="35"/>
        <v>14.046317606331215</v>
      </c>
      <c r="G422" s="11">
        <f t="shared" si="36"/>
        <v>14.069604845309605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2022-01-09T08:49:04Z</dcterms:modified>
</cp:coreProperties>
</file>