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1" activeTab="1"/>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bestimmen'!$E$126:$H$126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N122" i="43" l="1"/>
  <c r="O33" i="11"/>
  <c r="N33" i="11"/>
  <c r="P33" i="11" s="1"/>
  <c r="O32" i="11"/>
  <c r="N32" i="11"/>
  <c r="O31" i="11"/>
  <c r="N31" i="11"/>
  <c r="P31" i="11" s="1"/>
  <c r="O30" i="11"/>
  <c r="N30" i="11"/>
  <c r="P30" i="11" s="1"/>
  <c r="O29" i="11"/>
  <c r="N29" i="11"/>
  <c r="P29" i="11" s="1"/>
  <c r="O28" i="11"/>
  <c r="N28" i="11"/>
  <c r="P28" i="11" s="1"/>
  <c r="P27" i="11"/>
  <c r="O27" i="11"/>
  <c r="N27" i="11"/>
  <c r="O26" i="11"/>
  <c r="N26" i="11"/>
  <c r="O25" i="11"/>
  <c r="P25" i="11" s="1"/>
  <c r="N25" i="11"/>
  <c r="O24" i="11"/>
  <c r="N24" i="11"/>
  <c r="P24" i="11" s="1"/>
  <c r="O23" i="11"/>
  <c r="N23" i="11"/>
  <c r="P23" i="11" s="1"/>
  <c r="O22" i="11"/>
  <c r="N22" i="11"/>
  <c r="P22" i="11" s="1"/>
  <c r="O21" i="11"/>
  <c r="N21" i="11"/>
  <c r="P21" i="11" s="1"/>
  <c r="O20" i="11"/>
  <c r="N20" i="11"/>
  <c r="O19" i="11"/>
  <c r="P19" i="11" s="1"/>
  <c r="N19" i="11"/>
  <c r="O18" i="11"/>
  <c r="N18" i="11"/>
  <c r="P18" i="11" s="1"/>
  <c r="O17" i="11"/>
  <c r="N17" i="11"/>
  <c r="P17" i="11" s="1"/>
  <c r="O16" i="11"/>
  <c r="N16" i="11"/>
  <c r="P16" i="11" s="1"/>
  <c r="P15" i="11"/>
  <c r="O15" i="11"/>
  <c r="N15" i="11"/>
  <c r="O14" i="11"/>
  <c r="N14" i="11"/>
  <c r="O13" i="11"/>
  <c r="P13" i="11" s="1"/>
  <c r="N13" i="11"/>
  <c r="O12" i="11"/>
  <c r="N12" i="11"/>
  <c r="P12" i="11" s="1"/>
  <c r="O11" i="11"/>
  <c r="N11" i="11"/>
  <c r="P11" i="11" s="1"/>
  <c r="O10" i="11"/>
  <c r="N10" i="11"/>
  <c r="P10" i="11" s="1"/>
  <c r="P9" i="11"/>
  <c r="O9" i="11"/>
  <c r="N9" i="11"/>
  <c r="O8" i="11"/>
  <c r="N8" i="11"/>
  <c r="O7" i="11"/>
  <c r="P7" i="11" s="1"/>
  <c r="N7" i="11"/>
  <c r="O6" i="11"/>
  <c r="N6" i="11"/>
  <c r="P6" i="11" s="1"/>
  <c r="O5" i="11"/>
  <c r="N5" i="11"/>
  <c r="P5" i="11" s="1"/>
  <c r="O4" i="11"/>
  <c r="N4" i="11"/>
  <c r="P4" i="11" s="1"/>
  <c r="P3" i="11"/>
  <c r="O3" i="11"/>
  <c r="N3" i="11"/>
  <c r="P14" i="11" l="1"/>
  <c r="P26"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R8" i="37"/>
  <c r="R9" i="37"/>
  <c r="P7" i="37" s="1"/>
  <c r="R10" i="37"/>
  <c r="R11" i="37"/>
  <c r="R12" i="37"/>
  <c r="R13" i="37"/>
  <c r="P9" i="37" s="1"/>
  <c r="B33" i="39" s="1"/>
  <c r="R14" i="37"/>
  <c r="R3" i="37"/>
  <c r="L4" i="37"/>
  <c r="L5" i="37"/>
  <c r="L6" i="37"/>
  <c r="L7" i="37"/>
  <c r="L8" i="37"/>
  <c r="L9" i="37"/>
  <c r="L10" i="37"/>
  <c r="L11" i="37"/>
  <c r="L12" i="37"/>
  <c r="L13" i="37"/>
  <c r="L14" i="37"/>
  <c r="L3" i="37"/>
  <c r="P6" i="37" l="1"/>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G403" i="43"/>
  <c r="B403" i="43"/>
  <c r="H403" i="43"/>
  <c r="C403" i="43"/>
  <c r="D403" i="43"/>
  <c r="E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D406" i="43" l="1"/>
  <c r="D411" i="43"/>
  <c r="D416" i="43"/>
  <c r="D423" i="43"/>
  <c r="D428" i="43"/>
  <c r="D404" i="43"/>
  <c r="D414" i="43"/>
  <c r="D418" i="43"/>
  <c r="D427" i="43"/>
  <c r="D410" i="43"/>
  <c r="D412" i="43"/>
  <c r="D431" i="43"/>
  <c r="D405" i="43"/>
  <c r="D415" i="43"/>
  <c r="D424" i="43"/>
  <c r="D419" i="43"/>
  <c r="D409" i="43"/>
  <c r="D421" i="43"/>
  <c r="D434" i="43"/>
  <c r="D407" i="43"/>
  <c r="D425" i="43"/>
  <c r="D429" i="43"/>
  <c r="D432" i="43"/>
  <c r="D420" i="43"/>
  <c r="D422" i="43"/>
  <c r="D408" i="43"/>
  <c r="D413" i="43"/>
  <c r="D433" i="43"/>
  <c r="D417" i="43"/>
  <c r="D426" i="43"/>
  <c r="D430" i="43"/>
  <c r="C406" i="43"/>
  <c r="C409" i="43"/>
  <c r="C421" i="43"/>
  <c r="C434" i="43"/>
  <c r="C410" i="43"/>
  <c r="C431" i="43"/>
  <c r="C405" i="43"/>
  <c r="C424" i="43"/>
  <c r="C419" i="43"/>
  <c r="C428" i="43"/>
  <c r="C404" i="43"/>
  <c r="C407" i="43"/>
  <c r="C414" i="43"/>
  <c r="C418" i="43"/>
  <c r="C425" i="43"/>
  <c r="C427" i="43"/>
  <c r="C429" i="43"/>
  <c r="C432" i="43"/>
  <c r="C412" i="43"/>
  <c r="C420" i="43"/>
  <c r="C422" i="43"/>
  <c r="C408" i="43"/>
  <c r="C415" i="43"/>
  <c r="C433" i="43"/>
  <c r="C417" i="43"/>
  <c r="C426" i="43"/>
  <c r="C430" i="43"/>
  <c r="C423" i="43"/>
  <c r="C413" i="43"/>
  <c r="C411" i="43"/>
  <c r="C416" i="43"/>
  <c r="H434" i="43"/>
  <c r="H418" i="43"/>
  <c r="H415" i="43"/>
  <c r="H410" i="43"/>
  <c r="H424" i="43"/>
  <c r="H405" i="43"/>
  <c r="H426" i="43"/>
  <c r="H420" i="43"/>
  <c r="H419" i="43"/>
  <c r="H417" i="43"/>
  <c r="H414" i="43"/>
  <c r="H430" i="43"/>
  <c r="H423" i="43"/>
  <c r="H431" i="43"/>
  <c r="H406" i="43"/>
  <c r="H416" i="43"/>
  <c r="H404" i="43"/>
  <c r="H413" i="43"/>
  <c r="H427" i="43"/>
  <c r="H409" i="43"/>
  <c r="H422" i="43"/>
  <c r="H421" i="43"/>
  <c r="H428" i="43"/>
  <c r="H408" i="43"/>
  <c r="H433" i="43"/>
  <c r="H429" i="43"/>
  <c r="H432" i="43"/>
  <c r="H412" i="43"/>
  <c r="H425" i="43"/>
  <c r="H407" i="43"/>
  <c r="H411" i="43"/>
  <c r="B405" i="43"/>
  <c r="B424" i="43"/>
  <c r="B425" i="43"/>
  <c r="B413" i="43"/>
  <c r="B414" i="43"/>
  <c r="B408" i="43"/>
  <c r="B426" i="43"/>
  <c r="B421" i="43"/>
  <c r="B415" i="43"/>
  <c r="B417" i="43"/>
  <c r="B409" i="43"/>
  <c r="B406" i="43"/>
  <c r="B429" i="43"/>
  <c r="B411" i="43"/>
  <c r="B416" i="43"/>
  <c r="B432" i="43"/>
  <c r="B404" i="43"/>
  <c r="B428" i="43"/>
  <c r="B420" i="43"/>
  <c r="B433" i="43"/>
  <c r="B412" i="43"/>
  <c r="B410" i="43"/>
  <c r="B407" i="43"/>
  <c r="B431" i="43"/>
  <c r="B427" i="43"/>
  <c r="B434" i="43"/>
  <c r="B430" i="43"/>
  <c r="B423" i="43"/>
  <c r="B418" i="43"/>
  <c r="B419" i="43"/>
  <c r="B422" i="43"/>
  <c r="G410" i="43"/>
  <c r="G413" i="43"/>
  <c r="G431" i="43"/>
  <c r="G416" i="43"/>
  <c r="G434" i="43"/>
  <c r="G428" i="43"/>
  <c r="G429" i="43"/>
  <c r="G411" i="43"/>
  <c r="G427" i="43"/>
  <c r="G409" i="43"/>
  <c r="G404" i="43"/>
  <c r="G432" i="43"/>
  <c r="G422" i="43"/>
  <c r="G426" i="43"/>
  <c r="G408" i="43"/>
  <c r="G424" i="43"/>
  <c r="G412" i="43"/>
  <c r="G406" i="43"/>
  <c r="G419" i="43"/>
  <c r="G423" i="43"/>
  <c r="G405" i="43"/>
  <c r="G421" i="43"/>
  <c r="G420" i="43"/>
  <c r="G418" i="43"/>
  <c r="G425" i="43"/>
  <c r="G430" i="43"/>
  <c r="G407" i="43"/>
  <c r="G417" i="43"/>
  <c r="G433" i="43"/>
  <c r="G415" i="43"/>
  <c r="G414" i="43"/>
  <c r="E405" i="43"/>
  <c r="E406" i="43"/>
  <c r="E417" i="43"/>
  <c r="E419" i="43"/>
  <c r="E426" i="43"/>
  <c r="E430" i="43"/>
  <c r="E434" i="43"/>
  <c r="E427" i="43"/>
  <c r="E410" i="43"/>
  <c r="E420" i="43"/>
  <c r="E431" i="43"/>
  <c r="E415" i="43"/>
  <c r="E424" i="43"/>
  <c r="E411" i="43"/>
  <c r="E416" i="43"/>
  <c r="E423" i="43"/>
  <c r="E404" i="43"/>
  <c r="E418" i="43"/>
  <c r="E425" i="43"/>
  <c r="E429" i="43"/>
  <c r="E422" i="43"/>
  <c r="E408" i="43"/>
  <c r="E413" i="43"/>
  <c r="E433" i="43"/>
  <c r="E428" i="43"/>
  <c r="E414" i="43"/>
  <c r="E421" i="43"/>
  <c r="E409" i="43"/>
  <c r="E432" i="43"/>
  <c r="E412" i="43"/>
  <c r="E407" i="43"/>
  <c r="F415" i="43"/>
  <c r="F424" i="43"/>
  <c r="F423" i="43"/>
  <c r="F434" i="43"/>
  <c r="F427" i="43"/>
  <c r="F410" i="43"/>
  <c r="F420" i="43"/>
  <c r="F431" i="43"/>
  <c r="F419" i="43"/>
  <c r="F430" i="43"/>
  <c r="F416" i="43"/>
  <c r="F404" i="43"/>
  <c r="F421" i="43"/>
  <c r="F425" i="43"/>
  <c r="F426" i="43"/>
  <c r="F412" i="43"/>
  <c r="F417" i="43"/>
  <c r="F414" i="43"/>
  <c r="F422" i="43"/>
  <c r="F411" i="43"/>
  <c r="F405" i="43"/>
  <c r="F413" i="43"/>
  <c r="F432" i="43"/>
  <c r="F418" i="43"/>
  <c r="F409" i="43"/>
  <c r="F428" i="43"/>
  <c r="F429" i="43"/>
  <c r="F406" i="43"/>
  <c r="F408" i="43"/>
  <c r="F407" i="43"/>
  <c r="F433"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Y286" i="43" l="1"/>
  <c r="M427" i="43"/>
  <c r="AF286" i="43"/>
  <c r="M434" i="43"/>
  <c r="R286" i="43"/>
  <c r="M420" i="43"/>
  <c r="N247" i="43"/>
  <c r="L416" i="43"/>
  <c r="Y247" i="43"/>
  <c r="L427" i="43"/>
  <c r="Y169" i="43"/>
  <c r="K427" i="43"/>
  <c r="G208" i="43"/>
  <c r="K409" i="43"/>
  <c r="Z169" i="43"/>
  <c r="K428" i="43"/>
  <c r="N169" i="43"/>
  <c r="K416" i="43"/>
  <c r="H169" i="43"/>
  <c r="K410" i="43"/>
  <c r="K208" i="43"/>
  <c r="K413" i="43"/>
  <c r="R169" i="43"/>
  <c r="K420" i="43"/>
  <c r="F169" i="43"/>
  <c r="K408" i="43"/>
  <c r="D169" i="43"/>
  <c r="K406" i="43"/>
  <c r="AD169" i="43"/>
  <c r="K432" i="43"/>
  <c r="L169" i="43"/>
  <c r="K414"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V247" i="43"/>
  <c r="L424" i="43"/>
  <c r="M247" i="43"/>
  <c r="L415" i="43"/>
  <c r="AE247" i="43"/>
  <c r="L433" i="43"/>
  <c r="D247" i="43"/>
  <c r="L406" i="43"/>
  <c r="J130" i="43"/>
  <c r="J412" i="43"/>
  <c r="AD130" i="43"/>
  <c r="J432" i="43"/>
  <c r="M130" i="43"/>
  <c r="J415" i="43"/>
  <c r="AE130" i="43"/>
  <c r="J433" i="43"/>
  <c r="AC130" i="43"/>
  <c r="J431" i="43"/>
  <c r="I130" i="43"/>
  <c r="J411" i="43"/>
  <c r="N130" i="43"/>
  <c r="J416" i="43"/>
  <c r="E130" i="43"/>
  <c r="J407" i="43"/>
  <c r="AB130" i="43"/>
  <c r="J430" i="43"/>
  <c r="O130" i="43"/>
  <c r="J417" i="43"/>
  <c r="Z130" i="43"/>
  <c r="J428" i="43"/>
  <c r="S130" i="43"/>
  <c r="J421" i="43"/>
  <c r="W130" i="43"/>
  <c r="J425" i="43"/>
  <c r="D130" i="43"/>
  <c r="J406" i="43"/>
  <c r="AF130" i="43"/>
  <c r="J434" i="43"/>
  <c r="T130" i="43"/>
  <c r="J422" i="43"/>
  <c r="P130" i="43"/>
  <c r="J418" i="43"/>
  <c r="R130" i="43"/>
  <c r="J420" i="43"/>
  <c r="C130" i="43"/>
  <c r="J405" i="43"/>
  <c r="V130" i="43"/>
  <c r="J424" i="43"/>
  <c r="K130" i="43"/>
  <c r="J413" i="43"/>
  <c r="Q130" i="43"/>
  <c r="J419" i="43"/>
  <c r="L130" i="43"/>
  <c r="J414" i="43"/>
  <c r="Y130" i="43"/>
  <c r="J427" i="43"/>
  <c r="G130" i="43"/>
  <c r="J409" i="43"/>
  <c r="X130" i="43"/>
  <c r="J426" i="43"/>
  <c r="F130" i="43"/>
  <c r="J408"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<sst xmlns="http://schemas.openxmlformats.org/spreadsheetml/2006/main" count="311" uniqueCount="164">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</sst>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11" fontId="0" fillId="2" borderId="0" xfId="0" applyNumberFormat="1"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-3.3858434285714286E-4</c:v>
                </c:pt>
                <c:pt idx="1">
                  <c:v>-3.4093037142857147E-4</c:v>
                </c:pt>
                <c:pt idx="2">
                  <c:v>-3.4955094285714285E-4</c:v>
                </c:pt>
                <c:pt idx="3">
                  <c:v>-3.5566291428571433E-4</c:v>
                </c:pt>
                <c:pt idx="4">
                  <c:v>-3.616018571428572E-4</c:v>
                </c:pt>
                <c:pt idx="5">
                  <c:v>-3.6839137142857147E-4</c:v>
                </c:pt>
                <c:pt idx="6">
                  <c:v>-3.7583788571428573E-4</c:v>
                </c:pt>
                <c:pt idx="7">
                  <c:v>-3.8479085714285716E-4</c:v>
                </c:pt>
                <c:pt idx="8">
                  <c:v>-3.9459005714285713E-4</c:v>
                </c:pt>
                <c:pt idx="9">
                  <c:v>-4.0621477142857142E-4</c:v>
                </c:pt>
                <c:pt idx="10">
                  <c:v>-4.1725674285714284E-4</c:v>
                </c:pt>
                <c:pt idx="11">
                  <c:v>-4.2975834285714288E-4</c:v>
                </c:pt>
                <c:pt idx="12">
                  <c:v>-4.4618285714285717E-4</c:v>
                </c:pt>
                <c:pt idx="13">
                  <c:v>-4.6606960000000004E-4</c:v>
                </c:pt>
                <c:pt idx="14">
                  <c:v>-4.8636480000000004E-4</c:v>
                </c:pt>
                <c:pt idx="15">
                  <c:v>-5.0396368571428577E-4</c:v>
                </c:pt>
                <c:pt idx="16">
                  <c:v>-5.2348714285714289E-4</c:v>
                </c:pt>
                <c:pt idx="17">
                  <c:v>-5.4381057142857138E-4</c:v>
                </c:pt>
                <c:pt idx="18">
                  <c:v>-5.6729200000000006E-4</c:v>
                </c:pt>
                <c:pt idx="19">
                  <c:v>-5.9286342857142857E-4</c:v>
                </c:pt>
                <c:pt idx="20">
                  <c:v>-6.3993217142857149E-4</c:v>
                </c:pt>
                <c:pt idx="21">
                  <c:v>-7.2384711428571426E-4</c:v>
                </c:pt>
                <c:pt idx="22">
                  <c:v>-8.4787879999999999E-4</c:v>
                </c:pt>
                <c:pt idx="23">
                  <c:v>-1.0044371142857143E-3</c:v>
                </c:pt>
                <c:pt idx="24">
                  <c:v>-1.2166804000000001E-3</c:v>
                </c:pt>
                <c:pt idx="25">
                  <c:v>-1.5274286285714288E-3</c:v>
                </c:pt>
                <c:pt idx="26">
                  <c:v>-2.0460255714285715E-3</c:v>
                </c:pt>
                <c:pt idx="27">
                  <c:v>-2.8050813428571434E-3</c:v>
                </c:pt>
                <c:pt idx="28">
                  <c:v>-3.8796105714285715E-3</c:v>
                </c:pt>
                <c:pt idx="29">
                  <c:v>-4.8738751428571434E-3</c:v>
                </c:pt>
                <c:pt idx="30">
                  <c:v>-5.7076408571428584E-3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-3.4412177142857143E-4</c:v>
                </c:pt>
                <c:pt idx="1">
                  <c:v>-3.5410982857142861E-4</c:v>
                </c:pt>
                <c:pt idx="2">
                  <c:v>-3.6013994285714293E-4</c:v>
                </c:pt>
                <c:pt idx="3">
                  <c:v>-3.6646617142857145E-4</c:v>
                </c:pt>
                <c:pt idx="4">
                  <c:v>-3.7350802857142863E-4</c:v>
                </c:pt>
                <c:pt idx="5">
                  <c:v>-3.8163354285714285E-4</c:v>
                </c:pt>
                <c:pt idx="6">
                  <c:v>-3.9091748571428575E-4</c:v>
                </c:pt>
                <c:pt idx="7">
                  <c:v>-4.0163102857142859E-4</c:v>
                </c:pt>
                <c:pt idx="8">
                  <c:v>-4.1311025714285714E-4</c:v>
                </c:pt>
                <c:pt idx="9">
                  <c:v>-4.2456862857142858E-4</c:v>
                </c:pt>
                <c:pt idx="10">
                  <c:v>-4.3862185714285717E-4</c:v>
                </c:pt>
                <c:pt idx="11">
                  <c:v>-4.5667805714285714E-4</c:v>
                </c:pt>
                <c:pt idx="12">
                  <c:v>-4.7721914285714286E-4</c:v>
                </c:pt>
                <c:pt idx="13">
                  <c:v>-4.9641780000000003E-4</c:v>
                </c:pt>
                <c:pt idx="14">
                  <c:v>-5.1476834285714293E-4</c:v>
                </c:pt>
                <c:pt idx="15">
                  <c:v>-5.3461854285714286E-4</c:v>
                </c:pt>
                <c:pt idx="16">
                  <c:v>-5.5646648571428578E-4</c:v>
                </c:pt>
                <c:pt idx="17">
                  <c:v>-5.8054137142857145E-4</c:v>
                </c:pt>
                <c:pt idx="18">
                  <c:v>-6.1604911428571438E-4</c:v>
                </c:pt>
                <c:pt idx="19">
                  <c:v>-6.8582380000000007E-4</c:v>
                </c:pt>
                <c:pt idx="20">
                  <c:v>-7.9257514285714279E-4</c:v>
                </c:pt>
                <c:pt idx="21">
                  <c:v>-9.293032000000001E-4</c:v>
                </c:pt>
                <c:pt idx="22">
                  <c:v>-1.1024778857142859E-3</c:v>
                </c:pt>
                <c:pt idx="23">
                  <c:v>-1.3449208571428572E-3</c:v>
                </c:pt>
                <c:pt idx="24">
                  <c:v>-1.7242072571428573E-3</c:v>
                </c:pt>
                <c:pt idx="25">
                  <c:v>-2.3387959142857147E-3</c:v>
                </c:pt>
                <c:pt idx="26">
                  <c:v>-3.2282211428571431E-3</c:v>
                </c:pt>
                <c:pt idx="27">
                  <c:v>-4.3318382857142866E-3</c:v>
                </c:pt>
                <c:pt idx="28">
                  <c:v>-5.2510288571428572E-3</c:v>
                </c:pt>
                <c:pt idx="29">
                  <c:v>-5.9256691428571434E-3</c:v>
                </c:pt>
                <c:pt idx="30">
                  <c:v>-6.321428285714286E-3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-3.5446654285714287E-4</c:v>
                </c:pt>
                <c:pt idx="1">
                  <c:v>-3.6198094285714287E-4</c:v>
                </c:pt>
                <c:pt idx="2">
                  <c:v>-3.6854320000000005E-4</c:v>
                </c:pt>
                <c:pt idx="3">
                  <c:v>-3.7567897142857143E-4</c:v>
                </c:pt>
                <c:pt idx="4">
                  <c:v>-3.8400511428571428E-4</c:v>
                </c:pt>
                <c:pt idx="5">
                  <c:v>-3.9338954285714287E-4</c:v>
                </c:pt>
                <c:pt idx="6">
                  <c:v>-4.0436445714285714E-4</c:v>
                </c:pt>
                <c:pt idx="7">
                  <c:v>-4.1580068571428572E-4</c:v>
                </c:pt>
                <c:pt idx="8">
                  <c:v>-4.274400285714286E-4</c:v>
                </c:pt>
                <c:pt idx="9">
                  <c:v>-4.4195080000000004E-4</c:v>
                </c:pt>
                <c:pt idx="10">
                  <c:v>-4.6043445714285717E-4</c:v>
                </c:pt>
                <c:pt idx="11">
                  <c:v>-4.8111651428571435E-4</c:v>
                </c:pt>
                <c:pt idx="12">
                  <c:v>-5.0005660000000001E-4</c:v>
                </c:pt>
                <c:pt idx="13">
                  <c:v>-5.1872391428571432E-4</c:v>
                </c:pt>
                <c:pt idx="14">
                  <c:v>-5.3867831428571432E-4</c:v>
                </c:pt>
                <c:pt idx="15">
                  <c:v>-5.6094102857142856E-4</c:v>
                </c:pt>
                <c:pt idx="16">
                  <c:v>-5.8476714285714292E-4</c:v>
                </c:pt>
                <c:pt idx="17">
                  <c:v>-6.1952425714285723E-4</c:v>
                </c:pt>
                <c:pt idx="18">
                  <c:v>-6.848605142857143E-4</c:v>
                </c:pt>
                <c:pt idx="19">
                  <c:v>-7.9147494285714286E-4</c:v>
                </c:pt>
                <c:pt idx="20">
                  <c:v>-9.3079459999999997E-4</c:v>
                </c:pt>
                <c:pt idx="21">
                  <c:v>-1.1103511428571429E-3</c:v>
                </c:pt>
                <c:pt idx="22">
                  <c:v>-1.3624052285714286E-3</c:v>
                </c:pt>
                <c:pt idx="23">
                  <c:v>-1.7606820000000002E-3</c:v>
                </c:pt>
                <c:pt idx="24">
                  <c:v>-2.3945662571428572E-3</c:v>
                </c:pt>
                <c:pt idx="25">
                  <c:v>-3.312309428571429E-3</c:v>
                </c:pt>
                <c:pt idx="26">
                  <c:v>-4.4061685714285714E-3</c:v>
                </c:pt>
                <c:pt idx="27">
                  <c:v>-5.319179714285715E-3</c:v>
                </c:pt>
                <c:pt idx="28">
                  <c:v>-5.9556611428571438E-3</c:v>
                </c:pt>
                <c:pt idx="29">
                  <c:v>-6.3544920000000006E-3</c:v>
                </c:pt>
                <c:pt idx="30">
                  <c:v>-6.6169728571428572E-3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-3.6163945714285718E-4</c:v>
                </c:pt>
                <c:pt idx="1">
                  <c:v>-3.6956534285714288E-4</c:v>
                </c:pt>
                <c:pt idx="2">
                  <c:v>-3.7684194285714283E-4</c:v>
                </c:pt>
                <c:pt idx="3">
                  <c:v>-3.8514522857142853E-4</c:v>
                </c:pt>
                <c:pt idx="4">
                  <c:v>-3.9454505714285712E-4</c:v>
                </c:pt>
                <c:pt idx="5">
                  <c:v>-4.054733428571429E-4</c:v>
                </c:pt>
                <c:pt idx="6">
                  <c:v>-4.1700088571428577E-4</c:v>
                </c:pt>
                <c:pt idx="7">
                  <c:v>-4.2863045714285715E-4</c:v>
                </c:pt>
                <c:pt idx="8">
                  <c:v>-4.4302511428571435E-4</c:v>
                </c:pt>
                <c:pt idx="9">
                  <c:v>-4.6143057142857143E-4</c:v>
                </c:pt>
                <c:pt idx="10">
                  <c:v>-4.8217617142857149E-4</c:v>
                </c:pt>
                <c:pt idx="11">
                  <c:v>-5.013431428571429E-4</c:v>
                </c:pt>
                <c:pt idx="12">
                  <c:v>-5.199761428571429E-4</c:v>
                </c:pt>
                <c:pt idx="13">
                  <c:v>-5.3999254285714291E-4</c:v>
                </c:pt>
                <c:pt idx="14">
                  <c:v>-5.6215660000000006E-4</c:v>
                </c:pt>
                <c:pt idx="15">
                  <c:v>-5.8580511428571436E-4</c:v>
                </c:pt>
                <c:pt idx="16">
                  <c:v>-6.1755054285714294E-4</c:v>
                </c:pt>
                <c:pt idx="17">
                  <c:v>-6.7451420000000004E-4</c:v>
                </c:pt>
                <c:pt idx="18">
                  <c:v>-7.7386777142857144E-4</c:v>
                </c:pt>
                <c:pt idx="19">
                  <c:v>-9.1107685714285716E-4</c:v>
                </c:pt>
                <c:pt idx="20">
                  <c:v>-1.0893183428571428E-3</c:v>
                </c:pt>
                <c:pt idx="21">
                  <c:v>-1.3385251714285716E-3</c:v>
                </c:pt>
                <c:pt idx="22">
                  <c:v>-1.7284236571428573E-3</c:v>
                </c:pt>
                <c:pt idx="23">
                  <c:v>-2.3549972571428575E-3</c:v>
                </c:pt>
                <c:pt idx="24">
                  <c:v>-3.2569482857142855E-3</c:v>
                </c:pt>
                <c:pt idx="25">
                  <c:v>-4.3552957142857143E-3</c:v>
                </c:pt>
                <c:pt idx="26">
                  <c:v>-5.2736577142857149E-3</c:v>
                </c:pt>
                <c:pt idx="27">
                  <c:v>-5.9309482857142866E-3</c:v>
                </c:pt>
                <c:pt idx="28">
                  <c:v>-6.3319302857142868E-3</c:v>
                </c:pt>
                <c:pt idx="29">
                  <c:v>-6.602536E-3</c:v>
                </c:pt>
                <c:pt idx="30">
                  <c:v>-6.7862760000000008E-3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-3.7102085714285719E-4</c:v>
                </c:pt>
                <c:pt idx="1">
                  <c:v>-3.8034474285714284E-4</c:v>
                </c:pt>
                <c:pt idx="2">
                  <c:v>-3.8924577142857144E-4</c:v>
                </c:pt>
                <c:pt idx="3">
                  <c:v>-3.9889357142857144E-4</c:v>
                </c:pt>
                <c:pt idx="4">
                  <c:v>-4.1038048571428575E-4</c:v>
                </c:pt>
                <c:pt idx="5">
                  <c:v>-4.217628285714286E-4</c:v>
                </c:pt>
                <c:pt idx="6">
                  <c:v>-4.3382928571428572E-4</c:v>
                </c:pt>
                <c:pt idx="7">
                  <c:v>-4.4930708571428579E-4</c:v>
                </c:pt>
                <c:pt idx="8">
                  <c:v>-4.6866885714285717E-4</c:v>
                </c:pt>
                <c:pt idx="9">
                  <c:v>-4.8960165714285716E-4</c:v>
                </c:pt>
                <c:pt idx="10">
                  <c:v>-5.0809248571428577E-4</c:v>
                </c:pt>
                <c:pt idx="11">
                  <c:v>-5.2741137142857148E-4</c:v>
                </c:pt>
                <c:pt idx="12">
                  <c:v>-5.4764948571428573E-4</c:v>
                </c:pt>
                <c:pt idx="13">
                  <c:v>-5.7073894285714283E-4</c:v>
                </c:pt>
                <c:pt idx="14">
                  <c:v>-5.9431514285714288E-4</c:v>
                </c:pt>
                <c:pt idx="15">
                  <c:v>-6.2743337142857154E-4</c:v>
                </c:pt>
                <c:pt idx="16">
                  <c:v>-6.7927885714285719E-4</c:v>
                </c:pt>
                <c:pt idx="17">
                  <c:v>-7.7574680000000007E-4</c:v>
                </c:pt>
                <c:pt idx="18">
                  <c:v>-9.1759265714285723E-4</c:v>
                </c:pt>
                <c:pt idx="19">
                  <c:v>-1.1109637142857143E-3</c:v>
                </c:pt>
                <c:pt idx="20">
                  <c:v>-1.384965342857143E-3</c:v>
                </c:pt>
                <c:pt idx="21">
                  <c:v>-1.8246440571428573E-3</c:v>
                </c:pt>
                <c:pt idx="22">
                  <c:v>-2.5012873714285715E-3</c:v>
                </c:pt>
                <c:pt idx="23">
                  <c:v>-3.4749714285714287E-3</c:v>
                </c:pt>
                <c:pt idx="24">
                  <c:v>-4.540344571428572E-3</c:v>
                </c:pt>
                <c:pt idx="25">
                  <c:v>-5.441729714285715E-3</c:v>
                </c:pt>
                <c:pt idx="26">
                  <c:v>-6.005448E-3</c:v>
                </c:pt>
                <c:pt idx="27">
                  <c:v>-6.4124148571428575E-3</c:v>
                </c:pt>
                <c:pt idx="28">
                  <c:v>-6.6409679999999997E-3</c:v>
                </c:pt>
                <c:pt idx="29">
                  <c:v>-6.818763142857143E-3</c:v>
                </c:pt>
                <c:pt idx="30">
                  <c:v>-7.1517714285714296E-3</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-3.9563245714285719E-4</c:v>
                </c:pt>
                <c:pt idx="1">
                  <c:v>-4.086534285714286E-4</c:v>
                </c:pt>
                <c:pt idx="2">
                  <c:v>-4.2072582857142864E-4</c:v>
                </c:pt>
                <c:pt idx="3">
                  <c:v>-4.3236028571428574E-4</c:v>
                </c:pt>
                <c:pt idx="4">
                  <c:v>-4.4637860000000008E-4</c:v>
                </c:pt>
                <c:pt idx="5">
                  <c:v>-4.645165714285715E-4</c:v>
                </c:pt>
                <c:pt idx="6">
                  <c:v>-4.8544591428571429E-4</c:v>
                </c:pt>
                <c:pt idx="7">
                  <c:v>-5.0537397142857141E-4</c:v>
                </c:pt>
                <c:pt idx="8">
                  <c:v>-5.2389622857142853E-4</c:v>
                </c:pt>
                <c:pt idx="9">
                  <c:v>-5.4413225714285715E-4</c:v>
                </c:pt>
                <c:pt idx="10">
                  <c:v>-5.6601757142857149E-4</c:v>
                </c:pt>
                <c:pt idx="11">
                  <c:v>-5.8979734285714283E-4</c:v>
                </c:pt>
                <c:pt idx="12">
                  <c:v>-6.1714557142857149E-4</c:v>
                </c:pt>
                <c:pt idx="13">
                  <c:v>-6.5362168571428576E-4</c:v>
                </c:pt>
                <c:pt idx="14">
                  <c:v>-6.9951957142857146E-4</c:v>
                </c:pt>
                <c:pt idx="15">
                  <c:v>-7.739219714285716E-4</c:v>
                </c:pt>
                <c:pt idx="16">
                  <c:v>-9.1317117142857148E-4</c:v>
                </c:pt>
                <c:pt idx="17">
                  <c:v>-1.1436928E-3</c:v>
                </c:pt>
                <c:pt idx="18">
                  <c:v>-1.5037889428571431E-3</c:v>
                </c:pt>
                <c:pt idx="19">
                  <c:v>-2.0861996285714288E-3</c:v>
                </c:pt>
                <c:pt idx="20">
                  <c:v>-2.927647142857143E-3</c:v>
                </c:pt>
                <c:pt idx="21">
                  <c:v>-4.0266440000000002E-3</c:v>
                </c:pt>
                <c:pt idx="22">
                  <c:v>-4.9830545714285718E-3</c:v>
                </c:pt>
                <c:pt idx="23">
                  <c:v>-5.7374362857142867E-3</c:v>
                </c:pt>
                <c:pt idx="24">
                  <c:v>-6.1724285714285718E-3</c:v>
                </c:pt>
                <c:pt idx="25">
                  <c:v>-6.5362099999999998E-3</c:v>
                </c:pt>
                <c:pt idx="26">
                  <c:v>-6.6916345714285721E-3</c:v>
                </c:pt>
                <c:pt idx="27">
                  <c:v>-6.9259671428571435E-3</c:v>
                </c:pt>
                <c:pt idx="28">
                  <c:v>-7.2774937142857151E-3</c:v>
                </c:pt>
                <c:pt idx="29">
                  <c:v>-7.315386000000001E-3</c:v>
                </c:pt>
                <c:pt idx="30">
                  <c:v>-7.3200740000000011E-3</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-4.2592588571428573E-4</c:v>
                </c:pt>
                <c:pt idx="1">
                  <c:v>-4.4173671428571437E-4</c:v>
                </c:pt>
                <c:pt idx="2">
                  <c:v>-4.5842468571428578E-4</c:v>
                </c:pt>
                <c:pt idx="3">
                  <c:v>-4.7865331428571431E-4</c:v>
                </c:pt>
                <c:pt idx="4">
                  <c:v>-4.9986257142857146E-4</c:v>
                </c:pt>
                <c:pt idx="5">
                  <c:v>-5.1824708571428571E-4</c:v>
                </c:pt>
                <c:pt idx="6">
                  <c:v>-5.3819122857142864E-4</c:v>
                </c:pt>
                <c:pt idx="7">
                  <c:v>-5.5889188571428571E-4</c:v>
                </c:pt>
                <c:pt idx="8">
                  <c:v>-5.8272757142857146E-4</c:v>
                </c:pt>
                <c:pt idx="9">
                  <c:v>-6.0672511428571426E-4</c:v>
                </c:pt>
                <c:pt idx="10">
                  <c:v>-6.4014900000000001E-4</c:v>
                </c:pt>
                <c:pt idx="11">
                  <c:v>-6.7953131428571435E-4</c:v>
                </c:pt>
                <c:pt idx="12">
                  <c:v>-7.3200837142857141E-4</c:v>
                </c:pt>
                <c:pt idx="13">
                  <c:v>-8.0294425714285713E-4</c:v>
                </c:pt>
                <c:pt idx="14">
                  <c:v>-9.1868368571428581E-4</c:v>
                </c:pt>
                <c:pt idx="15">
                  <c:v>-1.1386530000000001E-3</c:v>
                </c:pt>
                <c:pt idx="16">
                  <c:v>-1.5586144E-3</c:v>
                </c:pt>
                <c:pt idx="17">
                  <c:v>-2.2155535142857146E-3</c:v>
                </c:pt>
                <c:pt idx="18">
                  <c:v>-3.1730811428571431E-3</c:v>
                </c:pt>
                <c:pt idx="19">
                  <c:v>-4.2031974285714289E-3</c:v>
                </c:pt>
                <c:pt idx="20">
                  <c:v>-5.1432511428571434E-3</c:v>
                </c:pt>
                <c:pt idx="21">
                  <c:v>-5.7413314285714289E-3</c:v>
                </c:pt>
                <c:pt idx="22">
                  <c:v>-6.2392011428571426E-3</c:v>
                </c:pt>
                <c:pt idx="23">
                  <c:v>-6.5440177142857148E-3</c:v>
                </c:pt>
                <c:pt idx="24">
                  <c:v>-6.6851005714285722E-3</c:v>
                </c:pt>
                <c:pt idx="25">
                  <c:v>-7.1206405714285721E-3</c:v>
                </c:pt>
                <c:pt idx="26">
                  <c:v>-7.2605777142857146E-3</c:v>
                </c:pt>
                <c:pt idx="27">
                  <c:v>-7.3119360000000007E-3</c:v>
                </c:pt>
                <c:pt idx="28">
                  <c:v>-7.3189177142857151E-3</c:v>
                </c:pt>
                <c:pt idx="29">
                  <c:v>-7.3578197142857155E-3</c:v>
                </c:pt>
                <c:pt idx="30">
                  <c:v>-7.3748585714285718E-3</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590777352"/>
        <c:axId val="59077696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9077735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0776960"/>
        <c:crossesAt val="-8.0000000000000019E-3"/>
        <c:crossBetween val="midCat"/>
      </c:valAx>
      <c:valAx>
        <c:axId val="5907769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07773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29534.738421791844</c:v>
                </c:pt>
                <c:pt idx="1">
                  <c:v>29331.502377150657</c:v>
                </c:pt>
                <c:pt idx="2">
                  <c:v>28608.133390407922</c:v>
                </c:pt>
                <c:pt idx="3">
                  <c:v>28116.510320124944</c:v>
                </c:pt>
                <c:pt idx="4">
                  <c:v>27654.725224625501</c:v>
                </c:pt>
                <c:pt idx="5">
                  <c:v>27145.044036241579</c:v>
                </c:pt>
                <c:pt idx="6">
                  <c:v>26607.216515692253</c:v>
                </c:pt>
                <c:pt idx="7">
                  <c:v>25988.143466432226</c:v>
                </c:pt>
                <c:pt idx="8">
                  <c:v>25342.757170334899</c:v>
                </c:pt>
                <c:pt idx="9">
                  <c:v>24617.519360096423</c:v>
                </c:pt>
                <c:pt idx="10">
                  <c:v>23966.059677131983</c:v>
                </c:pt>
                <c:pt idx="11">
                  <c:v>23268.890915572352</c:v>
                </c:pt>
                <c:pt idx="12">
                  <c:v>22412.335749596576</c:v>
                </c:pt>
                <c:pt idx="13">
                  <c:v>21456.022877269832</c:v>
                </c:pt>
                <c:pt idx="14">
                  <c:v>20560.698471599917</c:v>
                </c:pt>
                <c:pt idx="15">
                  <c:v>19842.6995505175</c:v>
                </c:pt>
                <c:pt idx="16">
                  <c:v>19102.665913475837</c:v>
                </c:pt>
                <c:pt idx="17">
                  <c:v>18388.756168770953</c:v>
                </c:pt>
                <c:pt idx="18">
                  <c:v>17627.606241582816</c:v>
                </c:pt>
                <c:pt idx="19">
                  <c:v>16867.291045588914</c:v>
                </c:pt>
                <c:pt idx="20">
                  <c:v>15626.656146504096</c:v>
                </c:pt>
                <c:pt idx="21">
                  <c:v>13815.071998826588</c:v>
                </c:pt>
                <c:pt idx="22">
                  <c:v>11794.138501870786</c:v>
                </c:pt>
                <c:pt idx="23">
                  <c:v>9955.8248672554309</c:v>
                </c:pt>
                <c:pt idx="24">
                  <c:v>8219.0853078589898</c:v>
                </c:pt>
                <c:pt idx="25">
                  <c:v>6546.9507464664885</c:v>
                </c:pt>
                <c:pt idx="26">
                  <c:v>4887.5244472227305</c:v>
                </c:pt>
                <c:pt idx="27">
                  <c:v>3564.9590075040037</c:v>
                </c:pt>
                <c:pt idx="28">
                  <c:v>2577.5782944930334</c:v>
                </c:pt>
                <c:pt idx="29">
                  <c:v>2051.755473189623</c:v>
                </c:pt>
                <c:pt idx="30">
                  <c:v>1752.0373566401686</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29059.480771839735</c:v>
                </c:pt>
                <c:pt idx="1">
                  <c:v>28239.826158857573</c:v>
                </c:pt>
                <c:pt idx="2">
                  <c:v>27766.983913713535</c:v>
                </c:pt>
                <c:pt idx="3">
                  <c:v>27287.64830057204</c:v>
                </c:pt>
                <c:pt idx="4">
                  <c:v>26773.186210340398</c:v>
                </c:pt>
                <c:pt idx="5">
                  <c:v>26203.147462180248</c:v>
                </c:pt>
                <c:pt idx="6">
                  <c:v>25580.845998044744</c:v>
                </c:pt>
                <c:pt idx="7">
                  <c:v>24898.474690985029</c:v>
                </c:pt>
                <c:pt idx="8">
                  <c:v>24206.612707129934</c:v>
                </c:pt>
                <c:pt idx="9">
                  <c:v>23553.318184736345</c:v>
                </c:pt>
                <c:pt idx="10">
                  <c:v>22798.681454542846</c:v>
                </c:pt>
                <c:pt idx="11">
                  <c:v>21897.264043215939</c:v>
                </c:pt>
                <c:pt idx="12">
                  <c:v>20954.733584510741</c:v>
                </c:pt>
                <c:pt idx="13">
                  <c:v>20144.321980396351</c:v>
                </c:pt>
                <c:pt idx="14">
                  <c:v>19426.214021819076</c:v>
                </c:pt>
                <c:pt idx="15">
                  <c:v>18704.925471827737</c:v>
                </c:pt>
                <c:pt idx="16">
                  <c:v>17970.53417720908</c:v>
                </c:pt>
                <c:pt idx="17">
                  <c:v>17225.301231146415</c:v>
                </c:pt>
                <c:pt idx="18">
                  <c:v>16232.472002812019</c:v>
                </c:pt>
                <c:pt idx="19">
                  <c:v>14581.004625386286</c:v>
                </c:pt>
                <c:pt idx="20">
                  <c:v>12617.100208254253</c:v>
                </c:pt>
                <c:pt idx="21">
                  <c:v>10760.750635529932</c:v>
                </c:pt>
                <c:pt idx="22">
                  <c:v>9070.4767230057278</c:v>
                </c:pt>
                <c:pt idx="23">
                  <c:v>7435.3817526809325</c:v>
                </c:pt>
                <c:pt idx="24">
                  <c:v>5799.7667963483473</c:v>
                </c:pt>
                <c:pt idx="25">
                  <c:v>4275.7044079470579</c:v>
                </c:pt>
                <c:pt idx="26">
                  <c:v>3097.6812174489019</c:v>
                </c:pt>
                <c:pt idx="27">
                  <c:v>2308.4887616830961</c:v>
                </c:pt>
                <c:pt idx="28">
                  <c:v>1904.3886963975115</c:v>
                </c:pt>
                <c:pt idx="29">
                  <c:v>1687.5731261597846</c:v>
                </c:pt>
                <c:pt idx="30">
                  <c:v>1581.9209754540552</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28211.407258343705</c:v>
                </c:pt>
                <c:pt idx="1">
                  <c:v>27625.763724104498</c:v>
                </c:pt>
                <c:pt idx="2">
                  <c:v>27133.861105021064</c:v>
                </c:pt>
                <c:pt idx="3">
                  <c:v>26618.471515649682</c:v>
                </c:pt>
                <c:pt idx="4">
                  <c:v>26041.319836588485</c:v>
                </c:pt>
                <c:pt idx="5">
                  <c:v>25420.096140256177</c:v>
                </c:pt>
                <c:pt idx="6">
                  <c:v>24730.16562993102</c:v>
                </c:pt>
                <c:pt idx="7">
                  <c:v>24049.98438812442</c:v>
                </c:pt>
                <c:pt idx="8">
                  <c:v>23395.094823995692</c:v>
                </c:pt>
                <c:pt idx="9">
                  <c:v>22626.953045452115</c:v>
                </c:pt>
                <c:pt idx="10">
                  <c:v>21718.61780730572</c:v>
                </c:pt>
                <c:pt idx="11">
                  <c:v>20784.985971322181</c:v>
                </c:pt>
                <c:pt idx="12">
                  <c:v>19997.73625625579</c:v>
                </c:pt>
                <c:pt idx="13">
                  <c:v>19278.077845649463</c:v>
                </c:pt>
                <c:pt idx="14">
                  <c:v>18563.955026219995</c:v>
                </c:pt>
                <c:pt idx="15">
                  <c:v>17827.185908414311</c:v>
                </c:pt>
                <c:pt idx="16">
                  <c:v>17100.824015420054</c:v>
                </c:pt>
                <c:pt idx="17">
                  <c:v>16141.418006969308</c:v>
                </c:pt>
                <c:pt idx="18">
                  <c:v>14601.513434351888</c:v>
                </c:pt>
                <c:pt idx="19">
                  <c:v>12634.638771887119</c:v>
                </c:pt>
                <c:pt idx="20">
                  <c:v>10743.508825685065</c:v>
                </c:pt>
                <c:pt idx="21">
                  <c:v>9006.1599560911109</c:v>
                </c:pt>
                <c:pt idx="22">
                  <c:v>7339.9600869747519</c:v>
                </c:pt>
                <c:pt idx="23">
                  <c:v>5679.6173301027666</c:v>
                </c:pt>
                <c:pt idx="24">
                  <c:v>4176.1216546715132</c:v>
                </c:pt>
                <c:pt idx="25">
                  <c:v>3019.0416130032017</c:v>
                </c:pt>
                <c:pt idx="26">
                  <c:v>2269.5454878517717</c:v>
                </c:pt>
                <c:pt idx="27">
                  <c:v>1879.989121845801</c:v>
                </c:pt>
                <c:pt idx="28">
                  <c:v>1679.0747089419935</c:v>
                </c:pt>
                <c:pt idx="29">
                  <c:v>1573.6899188794318</c:v>
                </c:pt>
                <c:pt idx="30">
                  <c:v>1511.2650778377078</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27651.849936412593</c:v>
                </c:pt>
                <c:pt idx="1">
                  <c:v>27058.814343057988</c:v>
                </c:pt>
                <c:pt idx="2">
                  <c:v>26536.324285407118</c:v>
                </c:pt>
                <c:pt idx="3">
                  <c:v>25964.231822608217</c:v>
                </c:pt>
                <c:pt idx="4">
                  <c:v>25345.647649006522</c:v>
                </c:pt>
                <c:pt idx="5">
                  <c:v>24662.53374275018</c:v>
                </c:pt>
                <c:pt idx="6">
                  <c:v>23980.764412216729</c:v>
                </c:pt>
                <c:pt idx="7">
                  <c:v>23330.119998138922</c:v>
                </c:pt>
                <c:pt idx="8">
                  <c:v>22572.083788348918</c:v>
                </c:pt>
                <c:pt idx="9">
                  <c:v>21671.732692180281</c:v>
                </c:pt>
                <c:pt idx="10">
                  <c:v>20739.307731388752</c:v>
                </c:pt>
                <c:pt idx="11">
                  <c:v>19946.418221679931</c:v>
                </c:pt>
                <c:pt idx="12">
                  <c:v>19231.65156203595</c:v>
                </c:pt>
                <c:pt idx="13">
                  <c:v>18518.7742539725</c:v>
                </c:pt>
                <c:pt idx="14">
                  <c:v>17788.63754334646</c:v>
                </c:pt>
                <c:pt idx="15">
                  <c:v>17070.523551494134</c:v>
                </c:pt>
                <c:pt idx="16">
                  <c:v>16193.00657357415</c:v>
                </c:pt>
                <c:pt idx="17">
                  <c:v>14825.484771113788</c:v>
                </c:pt>
                <c:pt idx="18">
                  <c:v>12922.104226591386</c:v>
                </c:pt>
                <c:pt idx="19">
                  <c:v>10976.02240864735</c:v>
                </c:pt>
                <c:pt idx="20">
                  <c:v>9180.0528886452776</c:v>
                </c:pt>
                <c:pt idx="21">
                  <c:v>7470.909186808397</c:v>
                </c:pt>
                <c:pt idx="22">
                  <c:v>5785.6185656069638</c:v>
                </c:pt>
                <c:pt idx="23">
                  <c:v>4246.2894466944108</c:v>
                </c:pt>
                <c:pt idx="24">
                  <c:v>3070.3588521384481</c:v>
                </c:pt>
                <c:pt idx="25">
                  <c:v>2296.0553441180145</c:v>
                </c:pt>
                <c:pt idx="26">
                  <c:v>1896.2171118749673</c:v>
                </c:pt>
                <c:pt idx="27">
                  <c:v>1686.0710156732823</c:v>
                </c:pt>
                <c:pt idx="28">
                  <c:v>1579.2972361937382</c:v>
                </c:pt>
                <c:pt idx="29">
                  <c:v>1514.5695532746811</c:v>
                </c:pt>
                <c:pt idx="30">
                  <c:v>1473.5622305959851</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26952.662653543539</c:v>
                </c:pt>
                <c:pt idx="1">
                  <c:v>26291.936954038541</c:v>
                </c:pt>
                <c:pt idx="2">
                  <c:v>25690.709402696877</c:v>
                </c:pt>
                <c:pt idx="3">
                  <c:v>25069.343595051312</c:v>
                </c:pt>
                <c:pt idx="4">
                  <c:v>24367.630401807601</c:v>
                </c:pt>
                <c:pt idx="5">
                  <c:v>23710.007906271494</c:v>
                </c:pt>
                <c:pt idx="6">
                  <c:v>23050.541605404364</c:v>
                </c:pt>
                <c:pt idx="7">
                  <c:v>22256.492982082629</c:v>
                </c:pt>
                <c:pt idx="8">
                  <c:v>21337.026874290161</c:v>
                </c:pt>
                <c:pt idx="9">
                  <c:v>20424.767469858001</c:v>
                </c:pt>
                <c:pt idx="10">
                  <c:v>19681.456193830178</c:v>
                </c:pt>
                <c:pt idx="11">
                  <c:v>18960.5316489736</c:v>
                </c:pt>
                <c:pt idx="12">
                  <c:v>18259.854634862382</c:v>
                </c:pt>
                <c:pt idx="13">
                  <c:v>17521.145394319134</c:v>
                </c:pt>
                <c:pt idx="14">
                  <c:v>16826.08986189626</c:v>
                </c:pt>
                <c:pt idx="15">
                  <c:v>15937.947287106361</c:v>
                </c:pt>
                <c:pt idx="16">
                  <c:v>14721.494559776838</c:v>
                </c:pt>
                <c:pt idx="17">
                  <c:v>12890.804061325163</c:v>
                </c:pt>
                <c:pt idx="18">
                  <c:v>10898.081978050452</c:v>
                </c:pt>
                <c:pt idx="19">
                  <c:v>9001.1940726879857</c:v>
                </c:pt>
                <c:pt idx="20">
                  <c:v>7220.3972840001124</c:v>
                </c:pt>
                <c:pt idx="21">
                  <c:v>5480.5209601584602</c:v>
                </c:pt>
                <c:pt idx="22">
                  <c:v>3997.9412658564916</c:v>
                </c:pt>
                <c:pt idx="23">
                  <c:v>2877.7215023350655</c:v>
                </c:pt>
                <c:pt idx="24">
                  <c:v>2202.476010945928</c:v>
                </c:pt>
                <c:pt idx="25">
                  <c:v>1837.6509905936418</c:v>
                </c:pt>
                <c:pt idx="26">
                  <c:v>1665.154706193443</c:v>
                </c:pt>
                <c:pt idx="27">
                  <c:v>1559.4748971771364</c:v>
                </c:pt>
                <c:pt idx="28">
                  <c:v>1505.804575477551</c:v>
                </c:pt>
                <c:pt idx="29">
                  <c:v>1466.5416279307628</c:v>
                </c:pt>
                <c:pt idx="30">
                  <c:v>1398.2549777877207</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25275.98486791781</c:v>
                </c:pt>
                <c:pt idx="1">
                  <c:v>24470.613240559411</c:v>
                </c:pt>
                <c:pt idx="2">
                  <c:v>23768.448050729199</c:v>
                </c:pt>
                <c:pt idx="3">
                  <c:v>23128.858802281957</c:v>
                </c:pt>
                <c:pt idx="4">
                  <c:v>22402.507647095979</c:v>
                </c:pt>
                <c:pt idx="5">
                  <c:v>21527.757275151798</c:v>
                </c:pt>
                <c:pt idx="6">
                  <c:v>20599.617188485379</c:v>
                </c:pt>
                <c:pt idx="7">
                  <c:v>19787.326940745268</c:v>
                </c:pt>
                <c:pt idx="8">
                  <c:v>19087.749547783947</c:v>
                </c:pt>
                <c:pt idx="9">
                  <c:v>18377.884914429156</c:v>
                </c:pt>
                <c:pt idx="10">
                  <c:v>17667.296043055703</c:v>
                </c:pt>
                <c:pt idx="11">
                  <c:v>16954.976350956771</c:v>
                </c:pt>
                <c:pt idx="12">
                  <c:v>16203.632437727703</c:v>
                </c:pt>
                <c:pt idx="13">
                  <c:v>15299.36998505776</c:v>
                </c:pt>
                <c:pt idx="14">
                  <c:v>14295.525684260441</c:v>
                </c:pt>
                <c:pt idx="15">
                  <c:v>12921.199254158842</c:v>
                </c:pt>
                <c:pt idx="16">
                  <c:v>10950.84942766637</c:v>
                </c:pt>
                <c:pt idx="17">
                  <c:v>8743.6066747993864</c:v>
                </c:pt>
                <c:pt idx="18">
                  <c:v>6649.8693500168793</c:v>
                </c:pt>
                <c:pt idx="19">
                  <c:v>4793.4051291379628</c:v>
                </c:pt>
                <c:pt idx="20">
                  <c:v>3415.7121784289966</c:v>
                </c:pt>
                <c:pt idx="21">
                  <c:v>2483.4576883379805</c:v>
                </c:pt>
                <c:pt idx="22">
                  <c:v>2006.8012213506906</c:v>
                </c:pt>
                <c:pt idx="23">
                  <c:v>1742.938745114978</c:v>
                </c:pt>
                <c:pt idx="24">
                  <c:v>1620.1078528942069</c:v>
                </c:pt>
                <c:pt idx="25">
                  <c:v>1529.938603563839</c:v>
                </c:pt>
                <c:pt idx="26">
                  <c:v>1494.403182549333</c:v>
                </c:pt>
                <c:pt idx="27">
                  <c:v>1443.841674922347</c:v>
                </c:pt>
                <c:pt idx="28">
                  <c:v>1374.0994348603842</c:v>
                </c:pt>
                <c:pt idx="29">
                  <c:v>1366.9818653451778</c:v>
                </c:pt>
                <c:pt idx="30">
                  <c:v>1366.1064082139058</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23478.263086146577</c:v>
                </c:pt>
                <c:pt idx="1">
                  <c:v>22637.919096604728</c:v>
                </c:pt>
                <c:pt idx="2">
                  <c:v>21813.834009437534</c:v>
                </c:pt>
                <c:pt idx="3">
                  <c:v>20891.947682265229</c:v>
                </c:pt>
                <c:pt idx="4">
                  <c:v>20005.498654201525</c:v>
                </c:pt>
                <c:pt idx="5">
                  <c:v>19295.815211806304</c:v>
                </c:pt>
                <c:pt idx="6">
                  <c:v>18580.756186874201</c:v>
                </c:pt>
                <c:pt idx="7">
                  <c:v>17892.548193322949</c:v>
                </c:pt>
                <c:pt idx="8">
                  <c:v>17160.677631032191</c:v>
                </c:pt>
                <c:pt idx="9">
                  <c:v>16481.928577775798</c:v>
                </c:pt>
                <c:pt idx="10">
                  <c:v>15621.363151391317</c:v>
                </c:pt>
                <c:pt idx="11">
                  <c:v>14716.025280617783</c:v>
                </c:pt>
                <c:pt idx="12">
                  <c:v>13661.045952909282</c:v>
                </c:pt>
                <c:pt idx="13">
                  <c:v>12454.164670886779</c:v>
                </c:pt>
                <c:pt idx="14">
                  <c:v>10885.139417954178</c:v>
                </c:pt>
                <c:pt idx="15">
                  <c:v>8782.3068134014484</c:v>
                </c:pt>
                <c:pt idx="16">
                  <c:v>6415.9550944736557</c:v>
                </c:pt>
                <c:pt idx="17">
                  <c:v>4513.5447803543393</c:v>
                </c:pt>
                <c:pt idx="18">
                  <c:v>3151.5109604148611</c:v>
                </c:pt>
                <c:pt idx="19">
                  <c:v>2379.141158591442</c:v>
                </c:pt>
                <c:pt idx="20">
                  <c:v>1944.2954898066419</c:v>
                </c:pt>
                <c:pt idx="21">
                  <c:v>1741.7562675855177</c:v>
                </c:pt>
                <c:pt idx="22">
                  <c:v>1602.7692922592105</c:v>
                </c:pt>
                <c:pt idx="23">
                  <c:v>1528.1132228859665</c:v>
                </c:pt>
                <c:pt idx="24">
                  <c:v>1495.8638083530059</c:v>
                </c:pt>
                <c:pt idx="25">
                  <c:v>1404.3680339834593</c:v>
                </c:pt>
                <c:pt idx="26">
                  <c:v>1377.3008696435097</c:v>
                </c:pt>
                <c:pt idx="27">
                  <c:v>1367.6268501256027</c:v>
                </c:pt>
                <c:pt idx="28">
                  <c:v>1366.3222337479092</c:v>
                </c:pt>
                <c:pt idx="29">
                  <c:v>1359.0982639305919</c:v>
                </c:pt>
                <c:pt idx="30">
                  <c:v>1355.9582062687498</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590775392"/>
        <c:axId val="59077774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90775392"/>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0777744"/>
        <c:crosses val="autoZero"/>
        <c:crossBetween val="midCat"/>
      </c:valAx>
      <c:valAx>
        <c:axId val="590777744"/>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0775392"/>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34759.135182388236</c:v>
                </c:pt>
                <c:pt idx="1">
                  <c:v>34852.200183549598</c:v>
                </c:pt>
                <c:pt idx="2">
                  <c:v>35125.993425819077</c:v>
                </c:pt>
                <c:pt idx="3">
                  <c:v>35360.521735405484</c:v>
                </c:pt>
                <c:pt idx="4">
                  <c:v>35607.453181184101</c:v>
                </c:pt>
                <c:pt idx="5">
                  <c:v>35916.572247129174</c:v>
                </c:pt>
                <c:pt idx="6">
                  <c:v>36292.10189710636</c:v>
                </c:pt>
                <c:pt idx="7">
                  <c:v>36797.994925619598</c:v>
                </c:pt>
                <c:pt idx="8">
                  <c:v>37427.696640947637</c:v>
                </c:pt>
                <c:pt idx="9">
                  <c:v>38288.079995219909</c:v>
                </c:pt>
                <c:pt idx="10">
                  <c:v>39238.044705899876</c:v>
                </c:pt>
                <c:pt idx="11">
                  <c:v>40480.678213745414</c:v>
                </c:pt>
                <c:pt idx="12">
                  <c:v>42433.827840189435</c:v>
                </c:pt>
                <c:pt idx="13">
                  <c:v>45421.740339950811</c:v>
                </c:pt>
                <c:pt idx="14">
                  <c:v>49424.217748078452</c:v>
                </c:pt>
                <c:pt idx="15">
                  <c:v>53971.317483036772</c:v>
                </c:pt>
                <c:pt idx="16">
                  <c:v>60661.188233434921</c:v>
                </c:pt>
                <c:pt idx="17">
                  <c:v>70511.007372631066</c:v>
                </c:pt>
                <c:pt idx="18">
                  <c:v>88103.109838398741</c:v>
                </c:pt>
                <c:pt idx="19">
                  <c:v>117449.3727767255</c:v>
                </c:pt>
                <c:pt idx="20">
                  <c:v>159113.76361331894</c:v>
                </c:pt>
                <c:pt idx="21">
                  <c:v>111023.03283839283</c:v>
                </c:pt>
                <c:pt idx="22">
                  <c:v>62834.684458576892</c:v>
                </c:pt>
                <c:pt idx="23">
                  <c:v>40863.766623526259</c:v>
                </c:pt>
                <c:pt idx="24">
                  <c:v>30359.538472561322</c:v>
                </c:pt>
                <c:pt idx="25">
                  <c:v>23975.414103352377</c:v>
                </c:pt>
                <c:pt idx="26">
                  <c:v>19424.563403800661</c:v>
                </c:pt>
                <c:pt idx="27">
                  <c:v>15540.675876426383</c:v>
                </c:pt>
                <c:pt idx="28">
                  <c:v>11958.565688264673</c:v>
                </c:pt>
                <c:pt idx="29">
                  <c:v>9099.8359117588352</c:v>
                </c:pt>
                <c:pt idx="30">
                  <c:v>7363.5031626456439</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34666.028177855122</c:v>
                </c:pt>
                <c:pt idx="1">
                  <c:v>34997.061646704133</c:v>
                </c:pt>
                <c:pt idx="2">
                  <c:v>35221.8228134604</c:v>
                </c:pt>
                <c:pt idx="3">
                  <c:v>35478.501386479562</c:v>
                </c:pt>
                <c:pt idx="4">
                  <c:v>35793.199492538304</c:v>
                </c:pt>
                <c:pt idx="5">
                  <c:v>36196.353178118421</c:v>
                </c:pt>
                <c:pt idx="6">
                  <c:v>36716.826677548255</c:v>
                </c:pt>
                <c:pt idx="7">
                  <c:v>37401.666477200524</c:v>
                </c:pt>
                <c:pt idx="8">
                  <c:v>38253.957355493876</c:v>
                </c:pt>
                <c:pt idx="9">
                  <c:v>39235.980838312847</c:v>
                </c:pt>
                <c:pt idx="10">
                  <c:v>40642.221415570879</c:v>
                </c:pt>
                <c:pt idx="11">
                  <c:v>42849.395686402735</c:v>
                </c:pt>
                <c:pt idx="12">
                  <c:v>46069.750128205553</c:v>
                </c:pt>
                <c:pt idx="13">
                  <c:v>50009.441782608577</c:v>
                </c:pt>
                <c:pt idx="14">
                  <c:v>54900.074805273318</c:v>
                </c:pt>
                <c:pt idx="15">
                  <c:v>62027.62419738029</c:v>
                </c:pt>
                <c:pt idx="16">
                  <c:v>73266.909971421119</c:v>
                </c:pt>
                <c:pt idx="17">
                  <c:v>91485.473152411738</c:v>
                </c:pt>
                <c:pt idx="18">
                  <c:v>114865.00900049369</c:v>
                </c:pt>
                <c:pt idx="19">
                  <c:v>100402.72969204199</c:v>
                </c:pt>
                <c:pt idx="20">
                  <c:v>62109.530689738909</c:v>
                </c:pt>
                <c:pt idx="21">
                  <c:v>41149.563614756378</c:v>
                </c:pt>
                <c:pt idx="22">
                  <c:v>30465.72518871339</c:v>
                </c:pt>
                <c:pt idx="23">
                  <c:v>24098.897468555402</c:v>
                </c:pt>
                <c:pt idx="24">
                  <c:v>19487.25144010787</c:v>
                </c:pt>
                <c:pt idx="25">
                  <c:v>15744.674285199657</c:v>
                </c:pt>
                <c:pt idx="26">
                  <c:v>12332.615575106849</c:v>
                </c:pt>
                <c:pt idx="27">
                  <c:v>9703.0102619036406</c:v>
                </c:pt>
                <c:pt idx="28">
                  <c:v>7785.7462295188197</c:v>
                </c:pt>
                <c:pt idx="29">
                  <c:v>6617.2633131586181</c:v>
                </c:pt>
                <c:pt idx="30">
                  <c:v>5954.5896190406684</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34797.326451814064</c:v>
                </c:pt>
                <c:pt idx="1">
                  <c:v>35074.058875315241</c:v>
                </c:pt>
                <c:pt idx="2">
                  <c:v>35335.792502572687</c:v>
                </c:pt>
                <c:pt idx="3">
                  <c:v>35648.785073108134</c:v>
                </c:pt>
                <c:pt idx="4">
                  <c:v>36053.241366665061</c:v>
                </c:pt>
                <c:pt idx="5">
                  <c:v>36567.920534690704</c:v>
                </c:pt>
                <c:pt idx="6">
                  <c:v>37253.799749203179</c:v>
                </c:pt>
                <c:pt idx="7">
                  <c:v>38084.16042336703</c:v>
                </c:pt>
                <c:pt idx="8">
                  <c:v>39058.023148462788</c:v>
                </c:pt>
                <c:pt idx="9">
                  <c:v>40478.506838091969</c:v>
                </c:pt>
                <c:pt idx="10">
                  <c:v>42697.49396452622</c:v>
                </c:pt>
                <c:pt idx="11">
                  <c:v>45887.684673675838</c:v>
                </c:pt>
                <c:pt idx="12">
                  <c:v>49700.208343273407</c:v>
                </c:pt>
                <c:pt idx="13">
                  <c:v>54564.033528008491</c:v>
                </c:pt>
                <c:pt idx="14">
                  <c:v>61572.255640124116</c:v>
                </c:pt>
                <c:pt idx="15">
                  <c:v>72807.073818800985</c:v>
                </c:pt>
                <c:pt idx="16">
                  <c:v>90997.60676294216</c:v>
                </c:pt>
                <c:pt idx="17">
                  <c:v>120797.08126640866</c:v>
                </c:pt>
                <c:pt idx="18">
                  <c:v>115367.62718456863</c:v>
                </c:pt>
                <c:pt idx="19">
                  <c:v>70621.084186990949</c:v>
                </c:pt>
                <c:pt idx="20">
                  <c:v>44841.49237098881</c:v>
                </c:pt>
                <c:pt idx="21">
                  <c:v>32436.618384296831</c:v>
                </c:pt>
                <c:pt idx="22">
                  <c:v>25317.556300277502</c:v>
                </c:pt>
                <c:pt idx="23">
                  <c:v>20412.493332404825</c:v>
                </c:pt>
                <c:pt idx="24">
                  <c:v>16475.315293992826</c:v>
                </c:pt>
                <c:pt idx="25">
                  <c:v>12837.557146385636</c:v>
                </c:pt>
                <c:pt idx="26">
                  <c:v>9958.1711289516224</c:v>
                </c:pt>
                <c:pt idx="27">
                  <c:v>7899.4097290213431</c:v>
                </c:pt>
                <c:pt idx="28">
                  <c:v>6652.9721887134192</c:v>
                </c:pt>
                <c:pt idx="29">
                  <c:v>5973.6728291075488</c:v>
                </c:pt>
                <c:pt idx="30">
                  <c:v>6052.1456326074322</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34840.980191847579</c:v>
                </c:pt>
                <c:pt idx="1">
                  <c:v>35147.858605667992</c:v>
                </c:pt>
                <c:pt idx="2">
                  <c:v>35455.248941939419</c:v>
                </c:pt>
                <c:pt idx="3">
                  <c:v>35843.049308709466</c:v>
                </c:pt>
                <c:pt idx="4">
                  <c:v>36337.422829955613</c:v>
                </c:pt>
                <c:pt idx="5">
                  <c:v>36991.111691131744</c:v>
                </c:pt>
                <c:pt idx="6">
                  <c:v>37791.2030846778</c:v>
                </c:pt>
                <c:pt idx="7">
                  <c:v>38721.089755729445</c:v>
                </c:pt>
                <c:pt idx="8">
                  <c:v>40064.837269566204</c:v>
                </c:pt>
                <c:pt idx="9">
                  <c:v>42164.826015398903</c:v>
                </c:pt>
                <c:pt idx="10">
                  <c:v>45195.411400271332</c:v>
                </c:pt>
                <c:pt idx="11">
                  <c:v>48839.627658958387</c:v>
                </c:pt>
                <c:pt idx="12">
                  <c:v>53406.49840506832</c:v>
                </c:pt>
                <c:pt idx="13">
                  <c:v>59969.104602669831</c:v>
                </c:pt>
                <c:pt idx="14">
                  <c:v>70312.688965351583</c:v>
                </c:pt>
                <c:pt idx="15">
                  <c:v>87260.974737997531</c:v>
                </c:pt>
                <c:pt idx="16">
                  <c:v>119576.31719292165</c:v>
                </c:pt>
                <c:pt idx="17">
                  <c:v>138403.65227466426</c:v>
                </c:pt>
                <c:pt idx="18">
                  <c:v>88153.03770330624</c:v>
                </c:pt>
                <c:pt idx="19">
                  <c:v>52547.96052356992</c:v>
                </c:pt>
                <c:pt idx="20">
                  <c:v>36289.744787703974</c:v>
                </c:pt>
                <c:pt idx="21">
                  <c:v>27684.697868586711</c:v>
                </c:pt>
                <c:pt idx="22">
                  <c:v>22193.197746845115</c:v>
                </c:pt>
                <c:pt idx="23">
                  <c:v>17784.129930243493</c:v>
                </c:pt>
                <c:pt idx="24">
                  <c:v>13912.443981544302</c:v>
                </c:pt>
                <c:pt idx="25">
                  <c:v>10654.838456514535</c:v>
                </c:pt>
                <c:pt idx="26">
                  <c:v>8257.5724652708795</c:v>
                </c:pt>
                <c:pt idx="27">
                  <c:v>6833.7042668009281</c:v>
                </c:pt>
                <c:pt idx="28">
                  <c:v>6060.2156882708014</c:v>
                </c:pt>
                <c:pt idx="29">
                  <c:v>6148.0845203527888</c:v>
                </c:pt>
                <c:pt idx="30">
                  <c:v>5392.9553826933534</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34917.832752679686</c:v>
                </c:pt>
                <c:pt idx="1">
                  <c:v>35303.487845402538</c:v>
                </c:pt>
                <c:pt idx="2">
                  <c:v>35712.473852857176</c:v>
                </c:pt>
                <c:pt idx="3">
                  <c:v>36212.635130551927</c:v>
                </c:pt>
                <c:pt idx="4">
                  <c:v>36890.715576588183</c:v>
                </c:pt>
                <c:pt idx="5">
                  <c:v>37671.134312511604</c:v>
                </c:pt>
                <c:pt idx="6">
                  <c:v>38621.872709722964</c:v>
                </c:pt>
                <c:pt idx="7">
                  <c:v>40055.092919232338</c:v>
                </c:pt>
                <c:pt idx="8">
                  <c:v>42270.148519186121</c:v>
                </c:pt>
                <c:pt idx="9">
                  <c:v>45354.940115799174</c:v>
                </c:pt>
                <c:pt idx="10">
                  <c:v>48885.013843677203</c:v>
                </c:pt>
                <c:pt idx="11">
                  <c:v>53626.389601481453</c:v>
                </c:pt>
                <c:pt idx="12">
                  <c:v>60314.657778422916</c:v>
                </c:pt>
                <c:pt idx="13">
                  <c:v>71305.954291660892</c:v>
                </c:pt>
                <c:pt idx="14">
                  <c:v>89062.752954122523</c:v>
                </c:pt>
                <c:pt idx="15">
                  <c:v>133436.42250088815</c:v>
                </c:pt>
                <c:pt idx="16">
                  <c:v>203604.61612385727</c:v>
                </c:pt>
                <c:pt idx="17">
                  <c:v>139860.25163656444</c:v>
                </c:pt>
                <c:pt idx="18">
                  <c:v>71059.309551203638</c:v>
                </c:pt>
                <c:pt idx="19">
                  <c:v>44898.423090412361</c:v>
                </c:pt>
                <c:pt idx="20">
                  <c:v>32788.620662358189</c:v>
                </c:pt>
                <c:pt idx="21">
                  <c:v>26236.366272266579</c:v>
                </c:pt>
                <c:pt idx="22">
                  <c:v>20858.572205702232</c:v>
                </c:pt>
                <c:pt idx="23">
                  <c:v>16042.21651363769</c:v>
                </c:pt>
                <c:pt idx="24">
                  <c:v>11550.631334407477</c:v>
                </c:pt>
                <c:pt idx="25">
                  <c:v>8614.4868003172196</c:v>
                </c:pt>
                <c:pt idx="26">
                  <c:v>6924.6498382639193</c:v>
                </c:pt>
                <c:pt idx="27">
                  <c:v>6112.4139284798675</c:v>
                </c:pt>
                <c:pt idx="28">
                  <c:v>6109.264367767958</c:v>
                </c:pt>
                <c:pt idx="29">
                  <c:v>5360.3544205081589</c:v>
                </c:pt>
                <c:pt idx="30">
                  <c:v>5242.785926565045</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35467.998106941195</c:v>
                </c:pt>
                <c:pt idx="1">
                  <c:v>36149.649219296683</c:v>
                </c:pt>
                <c:pt idx="2">
                  <c:v>36882.747721710504</c:v>
                </c:pt>
                <c:pt idx="3">
                  <c:v>37693.748289376927</c:v>
                </c:pt>
                <c:pt idx="4">
                  <c:v>38823.13543850118</c:v>
                </c:pt>
                <c:pt idx="5">
                  <c:v>40586.472204122598</c:v>
                </c:pt>
                <c:pt idx="6">
                  <c:v>43161.350396815615</c:v>
                </c:pt>
                <c:pt idx="7">
                  <c:v>46327.122216348856</c:v>
                </c:pt>
                <c:pt idx="8">
                  <c:v>50078.283804050654</c:v>
                </c:pt>
                <c:pt idx="9">
                  <c:v>55437.010109081355</c:v>
                </c:pt>
                <c:pt idx="10">
                  <c:v>63429.748726131307</c:v>
                </c:pt>
                <c:pt idx="11">
                  <c:v>76500.545077312359</c:v>
                </c:pt>
                <c:pt idx="12">
                  <c:v>102832.50670688276</c:v>
                </c:pt>
                <c:pt idx="13">
                  <c:v>205333.62901375972</c:v>
                </c:pt>
                <c:pt idx="14">
                  <c:v>-766983.75966674357</c:v>
                </c:pt>
                <c:pt idx="15">
                  <c:v>-129819.8878875455</c:v>
                </c:pt>
                <c:pt idx="16">
                  <c:v>-106060.89531759307</c:v>
                </c:pt>
                <c:pt idx="17">
                  <c:v>-143209.73106030768</c:v>
                </c:pt>
                <c:pt idx="18">
                  <c:v>-190378.90297149163</c:v>
                </c:pt>
                <c:pt idx="19">
                  <c:v>-120163.5460193773</c:v>
                </c:pt>
                <c:pt idx="20">
                  <c:v>-103406.26133775656</c:v>
                </c:pt>
                <c:pt idx="21">
                  <c:v>788799.94230489223</c:v>
                </c:pt>
                <c:pt idx="22">
                  <c:v>25501.256337608618</c:v>
                </c:pt>
                <c:pt idx="23">
                  <c:v>11848.139886045228</c:v>
                </c:pt>
                <c:pt idx="24">
                  <c:v>8069.3726270280786</c:v>
                </c:pt>
                <c:pt idx="25">
                  <c:v>6583.2549455762382</c:v>
                </c:pt>
                <c:pt idx="26">
                  <c:v>6271.1033827227493</c:v>
                </c:pt>
                <c:pt idx="27">
                  <c:v>6008.6197942820208</c:v>
                </c:pt>
                <c:pt idx="28">
                  <c:v>5274.3522115961614</c:v>
                </c:pt>
                <c:pt idx="29">
                  <c:v>5453.9331974213164</c:v>
                </c:pt>
                <c:pt idx="30">
                  <c:v>5425.0167361766289</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36613.175027170117</c:v>
                </c:pt>
                <c:pt idx="1">
                  <c:v>37719.130636544782</c:v>
                </c:pt>
                <c:pt idx="2">
                  <c:v>39112.639260552067</c:v>
                </c:pt>
                <c:pt idx="3">
                  <c:v>41195.711408740332</c:v>
                </c:pt>
                <c:pt idx="4">
                  <c:v>43992.88139873631</c:v>
                </c:pt>
                <c:pt idx="5">
                  <c:v>47093.514749392816</c:v>
                </c:pt>
                <c:pt idx="6">
                  <c:v>51369.802194265452</c:v>
                </c:pt>
                <c:pt idx="7">
                  <c:v>57280.978649775403</c:v>
                </c:pt>
                <c:pt idx="8">
                  <c:v>66939.343124608451</c:v>
                </c:pt>
                <c:pt idx="9">
                  <c:v>82156.835709285646</c:v>
                </c:pt>
                <c:pt idx="10">
                  <c:v>125130.09060491156</c:v>
                </c:pt>
                <c:pt idx="11">
                  <c:v>393968.45550858084</c:v>
                </c:pt>
                <c:pt idx="12">
                  <c:v>-182968.36372437744</c:v>
                </c:pt>
                <c:pt idx="13">
                  <c:v>-58038.930856563493</c:v>
                </c:pt>
                <c:pt idx="14">
                  <c:v>-28561.624356700439</c:v>
                </c:pt>
                <c:pt idx="15">
                  <c:v>-17991.662663521711</c:v>
                </c:pt>
                <c:pt idx="16">
                  <c:v>-12308.033361944235</c:v>
                </c:pt>
                <c:pt idx="17">
                  <c:v>-8990.5523422893457</c:v>
                </c:pt>
                <c:pt idx="18">
                  <c:v>-6979.151599176872</c:v>
                </c:pt>
                <c:pt idx="19">
                  <c:v>-7641.576358517259</c:v>
                </c:pt>
                <c:pt idx="20">
                  <c:v>-13253.756265997315</c:v>
                </c:pt>
                <c:pt idx="21">
                  <c:v>479399.51786104322</c:v>
                </c:pt>
                <c:pt idx="22">
                  <c:v>14735.961049907772</c:v>
                </c:pt>
                <c:pt idx="23">
                  <c:v>8398.2155471605311</c:v>
                </c:pt>
                <c:pt idx="24">
                  <c:v>7893.3041777229164</c:v>
                </c:pt>
                <c:pt idx="25">
                  <c:v>6030.4506745317494</c:v>
                </c:pt>
                <c:pt idx="26">
                  <c:v>5800.3236912066841</c:v>
                </c:pt>
                <c:pt idx="27">
                  <c:v>5272.7932305771392</c:v>
                </c:pt>
                <c:pt idx="28">
                  <c:v>5227.7038431091396</c:v>
                </c:pt>
                <c:pt idx="29">
                  <c:v>5010.2000515621148</c:v>
                </c:pt>
                <c:pt idx="30">
                  <c:v>4955.0527168058534</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590778136"/>
        <c:axId val="59077892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59077813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0778920"/>
        <c:crosses val="autoZero"/>
        <c:crossBetween val="midCat"/>
        <c:majorUnit val="10000"/>
      </c:valAx>
      <c:valAx>
        <c:axId val="590778920"/>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0778136"/>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0.35838380679488008</c:v>
                </c:pt>
                <c:pt idx="1">
                  <c:v>0.35973385600394481</c:v>
                </c:pt>
                <c:pt idx="2">
                  <c:v>0.36425943392023874</c:v>
                </c:pt>
                <c:pt idx="3">
                  <c:v>0.36747692558330908</c:v>
                </c:pt>
                <c:pt idx="4">
                  <c:v>0.37055741259230257</c:v>
                </c:pt>
                <c:pt idx="5">
                  <c:v>0.37403658748638291</c:v>
                </c:pt>
                <c:pt idx="6">
                  <c:v>0.37780988550838707</c:v>
                </c:pt>
                <c:pt idx="7">
                  <c:v>0.38229366156606043</c:v>
                </c:pt>
                <c:pt idx="8">
                  <c:v>0.38714793479699583</c:v>
                </c:pt>
                <c:pt idx="9">
                  <c:v>0.39284080335546639</c:v>
                </c:pt>
                <c:pt idx="10">
                  <c:v>0.39820228532128149</c:v>
                </c:pt>
                <c:pt idx="11">
                  <c:v>0.40419754171480554</c:v>
                </c:pt>
                <c:pt idx="12">
                  <c:v>0.41197142747368148</c:v>
                </c:pt>
                <c:pt idx="13">
                  <c:v>0.42127109648123673</c:v>
                </c:pt>
                <c:pt idx="14">
                  <c:v>0.43066591167781881</c:v>
                </c:pt>
                <c:pt idx="15">
                  <c:v>0.43872455322602888</c:v>
                </c:pt>
                <c:pt idx="16">
                  <c:v>0.44751540902901149</c:v>
                </c:pt>
                <c:pt idx="17">
                  <c:v>0.45653454958317952</c:v>
                </c:pt>
                <c:pt idx="18">
                  <c:v>0.46665345435608369</c:v>
                </c:pt>
                <c:pt idx="19">
                  <c:v>0.47606445136485304</c:v>
                </c:pt>
                <c:pt idx="20">
                  <c:v>0.48363156881001584</c:v>
                </c:pt>
                <c:pt idx="21">
                  <c:v>0.47926095206608155</c:v>
                </c:pt>
                <c:pt idx="22">
                  <c:v>0.46871648569178925</c:v>
                </c:pt>
                <c:pt idx="23">
                  <c:v>0.45939424380944682</c:v>
                </c:pt>
                <c:pt idx="24">
                  <c:v>0.45487917075722717</c:v>
                </c:pt>
                <c:pt idx="25">
                  <c:v>0.45448844165774627</c:v>
                </c:pt>
                <c:pt idx="26">
                  <c:v>0.45806405575576176</c:v>
                </c:pt>
                <c:pt idx="27">
                  <c:v>0.46176743924726721</c:v>
                </c:pt>
                <c:pt idx="28">
                  <c:v>0.46407626185161299</c:v>
                </c:pt>
                <c:pt idx="29">
                  <c:v>0.46242138332519567</c:v>
                </c:pt>
                <c:pt idx="30">
                  <c:v>0.46034411615547138</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0.36028838462663804</c:v>
                </c:pt>
                <c:pt idx="1">
                  <c:v>0.36551334678732439</c:v>
                </c:pt>
                <c:pt idx="2">
                  <c:v>0.36860899628065208</c:v>
                </c:pt>
                <c:pt idx="3">
                  <c:v>0.37181134473842686</c:v>
                </c:pt>
                <c:pt idx="4">
                  <c:v>0.3753339247402675</c:v>
                </c:pt>
                <c:pt idx="5">
                  <c:v>0.37934720323325882</c:v>
                </c:pt>
                <c:pt idx="6">
                  <c:v>0.38388227636201189</c:v>
                </c:pt>
                <c:pt idx="7">
                  <c:v>0.38904917420296076</c:v>
                </c:pt>
                <c:pt idx="8">
                  <c:v>0.39453547475634143</c:v>
                </c:pt>
                <c:pt idx="9">
                  <c:v>0.39995017463776011</c:v>
                </c:pt>
                <c:pt idx="10">
                  <c:v>0.40650658083940183</c:v>
                </c:pt>
                <c:pt idx="11">
                  <c:v>0.41482857695561959</c:v>
                </c:pt>
                <c:pt idx="12">
                  <c:v>0.42419200044064814</c:v>
                </c:pt>
                <c:pt idx="13">
                  <c:v>0.43286493755864519</c:v>
                </c:pt>
                <c:pt idx="14">
                  <c:v>0.44102553870001548</c:v>
                </c:pt>
                <c:pt idx="15">
                  <c:v>0.4497403355524679</c:v>
                </c:pt>
                <c:pt idx="16">
                  <c:v>0.45912084963453315</c:v>
                </c:pt>
                <c:pt idx="17">
                  <c:v>0.46861924150797574</c:v>
                </c:pt>
                <c:pt idx="18">
                  <c:v>0.47644703096260549</c:v>
                </c:pt>
                <c:pt idx="19">
                  <c:v>0.47579580311194469</c:v>
                </c:pt>
                <c:pt idx="20">
                  <c:v>0.4661428767637355</c:v>
                </c:pt>
                <c:pt idx="21">
                  <c:v>0.45641610064093491</c:v>
                </c:pt>
                <c:pt idx="22">
                  <c:v>0.45037879088264704</c:v>
                </c:pt>
                <c:pt idx="23">
                  <c:v>0.44857730343346808</c:v>
                </c:pt>
                <c:pt idx="24">
                  <c:v>0.45039691449755109</c:v>
                </c:pt>
                <c:pt idx="25">
                  <c:v>0.4547391461762797</c:v>
                </c:pt>
                <c:pt idx="26">
                  <c:v>0.45813700672303026</c:v>
                </c:pt>
                <c:pt idx="27">
                  <c:v>0.46034755023832175</c:v>
                </c:pt>
                <c:pt idx="28">
                  <c:v>0.45923343675614919</c:v>
                </c:pt>
                <c:pt idx="29">
                  <c:v>0.4574956935544639</c:v>
                </c:pt>
                <c:pt idx="30">
                  <c:v>0.4557226420665601</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0.3648775153391467</c:v>
                </c:pt>
                <c:pt idx="1">
                  <c:v>0.36872651464761408</c:v>
                </c:pt>
                <c:pt idx="2">
                  <c:v>0.37201899649368492</c:v>
                </c:pt>
                <c:pt idx="3">
                  <c:v>0.37555222681006373</c:v>
                </c:pt>
                <c:pt idx="4">
                  <c:v>0.37961637266884612</c:v>
                </c:pt>
                <c:pt idx="5">
                  <c:v>0.38414209427020868</c:v>
                </c:pt>
                <c:pt idx="6">
                  <c:v>0.38936177519064136</c:v>
                </c:pt>
                <c:pt idx="7">
                  <c:v>0.39475071297896575</c:v>
                </c:pt>
                <c:pt idx="8">
                  <c:v>0.40016948743553066</c:v>
                </c:pt>
                <c:pt idx="9">
                  <c:v>0.40683552493690633</c:v>
                </c:pt>
                <c:pt idx="10">
                  <c:v>0.41522290189774796</c:v>
                </c:pt>
                <c:pt idx="11">
                  <c:v>0.42450775511580852</c:v>
                </c:pt>
                <c:pt idx="12">
                  <c:v>0.43293879132882163</c:v>
                </c:pt>
                <c:pt idx="13">
                  <c:v>0.44111481929528495</c:v>
                </c:pt>
                <c:pt idx="14">
                  <c:v>0.44975021668113502</c:v>
                </c:pt>
                <c:pt idx="15">
                  <c:v>0.45919081078856472</c:v>
                </c:pt>
                <c:pt idx="16">
                  <c:v>0.46867898577455741</c:v>
                </c:pt>
                <c:pt idx="17">
                  <c:v>0.4777292935699185</c:v>
                </c:pt>
                <c:pt idx="18">
                  <c:v>0.47890581932053905</c:v>
                </c:pt>
                <c:pt idx="19">
                  <c:v>0.47018209005299078</c:v>
                </c:pt>
                <c:pt idx="20">
                  <c:v>0.46006857244030303</c:v>
                </c:pt>
                <c:pt idx="21">
                  <c:v>0.45372431732664237</c:v>
                </c:pt>
                <c:pt idx="22">
                  <c:v>0.45168069672075539</c:v>
                </c:pt>
                <c:pt idx="23">
                  <c:v>0.45362629773170682</c:v>
                </c:pt>
                <c:pt idx="24">
                  <c:v>0.4577537507866471</c:v>
                </c:pt>
                <c:pt idx="25">
                  <c:v>0.46080456768919881</c:v>
                </c:pt>
                <c:pt idx="26">
                  <c:v>0.46201535639321245</c:v>
                </c:pt>
                <c:pt idx="27">
                  <c:v>0.46033481854264419</c:v>
                </c:pt>
                <c:pt idx="28">
                  <c:v>0.45793672709192801</c:v>
                </c:pt>
                <c:pt idx="29">
                  <c:v>0.45609373652528001</c:v>
                </c:pt>
                <c:pt idx="30">
                  <c:v>0.45838211301197068</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0.36772353617229347</c:v>
                </c:pt>
                <c:pt idx="1">
                  <c:v>0.37169055045127536</c:v>
                </c:pt>
                <c:pt idx="2">
                  <c:v>0.37525907034309502</c:v>
                </c:pt>
                <c:pt idx="3">
                  <c:v>0.37926886651959046</c:v>
                </c:pt>
                <c:pt idx="4">
                  <c:v>0.38374864590877444</c:v>
                </c:pt>
                <c:pt idx="5">
                  <c:v>0.38888081210482256</c:v>
                </c:pt>
                <c:pt idx="6">
                  <c:v>0.39424009445406455</c:v>
                </c:pt>
                <c:pt idx="7">
                  <c:v>0.39958047778219347</c:v>
                </c:pt>
                <c:pt idx="8">
                  <c:v>0.40610185336800314</c:v>
                </c:pt>
                <c:pt idx="9">
                  <c:v>0.41433723816676959</c:v>
                </c:pt>
                <c:pt idx="10">
                  <c:v>0.42351986227203497</c:v>
                </c:pt>
                <c:pt idx="11">
                  <c:v>0.43193226082392383</c:v>
                </c:pt>
                <c:pt idx="12">
                  <c:v>0.43998342231635351</c:v>
                </c:pt>
                <c:pt idx="13">
                  <c:v>0.44853245856993046</c:v>
                </c:pt>
                <c:pt idx="14">
                  <c:v>0.4578344539582031</c:v>
                </c:pt>
                <c:pt idx="15">
                  <c:v>0.46739565118170207</c:v>
                </c:pt>
                <c:pt idx="16">
                  <c:v>0.47743002550768654</c:v>
                </c:pt>
                <c:pt idx="17">
                  <c:v>0.48214704534230501</c:v>
                </c:pt>
                <c:pt idx="18">
                  <c:v>0.47556880518384614</c:v>
                </c:pt>
                <c:pt idx="19">
                  <c:v>0.46518728700636519</c:v>
                </c:pt>
                <c:pt idx="20">
                  <c:v>0.45783908584298932</c:v>
                </c:pt>
                <c:pt idx="21">
                  <c:v>0.45502383529539681</c:v>
                </c:pt>
                <c:pt idx="22">
                  <c:v>0.45655111210498855</c:v>
                </c:pt>
                <c:pt idx="23">
                  <c:v>0.46020525544075847</c:v>
                </c:pt>
                <c:pt idx="24">
                  <c:v>0.4632180746937602</c:v>
                </c:pt>
                <c:pt idx="25">
                  <c:v>0.46408430852817278</c:v>
                </c:pt>
                <c:pt idx="26">
                  <c:v>0.4617277127579979</c:v>
                </c:pt>
                <c:pt idx="27">
                  <c:v>0.45887854888442553</c:v>
                </c:pt>
                <c:pt idx="28">
                  <c:v>0.45656652839242512</c:v>
                </c:pt>
                <c:pt idx="29">
                  <c:v>0.45894196671443471</c:v>
                </c:pt>
                <c:pt idx="30">
                  <c:v>0.45446027499365732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0.37135196866098397</c:v>
                </c:pt>
                <c:pt idx="1">
                  <c:v>0.37587658444602068</c:v>
                </c:pt>
                <c:pt idx="2">
                  <c:v>0.3801039402061217</c:v>
                </c:pt>
                <c:pt idx="3">
                  <c:v>0.38461972133633926</c:v>
                </c:pt>
                <c:pt idx="4">
                  <c:v>0.38991073580009411</c:v>
                </c:pt>
                <c:pt idx="5">
                  <c:v>0.39510090268064674</c:v>
                </c:pt>
                <c:pt idx="6">
                  <c:v>0.40052898358636796</c:v>
                </c:pt>
                <c:pt idx="7">
                  <c:v>0.40739216347610302</c:v>
                </c:pt>
                <c:pt idx="8">
                  <c:v>0.41587038914469615</c:v>
                </c:pt>
                <c:pt idx="9">
                  <c:v>0.42494471599010691</c:v>
                </c:pt>
                <c:pt idx="10">
                  <c:v>0.43289880801791031</c:v>
                </c:pt>
                <c:pt idx="11">
                  <c:v>0.44107213572186915</c:v>
                </c:pt>
                <c:pt idx="12">
                  <c:v>0.4495427941083483</c:v>
                </c:pt>
                <c:pt idx="13">
                  <c:v>0.45904702590321128</c:v>
                </c:pt>
                <c:pt idx="14">
                  <c:v>0.46851266980529332</c:v>
                </c:pt>
                <c:pt idx="15">
                  <c:v>0.48009295739449714</c:v>
                </c:pt>
                <c:pt idx="16">
                  <c:v>0.48794927898325791</c:v>
                </c:pt>
                <c:pt idx="17">
                  <c:v>0.48463847077054373</c:v>
                </c:pt>
                <c:pt idx="18">
                  <c:v>0.47443900021245033</c:v>
                </c:pt>
                <c:pt idx="19">
                  <c:v>0.46658682178895905</c:v>
                </c:pt>
                <c:pt idx="20">
                  <c:v>0.46329825643703054</c:v>
                </c:pt>
                <c:pt idx="21">
                  <c:v>0.4651849592833307</c:v>
                </c:pt>
                <c:pt idx="22">
                  <c:v>0.46805516994460156</c:v>
                </c:pt>
                <c:pt idx="23">
                  <c:v>0.4701026195487733</c:v>
                </c:pt>
                <c:pt idx="24">
                  <c:v>0.46821997650776159</c:v>
                </c:pt>
                <c:pt idx="25">
                  <c:v>0.46444649899659002</c:v>
                </c:pt>
                <c:pt idx="26">
                  <c:v>0.45992204792334274</c:v>
                </c:pt>
                <c:pt idx="27">
                  <c:v>0.45747793164794792</c:v>
                </c:pt>
                <c:pt idx="28">
                  <c:v>0.45892018839938492</c:v>
                </c:pt>
                <c:pt idx="29">
                  <c:v>0.45440159633475208</c:v>
                </c:pt>
                <c:pt idx="30">
                  <c:v>0.45554987375755057</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0.38122633445645365</c:v>
                </c:pt>
                <c:pt idx="1">
                  <c:v>0.38717911160487373</c:v>
                </c:pt>
                <c:pt idx="2">
                  <c:v>0.39259455292364132</c:v>
                </c:pt>
                <c:pt idx="3">
                  <c:v>0.39773344452807546</c:v>
                </c:pt>
                <c:pt idx="4">
                  <c:v>0.40382664273908159</c:v>
                </c:pt>
                <c:pt idx="5">
                  <c:v>0.41159715661381913</c:v>
                </c:pt>
                <c:pt idx="6">
                  <c:v>0.42045500199021735</c:v>
                </c:pt>
                <c:pt idx="7">
                  <c:v>0.42881302214162315</c:v>
                </c:pt>
                <c:pt idx="8">
                  <c:v>0.43647362989224481</c:v>
                </c:pt>
                <c:pt idx="9">
                  <c:v>0.44474844849957434</c:v>
                </c:pt>
                <c:pt idx="10">
                  <c:v>0.45357778645438318</c:v>
                </c:pt>
                <c:pt idx="11">
                  <c:v>0.46306131689688862</c:v>
                </c:pt>
                <c:pt idx="12">
                  <c:v>0.47373782383827473</c:v>
                </c:pt>
                <c:pt idx="13">
                  <c:v>0.48758169808931417</c:v>
                </c:pt>
                <c:pt idx="14">
                  <c:v>0.50310643815336931</c:v>
                </c:pt>
                <c:pt idx="15">
                  <c:v>0.51658862323846666</c:v>
                </c:pt>
                <c:pt idx="16">
                  <c:v>0.51720843073983536</c:v>
                </c:pt>
                <c:pt idx="17">
                  <c:v>0.51017575948466487</c:v>
                </c:pt>
                <c:pt idx="18">
                  <c:v>0.50582160912284546</c:v>
                </c:pt>
                <c:pt idx="19">
                  <c:v>0.5066484460663927</c:v>
                </c:pt>
                <c:pt idx="20">
                  <c:v>0.5055053277790601</c:v>
                </c:pt>
                <c:pt idx="21">
                  <c:v>0.49947526667723435</c:v>
                </c:pt>
                <c:pt idx="22">
                  <c:v>0.48688429833428043</c:v>
                </c:pt>
                <c:pt idx="23">
                  <c:v>0.47548224500669206</c:v>
                </c:pt>
                <c:pt idx="24">
                  <c:v>0.46653792209595674</c:v>
                </c:pt>
                <c:pt idx="25">
                  <c:v>0.46126691593009234</c:v>
                </c:pt>
                <c:pt idx="26">
                  <c:v>0.46028335336047083</c:v>
                </c:pt>
                <c:pt idx="27">
                  <c:v>0.45995082275255211</c:v>
                </c:pt>
                <c:pt idx="28">
                  <c:v>0.45657920379810507</c:v>
                </c:pt>
                <c:pt idx="29">
                  <c:v>0.45822642070522906</c:v>
                </c:pt>
                <c:pt idx="30">
                  <c:v>0.45803065456910486</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0.39312470593475485</c:v>
                </c:pt>
                <c:pt idx="1">
                  <c:v>0.39997154090170706</c:v>
                </c:pt>
                <c:pt idx="2">
                  <c:v>0.40704695284422476</c:v>
                </c:pt>
                <c:pt idx="3">
                  <c:v>0.41547685034906867</c:v>
                </c:pt>
                <c:pt idx="4">
                  <c:v>0.4242093341084035</c:v>
                </c:pt>
                <c:pt idx="5">
                  <c:v>0.43171099632122528</c:v>
                </c:pt>
                <c:pt idx="6">
                  <c:v>0.43971569744222083</c:v>
                </c:pt>
                <c:pt idx="7">
                  <c:v>0.44793923854222562</c:v>
                </c:pt>
                <c:pt idx="8">
                  <c:v>0.45727306536036322</c:v>
                </c:pt>
                <c:pt idx="9">
                  <c:v>0.46656409570085849</c:v>
                </c:pt>
                <c:pt idx="10">
                  <c:v>0.47919316998297057</c:v>
                </c:pt>
                <c:pt idx="11">
                  <c:v>0.49377444857371444</c:v>
                </c:pt>
                <c:pt idx="12">
                  <c:v>0.51244390530584494</c:v>
                </c:pt>
                <c:pt idx="13">
                  <c:v>0.53576382406051382</c:v>
                </c:pt>
                <c:pt idx="14">
                  <c:v>0.56351844280056718</c:v>
                </c:pt>
                <c:pt idx="15">
                  <c:v>0.58135533828128505</c:v>
                </c:pt>
                <c:pt idx="16">
                  <c:v>0.58688031772689531</c:v>
                </c:pt>
                <c:pt idx="17">
                  <c:v>0.58367199641939194</c:v>
                </c:pt>
                <c:pt idx="18">
                  <c:v>0.57526012571467267</c:v>
                </c:pt>
                <c:pt idx="19">
                  <c:v>0.55189027863209716</c:v>
                </c:pt>
                <c:pt idx="20">
                  <c:v>0.52444961577665794</c:v>
                </c:pt>
                <c:pt idx="21">
                  <c:v>0.49939446599245768</c:v>
                </c:pt>
                <c:pt idx="22">
                  <c:v>0.4818723587506899</c:v>
                </c:pt>
                <c:pt idx="23">
                  <c:v>0.46967385086540542</c:v>
                </c:pt>
                <c:pt idx="24">
                  <c:v>0.46841492116455813</c:v>
                </c:pt>
                <c:pt idx="25">
                  <c:v>0.46118675839838164</c:v>
                </c:pt>
                <c:pt idx="26">
                  <c:v>0.46042459746021003</c:v>
                </c:pt>
                <c:pt idx="27">
                  <c:v>0.45677095641974985</c:v>
                </c:pt>
                <c:pt idx="28">
                  <c:v>0.4564396952992113</c:v>
                </c:pt>
                <c:pt idx="29">
                  <c:v>0.45478895553259585</c:v>
                </c:pt>
                <c:pt idx="30">
                  <c:v>0.4543913965614062</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687615304"/>
        <c:axId val="68761648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8761530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87616480"/>
        <c:crosses val="autoZero"/>
        <c:crossBetween val="midCat"/>
        <c:majorUnit val="10000"/>
      </c:valAx>
      <c:valAx>
        <c:axId val="687616480"/>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87615304"/>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10681.367679183619</c:v>
                </c:pt>
                <c:pt idx="1">
                  <c:v>10340.369878221287</c:v>
                </c:pt>
                <c:pt idx="2">
                  <c:v>10144.235493546155</c:v>
                </c:pt>
                <c:pt idx="3">
                  <c:v>9945.8458355930761</c:v>
                </c:pt>
                <c:pt idx="4">
                  <c:v>9733.3402923935464</c:v>
                </c:pt>
                <c:pt idx="5">
                  <c:v>9498.3871358707802</c:v>
                </c:pt>
                <c:pt idx="6">
                  <c:v>9242.4212792479666</c:v>
                </c:pt>
                <c:pt idx="7">
                  <c:v>8962.4165772503438</c:v>
                </c:pt>
                <c:pt idx="8">
                  <c:v>8679.0953494242967</c:v>
                </c:pt>
                <c:pt idx="9">
                  <c:v>8412.1987380125211</c:v>
                </c:pt>
                <c:pt idx="10">
                  <c:v>8104.719083836997</c:v>
                </c:pt>
                <c:pt idx="11">
                  <c:v>7738.4866265331348</c:v>
                </c:pt>
                <c:pt idx="12">
                  <c:v>7356.7094808941847</c:v>
                </c:pt>
                <c:pt idx="13">
                  <c:v>7029.386180221145</c:v>
                </c:pt>
                <c:pt idx="14">
                  <c:v>6740.4128171607354</c:v>
                </c:pt>
                <c:pt idx="15">
                  <c:v>6451.1295620052033</c:v>
                </c:pt>
                <c:pt idx="16">
                  <c:v>6158.0006144488207</c:v>
                </c:pt>
                <c:pt idx="17">
                  <c:v>5864.4544291342345</c:v>
                </c:pt>
                <c:pt idx="18">
                  <c:v>5497.1399794237341</c:v>
                </c:pt>
                <c:pt idx="19">
                  <c:v>4940.0481403456943</c:v>
                </c:pt>
                <c:pt idx="20">
                  <c:v>4302.8208260658694</c:v>
                </c:pt>
                <c:pt idx="21">
                  <c:v>3694.2569609036786</c:v>
                </c:pt>
                <c:pt idx="22">
                  <c:v>3126.9337293210729</c:v>
                </c:pt>
                <c:pt idx="23">
                  <c:v>2566.4428591616524</c:v>
                </c:pt>
                <c:pt idx="24">
                  <c:v>1999.3722885012867</c:v>
                </c:pt>
                <c:pt idx="25">
                  <c:v>1469.5776968625496</c:v>
                </c:pt>
                <c:pt idx="26">
                  <c:v>1062.2051299591283</c:v>
                </c:pt>
                <c:pt idx="27">
                  <c:v>790.39019215198527</c:v>
                </c:pt>
                <c:pt idx="28">
                  <c:v>652.53051651246926</c:v>
                </c:pt>
                <c:pt idx="29">
                  <c:v>578.9290265565794</c:v>
                </c:pt>
                <c:pt idx="30">
                  <c:v>543.3455967986946</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10334.776176356636</c:v>
                </c:pt>
                <c:pt idx="1">
                  <c:v>10091.776344091975</c:v>
                </c:pt>
                <c:pt idx="2">
                  <c:v>9888.29643553188</c:v>
                </c:pt>
                <c:pt idx="3">
                  <c:v>9675.5582946416034</c:v>
                </c:pt>
                <c:pt idx="4">
                  <c:v>9437.8844555939704</c:v>
                </c:pt>
                <c:pt idx="5">
                  <c:v>9182.6179716248589</c:v>
                </c:pt>
                <c:pt idx="6">
                  <c:v>8899.8294294290881</c:v>
                </c:pt>
                <c:pt idx="7">
                  <c:v>8621.6067732840511</c:v>
                </c:pt>
                <c:pt idx="8">
                  <c:v>8354.3796068734482</c:v>
                </c:pt>
                <c:pt idx="9">
                  <c:v>8041.7904738604348</c:v>
                </c:pt>
                <c:pt idx="10">
                  <c:v>7673.2145085350385</c:v>
                </c:pt>
                <c:pt idx="11">
                  <c:v>7295.4976540764501</c:v>
                </c:pt>
                <c:pt idx="12">
                  <c:v>6977.8752509418382</c:v>
                </c:pt>
                <c:pt idx="13">
                  <c:v>6688.5988498392426</c:v>
                </c:pt>
                <c:pt idx="14">
                  <c:v>6402.4667189627462</c:v>
                </c:pt>
                <c:pt idx="15">
                  <c:v>6108.5862714487212</c:v>
                </c:pt>
                <c:pt idx="16">
                  <c:v>5821.8385981744532</c:v>
                </c:pt>
                <c:pt idx="17">
                  <c:v>5461.5612200441165</c:v>
                </c:pt>
                <c:pt idx="18">
                  <c:v>4936.5934069622945</c:v>
                </c:pt>
                <c:pt idx="19">
                  <c:v>4296.9639126238171</c:v>
                </c:pt>
                <c:pt idx="20">
                  <c:v>3679.1110460410682</c:v>
                </c:pt>
                <c:pt idx="21">
                  <c:v>3097.6161878660678</c:v>
                </c:pt>
                <c:pt idx="22">
                  <c:v>2528.090407055493</c:v>
                </c:pt>
                <c:pt idx="23">
                  <c:v>1953.6029786216222</c:v>
                </c:pt>
                <c:pt idx="24">
                  <c:v>1432.382407665888</c:v>
                </c:pt>
                <c:pt idx="25">
                  <c:v>1033.3489091490621</c:v>
                </c:pt>
                <c:pt idx="26">
                  <c:v>776.17019476824578</c:v>
                </c:pt>
                <c:pt idx="27">
                  <c:v>643.6842763640858</c:v>
                </c:pt>
                <c:pt idx="28">
                  <c:v>575.83936179835393</c:v>
                </c:pt>
                <c:pt idx="29">
                  <c:v>540.3807046910232</c:v>
                </c:pt>
                <c:pt idx="30">
                  <c:v>518.13069577372926</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10108.713203034791</c:v>
                </c:pt>
                <c:pt idx="1">
                  <c:v>9863.3085771990827</c:v>
                </c:pt>
                <c:pt idx="2">
                  <c:v>9647.7546876992856</c:v>
                </c:pt>
                <c:pt idx="3">
                  <c:v>9412.3170807609295</c:v>
                </c:pt>
                <c:pt idx="4">
                  <c:v>9158.3278957287839</c:v>
                </c:pt>
                <c:pt idx="5">
                  <c:v>8878.5637787646356</c:v>
                </c:pt>
                <c:pt idx="6">
                  <c:v>8599.940751813896</c:v>
                </c:pt>
                <c:pt idx="7">
                  <c:v>8334.6832742009774</c:v>
                </c:pt>
                <c:pt idx="8">
                  <c:v>8026.4753702879098</c:v>
                </c:pt>
                <c:pt idx="9">
                  <c:v>7661.4445647597695</c:v>
                </c:pt>
                <c:pt idx="10">
                  <c:v>7284.5164584803897</c:v>
                </c:pt>
                <c:pt idx="11">
                  <c:v>6964.8609670274845</c:v>
                </c:pt>
                <c:pt idx="12">
                  <c:v>6677.7336683154199</c:v>
                </c:pt>
                <c:pt idx="13">
                  <c:v>6392.2538098508458</c:v>
                </c:pt>
                <c:pt idx="14">
                  <c:v>6101.0485432855839</c:v>
                </c:pt>
                <c:pt idx="15">
                  <c:v>5816.6056093144152</c:v>
                </c:pt>
                <c:pt idx="16">
                  <c:v>5480.1263998982886</c:v>
                </c:pt>
                <c:pt idx="17">
                  <c:v>5001.3542238279779</c:v>
                </c:pt>
                <c:pt idx="18">
                  <c:v>4378.6857587374161</c:v>
                </c:pt>
                <c:pt idx="19">
                  <c:v>3745.6038917295314</c:v>
                </c:pt>
                <c:pt idx="20">
                  <c:v>3148.5137755573865</c:v>
                </c:pt>
                <c:pt idx="21">
                  <c:v>2567.2806883234543</c:v>
                </c:pt>
                <c:pt idx="22">
                  <c:v>1986.0678137294008</c:v>
                </c:pt>
                <c:pt idx="23">
                  <c:v>1454.0043020913115</c:v>
                </c:pt>
                <c:pt idx="24">
                  <c:v>1049.180195775346</c:v>
                </c:pt>
                <c:pt idx="25">
                  <c:v>784.12675101552475</c:v>
                </c:pt>
                <c:pt idx="26">
                  <c:v>648.62186552417882</c:v>
                </c:pt>
                <c:pt idx="27">
                  <c:v>577.86544910218402</c:v>
                </c:pt>
                <c:pt idx="28">
                  <c:v>542.13014146932505</c:v>
                </c:pt>
                <c:pt idx="29">
                  <c:v>519.06435890850435</c:v>
                </c:pt>
                <c:pt idx="30">
                  <c:v>506.56668178937065</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9827.0404934265953</c:v>
                </c:pt>
                <c:pt idx="1">
                  <c:v>9554.6131285549327</c:v>
                </c:pt>
                <c:pt idx="2">
                  <c:v>9307.5270109220583</c:v>
                </c:pt>
                <c:pt idx="3">
                  <c:v>9052.7901664061646</c:v>
                </c:pt>
                <c:pt idx="4">
                  <c:v>8765.8976127630649</c:v>
                </c:pt>
                <c:pt idx="5">
                  <c:v>8497.5960737726527</c:v>
                </c:pt>
                <c:pt idx="6">
                  <c:v>8229.2269119551856</c:v>
                </c:pt>
                <c:pt idx="7">
                  <c:v>7906.9976228628248</c:v>
                </c:pt>
                <c:pt idx="8">
                  <c:v>7534.9505992492377</c:v>
                </c:pt>
                <c:pt idx="9">
                  <c:v>7166.8631213057552</c:v>
                </c:pt>
                <c:pt idx="10">
                  <c:v>6867.7062482363972</c:v>
                </c:pt>
                <c:pt idx="11">
                  <c:v>6578.6198965937929</c:v>
                </c:pt>
                <c:pt idx="12">
                  <c:v>6298.4876021181899</c:v>
                </c:pt>
                <c:pt idx="13">
                  <c:v>6004.311404381504</c:v>
                </c:pt>
                <c:pt idx="14">
                  <c:v>5728.9563133722204</c:v>
                </c:pt>
                <c:pt idx="15">
                  <c:v>5384.1034806229181</c:v>
                </c:pt>
                <c:pt idx="16">
                  <c:v>4946.9073871376504</c:v>
                </c:pt>
                <c:pt idx="17">
                  <c:v>4341.3949978794144</c:v>
                </c:pt>
                <c:pt idx="18">
                  <c:v>3695.6706844027317</c:v>
                </c:pt>
                <c:pt idx="19">
                  <c:v>3068.755950536985</c:v>
                </c:pt>
                <c:pt idx="20">
                  <c:v>2467.1652727793789</c:v>
                </c:pt>
                <c:pt idx="21">
                  <c:v>1870.2488465480699</c:v>
                </c:pt>
                <c:pt idx="22">
                  <c:v>1361.6454434772222</c:v>
                </c:pt>
                <c:pt idx="23">
                  <c:v>978.74851186182502</c:v>
                </c:pt>
                <c:pt idx="24">
                  <c:v>750.04973579798059</c:v>
                </c:pt>
                <c:pt idx="25">
                  <c:v>627.42168862186645</c:v>
                </c:pt>
                <c:pt idx="26">
                  <c:v>570.28890979557161</c:v>
                </c:pt>
                <c:pt idx="27">
                  <c:v>534.99091249150581</c:v>
                </c:pt>
                <c:pt idx="28">
                  <c:v>516.06818092277001</c:v>
                </c:pt>
                <c:pt idx="29">
                  <c:v>504.17354863560553</c:v>
                </c:pt>
                <c:pt idx="30">
                  <c:v>480.31847035858652</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9149.8345482474924</c:v>
                </c:pt>
                <c:pt idx="1">
                  <c:v>8820.2788795776141</c:v>
                </c:pt>
                <c:pt idx="2">
                  <c:v>8533.8722605331295</c:v>
                </c:pt>
                <c:pt idx="3">
                  <c:v>8273.7015747988644</c:v>
                </c:pt>
                <c:pt idx="4">
                  <c:v>7979.0862222792848</c:v>
                </c:pt>
                <c:pt idx="5">
                  <c:v>7625.3190133909084</c:v>
                </c:pt>
                <c:pt idx="6">
                  <c:v>7251.0629198471606</c:v>
                </c:pt>
                <c:pt idx="7">
                  <c:v>6924.393407013602</c:v>
                </c:pt>
                <c:pt idx="8">
                  <c:v>6643.9609995540914</c:v>
                </c:pt>
                <c:pt idx="9">
                  <c:v>6360.2369441944311</c:v>
                </c:pt>
                <c:pt idx="10">
                  <c:v>6077.1759886859509</c:v>
                </c:pt>
                <c:pt idx="11">
                  <c:v>5794.3492029841209</c:v>
                </c:pt>
                <c:pt idx="12">
                  <c:v>5497.4610054881305</c:v>
                </c:pt>
                <c:pt idx="13">
                  <c:v>5142.3629386905741</c:v>
                </c:pt>
                <c:pt idx="14">
                  <c:v>4755.3271416437765</c:v>
                </c:pt>
                <c:pt idx="15">
                  <c:v>4259.9552232455089</c:v>
                </c:pt>
                <c:pt idx="16">
                  <c:v>3608.881023132205</c:v>
                </c:pt>
                <c:pt idx="17">
                  <c:v>2894.897040918956</c:v>
                </c:pt>
                <c:pt idx="18">
                  <c:v>2208.0535004045023</c:v>
                </c:pt>
                <c:pt idx="19">
                  <c:v>1590.7510281023892</c:v>
                </c:pt>
                <c:pt idx="20">
                  <c:v>1134.4072038150462</c:v>
                </c:pt>
                <c:pt idx="21">
                  <c:v>828.10892034291578</c:v>
                </c:pt>
                <c:pt idx="22">
                  <c:v>674.83435785785764</c:v>
                </c:pt>
                <c:pt idx="23">
                  <c:v>590.63358810768784</c:v>
                </c:pt>
                <c:pt idx="24">
                  <c:v>552.35798150339338</c:v>
                </c:pt>
                <c:pt idx="25">
                  <c:v>523.49731143746499</c:v>
                </c:pt>
                <c:pt idx="26">
                  <c:v>511.68260567729681</c:v>
                </c:pt>
                <c:pt idx="27">
                  <c:v>494.48298272135173</c:v>
                </c:pt>
                <c:pt idx="28">
                  <c:v>471.68716650538101</c:v>
                </c:pt>
                <c:pt idx="29">
                  <c:v>468.71385881352927</c:v>
                </c:pt>
                <c:pt idx="30">
                  <c:v>468.47657281171303</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8426.4757441054771</c:v>
                </c:pt>
                <c:pt idx="1">
                  <c:v>8085.1354599765227</c:v>
                </c:pt>
                <c:pt idx="2">
                  <c:v>7751.6368467103184</c:v>
                </c:pt>
                <c:pt idx="3">
                  <c:v>7379.8266913065718</c:v>
                </c:pt>
                <c:pt idx="4">
                  <c:v>7023.3701518062126</c:v>
                </c:pt>
                <c:pt idx="5">
                  <c:v>6738.7256441372629</c:v>
                </c:pt>
                <c:pt idx="6">
                  <c:v>6452.9254698981604</c:v>
                </c:pt>
                <c:pt idx="7">
                  <c:v>6178.6253583876323</c:v>
                </c:pt>
                <c:pt idx="8">
                  <c:v>5887.9416764587622</c:v>
                </c:pt>
                <c:pt idx="9">
                  <c:v>5619.2322674786419</c:v>
                </c:pt>
                <c:pt idx="10">
                  <c:v>5280.3661713673137</c:v>
                </c:pt>
                <c:pt idx="11">
                  <c:v>4925.7855811728932</c:v>
                </c:pt>
                <c:pt idx="12">
                  <c:v>4516.2157436003417</c:v>
                </c:pt>
                <c:pt idx="13">
                  <c:v>4054.7135164176284</c:v>
                </c:pt>
                <c:pt idx="14">
                  <c:v>3480.9757019740573</c:v>
                </c:pt>
                <c:pt idx="15">
                  <c:v>2776.8290278599252</c:v>
                </c:pt>
                <c:pt idx="16">
                  <c:v>2021.5623770745678</c:v>
                </c:pt>
                <c:pt idx="17">
                  <c:v>1425.0251284859655</c:v>
                </c:pt>
                <c:pt idx="18">
                  <c:v>1000.3144588532851</c:v>
                </c:pt>
                <c:pt idx="19">
                  <c:v>766.53007991277559</c:v>
                </c:pt>
                <c:pt idx="20">
                  <c:v>637.70408339015069</c:v>
                </c:pt>
                <c:pt idx="21">
                  <c:v>580.81989332695025</c:v>
                </c:pt>
                <c:pt idx="22">
                  <c:v>540.7919524224219</c:v>
                </c:pt>
                <c:pt idx="23">
                  <c:v>519.88174858869183</c:v>
                </c:pt>
                <c:pt idx="24">
                  <c:v>509.34643430573385</c:v>
                </c:pt>
                <c:pt idx="25">
                  <c:v>480.55733666885891</c:v>
                </c:pt>
                <c:pt idx="26">
                  <c:v>471.54124630560909</c:v>
                </c:pt>
                <c:pt idx="27">
                  <c:v>469.40352706055</c:v>
                </c:pt>
                <c:pt idx="28">
                  <c:v>469.06241231883331</c:v>
                </c:pt>
                <c:pt idx="29">
                  <c:v>467.11183046926152</c:v>
                </c:pt>
                <c:pt idx="30">
                  <c:v>466.16000667860783</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592094088"/>
        <c:axId val="59209330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9209408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2093304"/>
        <c:crosses val="autoZero"/>
        <c:crossBetween val="midCat"/>
        <c:majorUnit val="10000"/>
      </c:valAx>
      <c:valAx>
        <c:axId val="592093304"/>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2094088"/>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1.003641676343207E-2</c:v>
                </c:pt>
                <c:pt idx="1">
                  <c:v>1.3464052130454122E-2</c:v>
                </c:pt>
                <c:pt idx="2">
                  <c:v>3.6840234403118033E-3</c:v>
                </c:pt>
                <c:pt idx="3">
                  <c:v>6.209009427218102E-4</c:v>
                </c:pt>
                <c:pt idx="4">
                  <c:v>8.942901042776671E-5</c:v>
                </c:pt>
                <c:pt idx="5">
                  <c:v>1.3548145590832895E-5</c:v>
                </c:pt>
                <c:pt idx="6">
                  <c:v>8.73764078312545E-6</c:v>
                </c:pt>
                <c:pt idx="7">
                  <c:v>1.9301754702848935E-5</c:v>
                </c:pt>
                <c:pt idx="8">
                  <c:v>4.8595078383704351E-5</c:v>
                </c:pt>
                <c:pt idx="9">
                  <c:v>1.0612945413984835E-4</c:v>
                </c:pt>
                <c:pt idx="10">
                  <c:v>1.9278455252609361E-4</c:v>
                </c:pt>
                <c:pt idx="11">
                  <c:v>2.9358879657034458E-4</c:v>
                </c:pt>
                <c:pt idx="12">
                  <c:v>3.8032661031530145E-4</c:v>
                </c:pt>
                <c:pt idx="13">
                  <c:v>4.2569051430302698E-4</c:v>
                </c:pt>
                <c:pt idx="14">
                  <c:v>4.1434998692134776E-4</c:v>
                </c:pt>
                <c:pt idx="15">
                  <c:v>3.6056514977669813E-4</c:v>
                </c:pt>
                <c:pt idx="16">
                  <c:v>2.812039609335968E-4</c:v>
                </c:pt>
                <c:pt idx="17">
                  <c:v>1.9963009635517155E-4</c:v>
                </c:pt>
                <c:pt idx="18">
                  <c:v>1.2734103014228686E-4</c:v>
                </c:pt>
                <c:pt idx="19">
                  <c:v>6.8355460356310898E-5</c:v>
                </c:pt>
                <c:pt idx="20">
                  <c:v>3.2642537525041889E-5</c:v>
                </c:pt>
                <c:pt idx="21">
                  <c:v>1.2751222445407933E-5</c:v>
                </c:pt>
                <c:pt idx="22">
                  <c:v>3.6568749594038736E-5</c:v>
                </c:pt>
                <c:pt idx="23">
                  <c:v>6.6816366847772326E-5</c:v>
                </c:pt>
                <c:pt idx="24">
                  <c:v>1.0710487669474464E-4</c:v>
                </c:pt>
                <c:pt idx="25">
                  <c:v>1.7147125420777316E-4</c:v>
                </c:pt>
                <c:pt idx="26">
                  <c:v>8.835990410532823E-4</c:v>
                </c:pt>
                <c:pt idx="27">
                  <c:v>2.5226529050491782E-3</c:v>
                </c:pt>
                <c:pt idx="28">
                  <c:v>3.6495723160224333E-3</c:v>
                </c:pt>
                <c:pt idx="29">
                  <c:v>1.2704409747880117E-3</c:v>
                </c:pt>
                <c:pt idx="30">
                  <c:v>7.6597224709080319E-4</c:v>
                </c:pt>
              </c:numCache>
            </c:numRef>
          </c:yVal>
          <c:smooth val="1"/>
        </c:ser>
        <c:dLbls>
          <c:showLegendKey val="0"/>
          <c:showVal val="0"/>
          <c:showCatName val="0"/>
          <c:showSerName val="0"/>
          <c:showPercent val="0"/>
          <c:showBubbleSize val="0"/>
        </c:dLbls>
        <c:axId val="592091736"/>
        <c:axId val="592092128"/>
      </c:scatterChart>
      <c:valAx>
        <c:axId val="59209173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2092128"/>
        <c:crossesAt val="-1.5000000000000005E-3"/>
        <c:crossBetween val="midCat"/>
      </c:valAx>
      <c:valAx>
        <c:axId val="592092128"/>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2091736"/>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9149.8345482474924</c:v>
                </c:pt>
                <c:pt idx="1">
                  <c:v>8820.2788795776141</c:v>
                </c:pt>
                <c:pt idx="2">
                  <c:v>8533.8722605331295</c:v>
                </c:pt>
                <c:pt idx="3">
                  <c:v>8273.7015747988644</c:v>
                </c:pt>
                <c:pt idx="4">
                  <c:v>7979.0862222792848</c:v>
                </c:pt>
                <c:pt idx="5">
                  <c:v>7625.3190133909084</c:v>
                </c:pt>
                <c:pt idx="6">
                  <c:v>7251.0629198471606</c:v>
                </c:pt>
                <c:pt idx="7">
                  <c:v>6924.393407013602</c:v>
                </c:pt>
                <c:pt idx="8">
                  <c:v>6643.9609995540914</c:v>
                </c:pt>
                <c:pt idx="9">
                  <c:v>6360.2369441944311</c:v>
                </c:pt>
                <c:pt idx="10">
                  <c:v>6077.1759886859509</c:v>
                </c:pt>
                <c:pt idx="11">
                  <c:v>5794.3492029841209</c:v>
                </c:pt>
                <c:pt idx="12">
                  <c:v>5497.4610054881305</c:v>
                </c:pt>
                <c:pt idx="13">
                  <c:v>5142.3629386905741</c:v>
                </c:pt>
                <c:pt idx="14">
                  <c:v>4755.3271416437765</c:v>
                </c:pt>
                <c:pt idx="15">
                  <c:v>4259.9552232455089</c:v>
                </c:pt>
                <c:pt idx="16">
                  <c:v>3608.881023132205</c:v>
                </c:pt>
                <c:pt idx="17">
                  <c:v>2894.897040918956</c:v>
                </c:pt>
                <c:pt idx="18">
                  <c:v>2208.0535004045023</c:v>
                </c:pt>
                <c:pt idx="19">
                  <c:v>1590.7510281023892</c:v>
                </c:pt>
                <c:pt idx="20">
                  <c:v>1134.4072038150462</c:v>
                </c:pt>
                <c:pt idx="21">
                  <c:v>828.10892034291578</c:v>
                </c:pt>
                <c:pt idx="22">
                  <c:v>674.83435785785764</c:v>
                </c:pt>
                <c:pt idx="23">
                  <c:v>590.63358810768784</c:v>
                </c:pt>
                <c:pt idx="24">
                  <c:v>552.35798150339338</c:v>
                </c:pt>
                <c:pt idx="25">
                  <c:v>523.49731143746499</c:v>
                </c:pt>
                <c:pt idx="26">
                  <c:v>511.68260567729681</c:v>
                </c:pt>
                <c:pt idx="27">
                  <c:v>494.48298272135173</c:v>
                </c:pt>
                <c:pt idx="28">
                  <c:v>471.68716650538101</c:v>
                </c:pt>
                <c:pt idx="29">
                  <c:v>468.71385881352927</c:v>
                </c:pt>
                <c:pt idx="30">
                  <c:v>468.47657281171303</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9058.0029954048314</c:v>
                </c:pt>
                <c:pt idx="1">
                  <c:v>8939.0355742173906</c:v>
                </c:pt>
                <c:pt idx="2">
                  <c:v>8502.4332750886988</c:v>
                </c:pt>
                <c:pt idx="3">
                  <c:v>8278.8387239064559</c:v>
                </c:pt>
                <c:pt idx="4">
                  <c:v>7978.3726604943085</c:v>
                </c:pt>
                <c:pt idx="5">
                  <c:v>7625.4223223230783</c:v>
                </c:pt>
                <c:pt idx="6">
                  <c:v>7250.9995626640712</c:v>
                </c:pt>
                <c:pt idx="7">
                  <c:v>6924.5270599566102</c:v>
                </c:pt>
                <c:pt idx="8">
                  <c:v>6643.6381357485398</c:v>
                </c:pt>
                <c:pt idx="9">
                  <c:v>6360.9119526695185</c:v>
                </c:pt>
                <c:pt idx="10">
                  <c:v>6076.0044030323497</c:v>
                </c:pt>
                <c:pt idx="11">
                  <c:v>5796.0503589935333</c:v>
                </c:pt>
                <c:pt idx="12">
                  <c:v>5495.3701747785726</c:v>
                </c:pt>
                <c:pt idx="13">
                  <c:v>5144.5519938146781</c:v>
                </c:pt>
                <c:pt idx="14">
                  <c:v>4753.3567719048297</c:v>
                </c:pt>
                <c:pt idx="15">
                  <c:v>4261.4912146386205</c:v>
                </c:pt>
                <c:pt idx="16">
                  <c:v>3607.8661914939621</c:v>
                </c:pt>
                <c:pt idx="17">
                  <c:v>2895.474949494173</c:v>
                </c:pt>
                <c:pt idx="18">
                  <c:v>2207.7723245971515</c:v>
                </c:pt>
                <c:pt idx="19">
                  <c:v>1590.8597646212274</c:v>
                </c:pt>
                <c:pt idx="20">
                  <c:v>1134.3701738853269</c:v>
                </c:pt>
                <c:pt idx="21">
                  <c:v>828.1194797439681</c:v>
                </c:pt>
                <c:pt idx="22">
                  <c:v>674.80968000920768</c:v>
                </c:pt>
                <c:pt idx="23">
                  <c:v>590.67305209818346</c:v>
                </c:pt>
                <c:pt idx="24">
                  <c:v>552.2988212698931</c:v>
                </c:pt>
                <c:pt idx="25">
                  <c:v>523.58707617803157</c:v>
                </c:pt>
                <c:pt idx="26">
                  <c:v>512.13472793699691</c:v>
                </c:pt>
                <c:pt idx="27">
                  <c:v>493.23557378849233</c:v>
                </c:pt>
                <c:pt idx="28">
                  <c:v>473.40862293008212</c:v>
                </c:pt>
                <c:pt idx="29">
                  <c:v>468.11838552184156</c:v>
                </c:pt>
                <c:pt idx="30">
                  <c:v>468.11773275852704</c:v>
                </c:pt>
              </c:numCache>
            </c:numRef>
          </c:yVal>
          <c:smooth val="1"/>
        </c:ser>
        <c:dLbls>
          <c:showLegendKey val="0"/>
          <c:showVal val="0"/>
          <c:showCatName val="0"/>
          <c:showSerName val="0"/>
          <c:showPercent val="0"/>
          <c:showBubbleSize val="0"/>
        </c:dLbls>
        <c:axId val="592092520"/>
        <c:axId val="592092912"/>
      </c:scatterChart>
      <c:valAx>
        <c:axId val="59209252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2092912"/>
        <c:crosses val="autoZero"/>
        <c:crossBetween val="midCat"/>
      </c:valAx>
      <c:valAx>
        <c:axId val="5920929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2092520"/>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0</c:v>
                </c:pt>
                <c:pt idx="1">
                  <c:v>0</c:v>
                </c:pt>
                <c:pt idx="2">
                  <c:v>0</c:v>
                </c:pt>
                <c:pt idx="3">
                  <c:v>0</c:v>
                </c:pt>
                <c:pt idx="4">
                  <c:v>0</c:v>
                </c:pt>
                <c:pt idx="5">
                  <c:v>0</c:v>
                </c:pt>
                <c:pt idx="6">
                  <c:v>0</c:v>
                </c:pt>
                <c:pt idx="7">
                  <c:v>0</c:v>
                </c:pt>
                <c:pt idx="8">
                  <c:v>0</c:v>
                </c:pt>
                <c:pt idx="9">
                  <c:v>0</c:v>
                </c:pt>
                <c:pt idx="10">
                  <c:v>2.3240481489229317E-2</c:v>
                </c:pt>
                <c:pt idx="11">
                  <c:v>1.9707654869653517E-2</c:v>
                </c:pt>
                <c:pt idx="12">
                  <c:v>1.8711129326728394E-2</c:v>
                </c:pt>
                <c:pt idx="13">
                  <c:v>1.7197205540900925E-2</c:v>
                </c:pt>
                <c:pt idx="14">
                  <c:v>1.738766909687758E-2</c:v>
                </c:pt>
                <c:pt idx="15">
                  <c:v>1.9634140889003088E-2</c:v>
                </c:pt>
                <c:pt idx="16">
                  <c:v>1.756272482794688E-2</c:v>
                </c:pt>
                <c:pt idx="17">
                  <c:v>1.907219957231597E-2</c:v>
                </c:pt>
                <c:pt idx="18">
                  <c:v>1.6989774309110823E-2</c:v>
                </c:pt>
                <c:pt idx="19">
                  <c:v>1.6643888386022907E-2</c:v>
                </c:pt>
                <c:pt idx="20">
                  <c:v>3.901718925436279E-3</c:v>
                </c:pt>
                <c:pt idx="21">
                  <c:v>0</c:v>
                </c:pt>
                <c:pt idx="22">
                  <c:v>0</c:v>
                </c:pt>
                <c:pt idx="23">
                  <c:v>0</c:v>
                </c:pt>
                <c:pt idx="24">
                  <c:v>0</c:v>
                </c:pt>
                <c:pt idx="25">
                  <c:v>0</c:v>
                </c:pt>
                <c:pt idx="26">
                  <c:v>0</c:v>
                </c:pt>
                <c:pt idx="27">
                  <c:v>0</c:v>
                </c:pt>
                <c:pt idx="28">
                  <c:v>0</c:v>
                </c:pt>
                <c:pt idx="29">
                  <c:v>0</c:v>
                </c:pt>
                <c:pt idx="30">
                  <c:v>0</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0.10246402173662784</c:v>
                </c:pt>
                <c:pt idx="1">
                  <c:v>8.0135927528890927E-2</c:v>
                </c:pt>
                <c:pt idx="2">
                  <c:v>5.9615672341424779E-2</c:v>
                </c:pt>
                <c:pt idx="3">
                  <c:v>3.641719905673594E-2</c:v>
                </c:pt>
                <c:pt idx="4">
                  <c:v>1.2934235830753357E-2</c:v>
                </c:pt>
                <c:pt idx="5">
                  <c:v>7.4765643211259216E-3</c:v>
                </c:pt>
                <c:pt idx="6">
                  <c:v>2.1270698906496983E-2</c:v>
                </c:pt>
                <c:pt idx="7">
                  <c:v>1.689479051055582E-2</c:v>
                </c:pt>
                <c:pt idx="8">
                  <c:v>1.9744849720725977E-2</c:v>
                </c:pt>
                <c:pt idx="9">
                  <c:v>2.0911319695479182E-2</c:v>
                </c:pt>
                <c:pt idx="10">
                  <c:v>2.1289683956011329E-2</c:v>
                </c:pt>
                <c:pt idx="11">
                  <c:v>2.0936865695985882E-2</c:v>
                </c:pt>
                <c:pt idx="12">
                  <c:v>2.0222584630506007E-2</c:v>
                </c:pt>
                <c:pt idx="13">
                  <c:v>2.1799640051873511E-2</c:v>
                </c:pt>
                <c:pt idx="14">
                  <c:v>2.1791836633384735E-2</c:v>
                </c:pt>
                <c:pt idx="15">
                  <c:v>2.2572824434167447E-2</c:v>
                </c:pt>
                <c:pt idx="16">
                  <c:v>2.0645025199769833E-2</c:v>
                </c:pt>
                <c:pt idx="17">
                  <c:v>1.3299860487215051E-3</c:v>
                </c:pt>
                <c:pt idx="18">
                  <c:v>4.7904866032328824E-2</c:v>
                </c:pt>
                <c:pt idx="19">
                  <c:v>7.4342640329356516E-2</c:v>
                </c:pt>
                <c:pt idx="20">
                  <c:v>6.0277781040065218E-2</c:v>
                </c:pt>
                <c:pt idx="21">
                  <c:v>2.8797376379297503E-2</c:v>
                </c:pt>
                <c:pt idx="22">
                  <c:v>6.1765043896836276E-3</c:v>
                </c:pt>
                <c:pt idx="23">
                  <c:v>2.1177602021511671E-2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c:v>
                </c:pt>
                <c:pt idx="1">
                  <c:v>0</c:v>
                </c:pt>
                <c:pt idx="2">
                  <c:v>0</c:v>
                </c:pt>
                <c:pt idx="3">
                  <c:v>0</c:v>
                </c:pt>
                <c:pt idx="4">
                  <c:v>0</c:v>
                </c:pt>
                <c:pt idx="5">
                  <c:v>0</c:v>
                </c:pt>
                <c:pt idx="6">
                  <c:v>0</c:v>
                </c:pt>
                <c:pt idx="7">
                  <c:v>0</c:v>
                </c:pt>
                <c:pt idx="8">
                  <c:v>0</c:v>
                </c:pt>
                <c:pt idx="9">
                  <c:v>0</c:v>
                </c:pt>
                <c:pt idx="10">
                  <c:v>1.6316317316295376E-2</c:v>
                </c:pt>
                <c:pt idx="11">
                  <c:v>1.5368932925936225E-2</c:v>
                </c:pt>
                <c:pt idx="12">
                  <c:v>1.7659806469664686E-2</c:v>
                </c:pt>
                <c:pt idx="13">
                  <c:v>1.692888524419035E-2</c:v>
                </c:pt>
                <c:pt idx="14">
                  <c:v>2.0188288909607853E-2</c:v>
                </c:pt>
                <c:pt idx="15">
                  <c:v>1.9200690859019653E-2</c:v>
                </c:pt>
                <c:pt idx="16">
                  <c:v>1.0368521716786842E-2</c:v>
                </c:pt>
                <c:pt idx="17">
                  <c:v>2.7997134769114002E-2</c:v>
                </c:pt>
                <c:pt idx="18">
                  <c:v>4.1602754283264369E-2</c:v>
                </c:pt>
                <c:pt idx="19">
                  <c:v>2.3174023621983134E-2</c:v>
                </c:pt>
                <c:pt idx="20">
                  <c:v>8.680246627788487E-3</c:v>
                </c:pt>
                <c:pt idx="21">
                  <c:v>0</c:v>
                </c:pt>
                <c:pt idx="22">
                  <c:v>0</c:v>
                </c:pt>
                <c:pt idx="23">
                  <c:v>0</c:v>
                </c:pt>
                <c:pt idx="24">
                  <c:v>0</c:v>
                </c:pt>
                <c:pt idx="25">
                  <c:v>0</c:v>
                </c:pt>
                <c:pt idx="26">
                  <c:v>0</c:v>
                </c:pt>
                <c:pt idx="27">
                  <c:v>0</c:v>
                </c:pt>
                <c:pt idx="28">
                  <c:v>0</c:v>
                </c:pt>
                <c:pt idx="29">
                  <c:v>0</c:v>
                </c:pt>
                <c:pt idx="30">
                  <c:v>0</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c:v>
                </c:pt>
                <c:pt idx="1">
                  <c:v>0</c:v>
                </c:pt>
                <c:pt idx="2">
                  <c:v>0</c:v>
                </c:pt>
                <c:pt idx="3">
                  <c:v>0</c:v>
                </c:pt>
                <c:pt idx="4">
                  <c:v>0</c:v>
                </c:pt>
                <c:pt idx="5">
                  <c:v>0</c:v>
                </c:pt>
                <c:pt idx="6">
                  <c:v>0</c:v>
                </c:pt>
                <c:pt idx="7">
                  <c:v>0</c:v>
                </c:pt>
                <c:pt idx="8">
                  <c:v>0</c:v>
                </c:pt>
                <c:pt idx="9">
                  <c:v>0</c:v>
                </c:pt>
                <c:pt idx="10">
                  <c:v>2.0054112295262223E-2</c:v>
                </c:pt>
                <c:pt idx="11">
                  <c:v>1.8589637172779228E-2</c:v>
                </c:pt>
                <c:pt idx="12">
                  <c:v>2.1849609748819439E-2</c:v>
                </c:pt>
                <c:pt idx="13">
                  <c:v>1.809175812736977E-3</c:v>
                </c:pt>
                <c:pt idx="14">
                  <c:v>2.8501567237105008E-2</c:v>
                </c:pt>
                <c:pt idx="15">
                  <c:v>3.38024161608627E-2</c:v>
                </c:pt>
                <c:pt idx="16">
                  <c:v>4.5159343384477369E-3</c:v>
                </c:pt>
                <c:pt idx="17">
                  <c:v>1.8229696202116726E-2</c:v>
                </c:pt>
                <c:pt idx="18">
                  <c:v>3.5036493613521694E-2</c:v>
                </c:pt>
                <c:pt idx="19">
                  <c:v>2.9646259371443353E-2</c:v>
                </c:pt>
                <c:pt idx="20">
                  <c:v>8.6535711756164438E-3</c:v>
                </c:pt>
                <c:pt idx="21">
                  <c:v>0</c:v>
                </c:pt>
                <c:pt idx="22">
                  <c:v>0</c:v>
                </c:pt>
                <c:pt idx="23">
                  <c:v>0</c:v>
                </c:pt>
                <c:pt idx="24">
                  <c:v>0</c:v>
                </c:pt>
                <c:pt idx="25">
                  <c:v>0</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687616872"/>
        <c:axId val="437146184"/>
      </c:scatterChart>
      <c:valAx>
        <c:axId val="68761687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7146184"/>
        <c:crossesAt val="1.0000000000000005E-9"/>
        <c:crossBetween val="midCat"/>
      </c:valAx>
      <c:valAx>
        <c:axId val="4371461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7616872"/>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-17.057668506080475</c:v>
                </c:pt>
                <c:pt idx="1">
                  <c:v>-13.801205867961423</c:v>
                </c:pt>
                <c:pt idx="2">
                  <c:v>-11.300486481572344</c:v>
                </c:pt>
                <c:pt idx="3">
                  <c:v>-8.4000955453265451</c:v>
                </c:pt>
                <c:pt idx="4">
                  <c:v>-5.4999789808794874</c:v>
                </c:pt>
                <c:pt idx="5">
                  <c:v>0</c:v>
                </c:pt>
                <c:pt idx="6">
                  <c:v>5.2917717621939255</c:v>
                </c:pt>
              </c:numCache>
            </c:numRef>
          </c:yVal>
          <c:smooth val="0"/>
        </c:ser>
        <c:dLbls>
          <c:showLegendKey val="0"/>
          <c:showVal val="0"/>
          <c:showCatName val="0"/>
          <c:showSerName val="0"/>
          <c:showPercent val="0"/>
          <c:showBubbleSize val="0"/>
        </c:dLbls>
        <c:axId val="437148144"/>
        <c:axId val="437146576"/>
      </c:scatterChart>
      <c:valAx>
        <c:axId val="4371481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7146576"/>
        <c:crossesAt val="-100"/>
        <c:crossBetween val="midCat"/>
      </c:valAx>
      <c:valAx>
        <c:axId val="437146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7148144"/>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0"/>
        </c:ser>
        <c:dLbls>
          <c:showLegendKey val="0"/>
          <c:showVal val="0"/>
          <c:showCatName val="0"/>
          <c:showSerName val="0"/>
          <c:showPercent val="0"/>
          <c:showBubbleSize val="0"/>
        </c:dLbls>
        <c:axId val="437147360"/>
        <c:axId val="437147752"/>
      </c:scatterChart>
      <c:valAx>
        <c:axId val="437147360"/>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7147752"/>
        <c:crosses val="autoZero"/>
        <c:crossBetween val="midCat"/>
      </c:valAx>
      <c:valAx>
        <c:axId val="437147752"/>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7147360"/>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3.9079472567817324E-23</c:v>
                </c:pt>
                <c:pt idx="1">
                  <c:v>3.9079472567817322E-22</c:v>
                </c:pt>
                <c:pt idx="2">
                  <c:v>3.9079472567817323E-21</c:v>
                </c:pt>
                <c:pt idx="3">
                  <c:v>3.907947256781732E-20</c:v>
                </c:pt>
                <c:pt idx="4">
                  <c:v>3.9079472567817321E-19</c:v>
                </c:pt>
                <c:pt idx="5">
                  <c:v>3.9079472567817327E-18</c:v>
                </c:pt>
                <c:pt idx="6">
                  <c:v>3.9079472567817325E-17</c:v>
                </c:pt>
                <c:pt idx="7">
                  <c:v>3.9079472567817324E-16</c:v>
                </c:pt>
                <c:pt idx="8">
                  <c:v>3.9079472567817319E-15</c:v>
                </c:pt>
                <c:pt idx="9">
                  <c:v>3.9079472567817324E-14</c:v>
                </c:pt>
                <c:pt idx="10">
                  <c:v>3.9079472567817329E-13</c:v>
                </c:pt>
                <c:pt idx="11">
                  <c:v>3.9079472567817325E-12</c:v>
                </c:pt>
                <c:pt idx="12">
                  <c:v>3.9079472567817325E-11</c:v>
                </c:pt>
                <c:pt idx="13">
                  <c:v>3.9079472567817324E-10</c:v>
                </c:pt>
                <c:pt idx="14">
                  <c:v>3.9079472567817328E-9</c:v>
                </c:pt>
                <c:pt idx="15">
                  <c:v>3.9079472567817324E-8</c:v>
                </c:pt>
                <c:pt idx="16">
                  <c:v>3.9079472567817323E-7</c:v>
                </c:pt>
                <c:pt idx="17">
                  <c:v>3.9079472567817324E-6</c:v>
                </c:pt>
                <c:pt idx="18">
                  <c:v>3.9079472567817326E-5</c:v>
                </c:pt>
                <c:pt idx="19">
                  <c:v>3.9079472567817323E-4</c:v>
                </c:pt>
                <c:pt idx="20">
                  <c:v>3.9079472567817323E-3</c:v>
                </c:pt>
                <c:pt idx="21">
                  <c:v>3.9079472567817325E-2</c:v>
                </c:pt>
                <c:pt idx="22">
                  <c:v>0.39079472567817325</c:v>
                </c:pt>
                <c:pt idx="23">
                  <c:v>3.9079472567817324</c:v>
                </c:pt>
                <c:pt idx="24">
                  <c:v>39.079472567817326</c:v>
                </c:pt>
                <c:pt idx="25">
                  <c:v>390.79472567817322</c:v>
                </c:pt>
                <c:pt idx="26">
                  <c:v>3907.9472567817324</c:v>
                </c:pt>
                <c:pt idx="27">
                  <c:v>39079.47256781732</c:v>
                </c:pt>
                <c:pt idx="28">
                  <c:v>390794.72567817324</c:v>
                </c:pt>
                <c:pt idx="29">
                  <c:v>3907947.2567817322</c:v>
                </c:pt>
                <c:pt idx="30">
                  <c:v>39079472.567817323</c:v>
                </c:pt>
              </c:numCache>
            </c:numRef>
          </c:xVal>
          <c:yVal>
            <c:numRef>
              <c:f>'Mastercurve bestimmen'!$J$404:$J$434</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1.0144074916780399E-21</c:v>
                </c:pt>
                <c:pt idx="1">
                  <c:v>1.0144074916780398E-20</c:v>
                </c:pt>
                <c:pt idx="2">
                  <c:v>1.0144074916780399E-19</c:v>
                </c:pt>
                <c:pt idx="3">
                  <c:v>1.0144074916780397E-18</c:v>
                </c:pt>
                <c:pt idx="4">
                  <c:v>1.0144074916780397E-17</c:v>
                </c:pt>
                <c:pt idx="5">
                  <c:v>1.0144074916780399E-16</c:v>
                </c:pt>
                <c:pt idx="6">
                  <c:v>1.01440749167804E-15</c:v>
                </c:pt>
                <c:pt idx="7">
                  <c:v>1.0144074916780398E-14</c:v>
                </c:pt>
                <c:pt idx="8">
                  <c:v>1.0144074916780397E-13</c:v>
                </c:pt>
                <c:pt idx="9">
                  <c:v>1.0144074916780399E-12</c:v>
                </c:pt>
                <c:pt idx="10">
                  <c:v>1.0144074916780399E-11</c:v>
                </c:pt>
                <c:pt idx="11">
                  <c:v>1.0144074916780399E-10</c:v>
                </c:pt>
                <c:pt idx="12">
                  <c:v>1.0144074916780399E-9</c:v>
                </c:pt>
                <c:pt idx="13">
                  <c:v>1.0144074916780398E-8</c:v>
                </c:pt>
                <c:pt idx="14">
                  <c:v>1.0144074916780399E-7</c:v>
                </c:pt>
                <c:pt idx="15">
                  <c:v>1.0144074916780399E-6</c:v>
                </c:pt>
                <c:pt idx="16">
                  <c:v>1.0144074916780399E-5</c:v>
                </c:pt>
                <c:pt idx="17">
                  <c:v>1.0144074916780398E-4</c:v>
                </c:pt>
                <c:pt idx="18">
                  <c:v>1.0144074916780398E-3</c:v>
                </c:pt>
                <c:pt idx="19">
                  <c:v>1.0144074916780398E-2</c:v>
                </c:pt>
                <c:pt idx="20">
                  <c:v>0.10144074916780398</c:v>
                </c:pt>
                <c:pt idx="21">
                  <c:v>1.0144074916780399</c:v>
                </c:pt>
                <c:pt idx="22">
                  <c:v>10.144074916780399</c:v>
                </c:pt>
                <c:pt idx="23">
                  <c:v>101.44074916780399</c:v>
                </c:pt>
                <c:pt idx="24">
                  <c:v>1014.4074916780398</c:v>
                </c:pt>
                <c:pt idx="25">
                  <c:v>10144.074916780399</c:v>
                </c:pt>
                <c:pt idx="26">
                  <c:v>101440.74916780398</c:v>
                </c:pt>
                <c:pt idx="27">
                  <c:v>1014407.4916780398</c:v>
                </c:pt>
                <c:pt idx="28">
                  <c:v>10144074.916780399</c:v>
                </c:pt>
                <c:pt idx="29">
                  <c:v>101440749.16780399</c:v>
                </c:pt>
                <c:pt idx="30">
                  <c:v>1014407491.6780398</c:v>
                </c:pt>
              </c:numCache>
            </c:numRef>
          </c:xVal>
          <c:yVal>
            <c:numRef>
              <c:f>'Mastercurve bestimmen'!$K$404:$K$434</c:f>
              <c:numCache>
                <c:formatCode>0.00E+00</c:formatCode>
                <c:ptCount val="31"/>
                <c:pt idx="0">
                  <c:v>10681.367679183619</c:v>
                </c:pt>
                <c:pt idx="1">
                  <c:v>10340.369878221287</c:v>
                </c:pt>
                <c:pt idx="2">
                  <c:v>10144.235493546155</c:v>
                </c:pt>
                <c:pt idx="3">
                  <c:v>9945.8458355930761</c:v>
                </c:pt>
                <c:pt idx="4">
                  <c:v>9733.3402923935464</c:v>
                </c:pt>
                <c:pt idx="5">
                  <c:v>9498.3871358707802</c:v>
                </c:pt>
                <c:pt idx="6">
                  <c:v>9242.4212792479666</c:v>
                </c:pt>
                <c:pt idx="7">
                  <c:v>8962.4165772503438</c:v>
                </c:pt>
                <c:pt idx="8">
                  <c:v>8679.0953494242967</c:v>
                </c:pt>
                <c:pt idx="9">
                  <c:v>8412.1987380125211</c:v>
                </c:pt>
                <c:pt idx="10">
                  <c:v>8104.719083836997</c:v>
                </c:pt>
                <c:pt idx="11">
                  <c:v>7738.4866265331348</c:v>
                </c:pt>
                <c:pt idx="12">
                  <c:v>7356.7094808941847</c:v>
                </c:pt>
                <c:pt idx="13">
                  <c:v>7029.386180221145</c:v>
                </c:pt>
                <c:pt idx="14">
                  <c:v>6740.4128171607354</c:v>
                </c:pt>
                <c:pt idx="15">
                  <c:v>6451.1295620052033</c:v>
                </c:pt>
                <c:pt idx="16">
                  <c:v>6158.0006144488207</c:v>
                </c:pt>
                <c:pt idx="17">
                  <c:v>5864.4544291342345</c:v>
                </c:pt>
                <c:pt idx="18">
                  <c:v>5497.1399794237341</c:v>
                </c:pt>
                <c:pt idx="19">
                  <c:v>4940.0481403456943</c:v>
                </c:pt>
                <c:pt idx="20">
                  <c:v>4302.8208260658694</c:v>
                </c:pt>
                <c:pt idx="21">
                  <c:v>3694.2569609036786</c:v>
                </c:pt>
                <c:pt idx="22">
                  <c:v>3126.9337293210729</c:v>
                </c:pt>
                <c:pt idx="23">
                  <c:v>2566.4428591616524</c:v>
                </c:pt>
                <c:pt idx="24">
                  <c:v>1999.3722885012867</c:v>
                </c:pt>
                <c:pt idx="25">
                  <c:v>1469.5776968625496</c:v>
                </c:pt>
                <c:pt idx="26">
                  <c:v>1062.2051299591283</c:v>
                </c:pt>
                <c:pt idx="27">
                  <c:v>790.39019215198527</c:v>
                </c:pt>
                <c:pt idx="28">
                  <c:v>652.53051651246926</c:v>
                </c:pt>
                <c:pt idx="29">
                  <c:v>578.9290265565794</c:v>
                </c:pt>
                <c:pt idx="30">
                  <c:v>543.3455967986946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1.2366906526016326E-20</c:v>
                </c:pt>
                <c:pt idx="1">
                  <c:v>1.2366906526016325E-19</c:v>
                </c:pt>
                <c:pt idx="2">
                  <c:v>1.2366906526016326E-18</c:v>
                </c:pt>
                <c:pt idx="3">
                  <c:v>1.2366906526016325E-17</c:v>
                </c:pt>
                <c:pt idx="4">
                  <c:v>1.2366906526016324E-16</c:v>
                </c:pt>
                <c:pt idx="5">
                  <c:v>1.2366906526016326E-15</c:v>
                </c:pt>
                <c:pt idx="6">
                  <c:v>1.2366906526016325E-14</c:v>
                </c:pt>
                <c:pt idx="7">
                  <c:v>1.2366906526016325E-13</c:v>
                </c:pt>
                <c:pt idx="8">
                  <c:v>1.2366906526016325E-12</c:v>
                </c:pt>
                <c:pt idx="9">
                  <c:v>1.2366906526016324E-11</c:v>
                </c:pt>
                <c:pt idx="10">
                  <c:v>1.2366906526016326E-10</c:v>
                </c:pt>
                <c:pt idx="11">
                  <c:v>1.2366906526016325E-9</c:v>
                </c:pt>
                <c:pt idx="12">
                  <c:v>1.2366906526016325E-8</c:v>
                </c:pt>
                <c:pt idx="13">
                  <c:v>1.2366906526016325E-7</c:v>
                </c:pt>
                <c:pt idx="14">
                  <c:v>1.2366906526016326E-6</c:v>
                </c:pt>
                <c:pt idx="15">
                  <c:v>1.2366906526016325E-5</c:v>
                </c:pt>
                <c:pt idx="16">
                  <c:v>1.2366906526016324E-4</c:v>
                </c:pt>
                <c:pt idx="17">
                  <c:v>1.2366906526016326E-3</c:v>
                </c:pt>
                <c:pt idx="18">
                  <c:v>1.2366906526016325E-2</c:v>
                </c:pt>
                <c:pt idx="19">
                  <c:v>0.12366906526016325</c:v>
                </c:pt>
                <c:pt idx="20">
                  <c:v>1.2366906526016326</c:v>
                </c:pt>
                <c:pt idx="21">
                  <c:v>12.366906526016326</c:v>
                </c:pt>
                <c:pt idx="22">
                  <c:v>123.66906526016325</c:v>
                </c:pt>
                <c:pt idx="23">
                  <c:v>1236.6906526016326</c:v>
                </c:pt>
                <c:pt idx="24">
                  <c:v>12366.906526016324</c:v>
                </c:pt>
                <c:pt idx="25">
                  <c:v>123669.06526016325</c:v>
                </c:pt>
                <c:pt idx="26">
                  <c:v>1236690.6526016325</c:v>
                </c:pt>
                <c:pt idx="27">
                  <c:v>12366906.526016325</c:v>
                </c:pt>
                <c:pt idx="28">
                  <c:v>123669065.26016325</c:v>
                </c:pt>
                <c:pt idx="29">
                  <c:v>1236690652.6016326</c:v>
                </c:pt>
                <c:pt idx="30">
                  <c:v>12366906526.016325</c:v>
                </c:pt>
              </c:numCache>
            </c:numRef>
          </c:xVal>
          <c:yVal>
            <c:numRef>
              <c:f>'Mastercurve bestimmen'!$L$404:$L$434</c:f>
              <c:numCache>
                <c:formatCode>0.00E+00</c:formatCode>
                <c:ptCount val="31"/>
                <c:pt idx="0">
                  <c:v>10334.776176356636</c:v>
                </c:pt>
                <c:pt idx="1">
                  <c:v>10091.776344091975</c:v>
                </c:pt>
                <c:pt idx="2">
                  <c:v>9888.29643553188</c:v>
                </c:pt>
                <c:pt idx="3">
                  <c:v>9675.5582946416034</c:v>
                </c:pt>
                <c:pt idx="4">
                  <c:v>9437.8844555939704</c:v>
                </c:pt>
                <c:pt idx="5">
                  <c:v>9182.6179716248589</c:v>
                </c:pt>
                <c:pt idx="6">
                  <c:v>8899.8294294290881</c:v>
                </c:pt>
                <c:pt idx="7">
                  <c:v>8621.6067732840511</c:v>
                </c:pt>
                <c:pt idx="8">
                  <c:v>8354.3796068734482</c:v>
                </c:pt>
                <c:pt idx="9">
                  <c:v>8041.7904738604348</c:v>
                </c:pt>
                <c:pt idx="10">
                  <c:v>7673.2145085350385</c:v>
                </c:pt>
                <c:pt idx="11">
                  <c:v>7295.4976540764501</c:v>
                </c:pt>
                <c:pt idx="12">
                  <c:v>6977.8752509418382</c:v>
                </c:pt>
                <c:pt idx="13">
                  <c:v>6688.5988498392426</c:v>
                </c:pt>
                <c:pt idx="14">
                  <c:v>6402.4667189627462</c:v>
                </c:pt>
                <c:pt idx="15">
                  <c:v>6108.5862714487212</c:v>
                </c:pt>
                <c:pt idx="16">
                  <c:v>5821.8385981744532</c:v>
                </c:pt>
                <c:pt idx="17">
                  <c:v>5461.5612200441165</c:v>
                </c:pt>
                <c:pt idx="18">
                  <c:v>4936.5934069622945</c:v>
                </c:pt>
                <c:pt idx="19">
                  <c:v>4296.9639126238171</c:v>
                </c:pt>
                <c:pt idx="20">
                  <c:v>3679.1110460410682</c:v>
                </c:pt>
                <c:pt idx="21">
                  <c:v>3097.6161878660678</c:v>
                </c:pt>
                <c:pt idx="22">
                  <c:v>2528.090407055493</c:v>
                </c:pt>
                <c:pt idx="23">
                  <c:v>1953.6029786216222</c:v>
                </c:pt>
                <c:pt idx="24">
                  <c:v>1432.382407665888</c:v>
                </c:pt>
                <c:pt idx="25">
                  <c:v>1033.3489091490621</c:v>
                </c:pt>
                <c:pt idx="26">
                  <c:v>776.17019476824578</c:v>
                </c:pt>
                <c:pt idx="27">
                  <c:v>643.6842763640858</c:v>
                </c:pt>
                <c:pt idx="28">
                  <c:v>575.83936179835393</c:v>
                </c:pt>
                <c:pt idx="29">
                  <c:v>540.3807046910232</c:v>
                </c:pt>
                <c:pt idx="30">
                  <c:v>518.13069577372926</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2.2484584018329432E-19</c:v>
                </c:pt>
                <c:pt idx="1">
                  <c:v>2.2484584018329432E-18</c:v>
                </c:pt>
                <c:pt idx="2">
                  <c:v>2.2484584018329433E-17</c:v>
                </c:pt>
                <c:pt idx="3">
                  <c:v>2.248458401832943E-16</c:v>
                </c:pt>
                <c:pt idx="4">
                  <c:v>2.2484584018329429E-15</c:v>
                </c:pt>
                <c:pt idx="5">
                  <c:v>2.248458401832943E-14</c:v>
                </c:pt>
                <c:pt idx="6">
                  <c:v>2.2484584018329433E-13</c:v>
                </c:pt>
                <c:pt idx="7">
                  <c:v>2.2484584018329432E-12</c:v>
                </c:pt>
                <c:pt idx="8">
                  <c:v>2.248458401832943E-11</c:v>
                </c:pt>
                <c:pt idx="9">
                  <c:v>2.2484584018329429E-10</c:v>
                </c:pt>
                <c:pt idx="10">
                  <c:v>2.2484584018329431E-9</c:v>
                </c:pt>
                <c:pt idx="11">
                  <c:v>2.2484584018329431E-8</c:v>
                </c:pt>
                <c:pt idx="12">
                  <c:v>2.2484584018329431E-7</c:v>
                </c:pt>
                <c:pt idx="13">
                  <c:v>2.2484584018329429E-6</c:v>
                </c:pt>
                <c:pt idx="14">
                  <c:v>2.2484584018329432E-5</c:v>
                </c:pt>
                <c:pt idx="15">
                  <c:v>2.248458401832943E-4</c:v>
                </c:pt>
                <c:pt idx="16">
                  <c:v>2.2484584018329428E-3</c:v>
                </c:pt>
                <c:pt idx="17">
                  <c:v>2.248458401832943E-2</c:v>
                </c:pt>
                <c:pt idx="18">
                  <c:v>0.22484584018329432</c:v>
                </c:pt>
                <c:pt idx="19">
                  <c:v>2.2484584018329432</c:v>
                </c:pt>
                <c:pt idx="20">
                  <c:v>22.484584018329432</c:v>
                </c:pt>
                <c:pt idx="21">
                  <c:v>224.84584018329431</c:v>
                </c:pt>
                <c:pt idx="22">
                  <c:v>2248.4584018329429</c:v>
                </c:pt>
                <c:pt idx="23">
                  <c:v>22484.584018329431</c:v>
                </c:pt>
                <c:pt idx="24">
                  <c:v>224845.84018329429</c:v>
                </c:pt>
                <c:pt idx="25">
                  <c:v>2248458.4018329429</c:v>
                </c:pt>
                <c:pt idx="26">
                  <c:v>22484584.01832943</c:v>
                </c:pt>
                <c:pt idx="27">
                  <c:v>224845840.1832943</c:v>
                </c:pt>
                <c:pt idx="28">
                  <c:v>2248458401.832943</c:v>
                </c:pt>
                <c:pt idx="29">
                  <c:v>22484584018.32943</c:v>
                </c:pt>
                <c:pt idx="30">
                  <c:v>224845840183.29431</c:v>
                </c:pt>
              </c:numCache>
            </c:numRef>
          </c:xVal>
          <c:yVal>
            <c:numRef>
              <c:f>'Mastercurve bestimmen'!$M$404:$M$434</c:f>
              <c:numCache>
                <c:formatCode>0.00E+00</c:formatCode>
                <c:ptCount val="31"/>
                <c:pt idx="0">
                  <c:v>10108.713203034791</c:v>
                </c:pt>
                <c:pt idx="1">
                  <c:v>9863.3085771990827</c:v>
                </c:pt>
                <c:pt idx="2">
                  <c:v>9647.7546876992856</c:v>
                </c:pt>
                <c:pt idx="3">
                  <c:v>9412.3170807609295</c:v>
                </c:pt>
                <c:pt idx="4">
                  <c:v>9158.3278957287839</c:v>
                </c:pt>
                <c:pt idx="5">
                  <c:v>8878.5637787646356</c:v>
                </c:pt>
                <c:pt idx="6">
                  <c:v>8599.940751813896</c:v>
                </c:pt>
                <c:pt idx="7">
                  <c:v>8334.6832742009774</c:v>
                </c:pt>
                <c:pt idx="8">
                  <c:v>8026.4753702879098</c:v>
                </c:pt>
                <c:pt idx="9">
                  <c:v>7661.4445647597695</c:v>
                </c:pt>
                <c:pt idx="10">
                  <c:v>7284.5164584803897</c:v>
                </c:pt>
                <c:pt idx="11">
                  <c:v>6964.8609670274845</c:v>
                </c:pt>
                <c:pt idx="12">
                  <c:v>6677.7336683154199</c:v>
                </c:pt>
                <c:pt idx="13">
                  <c:v>6392.2538098508458</c:v>
                </c:pt>
                <c:pt idx="14">
                  <c:v>6101.0485432855839</c:v>
                </c:pt>
                <c:pt idx="15">
                  <c:v>5816.6056093144152</c:v>
                </c:pt>
                <c:pt idx="16">
                  <c:v>5480.1263998982886</c:v>
                </c:pt>
                <c:pt idx="17">
                  <c:v>5001.3542238279779</c:v>
                </c:pt>
                <c:pt idx="18">
                  <c:v>4378.6857587374161</c:v>
                </c:pt>
                <c:pt idx="19">
                  <c:v>3745.6038917295314</c:v>
                </c:pt>
                <c:pt idx="20">
                  <c:v>3148.5137755573865</c:v>
                </c:pt>
                <c:pt idx="21">
                  <c:v>2567.2806883234543</c:v>
                </c:pt>
                <c:pt idx="22">
                  <c:v>1986.0678137294008</c:v>
                </c:pt>
                <c:pt idx="23">
                  <c:v>1454.0043020913115</c:v>
                </c:pt>
                <c:pt idx="24">
                  <c:v>1049.180195775346</c:v>
                </c:pt>
                <c:pt idx="25">
                  <c:v>784.12675101552475</c:v>
                </c:pt>
                <c:pt idx="26">
                  <c:v>648.62186552417882</c:v>
                </c:pt>
                <c:pt idx="27">
                  <c:v>577.86544910218402</c:v>
                </c:pt>
                <c:pt idx="28">
                  <c:v>542.13014146932505</c:v>
                </c:pt>
                <c:pt idx="29">
                  <c:v>519.06435890850435</c:v>
                </c:pt>
                <c:pt idx="30">
                  <c:v>506.56668178937065</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4.0868573397082212E-18</c:v>
                </c:pt>
                <c:pt idx="1">
                  <c:v>4.0868573397082203E-17</c:v>
                </c:pt>
                <c:pt idx="2">
                  <c:v>4.0868573397082206E-16</c:v>
                </c:pt>
                <c:pt idx="3">
                  <c:v>4.0868573397082209E-15</c:v>
                </c:pt>
                <c:pt idx="4">
                  <c:v>4.0868573397082204E-14</c:v>
                </c:pt>
                <c:pt idx="5">
                  <c:v>4.0868573397082206E-13</c:v>
                </c:pt>
                <c:pt idx="6">
                  <c:v>4.0868573397082211E-12</c:v>
                </c:pt>
                <c:pt idx="7">
                  <c:v>4.0868573397082205E-11</c:v>
                </c:pt>
                <c:pt idx="8">
                  <c:v>4.0868573397082202E-10</c:v>
                </c:pt>
                <c:pt idx="9">
                  <c:v>4.0868573397082201E-9</c:v>
                </c:pt>
                <c:pt idx="10">
                  <c:v>4.086857339708221E-8</c:v>
                </c:pt>
                <c:pt idx="11">
                  <c:v>4.0868573397082207E-7</c:v>
                </c:pt>
                <c:pt idx="12">
                  <c:v>4.0868573397082205E-6</c:v>
                </c:pt>
                <c:pt idx="13">
                  <c:v>4.0868573397082205E-5</c:v>
                </c:pt>
                <c:pt idx="14">
                  <c:v>4.086857339708221E-4</c:v>
                </c:pt>
                <c:pt idx="15">
                  <c:v>4.0868573397082209E-3</c:v>
                </c:pt>
                <c:pt idx="16">
                  <c:v>4.0868573397082206E-2</c:v>
                </c:pt>
                <c:pt idx="17">
                  <c:v>0.40868573397082208</c:v>
                </c:pt>
                <c:pt idx="18">
                  <c:v>4.0868573397082208</c:v>
                </c:pt>
                <c:pt idx="19">
                  <c:v>40.868573397082208</c:v>
                </c:pt>
                <c:pt idx="20">
                  <c:v>408.68573397082207</c:v>
                </c:pt>
                <c:pt idx="21">
                  <c:v>4086.8573397082205</c:v>
                </c:pt>
                <c:pt idx="22">
                  <c:v>40868.573397082204</c:v>
                </c:pt>
                <c:pt idx="23">
                  <c:v>408685.73397082207</c:v>
                </c:pt>
                <c:pt idx="24">
                  <c:v>4086857.3397082207</c:v>
                </c:pt>
                <c:pt idx="25">
                  <c:v>40868573.39708221</c:v>
                </c:pt>
                <c:pt idx="26">
                  <c:v>408685733.97082204</c:v>
                </c:pt>
                <c:pt idx="27">
                  <c:v>4086857339.7082205</c:v>
                </c:pt>
                <c:pt idx="28">
                  <c:v>40868573397.082207</c:v>
                </c:pt>
                <c:pt idx="29">
                  <c:v>408685733970.82208</c:v>
                </c:pt>
                <c:pt idx="30">
                  <c:v>4086857339708.2207</c:v>
                </c:pt>
              </c:numCache>
            </c:numRef>
          </c:xVal>
          <c:yVal>
            <c:numRef>
              <c:f>'Mastercurve bestimmen'!$N$404:$N$434</c:f>
              <c:numCache>
                <c:formatCode>0.00E+00</c:formatCode>
                <c:ptCount val="31"/>
                <c:pt idx="0">
                  <c:v>9827.0404934265953</c:v>
                </c:pt>
                <c:pt idx="1">
                  <c:v>9554.6131285549327</c:v>
                </c:pt>
                <c:pt idx="2">
                  <c:v>9307.5270109220583</c:v>
                </c:pt>
                <c:pt idx="3">
                  <c:v>9052.7901664061646</c:v>
                </c:pt>
                <c:pt idx="4">
                  <c:v>8765.8976127630649</c:v>
                </c:pt>
                <c:pt idx="5">
                  <c:v>8497.5960737726527</c:v>
                </c:pt>
                <c:pt idx="6">
                  <c:v>8229.2269119551856</c:v>
                </c:pt>
                <c:pt idx="7">
                  <c:v>7906.9976228628248</c:v>
                </c:pt>
                <c:pt idx="8">
                  <c:v>7534.9505992492377</c:v>
                </c:pt>
                <c:pt idx="9">
                  <c:v>7166.8631213057552</c:v>
                </c:pt>
                <c:pt idx="10">
                  <c:v>6867.7062482363972</c:v>
                </c:pt>
                <c:pt idx="11">
                  <c:v>6578.6198965937929</c:v>
                </c:pt>
                <c:pt idx="12">
                  <c:v>6298.4876021181899</c:v>
                </c:pt>
                <c:pt idx="13">
                  <c:v>6004.311404381504</c:v>
                </c:pt>
                <c:pt idx="14">
                  <c:v>5728.9563133722204</c:v>
                </c:pt>
                <c:pt idx="15">
                  <c:v>5384.1034806229181</c:v>
                </c:pt>
                <c:pt idx="16">
                  <c:v>4946.9073871376504</c:v>
                </c:pt>
                <c:pt idx="17">
                  <c:v>4341.3949978794144</c:v>
                </c:pt>
                <c:pt idx="18">
                  <c:v>3695.6706844027317</c:v>
                </c:pt>
                <c:pt idx="19">
                  <c:v>3068.755950536985</c:v>
                </c:pt>
                <c:pt idx="20">
                  <c:v>2467.1652727793789</c:v>
                </c:pt>
                <c:pt idx="21">
                  <c:v>1870.2488465480699</c:v>
                </c:pt>
                <c:pt idx="22">
                  <c:v>1361.6454434772222</c:v>
                </c:pt>
                <c:pt idx="23">
                  <c:v>978.74851186182502</c:v>
                </c:pt>
                <c:pt idx="24">
                  <c:v>750.04973579798059</c:v>
                </c:pt>
                <c:pt idx="25">
                  <c:v>627.42168862186645</c:v>
                </c:pt>
                <c:pt idx="26">
                  <c:v>570.28890979557161</c:v>
                </c:pt>
                <c:pt idx="27">
                  <c:v>534.99091249150581</c:v>
                </c:pt>
                <c:pt idx="28">
                  <c:v>516.06818092277001</c:v>
                </c:pt>
                <c:pt idx="29">
                  <c:v>504.17354863560553</c:v>
                </c:pt>
                <c:pt idx="30">
                  <c:v>480.31847035858652</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bestimmen'!$O$404:$O$434</c:f>
              <c:numCache>
                <c:formatCode>0.00E+00</c:formatCode>
                <c:ptCount val="31"/>
                <c:pt idx="0">
                  <c:v>9149.8345482474924</c:v>
                </c:pt>
                <c:pt idx="1">
                  <c:v>8820.2788795776141</c:v>
                </c:pt>
                <c:pt idx="2">
                  <c:v>8533.8722605331295</c:v>
                </c:pt>
                <c:pt idx="3">
                  <c:v>8273.7015747988644</c:v>
                </c:pt>
                <c:pt idx="4">
                  <c:v>7979.0862222792848</c:v>
                </c:pt>
                <c:pt idx="5">
                  <c:v>7625.3190133909084</c:v>
                </c:pt>
                <c:pt idx="6">
                  <c:v>7251.0629198471606</c:v>
                </c:pt>
                <c:pt idx="7">
                  <c:v>6924.393407013602</c:v>
                </c:pt>
                <c:pt idx="8">
                  <c:v>6643.9609995540914</c:v>
                </c:pt>
                <c:pt idx="9">
                  <c:v>6360.2369441944311</c:v>
                </c:pt>
                <c:pt idx="10">
                  <c:v>6077.1759886859509</c:v>
                </c:pt>
                <c:pt idx="11">
                  <c:v>5794.3492029841209</c:v>
                </c:pt>
                <c:pt idx="12">
                  <c:v>5497.4610054881305</c:v>
                </c:pt>
                <c:pt idx="13">
                  <c:v>5142.3629386905741</c:v>
                </c:pt>
                <c:pt idx="14">
                  <c:v>4755.3271416437765</c:v>
                </c:pt>
                <c:pt idx="15">
                  <c:v>4259.9552232455089</c:v>
                </c:pt>
                <c:pt idx="16">
                  <c:v>3608.881023132205</c:v>
                </c:pt>
                <c:pt idx="17">
                  <c:v>2894.897040918956</c:v>
                </c:pt>
                <c:pt idx="18">
                  <c:v>2208.0535004045023</c:v>
                </c:pt>
                <c:pt idx="19">
                  <c:v>1590.7510281023892</c:v>
                </c:pt>
                <c:pt idx="20">
                  <c:v>1134.4072038150462</c:v>
                </c:pt>
                <c:pt idx="21">
                  <c:v>828.10892034291578</c:v>
                </c:pt>
                <c:pt idx="22">
                  <c:v>674.83435785785764</c:v>
                </c:pt>
                <c:pt idx="23">
                  <c:v>590.63358810768784</c:v>
                </c:pt>
                <c:pt idx="24">
                  <c:v>552.35798150339338</c:v>
                </c:pt>
                <c:pt idx="25">
                  <c:v>523.49731143746499</c:v>
                </c:pt>
                <c:pt idx="26">
                  <c:v>511.68260567729681</c:v>
                </c:pt>
                <c:pt idx="27">
                  <c:v>494.48298272135173</c:v>
                </c:pt>
                <c:pt idx="28">
                  <c:v>471.68716650538101</c:v>
                </c:pt>
                <c:pt idx="29">
                  <c:v>468.71385881352927</c:v>
                </c:pt>
                <c:pt idx="30">
                  <c:v>468.47657281171303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1.9869515428989119E-13</c:v>
                </c:pt>
                <c:pt idx="1">
                  <c:v>1.9869515428989115E-12</c:v>
                </c:pt>
                <c:pt idx="2">
                  <c:v>1.9869515428989116E-11</c:v>
                </c:pt>
                <c:pt idx="3">
                  <c:v>1.9869515428989116E-10</c:v>
                </c:pt>
                <c:pt idx="4">
                  <c:v>1.9869515428989114E-9</c:v>
                </c:pt>
                <c:pt idx="5">
                  <c:v>1.9869515428989117E-8</c:v>
                </c:pt>
                <c:pt idx="6">
                  <c:v>1.9869515428989117E-7</c:v>
                </c:pt>
                <c:pt idx="7">
                  <c:v>1.9869515428989116E-6</c:v>
                </c:pt>
                <c:pt idx="8">
                  <c:v>1.9869515428989117E-5</c:v>
                </c:pt>
                <c:pt idx="9">
                  <c:v>1.9869515428989117E-4</c:v>
                </c:pt>
                <c:pt idx="10">
                  <c:v>1.9869515428989118E-3</c:v>
                </c:pt>
                <c:pt idx="11">
                  <c:v>1.9869515428989119E-2</c:v>
                </c:pt>
                <c:pt idx="12">
                  <c:v>0.19869515428989118</c:v>
                </c:pt>
                <c:pt idx="13">
                  <c:v>1.9869515428989117</c:v>
                </c:pt>
                <c:pt idx="14">
                  <c:v>19.869515428989118</c:v>
                </c:pt>
                <c:pt idx="15">
                  <c:v>198.69515428989118</c:v>
                </c:pt>
                <c:pt idx="16">
                  <c:v>1986.9515428989116</c:v>
                </c:pt>
                <c:pt idx="17">
                  <c:v>19869.515428989118</c:v>
                </c:pt>
                <c:pt idx="18">
                  <c:v>198695.15428989116</c:v>
                </c:pt>
                <c:pt idx="19">
                  <c:v>1986951.5428989117</c:v>
                </c:pt>
                <c:pt idx="20">
                  <c:v>19869515.428989116</c:v>
                </c:pt>
                <c:pt idx="21">
                  <c:v>198695154.28989118</c:v>
                </c:pt>
                <c:pt idx="22">
                  <c:v>1986951542.8989117</c:v>
                </c:pt>
                <c:pt idx="23">
                  <c:v>19869515428.989117</c:v>
                </c:pt>
                <c:pt idx="24">
                  <c:v>198695154289.89117</c:v>
                </c:pt>
                <c:pt idx="25">
                  <c:v>1986951542898.9116</c:v>
                </c:pt>
                <c:pt idx="26">
                  <c:v>19869515428989.117</c:v>
                </c:pt>
                <c:pt idx="27">
                  <c:v>198695154289891.16</c:v>
                </c:pt>
                <c:pt idx="28">
                  <c:v>1986951542898911.7</c:v>
                </c:pt>
                <c:pt idx="29">
                  <c:v>1.9869515428989116E+16</c:v>
                </c:pt>
                <c:pt idx="30">
                  <c:v>1.9869515428989117E+17</c:v>
                </c:pt>
              </c:numCache>
            </c:numRef>
          </c:xVal>
          <c:yVal>
            <c:numRef>
              <c:f>'Mastercurve bestimmen'!$P$404:$P$434</c:f>
              <c:numCache>
                <c:formatCode>0.00E+00</c:formatCode>
                <c:ptCount val="31"/>
                <c:pt idx="0">
                  <c:v>8426.4757441054771</c:v>
                </c:pt>
                <c:pt idx="1">
                  <c:v>8085.1354599765227</c:v>
                </c:pt>
                <c:pt idx="2">
                  <c:v>7751.6368467103184</c:v>
                </c:pt>
                <c:pt idx="3">
                  <c:v>7379.8266913065718</c:v>
                </c:pt>
                <c:pt idx="4">
                  <c:v>7023.3701518062126</c:v>
                </c:pt>
                <c:pt idx="5">
                  <c:v>6738.7256441372629</c:v>
                </c:pt>
                <c:pt idx="6">
                  <c:v>6452.9254698981604</c:v>
                </c:pt>
                <c:pt idx="7">
                  <c:v>6178.6253583876323</c:v>
                </c:pt>
                <c:pt idx="8">
                  <c:v>5887.9416764587622</c:v>
                </c:pt>
                <c:pt idx="9">
                  <c:v>5619.2322674786419</c:v>
                </c:pt>
                <c:pt idx="10">
                  <c:v>5280.3661713673137</c:v>
                </c:pt>
                <c:pt idx="11">
                  <c:v>4925.7855811728932</c:v>
                </c:pt>
                <c:pt idx="12">
                  <c:v>4516.2157436003417</c:v>
                </c:pt>
                <c:pt idx="13">
                  <c:v>4054.7135164176284</c:v>
                </c:pt>
                <c:pt idx="14">
                  <c:v>3480.9757019740573</c:v>
                </c:pt>
                <c:pt idx="15">
                  <c:v>2776.8290278599252</c:v>
                </c:pt>
                <c:pt idx="16">
                  <c:v>2021.5623770745678</c:v>
                </c:pt>
                <c:pt idx="17">
                  <c:v>1425.0251284859655</c:v>
                </c:pt>
                <c:pt idx="18">
                  <c:v>1000.3144588532851</c:v>
                </c:pt>
                <c:pt idx="19">
                  <c:v>766.53007991277559</c:v>
                </c:pt>
                <c:pt idx="20">
                  <c:v>637.70408339015069</c:v>
                </c:pt>
                <c:pt idx="21">
                  <c:v>580.81989332695025</c:v>
                </c:pt>
                <c:pt idx="22">
                  <c:v>540.7919524224219</c:v>
                </c:pt>
                <c:pt idx="23">
                  <c:v>519.88174858869183</c:v>
                </c:pt>
                <c:pt idx="24">
                  <c:v>509.34643430573385</c:v>
                </c:pt>
                <c:pt idx="25">
                  <c:v>480.55733666885891</c:v>
                </c:pt>
                <c:pt idx="26">
                  <c:v>471.54124630560909</c:v>
                </c:pt>
                <c:pt idx="27">
                  <c:v>469.40352706055</c:v>
                </c:pt>
                <c:pt idx="28">
                  <c:v>469.06241231883331</c:v>
                </c:pt>
                <c:pt idx="29">
                  <c:v>467.11183046926152</c:v>
                </c:pt>
                <c:pt idx="30">
                  <c:v>466.16000667860783</c:v>
                </c:pt>
              </c:numCache>
            </c:numRef>
          </c:yVal>
          <c:smooth val="1"/>
        </c:ser>
        <c:dLbls>
          <c:showLegendKey val="0"/>
          <c:showVal val="0"/>
          <c:showCatName val="0"/>
          <c:showSerName val="0"/>
          <c:showPercent val="0"/>
          <c:showBubbleSize val="0"/>
        </c:dLbls>
        <c:axId val="437145008"/>
        <c:axId val="437145400"/>
      </c:scatterChart>
      <c:valAx>
        <c:axId val="437145008"/>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7145400"/>
        <c:crosses val="autoZero"/>
        <c:crossBetween val="midCat"/>
      </c:valAx>
      <c:valAx>
        <c:axId val="437145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7145008"/>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3.9079472567817324E-23</c:v>
                </c:pt>
                <c:pt idx="1">
                  <c:v>3.9079472567817322E-22</c:v>
                </c:pt>
                <c:pt idx="2">
                  <c:v>3.9079472567817323E-21</c:v>
                </c:pt>
                <c:pt idx="3">
                  <c:v>3.907947256781732E-20</c:v>
                </c:pt>
                <c:pt idx="4">
                  <c:v>3.9079472567817321E-19</c:v>
                </c:pt>
                <c:pt idx="5">
                  <c:v>3.9079472567817327E-18</c:v>
                </c:pt>
                <c:pt idx="6">
                  <c:v>3.9079472567817325E-17</c:v>
                </c:pt>
                <c:pt idx="7">
                  <c:v>3.9079472567817324E-16</c:v>
                </c:pt>
                <c:pt idx="8">
                  <c:v>3.9079472567817319E-15</c:v>
                </c:pt>
                <c:pt idx="9">
                  <c:v>3.9079472567817324E-14</c:v>
                </c:pt>
                <c:pt idx="10">
                  <c:v>3.9079472567817329E-13</c:v>
                </c:pt>
                <c:pt idx="11">
                  <c:v>3.9079472567817325E-12</c:v>
                </c:pt>
                <c:pt idx="12">
                  <c:v>3.9079472567817325E-11</c:v>
                </c:pt>
                <c:pt idx="13">
                  <c:v>3.9079472567817324E-10</c:v>
                </c:pt>
                <c:pt idx="14">
                  <c:v>3.9079472567817328E-9</c:v>
                </c:pt>
                <c:pt idx="15">
                  <c:v>3.9079472567817324E-8</c:v>
                </c:pt>
                <c:pt idx="16">
                  <c:v>3.9079472567817323E-7</c:v>
                </c:pt>
                <c:pt idx="17">
                  <c:v>3.9079472567817324E-6</c:v>
                </c:pt>
                <c:pt idx="18">
                  <c:v>3.9079472567817326E-5</c:v>
                </c:pt>
                <c:pt idx="19">
                  <c:v>3.9079472567817323E-4</c:v>
                </c:pt>
                <c:pt idx="20">
                  <c:v>3.9079472567817323E-3</c:v>
                </c:pt>
                <c:pt idx="21">
                  <c:v>3.9079472567817325E-2</c:v>
                </c:pt>
                <c:pt idx="22">
                  <c:v>0.39079472567817325</c:v>
                </c:pt>
                <c:pt idx="23">
                  <c:v>3.9079472567817324</c:v>
                </c:pt>
                <c:pt idx="24">
                  <c:v>39.079472567817326</c:v>
                </c:pt>
                <c:pt idx="25">
                  <c:v>390.79472567817322</c:v>
                </c:pt>
                <c:pt idx="26">
                  <c:v>3907.9472567817324</c:v>
                </c:pt>
                <c:pt idx="27">
                  <c:v>39079.47256781732</c:v>
                </c:pt>
                <c:pt idx="28">
                  <c:v>390794.72567817324</c:v>
                </c:pt>
                <c:pt idx="29">
                  <c:v>3907947.2567817322</c:v>
                </c:pt>
                <c:pt idx="30">
                  <c:v>39079472.567817323</c:v>
                </c:pt>
              </c:numCache>
            </c:numRef>
          </c:xVal>
          <c:yVal>
            <c:numRef>
              <c:f>'Mastercurve bestimmen'!$J$404:$J$434</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1.0144074916780399E-21</c:v>
                </c:pt>
                <c:pt idx="1">
                  <c:v>1.0144074916780398E-20</c:v>
                </c:pt>
                <c:pt idx="2">
                  <c:v>1.0144074916780399E-19</c:v>
                </c:pt>
                <c:pt idx="3">
                  <c:v>1.0144074916780397E-18</c:v>
                </c:pt>
                <c:pt idx="4">
                  <c:v>1.0144074916780397E-17</c:v>
                </c:pt>
                <c:pt idx="5">
                  <c:v>1.0144074916780399E-16</c:v>
                </c:pt>
                <c:pt idx="6">
                  <c:v>1.01440749167804E-15</c:v>
                </c:pt>
                <c:pt idx="7">
                  <c:v>1.0144074916780398E-14</c:v>
                </c:pt>
                <c:pt idx="8">
                  <c:v>1.0144074916780397E-13</c:v>
                </c:pt>
                <c:pt idx="9">
                  <c:v>1.0144074916780399E-12</c:v>
                </c:pt>
                <c:pt idx="10">
                  <c:v>1.0144074916780399E-11</c:v>
                </c:pt>
                <c:pt idx="11">
                  <c:v>1.0144074916780399E-10</c:v>
                </c:pt>
                <c:pt idx="12">
                  <c:v>1.0144074916780399E-9</c:v>
                </c:pt>
                <c:pt idx="13">
                  <c:v>1.0144074916780398E-8</c:v>
                </c:pt>
                <c:pt idx="14">
                  <c:v>1.0144074916780399E-7</c:v>
                </c:pt>
                <c:pt idx="15">
                  <c:v>1.0144074916780399E-6</c:v>
                </c:pt>
                <c:pt idx="16">
                  <c:v>1.0144074916780399E-5</c:v>
                </c:pt>
                <c:pt idx="17">
                  <c:v>1.0144074916780398E-4</c:v>
                </c:pt>
                <c:pt idx="18">
                  <c:v>1.0144074916780398E-3</c:v>
                </c:pt>
                <c:pt idx="19">
                  <c:v>1.0144074916780398E-2</c:v>
                </c:pt>
                <c:pt idx="20">
                  <c:v>0.10144074916780398</c:v>
                </c:pt>
                <c:pt idx="21">
                  <c:v>1.0144074916780399</c:v>
                </c:pt>
                <c:pt idx="22">
                  <c:v>10.144074916780399</c:v>
                </c:pt>
                <c:pt idx="23">
                  <c:v>101.44074916780399</c:v>
                </c:pt>
                <c:pt idx="24">
                  <c:v>1014.4074916780398</c:v>
                </c:pt>
                <c:pt idx="25">
                  <c:v>10144.074916780399</c:v>
                </c:pt>
                <c:pt idx="26">
                  <c:v>101440.74916780398</c:v>
                </c:pt>
                <c:pt idx="27">
                  <c:v>1014407.4916780398</c:v>
                </c:pt>
                <c:pt idx="28">
                  <c:v>10144074.916780399</c:v>
                </c:pt>
                <c:pt idx="29">
                  <c:v>101440749.16780399</c:v>
                </c:pt>
                <c:pt idx="30">
                  <c:v>1014407491.6780398</c:v>
                </c:pt>
              </c:numCache>
            </c:numRef>
          </c:xVal>
          <c:yVal>
            <c:numRef>
              <c:f>'Mastercurve bestimmen'!$K$404:$K$434</c:f>
              <c:numCache>
                <c:formatCode>0.00E+00</c:formatCode>
                <c:ptCount val="31"/>
                <c:pt idx="0">
                  <c:v>10681.367679183619</c:v>
                </c:pt>
                <c:pt idx="1">
                  <c:v>10340.369878221287</c:v>
                </c:pt>
                <c:pt idx="2">
                  <c:v>10144.235493546155</c:v>
                </c:pt>
                <c:pt idx="3">
                  <c:v>9945.8458355930761</c:v>
                </c:pt>
                <c:pt idx="4">
                  <c:v>9733.3402923935464</c:v>
                </c:pt>
                <c:pt idx="5">
                  <c:v>9498.3871358707802</c:v>
                </c:pt>
                <c:pt idx="6">
                  <c:v>9242.4212792479666</c:v>
                </c:pt>
                <c:pt idx="7">
                  <c:v>8962.4165772503438</c:v>
                </c:pt>
                <c:pt idx="8">
                  <c:v>8679.0953494242967</c:v>
                </c:pt>
                <c:pt idx="9">
                  <c:v>8412.1987380125211</c:v>
                </c:pt>
                <c:pt idx="10">
                  <c:v>8104.719083836997</c:v>
                </c:pt>
                <c:pt idx="11">
                  <c:v>7738.4866265331348</c:v>
                </c:pt>
                <c:pt idx="12">
                  <c:v>7356.7094808941847</c:v>
                </c:pt>
                <c:pt idx="13">
                  <c:v>7029.386180221145</c:v>
                </c:pt>
                <c:pt idx="14">
                  <c:v>6740.4128171607354</c:v>
                </c:pt>
                <c:pt idx="15">
                  <c:v>6451.1295620052033</c:v>
                </c:pt>
                <c:pt idx="16">
                  <c:v>6158.0006144488207</c:v>
                </c:pt>
                <c:pt idx="17">
                  <c:v>5864.4544291342345</c:v>
                </c:pt>
                <c:pt idx="18">
                  <c:v>5497.1399794237341</c:v>
                </c:pt>
                <c:pt idx="19">
                  <c:v>4940.0481403456943</c:v>
                </c:pt>
                <c:pt idx="20">
                  <c:v>4302.8208260658694</c:v>
                </c:pt>
                <c:pt idx="21">
                  <c:v>3694.2569609036786</c:v>
                </c:pt>
                <c:pt idx="22">
                  <c:v>3126.9337293210729</c:v>
                </c:pt>
                <c:pt idx="23">
                  <c:v>2566.4428591616524</c:v>
                </c:pt>
                <c:pt idx="24">
                  <c:v>1999.3722885012867</c:v>
                </c:pt>
                <c:pt idx="25">
                  <c:v>1469.5776968625496</c:v>
                </c:pt>
                <c:pt idx="26">
                  <c:v>1062.2051299591283</c:v>
                </c:pt>
                <c:pt idx="27">
                  <c:v>790.39019215198527</c:v>
                </c:pt>
                <c:pt idx="28">
                  <c:v>652.53051651246926</c:v>
                </c:pt>
                <c:pt idx="29">
                  <c:v>578.9290265565794</c:v>
                </c:pt>
                <c:pt idx="30">
                  <c:v>543.3455967986946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1.2366906526016326E-20</c:v>
                </c:pt>
                <c:pt idx="1">
                  <c:v>1.2366906526016325E-19</c:v>
                </c:pt>
                <c:pt idx="2">
                  <c:v>1.2366906526016326E-18</c:v>
                </c:pt>
                <c:pt idx="3">
                  <c:v>1.2366906526016325E-17</c:v>
                </c:pt>
                <c:pt idx="4">
                  <c:v>1.2366906526016324E-16</c:v>
                </c:pt>
                <c:pt idx="5">
                  <c:v>1.2366906526016326E-15</c:v>
                </c:pt>
                <c:pt idx="6">
                  <c:v>1.2366906526016325E-14</c:v>
                </c:pt>
                <c:pt idx="7">
                  <c:v>1.2366906526016325E-13</c:v>
                </c:pt>
                <c:pt idx="8">
                  <c:v>1.2366906526016325E-12</c:v>
                </c:pt>
                <c:pt idx="9">
                  <c:v>1.2366906526016324E-11</c:v>
                </c:pt>
                <c:pt idx="10">
                  <c:v>1.2366906526016326E-10</c:v>
                </c:pt>
                <c:pt idx="11">
                  <c:v>1.2366906526016325E-9</c:v>
                </c:pt>
                <c:pt idx="12">
                  <c:v>1.2366906526016325E-8</c:v>
                </c:pt>
                <c:pt idx="13">
                  <c:v>1.2366906526016325E-7</c:v>
                </c:pt>
                <c:pt idx="14">
                  <c:v>1.2366906526016326E-6</c:v>
                </c:pt>
                <c:pt idx="15">
                  <c:v>1.2366906526016325E-5</c:v>
                </c:pt>
                <c:pt idx="16">
                  <c:v>1.2366906526016324E-4</c:v>
                </c:pt>
                <c:pt idx="17">
                  <c:v>1.2366906526016326E-3</c:v>
                </c:pt>
                <c:pt idx="18">
                  <c:v>1.2366906526016325E-2</c:v>
                </c:pt>
                <c:pt idx="19">
                  <c:v>0.12366906526016325</c:v>
                </c:pt>
                <c:pt idx="20">
                  <c:v>1.2366906526016326</c:v>
                </c:pt>
                <c:pt idx="21">
                  <c:v>12.366906526016326</c:v>
                </c:pt>
                <c:pt idx="22">
                  <c:v>123.66906526016325</c:v>
                </c:pt>
                <c:pt idx="23">
                  <c:v>1236.6906526016326</c:v>
                </c:pt>
                <c:pt idx="24">
                  <c:v>12366.906526016324</c:v>
                </c:pt>
                <c:pt idx="25">
                  <c:v>123669.06526016325</c:v>
                </c:pt>
                <c:pt idx="26">
                  <c:v>1236690.6526016325</c:v>
                </c:pt>
                <c:pt idx="27">
                  <c:v>12366906.526016325</c:v>
                </c:pt>
                <c:pt idx="28">
                  <c:v>123669065.26016325</c:v>
                </c:pt>
                <c:pt idx="29">
                  <c:v>1236690652.6016326</c:v>
                </c:pt>
                <c:pt idx="30">
                  <c:v>12366906526.016325</c:v>
                </c:pt>
              </c:numCache>
            </c:numRef>
          </c:xVal>
          <c:yVal>
            <c:numRef>
              <c:f>'Mastercurve bestimmen'!$L$404:$L$434</c:f>
              <c:numCache>
                <c:formatCode>0.00E+00</c:formatCode>
                <c:ptCount val="31"/>
                <c:pt idx="0">
                  <c:v>10334.776176356636</c:v>
                </c:pt>
                <c:pt idx="1">
                  <c:v>10091.776344091975</c:v>
                </c:pt>
                <c:pt idx="2">
                  <c:v>9888.29643553188</c:v>
                </c:pt>
                <c:pt idx="3">
                  <c:v>9675.5582946416034</c:v>
                </c:pt>
                <c:pt idx="4">
                  <c:v>9437.8844555939704</c:v>
                </c:pt>
                <c:pt idx="5">
                  <c:v>9182.6179716248589</c:v>
                </c:pt>
                <c:pt idx="6">
                  <c:v>8899.8294294290881</c:v>
                </c:pt>
                <c:pt idx="7">
                  <c:v>8621.6067732840511</c:v>
                </c:pt>
                <c:pt idx="8">
                  <c:v>8354.3796068734482</c:v>
                </c:pt>
                <c:pt idx="9">
                  <c:v>8041.7904738604348</c:v>
                </c:pt>
                <c:pt idx="10">
                  <c:v>7673.2145085350385</c:v>
                </c:pt>
                <c:pt idx="11">
                  <c:v>7295.4976540764501</c:v>
                </c:pt>
                <c:pt idx="12">
                  <c:v>6977.8752509418382</c:v>
                </c:pt>
                <c:pt idx="13">
                  <c:v>6688.5988498392426</c:v>
                </c:pt>
                <c:pt idx="14">
                  <c:v>6402.4667189627462</c:v>
                </c:pt>
                <c:pt idx="15">
                  <c:v>6108.5862714487212</c:v>
                </c:pt>
                <c:pt idx="16">
                  <c:v>5821.8385981744532</c:v>
                </c:pt>
                <c:pt idx="17">
                  <c:v>5461.5612200441165</c:v>
                </c:pt>
                <c:pt idx="18">
                  <c:v>4936.5934069622945</c:v>
                </c:pt>
                <c:pt idx="19">
                  <c:v>4296.9639126238171</c:v>
                </c:pt>
                <c:pt idx="20">
                  <c:v>3679.1110460410682</c:v>
                </c:pt>
                <c:pt idx="21">
                  <c:v>3097.6161878660678</c:v>
                </c:pt>
                <c:pt idx="22">
                  <c:v>2528.090407055493</c:v>
                </c:pt>
                <c:pt idx="23">
                  <c:v>1953.6029786216222</c:v>
                </c:pt>
                <c:pt idx="24">
                  <c:v>1432.382407665888</c:v>
                </c:pt>
                <c:pt idx="25">
                  <c:v>1033.3489091490621</c:v>
                </c:pt>
                <c:pt idx="26">
                  <c:v>776.17019476824578</c:v>
                </c:pt>
                <c:pt idx="27">
                  <c:v>643.6842763640858</c:v>
                </c:pt>
                <c:pt idx="28">
                  <c:v>575.83936179835393</c:v>
                </c:pt>
                <c:pt idx="29">
                  <c:v>540.3807046910232</c:v>
                </c:pt>
                <c:pt idx="30">
                  <c:v>518.13069577372926</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2.2484584018329432E-19</c:v>
                </c:pt>
                <c:pt idx="1">
                  <c:v>2.2484584018329432E-18</c:v>
                </c:pt>
                <c:pt idx="2">
                  <c:v>2.2484584018329433E-17</c:v>
                </c:pt>
                <c:pt idx="3">
                  <c:v>2.248458401832943E-16</c:v>
                </c:pt>
                <c:pt idx="4">
                  <c:v>2.2484584018329429E-15</c:v>
                </c:pt>
                <c:pt idx="5">
                  <c:v>2.248458401832943E-14</c:v>
                </c:pt>
                <c:pt idx="6">
                  <c:v>2.2484584018329433E-13</c:v>
                </c:pt>
                <c:pt idx="7">
                  <c:v>2.2484584018329432E-12</c:v>
                </c:pt>
                <c:pt idx="8">
                  <c:v>2.248458401832943E-11</c:v>
                </c:pt>
                <c:pt idx="9">
                  <c:v>2.2484584018329429E-10</c:v>
                </c:pt>
                <c:pt idx="10">
                  <c:v>2.2484584018329431E-9</c:v>
                </c:pt>
                <c:pt idx="11">
                  <c:v>2.2484584018329431E-8</c:v>
                </c:pt>
                <c:pt idx="12">
                  <c:v>2.2484584018329431E-7</c:v>
                </c:pt>
                <c:pt idx="13">
                  <c:v>2.2484584018329429E-6</c:v>
                </c:pt>
                <c:pt idx="14">
                  <c:v>2.2484584018329432E-5</c:v>
                </c:pt>
                <c:pt idx="15">
                  <c:v>2.248458401832943E-4</c:v>
                </c:pt>
                <c:pt idx="16">
                  <c:v>2.2484584018329428E-3</c:v>
                </c:pt>
                <c:pt idx="17">
                  <c:v>2.248458401832943E-2</c:v>
                </c:pt>
                <c:pt idx="18">
                  <c:v>0.22484584018329432</c:v>
                </c:pt>
                <c:pt idx="19">
                  <c:v>2.2484584018329432</c:v>
                </c:pt>
                <c:pt idx="20">
                  <c:v>22.484584018329432</c:v>
                </c:pt>
                <c:pt idx="21">
                  <c:v>224.84584018329431</c:v>
                </c:pt>
                <c:pt idx="22">
                  <c:v>2248.4584018329429</c:v>
                </c:pt>
                <c:pt idx="23">
                  <c:v>22484.584018329431</c:v>
                </c:pt>
                <c:pt idx="24">
                  <c:v>224845.84018329429</c:v>
                </c:pt>
                <c:pt idx="25">
                  <c:v>2248458.4018329429</c:v>
                </c:pt>
                <c:pt idx="26">
                  <c:v>22484584.01832943</c:v>
                </c:pt>
                <c:pt idx="27">
                  <c:v>224845840.1832943</c:v>
                </c:pt>
                <c:pt idx="28">
                  <c:v>2248458401.832943</c:v>
                </c:pt>
                <c:pt idx="29">
                  <c:v>22484584018.32943</c:v>
                </c:pt>
                <c:pt idx="30">
                  <c:v>224845840183.29431</c:v>
                </c:pt>
              </c:numCache>
            </c:numRef>
          </c:xVal>
          <c:yVal>
            <c:numRef>
              <c:f>'Mastercurve bestimmen'!$M$404:$M$434</c:f>
              <c:numCache>
                <c:formatCode>0.00E+00</c:formatCode>
                <c:ptCount val="31"/>
                <c:pt idx="0">
                  <c:v>10108.713203034791</c:v>
                </c:pt>
                <c:pt idx="1">
                  <c:v>9863.3085771990827</c:v>
                </c:pt>
                <c:pt idx="2">
                  <c:v>9647.7546876992856</c:v>
                </c:pt>
                <c:pt idx="3">
                  <c:v>9412.3170807609295</c:v>
                </c:pt>
                <c:pt idx="4">
                  <c:v>9158.3278957287839</c:v>
                </c:pt>
                <c:pt idx="5">
                  <c:v>8878.5637787646356</c:v>
                </c:pt>
                <c:pt idx="6">
                  <c:v>8599.940751813896</c:v>
                </c:pt>
                <c:pt idx="7">
                  <c:v>8334.6832742009774</c:v>
                </c:pt>
                <c:pt idx="8">
                  <c:v>8026.4753702879098</c:v>
                </c:pt>
                <c:pt idx="9">
                  <c:v>7661.4445647597695</c:v>
                </c:pt>
                <c:pt idx="10">
                  <c:v>7284.5164584803897</c:v>
                </c:pt>
                <c:pt idx="11">
                  <c:v>6964.8609670274845</c:v>
                </c:pt>
                <c:pt idx="12">
                  <c:v>6677.7336683154199</c:v>
                </c:pt>
                <c:pt idx="13">
                  <c:v>6392.2538098508458</c:v>
                </c:pt>
                <c:pt idx="14">
                  <c:v>6101.0485432855839</c:v>
                </c:pt>
                <c:pt idx="15">
                  <c:v>5816.6056093144152</c:v>
                </c:pt>
                <c:pt idx="16">
                  <c:v>5480.1263998982886</c:v>
                </c:pt>
                <c:pt idx="17">
                  <c:v>5001.3542238279779</c:v>
                </c:pt>
                <c:pt idx="18">
                  <c:v>4378.6857587374161</c:v>
                </c:pt>
                <c:pt idx="19">
                  <c:v>3745.6038917295314</c:v>
                </c:pt>
                <c:pt idx="20">
                  <c:v>3148.5137755573865</c:v>
                </c:pt>
                <c:pt idx="21">
                  <c:v>2567.2806883234543</c:v>
                </c:pt>
                <c:pt idx="22">
                  <c:v>1986.0678137294008</c:v>
                </c:pt>
                <c:pt idx="23">
                  <c:v>1454.0043020913115</c:v>
                </c:pt>
                <c:pt idx="24">
                  <c:v>1049.180195775346</c:v>
                </c:pt>
                <c:pt idx="25">
                  <c:v>784.12675101552475</c:v>
                </c:pt>
                <c:pt idx="26">
                  <c:v>648.62186552417882</c:v>
                </c:pt>
                <c:pt idx="27">
                  <c:v>577.86544910218402</c:v>
                </c:pt>
                <c:pt idx="28">
                  <c:v>542.13014146932505</c:v>
                </c:pt>
                <c:pt idx="29">
                  <c:v>519.06435890850435</c:v>
                </c:pt>
                <c:pt idx="30">
                  <c:v>506.56668178937065</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4.0868573397082212E-18</c:v>
                </c:pt>
                <c:pt idx="1">
                  <c:v>4.0868573397082203E-17</c:v>
                </c:pt>
                <c:pt idx="2">
                  <c:v>4.0868573397082206E-16</c:v>
                </c:pt>
                <c:pt idx="3">
                  <c:v>4.0868573397082209E-15</c:v>
                </c:pt>
                <c:pt idx="4">
                  <c:v>4.0868573397082204E-14</c:v>
                </c:pt>
                <c:pt idx="5">
                  <c:v>4.0868573397082206E-13</c:v>
                </c:pt>
                <c:pt idx="6">
                  <c:v>4.0868573397082211E-12</c:v>
                </c:pt>
                <c:pt idx="7">
                  <c:v>4.0868573397082205E-11</c:v>
                </c:pt>
                <c:pt idx="8">
                  <c:v>4.0868573397082202E-10</c:v>
                </c:pt>
                <c:pt idx="9">
                  <c:v>4.0868573397082201E-9</c:v>
                </c:pt>
                <c:pt idx="10">
                  <c:v>4.086857339708221E-8</c:v>
                </c:pt>
                <c:pt idx="11">
                  <c:v>4.0868573397082207E-7</c:v>
                </c:pt>
                <c:pt idx="12">
                  <c:v>4.0868573397082205E-6</c:v>
                </c:pt>
                <c:pt idx="13">
                  <c:v>4.0868573397082205E-5</c:v>
                </c:pt>
                <c:pt idx="14">
                  <c:v>4.086857339708221E-4</c:v>
                </c:pt>
                <c:pt idx="15">
                  <c:v>4.0868573397082209E-3</c:v>
                </c:pt>
                <c:pt idx="16">
                  <c:v>4.0868573397082206E-2</c:v>
                </c:pt>
                <c:pt idx="17">
                  <c:v>0.40868573397082208</c:v>
                </c:pt>
                <c:pt idx="18">
                  <c:v>4.0868573397082208</c:v>
                </c:pt>
                <c:pt idx="19">
                  <c:v>40.868573397082208</c:v>
                </c:pt>
                <c:pt idx="20">
                  <c:v>408.68573397082207</c:v>
                </c:pt>
                <c:pt idx="21">
                  <c:v>4086.8573397082205</c:v>
                </c:pt>
                <c:pt idx="22">
                  <c:v>40868.573397082204</c:v>
                </c:pt>
                <c:pt idx="23">
                  <c:v>408685.73397082207</c:v>
                </c:pt>
                <c:pt idx="24">
                  <c:v>4086857.3397082207</c:v>
                </c:pt>
                <c:pt idx="25">
                  <c:v>40868573.39708221</c:v>
                </c:pt>
                <c:pt idx="26">
                  <c:v>408685733.97082204</c:v>
                </c:pt>
                <c:pt idx="27">
                  <c:v>4086857339.7082205</c:v>
                </c:pt>
                <c:pt idx="28">
                  <c:v>40868573397.082207</c:v>
                </c:pt>
                <c:pt idx="29">
                  <c:v>408685733970.82208</c:v>
                </c:pt>
                <c:pt idx="30">
                  <c:v>4086857339708.2207</c:v>
                </c:pt>
              </c:numCache>
            </c:numRef>
          </c:xVal>
          <c:yVal>
            <c:numRef>
              <c:f>'Mastercurve bestimmen'!$N$404:$N$434</c:f>
              <c:numCache>
                <c:formatCode>0.00E+00</c:formatCode>
                <c:ptCount val="31"/>
                <c:pt idx="0">
                  <c:v>9827.0404934265953</c:v>
                </c:pt>
                <c:pt idx="1">
                  <c:v>9554.6131285549327</c:v>
                </c:pt>
                <c:pt idx="2">
                  <c:v>9307.5270109220583</c:v>
                </c:pt>
                <c:pt idx="3">
                  <c:v>9052.7901664061646</c:v>
                </c:pt>
                <c:pt idx="4">
                  <c:v>8765.8976127630649</c:v>
                </c:pt>
                <c:pt idx="5">
                  <c:v>8497.5960737726527</c:v>
                </c:pt>
                <c:pt idx="6">
                  <c:v>8229.2269119551856</c:v>
                </c:pt>
                <c:pt idx="7">
                  <c:v>7906.9976228628248</c:v>
                </c:pt>
                <c:pt idx="8">
                  <c:v>7534.9505992492377</c:v>
                </c:pt>
                <c:pt idx="9">
                  <c:v>7166.8631213057552</c:v>
                </c:pt>
                <c:pt idx="10">
                  <c:v>6867.7062482363972</c:v>
                </c:pt>
                <c:pt idx="11">
                  <c:v>6578.6198965937929</c:v>
                </c:pt>
                <c:pt idx="12">
                  <c:v>6298.4876021181899</c:v>
                </c:pt>
                <c:pt idx="13">
                  <c:v>6004.311404381504</c:v>
                </c:pt>
                <c:pt idx="14">
                  <c:v>5728.9563133722204</c:v>
                </c:pt>
                <c:pt idx="15">
                  <c:v>5384.1034806229181</c:v>
                </c:pt>
                <c:pt idx="16">
                  <c:v>4946.9073871376504</c:v>
                </c:pt>
                <c:pt idx="17">
                  <c:v>4341.3949978794144</c:v>
                </c:pt>
                <c:pt idx="18">
                  <c:v>3695.6706844027317</c:v>
                </c:pt>
                <c:pt idx="19">
                  <c:v>3068.755950536985</c:v>
                </c:pt>
                <c:pt idx="20">
                  <c:v>2467.1652727793789</c:v>
                </c:pt>
                <c:pt idx="21">
                  <c:v>1870.2488465480699</c:v>
                </c:pt>
                <c:pt idx="22">
                  <c:v>1361.6454434772222</c:v>
                </c:pt>
                <c:pt idx="23">
                  <c:v>978.74851186182502</c:v>
                </c:pt>
                <c:pt idx="24">
                  <c:v>750.04973579798059</c:v>
                </c:pt>
                <c:pt idx="25">
                  <c:v>627.42168862186645</c:v>
                </c:pt>
                <c:pt idx="26">
                  <c:v>570.28890979557161</c:v>
                </c:pt>
                <c:pt idx="27">
                  <c:v>534.99091249150581</c:v>
                </c:pt>
                <c:pt idx="28">
                  <c:v>516.06818092277001</c:v>
                </c:pt>
                <c:pt idx="29">
                  <c:v>504.17354863560553</c:v>
                </c:pt>
                <c:pt idx="30">
                  <c:v>480.31847035858652</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bestimmen'!$O$404:$O$434</c:f>
              <c:numCache>
                <c:formatCode>0.00E+00</c:formatCode>
                <c:ptCount val="31"/>
                <c:pt idx="0">
                  <c:v>9149.8345482474924</c:v>
                </c:pt>
                <c:pt idx="1">
                  <c:v>8820.2788795776141</c:v>
                </c:pt>
                <c:pt idx="2">
                  <c:v>8533.8722605331295</c:v>
                </c:pt>
                <c:pt idx="3">
                  <c:v>8273.7015747988644</c:v>
                </c:pt>
                <c:pt idx="4">
                  <c:v>7979.0862222792848</c:v>
                </c:pt>
                <c:pt idx="5">
                  <c:v>7625.3190133909084</c:v>
                </c:pt>
                <c:pt idx="6">
                  <c:v>7251.0629198471606</c:v>
                </c:pt>
                <c:pt idx="7">
                  <c:v>6924.393407013602</c:v>
                </c:pt>
                <c:pt idx="8">
                  <c:v>6643.9609995540914</c:v>
                </c:pt>
                <c:pt idx="9">
                  <c:v>6360.2369441944311</c:v>
                </c:pt>
                <c:pt idx="10">
                  <c:v>6077.1759886859509</c:v>
                </c:pt>
                <c:pt idx="11">
                  <c:v>5794.3492029841209</c:v>
                </c:pt>
                <c:pt idx="12">
                  <c:v>5497.4610054881305</c:v>
                </c:pt>
                <c:pt idx="13">
                  <c:v>5142.3629386905741</c:v>
                </c:pt>
                <c:pt idx="14">
                  <c:v>4755.3271416437765</c:v>
                </c:pt>
                <c:pt idx="15">
                  <c:v>4259.9552232455089</c:v>
                </c:pt>
                <c:pt idx="16">
                  <c:v>3608.881023132205</c:v>
                </c:pt>
                <c:pt idx="17">
                  <c:v>2894.897040918956</c:v>
                </c:pt>
                <c:pt idx="18">
                  <c:v>2208.0535004045023</c:v>
                </c:pt>
                <c:pt idx="19">
                  <c:v>1590.7510281023892</c:v>
                </c:pt>
                <c:pt idx="20">
                  <c:v>1134.4072038150462</c:v>
                </c:pt>
                <c:pt idx="21">
                  <c:v>828.10892034291578</c:v>
                </c:pt>
                <c:pt idx="22">
                  <c:v>674.83435785785764</c:v>
                </c:pt>
                <c:pt idx="23">
                  <c:v>590.63358810768784</c:v>
                </c:pt>
                <c:pt idx="24">
                  <c:v>552.35798150339338</c:v>
                </c:pt>
                <c:pt idx="25">
                  <c:v>523.49731143746499</c:v>
                </c:pt>
                <c:pt idx="26">
                  <c:v>511.68260567729681</c:v>
                </c:pt>
                <c:pt idx="27">
                  <c:v>494.48298272135173</c:v>
                </c:pt>
                <c:pt idx="28">
                  <c:v>471.68716650538101</c:v>
                </c:pt>
                <c:pt idx="29">
                  <c:v>468.71385881352927</c:v>
                </c:pt>
                <c:pt idx="30">
                  <c:v>468.47657281171303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1.9869515428989119E-13</c:v>
                </c:pt>
                <c:pt idx="1">
                  <c:v>1.9869515428989115E-12</c:v>
                </c:pt>
                <c:pt idx="2">
                  <c:v>1.9869515428989116E-11</c:v>
                </c:pt>
                <c:pt idx="3">
                  <c:v>1.9869515428989116E-10</c:v>
                </c:pt>
                <c:pt idx="4">
                  <c:v>1.9869515428989114E-9</c:v>
                </c:pt>
                <c:pt idx="5">
                  <c:v>1.9869515428989117E-8</c:v>
                </c:pt>
                <c:pt idx="6">
                  <c:v>1.9869515428989117E-7</c:v>
                </c:pt>
                <c:pt idx="7">
                  <c:v>1.9869515428989116E-6</c:v>
                </c:pt>
                <c:pt idx="8">
                  <c:v>1.9869515428989117E-5</c:v>
                </c:pt>
                <c:pt idx="9">
                  <c:v>1.9869515428989117E-4</c:v>
                </c:pt>
                <c:pt idx="10">
                  <c:v>1.9869515428989118E-3</c:v>
                </c:pt>
                <c:pt idx="11">
                  <c:v>1.9869515428989119E-2</c:v>
                </c:pt>
                <c:pt idx="12">
                  <c:v>0.19869515428989118</c:v>
                </c:pt>
                <c:pt idx="13">
                  <c:v>1.9869515428989117</c:v>
                </c:pt>
                <c:pt idx="14">
                  <c:v>19.869515428989118</c:v>
                </c:pt>
                <c:pt idx="15">
                  <c:v>198.69515428989118</c:v>
                </c:pt>
                <c:pt idx="16">
                  <c:v>1986.9515428989116</c:v>
                </c:pt>
                <c:pt idx="17">
                  <c:v>19869.515428989118</c:v>
                </c:pt>
                <c:pt idx="18">
                  <c:v>198695.15428989116</c:v>
                </c:pt>
                <c:pt idx="19">
                  <c:v>1986951.5428989117</c:v>
                </c:pt>
                <c:pt idx="20">
                  <c:v>19869515.428989116</c:v>
                </c:pt>
                <c:pt idx="21">
                  <c:v>198695154.28989118</c:v>
                </c:pt>
                <c:pt idx="22">
                  <c:v>1986951542.8989117</c:v>
                </c:pt>
                <c:pt idx="23">
                  <c:v>19869515428.989117</c:v>
                </c:pt>
                <c:pt idx="24">
                  <c:v>198695154289.89117</c:v>
                </c:pt>
                <c:pt idx="25">
                  <c:v>1986951542898.9116</c:v>
                </c:pt>
                <c:pt idx="26">
                  <c:v>19869515428989.117</c:v>
                </c:pt>
                <c:pt idx="27">
                  <c:v>198695154289891.16</c:v>
                </c:pt>
                <c:pt idx="28">
                  <c:v>1986951542898911.7</c:v>
                </c:pt>
                <c:pt idx="29">
                  <c:v>1.9869515428989116E+16</c:v>
                </c:pt>
                <c:pt idx="30">
                  <c:v>1.9869515428989117E+17</c:v>
                </c:pt>
              </c:numCache>
            </c:numRef>
          </c:xVal>
          <c:yVal>
            <c:numRef>
              <c:f>'Mastercurve bestimmen'!$P$404:$P$434</c:f>
              <c:numCache>
                <c:formatCode>0.00E+00</c:formatCode>
                <c:ptCount val="31"/>
                <c:pt idx="0">
                  <c:v>8426.4757441054771</c:v>
                </c:pt>
                <c:pt idx="1">
                  <c:v>8085.1354599765227</c:v>
                </c:pt>
                <c:pt idx="2">
                  <c:v>7751.6368467103184</c:v>
                </c:pt>
                <c:pt idx="3">
                  <c:v>7379.8266913065718</c:v>
                </c:pt>
                <c:pt idx="4">
                  <c:v>7023.3701518062126</c:v>
                </c:pt>
                <c:pt idx="5">
                  <c:v>6738.7256441372629</c:v>
                </c:pt>
                <c:pt idx="6">
                  <c:v>6452.9254698981604</c:v>
                </c:pt>
                <c:pt idx="7">
                  <c:v>6178.6253583876323</c:v>
                </c:pt>
                <c:pt idx="8">
                  <c:v>5887.9416764587622</c:v>
                </c:pt>
                <c:pt idx="9">
                  <c:v>5619.2322674786419</c:v>
                </c:pt>
                <c:pt idx="10">
                  <c:v>5280.3661713673137</c:v>
                </c:pt>
                <c:pt idx="11">
                  <c:v>4925.7855811728932</c:v>
                </c:pt>
                <c:pt idx="12">
                  <c:v>4516.2157436003417</c:v>
                </c:pt>
                <c:pt idx="13">
                  <c:v>4054.7135164176284</c:v>
                </c:pt>
                <c:pt idx="14">
                  <c:v>3480.9757019740573</c:v>
                </c:pt>
                <c:pt idx="15">
                  <c:v>2776.8290278599252</c:v>
                </c:pt>
                <c:pt idx="16">
                  <c:v>2021.5623770745678</c:v>
                </c:pt>
                <c:pt idx="17">
                  <c:v>1425.0251284859655</c:v>
                </c:pt>
                <c:pt idx="18">
                  <c:v>1000.3144588532851</c:v>
                </c:pt>
                <c:pt idx="19">
                  <c:v>766.53007991277559</c:v>
                </c:pt>
                <c:pt idx="20">
                  <c:v>637.70408339015069</c:v>
                </c:pt>
                <c:pt idx="21">
                  <c:v>580.81989332695025</c:v>
                </c:pt>
                <c:pt idx="22">
                  <c:v>540.7919524224219</c:v>
                </c:pt>
                <c:pt idx="23">
                  <c:v>519.88174858869183</c:v>
                </c:pt>
                <c:pt idx="24">
                  <c:v>509.34643430573385</c:v>
                </c:pt>
                <c:pt idx="25">
                  <c:v>480.55733666885891</c:v>
                </c:pt>
                <c:pt idx="26">
                  <c:v>471.54124630560909</c:v>
                </c:pt>
                <c:pt idx="27">
                  <c:v>469.40352706055</c:v>
                </c:pt>
                <c:pt idx="28">
                  <c:v>469.06241231883331</c:v>
                </c:pt>
                <c:pt idx="29">
                  <c:v>467.11183046926152</c:v>
                </c:pt>
                <c:pt idx="30">
                  <c:v>466.16000667860783</c:v>
                </c:pt>
              </c:numCache>
            </c:numRef>
          </c:yVal>
          <c:smooth val="1"/>
        </c:ser>
        <c:dLbls>
          <c:showLegendKey val="0"/>
          <c:showVal val="0"/>
          <c:showCatName val="0"/>
          <c:showSerName val="0"/>
          <c:showPercent val="0"/>
          <c:showBubbleSize val="0"/>
        </c:dLbls>
        <c:axId val="585599864"/>
        <c:axId val="585597512"/>
      </c:scatterChart>
      <c:valAx>
        <c:axId val="585599864"/>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85597512"/>
        <c:crosses val="autoZero"/>
        <c:crossBetween val="midCat"/>
      </c:valAx>
      <c:valAx>
        <c:axId val="5855975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85599864"/>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-17.057668506080475</c:v>
                </c:pt>
                <c:pt idx="1">
                  <c:v>-16.993135976116339</c:v>
                </c:pt>
                <c:pt idx="2">
                  <c:v>-16.928540110182261</c:v>
                </c:pt>
                <c:pt idx="3">
                  <c:v>-16.86381757230831</c:v>
                </c:pt>
                <c:pt idx="4">
                  <c:v>-16.798905026524537</c:v>
                </c:pt>
                <c:pt idx="5">
                  <c:v>-16.733739136861008</c:v>
                </c:pt>
                <c:pt idx="6">
                  <c:v>-16.668256567347782</c:v>
                </c:pt>
                <c:pt idx="7">
                  <c:v>-16.60239398201492</c:v>
                </c:pt>
                <c:pt idx="8">
                  <c:v>-16.53608804489248</c:v>
                </c:pt>
                <c:pt idx="9">
                  <c:v>-16.469275420010526</c:v>
                </c:pt>
                <c:pt idx="10">
                  <c:v>-16.401892771399122</c:v>
                </c:pt>
                <c:pt idx="11">
                  <c:v>-16.33387676308832</c:v>
                </c:pt>
                <c:pt idx="12">
                  <c:v>-16.265164059108187</c:v>
                </c:pt>
                <c:pt idx="13">
                  <c:v>-16.195691323488781</c:v>
                </c:pt>
                <c:pt idx="14">
                  <c:v>-16.12539522026016</c:v>
                </c:pt>
                <c:pt idx="15">
                  <c:v>-16.05421241345239</c:v>
                </c:pt>
                <c:pt idx="16">
                  <c:v>-15.982079567095532</c:v>
                </c:pt>
                <c:pt idx="17">
                  <c:v>-15.908933345219644</c:v>
                </c:pt>
                <c:pt idx="18">
                  <c:v>-15.834710411854786</c:v>
                </c:pt>
                <c:pt idx="19">
                  <c:v>-15.759347431031017</c:v>
                </c:pt>
                <c:pt idx="20">
                  <c:v>-15.682781066778404</c:v>
                </c:pt>
                <c:pt idx="21">
                  <c:v>-15.604947983127001</c:v>
                </c:pt>
                <c:pt idx="22">
                  <c:v>-15.525784844106871</c:v>
                </c:pt>
                <c:pt idx="23">
                  <c:v>-15.445228313748077</c:v>
                </c:pt>
                <c:pt idx="24">
                  <c:v>-15.363215056080676</c:v>
                </c:pt>
                <c:pt idx="25">
                  <c:v>-15.279681735134734</c:v>
                </c:pt>
                <c:pt idx="26">
                  <c:v>-15.194565014940304</c:v>
                </c:pt>
                <c:pt idx="27">
                  <c:v>-15.107801559527449</c:v>
                </c:pt>
                <c:pt idx="28">
                  <c:v>-15.019328032926236</c:v>
                </c:pt>
                <c:pt idx="29">
                  <c:v>-14.929081099166718</c:v>
                </c:pt>
                <c:pt idx="30">
                  <c:v>-14.836997422278959</c:v>
                </c:pt>
                <c:pt idx="31">
                  <c:v>-14.743013666293018</c:v>
                </c:pt>
                <c:pt idx="32">
                  <c:v>-14.647066495238958</c:v>
                </c:pt>
                <c:pt idx="33">
                  <c:v>-14.54909257314684</c:v>
                </c:pt>
                <c:pt idx="34">
                  <c:v>-14.449028564046721</c:v>
                </c:pt>
                <c:pt idx="35">
                  <c:v>-14.346811131968662</c:v>
                </c:pt>
                <c:pt idx="36">
                  <c:v>-14.242376940942728</c:v>
                </c:pt>
                <c:pt idx="37">
                  <c:v>-14.135662654998976</c:v>
                </c:pt>
                <c:pt idx="38">
                  <c:v>-14.026604938167466</c:v>
                </c:pt>
                <c:pt idx="39">
                  <c:v>-13.915140454478262</c:v>
                </c:pt>
                <c:pt idx="40">
                  <c:v>-13.801205867961423</c:v>
                </c:pt>
                <c:pt idx="41">
                  <c:v>-13.723967947992357</c:v>
                </c:pt>
                <c:pt idx="42">
                  <c:v>-13.644269766245761</c:v>
                </c:pt>
                <c:pt idx="43">
                  <c:v>-13.562184499741676</c:v>
                </c:pt>
                <c:pt idx="44">
                  <c:v>-13.477785325500143</c:v>
                </c:pt>
                <c:pt idx="45">
                  <c:v>-13.391145420541203</c:v>
                </c:pt>
                <c:pt idx="46">
                  <c:v>-13.3023379618849</c:v>
                </c:pt>
                <c:pt idx="47">
                  <c:v>-13.211436126551277</c:v>
                </c:pt>
                <c:pt idx="48">
                  <c:v>-13.118513091560374</c:v>
                </c:pt>
                <c:pt idx="49">
                  <c:v>-13.023642033932237</c:v>
                </c:pt>
                <c:pt idx="50">
                  <c:v>-12.926896130686904</c:v>
                </c:pt>
                <c:pt idx="51">
                  <c:v>-12.828348558844418</c:v>
                </c:pt>
                <c:pt idx="52">
                  <c:v>-12.728072495424824</c:v>
                </c:pt>
                <c:pt idx="53">
                  <c:v>-12.626141117448162</c:v>
                </c:pt>
                <c:pt idx="54">
                  <c:v>-12.522627601934474</c:v>
                </c:pt>
                <c:pt idx="55">
                  <c:v>-12.417605125903805</c:v>
                </c:pt>
                <c:pt idx="56">
                  <c:v>-12.311146866376195</c:v>
                </c:pt>
                <c:pt idx="57">
                  <c:v>-12.203326000371685</c:v>
                </c:pt>
                <c:pt idx="58">
                  <c:v>-12.09421570491032</c:v>
                </c:pt>
                <c:pt idx="59">
                  <c:v>-11.983889157012142</c:v>
                </c:pt>
                <c:pt idx="60">
                  <c:v>-11.872419533697192</c:v>
                </c:pt>
                <c:pt idx="61">
                  <c:v>-11.759880011985512</c:v>
                </c:pt>
                <c:pt idx="62">
                  <c:v>-11.646343768897145</c:v>
                </c:pt>
                <c:pt idx="63">
                  <c:v>-11.531883981452134</c:v>
                </c:pt>
                <c:pt idx="64">
                  <c:v>-11.416573826670518</c:v>
                </c:pt>
                <c:pt idx="65">
                  <c:v>-11.300486481572344</c:v>
                </c:pt>
                <c:pt idx="66">
                  <c:v>-11.183697704730321</c:v>
                </c:pt>
                <c:pt idx="67">
                  <c:v>-11.066293580927844</c:v>
                </c:pt>
                <c:pt idx="68">
                  <c:v>-10.948362776500968</c:v>
                </c:pt>
                <c:pt idx="69">
                  <c:v>-10.829993957785762</c:v>
                </c:pt>
                <c:pt idx="70">
                  <c:v>-10.711275791118284</c:v>
                </c:pt>
                <c:pt idx="71">
                  <c:v>-10.592296942834594</c:v>
                </c:pt>
                <c:pt idx="72">
                  <c:v>-10.473146079270759</c:v>
                </c:pt>
                <c:pt idx="73">
                  <c:v>-10.353911866762834</c:v>
                </c:pt>
                <c:pt idx="74">
                  <c:v>-10.234682971646885</c:v>
                </c:pt>
                <c:pt idx="75">
                  <c:v>-10.115548060258972</c:v>
                </c:pt>
                <c:pt idx="76">
                  <c:v>-9.9965957989351573</c:v>
                </c:pt>
                <c:pt idx="77">
                  <c:v>-9.8779148540115038</c:v>
                </c:pt>
                <c:pt idx="78">
                  <c:v>-9.7595938918240677</c:v>
                </c:pt>
                <c:pt idx="79">
                  <c:v>-9.6417215787089177</c:v>
                </c:pt>
                <c:pt idx="80">
                  <c:v>-9.524386581002112</c:v>
                </c:pt>
                <c:pt idx="81">
                  <c:v>-9.4076775650397124</c:v>
                </c:pt>
                <c:pt idx="82">
                  <c:v>-9.2916831971577789</c:v>
                </c:pt>
                <c:pt idx="83">
                  <c:v>-9.176492143692375</c:v>
                </c:pt>
                <c:pt idx="84">
                  <c:v>-9.0621930709795624</c:v>
                </c:pt>
                <c:pt idx="85">
                  <c:v>-8.9488746453554029</c:v>
                </c:pt>
                <c:pt idx="86">
                  <c:v>-8.8366255331559564</c:v>
                </c:pt>
                <c:pt idx="87">
                  <c:v>-8.7255344007172866</c:v>
                </c:pt>
                <c:pt idx="88">
                  <c:v>-8.6156899143754533</c:v>
                </c:pt>
                <c:pt idx="89">
                  <c:v>-8.5071807404665201</c:v>
                </c:pt>
                <c:pt idx="90">
                  <c:v>-8.4000955453265451</c:v>
                </c:pt>
                <c:pt idx="91">
                  <c:v>-8.2944937547040123</c:v>
                </c:pt>
                <c:pt idx="92">
                  <c:v>-8.1903178319970795</c:v>
                </c:pt>
                <c:pt idx="93">
                  <c:v>-8.0874810000163233</c:v>
                </c:pt>
                <c:pt idx="94">
                  <c:v>-7.9858964815723201</c:v>
                </c:pt>
                <c:pt idx="95">
                  <c:v>-7.8854774994756482</c:v>
                </c:pt>
                <c:pt idx="96">
                  <c:v>-7.7861372765368833</c:v>
                </c:pt>
                <c:pt idx="97">
                  <c:v>-7.6877890355666034</c:v>
                </c:pt>
                <c:pt idx="98">
                  <c:v>-7.590345999375387</c:v>
                </c:pt>
                <c:pt idx="99">
                  <c:v>-7.4937213907738096</c:v>
                </c:pt>
                <c:pt idx="100">
                  <c:v>-7.3978284325724477</c:v>
                </c:pt>
                <c:pt idx="101">
                  <c:v>-7.3025803475818796</c:v>
                </c:pt>
                <c:pt idx="102">
                  <c:v>-7.2078903586126826</c:v>
                </c:pt>
                <c:pt idx="103">
                  <c:v>-7.113671688475435</c:v>
                </c:pt>
                <c:pt idx="104">
                  <c:v>-7.0198375599807097</c:v>
                </c:pt>
                <c:pt idx="105">
                  <c:v>-6.9263011959390877</c:v>
                </c:pt>
                <c:pt idx="106">
                  <c:v>-6.8329758191611454</c:v>
                </c:pt>
                <c:pt idx="107">
                  <c:v>-6.7397746524574593</c:v>
                </c:pt>
                <c:pt idx="108">
                  <c:v>-6.6466109186386078</c:v>
                </c:pt>
                <c:pt idx="109">
                  <c:v>-6.5533978405151654</c:v>
                </c:pt>
                <c:pt idx="110">
                  <c:v>-6.4600486408977122</c:v>
                </c:pt>
                <c:pt idx="111">
                  <c:v>-6.3664765425968231</c:v>
                </c:pt>
                <c:pt idx="112">
                  <c:v>-6.2725947684230769</c:v>
                </c:pt>
                <c:pt idx="113">
                  <c:v>-6.1783165411870504</c:v>
                </c:pt>
                <c:pt idx="114">
                  <c:v>-6.08355508369932</c:v>
                </c:pt>
                <c:pt idx="115">
                  <c:v>-5.9882236187704638</c:v>
                </c:pt>
                <c:pt idx="116">
                  <c:v>-5.8922353692110576</c:v>
                </c:pt>
                <c:pt idx="117">
                  <c:v>-5.7955035578316805</c:v>
                </c:pt>
                <c:pt idx="118">
                  <c:v>-5.697941407442908</c:v>
                </c:pt>
                <c:pt idx="119">
                  <c:v>-5.5994621408553176</c:v>
                </c:pt>
                <c:pt idx="120">
                  <c:v>-5.4999789808794874</c:v>
                </c:pt>
                <c:pt idx="121">
                  <c:v>-5.3994207649762131</c:v>
                </c:pt>
                <c:pt idx="122">
                  <c:v>-5.297778789207177</c:v>
                </c:pt>
                <c:pt idx="123">
                  <c:v>-5.1950599642842796</c:v>
                </c:pt>
                <c:pt idx="124">
                  <c:v>-5.0912712009194214</c:v>
                </c:pt>
                <c:pt idx="125">
                  <c:v>-4.986419409824502</c:v>
                </c:pt>
                <c:pt idx="126">
                  <c:v>-4.8805115017114238</c:v>
                </c:pt>
                <c:pt idx="127">
                  <c:v>-4.7735543872920871</c:v>
                </c:pt>
                <c:pt idx="128">
                  <c:v>-4.6655549772783926</c:v>
                </c:pt>
                <c:pt idx="129">
                  <c:v>-4.5565201823822425</c:v>
                </c:pt>
                <c:pt idx="130">
                  <c:v>-4.4464569133155365</c:v>
                </c:pt>
                <c:pt idx="131">
                  <c:v>-4.3353720807901741</c:v>
                </c:pt>
                <c:pt idx="132">
                  <c:v>-4.2232725955180577</c:v>
                </c:pt>
                <c:pt idx="133">
                  <c:v>-4.1101653682110877</c:v>
                </c:pt>
                <c:pt idx="134">
                  <c:v>-3.9960573095811656</c:v>
                </c:pt>
                <c:pt idx="135">
                  <c:v>-3.8809553303401922</c:v>
                </c:pt>
                <c:pt idx="136">
                  <c:v>-3.7648663412000669</c:v>
                </c:pt>
                <c:pt idx="137">
                  <c:v>-3.6477972528726914</c:v>
                </c:pt>
                <c:pt idx="138">
                  <c:v>-3.5297549760699676</c:v>
                </c:pt>
                <c:pt idx="139">
                  <c:v>-3.4107464215037941</c:v>
                </c:pt>
                <c:pt idx="140">
                  <c:v>-3.2907784998860734</c:v>
                </c:pt>
                <c:pt idx="141">
                  <c:v>-3.1698581219287059</c:v>
                </c:pt>
                <c:pt idx="142">
                  <c:v>-3.0479921983435929</c:v>
                </c:pt>
                <c:pt idx="143">
                  <c:v>-2.9251876398426342</c:v>
                </c:pt>
                <c:pt idx="144">
                  <c:v>-2.8014513571377315</c:v>
                </c:pt>
                <c:pt idx="145">
                  <c:v>-2.676790260940785</c:v>
                </c:pt>
                <c:pt idx="146">
                  <c:v>-2.5512112619636964</c:v>
                </c:pt>
                <c:pt idx="147">
                  <c:v>-2.424721270918365</c:v>
                </c:pt>
                <c:pt idx="148">
                  <c:v>-2.2973271985166934</c:v>
                </c:pt>
                <c:pt idx="149">
                  <c:v>-2.1690359554705814</c:v>
                </c:pt>
                <c:pt idx="150">
                  <c:v>-2.0398544524919302</c:v>
                </c:pt>
                <c:pt idx="151">
                  <c:v>-1.9097896002926398</c:v>
                </c:pt>
                <c:pt idx="152">
                  <c:v>-1.7788483095846124</c:v>
                </c:pt>
                <c:pt idx="153">
                  <c:v>-1.6470374910797476</c:v>
                </c:pt>
                <c:pt idx="154">
                  <c:v>-1.5143640554899471</c:v>
                </c:pt>
                <c:pt idx="155">
                  <c:v>-1.3808349135271116</c:v>
                </c:pt>
                <c:pt idx="156">
                  <c:v>-1.2464569759031414</c:v>
                </c:pt>
                <c:pt idx="157">
                  <c:v>-1.1112371533299377</c:v>
                </c:pt>
                <c:pt idx="158">
                  <c:v>-0.97518235651940133</c:v>
                </c:pt>
                <c:pt idx="159">
                  <c:v>-0.83829949618343291</c:v>
                </c:pt>
                <c:pt idx="160">
                  <c:v>-0.70059548303393371</c:v>
                </c:pt>
                <c:pt idx="161">
                  <c:v>-0.56207722778280411</c:v>
                </c:pt>
                <c:pt idx="162">
                  <c:v>-0.42275164114194508</c:v>
                </c:pt>
                <c:pt idx="163">
                  <c:v>-0.2826256338232575</c:v>
                </c:pt>
                <c:pt idx="164">
                  <c:v>-0.14170611653864224</c:v>
                </c:pt>
                <c:pt idx="165">
                  <c:v>0</c:v>
                </c:pt>
                <c:pt idx="166">
                  <c:v>0.14248324406350357</c:v>
                </c:pt>
                <c:pt idx="167">
                  <c:v>0.28572389985364394</c:v>
                </c:pt>
                <c:pt idx="168">
                  <c:v>0.42969969055493173</c:v>
                </c:pt>
                <c:pt idx="169">
                  <c:v>0.57438833935187772</c:v>
                </c:pt>
                <c:pt idx="170">
                  <c:v>0.71976756942899245</c:v>
                </c:pt>
                <c:pt idx="171">
                  <c:v>0.86581510397078665</c:v>
                </c:pt>
                <c:pt idx="172">
                  <c:v>1.0125086661617713</c:v>
                </c:pt>
                <c:pt idx="173">
                  <c:v>1.1598259791864565</c:v>
                </c:pt>
                <c:pt idx="174">
                  <c:v>1.3077447662293533</c:v>
                </c:pt>
                <c:pt idx="175">
                  <c:v>1.4562427504749726</c:v>
                </c:pt>
                <c:pt idx="176">
                  <c:v>1.6052976551078246</c:v>
                </c:pt>
                <c:pt idx="177">
                  <c:v>1.7548872033124201</c:v>
                </c:pt>
                <c:pt idx="178">
                  <c:v>1.9049891182732701</c:v>
                </c:pt>
                <c:pt idx="179">
                  <c:v>2.0555811231748851</c:v>
                </c:pt>
                <c:pt idx="180">
                  <c:v>2.2066409412017753</c:v>
                </c:pt>
                <c:pt idx="181">
                  <c:v>2.3581462955384525</c:v>
                </c:pt>
                <c:pt idx="182">
                  <c:v>2.5100749093694263</c:v>
                </c:pt>
                <c:pt idx="183">
                  <c:v>2.6624045058792078</c:v>
                </c:pt>
                <c:pt idx="184">
                  <c:v>2.8151128082523078</c:v>
                </c:pt>
                <c:pt idx="185">
                  <c:v>2.9681775396732371</c:v>
                </c:pt>
                <c:pt idx="186">
                  <c:v>3.1215764233265055</c:v>
                </c:pt>
                <c:pt idx="187">
                  <c:v>3.275287182396625</c:v>
                </c:pt>
                <c:pt idx="188">
                  <c:v>3.4292875400681058</c:v>
                </c:pt>
                <c:pt idx="189">
                  <c:v>3.5835552195254574</c:v>
                </c:pt>
                <c:pt idx="190">
                  <c:v>3.7380679439531921</c:v>
                </c:pt>
                <c:pt idx="191">
                  <c:v>3.8928034365358202</c:v>
                </c:pt>
                <c:pt idx="192">
                  <c:v>4.0477394204578525</c:v>
                </c:pt>
                <c:pt idx="193">
                  <c:v>4.2028536189037986</c:v>
                </c:pt>
                <c:pt idx="194">
                  <c:v>4.3581237550581688</c:v>
                </c:pt>
                <c:pt idx="195">
                  <c:v>4.5135275521054767</c:v>
                </c:pt>
                <c:pt idx="196">
                  <c:v>4.6690427332302304</c:v>
                </c:pt>
                <c:pt idx="197">
                  <c:v>4.8246470216169417</c:v>
                </c:pt>
                <c:pt idx="198">
                  <c:v>4.9803181404501213</c:v>
                </c:pt>
                <c:pt idx="199">
                  <c:v>5.1360338129142793</c:v>
                </c:pt>
                <c:pt idx="200">
                  <c:v>5.2917717621939264</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-17.057668506080475</c:v>
                </c:pt>
                <c:pt idx="1">
                  <c:v>-13.801205867961423</c:v>
                </c:pt>
                <c:pt idx="2">
                  <c:v>-11.300486481572344</c:v>
                </c:pt>
                <c:pt idx="3">
                  <c:v>-8.4000955453265451</c:v>
                </c:pt>
                <c:pt idx="4">
                  <c:v>-5.4999789808794874</c:v>
                </c:pt>
                <c:pt idx="5">
                  <c:v>0</c:v>
                </c:pt>
                <c:pt idx="6">
                  <c:v>5.2917717621939255</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-165</c:v>
                </c:pt>
                <c:pt idx="1">
                  <c:v>-164</c:v>
                </c:pt>
                <c:pt idx="2">
                  <c:v>-163</c:v>
                </c:pt>
                <c:pt idx="3">
                  <c:v>-162</c:v>
                </c:pt>
                <c:pt idx="4">
                  <c:v>-161</c:v>
                </c:pt>
                <c:pt idx="5">
                  <c:v>-160</c:v>
                </c:pt>
                <c:pt idx="6">
                  <c:v>-159</c:v>
                </c:pt>
                <c:pt idx="7">
                  <c:v>-158</c:v>
                </c:pt>
                <c:pt idx="8">
                  <c:v>-157</c:v>
                </c:pt>
                <c:pt idx="9">
                  <c:v>-156</c:v>
                </c:pt>
                <c:pt idx="10">
                  <c:v>-155</c:v>
                </c:pt>
                <c:pt idx="11">
                  <c:v>-154</c:v>
                </c:pt>
                <c:pt idx="12">
                  <c:v>-153</c:v>
                </c:pt>
                <c:pt idx="13">
                  <c:v>-152</c:v>
                </c:pt>
                <c:pt idx="14">
                  <c:v>-151</c:v>
                </c:pt>
                <c:pt idx="15">
                  <c:v>-150</c:v>
                </c:pt>
                <c:pt idx="16">
                  <c:v>-149</c:v>
                </c:pt>
                <c:pt idx="17">
                  <c:v>-148</c:v>
                </c:pt>
                <c:pt idx="18">
                  <c:v>-147</c:v>
                </c:pt>
                <c:pt idx="19">
                  <c:v>-146</c:v>
                </c:pt>
                <c:pt idx="20">
                  <c:v>-145</c:v>
                </c:pt>
                <c:pt idx="21">
                  <c:v>-144</c:v>
                </c:pt>
                <c:pt idx="22">
                  <c:v>-143</c:v>
                </c:pt>
                <c:pt idx="23">
                  <c:v>-142</c:v>
                </c:pt>
                <c:pt idx="24">
                  <c:v>-141</c:v>
                </c:pt>
                <c:pt idx="25">
                  <c:v>-140</c:v>
                </c:pt>
                <c:pt idx="26">
                  <c:v>-139</c:v>
                </c:pt>
                <c:pt idx="27">
                  <c:v>-138</c:v>
                </c:pt>
                <c:pt idx="28">
                  <c:v>-137</c:v>
                </c:pt>
                <c:pt idx="29">
                  <c:v>-136</c:v>
                </c:pt>
                <c:pt idx="30">
                  <c:v>-135</c:v>
                </c:pt>
                <c:pt idx="31">
                  <c:v>-134</c:v>
                </c:pt>
                <c:pt idx="32">
                  <c:v>-133</c:v>
                </c:pt>
                <c:pt idx="33">
                  <c:v>-132</c:v>
                </c:pt>
                <c:pt idx="34">
                  <c:v>-131</c:v>
                </c:pt>
                <c:pt idx="35">
                  <c:v>-130</c:v>
                </c:pt>
                <c:pt idx="36">
                  <c:v>-129</c:v>
                </c:pt>
                <c:pt idx="37">
                  <c:v>-128</c:v>
                </c:pt>
                <c:pt idx="38">
                  <c:v>-127</c:v>
                </c:pt>
                <c:pt idx="39">
                  <c:v>-126</c:v>
                </c:pt>
                <c:pt idx="40">
                  <c:v>-125</c:v>
                </c:pt>
                <c:pt idx="41">
                  <c:v>-124</c:v>
                </c:pt>
                <c:pt idx="42">
                  <c:v>-123</c:v>
                </c:pt>
                <c:pt idx="43">
                  <c:v>-122</c:v>
                </c:pt>
                <c:pt idx="44">
                  <c:v>-121</c:v>
                </c:pt>
                <c:pt idx="45">
                  <c:v>-120</c:v>
                </c:pt>
                <c:pt idx="46">
                  <c:v>-119</c:v>
                </c:pt>
                <c:pt idx="47">
                  <c:v>-118</c:v>
                </c:pt>
                <c:pt idx="48">
                  <c:v>-117</c:v>
                </c:pt>
                <c:pt idx="49">
                  <c:v>-116</c:v>
                </c:pt>
                <c:pt idx="50">
                  <c:v>-115</c:v>
                </c:pt>
                <c:pt idx="51">
                  <c:v>-114</c:v>
                </c:pt>
                <c:pt idx="52">
                  <c:v>-113</c:v>
                </c:pt>
                <c:pt idx="53">
                  <c:v>-112</c:v>
                </c:pt>
                <c:pt idx="54">
                  <c:v>-111</c:v>
                </c:pt>
                <c:pt idx="55">
                  <c:v>-110</c:v>
                </c:pt>
                <c:pt idx="56">
                  <c:v>-109</c:v>
                </c:pt>
                <c:pt idx="57">
                  <c:v>-108</c:v>
                </c:pt>
                <c:pt idx="58">
                  <c:v>-107</c:v>
                </c:pt>
                <c:pt idx="59">
                  <c:v>-106</c:v>
                </c:pt>
                <c:pt idx="60">
                  <c:v>-105</c:v>
                </c:pt>
                <c:pt idx="61">
                  <c:v>-104</c:v>
                </c:pt>
                <c:pt idx="62">
                  <c:v>-103</c:v>
                </c:pt>
                <c:pt idx="63">
                  <c:v>-102</c:v>
                </c:pt>
                <c:pt idx="64">
                  <c:v>-101</c:v>
                </c:pt>
                <c:pt idx="65">
                  <c:v>-100</c:v>
                </c:pt>
                <c:pt idx="66">
                  <c:v>-99</c:v>
                </c:pt>
                <c:pt idx="67">
                  <c:v>-98</c:v>
                </c:pt>
                <c:pt idx="68">
                  <c:v>-97</c:v>
                </c:pt>
                <c:pt idx="69">
                  <c:v>-96</c:v>
                </c:pt>
                <c:pt idx="70">
                  <c:v>-95</c:v>
                </c:pt>
                <c:pt idx="71">
                  <c:v>-94</c:v>
                </c:pt>
                <c:pt idx="72">
                  <c:v>-93</c:v>
                </c:pt>
                <c:pt idx="73">
                  <c:v>-92</c:v>
                </c:pt>
                <c:pt idx="74">
                  <c:v>-91</c:v>
                </c:pt>
                <c:pt idx="75">
                  <c:v>-90</c:v>
                </c:pt>
                <c:pt idx="76">
                  <c:v>-89</c:v>
                </c:pt>
                <c:pt idx="77">
                  <c:v>-88</c:v>
                </c:pt>
                <c:pt idx="78">
                  <c:v>-87</c:v>
                </c:pt>
                <c:pt idx="79">
                  <c:v>-86</c:v>
                </c:pt>
                <c:pt idx="80">
                  <c:v>-85</c:v>
                </c:pt>
                <c:pt idx="81">
                  <c:v>-84</c:v>
                </c:pt>
                <c:pt idx="82">
                  <c:v>-83</c:v>
                </c:pt>
                <c:pt idx="83">
                  <c:v>-82</c:v>
                </c:pt>
                <c:pt idx="84">
                  <c:v>-81</c:v>
                </c:pt>
                <c:pt idx="85">
                  <c:v>-80</c:v>
                </c:pt>
                <c:pt idx="86">
                  <c:v>-79</c:v>
                </c:pt>
                <c:pt idx="87">
                  <c:v>-78</c:v>
                </c:pt>
                <c:pt idx="88">
                  <c:v>-77</c:v>
                </c:pt>
                <c:pt idx="89">
                  <c:v>-76</c:v>
                </c:pt>
                <c:pt idx="90">
                  <c:v>-75</c:v>
                </c:pt>
                <c:pt idx="91">
                  <c:v>-74</c:v>
                </c:pt>
                <c:pt idx="92">
                  <c:v>-73</c:v>
                </c:pt>
                <c:pt idx="93">
                  <c:v>-72</c:v>
                </c:pt>
                <c:pt idx="94">
                  <c:v>-71</c:v>
                </c:pt>
                <c:pt idx="95">
                  <c:v>-70</c:v>
                </c:pt>
                <c:pt idx="96">
                  <c:v>-69</c:v>
                </c:pt>
                <c:pt idx="97">
                  <c:v>-68</c:v>
                </c:pt>
                <c:pt idx="98">
                  <c:v>-67</c:v>
                </c:pt>
                <c:pt idx="99">
                  <c:v>-66</c:v>
                </c:pt>
                <c:pt idx="100">
                  <c:v>-65</c:v>
                </c:pt>
                <c:pt idx="101">
                  <c:v>-64</c:v>
                </c:pt>
                <c:pt idx="102">
                  <c:v>-63</c:v>
                </c:pt>
                <c:pt idx="103">
                  <c:v>-62</c:v>
                </c:pt>
                <c:pt idx="104">
                  <c:v>-61</c:v>
                </c:pt>
                <c:pt idx="105">
                  <c:v>-60</c:v>
                </c:pt>
                <c:pt idx="106">
                  <c:v>-59</c:v>
                </c:pt>
                <c:pt idx="107">
                  <c:v>-58</c:v>
                </c:pt>
                <c:pt idx="108">
                  <c:v>-57</c:v>
                </c:pt>
                <c:pt idx="109">
                  <c:v>-56</c:v>
                </c:pt>
                <c:pt idx="110">
                  <c:v>-55</c:v>
                </c:pt>
                <c:pt idx="111">
                  <c:v>-54</c:v>
                </c:pt>
                <c:pt idx="112">
                  <c:v>-53</c:v>
                </c:pt>
                <c:pt idx="113">
                  <c:v>-52</c:v>
                </c:pt>
                <c:pt idx="114">
                  <c:v>-51</c:v>
                </c:pt>
                <c:pt idx="115">
                  <c:v>-50</c:v>
                </c:pt>
                <c:pt idx="116">
                  <c:v>-49</c:v>
                </c:pt>
                <c:pt idx="117">
                  <c:v>-48</c:v>
                </c:pt>
                <c:pt idx="118">
                  <c:v>-47</c:v>
                </c:pt>
                <c:pt idx="119">
                  <c:v>-46</c:v>
                </c:pt>
                <c:pt idx="120">
                  <c:v>-45</c:v>
                </c:pt>
                <c:pt idx="121">
                  <c:v>-44</c:v>
                </c:pt>
                <c:pt idx="122">
                  <c:v>-43</c:v>
                </c:pt>
                <c:pt idx="123">
                  <c:v>-42</c:v>
                </c:pt>
                <c:pt idx="124">
                  <c:v>-41</c:v>
                </c:pt>
                <c:pt idx="125">
                  <c:v>-40</c:v>
                </c:pt>
                <c:pt idx="126">
                  <c:v>-39</c:v>
                </c:pt>
                <c:pt idx="127">
                  <c:v>-38</c:v>
                </c:pt>
                <c:pt idx="128">
                  <c:v>-37</c:v>
                </c:pt>
                <c:pt idx="129">
                  <c:v>-36</c:v>
                </c:pt>
                <c:pt idx="130">
                  <c:v>-35</c:v>
                </c:pt>
                <c:pt idx="131">
                  <c:v>-34</c:v>
                </c:pt>
                <c:pt idx="132">
                  <c:v>-33</c:v>
                </c:pt>
                <c:pt idx="133">
                  <c:v>-32</c:v>
                </c:pt>
                <c:pt idx="134">
                  <c:v>-31</c:v>
                </c:pt>
                <c:pt idx="135">
                  <c:v>-30</c:v>
                </c:pt>
                <c:pt idx="136">
                  <c:v>-29</c:v>
                </c:pt>
                <c:pt idx="137">
                  <c:v>-28</c:v>
                </c:pt>
                <c:pt idx="138">
                  <c:v>-27</c:v>
                </c:pt>
                <c:pt idx="139">
                  <c:v>-26</c:v>
                </c:pt>
                <c:pt idx="140">
                  <c:v>-25</c:v>
                </c:pt>
                <c:pt idx="141">
                  <c:v>-24</c:v>
                </c:pt>
                <c:pt idx="142">
                  <c:v>-23</c:v>
                </c:pt>
                <c:pt idx="143">
                  <c:v>-22</c:v>
                </c:pt>
                <c:pt idx="144">
                  <c:v>-21</c:v>
                </c:pt>
                <c:pt idx="145">
                  <c:v>-20</c:v>
                </c:pt>
                <c:pt idx="146">
                  <c:v>-19</c:v>
                </c:pt>
                <c:pt idx="147">
                  <c:v>-18</c:v>
                </c:pt>
                <c:pt idx="148">
                  <c:v>-17</c:v>
                </c:pt>
                <c:pt idx="149">
                  <c:v>-16</c:v>
                </c:pt>
                <c:pt idx="150">
                  <c:v>-15</c:v>
                </c:pt>
                <c:pt idx="151">
                  <c:v>-14</c:v>
                </c:pt>
                <c:pt idx="152">
                  <c:v>-13</c:v>
                </c:pt>
                <c:pt idx="153">
                  <c:v>-12</c:v>
                </c:pt>
                <c:pt idx="154">
                  <c:v>-11</c:v>
                </c:pt>
                <c:pt idx="155">
                  <c:v>-10</c:v>
                </c:pt>
                <c:pt idx="156">
                  <c:v>-9</c:v>
                </c:pt>
                <c:pt idx="157">
                  <c:v>-8</c:v>
                </c:pt>
                <c:pt idx="158">
                  <c:v>-7</c:v>
                </c:pt>
                <c:pt idx="159">
                  <c:v>-6</c:v>
                </c:pt>
                <c:pt idx="160">
                  <c:v>-5</c:v>
                </c:pt>
                <c:pt idx="161">
                  <c:v>-4</c:v>
                </c:pt>
                <c:pt idx="162">
                  <c:v>-3</c:v>
                </c:pt>
                <c:pt idx="163">
                  <c:v>-2</c:v>
                </c:pt>
                <c:pt idx="164">
                  <c:v>-1</c:v>
                </c:pt>
                <c:pt idx="165">
                  <c:v>0</c:v>
                </c:pt>
                <c:pt idx="166">
                  <c:v>1</c:v>
                </c:pt>
                <c:pt idx="167">
                  <c:v>2</c:v>
                </c:pt>
                <c:pt idx="168">
                  <c:v>3</c:v>
                </c:pt>
                <c:pt idx="169">
                  <c:v>4</c:v>
                </c:pt>
                <c:pt idx="170">
                  <c:v>5</c:v>
                </c:pt>
                <c:pt idx="171">
                  <c:v>6</c:v>
                </c:pt>
                <c:pt idx="172">
                  <c:v>7</c:v>
                </c:pt>
                <c:pt idx="173">
                  <c:v>8</c:v>
                </c:pt>
                <c:pt idx="174">
                  <c:v>9</c:v>
                </c:pt>
                <c:pt idx="175">
                  <c:v>10</c:v>
                </c:pt>
                <c:pt idx="176">
                  <c:v>11</c:v>
                </c:pt>
                <c:pt idx="177">
                  <c:v>12</c:v>
                </c:pt>
                <c:pt idx="178">
                  <c:v>13</c:v>
                </c:pt>
                <c:pt idx="179">
                  <c:v>14</c:v>
                </c:pt>
                <c:pt idx="180">
                  <c:v>15</c:v>
                </c:pt>
                <c:pt idx="181">
                  <c:v>16</c:v>
                </c:pt>
                <c:pt idx="182">
                  <c:v>17</c:v>
                </c:pt>
                <c:pt idx="183">
                  <c:v>18</c:v>
                </c:pt>
                <c:pt idx="184">
                  <c:v>19</c:v>
                </c:pt>
                <c:pt idx="185">
                  <c:v>20</c:v>
                </c:pt>
                <c:pt idx="186">
                  <c:v>21</c:v>
                </c:pt>
                <c:pt idx="187">
                  <c:v>22</c:v>
                </c:pt>
                <c:pt idx="188">
                  <c:v>23</c:v>
                </c:pt>
                <c:pt idx="189">
                  <c:v>24</c:v>
                </c:pt>
                <c:pt idx="190">
                  <c:v>25</c:v>
                </c:pt>
                <c:pt idx="191">
                  <c:v>26</c:v>
                </c:pt>
                <c:pt idx="192">
                  <c:v>27</c:v>
                </c:pt>
                <c:pt idx="193">
                  <c:v>28</c:v>
                </c:pt>
                <c:pt idx="194">
                  <c:v>29</c:v>
                </c:pt>
                <c:pt idx="195">
                  <c:v>30</c:v>
                </c:pt>
                <c:pt idx="196">
                  <c:v>31</c:v>
                </c:pt>
                <c:pt idx="197">
                  <c:v>32</c:v>
                </c:pt>
                <c:pt idx="198">
                  <c:v>33</c:v>
                </c:pt>
                <c:pt idx="199">
                  <c:v>34</c:v>
                </c:pt>
                <c:pt idx="200">
                  <c:v>35</c:v>
                </c:pt>
              </c:numCache>
            </c:numRef>
          </c:xVal>
          <c:yVal>
            <c:numRef>
              <c:f>'Shiftfunktion bestimmen'!$F$222:$F$422</c:f>
              <c:numCache>
                <c:formatCode>General</c:formatCode>
                <c:ptCount val="201"/>
                <c:pt idx="0">
                  <c:v>-17.03721703527583</c:v>
                </c:pt>
                <c:pt idx="1">
                  <c:v>-16.985118349669733</c:v>
                </c:pt>
                <c:pt idx="2">
                  <c:v>-16.930004676138935</c:v>
                </c:pt>
                <c:pt idx="3">
                  <c:v>-16.872185926883049</c:v>
                </c:pt>
                <c:pt idx="4">
                  <c:v>-16.811941522066832</c:v>
                </c:pt>
                <c:pt idx="5">
                  <c:v>-16.749522392947853</c:v>
                </c:pt>
                <c:pt idx="6">
                  <c:v>-16.68515290215484</c:v>
                </c:pt>
                <c:pt idx="7">
                  <c:v>-16.619032683108031</c:v>
                </c:pt>
                <c:pt idx="8">
                  <c:v>-16.551338400562656</c:v>
                </c:pt>
                <c:pt idx="9">
                  <c:v>-16.48222543422338</c:v>
                </c:pt>
                <c:pt idx="10">
                  <c:v>-16.411829487369062</c:v>
                </c:pt>
                <c:pt idx="11">
                  <c:v>-16.340268122391279</c:v>
                </c:pt>
                <c:pt idx="12">
                  <c:v>-16.267642225139667</c:v>
                </c:pt>
                <c:pt idx="13">
                  <c:v>-16.194037399939475</c:v>
                </c:pt>
                <c:pt idx="14">
                  <c:v>-16.119525297125591</c:v>
                </c:pt>
                <c:pt idx="15">
                  <c:v>-16.044164874918351</c:v>
                </c:pt>
                <c:pt idx="16">
                  <c:v>-15.968003597439377</c:v>
                </c:pt>
                <c:pt idx="17">
                  <c:v>-15.891078570650819</c:v>
                </c:pt>
                <c:pt idx="18">
                  <c:v>-15.813417617972704</c:v>
                </c:pt>
                <c:pt idx="19">
                  <c:v>-15.735040297316942</c:v>
                </c:pt>
                <c:pt idx="20">
                  <c:v>-15.655958861250241</c:v>
                </c:pt>
                <c:pt idx="21">
                  <c:v>-15.576179161979852</c:v>
                </c:pt>
                <c:pt idx="22">
                  <c:v>-15.495701502832816</c:v>
                </c:pt>
                <c:pt idx="23">
                  <c:v>-15.4145214378768</c:v>
                </c:pt>
                <c:pt idx="24">
                  <c:v>-15.332630521310733</c:v>
                </c:pt>
                <c:pt idx="25">
                  <c:v>-15.250017008230202</c:v>
                </c:pt>
                <c:pt idx="26">
                  <c:v>-15.166666508350602</c:v>
                </c:pt>
                <c:pt idx="27">
                  <c:v>-15.082562594251741</c:v>
                </c:pt>
                <c:pt idx="28">
                  <c:v>-14.99768736568187</c:v>
                </c:pt>
                <c:pt idx="29">
                  <c:v>-14.912021971440559</c:v>
                </c:pt>
                <c:pt idx="30">
                  <c:v>-14.825547090337004</c:v>
                </c:pt>
                <c:pt idx="31">
                  <c:v>-14.738243372697923</c:v>
                </c:pt>
                <c:pt idx="32">
                  <c:v>-14.650091843878286</c:v>
                </c:pt>
                <c:pt idx="33">
                  <c:v>-14.561074271206365</c:v>
                </c:pt>
                <c:pt idx="34">
                  <c:v>-14.471173495772028</c:v>
                </c:pt>
                <c:pt idx="35">
                  <c:v>-14.380373730445413</c:v>
                </c:pt>
                <c:pt idx="36">
                  <c:v>-14.28866082549365</c:v>
                </c:pt>
                <c:pt idx="37">
                  <c:v>-14.196022503137371</c:v>
                </c:pt>
                <c:pt idx="38">
                  <c:v>-14.102448562370718</c:v>
                </c:pt>
                <c:pt idx="39">
                  <c:v>-14.007931055345161</c:v>
                </c:pt>
                <c:pt idx="40">
                  <c:v>-13.912464436595172</c:v>
                </c:pt>
                <c:pt idx="41">
                  <c:v>-13.816045686363548</c:v>
                </c:pt>
                <c:pt idx="42">
                  <c:v>-13.718674409260839</c:v>
                </c:pt>
                <c:pt idx="43">
                  <c:v>-13.620352909472494</c:v>
                </c:pt>
                <c:pt idx="44">
                  <c:v>-13.52108624370543</c:v>
                </c:pt>
                <c:pt idx="45">
                  <c:v>-13.420882253043491</c:v>
                </c:pt>
                <c:pt idx="46">
                  <c:v>-13.319751574860049</c:v>
                </c:pt>
                <c:pt idx="47">
                  <c:v>-13.217707635914238</c:v>
                </c:pt>
                <c:pt idx="48">
                  <c:v>-13.114766627734223</c:v>
                </c:pt>
                <c:pt idx="49">
                  <c:v>-13.010947465371757</c:v>
                </c:pt>
                <c:pt idx="50">
                  <c:v>-12.906271730587459</c:v>
                </c:pt>
                <c:pt idx="51">
                  <c:v>-12.800763600506615</c:v>
                </c:pt>
                <c:pt idx="52">
                  <c:v>-12.694449762762982</c:v>
                </c:pt>
                <c:pt idx="53">
                  <c:v>-12.587359318125696</c:v>
                </c:pt>
                <c:pt idx="54">
                  <c:v>-12.479523671583099</c:v>
                </c:pt>
                <c:pt idx="55">
                  <c:v>-12.370976412835869</c:v>
                </c:pt>
                <c:pt idx="56">
                  <c:v>-12.261753187129175</c:v>
                </c:pt>
                <c:pt idx="57">
                  <c:v>-12.151891557332618</c:v>
                </c:pt>
                <c:pt idx="58">
                  <c:v>-12.041430858154303</c:v>
                </c:pt>
                <c:pt idx="59">
                  <c:v>-11.930412043354156</c:v>
                </c:pt>
                <c:pt idx="60">
                  <c:v>-11.818877526799419</c:v>
                </c:pt>
                <c:pt idx="61">
                  <c:v>-11.706871018183648</c:v>
                </c:pt>
                <c:pt idx="62">
                  <c:v>-11.594437354208694</c:v>
                </c:pt>
                <c:pt idx="63">
                  <c:v>-11.481622326007447</c:v>
                </c:pt>
                <c:pt idx="64">
                  <c:v>-11.368472503563307</c:v>
                </c:pt>
                <c:pt idx="65">
                  <c:v>-11.255035057860418</c:v>
                </c:pt>
                <c:pt idx="66">
                  <c:v>-11.141357581477223</c:v>
                </c:pt>
                <c:pt idx="67">
                  <c:v>-11.02748790831385</c:v>
                </c:pt>
                <c:pt idx="68">
                  <c:v>-10.913473933122138</c:v>
                </c:pt>
                <c:pt idx="69">
                  <c:v>-10.799363431485355</c:v>
                </c:pt>
                <c:pt idx="70">
                  <c:v>-10.685203880873011</c:v>
                </c:pt>
                <c:pt idx="71">
                  <c:v>-10.571042283373973</c:v>
                </c:pt>
                <c:pt idx="72">
                  <c:v>-10.456924990689787</c:v>
                </c:pt>
                <c:pt idx="73">
                  <c:v>-10.342897531948093</c:v>
                </c:pt>
                <c:pt idx="74">
                  <c:v>-10.229004444874185</c:v>
                </c:pt>
                <c:pt idx="75">
                  <c:v>-10.115289110837217</c:v>
                </c:pt>
                <c:pt idx="76">
                  <c:v>-10.001793594265402</c:v>
                </c:pt>
                <c:pt idx="77">
                  <c:v>-9.8885584869032819</c:v>
                </c:pt>
                <c:pt idx="78">
                  <c:v>-9.7756227573617789</c:v>
                </c:pt>
                <c:pt idx="79">
                  <c:v>-9.6630236063905581</c:v>
                </c:pt>
                <c:pt idx="80">
                  <c:v>-9.5507963282798585</c:v>
                </c:pt>
                <c:pt idx="81">
                  <c:v>-9.4389741787777073</c:v>
                </c:pt>
                <c:pt idx="82">
                  <c:v>-9.3275882498862117</c:v>
                </c:pt>
                <c:pt idx="83">
                  <c:v>-9.2166673518791917</c:v>
                </c:pt>
                <c:pt idx="84">
                  <c:v>-9.1062379028613023</c:v>
                </c:pt>
                <c:pt idx="85">
                  <c:v>-8.9963238261673961</c:v>
                </c:pt>
                <c:pt idx="86">
                  <c:v>-8.886946455878693</c:v>
                </c:pt>
                <c:pt idx="87">
                  <c:v>-8.7781244507108465</c:v>
                </c:pt>
                <c:pt idx="88">
                  <c:v>-8.6698737165070732</c:v>
                </c:pt>
                <c:pt idx="89">
                  <c:v>-8.5622073375477488</c:v>
                </c:pt>
                <c:pt idx="90">
                  <c:v>-8.4551355168661786</c:v>
                </c:pt>
                <c:pt idx="91">
                  <c:v>-8.3486655257382427</c:v>
                </c:pt>
                <c:pt idx="92">
                  <c:v>-8.2428016624921714</c:v>
                </c:pt>
                <c:pt idx="93">
                  <c:v>-8.1375452207626182</c:v>
                </c:pt>
                <c:pt idx="94">
                  <c:v>-8.0328944672915732</c:v>
                </c:pt>
                <c:pt idx="95">
                  <c:v>-7.9288446293568606</c:v>
                </c:pt>
                <c:pt idx="96">
                  <c:v>-7.8253878918871571</c:v>
                </c:pt>
                <c:pt idx="97">
                  <c:v>-7.722513404300714</c:v>
                </c:pt>
                <c:pt idx="98">
                  <c:v>-7.6202072970831072</c:v>
                </c:pt>
                <c:pt idx="99">
                  <c:v>-7.5184527080977208</c:v>
                </c:pt>
                <c:pt idx="100">
                  <c:v>-7.4172298186006804</c:v>
                </c:pt>
                <c:pt idx="101">
                  <c:v>-7.316515898910354</c:v>
                </c:pt>
                <c:pt idx="102">
                  <c:v>-7.2162853636596527</c:v>
                </c:pt>
                <c:pt idx="103">
                  <c:v>-7.1165098365376043</c:v>
                </c:pt>
                <c:pt idx="104">
                  <c:v>-7.0171582244049011</c:v>
                </c:pt>
                <c:pt idx="105">
                  <c:v>-6.9181968006463403</c:v>
                </c:pt>
                <c:pt idx="106">
                  <c:v>-6.8195892976013006</c:v>
                </c:pt>
                <c:pt idx="107">
                  <c:v>-6.7212970078915912</c:v>
                </c:pt>
                <c:pt idx="108">
                  <c:v>-6.6232788944442653</c:v>
                </c:pt>
                <c:pt idx="109">
                  <c:v>-6.5254917089851538</c:v>
                </c:pt>
                <c:pt idx="110">
                  <c:v>-6.4278901187571824</c:v>
                </c:pt>
                <c:pt idx="111">
                  <c:v>-6.330426841195659</c:v>
                </c:pt>
                <c:pt idx="112">
                  <c:v>-6.2330527862709797</c:v>
                </c:pt>
                <c:pt idx="113">
                  <c:v>-6.1357172061874543</c:v>
                </c:pt>
                <c:pt idx="114">
                  <c:v>-6.0383678521050905</c:v>
                </c:pt>
                <c:pt idx="115">
                  <c:v>-5.9409511375294777</c:v>
                </c:pt>
                <c:pt idx="116">
                  <c:v>-5.8434123079930718</c:v>
                </c:pt>
                <c:pt idx="117">
                  <c:v>-5.7456956166294146</c:v>
                </c:pt>
                <c:pt idx="118">
                  <c:v>-5.6477445052200892</c:v>
                </c:pt>
                <c:pt idx="119">
                  <c:v>-5.5495017902723305</c:v>
                </c:pt>
                <c:pt idx="120">
                  <c:v>-5.4509098536635365</c:v>
                </c:pt>
                <c:pt idx="121">
                  <c:v>-5.3519108373670683</c:v>
                </c:pt>
                <c:pt idx="122">
                  <c:v>-5.2524468417519898</c:v>
                </c:pt>
                <c:pt idx="123">
                  <c:v>-5.1524601269275845</c:v>
                </c:pt>
                <c:pt idx="124">
                  <c:v>-5.0518933165817375</c:v>
                </c:pt>
                <c:pt idx="125">
                  <c:v>-4.9506896037404671</c:v>
                </c:pt>
                <c:pt idx="126">
                  <c:v>-4.8487929578541049</c:v>
                </c:pt>
                <c:pt idx="127">
                  <c:v>-4.7461483325938731</c:v>
                </c:pt>
                <c:pt idx="128">
                  <c:v>-4.6427018737207852</c:v>
                </c:pt>
                <c:pt idx="129">
                  <c:v>-4.5384011263670514</c:v>
                </c:pt>
                <c:pt idx="130">
                  <c:v>-4.433195241048371</c:v>
                </c:pt>
                <c:pt idx="131">
                  <c:v>-4.3270351777036975</c:v>
                </c:pt>
                <c:pt idx="132">
                  <c:v>-4.2198739070373232</c:v>
                </c:pt>
                <c:pt idx="133">
                  <c:v>-4.1116666084163134</c:v>
                </c:pt>
                <c:pt idx="134">
                  <c:v>-4.0023708635545319</c:v>
                </c:pt>
                <c:pt idx="135">
                  <c:v>-3.8919468451927854</c:v>
                </c:pt>
                <c:pt idx="136">
                  <c:v>-3.7803574999627054</c:v>
                </c:pt>
                <c:pt idx="137">
                  <c:v>-3.6675687246003679</c:v>
                </c:pt>
                <c:pt idx="138">
                  <c:v>-3.5535495346537256</c:v>
                </c:pt>
                <c:pt idx="139">
                  <c:v>-3.4382722248062292</c:v>
                </c:pt>
                <c:pt idx="140">
                  <c:v>-3.3217125199172064</c:v>
                </c:pt>
                <c:pt idx="141">
                  <c:v>-3.2038497158577877</c:v>
                </c:pt>
                <c:pt idx="142">
                  <c:v>-3.0846668091993861</c:v>
                </c:pt>
                <c:pt idx="143">
                  <c:v>-2.9641506147899643</c:v>
                </c:pt>
                <c:pt idx="144">
                  <c:v>-2.8422918702315347</c:v>
                </c:pt>
                <c:pt idx="145">
                  <c:v>-2.7190853262505503</c:v>
                </c:pt>
                <c:pt idx="146">
                  <c:v>-2.5945298219310735</c:v>
                </c:pt>
                <c:pt idx="147">
                  <c:v>-2.4686283437588394</c:v>
                </c:pt>
                <c:pt idx="148">
                  <c:v>-2.34138806740251</c:v>
                </c:pt>
                <c:pt idx="149">
                  <c:v>-2.2128203811366824</c:v>
                </c:pt>
                <c:pt idx="150">
                  <c:v>-2.082940889789398</c:v>
                </c:pt>
                <c:pt idx="151">
                  <c:v>-1.9517693980751238</c:v>
                </c:pt>
                <c:pt idx="152">
                  <c:v>-1.8193298721524322</c:v>
                </c:pt>
                <c:pt idx="153">
                  <c:v>-1.6856503782237509</c:v>
                </c:pt>
                <c:pt idx="154">
                  <c:v>-1.5507629969728518</c:v>
                </c:pt>
                <c:pt idx="155">
                  <c:v>-1.414703712613919</c:v>
                </c:pt>
                <c:pt idx="156">
                  <c:v>-1.2775122753042611</c:v>
                </c:pt>
                <c:pt idx="157">
                  <c:v>-1.1392320356509695</c:v>
                </c:pt>
                <c:pt idx="158">
                  <c:v>-0.99990975002002536</c:v>
                </c:pt>
                <c:pt idx="159">
                  <c:v>-0.85959535533457954</c:v>
                </c:pt>
                <c:pt idx="160">
                  <c:v>-0.71834171202735997</c:v>
                </c:pt>
                <c:pt idx="161">
                  <c:v>-0.57620431379036519</c:v>
                </c:pt>
                <c:pt idx="162">
                  <c:v>-0.43324096274322976</c:v>
                </c:pt>
                <c:pt idx="163">
                  <c:v>-0.28951140861986352</c:v>
                </c:pt>
                <c:pt idx="164">
                  <c:v>-0.14507695055118677</c:v>
                </c:pt>
                <c:pt idx="165">
                  <c:v>0</c:v>
                </c:pt>
                <c:pt idx="166">
                  <c:v>0.14565639661775179</c:v>
                </c:pt>
                <c:pt idx="167">
                  <c:v>0.29182907711284473</c:v>
                </c:pt>
                <c:pt idx="168">
                  <c:v>0.43845532601307313</c:v>
                </c:pt>
                <c:pt idx="169">
                  <c:v>0.58547348189506621</c:v>
                </c:pt>
                <c:pt idx="170">
                  <c:v>0.73282359111048756</c:v>
                </c:pt>
                <c:pt idx="171">
                  <c:v>0.88044810948126895</c:v>
                </c:pt>
                <c:pt idx="172">
                  <c:v>1.0282926535603023</c:v>
                </c:pt>
                <c:pt idx="173">
                  <c:v>1.1763068030758057</c:v>
                </c:pt>
                <c:pt idx="174">
                  <c:v>1.3244449561993534</c:v>
                </c:pt>
                <c:pt idx="175">
                  <c:v>1.4726672392993387</c:v>
                </c:pt>
                <c:pt idx="176">
                  <c:v>1.6209404728634269</c:v>
                </c:pt>
                <c:pt idx="177">
                  <c:v>1.7692391952953366</c:v>
                </c:pt>
                <c:pt idx="178">
                  <c:v>1.9175467463130631</c:v>
                </c:pt>
                <c:pt idx="179">
                  <c:v>2.0658564116974367</c:v>
                </c:pt>
                <c:pt idx="180">
                  <c:v>2.2141726311617043</c:v>
                </c:pt>
                <c:pt idx="181">
                  <c:v>2.3625122711345923</c:v>
                </c:pt>
                <c:pt idx="182">
                  <c:v>2.510905964271084</c:v>
                </c:pt>
                <c:pt idx="183">
                  <c:v>2.6593995175269503</c:v>
                </c:pt>
                <c:pt idx="184">
                  <c:v>2.8080553906548222</c:v>
                </c:pt>
                <c:pt idx="185">
                  <c:v>2.9569542470013928</c:v>
                </c:pt>
                <c:pt idx="186">
                  <c:v>3.106196578507141</c:v>
                </c:pt>
                <c:pt idx="187">
                  <c:v>3.2559044068316774</c:v>
                </c:pt>
                <c:pt idx="188">
                  <c:v>3.4062230625496861</c:v>
                </c:pt>
                <c:pt idx="189">
                  <c:v>3.5573230443841513</c:v>
                </c:pt>
                <c:pt idx="190">
                  <c:v>3.7094019604653607</c:v>
                </c:pt>
                <c:pt idx="191">
                  <c:v>3.86268655362597</c:v>
                </c:pt>
                <c:pt idx="192">
                  <c:v>4.0174348127641695</c:v>
                </c:pt>
                <c:pt idx="193">
                  <c:v>4.1739381723287998</c:v>
                </c:pt>
                <c:pt idx="194">
                  <c:v>4.3325238020020169</c:v>
                </c:pt>
                <c:pt idx="195">
                  <c:v>4.4935569886769446</c:v>
                </c:pt>
                <c:pt idx="196">
                  <c:v>4.6574436128494296</c:v>
                </c:pt>
                <c:pt idx="197">
                  <c:v>4.8246327215649201</c:v>
                </c:pt>
                <c:pt idx="198">
                  <c:v>4.9956192000831852</c:v>
                </c:pt>
                <c:pt idx="199">
                  <c:v>5.1709465444453837</c:v>
                </c:pt>
                <c:pt idx="200">
                  <c:v>5.351209737149822</c:v>
                </c:pt>
              </c:numCache>
            </c:numRef>
          </c:yVal>
          <c:smooth val="1"/>
        </c:ser>
        <c:dLbls>
          <c:showLegendKey val="0"/>
          <c:showVal val="0"/>
          <c:showCatName val="0"/>
          <c:showSerName val="0"/>
          <c:showPercent val="0"/>
          <c:showBubbleSize val="0"/>
        </c:dLbls>
        <c:axId val="585596336"/>
        <c:axId val="585597904"/>
      </c:scatterChart>
      <c:valAx>
        <c:axId val="585596336"/>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85597904"/>
        <c:crossesAt val="-1000"/>
        <c:crossBetween val="midCat"/>
      </c:valAx>
      <c:valAx>
        <c:axId val="585597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85596336"/>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abSelected="1"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151</v>
      </c>
    </row>
    <row r="22" spans="1:2" s="11" customFormat="1" x14ac:dyDescent="0.25">
      <c r="A22" s="61" t="s">
        <v>157</v>
      </c>
      <c r="B22" s="99">
        <f>CTE!N8-0.5</f>
        <v>161</v>
      </c>
    </row>
    <row r="23" spans="1:2" s="11" customFormat="1" x14ac:dyDescent="0.25">
      <c r="A23" s="61" t="s">
        <v>158</v>
      </c>
      <c r="B23" s="99">
        <f>CTE!N9</f>
        <v>180.5</v>
      </c>
    </row>
    <row r="24" spans="1:2" s="11" customFormat="1" x14ac:dyDescent="0.25"/>
    <row r="25" spans="1:2" s="11" customFormat="1" x14ac:dyDescent="0.25">
      <c r="A25" s="61" t="s">
        <v>147</v>
      </c>
      <c r="B25" s="53">
        <f>CTE!O5</f>
        <v>1.9315519142857142E-5</v>
      </c>
    </row>
    <row r="26" spans="1:2" s="11" customFormat="1" x14ac:dyDescent="0.25">
      <c r="A26" s="61" t="s">
        <v>148</v>
      </c>
      <c r="B26" s="53">
        <f>CTE!O6</f>
        <v>2.114262342857143E-5</v>
      </c>
    </row>
    <row r="27" spans="1:2" s="11" customFormat="1" x14ac:dyDescent="0.25">
      <c r="A27" s="61" t="s">
        <v>149</v>
      </c>
      <c r="B27" s="53">
        <f>CTE!O8</f>
        <v>5.6806029428571435E-5</v>
      </c>
    </row>
    <row r="28" spans="1:2" s="11" customFormat="1" x14ac:dyDescent="0.25">
      <c r="A28" s="61" t="s">
        <v>150</v>
      </c>
      <c r="B28" s="53">
        <f>CTE!O9</f>
        <v>5.6746027142857144E-5</v>
      </c>
    </row>
    <row r="29" spans="1:2" s="11" customFormat="1" x14ac:dyDescent="0.25">
      <c r="A29" s="61"/>
    </row>
    <row r="30" spans="1:2" s="11" customFormat="1" x14ac:dyDescent="0.25">
      <c r="A30" s="61" t="s">
        <v>151</v>
      </c>
      <c r="B30" s="52">
        <f>CTE!P5</f>
        <v>1.9831461263157895E-5</v>
      </c>
    </row>
    <row r="31" spans="1:2" s="11" customFormat="1" x14ac:dyDescent="0.25">
      <c r="A31" s="61" t="s">
        <v>152</v>
      </c>
      <c r="B31" s="52">
        <f>CTE!P6</f>
        <v>2.1367470210526315E-5</v>
      </c>
    </row>
    <row r="32" spans="1:2" s="11" customFormat="1" x14ac:dyDescent="0.25">
      <c r="A32" s="61" t="s">
        <v>153</v>
      </c>
      <c r="B32" s="52">
        <f>CTE!P8</f>
        <v>4.942362E-5</v>
      </c>
    </row>
    <row r="33" spans="1:2" s="11" customFormat="1" x14ac:dyDescent="0.25">
      <c r="A33" s="61" t="s">
        <v>154</v>
      </c>
      <c r="B33" s="52">
        <f>CTE!P9</f>
        <v>4.967742315789473E-5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398.15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0.14537720898521089</v>
      </c>
      <c r="D59" s="55">
        <v>1</v>
      </c>
    </row>
    <row r="60" spans="1:4" s="11" customFormat="1" x14ac:dyDescent="0.25">
      <c r="A60" s="54">
        <v>2</v>
      </c>
      <c r="B60" s="56">
        <f>'Shiftfunktion bestimmen'!N2</f>
        <v>2.8972809776324254E-4</v>
      </c>
      <c r="D60" s="55">
        <v>2</v>
      </c>
    </row>
    <row r="61" spans="1:4" s="11" customFormat="1" x14ac:dyDescent="0.25">
      <c r="A61" s="54">
        <v>3</v>
      </c>
      <c r="B61" s="56">
        <f>'Shiftfunktion bestimmen'!N3</f>
        <v>-1.0539903779468316E-5</v>
      </c>
      <c r="D61" s="55">
        <v>3</v>
      </c>
    </row>
    <row r="62" spans="1:4" s="11" customFormat="1" x14ac:dyDescent="0.25">
      <c r="A62" s="54">
        <v>4</v>
      </c>
      <c r="B62" s="56">
        <f>'Shiftfunktion bestimmen'!N4</f>
        <v>-5.1246270575748086E-9</v>
      </c>
      <c r="D62" s="55">
        <v>4</v>
      </c>
    </row>
    <row r="63" spans="1:4" s="11" customFormat="1" x14ac:dyDescent="0.25">
      <c r="A63" s="54">
        <v>5</v>
      </c>
      <c r="B63" s="56">
        <f>'Shiftfunktion bestimmen'!N5</f>
        <v>4.5027362492690008E-9</v>
      </c>
      <c r="D63" s="55">
        <v>5</v>
      </c>
    </row>
    <row r="64" spans="1:4" s="11" customFormat="1" x14ac:dyDescent="0.25">
      <c r="A64" s="54">
        <v>6</v>
      </c>
      <c r="B64" s="56">
        <f>'Shiftfunktion bestimmen'!N6</f>
        <v>6.0145815951929299E-11</v>
      </c>
      <c r="D64" s="55">
        <v>6</v>
      </c>
    </row>
    <row r="65" spans="1:5" s="11" customFormat="1" x14ac:dyDescent="0.25">
      <c r="A65" s="54">
        <v>7</v>
      </c>
      <c r="B65" s="56">
        <f>'Shiftfunktion bestimmen'!N7</f>
        <v>3.0162590612464004E-13</v>
      </c>
      <c r="D65" s="55">
        <v>7</v>
      </c>
    </row>
    <row r="66" spans="1:5" x14ac:dyDescent="0.25">
      <c r="A66" s="54">
        <v>8</v>
      </c>
      <c r="B66" s="56">
        <f>'Shiftfunktion bestimmen'!N8</f>
        <v>5.4021009425421242E-16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0.15744023191796075</v>
      </c>
      <c r="D74" s="51">
        <v>1</v>
      </c>
      <c r="E74" s="56">
        <f>'Mastercurve bestimmen'!A18</f>
        <v>1.0000000000000001E-20</v>
      </c>
    </row>
    <row r="75" spans="1:5" x14ac:dyDescent="0.25">
      <c r="A75" s="50">
        <f>A74+1</f>
        <v>2</v>
      </c>
      <c r="B75" s="56">
        <f>'Mastercurve bestimmen'!C19</f>
        <v>5.3113464375571039E-2</v>
      </c>
      <c r="D75" s="51">
        <v>2</v>
      </c>
      <c r="E75" s="56">
        <f>'Mastercurve bestimmen'!A19</f>
        <v>3.9038946506297401E-14</v>
      </c>
    </row>
    <row r="76" spans="1:5" x14ac:dyDescent="0.25">
      <c r="A76" s="50">
        <f t="shared" ref="A76:A104" si="0">A75+1</f>
        <v>3</v>
      </c>
      <c r="B76" s="56">
        <f>'Mastercurve bestimmen'!C20</f>
        <v>1.5903248468841287E-2</v>
      </c>
      <c r="D76" s="51">
        <v>3</v>
      </c>
      <c r="E76" s="56">
        <f>'Mastercurve bestimmen'!A20</f>
        <v>4.3276437088188502E-13</v>
      </c>
    </row>
    <row r="77" spans="1:5" x14ac:dyDescent="0.25">
      <c r="A77" s="50">
        <f t="shared" si="0"/>
        <v>4</v>
      </c>
      <c r="B77" s="56">
        <f>'Mastercurve bestimmen'!C21</f>
        <v>2.9724136400935491E-2</v>
      </c>
      <c r="D77" s="51">
        <v>4</v>
      </c>
      <c r="E77" s="56">
        <f>'Mastercurve bestimmen'!A21</f>
        <v>4.7973886968128502E-12</v>
      </c>
    </row>
    <row r="78" spans="1:5" x14ac:dyDescent="0.25">
      <c r="A78" s="50">
        <f t="shared" si="0"/>
        <v>5</v>
      </c>
      <c r="B78" s="56">
        <f>'Mastercurve bestimmen'!C22</f>
        <v>3.4474581072901148E-2</v>
      </c>
      <c r="D78" s="51">
        <v>5</v>
      </c>
      <c r="E78" s="56">
        <f>'Mastercurve bestimmen'!A22</f>
        <v>5.31812225239524E-11</v>
      </c>
    </row>
    <row r="79" spans="1:5" x14ac:dyDescent="0.25">
      <c r="A79" s="50">
        <f t="shared" si="0"/>
        <v>6</v>
      </c>
      <c r="B79" s="56">
        <f>'Mastercurve bestimmen'!C23</f>
        <v>3.8163539597684065E-2</v>
      </c>
      <c r="D79" s="51">
        <v>6</v>
      </c>
      <c r="E79" s="56">
        <f>'Mastercurve bestimmen'!A23</f>
        <v>5.8953789402578301E-10</v>
      </c>
    </row>
    <row r="80" spans="1:5" x14ac:dyDescent="0.25">
      <c r="A80" s="50">
        <f t="shared" si="0"/>
        <v>7</v>
      </c>
      <c r="B80" s="56">
        <f>'Mastercurve bestimmen'!C24</f>
        <v>3.114796028859175E-2</v>
      </c>
      <c r="D80" s="51">
        <v>7</v>
      </c>
      <c r="E80" s="56">
        <f>'Mastercurve bestimmen'!A24</f>
        <v>6.5352940755699598E-9</v>
      </c>
    </row>
    <row r="81" spans="1:5" x14ac:dyDescent="0.25">
      <c r="A81" s="50">
        <f t="shared" si="0"/>
        <v>8</v>
      </c>
      <c r="B81" s="56">
        <f>'Mastercurve bestimmen'!C25</f>
        <v>2.5944984110180327E-2</v>
      </c>
      <c r="D81" s="51">
        <v>8</v>
      </c>
      <c r="E81" s="56">
        <f>'Mastercurve bestimmen'!A25</f>
        <v>7.2446689325643296E-8</v>
      </c>
    </row>
    <row r="82" spans="1:5" x14ac:dyDescent="0.25">
      <c r="A82" s="50">
        <f t="shared" si="0"/>
        <v>9</v>
      </c>
      <c r="B82" s="56">
        <f>'Mastercurve bestimmen'!C26</f>
        <v>2.8280666339942875E-2</v>
      </c>
      <c r="D82" s="51">
        <f>A82</f>
        <v>9</v>
      </c>
      <c r="E82" s="56">
        <f>'Mastercurve bestimmen'!A26</f>
        <v>8.03104303120212E-7</v>
      </c>
    </row>
    <row r="83" spans="1:5" x14ac:dyDescent="0.25">
      <c r="A83" s="50">
        <f t="shared" si="0"/>
        <v>10</v>
      </c>
      <c r="B83" s="56">
        <f>'Mastercurve bestimmen'!C27</f>
        <v>2.7707301103179493E-2</v>
      </c>
      <c r="C83" s="11"/>
      <c r="D83" s="51">
        <f t="shared" ref="D83:D104" si="1">A83</f>
        <v>10</v>
      </c>
      <c r="E83" s="56">
        <f>'Mastercurve bestimmen'!A27</f>
        <v>8.9027742702096099E-6</v>
      </c>
    </row>
    <row r="84" spans="1:5" x14ac:dyDescent="0.25">
      <c r="A84" s="50">
        <f t="shared" si="0"/>
        <v>11</v>
      </c>
      <c r="B84" s="56">
        <f>'Mastercurve bestimmen'!C28</f>
        <v>2.6509888121377792E-2</v>
      </c>
      <c r="C84" s="11"/>
      <c r="D84" s="51">
        <f t="shared" si="1"/>
        <v>11</v>
      </c>
      <c r="E84" s="56">
        <f>'Mastercurve bestimmen'!A28</f>
        <v>9.86912775817142E-5</v>
      </c>
    </row>
    <row r="85" spans="1:5" x14ac:dyDescent="0.25">
      <c r="A85" s="50">
        <f t="shared" si="0"/>
        <v>12</v>
      </c>
      <c r="B85" s="56">
        <f>'Mastercurve bestimmen'!C29</f>
        <v>3.0096089334719207E-2</v>
      </c>
      <c r="C85" s="11"/>
      <c r="D85" s="51">
        <f t="shared" si="1"/>
        <v>12</v>
      </c>
      <c r="E85" s="56">
        <f>'Mastercurve bestimmen'!A29</f>
        <v>1.0940374286813801E-3</v>
      </c>
    </row>
    <row r="86" spans="1:5" x14ac:dyDescent="0.25">
      <c r="A86" s="50">
        <f t="shared" si="0"/>
        <v>13</v>
      </c>
      <c r="B86" s="56">
        <f>'Mastercurve bestimmen'!C30</f>
        <v>3.6902665150925024E-2</v>
      </c>
      <c r="C86" s="11"/>
      <c r="D86" s="51">
        <f t="shared" si="1"/>
        <v>13</v>
      </c>
      <c r="E86" s="56">
        <f>'Mastercurve bestimmen'!A30</f>
        <v>1.2127899493091E-2</v>
      </c>
    </row>
    <row r="87" spans="1:5" x14ac:dyDescent="0.25">
      <c r="A87" s="50">
        <f t="shared" si="0"/>
        <v>14</v>
      </c>
      <c r="B87" s="56">
        <f>'Mastercurve bestimmen'!C31</f>
        <v>3.6161796888491096E-2</v>
      </c>
      <c r="C87" s="11"/>
      <c r="D87" s="51">
        <f t="shared" si="1"/>
        <v>14</v>
      </c>
      <c r="E87" s="56">
        <f>'Mastercurve bestimmen'!A31</f>
        <v>0.13444324870292301</v>
      </c>
    </row>
    <row r="88" spans="1:5" x14ac:dyDescent="0.25">
      <c r="A88" s="50">
        <f t="shared" si="0"/>
        <v>15</v>
      </c>
      <c r="B88" s="56">
        <f>'Mastercurve bestimmen'!C32</f>
        <v>5.7659888823700683E-2</v>
      </c>
      <c r="C88" s="11"/>
      <c r="D88" s="51">
        <f t="shared" si="1"/>
        <v>15</v>
      </c>
      <c r="E88" s="56">
        <f>'Mastercurve bestimmen'!A32</f>
        <v>1.49036419143257</v>
      </c>
    </row>
    <row r="89" spans="1:5" x14ac:dyDescent="0.25">
      <c r="A89" s="50">
        <f t="shared" si="0"/>
        <v>16</v>
      </c>
      <c r="B89" s="56">
        <f>'Mastercurve bestimmen'!C33</f>
        <v>7.0138718801303929E-2</v>
      </c>
      <c r="C89" s="11"/>
      <c r="D89" s="51">
        <f t="shared" si="1"/>
        <v>16</v>
      </c>
      <c r="E89" s="56">
        <f>'Mastercurve bestimmen'!A33</f>
        <v>16.521360830937301</v>
      </c>
    </row>
    <row r="90" spans="1:5" x14ac:dyDescent="0.25">
      <c r="A90" s="50">
        <f t="shared" si="0"/>
        <v>17</v>
      </c>
      <c r="B90" s="56">
        <f>'Mastercurve bestimmen'!C34</f>
        <v>6.7659228447697881E-2</v>
      </c>
      <c r="C90" s="11"/>
      <c r="D90" s="51">
        <f t="shared" si="1"/>
        <v>17</v>
      </c>
      <c r="E90" s="56">
        <f>'Mastercurve bestimmen'!A34</f>
        <v>183.146753843879</v>
      </c>
    </row>
    <row r="91" spans="1:5" x14ac:dyDescent="0.25">
      <c r="A91" s="50">
        <f t="shared" si="0"/>
        <v>18</v>
      </c>
      <c r="B91" s="56">
        <f>'Mastercurve bestimmen'!C35</f>
        <v>6.6765944370475505E-2</v>
      </c>
      <c r="C91" s="11"/>
      <c r="D91" s="51">
        <f t="shared" si="1"/>
        <v>18</v>
      </c>
      <c r="E91" s="56">
        <f>'Mastercurve bestimmen'!A35</f>
        <v>2030.26456396616</v>
      </c>
    </row>
    <row r="92" spans="1:5" x14ac:dyDescent="0.25">
      <c r="A92" s="50">
        <f t="shared" si="0"/>
        <v>19</v>
      </c>
      <c r="B92" s="56">
        <f>'Mastercurve bestimmen'!C36</f>
        <v>4.8603939630861931E-2</v>
      </c>
      <c r="C92" s="11"/>
      <c r="D92" s="51">
        <f t="shared" si="1"/>
        <v>19</v>
      </c>
      <c r="E92" s="56">
        <f>'Mastercurve bestimmen'!A36</f>
        <v>22506.400540467101</v>
      </c>
    </row>
    <row r="93" spans="1:5" x14ac:dyDescent="0.25">
      <c r="A93" s="50">
        <f t="shared" si="0"/>
        <v>20</v>
      </c>
      <c r="B93" s="56">
        <f>'Mastercurve bestimmen'!C37</f>
        <v>3.7549192378247005E-2</v>
      </c>
      <c r="C93" s="11"/>
      <c r="D93" s="51">
        <f t="shared" si="1"/>
        <v>20</v>
      </c>
      <c r="E93" s="56">
        <f>'Mastercurve bestimmen'!A37</f>
        <v>249493.62476110301</v>
      </c>
    </row>
    <row r="94" spans="1:5" x14ac:dyDescent="0.25">
      <c r="A94" s="50">
        <f t="shared" si="0"/>
        <v>21</v>
      </c>
      <c r="B94" s="56">
        <f>'Mastercurve bestimmen'!C38</f>
        <v>7.8409043454057813E-3</v>
      </c>
      <c r="C94" s="11"/>
      <c r="D94" s="51">
        <f t="shared" si="1"/>
        <v>21</v>
      </c>
      <c r="E94" s="56">
        <f>'Mastercurve bestimmen'!A38</f>
        <v>2765749.6224023802</v>
      </c>
    </row>
    <row r="95" spans="1:5" x14ac:dyDescent="0.25">
      <c r="A95" s="50">
        <f t="shared" si="0"/>
        <v>22</v>
      </c>
      <c r="B95" s="56">
        <f>'Mastercurve bestimmen'!C39</f>
        <v>1.487119099211914E-2</v>
      </c>
      <c r="C95" s="11"/>
      <c r="D95" s="51">
        <f t="shared" si="1"/>
        <v>22</v>
      </c>
      <c r="E95" s="56">
        <f>'Mastercurve bestimmen'!A39</f>
        <v>10000000</v>
      </c>
    </row>
    <row r="96" spans="1:5" x14ac:dyDescent="0.25">
      <c r="A96" s="50">
        <f t="shared" si="0"/>
        <v>23</v>
      </c>
      <c r="B96" s="56">
        <f>'Mastercurve bestimmen'!C40</f>
        <v>3.2949113910046581E-3</v>
      </c>
      <c r="C96" s="11"/>
      <c r="D96" s="51">
        <f t="shared" si="1"/>
        <v>23</v>
      </c>
      <c r="E96" s="56">
        <f>'Mastercurve bestimmen'!A40</f>
        <v>100000000</v>
      </c>
    </row>
    <row r="97" spans="1:5" x14ac:dyDescent="0.25">
      <c r="A97" s="50">
        <f t="shared" si="0"/>
        <v>24</v>
      </c>
      <c r="B97" s="56">
        <f>'Mastercurve bestimmen'!C41</f>
        <v>4.0317394660720415E-3</v>
      </c>
      <c r="C97" s="11"/>
      <c r="D97" s="51">
        <f t="shared" si="1"/>
        <v>24</v>
      </c>
      <c r="E97" s="56">
        <f>'Mastercurve bestimmen'!A41</f>
        <v>1000000000</v>
      </c>
    </row>
    <row r="98" spans="1:5" x14ac:dyDescent="0.25">
      <c r="A98" s="50">
        <f t="shared" si="0"/>
        <v>25</v>
      </c>
      <c r="B98" s="56">
        <f>'Mastercurve bestimmen'!C42</f>
        <v>2.1502645285220883E-3</v>
      </c>
      <c r="C98" s="11"/>
      <c r="D98" s="51">
        <f t="shared" si="1"/>
        <v>25</v>
      </c>
      <c r="E98" s="56">
        <f>'Mastercurve bestimmen'!A42</f>
        <v>10000000000</v>
      </c>
    </row>
    <row r="99" spans="1:5" x14ac:dyDescent="0.25">
      <c r="A99" s="50">
        <f t="shared" si="0"/>
        <v>26</v>
      </c>
      <c r="B99" s="56">
        <f>'Mastercurve bestimmen'!C43</f>
        <v>0</v>
      </c>
      <c r="C99" s="11"/>
      <c r="D99" s="51">
        <f t="shared" si="1"/>
        <v>26</v>
      </c>
      <c r="E99" s="56">
        <f>'Mastercurve bestimmen'!A43</f>
        <v>100000000000</v>
      </c>
    </row>
    <row r="100" spans="1:5" x14ac:dyDescent="0.25">
      <c r="A100" s="50">
        <f t="shared" si="0"/>
        <v>27</v>
      </c>
      <c r="B100" s="56">
        <f>'Mastercurve bestimmen'!C44</f>
        <v>3.0564736295290245E-3</v>
      </c>
      <c r="C100" s="11"/>
      <c r="D100" s="51">
        <f t="shared" si="1"/>
        <v>27</v>
      </c>
      <c r="E100" s="56">
        <f>'Mastercurve bestimmen'!A44</f>
        <v>1000000000000</v>
      </c>
    </row>
    <row r="101" spans="1:5" x14ac:dyDescent="0.25">
      <c r="A101" s="50">
        <f t="shared" si="0"/>
        <v>28</v>
      </c>
      <c r="B101" s="56">
        <f>'Mastercurve bestimmen'!C45</f>
        <v>1.3352216676863077E-3</v>
      </c>
      <c r="C101" s="11"/>
      <c r="D101" s="51">
        <f t="shared" si="1"/>
        <v>28</v>
      </c>
      <c r="E101" s="56">
        <f>'Mastercurve bestimmen'!A45</f>
        <v>10000000000000</v>
      </c>
    </row>
    <row r="102" spans="1:5" x14ac:dyDescent="0.25">
      <c r="A102" s="50">
        <f t="shared" si="0"/>
        <v>29</v>
      </c>
      <c r="B102" s="56">
        <f>'Mastercurve bestimmen'!C46</f>
        <v>0</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0</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29257.642</v>
      </c>
    </row>
    <row r="108" spans="1:5" s="11" customFormat="1" x14ac:dyDescent="0.25">
      <c r="A108" s="61" t="str">
        <f>STUTT!B3</f>
        <v>mp,PRXY,MatID,</v>
      </c>
      <c r="B108" s="52">
        <f>STUTT!C3</f>
        <v>0.34635483</v>
      </c>
    </row>
    <row r="109" spans="1:5" s="11" customFormat="1" x14ac:dyDescent="0.25">
      <c r="A109" s="61" t="str">
        <f>STUTT!B4</f>
        <v>mp,ey,MatID,</v>
      </c>
      <c r="B109" s="52">
        <f>STUTT!C4</f>
        <v>30534.799999999999</v>
      </c>
    </row>
    <row r="110" spans="1:5" s="11" customFormat="1" x14ac:dyDescent="0.25">
      <c r="A110" s="61" t="str">
        <f>STUTT!B5</f>
        <v>mp,PRYZ,MatID,</v>
      </c>
      <c r="B110" s="52">
        <f>STUTT!C5</f>
        <v>0.36151450000000002</v>
      </c>
    </row>
    <row r="111" spans="1:5" s="11" customFormat="1" x14ac:dyDescent="0.25">
      <c r="A111" s="61" t="str">
        <f>STUTT!B6</f>
        <v>mp,ez,MatID,</v>
      </c>
      <c r="B111" s="52">
        <f>STUTT!C6</f>
        <v>29257.642</v>
      </c>
    </row>
    <row r="112" spans="1:5" s="11" customFormat="1" x14ac:dyDescent="0.25">
      <c r="A112" s="61" t="str">
        <f>STUTT!B7</f>
        <v>mp,PRXZ,MatID,</v>
      </c>
      <c r="B112" s="52">
        <f>STUTT!C7</f>
        <v>0.35850783000000003</v>
      </c>
    </row>
    <row r="113" spans="1:4" s="11" customFormat="1" x14ac:dyDescent="0.25">
      <c r="A113" s="61" t="str">
        <f>STUTT!B8</f>
        <v>MP,GXZ,</v>
      </c>
      <c r="B113" s="52" t="str">
        <f>STUTT!C8</f>
        <v>MatID,</v>
      </c>
      <c r="C113" s="112">
        <f>STUTT!D8</f>
        <v>10768.300999999999</v>
      </c>
      <c r="D113" s="112"/>
    </row>
    <row r="114" spans="1:4" s="11" customFormat="1" x14ac:dyDescent="0.25">
      <c r="A114" s="61" t="str">
        <f>STUTT!B9</f>
        <v>MP,GXY,</v>
      </c>
      <c r="B114" s="52" t="str">
        <f>STUTT!C9</f>
        <v>MatID,</v>
      </c>
      <c r="C114" s="112">
        <f>STUTT!D9</f>
        <v>11203.666999999999</v>
      </c>
      <c r="D114" s="112"/>
    </row>
    <row r="115" spans="1:4" x14ac:dyDescent="0.25">
      <c r="A115" s="61" t="str">
        <f>STUTT!B10</f>
        <v>MP,GYZ,</v>
      </c>
      <c r="B115" s="52" t="str">
        <f>STUTT!C10</f>
        <v>MatID,</v>
      </c>
      <c r="C115" s="112">
        <f>STUTT!D10</f>
        <v>11203.666999999999</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1.027E-7</v>
      </c>
      <c r="C3" s="3">
        <v>5.5880000000000001E-9</v>
      </c>
      <c r="D3" s="3">
        <v>1.027E-7</v>
      </c>
      <c r="E3" s="3">
        <v>-1.0000000000000001E-5</v>
      </c>
      <c r="F3" s="3">
        <v>-1.0000000000000001E-5</v>
      </c>
      <c r="G3" s="3">
        <v>-1.0000000000000001E-5</v>
      </c>
      <c r="H3" s="3">
        <v>-3.382331E-6</v>
      </c>
      <c r="I3" s="3">
        <v>-9.4122827999999997E-7</v>
      </c>
      <c r="J3" s="3">
        <v>-3.382331E-6</v>
      </c>
      <c r="L3" s="48">
        <f>ABS(H3/(-0.5)/$L$1)</f>
        <v>1.9327605714285715E-5</v>
      </c>
      <c r="R3">
        <f>ABS(I3/(-0.5)/$R$1)</f>
        <v>1.9815332210526316E-5</v>
      </c>
    </row>
    <row r="4" spans="1:18" x14ac:dyDescent="0.25">
      <c r="A4">
        <v>-39</v>
      </c>
      <c r="B4" s="3">
        <v>-1.0279999999999999E-7</v>
      </c>
      <c r="C4" s="3">
        <v>-5.4100000000000001E-9</v>
      </c>
      <c r="D4" s="3">
        <v>-1.0279999999999999E-7</v>
      </c>
      <c r="E4" s="3">
        <v>1.0000000000000001E-5</v>
      </c>
      <c r="F4" s="3">
        <v>1.0000000000000001E-5</v>
      </c>
      <c r="G4" s="3">
        <v>1.0000000000000001E-5</v>
      </c>
      <c r="H4" s="3">
        <v>3.3822795999999999E-6</v>
      </c>
      <c r="I4" s="3">
        <v>9.4124703000000001E-7</v>
      </c>
      <c r="J4" s="3">
        <v>3.3822795999999999E-6</v>
      </c>
      <c r="L4" s="48">
        <f t="shared" ref="L4:L14" si="0">ABS(H4/(-0.5)/$L$1)</f>
        <v>1.9327312E-5</v>
      </c>
      <c r="N4" s="39" t="s">
        <v>27</v>
      </c>
      <c r="O4" s="39" t="s">
        <v>131</v>
      </c>
      <c r="P4" s="85" t="s">
        <v>132</v>
      </c>
      <c r="R4" s="11">
        <f t="shared" ref="R4:R14" si="1">ABS(I4/(-0.5)/$R$1)</f>
        <v>1.981572694736842E-5</v>
      </c>
    </row>
    <row r="5" spans="1:18" x14ac:dyDescent="0.25">
      <c r="A5">
        <v>0</v>
      </c>
      <c r="B5" s="3">
        <v>1.0579999999999999E-7</v>
      </c>
      <c r="C5" s="3">
        <v>-1.583E-9</v>
      </c>
      <c r="D5" s="3">
        <v>1.0579999999999999E-7</v>
      </c>
      <c r="E5" s="3">
        <v>-1.0000000000000001E-5</v>
      </c>
      <c r="F5" s="3">
        <v>-1.0000000000000001E-5</v>
      </c>
      <c r="G5" s="3">
        <v>-1.0000000000000001E-5</v>
      </c>
      <c r="H5" s="3">
        <v>-3.3802423999999999E-6</v>
      </c>
      <c r="I5" s="3">
        <v>-9.4198487000000001E-7</v>
      </c>
      <c r="J5" s="3">
        <v>-3.3802423999999999E-6</v>
      </c>
      <c r="L5" s="48">
        <f t="shared" si="0"/>
        <v>1.9315670857142858E-5</v>
      </c>
      <c r="M5" s="48"/>
      <c r="N5" s="10">
        <f>(INDEX(A:A,ROW(A2)*2+1)+INDEX(A:A,ROW(A2)*2+2))/2</f>
        <v>0.5</v>
      </c>
      <c r="O5" s="89">
        <f>(INDEX(L:L,ROW(L2)*2+1)+INDEX(L:L,ROW(L2)*2+2))/2</f>
        <v>1.9315519142857142E-5</v>
      </c>
      <c r="P5" s="89">
        <f>(INDEX(R:R,ROW(M2)*2+1)+INDEX(R:R,ROW(R2)*2+2))/2</f>
        <v>1.9831461263157895E-5</v>
      </c>
      <c r="R5" s="11">
        <f t="shared" si="1"/>
        <v>1.9831260421052633E-5</v>
      </c>
    </row>
    <row r="6" spans="1:18" x14ac:dyDescent="0.25">
      <c r="A6">
        <v>1</v>
      </c>
      <c r="B6" s="3">
        <v>-1.059E-7</v>
      </c>
      <c r="C6" s="3">
        <v>1.763E-9</v>
      </c>
      <c r="D6" s="3">
        <v>-1.059E-7</v>
      </c>
      <c r="E6" s="3">
        <v>1.0000000000000001E-5</v>
      </c>
      <c r="F6" s="3">
        <v>1.0000000000000001E-5</v>
      </c>
      <c r="G6" s="3">
        <v>1.0000000000000001E-5</v>
      </c>
      <c r="H6" s="3">
        <v>3.3801893E-6</v>
      </c>
      <c r="I6" s="3">
        <v>9.4200394999999997E-7</v>
      </c>
      <c r="J6" s="3">
        <v>3.3801893E-6</v>
      </c>
      <c r="L6" s="48">
        <f t="shared" si="0"/>
        <v>1.9315367428571429E-5</v>
      </c>
      <c r="M6" s="49"/>
      <c r="N6" s="10">
        <f>(INDEX(A:A,ROW(A3)*2+1)+INDEX(A:A,ROW(A3)*2+2))/2</f>
        <v>151.5</v>
      </c>
      <c r="O6" s="89">
        <f t="shared" ref="O6:O7" si="2">(INDEX(L:L,ROW(L3)*2+1)+INDEX(L:L,ROW(L3)*2+2))/2</f>
        <v>2.114262342857143E-5</v>
      </c>
      <c r="P6" s="89">
        <f t="shared" ref="P6:P9" si="3">(INDEX(R:R,ROW(M3)*2+1)+INDEX(R:R,ROW(R3)*2+2))/2</f>
        <v>2.1367470210526315E-5</v>
      </c>
      <c r="R6" s="11">
        <f t="shared" si="1"/>
        <v>1.9831662105263157E-5</v>
      </c>
    </row>
    <row r="7" spans="1:18" x14ac:dyDescent="0.25">
      <c r="A7">
        <v>151</v>
      </c>
      <c r="B7" s="3">
        <v>9.2830000000000005E-8</v>
      </c>
      <c r="C7" s="3">
        <v>2.7679999999999999E-7</v>
      </c>
      <c r="D7" s="3">
        <v>9.2830000000000005E-8</v>
      </c>
      <c r="E7" s="3">
        <v>-1.0689999999999999E-5</v>
      </c>
      <c r="F7" s="3">
        <v>-1.0689999999999999E-5</v>
      </c>
      <c r="G7" s="3">
        <v>-1.0689999999999999E-5</v>
      </c>
      <c r="H7" s="3">
        <v>-3.5358468E-6</v>
      </c>
      <c r="I7" s="3">
        <v>-9.7993967000000005E-7</v>
      </c>
      <c r="J7" s="3">
        <v>-3.5358468E-6</v>
      </c>
      <c r="L7" s="48">
        <f t="shared" si="0"/>
        <v>2.0204838857142859E-5</v>
      </c>
      <c r="M7" s="48"/>
      <c r="N7" s="10">
        <f>(INDEX(A:A,ROW(A4)*2+1)+INDEX(A:A,ROW(A4)*2+2))/2</f>
        <v>156.5</v>
      </c>
      <c r="O7" s="89">
        <f t="shared" si="2"/>
        <v>3.9896927428571432E-5</v>
      </c>
      <c r="P7" s="89">
        <f t="shared" si="3"/>
        <v>3.6133094736842104E-5</v>
      </c>
      <c r="R7" s="11">
        <f t="shared" si="1"/>
        <v>2.0630308842105265E-5</v>
      </c>
    </row>
    <row r="8" spans="1:18" x14ac:dyDescent="0.25">
      <c r="A8">
        <v>152</v>
      </c>
      <c r="B8" s="3">
        <v>-4.2850000000000003E-8</v>
      </c>
      <c r="C8" s="3">
        <v>-8.8840000000000004E-7</v>
      </c>
      <c r="D8" s="3">
        <v>-4.2850000000000003E-8</v>
      </c>
      <c r="E8" s="3">
        <v>1.206E-5</v>
      </c>
      <c r="F8" s="3">
        <v>1.206E-5</v>
      </c>
      <c r="G8" s="3">
        <v>1.206E-5</v>
      </c>
      <c r="H8" s="3">
        <v>3.8640713999999996E-6</v>
      </c>
      <c r="I8" s="3">
        <v>1.0499699999999999E-6</v>
      </c>
      <c r="J8" s="3">
        <v>3.8640713999999996E-6</v>
      </c>
      <c r="L8" s="48">
        <f t="shared" si="0"/>
        <v>2.2080407999999998E-5</v>
      </c>
      <c r="M8" s="49"/>
      <c r="N8" s="10">
        <f>(INDEX(A:A,ROW(A5)*2+1)+INDEX(A:A,ROW(A5)*2+2))/2</f>
        <v>161.5</v>
      </c>
      <c r="O8" s="89">
        <f t="shared" ref="O8:O9" si="4">(INDEX(L:L,ROW(L5)*2+1)+INDEX(L:L,ROW(L5)*2+2))/2</f>
        <v>5.6806029428571435E-5</v>
      </c>
      <c r="P8" s="89">
        <f t="shared" si="3"/>
        <v>4.942362E-5</v>
      </c>
      <c r="R8" s="11">
        <f t="shared" si="1"/>
        <v>2.2104631578947365E-5</v>
      </c>
    </row>
    <row r="9" spans="1:18" x14ac:dyDescent="0.25">
      <c r="A9">
        <v>156</v>
      </c>
      <c r="B9" s="3">
        <v>-4.0470000000000002E-7</v>
      </c>
      <c r="C9" s="3">
        <v>6.3849999999999999E-6</v>
      </c>
      <c r="D9" s="3">
        <v>-4.0470000000000002E-7</v>
      </c>
      <c r="E9" s="3">
        <v>-2.444E-5</v>
      </c>
      <c r="F9" s="3">
        <v>-2.444E-5</v>
      </c>
      <c r="G9" s="3">
        <v>-2.444E-5</v>
      </c>
      <c r="H9" s="3">
        <v>-6.8178521999999998E-6</v>
      </c>
      <c r="I9" s="3">
        <v>-1.6811406999999999E-6</v>
      </c>
      <c r="J9" s="3">
        <v>-6.8178521999999998E-6</v>
      </c>
      <c r="L9" s="48">
        <f t="shared" si="0"/>
        <v>3.8959155428571432E-5</v>
      </c>
      <c r="M9" s="48"/>
      <c r="N9" s="10">
        <f>(INDEX(A:A,ROW(A6)*2+1)+INDEX(A:A,ROW(A6)*2+2))/2</f>
        <v>180.5</v>
      </c>
      <c r="O9" s="89">
        <f t="shared" si="4"/>
        <v>5.6746027142857144E-5</v>
      </c>
      <c r="P9" s="89">
        <f t="shared" si="3"/>
        <v>4.967742315789473E-5</v>
      </c>
      <c r="R9" s="11">
        <f t="shared" si="1"/>
        <v>3.5392435789473683E-5</v>
      </c>
    </row>
    <row r="10" spans="1:18" x14ac:dyDescent="0.25">
      <c r="A10">
        <v>157</v>
      </c>
      <c r="B10" s="3">
        <v>4.5400000000000002E-7</v>
      </c>
      <c r="C10" s="3">
        <v>-6.9929999999999998E-6</v>
      </c>
      <c r="D10" s="3">
        <v>4.5400000000000002E-7</v>
      </c>
      <c r="E10" s="3">
        <v>2.5809999999999999E-5</v>
      </c>
      <c r="F10" s="3">
        <v>2.5809999999999999E-5</v>
      </c>
      <c r="G10" s="3">
        <v>2.5809999999999999E-5</v>
      </c>
      <c r="H10" s="3">
        <v>7.1460723999999999E-6</v>
      </c>
      <c r="I10" s="3">
        <v>1.7515033E-6</v>
      </c>
      <c r="J10" s="3">
        <v>7.1460723999999999E-6</v>
      </c>
      <c r="L10" s="48">
        <f t="shared" si="0"/>
        <v>4.0834699428571432E-5</v>
      </c>
      <c r="M10" s="49"/>
      <c r="N10" s="10"/>
      <c r="O10" s="3"/>
      <c r="R10" s="11">
        <f t="shared" si="1"/>
        <v>3.6873753684210525E-5</v>
      </c>
    </row>
    <row r="11" spans="1:18" x14ac:dyDescent="0.25">
      <c r="A11">
        <v>161</v>
      </c>
      <c r="B11" s="3">
        <v>-8.8260000000000003E-7</v>
      </c>
      <c r="C11" s="3">
        <v>1.218E-5</v>
      </c>
      <c r="D11" s="3">
        <v>-8.8260000000000003E-7</v>
      </c>
      <c r="E11" s="3">
        <v>-3.7499999999999997E-5</v>
      </c>
      <c r="F11" s="3">
        <v>-3.7499999999999997E-5</v>
      </c>
      <c r="G11" s="3">
        <v>-3.7499999999999997E-5</v>
      </c>
      <c r="H11" s="3">
        <v>-9.9413397000000004E-6</v>
      </c>
      <c r="I11" s="3">
        <v>-2.3473041E-6</v>
      </c>
      <c r="J11" s="3">
        <v>-9.9413397000000004E-6</v>
      </c>
      <c r="L11" s="48">
        <f t="shared" si="0"/>
        <v>5.6807655428571436E-5</v>
      </c>
      <c r="M11" s="48"/>
      <c r="N11" s="10"/>
      <c r="O11" s="3"/>
      <c r="R11" s="11">
        <f t="shared" si="1"/>
        <v>4.9416928421052632E-5</v>
      </c>
    </row>
    <row r="12" spans="1:18" x14ac:dyDescent="0.25">
      <c r="A12">
        <v>162</v>
      </c>
      <c r="B12" s="3">
        <v>8.8090000000000001E-7</v>
      </c>
      <c r="C12" s="3">
        <v>-1.218E-5</v>
      </c>
      <c r="D12" s="3">
        <v>8.8090000000000001E-7</v>
      </c>
      <c r="E12" s="3">
        <v>3.7499999999999997E-5</v>
      </c>
      <c r="F12" s="3">
        <v>3.7499999999999997E-5</v>
      </c>
      <c r="G12" s="3">
        <v>3.7499999999999997E-5</v>
      </c>
      <c r="H12" s="3">
        <v>9.9407706000000007E-6</v>
      </c>
      <c r="I12" s="3">
        <v>2.3479398E-6</v>
      </c>
      <c r="J12" s="3">
        <v>9.9407706000000007E-6</v>
      </c>
      <c r="L12" s="48">
        <f t="shared" si="0"/>
        <v>5.6804403428571433E-5</v>
      </c>
      <c r="M12" s="49"/>
      <c r="N12" s="10"/>
      <c r="O12" s="3"/>
      <c r="R12" s="11">
        <f t="shared" si="1"/>
        <v>4.9430311578947369E-5</v>
      </c>
    </row>
    <row r="13" spans="1:18" x14ac:dyDescent="0.25">
      <c r="A13">
        <v>180</v>
      </c>
      <c r="B13" s="3">
        <v>-8.5040000000000004E-7</v>
      </c>
      <c r="C13" s="3">
        <v>1.207E-5</v>
      </c>
      <c r="D13" s="3">
        <v>-8.5040000000000004E-7</v>
      </c>
      <c r="E13" s="3">
        <v>-3.7499999999999997E-5</v>
      </c>
      <c r="F13" s="3">
        <v>-3.7499999999999997E-5</v>
      </c>
      <c r="G13" s="3">
        <v>-3.7499999999999997E-5</v>
      </c>
      <c r="H13" s="3">
        <v>-9.9308305E-6</v>
      </c>
      <c r="I13" s="3">
        <v>-2.3593579E-6</v>
      </c>
      <c r="J13" s="3">
        <v>-9.9308305E-6</v>
      </c>
      <c r="L13" s="48">
        <f t="shared" si="0"/>
        <v>5.6747602857142859E-5</v>
      </c>
      <c r="M13" s="48"/>
      <c r="N13" s="10"/>
      <c r="O13" s="3"/>
      <c r="R13" s="11">
        <f t="shared" si="1"/>
        <v>4.9670692631578947E-5</v>
      </c>
    </row>
    <row r="14" spans="1:18" x14ac:dyDescent="0.25">
      <c r="A14" s="11">
        <v>181</v>
      </c>
      <c r="B14" s="3">
        <v>8.4870000000000002E-7</v>
      </c>
      <c r="C14" s="3">
        <v>-1.206E-5</v>
      </c>
      <c r="D14" s="3">
        <v>8.4870000000000002E-7</v>
      </c>
      <c r="E14" s="3">
        <v>3.7499999999999997E-5</v>
      </c>
      <c r="F14" s="3">
        <v>3.7499999999999997E-5</v>
      </c>
      <c r="G14" s="3">
        <v>3.7499999999999997E-5</v>
      </c>
      <c r="H14" s="3">
        <v>9.9302789999999997E-6</v>
      </c>
      <c r="I14" s="3">
        <v>2.3599972999999998E-6</v>
      </c>
      <c r="J14" s="3">
        <v>9.9302789999999997E-6</v>
      </c>
      <c r="L14" s="48">
        <f t="shared" si="0"/>
        <v>5.6744451428571429E-5</v>
      </c>
      <c r="M14" s="49"/>
      <c r="N14" s="10"/>
      <c r="O14" s="3"/>
      <c r="R14" s="11">
        <f t="shared" si="1"/>
        <v>4.968415368421052E-5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29257.642</v>
      </c>
    </row>
    <row r="3" spans="2:4" x14ac:dyDescent="0.25">
      <c r="B3" t="s">
        <v>119</v>
      </c>
      <c r="C3" s="3">
        <v>0.34635483</v>
      </c>
    </row>
    <row r="4" spans="2:4" x14ac:dyDescent="0.25">
      <c r="B4" t="s">
        <v>120</v>
      </c>
      <c r="C4" s="3">
        <v>30534.799999999999</v>
      </c>
    </row>
    <row r="5" spans="2:4" x14ac:dyDescent="0.25">
      <c r="B5" t="s">
        <v>121</v>
      </c>
      <c r="C5" s="3">
        <v>0.36151450000000002</v>
      </c>
    </row>
    <row r="6" spans="2:4" x14ac:dyDescent="0.25">
      <c r="B6" t="s">
        <v>122</v>
      </c>
      <c r="C6" s="3">
        <v>29257.642</v>
      </c>
    </row>
    <row r="7" spans="2:4" x14ac:dyDescent="0.25">
      <c r="B7" t="s">
        <v>123</v>
      </c>
      <c r="C7" s="3">
        <v>0.35850783000000003</v>
      </c>
    </row>
    <row r="8" spans="2:4" x14ac:dyDescent="0.25">
      <c r="B8" t="s">
        <v>124</v>
      </c>
      <c r="C8" t="s">
        <v>125</v>
      </c>
      <c r="D8" s="3">
        <v>10768.300999999999</v>
      </c>
    </row>
    <row r="9" spans="2:4" x14ac:dyDescent="0.25">
      <c r="B9" t="s">
        <v>126</v>
      </c>
      <c r="C9" t="s">
        <v>125</v>
      </c>
      <c r="D9" s="3">
        <v>11203.666999999999</v>
      </c>
    </row>
    <row r="10" spans="2:4" x14ac:dyDescent="0.25">
      <c r="B10" t="s">
        <v>127</v>
      </c>
      <c r="C10" t="s">
        <v>125</v>
      </c>
      <c r="D10" s="3">
        <v>11203.666999999999</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-3.3858434285714286E-4</v>
      </c>
      <c r="C3" s="2">
        <f>IF('Modell einstellen'!$B$2="Ja",creep_res0!O3,creep_res0!C3)</f>
        <v>-3.4412177142857143E-4</v>
      </c>
      <c r="D3" s="2">
        <f>IF('Modell einstellen'!$B$2="Ja",creep_res25!O3,creep_res25!C3)</f>
        <v>-3.5446654285714287E-4</v>
      </c>
      <c r="E3" s="2">
        <f>IF('Modell einstellen'!$B$2="Ja",creep_res50!O3,creep_res50!C3)</f>
        <v>-3.6163945714285718E-4</v>
      </c>
      <c r="F3" s="2">
        <f>IF('Modell einstellen'!$B$2="Ja",creep_res80!O3,creep_res80!C3)</f>
        <v>-3.7102085714285719E-4</v>
      </c>
      <c r="G3" s="2">
        <f>IF('Modell einstellen'!$B$2="Ja",creep_res125!O3,creep_res125!C3)</f>
        <v>-3.9563245714285719E-4</v>
      </c>
      <c r="H3" s="2">
        <f>IF('Modell einstellen'!$B$2="Ja",creep_res160!O3,creep_res160!C3)</f>
        <v>-4.2592588571428573E-4</v>
      </c>
      <c r="M3" s="9">
        <v>-10</v>
      </c>
      <c r="N3" s="2">
        <f t="shared" ref="N3:N33" si="4">A3</f>
        <v>1.0000000000000001E-15</v>
      </c>
      <c r="O3" s="2">
        <f t="shared" ref="O3:O33" si="5">$M$3/B3</f>
        <v>29534.738421791844</v>
      </c>
      <c r="P3" s="2">
        <f t="shared" ref="P3:P33" si="6">$M$3/C3</f>
        <v>29059.480771839735</v>
      </c>
      <c r="Q3" s="2">
        <f t="shared" ref="Q3:Q33" si="7">$M$3/D3</f>
        <v>28211.407258343705</v>
      </c>
      <c r="R3" s="2">
        <f t="shared" ref="R3:R33" si="8">$M$3/E3</f>
        <v>27651.849936412593</v>
      </c>
      <c r="S3" s="2">
        <f t="shared" ref="S3:S33" si="9">$M$3/F3</f>
        <v>26952.662653543539</v>
      </c>
      <c r="T3" s="2">
        <f t="shared" ref="T3:T33" si="10">$M$3/G3</f>
        <v>25275.98486791781</v>
      </c>
      <c r="U3" s="2">
        <f t="shared" ref="U3:U33" si="11">$M$3/H3</f>
        <v>23478.263086146577</v>
      </c>
      <c r="Z3" s="2">
        <v>1.0000000000000001E-15</v>
      </c>
      <c r="AA3" s="3">
        <f>IF('Modell einstellen'!$B$2="Ja",'creep_res-40'!P3,'creep_res-40'!L3)</f>
        <v>0.35838380679488008</v>
      </c>
      <c r="AB3" s="2">
        <f>IF('Modell einstellen'!$B$2="Ja",creep_res0!P3,creep_res0!L3)</f>
        <v>0.36028838462663804</v>
      </c>
      <c r="AC3" s="2">
        <f>IF('Modell einstellen'!$B$2="Ja",creep_res25!P3,creep_res25!L3)</f>
        <v>0.3648775153391467</v>
      </c>
      <c r="AD3" s="2">
        <f>IF('Modell einstellen'!$B$2="Ja",creep_res50!P3,creep_res50!L3)</f>
        <v>0.36772353617229347</v>
      </c>
      <c r="AE3" s="2">
        <f>IF('Modell einstellen'!$B$2="Ja",creep_res80!P3,creep_res80!L3)</f>
        <v>0.37135196866098397</v>
      </c>
      <c r="AF3" s="2">
        <f>IF('Modell einstellen'!$B$2="Ja",creep_res125!P3,creep_res125!L3)</f>
        <v>0.38122633445645365</v>
      </c>
      <c r="AG3" s="2">
        <f>IF('Modell einstellen'!$B$2="Ja",creep_res160!P3,creep_res160!L3)</f>
        <v>0.39312470593475485</v>
      </c>
      <c r="AL3" s="2">
        <f t="shared" ref="AL3:AL33" si="12">Z3</f>
        <v>1.0000000000000001E-15</v>
      </c>
      <c r="AM3" s="2">
        <f t="shared" ref="AM3:AM33" si="13">O3/(2*(1+AA3))</f>
        <v>10871.278895571992</v>
      </c>
      <c r="AN3" s="2">
        <f t="shared" ref="AN3:AN33" si="14">P3/(2*(1+AB3))</f>
        <v>10681.367679183619</v>
      </c>
      <c r="AO3" s="2">
        <f t="shared" ref="AO3:AO33" si="15">Q3/(2*(1+AC3))</f>
        <v>10334.776176356636</v>
      </c>
      <c r="AP3" s="2">
        <f t="shared" ref="AP3:AP33" si="16">R3/(2*(1+AD3))</f>
        <v>10108.713203034791</v>
      </c>
      <c r="AQ3" s="2">
        <f t="shared" ref="AQ3:AQ33" si="17">S3/(2*(1+AE3))</f>
        <v>9827.0404934265953</v>
      </c>
      <c r="AR3" s="2">
        <f t="shared" ref="AR3:AR33" si="18">T3/(2*(1+AF3))</f>
        <v>9149.8345482474924</v>
      </c>
      <c r="AS3" s="2">
        <f t="shared" ref="AS3:AS33" si="19">U3/(2*(1+AG3))</f>
        <v>8426.4757441054771</v>
      </c>
      <c r="AX3" s="2">
        <f>AL3</f>
        <v>1.0000000000000001E-15</v>
      </c>
      <c r="AY3" s="37">
        <f t="shared" ref="AY3:AY33" si="20">O3/(3*(1-(2*AA3)))</f>
        <v>34759.135182388236</v>
      </c>
      <c r="AZ3" s="37">
        <f t="shared" ref="AZ3:AZ33" si="21">P3/(3*(1-(2*AB3)))</f>
        <v>34666.028177855122</v>
      </c>
      <c r="BA3" s="37">
        <f t="shared" ref="BA3:BA33" si="22">Q3/(3*(1-(2*AC3)))</f>
        <v>34797.326451814064</v>
      </c>
      <c r="BB3" s="37">
        <f t="shared" ref="BB3:BB33" si="23">R3/(3*(1-(2*AD3)))</f>
        <v>34840.980191847579</v>
      </c>
      <c r="BC3" s="37">
        <f t="shared" ref="BC3:BC33" si="24">S3/(3*(1-(2*AE3)))</f>
        <v>34917.832752679686</v>
      </c>
      <c r="BD3" s="37">
        <f t="shared" ref="BD3:BD33" si="25">T3/(3*(1-(2*AF3)))</f>
        <v>35467.998106941195</v>
      </c>
      <c r="BE3" s="37">
        <f t="shared" ref="BE3:BE33" si="26">U3/(3*(1-(2*AG3)))</f>
        <v>36613.175027170117</v>
      </c>
    </row>
    <row r="4" spans="1:308" x14ac:dyDescent="0.25">
      <c r="A4" s="2">
        <f>'creep_res-40'!A4</f>
        <v>1E-14</v>
      </c>
      <c r="B4" s="3">
        <f>'creep_res-40'!O4</f>
        <v>-3.4093037142857147E-4</v>
      </c>
      <c r="C4" s="2">
        <f>IF('Modell einstellen'!$B$2="Ja",creep_res0!O4,creep_res0!C4)</f>
        <v>-3.5410982857142861E-4</v>
      </c>
      <c r="D4" s="2">
        <f>IF('Modell einstellen'!$B$2="Ja",creep_res25!O4,creep_res25!C4)</f>
        <v>-3.6198094285714287E-4</v>
      </c>
      <c r="E4" s="2">
        <f>IF('Modell einstellen'!$B$2="Ja",creep_res50!O4,creep_res50!C4)</f>
        <v>-3.6956534285714288E-4</v>
      </c>
      <c r="F4" s="2">
        <f>IF('Modell einstellen'!$B$2="Ja",creep_res80!O4,creep_res80!C4)</f>
        <v>-3.8034474285714284E-4</v>
      </c>
      <c r="G4" s="2">
        <f>IF('Modell einstellen'!$B$2="Ja",creep_res125!O4,creep_res125!C4)</f>
        <v>-4.086534285714286E-4</v>
      </c>
      <c r="H4" s="2">
        <f>IF('Modell einstellen'!$B$2="Ja",creep_res160!O4,creep_res160!C4)</f>
        <v>-4.4173671428571437E-4</v>
      </c>
      <c r="M4" s="9">
        <f t="shared" ref="M4:M31" si="27">M3</f>
        <v>-10</v>
      </c>
      <c r="N4" s="2">
        <f t="shared" si="4"/>
        <v>1E-14</v>
      </c>
      <c r="O4" s="2">
        <f t="shared" si="5"/>
        <v>29331.502377150657</v>
      </c>
      <c r="P4" s="2">
        <f t="shared" si="6"/>
        <v>28239.826158857573</v>
      </c>
      <c r="Q4" s="2">
        <f t="shared" si="7"/>
        <v>27625.763724104498</v>
      </c>
      <c r="R4" s="2">
        <f t="shared" si="8"/>
        <v>27058.814343057988</v>
      </c>
      <c r="S4" s="2">
        <f t="shared" si="9"/>
        <v>26291.936954038541</v>
      </c>
      <c r="T4" s="2">
        <f t="shared" si="10"/>
        <v>24470.613240559411</v>
      </c>
      <c r="U4" s="2">
        <f t="shared" si="11"/>
        <v>22637.919096604728</v>
      </c>
      <c r="Z4" s="2">
        <v>1E-14</v>
      </c>
      <c r="AA4" s="3">
        <f>IF('Modell einstellen'!$B$2="Ja",'creep_res-40'!P4,'creep_res-40'!L4)</f>
        <v>0.35973385600394481</v>
      </c>
      <c r="AB4" s="2">
        <f>IF('Modell einstellen'!$B$2="Ja",creep_res0!P4,creep_res0!L4)</f>
        <v>0.36551334678732439</v>
      </c>
      <c r="AC4" s="2">
        <f>IF('Modell einstellen'!$B$2="Ja",creep_res25!P4,creep_res25!L4)</f>
        <v>0.36872651464761408</v>
      </c>
      <c r="AD4" s="2">
        <f>IF('Modell einstellen'!$B$2="Ja",creep_res50!P4,creep_res50!L4)</f>
        <v>0.37169055045127536</v>
      </c>
      <c r="AE4" s="2">
        <f>IF('Modell einstellen'!$B$2="Ja",creep_res80!P4,creep_res80!L4)</f>
        <v>0.37587658444602068</v>
      </c>
      <c r="AF4" s="2">
        <f>IF('Modell einstellen'!$B$2="Ja",creep_res125!P4,creep_res125!L4)</f>
        <v>0.38717911160487373</v>
      </c>
      <c r="AG4" s="2">
        <f>IF('Modell einstellen'!$B$2="Ja",creep_res160!P4,creep_res160!L4)</f>
        <v>0.39997154090170706</v>
      </c>
      <c r="AL4" s="2">
        <f t="shared" si="12"/>
        <v>1E-14</v>
      </c>
      <c r="AM4" s="2">
        <f t="shared" si="13"/>
        <v>10785.751287884957</v>
      </c>
      <c r="AN4" s="2">
        <f t="shared" si="14"/>
        <v>10340.369878221287</v>
      </c>
      <c r="AO4" s="2">
        <f t="shared" si="15"/>
        <v>10091.776344091975</v>
      </c>
      <c r="AP4" s="2">
        <f t="shared" si="16"/>
        <v>9863.3085771990827</v>
      </c>
      <c r="AQ4" s="2">
        <f t="shared" si="17"/>
        <v>9554.6131285549327</v>
      </c>
      <c r="AR4" s="2">
        <f t="shared" si="18"/>
        <v>8820.2788795776141</v>
      </c>
      <c r="AS4" s="2">
        <f t="shared" si="19"/>
        <v>8085.1354599765227</v>
      </c>
      <c r="AX4" s="2">
        <f t="shared" ref="AX4:AX32" si="28">AL4</f>
        <v>1E-14</v>
      </c>
      <c r="AY4" s="37">
        <f t="shared" si="20"/>
        <v>34852.200183549598</v>
      </c>
      <c r="AZ4" s="37">
        <f t="shared" si="21"/>
        <v>34997.061646704133</v>
      </c>
      <c r="BA4" s="37">
        <f t="shared" si="22"/>
        <v>35074.058875315241</v>
      </c>
      <c r="BB4" s="37">
        <f t="shared" si="23"/>
        <v>35147.858605667992</v>
      </c>
      <c r="BC4" s="37">
        <f t="shared" si="24"/>
        <v>35303.487845402538</v>
      </c>
      <c r="BD4" s="37">
        <f t="shared" si="25"/>
        <v>36149.649219296683</v>
      </c>
      <c r="BE4" s="37">
        <f t="shared" si="26"/>
        <v>37719.130636544782</v>
      </c>
      <c r="BF4" s="5"/>
      <c r="BG4" s="5"/>
    </row>
    <row r="5" spans="1:308" x14ac:dyDescent="0.25">
      <c r="A5" s="2">
        <f>'creep_res-40'!A5</f>
        <v>1E-13</v>
      </c>
      <c r="B5" s="3">
        <f>'creep_res-40'!O5</f>
        <v>-3.4955094285714285E-4</v>
      </c>
      <c r="C5" s="2">
        <f>IF('Modell einstellen'!$B$2="Ja",creep_res0!O5,creep_res0!C5)</f>
        <v>-3.6013994285714293E-4</v>
      </c>
      <c r="D5" s="2">
        <f>IF('Modell einstellen'!$B$2="Ja",creep_res25!O5,creep_res25!C5)</f>
        <v>-3.6854320000000005E-4</v>
      </c>
      <c r="E5" s="2">
        <f>IF('Modell einstellen'!$B$2="Ja",creep_res50!O5,creep_res50!C5)</f>
        <v>-3.7684194285714283E-4</v>
      </c>
      <c r="F5" s="2">
        <f>IF('Modell einstellen'!$B$2="Ja",creep_res80!O5,creep_res80!C5)</f>
        <v>-3.8924577142857144E-4</v>
      </c>
      <c r="G5" s="2">
        <f>IF('Modell einstellen'!$B$2="Ja",creep_res125!O5,creep_res125!C5)</f>
        <v>-4.2072582857142864E-4</v>
      </c>
      <c r="H5" s="2">
        <f>IF('Modell einstellen'!$B$2="Ja",creep_res160!O5,creep_res160!C5)</f>
        <v>-4.5842468571428578E-4</v>
      </c>
      <c r="M5" s="9">
        <f t="shared" si="27"/>
        <v>-10</v>
      </c>
      <c r="N5" s="2">
        <f t="shared" si="4"/>
        <v>1E-13</v>
      </c>
      <c r="O5" s="2">
        <f t="shared" si="5"/>
        <v>28608.133390407922</v>
      </c>
      <c r="P5" s="2">
        <f t="shared" si="6"/>
        <v>27766.983913713535</v>
      </c>
      <c r="Q5" s="2">
        <f t="shared" si="7"/>
        <v>27133.861105021064</v>
      </c>
      <c r="R5" s="2">
        <f t="shared" si="8"/>
        <v>26536.324285407118</v>
      </c>
      <c r="S5" s="2">
        <f t="shared" si="9"/>
        <v>25690.709402696877</v>
      </c>
      <c r="T5" s="2">
        <f t="shared" si="10"/>
        <v>23768.448050729199</v>
      </c>
      <c r="U5" s="2">
        <f t="shared" si="11"/>
        <v>21813.834009437534</v>
      </c>
      <c r="Z5" s="2">
        <v>1E-13</v>
      </c>
      <c r="AA5" s="3">
        <f>IF('Modell einstellen'!$B$2="Ja",'creep_res-40'!P5,'creep_res-40'!L5)</f>
        <v>0.36425943392023874</v>
      </c>
      <c r="AB5" s="2">
        <f>IF('Modell einstellen'!$B$2="Ja",creep_res0!P5,creep_res0!L5)</f>
        <v>0.36860899628065208</v>
      </c>
      <c r="AC5" s="2">
        <f>IF('Modell einstellen'!$B$2="Ja",creep_res25!P5,creep_res25!L5)</f>
        <v>0.37201899649368492</v>
      </c>
      <c r="AD5" s="2">
        <f>IF('Modell einstellen'!$B$2="Ja",creep_res50!P5,creep_res50!L5)</f>
        <v>0.37525907034309502</v>
      </c>
      <c r="AE5" s="2">
        <f>IF('Modell einstellen'!$B$2="Ja",creep_res80!P5,creep_res80!L5)</f>
        <v>0.3801039402061217</v>
      </c>
      <c r="AF5" s="2">
        <f>IF('Modell einstellen'!$B$2="Ja",creep_res125!P5,creep_res125!L5)</f>
        <v>0.39259455292364132</v>
      </c>
      <c r="AG5" s="2">
        <f>IF('Modell einstellen'!$B$2="Ja",creep_res160!P5,creep_res160!L5)</f>
        <v>0.40704695284422476</v>
      </c>
      <c r="AL5" s="2">
        <f t="shared" si="12"/>
        <v>1E-13</v>
      </c>
      <c r="AM5" s="2">
        <f t="shared" si="13"/>
        <v>10484.858187200372</v>
      </c>
      <c r="AN5" s="2">
        <f t="shared" si="14"/>
        <v>10144.235493546155</v>
      </c>
      <c r="AO5" s="2">
        <f t="shared" si="15"/>
        <v>9888.29643553188</v>
      </c>
      <c r="AP5" s="2">
        <f t="shared" si="16"/>
        <v>9647.7546876992856</v>
      </c>
      <c r="AQ5" s="2">
        <f t="shared" si="17"/>
        <v>9307.5270109220583</v>
      </c>
      <c r="AR5" s="2">
        <f t="shared" si="18"/>
        <v>8533.8722605331295</v>
      </c>
      <c r="AS5" s="2">
        <f t="shared" si="19"/>
        <v>7751.6368467103184</v>
      </c>
      <c r="AX5" s="2">
        <f t="shared" si="28"/>
        <v>1E-13</v>
      </c>
      <c r="AY5" s="37">
        <f t="shared" si="20"/>
        <v>35125.993425819077</v>
      </c>
      <c r="AZ5" s="37">
        <f t="shared" si="21"/>
        <v>35221.8228134604</v>
      </c>
      <c r="BA5" s="37">
        <f t="shared" si="22"/>
        <v>35335.792502572687</v>
      </c>
      <c r="BB5" s="37">
        <f t="shared" si="23"/>
        <v>35455.248941939419</v>
      </c>
      <c r="BC5" s="37">
        <f t="shared" si="24"/>
        <v>35712.473852857176</v>
      </c>
      <c r="BD5" s="37">
        <f t="shared" si="25"/>
        <v>36882.747721710504</v>
      </c>
      <c r="BE5" s="37">
        <f t="shared" si="26"/>
        <v>39112.639260552067</v>
      </c>
    </row>
    <row r="6" spans="1:308" x14ac:dyDescent="0.25">
      <c r="A6" s="2">
        <f>'creep_res-40'!A6</f>
        <v>9.9999999999999998E-13</v>
      </c>
      <c r="B6" s="3">
        <f>'creep_res-40'!O6</f>
        <v>-3.5566291428571433E-4</v>
      </c>
      <c r="C6" s="2">
        <f>IF('Modell einstellen'!$B$2="Ja",creep_res0!O6,creep_res0!C6)</f>
        <v>-3.6646617142857145E-4</v>
      </c>
      <c r="D6" s="2">
        <f>IF('Modell einstellen'!$B$2="Ja",creep_res25!O6,creep_res25!C6)</f>
        <v>-3.7567897142857143E-4</v>
      </c>
      <c r="E6" s="2">
        <f>IF('Modell einstellen'!$B$2="Ja",creep_res50!O6,creep_res50!C6)</f>
        <v>-3.8514522857142853E-4</v>
      </c>
      <c r="F6" s="2">
        <f>IF('Modell einstellen'!$B$2="Ja",creep_res80!O6,creep_res80!C6)</f>
        <v>-3.9889357142857144E-4</v>
      </c>
      <c r="G6" s="2">
        <f>IF('Modell einstellen'!$B$2="Ja",creep_res125!O6,creep_res125!C6)</f>
        <v>-4.3236028571428574E-4</v>
      </c>
      <c r="H6" s="2">
        <f>IF('Modell einstellen'!$B$2="Ja",creep_res160!O6,creep_res160!C6)</f>
        <v>-4.7865331428571431E-4</v>
      </c>
      <c r="M6" s="9">
        <f t="shared" si="27"/>
        <v>-10</v>
      </c>
      <c r="N6" s="2">
        <f t="shared" si="4"/>
        <v>9.9999999999999998E-13</v>
      </c>
      <c r="O6" s="2">
        <f t="shared" si="5"/>
        <v>28116.510320124944</v>
      </c>
      <c r="P6" s="2">
        <f t="shared" si="6"/>
        <v>27287.64830057204</v>
      </c>
      <c r="Q6" s="2">
        <f t="shared" si="7"/>
        <v>26618.471515649682</v>
      </c>
      <c r="R6" s="2">
        <f t="shared" si="8"/>
        <v>25964.231822608217</v>
      </c>
      <c r="S6" s="2">
        <f t="shared" si="9"/>
        <v>25069.343595051312</v>
      </c>
      <c r="T6" s="2">
        <f t="shared" si="10"/>
        <v>23128.858802281957</v>
      </c>
      <c r="U6" s="2">
        <f t="shared" si="11"/>
        <v>20891.947682265229</v>
      </c>
      <c r="Z6" s="2">
        <v>9.9999999999999998E-13</v>
      </c>
      <c r="AA6" s="3">
        <f>IF('Modell einstellen'!$B$2="Ja",'creep_res-40'!P6,'creep_res-40'!L6)</f>
        <v>0.36747692558330908</v>
      </c>
      <c r="AB6" s="2">
        <f>IF('Modell einstellen'!$B$2="Ja",creep_res0!P6,creep_res0!L6)</f>
        <v>0.37181134473842686</v>
      </c>
      <c r="AC6" s="2">
        <f>IF('Modell einstellen'!$B$2="Ja",creep_res25!P6,creep_res25!L6)</f>
        <v>0.37555222681006373</v>
      </c>
      <c r="AD6" s="2">
        <f>IF('Modell einstellen'!$B$2="Ja",creep_res50!P6,creep_res50!L6)</f>
        <v>0.37926886651959046</v>
      </c>
      <c r="AE6" s="2">
        <f>IF('Modell einstellen'!$B$2="Ja",creep_res80!P6,creep_res80!L6)</f>
        <v>0.38461972133633926</v>
      </c>
      <c r="AF6" s="2">
        <f>IF('Modell einstellen'!$B$2="Ja",creep_res125!P6,creep_res125!L6)</f>
        <v>0.39773344452807546</v>
      </c>
      <c r="AG6" s="2">
        <f>IF('Modell einstellen'!$B$2="Ja",creep_res160!P6,creep_res160!L6)</f>
        <v>0.41547685034906867</v>
      </c>
      <c r="AL6" s="2">
        <f t="shared" si="12"/>
        <v>9.9999999999999998E-13</v>
      </c>
      <c r="AM6" s="2">
        <f t="shared" si="13"/>
        <v>10280.433181032142</v>
      </c>
      <c r="AN6" s="2">
        <f t="shared" si="14"/>
        <v>9945.8458355930761</v>
      </c>
      <c r="AO6" s="2">
        <f t="shared" si="15"/>
        <v>9675.5582946416034</v>
      </c>
      <c r="AP6" s="2">
        <f t="shared" si="16"/>
        <v>9412.3170807609295</v>
      </c>
      <c r="AQ6" s="2">
        <f t="shared" si="17"/>
        <v>9052.7901664061646</v>
      </c>
      <c r="AR6" s="2">
        <f t="shared" si="18"/>
        <v>8273.7015747988644</v>
      </c>
      <c r="AS6" s="2">
        <f t="shared" si="19"/>
        <v>7379.8266913065718</v>
      </c>
      <c r="AX6" s="2">
        <f t="shared" si="28"/>
        <v>9.9999999999999998E-13</v>
      </c>
      <c r="AY6" s="37">
        <f t="shared" si="20"/>
        <v>35360.521735405484</v>
      </c>
      <c r="AZ6" s="37">
        <f t="shared" si="21"/>
        <v>35478.501386479562</v>
      </c>
      <c r="BA6" s="37">
        <f t="shared" si="22"/>
        <v>35648.785073108134</v>
      </c>
      <c r="BB6" s="37">
        <f t="shared" si="23"/>
        <v>35843.049308709466</v>
      </c>
      <c r="BC6" s="37">
        <f t="shared" si="24"/>
        <v>36212.635130551927</v>
      </c>
      <c r="BD6" s="37">
        <f t="shared" si="25"/>
        <v>37693.748289376927</v>
      </c>
      <c r="BE6" s="37">
        <f t="shared" si="26"/>
        <v>41195.711408740332</v>
      </c>
    </row>
    <row r="7" spans="1:308" x14ac:dyDescent="0.25">
      <c r="A7" s="2">
        <f>'creep_res-40'!A7</f>
        <v>9.9999999999999994E-12</v>
      </c>
      <c r="B7" s="3">
        <f>'creep_res-40'!O7</f>
        <v>-3.616018571428572E-4</v>
      </c>
      <c r="C7" s="2">
        <f>IF('Modell einstellen'!$B$2="Ja",creep_res0!O7,creep_res0!C7)</f>
        <v>-3.7350802857142863E-4</v>
      </c>
      <c r="D7" s="2">
        <f>IF('Modell einstellen'!$B$2="Ja",creep_res25!O7,creep_res25!C7)</f>
        <v>-3.8400511428571428E-4</v>
      </c>
      <c r="E7" s="2">
        <f>IF('Modell einstellen'!$B$2="Ja",creep_res50!O7,creep_res50!C7)</f>
        <v>-3.9454505714285712E-4</v>
      </c>
      <c r="F7" s="2">
        <f>IF('Modell einstellen'!$B$2="Ja",creep_res80!O7,creep_res80!C7)</f>
        <v>-4.1038048571428575E-4</v>
      </c>
      <c r="G7" s="2">
        <f>IF('Modell einstellen'!$B$2="Ja",creep_res125!O7,creep_res125!C7)</f>
        <v>-4.4637860000000008E-4</v>
      </c>
      <c r="H7" s="2">
        <f>IF('Modell einstellen'!$B$2="Ja",creep_res160!O7,creep_res160!C7)</f>
        <v>-4.9986257142857146E-4</v>
      </c>
      <c r="M7" s="9">
        <f t="shared" si="27"/>
        <v>-10</v>
      </c>
      <c r="N7" s="2">
        <f t="shared" si="4"/>
        <v>9.9999999999999994E-12</v>
      </c>
      <c r="O7" s="2">
        <f t="shared" si="5"/>
        <v>27654.725224625501</v>
      </c>
      <c r="P7" s="2">
        <f t="shared" si="6"/>
        <v>26773.186210340398</v>
      </c>
      <c r="Q7" s="2">
        <f t="shared" si="7"/>
        <v>26041.319836588485</v>
      </c>
      <c r="R7" s="2">
        <f t="shared" si="8"/>
        <v>25345.647649006522</v>
      </c>
      <c r="S7" s="2">
        <f t="shared" si="9"/>
        <v>24367.630401807601</v>
      </c>
      <c r="T7" s="2">
        <f t="shared" si="10"/>
        <v>22402.507647095979</v>
      </c>
      <c r="U7" s="2">
        <f t="shared" si="11"/>
        <v>20005.498654201525</v>
      </c>
      <c r="Z7" s="2">
        <v>9.9999999999999994E-12</v>
      </c>
      <c r="AA7" s="3">
        <f>IF('Modell einstellen'!$B$2="Ja",'creep_res-40'!P7,'creep_res-40'!L7)</f>
        <v>0.37055741259230257</v>
      </c>
      <c r="AB7" s="2">
        <f>IF('Modell einstellen'!$B$2="Ja",creep_res0!P7,creep_res0!L7)</f>
        <v>0.3753339247402675</v>
      </c>
      <c r="AC7" s="2">
        <f>IF('Modell einstellen'!$B$2="Ja",creep_res25!P7,creep_res25!L7)</f>
        <v>0.37961637266884612</v>
      </c>
      <c r="AD7" s="2">
        <f>IF('Modell einstellen'!$B$2="Ja",creep_res50!P7,creep_res50!L7)</f>
        <v>0.38374864590877444</v>
      </c>
      <c r="AE7" s="2">
        <f>IF('Modell einstellen'!$B$2="Ja",creep_res80!P7,creep_res80!L7)</f>
        <v>0.38991073580009411</v>
      </c>
      <c r="AF7" s="2">
        <f>IF('Modell einstellen'!$B$2="Ja",creep_res125!P7,creep_res125!L7)</f>
        <v>0.40382664273908159</v>
      </c>
      <c r="AG7" s="2">
        <f>IF('Modell einstellen'!$B$2="Ja",creep_res160!P7,creep_res160!L7)</f>
        <v>0.4242093341084035</v>
      </c>
      <c r="AL7" s="2">
        <f t="shared" si="12"/>
        <v>9.9999999999999994E-12</v>
      </c>
      <c r="AM7" s="2">
        <f t="shared" si="13"/>
        <v>10088.860550656809</v>
      </c>
      <c r="AN7" s="2">
        <f t="shared" si="14"/>
        <v>9733.3402923935464</v>
      </c>
      <c r="AO7" s="2">
        <f t="shared" si="15"/>
        <v>9437.8844555939704</v>
      </c>
      <c r="AP7" s="2">
        <f t="shared" si="16"/>
        <v>9158.3278957287839</v>
      </c>
      <c r="AQ7" s="2">
        <f t="shared" si="17"/>
        <v>8765.8976127630649</v>
      </c>
      <c r="AR7" s="2">
        <f t="shared" si="18"/>
        <v>7979.0862222792848</v>
      </c>
      <c r="AS7" s="2">
        <f t="shared" si="19"/>
        <v>7023.3701518062126</v>
      </c>
      <c r="AX7" s="2">
        <f t="shared" si="28"/>
        <v>9.9999999999999994E-12</v>
      </c>
      <c r="AY7" s="37">
        <f t="shared" si="20"/>
        <v>35607.453181184101</v>
      </c>
      <c r="AZ7" s="37">
        <f t="shared" si="21"/>
        <v>35793.199492538304</v>
      </c>
      <c r="BA7" s="37">
        <f t="shared" si="22"/>
        <v>36053.241366665061</v>
      </c>
      <c r="BB7" s="37">
        <f t="shared" si="23"/>
        <v>36337.422829955613</v>
      </c>
      <c r="BC7" s="37">
        <f t="shared" si="24"/>
        <v>36890.715576588183</v>
      </c>
      <c r="BD7" s="37">
        <f t="shared" si="25"/>
        <v>38823.13543850118</v>
      </c>
      <c r="BE7" s="37">
        <f t="shared" si="26"/>
        <v>43992.88139873631</v>
      </c>
    </row>
    <row r="8" spans="1:308" x14ac:dyDescent="0.25">
      <c r="A8" s="2">
        <f>'creep_res-40'!A8</f>
        <v>1E-10</v>
      </c>
      <c r="B8" s="3">
        <f>'creep_res-40'!O8</f>
        <v>-3.6839137142857147E-4</v>
      </c>
      <c r="C8" s="2">
        <f>IF('Modell einstellen'!$B$2="Ja",creep_res0!O8,creep_res0!C8)</f>
        <v>-3.8163354285714285E-4</v>
      </c>
      <c r="D8" s="2">
        <f>IF('Modell einstellen'!$B$2="Ja",creep_res25!O8,creep_res25!C8)</f>
        <v>-3.9338954285714287E-4</v>
      </c>
      <c r="E8" s="2">
        <f>IF('Modell einstellen'!$B$2="Ja",creep_res50!O8,creep_res50!C8)</f>
        <v>-4.054733428571429E-4</v>
      </c>
      <c r="F8" s="2">
        <f>IF('Modell einstellen'!$B$2="Ja",creep_res80!O8,creep_res80!C8)</f>
        <v>-4.217628285714286E-4</v>
      </c>
      <c r="G8" s="2">
        <f>IF('Modell einstellen'!$B$2="Ja",creep_res125!O8,creep_res125!C8)</f>
        <v>-4.645165714285715E-4</v>
      </c>
      <c r="H8" s="2">
        <f>IF('Modell einstellen'!$B$2="Ja",creep_res160!O8,creep_res160!C8)</f>
        <v>-5.1824708571428571E-4</v>
      </c>
      <c r="M8" s="9">
        <f t="shared" si="27"/>
        <v>-10</v>
      </c>
      <c r="N8" s="2">
        <f t="shared" si="4"/>
        <v>1E-10</v>
      </c>
      <c r="O8" s="2">
        <f t="shared" si="5"/>
        <v>27145.044036241579</v>
      </c>
      <c r="P8" s="2">
        <f t="shared" si="6"/>
        <v>26203.147462180248</v>
      </c>
      <c r="Q8" s="2">
        <f t="shared" si="7"/>
        <v>25420.096140256177</v>
      </c>
      <c r="R8" s="2">
        <f t="shared" si="8"/>
        <v>24662.53374275018</v>
      </c>
      <c r="S8" s="2">
        <f t="shared" si="9"/>
        <v>23710.007906271494</v>
      </c>
      <c r="T8" s="2">
        <f t="shared" si="10"/>
        <v>21527.757275151798</v>
      </c>
      <c r="U8" s="2">
        <f t="shared" si="11"/>
        <v>19295.815211806304</v>
      </c>
      <c r="Z8" s="2">
        <v>1E-10</v>
      </c>
      <c r="AA8" s="3">
        <f>IF('Modell einstellen'!$B$2="Ja",'creep_res-40'!P8,'creep_res-40'!L8)</f>
        <v>0.37403658748638291</v>
      </c>
      <c r="AB8" s="2">
        <f>IF('Modell einstellen'!$B$2="Ja",creep_res0!P8,creep_res0!L8)</f>
        <v>0.37934720323325882</v>
      </c>
      <c r="AC8" s="2">
        <f>IF('Modell einstellen'!$B$2="Ja",creep_res25!P8,creep_res25!L8)</f>
        <v>0.38414209427020868</v>
      </c>
      <c r="AD8" s="2">
        <f>IF('Modell einstellen'!$B$2="Ja",creep_res50!P8,creep_res50!L8)</f>
        <v>0.38888081210482256</v>
      </c>
      <c r="AE8" s="2">
        <f>IF('Modell einstellen'!$B$2="Ja",creep_res80!P8,creep_res80!L8)</f>
        <v>0.39510090268064674</v>
      </c>
      <c r="AF8" s="2">
        <f>IF('Modell einstellen'!$B$2="Ja",creep_res125!P8,creep_res125!L8)</f>
        <v>0.41159715661381913</v>
      </c>
      <c r="AG8" s="2">
        <f>IF('Modell einstellen'!$B$2="Ja",creep_res160!P8,creep_res160!L8)</f>
        <v>0.43171099632122528</v>
      </c>
      <c r="AL8" s="2">
        <f t="shared" si="12"/>
        <v>1E-10</v>
      </c>
      <c r="AM8" s="2">
        <f t="shared" si="13"/>
        <v>9877.8461517898249</v>
      </c>
      <c r="AN8" s="2">
        <f t="shared" si="14"/>
        <v>9498.3871358707802</v>
      </c>
      <c r="AO8" s="2">
        <f t="shared" si="15"/>
        <v>9182.6179716248589</v>
      </c>
      <c r="AP8" s="2">
        <f t="shared" si="16"/>
        <v>8878.5637787646356</v>
      </c>
      <c r="AQ8" s="2">
        <f t="shared" si="17"/>
        <v>8497.5960737726527</v>
      </c>
      <c r="AR8" s="2">
        <f t="shared" si="18"/>
        <v>7625.3190133909084</v>
      </c>
      <c r="AS8" s="2">
        <f t="shared" si="19"/>
        <v>6738.7256441372629</v>
      </c>
      <c r="AX8" s="2">
        <f t="shared" si="28"/>
        <v>1E-10</v>
      </c>
      <c r="AY8" s="37">
        <f t="shared" si="20"/>
        <v>35916.572247129174</v>
      </c>
      <c r="AZ8" s="37">
        <f t="shared" si="21"/>
        <v>36196.353178118421</v>
      </c>
      <c r="BA8" s="37">
        <f t="shared" si="22"/>
        <v>36567.920534690704</v>
      </c>
      <c r="BB8" s="37">
        <f t="shared" si="23"/>
        <v>36991.111691131744</v>
      </c>
      <c r="BC8" s="37">
        <f t="shared" si="24"/>
        <v>37671.134312511604</v>
      </c>
      <c r="BD8" s="37">
        <f t="shared" si="25"/>
        <v>40586.472204122598</v>
      </c>
      <c r="BE8" s="37">
        <f t="shared" si="26"/>
        <v>47093.514749392816</v>
      </c>
    </row>
    <row r="9" spans="1:308" x14ac:dyDescent="0.25">
      <c r="A9" s="2">
        <f>'creep_res-40'!A9</f>
        <v>1.0000000000000001E-9</v>
      </c>
      <c r="B9" s="3">
        <f>'creep_res-40'!O9</f>
        <v>-3.7583788571428573E-4</v>
      </c>
      <c r="C9" s="2">
        <f>IF('Modell einstellen'!$B$2="Ja",creep_res0!O9,creep_res0!C9)</f>
        <v>-3.9091748571428575E-4</v>
      </c>
      <c r="D9" s="2">
        <f>IF('Modell einstellen'!$B$2="Ja",creep_res25!O9,creep_res25!C9)</f>
        <v>-4.0436445714285714E-4</v>
      </c>
      <c r="E9" s="2">
        <f>IF('Modell einstellen'!$B$2="Ja",creep_res50!O9,creep_res50!C9)</f>
        <v>-4.1700088571428577E-4</v>
      </c>
      <c r="F9" s="2">
        <f>IF('Modell einstellen'!$B$2="Ja",creep_res80!O9,creep_res80!C9)</f>
        <v>-4.3382928571428572E-4</v>
      </c>
      <c r="G9" s="2">
        <f>IF('Modell einstellen'!$B$2="Ja",creep_res125!O9,creep_res125!C9)</f>
        <v>-4.8544591428571429E-4</v>
      </c>
      <c r="H9" s="2">
        <f>IF('Modell einstellen'!$B$2="Ja",creep_res160!O9,creep_res160!C9)</f>
        <v>-5.3819122857142864E-4</v>
      </c>
      <c r="M9" s="9">
        <f t="shared" si="27"/>
        <v>-10</v>
      </c>
      <c r="N9" s="2">
        <f t="shared" si="4"/>
        <v>1.0000000000000001E-9</v>
      </c>
      <c r="O9" s="2">
        <f t="shared" si="5"/>
        <v>26607.216515692253</v>
      </c>
      <c r="P9" s="2">
        <f t="shared" si="6"/>
        <v>25580.845998044744</v>
      </c>
      <c r="Q9" s="2">
        <f t="shared" si="7"/>
        <v>24730.16562993102</v>
      </c>
      <c r="R9" s="2">
        <f t="shared" si="8"/>
        <v>23980.764412216729</v>
      </c>
      <c r="S9" s="2">
        <f t="shared" si="9"/>
        <v>23050.541605404364</v>
      </c>
      <c r="T9" s="2">
        <f t="shared" si="10"/>
        <v>20599.617188485379</v>
      </c>
      <c r="U9" s="2">
        <f t="shared" si="11"/>
        <v>18580.756186874201</v>
      </c>
      <c r="Z9" s="2">
        <v>1.0000000000000001E-9</v>
      </c>
      <c r="AA9" s="3">
        <f>IF('Modell einstellen'!$B$2="Ja",'creep_res-40'!P9,'creep_res-40'!L9)</f>
        <v>0.37780988550838707</v>
      </c>
      <c r="AB9" s="2">
        <f>IF('Modell einstellen'!$B$2="Ja",creep_res0!P9,creep_res0!L9)</f>
        <v>0.38388227636201189</v>
      </c>
      <c r="AC9" s="2">
        <f>IF('Modell einstellen'!$B$2="Ja",creep_res25!P9,creep_res25!L9)</f>
        <v>0.38936177519064136</v>
      </c>
      <c r="AD9" s="2">
        <f>IF('Modell einstellen'!$B$2="Ja",creep_res50!P9,creep_res50!L9)</f>
        <v>0.39424009445406455</v>
      </c>
      <c r="AE9" s="2">
        <f>IF('Modell einstellen'!$B$2="Ja",creep_res80!P9,creep_res80!L9)</f>
        <v>0.40052898358636796</v>
      </c>
      <c r="AF9" s="2">
        <f>IF('Modell einstellen'!$B$2="Ja",creep_res125!P9,creep_res125!L9)</f>
        <v>0.42045500199021735</v>
      </c>
      <c r="AG9" s="2">
        <f>IF('Modell einstellen'!$B$2="Ja",creep_res160!P9,creep_res160!L9)</f>
        <v>0.43971569744222083</v>
      </c>
      <c r="AL9" s="2">
        <f t="shared" si="12"/>
        <v>1.0000000000000001E-9</v>
      </c>
      <c r="AM9" s="2">
        <f t="shared" si="13"/>
        <v>9655.619688733279</v>
      </c>
      <c r="AN9" s="2">
        <f t="shared" si="14"/>
        <v>9242.4212792479666</v>
      </c>
      <c r="AO9" s="2">
        <f t="shared" si="15"/>
        <v>8899.8294294290881</v>
      </c>
      <c r="AP9" s="2">
        <f t="shared" si="16"/>
        <v>8599.940751813896</v>
      </c>
      <c r="AQ9" s="2">
        <f t="shared" si="17"/>
        <v>8229.2269119551856</v>
      </c>
      <c r="AR9" s="2">
        <f t="shared" si="18"/>
        <v>7251.0629198471606</v>
      </c>
      <c r="AS9" s="2">
        <f t="shared" si="19"/>
        <v>6452.9254698981604</v>
      </c>
      <c r="AX9" s="2">
        <f t="shared" si="28"/>
        <v>1.0000000000000001E-9</v>
      </c>
      <c r="AY9" s="37">
        <f t="shared" si="20"/>
        <v>36292.10189710636</v>
      </c>
      <c r="AZ9" s="37">
        <f t="shared" si="21"/>
        <v>36716.826677548255</v>
      </c>
      <c r="BA9" s="37">
        <f t="shared" si="22"/>
        <v>37253.799749203179</v>
      </c>
      <c r="BB9" s="37">
        <f t="shared" si="23"/>
        <v>37791.2030846778</v>
      </c>
      <c r="BC9" s="37">
        <f t="shared" si="24"/>
        <v>38621.872709722964</v>
      </c>
      <c r="BD9" s="37">
        <f t="shared" si="25"/>
        <v>43161.350396815615</v>
      </c>
      <c r="BE9" s="37">
        <f t="shared" si="26"/>
        <v>51369.802194265452</v>
      </c>
    </row>
    <row r="10" spans="1:308" x14ac:dyDescent="0.25">
      <c r="A10" s="2">
        <f>'creep_res-40'!A10</f>
        <v>1E-8</v>
      </c>
      <c r="B10" s="3">
        <f>'creep_res-40'!O10</f>
        <v>-3.8479085714285716E-4</v>
      </c>
      <c r="C10" s="2">
        <f>IF('Modell einstellen'!$B$2="Ja",creep_res0!O10,creep_res0!C10)</f>
        <v>-4.0163102857142859E-4</v>
      </c>
      <c r="D10" s="2">
        <f>IF('Modell einstellen'!$B$2="Ja",creep_res25!O10,creep_res25!C10)</f>
        <v>-4.1580068571428572E-4</v>
      </c>
      <c r="E10" s="2">
        <f>IF('Modell einstellen'!$B$2="Ja",creep_res50!O10,creep_res50!C10)</f>
        <v>-4.2863045714285715E-4</v>
      </c>
      <c r="F10" s="2">
        <f>IF('Modell einstellen'!$B$2="Ja",creep_res80!O10,creep_res80!C10)</f>
        <v>-4.4930708571428579E-4</v>
      </c>
      <c r="G10" s="2">
        <f>IF('Modell einstellen'!$B$2="Ja",creep_res125!O10,creep_res125!C10)</f>
        <v>-5.0537397142857141E-4</v>
      </c>
      <c r="H10" s="2">
        <f>IF('Modell einstellen'!$B$2="Ja",creep_res160!O10,creep_res160!C10)</f>
        <v>-5.5889188571428571E-4</v>
      </c>
      <c r="M10" s="9">
        <f t="shared" si="27"/>
        <v>-10</v>
      </c>
      <c r="N10" s="2">
        <f t="shared" si="4"/>
        <v>1E-8</v>
      </c>
      <c r="O10" s="2">
        <f t="shared" si="5"/>
        <v>25988.143466432226</v>
      </c>
      <c r="P10" s="2">
        <f t="shared" si="6"/>
        <v>24898.474690985029</v>
      </c>
      <c r="Q10" s="2">
        <f t="shared" si="7"/>
        <v>24049.98438812442</v>
      </c>
      <c r="R10" s="2">
        <f t="shared" si="8"/>
        <v>23330.119998138922</v>
      </c>
      <c r="S10" s="2">
        <f t="shared" si="9"/>
        <v>22256.492982082629</v>
      </c>
      <c r="T10" s="2">
        <f t="shared" si="10"/>
        <v>19787.326940745268</v>
      </c>
      <c r="U10" s="2">
        <f t="shared" si="11"/>
        <v>17892.548193322949</v>
      </c>
      <c r="Z10" s="2">
        <v>1E-8</v>
      </c>
      <c r="AA10" s="3">
        <f>IF('Modell einstellen'!$B$2="Ja",'creep_res-40'!P10,'creep_res-40'!L10)</f>
        <v>0.38229366156606043</v>
      </c>
      <c r="AB10" s="2">
        <f>IF('Modell einstellen'!$B$2="Ja",creep_res0!P10,creep_res0!L10)</f>
        <v>0.38904917420296076</v>
      </c>
      <c r="AC10" s="2">
        <f>IF('Modell einstellen'!$B$2="Ja",creep_res25!P10,creep_res25!L10)</f>
        <v>0.39475071297896575</v>
      </c>
      <c r="AD10" s="2">
        <f>IF('Modell einstellen'!$B$2="Ja",creep_res50!P10,creep_res50!L10)</f>
        <v>0.39958047778219347</v>
      </c>
      <c r="AE10" s="2">
        <f>IF('Modell einstellen'!$B$2="Ja",creep_res80!P10,creep_res80!L10)</f>
        <v>0.40739216347610302</v>
      </c>
      <c r="AF10" s="2">
        <f>IF('Modell einstellen'!$B$2="Ja",creep_res125!P10,creep_res125!L10)</f>
        <v>0.42881302214162315</v>
      </c>
      <c r="AG10" s="2">
        <f>IF('Modell einstellen'!$B$2="Ja",creep_res160!P10,creep_res160!L10)</f>
        <v>0.44793923854222562</v>
      </c>
      <c r="AL10" s="2">
        <f t="shared" si="12"/>
        <v>1E-8</v>
      </c>
      <c r="AM10" s="2">
        <f t="shared" si="13"/>
        <v>9400.3699029441887</v>
      </c>
      <c r="AN10" s="2">
        <f t="shared" si="14"/>
        <v>8962.4165772503438</v>
      </c>
      <c r="AO10" s="2">
        <f t="shared" si="15"/>
        <v>8621.6067732840511</v>
      </c>
      <c r="AP10" s="2">
        <f t="shared" si="16"/>
        <v>8334.6832742009774</v>
      </c>
      <c r="AQ10" s="2">
        <f t="shared" si="17"/>
        <v>7906.9976228628248</v>
      </c>
      <c r="AR10" s="2">
        <f t="shared" si="18"/>
        <v>6924.393407013602</v>
      </c>
      <c r="AS10" s="2">
        <f t="shared" si="19"/>
        <v>6178.6253583876323</v>
      </c>
      <c r="AX10" s="2">
        <f t="shared" si="28"/>
        <v>1E-8</v>
      </c>
      <c r="AY10" s="37">
        <f t="shared" si="20"/>
        <v>36797.994925619598</v>
      </c>
      <c r="AZ10" s="37">
        <f t="shared" si="21"/>
        <v>37401.666477200524</v>
      </c>
      <c r="BA10" s="37">
        <f t="shared" si="22"/>
        <v>38084.16042336703</v>
      </c>
      <c r="BB10" s="37">
        <f t="shared" si="23"/>
        <v>38721.089755729445</v>
      </c>
      <c r="BC10" s="37">
        <f t="shared" si="24"/>
        <v>40055.092919232338</v>
      </c>
      <c r="BD10" s="37">
        <f t="shared" si="25"/>
        <v>46327.122216348856</v>
      </c>
      <c r="BE10" s="37">
        <f t="shared" si="26"/>
        <v>57280.978649775403</v>
      </c>
    </row>
    <row r="11" spans="1:308" x14ac:dyDescent="0.25">
      <c r="A11" s="2">
        <f>'creep_res-40'!A11</f>
        <v>9.9999999999999995E-8</v>
      </c>
      <c r="B11" s="3">
        <f>'creep_res-40'!O11</f>
        <v>-3.9459005714285713E-4</v>
      </c>
      <c r="C11" s="2">
        <f>IF('Modell einstellen'!$B$2="Ja",creep_res0!O11,creep_res0!C11)</f>
        <v>-4.1311025714285714E-4</v>
      </c>
      <c r="D11" s="2">
        <f>IF('Modell einstellen'!$B$2="Ja",creep_res25!O11,creep_res25!C11)</f>
        <v>-4.274400285714286E-4</v>
      </c>
      <c r="E11" s="2">
        <f>IF('Modell einstellen'!$B$2="Ja",creep_res50!O11,creep_res50!C11)</f>
        <v>-4.4302511428571435E-4</v>
      </c>
      <c r="F11" s="2">
        <f>IF('Modell einstellen'!$B$2="Ja",creep_res80!O11,creep_res80!C11)</f>
        <v>-4.6866885714285717E-4</v>
      </c>
      <c r="G11" s="2">
        <f>IF('Modell einstellen'!$B$2="Ja",creep_res125!O11,creep_res125!C11)</f>
        <v>-5.2389622857142853E-4</v>
      </c>
      <c r="H11" s="2">
        <f>IF('Modell einstellen'!$B$2="Ja",creep_res160!O11,creep_res160!C11)</f>
        <v>-5.8272757142857146E-4</v>
      </c>
      <c r="M11" s="9">
        <f t="shared" si="27"/>
        <v>-10</v>
      </c>
      <c r="N11" s="2">
        <f t="shared" si="4"/>
        <v>9.9999999999999995E-8</v>
      </c>
      <c r="O11" s="2">
        <f t="shared" si="5"/>
        <v>25342.757170334899</v>
      </c>
      <c r="P11" s="2">
        <f t="shared" si="6"/>
        <v>24206.612707129934</v>
      </c>
      <c r="Q11" s="2">
        <f t="shared" si="7"/>
        <v>23395.094823995692</v>
      </c>
      <c r="R11" s="2">
        <f t="shared" si="8"/>
        <v>22572.083788348918</v>
      </c>
      <c r="S11" s="2">
        <f t="shared" si="9"/>
        <v>21337.026874290161</v>
      </c>
      <c r="T11" s="2">
        <f t="shared" si="10"/>
        <v>19087.749547783947</v>
      </c>
      <c r="U11" s="2">
        <f t="shared" si="11"/>
        <v>17160.677631032191</v>
      </c>
      <c r="Z11" s="2">
        <v>9.9999999999999995E-8</v>
      </c>
      <c r="AA11" s="3">
        <f>IF('Modell einstellen'!$B$2="Ja",'creep_res-40'!P11,'creep_res-40'!L11)</f>
        <v>0.38714793479699583</v>
      </c>
      <c r="AB11" s="2">
        <f>IF('Modell einstellen'!$B$2="Ja",creep_res0!P11,creep_res0!L11)</f>
        <v>0.39453547475634143</v>
      </c>
      <c r="AC11" s="2">
        <f>IF('Modell einstellen'!$B$2="Ja",creep_res25!P11,creep_res25!L11)</f>
        <v>0.40016948743553066</v>
      </c>
      <c r="AD11" s="2">
        <f>IF('Modell einstellen'!$B$2="Ja",creep_res50!P11,creep_res50!L11)</f>
        <v>0.40610185336800314</v>
      </c>
      <c r="AE11" s="2">
        <f>IF('Modell einstellen'!$B$2="Ja",creep_res80!P11,creep_res80!L11)</f>
        <v>0.41587038914469615</v>
      </c>
      <c r="AF11" s="2">
        <f>IF('Modell einstellen'!$B$2="Ja",creep_res125!P11,creep_res125!L11)</f>
        <v>0.43647362989224481</v>
      </c>
      <c r="AG11" s="2">
        <f>IF('Modell einstellen'!$B$2="Ja",creep_res160!P11,creep_res160!L11)</f>
        <v>0.45727306536036322</v>
      </c>
      <c r="AL11" s="2">
        <f t="shared" si="12"/>
        <v>9.9999999999999995E-8</v>
      </c>
      <c r="AM11" s="2">
        <f t="shared" si="13"/>
        <v>9134.8429877609706</v>
      </c>
      <c r="AN11" s="2">
        <f t="shared" si="14"/>
        <v>8679.0953494242967</v>
      </c>
      <c r="AO11" s="2">
        <f t="shared" si="15"/>
        <v>8354.3796068734482</v>
      </c>
      <c r="AP11" s="2">
        <f t="shared" si="16"/>
        <v>8026.4753702879098</v>
      </c>
      <c r="AQ11" s="2">
        <f t="shared" si="17"/>
        <v>7534.9505992492377</v>
      </c>
      <c r="AR11" s="2">
        <f t="shared" si="18"/>
        <v>6643.9609995540914</v>
      </c>
      <c r="AS11" s="2">
        <f t="shared" si="19"/>
        <v>5887.9416764587622</v>
      </c>
      <c r="AX11" s="2">
        <f t="shared" si="28"/>
        <v>9.9999999999999995E-8</v>
      </c>
      <c r="AY11" s="37">
        <f t="shared" si="20"/>
        <v>37427.696640947637</v>
      </c>
      <c r="AZ11" s="37">
        <f t="shared" si="21"/>
        <v>38253.957355493876</v>
      </c>
      <c r="BA11" s="37">
        <f t="shared" si="22"/>
        <v>39058.023148462788</v>
      </c>
      <c r="BB11" s="37">
        <f t="shared" si="23"/>
        <v>40064.837269566204</v>
      </c>
      <c r="BC11" s="37">
        <f t="shared" si="24"/>
        <v>42270.148519186121</v>
      </c>
      <c r="BD11" s="37">
        <f t="shared" si="25"/>
        <v>50078.283804050654</v>
      </c>
      <c r="BE11" s="37">
        <f t="shared" si="26"/>
        <v>66939.343124608451</v>
      </c>
    </row>
    <row r="12" spans="1:308" x14ac:dyDescent="0.25">
      <c r="A12" s="2">
        <f>'creep_res-40'!A12</f>
        <v>9.9999999999999995E-7</v>
      </c>
      <c r="B12" s="3">
        <f>'creep_res-40'!O12</f>
        <v>-4.0621477142857142E-4</v>
      </c>
      <c r="C12" s="2">
        <f>IF('Modell einstellen'!$B$2="Ja",creep_res0!O12,creep_res0!C12)</f>
        <v>-4.2456862857142858E-4</v>
      </c>
      <c r="D12" s="2">
        <f>IF('Modell einstellen'!$B$2="Ja",creep_res25!O12,creep_res25!C12)</f>
        <v>-4.4195080000000004E-4</v>
      </c>
      <c r="E12" s="2">
        <f>IF('Modell einstellen'!$B$2="Ja",creep_res50!O12,creep_res50!C12)</f>
        <v>-4.6143057142857143E-4</v>
      </c>
      <c r="F12" s="2">
        <f>IF('Modell einstellen'!$B$2="Ja",creep_res80!O12,creep_res80!C12)</f>
        <v>-4.8960165714285716E-4</v>
      </c>
      <c r="G12" s="2">
        <f>IF('Modell einstellen'!$B$2="Ja",creep_res125!O12,creep_res125!C12)</f>
        <v>-5.4413225714285715E-4</v>
      </c>
      <c r="H12" s="2">
        <f>IF('Modell einstellen'!$B$2="Ja",creep_res160!O12,creep_res160!C12)</f>
        <v>-6.0672511428571426E-4</v>
      </c>
      <c r="M12" s="9">
        <f t="shared" si="27"/>
        <v>-10</v>
      </c>
      <c r="N12" s="2">
        <f t="shared" si="4"/>
        <v>9.9999999999999995E-7</v>
      </c>
      <c r="O12" s="2">
        <f t="shared" si="5"/>
        <v>24617.519360096423</v>
      </c>
      <c r="P12" s="2">
        <f t="shared" si="6"/>
        <v>23553.318184736345</v>
      </c>
      <c r="Q12" s="2">
        <f t="shared" si="7"/>
        <v>22626.953045452115</v>
      </c>
      <c r="R12" s="2">
        <f t="shared" si="8"/>
        <v>21671.732692180281</v>
      </c>
      <c r="S12" s="2">
        <f t="shared" si="9"/>
        <v>20424.767469858001</v>
      </c>
      <c r="T12" s="2">
        <f t="shared" si="10"/>
        <v>18377.884914429156</v>
      </c>
      <c r="U12" s="2">
        <f t="shared" si="11"/>
        <v>16481.928577775798</v>
      </c>
      <c r="Z12" s="2">
        <v>9.9999999999999995E-7</v>
      </c>
      <c r="AA12" s="3">
        <f>IF('Modell einstellen'!$B$2="Ja",'creep_res-40'!P12,'creep_res-40'!L12)</f>
        <v>0.39284080335546639</v>
      </c>
      <c r="AB12" s="2">
        <f>IF('Modell einstellen'!$B$2="Ja",creep_res0!P12,creep_res0!L12)</f>
        <v>0.39995017463776011</v>
      </c>
      <c r="AC12" s="2">
        <f>IF('Modell einstellen'!$B$2="Ja",creep_res25!P12,creep_res25!L12)</f>
        <v>0.40683552493690633</v>
      </c>
      <c r="AD12" s="2">
        <f>IF('Modell einstellen'!$B$2="Ja",creep_res50!P12,creep_res50!L12)</f>
        <v>0.41433723816676959</v>
      </c>
      <c r="AE12" s="2">
        <f>IF('Modell einstellen'!$B$2="Ja",creep_res80!P12,creep_res80!L12)</f>
        <v>0.42494471599010691</v>
      </c>
      <c r="AF12" s="2">
        <f>IF('Modell einstellen'!$B$2="Ja",creep_res125!P12,creep_res125!L12)</f>
        <v>0.44474844849957434</v>
      </c>
      <c r="AG12" s="2">
        <f>IF('Modell einstellen'!$B$2="Ja",creep_res160!P12,creep_res160!L12)</f>
        <v>0.46656409570085849</v>
      </c>
      <c r="AL12" s="2">
        <f t="shared" si="12"/>
        <v>9.9999999999999995E-7</v>
      </c>
      <c r="AM12" s="2">
        <f t="shared" si="13"/>
        <v>8837.1618999065868</v>
      </c>
      <c r="AN12" s="2">
        <f t="shared" si="14"/>
        <v>8412.1987380125211</v>
      </c>
      <c r="AO12" s="2">
        <f t="shared" si="15"/>
        <v>8041.7904738604348</v>
      </c>
      <c r="AP12" s="2">
        <f t="shared" si="16"/>
        <v>7661.4445647597695</v>
      </c>
      <c r="AQ12" s="2">
        <f t="shared" si="17"/>
        <v>7166.8631213057552</v>
      </c>
      <c r="AR12" s="2">
        <f t="shared" si="18"/>
        <v>6360.2369441944311</v>
      </c>
      <c r="AS12" s="2">
        <f t="shared" si="19"/>
        <v>5619.2322674786419</v>
      </c>
      <c r="AX12" s="2">
        <f t="shared" si="28"/>
        <v>9.9999999999999995E-7</v>
      </c>
      <c r="AY12" s="37">
        <f t="shared" si="20"/>
        <v>38288.079995219909</v>
      </c>
      <c r="AZ12" s="37">
        <f t="shared" si="21"/>
        <v>39235.980838312847</v>
      </c>
      <c r="BA12" s="37">
        <f t="shared" si="22"/>
        <v>40478.506838091969</v>
      </c>
      <c r="BB12" s="37">
        <f t="shared" si="23"/>
        <v>42164.826015398903</v>
      </c>
      <c r="BC12" s="37">
        <f t="shared" si="24"/>
        <v>45354.940115799174</v>
      </c>
      <c r="BD12" s="37">
        <f t="shared" si="25"/>
        <v>55437.010109081355</v>
      </c>
      <c r="BE12" s="37">
        <f t="shared" si="26"/>
        <v>82156.835709285646</v>
      </c>
    </row>
    <row r="13" spans="1:308" x14ac:dyDescent="0.25">
      <c r="A13" s="2">
        <f>'creep_res-40'!A13</f>
        <v>1.0000000000000001E-5</v>
      </c>
      <c r="B13" s="3">
        <f>'creep_res-40'!O13</f>
        <v>-4.1725674285714284E-4</v>
      </c>
      <c r="C13" s="2">
        <f>IF('Modell einstellen'!$B$2="Ja",creep_res0!O13,creep_res0!C13)</f>
        <v>-4.3862185714285717E-4</v>
      </c>
      <c r="D13" s="2">
        <f>IF('Modell einstellen'!$B$2="Ja",creep_res25!O13,creep_res25!C13)</f>
        <v>-4.6043445714285717E-4</v>
      </c>
      <c r="E13" s="2">
        <f>IF('Modell einstellen'!$B$2="Ja",creep_res50!O13,creep_res50!C13)</f>
        <v>-4.8217617142857149E-4</v>
      </c>
      <c r="F13" s="2">
        <f>IF('Modell einstellen'!$B$2="Ja",creep_res80!O13,creep_res80!C13)</f>
        <v>-5.0809248571428577E-4</v>
      </c>
      <c r="G13" s="2">
        <f>IF('Modell einstellen'!$B$2="Ja",creep_res125!O13,creep_res125!C13)</f>
        <v>-5.6601757142857149E-4</v>
      </c>
      <c r="H13" s="2">
        <f>IF('Modell einstellen'!$B$2="Ja",creep_res160!O13,creep_res160!C13)</f>
        <v>-6.4014900000000001E-4</v>
      </c>
      <c r="M13" s="9">
        <f t="shared" si="27"/>
        <v>-10</v>
      </c>
      <c r="N13" s="2">
        <f t="shared" si="4"/>
        <v>1.0000000000000001E-5</v>
      </c>
      <c r="O13" s="2">
        <f t="shared" si="5"/>
        <v>23966.059677131983</v>
      </c>
      <c r="P13" s="2">
        <f t="shared" si="6"/>
        <v>22798.681454542846</v>
      </c>
      <c r="Q13" s="2">
        <f t="shared" si="7"/>
        <v>21718.61780730572</v>
      </c>
      <c r="R13" s="2">
        <f t="shared" si="8"/>
        <v>20739.307731388752</v>
      </c>
      <c r="S13" s="2">
        <f t="shared" si="9"/>
        <v>19681.456193830178</v>
      </c>
      <c r="T13" s="2">
        <f t="shared" si="10"/>
        <v>17667.296043055703</v>
      </c>
      <c r="U13" s="2">
        <f t="shared" si="11"/>
        <v>15621.363151391317</v>
      </c>
      <c r="Z13" s="2">
        <v>1.0000000000000001E-5</v>
      </c>
      <c r="AA13" s="3">
        <f>IF('Modell einstellen'!$B$2="Ja",'creep_res-40'!P13,'creep_res-40'!L13)</f>
        <v>0.39820228532128149</v>
      </c>
      <c r="AB13" s="2">
        <f>IF('Modell einstellen'!$B$2="Ja",creep_res0!P13,creep_res0!L13)</f>
        <v>0.40650658083940183</v>
      </c>
      <c r="AC13" s="2">
        <f>IF('Modell einstellen'!$B$2="Ja",creep_res25!P13,creep_res25!L13)</f>
        <v>0.41522290189774796</v>
      </c>
      <c r="AD13" s="2">
        <f>IF('Modell einstellen'!$B$2="Ja",creep_res50!P13,creep_res50!L13)</f>
        <v>0.42351986227203497</v>
      </c>
      <c r="AE13" s="2">
        <f>IF('Modell einstellen'!$B$2="Ja",creep_res80!P13,creep_res80!L13)</f>
        <v>0.43289880801791031</v>
      </c>
      <c r="AF13" s="2">
        <f>IF('Modell einstellen'!$B$2="Ja",creep_res125!P13,creep_res125!L13)</f>
        <v>0.45357778645438318</v>
      </c>
      <c r="AG13" s="2">
        <f>IF('Modell einstellen'!$B$2="Ja",creep_res160!P13,creep_res160!L13)</f>
        <v>0.47919316998297057</v>
      </c>
      <c r="AL13" s="2">
        <f t="shared" si="12"/>
        <v>1.0000000000000001E-5</v>
      </c>
      <c r="AM13" s="2">
        <f t="shared" si="13"/>
        <v>8570.3120101913646</v>
      </c>
      <c r="AN13" s="2">
        <f t="shared" si="14"/>
        <v>8104.719083836997</v>
      </c>
      <c r="AO13" s="2">
        <f t="shared" si="15"/>
        <v>7673.2145085350385</v>
      </c>
      <c r="AP13" s="2">
        <f t="shared" si="16"/>
        <v>7284.5164584803897</v>
      </c>
      <c r="AQ13" s="2">
        <f t="shared" si="17"/>
        <v>6867.7062482363972</v>
      </c>
      <c r="AR13" s="2">
        <f t="shared" si="18"/>
        <v>6077.1759886859509</v>
      </c>
      <c r="AS13" s="2">
        <f t="shared" si="19"/>
        <v>5280.3661713673137</v>
      </c>
      <c r="AX13" s="2">
        <f t="shared" si="28"/>
        <v>1.0000000000000001E-5</v>
      </c>
      <c r="AY13" s="37">
        <f t="shared" si="20"/>
        <v>39238.044705899876</v>
      </c>
      <c r="AZ13" s="37">
        <f t="shared" si="21"/>
        <v>40642.221415570879</v>
      </c>
      <c r="BA13" s="37">
        <f t="shared" si="22"/>
        <v>42697.49396452622</v>
      </c>
      <c r="BB13" s="37">
        <f t="shared" si="23"/>
        <v>45195.411400271332</v>
      </c>
      <c r="BC13" s="37">
        <f t="shared" si="24"/>
        <v>48885.013843677203</v>
      </c>
      <c r="BD13" s="37">
        <f t="shared" si="25"/>
        <v>63429.748726131307</v>
      </c>
      <c r="BE13" s="37">
        <f t="shared" si="26"/>
        <v>125130.09060491156</v>
      </c>
    </row>
    <row r="14" spans="1:308" x14ac:dyDescent="0.25">
      <c r="A14" s="2">
        <f>'creep_res-40'!A14</f>
        <v>1E-4</v>
      </c>
      <c r="B14" s="3">
        <f>'creep_res-40'!O14</f>
        <v>-4.2975834285714288E-4</v>
      </c>
      <c r="C14" s="2">
        <f>IF('Modell einstellen'!$B$2="Ja",creep_res0!O14,creep_res0!C14)</f>
        <v>-4.5667805714285714E-4</v>
      </c>
      <c r="D14" s="2">
        <f>IF('Modell einstellen'!$B$2="Ja",creep_res25!O14,creep_res25!C14)</f>
        <v>-4.8111651428571435E-4</v>
      </c>
      <c r="E14" s="2">
        <f>IF('Modell einstellen'!$B$2="Ja",creep_res50!O14,creep_res50!C14)</f>
        <v>-5.013431428571429E-4</v>
      </c>
      <c r="F14" s="2">
        <f>IF('Modell einstellen'!$B$2="Ja",creep_res80!O14,creep_res80!C14)</f>
        <v>-5.2741137142857148E-4</v>
      </c>
      <c r="G14" s="2">
        <f>IF('Modell einstellen'!$B$2="Ja",creep_res125!O14,creep_res125!C14)</f>
        <v>-5.8979734285714283E-4</v>
      </c>
      <c r="H14" s="2">
        <f>IF('Modell einstellen'!$B$2="Ja",creep_res160!O14,creep_res160!C14)</f>
        <v>-6.7953131428571435E-4</v>
      </c>
      <c r="M14" s="9">
        <f t="shared" si="27"/>
        <v>-10</v>
      </c>
      <c r="N14" s="2">
        <f t="shared" si="4"/>
        <v>1E-4</v>
      </c>
      <c r="O14" s="2">
        <f t="shared" si="5"/>
        <v>23268.890915572352</v>
      </c>
      <c r="P14" s="2">
        <f t="shared" si="6"/>
        <v>21897.264043215939</v>
      </c>
      <c r="Q14" s="2">
        <f t="shared" si="7"/>
        <v>20784.985971322181</v>
      </c>
      <c r="R14" s="2">
        <f t="shared" si="8"/>
        <v>19946.418221679931</v>
      </c>
      <c r="S14" s="2">
        <f t="shared" si="9"/>
        <v>18960.5316489736</v>
      </c>
      <c r="T14" s="2">
        <f t="shared" si="10"/>
        <v>16954.976350956771</v>
      </c>
      <c r="U14" s="2">
        <f t="shared" si="11"/>
        <v>14716.025280617783</v>
      </c>
      <c r="Z14" s="2">
        <v>1E-4</v>
      </c>
      <c r="AA14" s="3">
        <f>IF('Modell einstellen'!$B$2="Ja",'creep_res-40'!P14,'creep_res-40'!L14)</f>
        <v>0.40419754171480554</v>
      </c>
      <c r="AB14" s="2">
        <f>IF('Modell einstellen'!$B$2="Ja",creep_res0!P14,creep_res0!L14)</f>
        <v>0.41482857695561959</v>
      </c>
      <c r="AC14" s="2">
        <f>IF('Modell einstellen'!$B$2="Ja",creep_res25!P14,creep_res25!L14)</f>
        <v>0.42450775511580852</v>
      </c>
      <c r="AD14" s="2">
        <f>IF('Modell einstellen'!$B$2="Ja",creep_res50!P14,creep_res50!L14)</f>
        <v>0.43193226082392383</v>
      </c>
      <c r="AE14" s="2">
        <f>IF('Modell einstellen'!$B$2="Ja",creep_res80!P14,creep_res80!L14)</f>
        <v>0.44107213572186915</v>
      </c>
      <c r="AF14" s="2">
        <f>IF('Modell einstellen'!$B$2="Ja",creep_res125!P14,creep_res125!L14)</f>
        <v>0.46306131689688862</v>
      </c>
      <c r="AG14" s="2">
        <f>IF('Modell einstellen'!$B$2="Ja",creep_res160!P14,creep_res160!L14)</f>
        <v>0.49377444857371444</v>
      </c>
      <c r="AL14" s="2">
        <f t="shared" si="12"/>
        <v>1E-4</v>
      </c>
      <c r="AM14" s="2">
        <f t="shared" si="13"/>
        <v>8285.4763038384153</v>
      </c>
      <c r="AN14" s="2">
        <f t="shared" si="14"/>
        <v>7738.4866265331348</v>
      </c>
      <c r="AO14" s="2">
        <f t="shared" si="15"/>
        <v>7295.4976540764501</v>
      </c>
      <c r="AP14" s="2">
        <f t="shared" si="16"/>
        <v>6964.8609670274845</v>
      </c>
      <c r="AQ14" s="2">
        <f t="shared" si="17"/>
        <v>6578.6198965937929</v>
      </c>
      <c r="AR14" s="2">
        <f t="shared" si="18"/>
        <v>5794.3492029841209</v>
      </c>
      <c r="AS14" s="2">
        <f t="shared" si="19"/>
        <v>4925.7855811728932</v>
      </c>
      <c r="AX14" s="2">
        <f t="shared" si="28"/>
        <v>1E-4</v>
      </c>
      <c r="AY14" s="37">
        <f t="shared" si="20"/>
        <v>40480.678213745414</v>
      </c>
      <c r="AZ14" s="37">
        <f t="shared" si="21"/>
        <v>42849.395686402735</v>
      </c>
      <c r="BA14" s="37">
        <f t="shared" si="22"/>
        <v>45887.684673675838</v>
      </c>
      <c r="BB14" s="37">
        <f t="shared" si="23"/>
        <v>48839.627658958387</v>
      </c>
      <c r="BC14" s="37">
        <f t="shared" si="24"/>
        <v>53626.389601481453</v>
      </c>
      <c r="BD14" s="37">
        <f t="shared" si="25"/>
        <v>76500.545077312359</v>
      </c>
      <c r="BE14" s="37">
        <f t="shared" si="26"/>
        <v>393968.45550858084</v>
      </c>
    </row>
    <row r="15" spans="1:308" x14ac:dyDescent="0.25">
      <c r="A15" s="2">
        <f>'creep_res-40'!A15</f>
        <v>1E-3</v>
      </c>
      <c r="B15" s="3">
        <f>'creep_res-40'!O15</f>
        <v>-4.4618285714285717E-4</v>
      </c>
      <c r="C15" s="2">
        <f>IF('Modell einstellen'!$B$2="Ja",creep_res0!O15,creep_res0!C15)</f>
        <v>-4.7721914285714286E-4</v>
      </c>
      <c r="D15" s="2">
        <f>IF('Modell einstellen'!$B$2="Ja",creep_res25!O15,creep_res25!C15)</f>
        <v>-5.0005660000000001E-4</v>
      </c>
      <c r="E15" s="2">
        <f>IF('Modell einstellen'!$B$2="Ja",creep_res50!O15,creep_res50!C15)</f>
        <v>-5.199761428571429E-4</v>
      </c>
      <c r="F15" s="2">
        <f>IF('Modell einstellen'!$B$2="Ja",creep_res80!O15,creep_res80!C15)</f>
        <v>-5.4764948571428573E-4</v>
      </c>
      <c r="G15" s="2">
        <f>IF('Modell einstellen'!$B$2="Ja",creep_res125!O15,creep_res125!C15)</f>
        <v>-6.1714557142857149E-4</v>
      </c>
      <c r="H15" s="2">
        <f>IF('Modell einstellen'!$B$2="Ja",creep_res160!O15,creep_res160!C15)</f>
        <v>-7.3200837142857141E-4</v>
      </c>
      <c r="M15" s="9">
        <f t="shared" si="27"/>
        <v>-10</v>
      </c>
      <c r="N15" s="2">
        <f t="shared" si="4"/>
        <v>1E-3</v>
      </c>
      <c r="O15" s="2">
        <f t="shared" si="5"/>
        <v>22412.335749596576</v>
      </c>
      <c r="P15" s="2">
        <f t="shared" si="6"/>
        <v>20954.733584510741</v>
      </c>
      <c r="Q15" s="2">
        <f t="shared" si="7"/>
        <v>19997.73625625579</v>
      </c>
      <c r="R15" s="2">
        <f t="shared" si="8"/>
        <v>19231.65156203595</v>
      </c>
      <c r="S15" s="2">
        <f t="shared" si="9"/>
        <v>18259.854634862382</v>
      </c>
      <c r="T15" s="2">
        <f t="shared" si="10"/>
        <v>16203.632437727703</v>
      </c>
      <c r="U15" s="2">
        <f t="shared" si="11"/>
        <v>13661.045952909282</v>
      </c>
      <c r="Z15" s="2">
        <v>1E-3</v>
      </c>
      <c r="AA15" s="3">
        <f>IF('Modell einstellen'!$B$2="Ja",'creep_res-40'!P15,'creep_res-40'!L15)</f>
        <v>0.41197142747368148</v>
      </c>
      <c r="AB15" s="2">
        <f>IF('Modell einstellen'!$B$2="Ja",creep_res0!P15,creep_res0!L15)</f>
        <v>0.42419200044064814</v>
      </c>
      <c r="AC15" s="2">
        <f>IF('Modell einstellen'!$B$2="Ja",creep_res25!P15,creep_res25!L15)</f>
        <v>0.43293879132882163</v>
      </c>
      <c r="AD15" s="2">
        <f>IF('Modell einstellen'!$B$2="Ja",creep_res50!P15,creep_res50!L15)</f>
        <v>0.43998342231635351</v>
      </c>
      <c r="AE15" s="2">
        <f>IF('Modell einstellen'!$B$2="Ja",creep_res80!P15,creep_res80!L15)</f>
        <v>0.4495427941083483</v>
      </c>
      <c r="AF15" s="2">
        <f>IF('Modell einstellen'!$B$2="Ja",creep_res125!P15,creep_res125!L15)</f>
        <v>0.47373782383827473</v>
      </c>
      <c r="AG15" s="2">
        <f>IF('Modell einstellen'!$B$2="Ja",creep_res160!P15,creep_res160!L15)</f>
        <v>0.51244390530584494</v>
      </c>
      <c r="AL15" s="2">
        <f t="shared" si="12"/>
        <v>1E-3</v>
      </c>
      <c r="AM15" s="2">
        <f t="shared" si="13"/>
        <v>7936.5401145889446</v>
      </c>
      <c r="AN15" s="2">
        <f t="shared" si="14"/>
        <v>7356.7094808941847</v>
      </c>
      <c r="AO15" s="2">
        <f t="shared" si="15"/>
        <v>6977.8752509418382</v>
      </c>
      <c r="AP15" s="2">
        <f t="shared" si="16"/>
        <v>6677.7336683154199</v>
      </c>
      <c r="AQ15" s="2">
        <f t="shared" si="17"/>
        <v>6298.4876021181899</v>
      </c>
      <c r="AR15" s="2">
        <f t="shared" si="18"/>
        <v>5497.4610054881305</v>
      </c>
      <c r="AS15" s="2">
        <f t="shared" si="19"/>
        <v>4516.2157436003417</v>
      </c>
      <c r="AX15" s="2">
        <f t="shared" si="28"/>
        <v>1E-3</v>
      </c>
      <c r="AY15" s="37">
        <f t="shared" si="20"/>
        <v>42433.827840189435</v>
      </c>
      <c r="AZ15" s="37">
        <f t="shared" si="21"/>
        <v>46069.750128205553</v>
      </c>
      <c r="BA15" s="37">
        <f t="shared" si="22"/>
        <v>49700.208343273407</v>
      </c>
      <c r="BB15" s="37">
        <f t="shared" si="23"/>
        <v>53406.49840506832</v>
      </c>
      <c r="BC15" s="37">
        <f t="shared" si="24"/>
        <v>60314.657778422916</v>
      </c>
      <c r="BD15" s="37">
        <f t="shared" si="25"/>
        <v>102832.50670688276</v>
      </c>
      <c r="BE15" s="37">
        <f t="shared" si="26"/>
        <v>-182968.36372437744</v>
      </c>
    </row>
    <row r="16" spans="1:308" x14ac:dyDescent="0.25">
      <c r="A16" s="2">
        <f>'creep_res-40'!A16</f>
        <v>0.01</v>
      </c>
      <c r="B16" s="3">
        <f>'creep_res-40'!O16</f>
        <v>-4.6606960000000004E-4</v>
      </c>
      <c r="C16" s="2">
        <f>IF('Modell einstellen'!$B$2="Ja",creep_res0!O16,creep_res0!C16)</f>
        <v>-4.9641780000000003E-4</v>
      </c>
      <c r="D16" s="2">
        <f>IF('Modell einstellen'!$B$2="Ja",creep_res25!O16,creep_res25!C16)</f>
        <v>-5.1872391428571432E-4</v>
      </c>
      <c r="E16" s="2">
        <f>IF('Modell einstellen'!$B$2="Ja",creep_res50!O16,creep_res50!C16)</f>
        <v>-5.3999254285714291E-4</v>
      </c>
      <c r="F16" s="2">
        <f>IF('Modell einstellen'!$B$2="Ja",creep_res80!O16,creep_res80!C16)</f>
        <v>-5.7073894285714283E-4</v>
      </c>
      <c r="G16" s="2">
        <f>IF('Modell einstellen'!$B$2="Ja",creep_res125!O16,creep_res125!C16)</f>
        <v>-6.5362168571428576E-4</v>
      </c>
      <c r="H16" s="2">
        <f>IF('Modell einstellen'!$B$2="Ja",creep_res160!O16,creep_res160!C16)</f>
        <v>-8.0294425714285713E-4</v>
      </c>
      <c r="M16" s="9">
        <f t="shared" si="27"/>
        <v>-10</v>
      </c>
      <c r="N16" s="2">
        <f t="shared" si="4"/>
        <v>0.01</v>
      </c>
      <c r="O16" s="2">
        <f t="shared" si="5"/>
        <v>21456.022877269832</v>
      </c>
      <c r="P16" s="2">
        <f t="shared" si="6"/>
        <v>20144.321980396351</v>
      </c>
      <c r="Q16" s="2">
        <f t="shared" si="7"/>
        <v>19278.077845649463</v>
      </c>
      <c r="R16" s="2">
        <f t="shared" si="8"/>
        <v>18518.7742539725</v>
      </c>
      <c r="S16" s="2">
        <f t="shared" si="9"/>
        <v>17521.145394319134</v>
      </c>
      <c r="T16" s="2">
        <f t="shared" si="10"/>
        <v>15299.36998505776</v>
      </c>
      <c r="U16" s="2">
        <f t="shared" si="11"/>
        <v>12454.164670886779</v>
      </c>
      <c r="Z16" s="2">
        <v>0.01</v>
      </c>
      <c r="AA16" s="3">
        <f>IF('Modell einstellen'!$B$2="Ja",'creep_res-40'!P16,'creep_res-40'!L16)</f>
        <v>0.42127109648123673</v>
      </c>
      <c r="AB16" s="2">
        <f>IF('Modell einstellen'!$B$2="Ja",creep_res0!P16,creep_res0!L16)</f>
        <v>0.43286493755864519</v>
      </c>
      <c r="AC16" s="2">
        <f>IF('Modell einstellen'!$B$2="Ja",creep_res25!P16,creep_res25!L16)</f>
        <v>0.44111481929528495</v>
      </c>
      <c r="AD16" s="2">
        <f>IF('Modell einstellen'!$B$2="Ja",creep_res50!P16,creep_res50!L16)</f>
        <v>0.44853245856993046</v>
      </c>
      <c r="AE16" s="2">
        <f>IF('Modell einstellen'!$B$2="Ja",creep_res80!P16,creep_res80!L16)</f>
        <v>0.45904702590321128</v>
      </c>
      <c r="AF16" s="2">
        <f>IF('Modell einstellen'!$B$2="Ja",creep_res125!P16,creep_res125!L16)</f>
        <v>0.48758169808931417</v>
      </c>
      <c r="AG16" s="2">
        <f>IF('Modell einstellen'!$B$2="Ja",creep_res160!P16,creep_res160!L16)</f>
        <v>0.53576382406051382</v>
      </c>
      <c r="AL16" s="2">
        <f t="shared" si="12"/>
        <v>0.01</v>
      </c>
      <c r="AM16" s="2">
        <f t="shared" si="13"/>
        <v>7548.1809664568409</v>
      </c>
      <c r="AN16" s="2">
        <f t="shared" si="14"/>
        <v>7029.386180221145</v>
      </c>
      <c r="AO16" s="2">
        <f t="shared" si="15"/>
        <v>6688.5988498392426</v>
      </c>
      <c r="AP16" s="2">
        <f t="shared" si="16"/>
        <v>6392.2538098508458</v>
      </c>
      <c r="AQ16" s="2">
        <f t="shared" si="17"/>
        <v>6004.311404381504</v>
      </c>
      <c r="AR16" s="2">
        <f t="shared" si="18"/>
        <v>5142.3629386905741</v>
      </c>
      <c r="AS16" s="2">
        <f t="shared" si="19"/>
        <v>4054.7135164176284</v>
      </c>
      <c r="AX16" s="2">
        <f t="shared" si="28"/>
        <v>0.01</v>
      </c>
      <c r="AY16" s="37">
        <f t="shared" si="20"/>
        <v>45421.740339950811</v>
      </c>
      <c r="AZ16" s="37">
        <f t="shared" si="21"/>
        <v>50009.441782608577</v>
      </c>
      <c r="BA16" s="37">
        <f t="shared" si="22"/>
        <v>54564.033528008491</v>
      </c>
      <c r="BB16" s="37">
        <f t="shared" si="23"/>
        <v>59969.104602669831</v>
      </c>
      <c r="BC16" s="37">
        <f t="shared" si="24"/>
        <v>71305.954291660892</v>
      </c>
      <c r="BD16" s="37">
        <f t="shared" si="25"/>
        <v>205333.62901375972</v>
      </c>
      <c r="BE16" s="37">
        <f t="shared" si="26"/>
        <v>-58038.930856563493</v>
      </c>
    </row>
    <row r="17" spans="1:57" x14ac:dyDescent="0.25">
      <c r="A17" s="2">
        <f>'creep_res-40'!A17</f>
        <v>0.1</v>
      </c>
      <c r="B17" s="3">
        <f>'creep_res-40'!O17</f>
        <v>-4.8636480000000004E-4</v>
      </c>
      <c r="C17" s="2">
        <f>IF('Modell einstellen'!$B$2="Ja",creep_res0!O17,creep_res0!C17)</f>
        <v>-5.1476834285714293E-4</v>
      </c>
      <c r="D17" s="2">
        <f>IF('Modell einstellen'!$B$2="Ja",creep_res25!O17,creep_res25!C17)</f>
        <v>-5.3867831428571432E-4</v>
      </c>
      <c r="E17" s="2">
        <f>IF('Modell einstellen'!$B$2="Ja",creep_res50!O17,creep_res50!C17)</f>
        <v>-5.6215660000000006E-4</v>
      </c>
      <c r="F17" s="2">
        <f>IF('Modell einstellen'!$B$2="Ja",creep_res80!O17,creep_res80!C17)</f>
        <v>-5.9431514285714288E-4</v>
      </c>
      <c r="G17" s="2">
        <f>IF('Modell einstellen'!$B$2="Ja",creep_res125!O17,creep_res125!C17)</f>
        <v>-6.9951957142857146E-4</v>
      </c>
      <c r="H17" s="2">
        <f>IF('Modell einstellen'!$B$2="Ja",creep_res160!O17,creep_res160!C17)</f>
        <v>-9.1868368571428581E-4</v>
      </c>
      <c r="M17" s="9">
        <f t="shared" si="27"/>
        <v>-10</v>
      </c>
      <c r="N17" s="2">
        <f t="shared" si="4"/>
        <v>0.1</v>
      </c>
      <c r="O17" s="2">
        <f t="shared" si="5"/>
        <v>20560.698471599917</v>
      </c>
      <c r="P17" s="2">
        <f t="shared" si="6"/>
        <v>19426.214021819076</v>
      </c>
      <c r="Q17" s="2">
        <f t="shared" si="7"/>
        <v>18563.955026219995</v>
      </c>
      <c r="R17" s="2">
        <f t="shared" si="8"/>
        <v>17788.63754334646</v>
      </c>
      <c r="S17" s="2">
        <f t="shared" si="9"/>
        <v>16826.08986189626</v>
      </c>
      <c r="T17" s="2">
        <f t="shared" si="10"/>
        <v>14295.525684260441</v>
      </c>
      <c r="U17" s="2">
        <f t="shared" si="11"/>
        <v>10885.139417954178</v>
      </c>
      <c r="Z17" s="2">
        <v>0.1</v>
      </c>
      <c r="AA17" s="3">
        <f>IF('Modell einstellen'!$B$2="Ja",'creep_res-40'!P17,'creep_res-40'!L17)</f>
        <v>0.43066591167781881</v>
      </c>
      <c r="AB17" s="2">
        <f>IF('Modell einstellen'!$B$2="Ja",creep_res0!P17,creep_res0!L17)</f>
        <v>0.44102553870001548</v>
      </c>
      <c r="AC17" s="2">
        <f>IF('Modell einstellen'!$B$2="Ja",creep_res25!P17,creep_res25!L17)</f>
        <v>0.44975021668113502</v>
      </c>
      <c r="AD17" s="2">
        <f>IF('Modell einstellen'!$B$2="Ja",creep_res50!P17,creep_res50!L17)</f>
        <v>0.4578344539582031</v>
      </c>
      <c r="AE17" s="2">
        <f>IF('Modell einstellen'!$B$2="Ja",creep_res80!P17,creep_res80!L17)</f>
        <v>0.46851266980529332</v>
      </c>
      <c r="AF17" s="2">
        <f>IF('Modell einstellen'!$B$2="Ja",creep_res125!P17,creep_res125!L17)</f>
        <v>0.50310643815336931</v>
      </c>
      <c r="AG17" s="2">
        <f>IF('Modell einstellen'!$B$2="Ja",creep_res160!P17,creep_res160!L17)</f>
        <v>0.56351844280056718</v>
      </c>
      <c r="AL17" s="2">
        <f t="shared" si="12"/>
        <v>0.1</v>
      </c>
      <c r="AM17" s="2">
        <f t="shared" si="13"/>
        <v>7185.7092224582611</v>
      </c>
      <c r="AN17" s="2">
        <f t="shared" si="14"/>
        <v>6740.4128171607354</v>
      </c>
      <c r="AO17" s="2">
        <f t="shared" si="15"/>
        <v>6402.4667189627462</v>
      </c>
      <c r="AP17" s="2">
        <f t="shared" si="16"/>
        <v>6101.0485432855839</v>
      </c>
      <c r="AQ17" s="2">
        <f t="shared" si="17"/>
        <v>5728.9563133722204</v>
      </c>
      <c r="AR17" s="2">
        <f t="shared" si="18"/>
        <v>4755.3271416437765</v>
      </c>
      <c r="AS17" s="2">
        <f t="shared" si="19"/>
        <v>3480.9757019740573</v>
      </c>
      <c r="AX17" s="2">
        <f t="shared" si="28"/>
        <v>0.1</v>
      </c>
      <c r="AY17" s="37">
        <f t="shared" si="20"/>
        <v>49424.217748078452</v>
      </c>
      <c r="AZ17" s="37">
        <f t="shared" si="21"/>
        <v>54900.074805273318</v>
      </c>
      <c r="BA17" s="37">
        <f t="shared" si="22"/>
        <v>61572.255640124116</v>
      </c>
      <c r="BB17" s="37">
        <f t="shared" si="23"/>
        <v>70312.688965351583</v>
      </c>
      <c r="BC17" s="37">
        <f t="shared" si="24"/>
        <v>89062.752954122523</v>
      </c>
      <c r="BD17" s="37">
        <f t="shared" si="25"/>
        <v>-766983.75966674357</v>
      </c>
      <c r="BE17" s="37">
        <f t="shared" si="26"/>
        <v>-28561.624356700439</v>
      </c>
    </row>
    <row r="18" spans="1:57" x14ac:dyDescent="0.25">
      <c r="A18" s="2">
        <f>'creep_res-40'!A18</f>
        <v>1</v>
      </c>
      <c r="B18" s="3">
        <f>'creep_res-40'!O18</f>
        <v>-5.0396368571428577E-4</v>
      </c>
      <c r="C18" s="2">
        <f>IF('Modell einstellen'!$B$2="Ja",creep_res0!O18,creep_res0!C18)</f>
        <v>-5.3461854285714286E-4</v>
      </c>
      <c r="D18" s="2">
        <f>IF('Modell einstellen'!$B$2="Ja",creep_res25!O18,creep_res25!C18)</f>
        <v>-5.6094102857142856E-4</v>
      </c>
      <c r="E18" s="2">
        <f>IF('Modell einstellen'!$B$2="Ja",creep_res50!O18,creep_res50!C18)</f>
        <v>-5.8580511428571436E-4</v>
      </c>
      <c r="F18" s="2">
        <f>IF('Modell einstellen'!$B$2="Ja",creep_res80!O18,creep_res80!C18)</f>
        <v>-6.2743337142857154E-4</v>
      </c>
      <c r="G18" s="2">
        <f>IF('Modell einstellen'!$B$2="Ja",creep_res125!O18,creep_res125!C18)</f>
        <v>-7.739219714285716E-4</v>
      </c>
      <c r="H18" s="2">
        <f>IF('Modell einstellen'!$B$2="Ja",creep_res160!O18,creep_res160!C18)</f>
        <v>-1.1386530000000001E-3</v>
      </c>
      <c r="M18" s="9">
        <f t="shared" si="27"/>
        <v>-10</v>
      </c>
      <c r="N18" s="2">
        <f t="shared" si="4"/>
        <v>1</v>
      </c>
      <c r="O18" s="2">
        <f t="shared" si="5"/>
        <v>19842.6995505175</v>
      </c>
      <c r="P18" s="2">
        <f t="shared" si="6"/>
        <v>18704.925471827737</v>
      </c>
      <c r="Q18" s="2">
        <f t="shared" si="7"/>
        <v>17827.185908414311</v>
      </c>
      <c r="R18" s="2">
        <f t="shared" si="8"/>
        <v>17070.523551494134</v>
      </c>
      <c r="S18" s="2">
        <f t="shared" si="9"/>
        <v>15937.947287106361</v>
      </c>
      <c r="T18" s="2">
        <f t="shared" si="10"/>
        <v>12921.199254158842</v>
      </c>
      <c r="U18" s="2">
        <f t="shared" si="11"/>
        <v>8782.3068134014484</v>
      </c>
      <c r="Z18" s="2">
        <v>1</v>
      </c>
      <c r="AA18" s="3">
        <f>IF('Modell einstellen'!$B$2="Ja",'creep_res-40'!P18,'creep_res-40'!L18)</f>
        <v>0.43872455322602888</v>
      </c>
      <c r="AB18" s="2">
        <f>IF('Modell einstellen'!$B$2="Ja",creep_res0!P18,creep_res0!L18)</f>
        <v>0.4497403355524679</v>
      </c>
      <c r="AC18" s="2">
        <f>IF('Modell einstellen'!$B$2="Ja",creep_res25!P18,creep_res25!L18)</f>
        <v>0.45919081078856472</v>
      </c>
      <c r="AD18" s="2">
        <f>IF('Modell einstellen'!$B$2="Ja",creep_res50!P18,creep_res50!L18)</f>
        <v>0.46739565118170207</v>
      </c>
      <c r="AE18" s="2">
        <f>IF('Modell einstellen'!$B$2="Ja",creep_res80!P18,creep_res80!L18)</f>
        <v>0.48009295739449714</v>
      </c>
      <c r="AF18" s="2">
        <f>IF('Modell einstellen'!$B$2="Ja",creep_res125!P18,creep_res125!L18)</f>
        <v>0.51658862323846666</v>
      </c>
      <c r="AG18" s="2">
        <f>IF('Modell einstellen'!$B$2="Ja",creep_res160!P18,creep_res160!L18)</f>
        <v>0.58135533828128505</v>
      </c>
      <c r="AL18" s="2">
        <f t="shared" si="12"/>
        <v>1</v>
      </c>
      <c r="AM18" s="2">
        <f t="shared" si="13"/>
        <v>6895.934147375373</v>
      </c>
      <c r="AN18" s="2">
        <f t="shared" si="14"/>
        <v>6451.1295620052033</v>
      </c>
      <c r="AO18" s="2">
        <f t="shared" si="15"/>
        <v>6108.5862714487212</v>
      </c>
      <c r="AP18" s="2">
        <f t="shared" si="16"/>
        <v>5816.6056093144152</v>
      </c>
      <c r="AQ18" s="2">
        <f t="shared" si="17"/>
        <v>5384.1034806229181</v>
      </c>
      <c r="AR18" s="2">
        <f t="shared" si="18"/>
        <v>4259.9552232455089</v>
      </c>
      <c r="AS18" s="2">
        <f t="shared" si="19"/>
        <v>2776.8290278599252</v>
      </c>
      <c r="AX18" s="2">
        <f t="shared" si="28"/>
        <v>1</v>
      </c>
      <c r="AY18" s="37">
        <f t="shared" si="20"/>
        <v>53971.317483036772</v>
      </c>
      <c r="AZ18" s="37">
        <f t="shared" si="21"/>
        <v>62027.62419738029</v>
      </c>
      <c r="BA18" s="37">
        <f t="shared" si="22"/>
        <v>72807.073818800985</v>
      </c>
      <c r="BB18" s="37">
        <f t="shared" si="23"/>
        <v>87260.974737997531</v>
      </c>
      <c r="BC18" s="37">
        <f t="shared" si="24"/>
        <v>133436.42250088815</v>
      </c>
      <c r="BD18" s="37">
        <f t="shared" si="25"/>
        <v>-129819.8878875455</v>
      </c>
      <c r="BE18" s="37">
        <f t="shared" si="26"/>
        <v>-17991.662663521711</v>
      </c>
    </row>
    <row r="19" spans="1:57" x14ac:dyDescent="0.25">
      <c r="A19" s="2">
        <f>'creep_res-40'!A19</f>
        <v>10</v>
      </c>
      <c r="B19" s="3">
        <f>'creep_res-40'!O19</f>
        <v>-5.2348714285714289E-4</v>
      </c>
      <c r="C19" s="2">
        <f>IF('Modell einstellen'!$B$2="Ja",creep_res0!O19,creep_res0!C19)</f>
        <v>-5.5646648571428578E-4</v>
      </c>
      <c r="D19" s="2">
        <f>IF('Modell einstellen'!$B$2="Ja",creep_res25!O19,creep_res25!C19)</f>
        <v>-5.8476714285714292E-4</v>
      </c>
      <c r="E19" s="2">
        <f>IF('Modell einstellen'!$B$2="Ja",creep_res50!O19,creep_res50!C19)</f>
        <v>-6.1755054285714294E-4</v>
      </c>
      <c r="F19" s="2">
        <f>IF('Modell einstellen'!$B$2="Ja",creep_res80!O19,creep_res80!C19)</f>
        <v>-6.7927885714285719E-4</v>
      </c>
      <c r="G19" s="2">
        <f>IF('Modell einstellen'!$B$2="Ja",creep_res125!O19,creep_res125!C19)</f>
        <v>-9.1317117142857148E-4</v>
      </c>
      <c r="H19" s="2">
        <f>IF('Modell einstellen'!$B$2="Ja",creep_res160!O19,creep_res160!C19)</f>
        <v>-1.5586144E-3</v>
      </c>
      <c r="M19" s="9">
        <f t="shared" si="27"/>
        <v>-10</v>
      </c>
      <c r="N19" s="2">
        <f t="shared" si="4"/>
        <v>10</v>
      </c>
      <c r="O19" s="2">
        <f t="shared" si="5"/>
        <v>19102.665913475837</v>
      </c>
      <c r="P19" s="2">
        <f t="shared" si="6"/>
        <v>17970.53417720908</v>
      </c>
      <c r="Q19" s="2">
        <f t="shared" si="7"/>
        <v>17100.824015420054</v>
      </c>
      <c r="R19" s="2">
        <f t="shared" si="8"/>
        <v>16193.00657357415</v>
      </c>
      <c r="S19" s="2">
        <f t="shared" si="9"/>
        <v>14721.494559776838</v>
      </c>
      <c r="T19" s="2">
        <f t="shared" si="10"/>
        <v>10950.84942766637</v>
      </c>
      <c r="U19" s="2">
        <f t="shared" si="11"/>
        <v>6415.9550944736557</v>
      </c>
      <c r="Z19" s="2">
        <v>10</v>
      </c>
      <c r="AA19" s="3">
        <f>IF('Modell einstellen'!$B$2="Ja",'creep_res-40'!P19,'creep_res-40'!L19)</f>
        <v>0.44751540902901149</v>
      </c>
      <c r="AB19" s="2">
        <f>IF('Modell einstellen'!$B$2="Ja",creep_res0!P19,creep_res0!L19)</f>
        <v>0.45912084963453315</v>
      </c>
      <c r="AC19" s="2">
        <f>IF('Modell einstellen'!$B$2="Ja",creep_res25!P19,creep_res25!L19)</f>
        <v>0.46867898577455741</v>
      </c>
      <c r="AD19" s="2">
        <f>IF('Modell einstellen'!$B$2="Ja",creep_res50!P19,creep_res50!L19)</f>
        <v>0.47743002550768654</v>
      </c>
      <c r="AE19" s="2">
        <f>IF('Modell einstellen'!$B$2="Ja",creep_res80!P19,creep_res80!L19)</f>
        <v>0.48794927898325791</v>
      </c>
      <c r="AF19" s="2">
        <f>IF('Modell einstellen'!$B$2="Ja",creep_res125!P19,creep_res125!L19)</f>
        <v>0.51720843073983536</v>
      </c>
      <c r="AG19" s="2">
        <f>IF('Modell einstellen'!$B$2="Ja",creep_res160!P19,creep_res160!L19)</f>
        <v>0.58688031772689531</v>
      </c>
      <c r="AL19" s="2">
        <f t="shared" si="12"/>
        <v>10</v>
      </c>
      <c r="AM19" s="2">
        <f t="shared" si="13"/>
        <v>6598.4326641088546</v>
      </c>
      <c r="AN19" s="2">
        <f t="shared" si="14"/>
        <v>6158.0006144488207</v>
      </c>
      <c r="AO19" s="2">
        <f t="shared" si="15"/>
        <v>5821.8385981744532</v>
      </c>
      <c r="AP19" s="2">
        <f t="shared" si="16"/>
        <v>5480.1263998982886</v>
      </c>
      <c r="AQ19" s="2">
        <f t="shared" si="17"/>
        <v>4946.9073871376504</v>
      </c>
      <c r="AR19" s="2">
        <f t="shared" si="18"/>
        <v>3608.881023132205</v>
      </c>
      <c r="AS19" s="2">
        <f t="shared" si="19"/>
        <v>2021.5623770745678</v>
      </c>
      <c r="AX19" s="2">
        <f t="shared" si="28"/>
        <v>10</v>
      </c>
      <c r="AY19" s="37">
        <f t="shared" si="20"/>
        <v>60661.188233434921</v>
      </c>
      <c r="AZ19" s="37">
        <f t="shared" si="21"/>
        <v>73266.909971421119</v>
      </c>
      <c r="BA19" s="37">
        <f t="shared" si="22"/>
        <v>90997.60676294216</v>
      </c>
      <c r="BB19" s="37">
        <f t="shared" si="23"/>
        <v>119576.31719292165</v>
      </c>
      <c r="BC19" s="37">
        <f t="shared" si="24"/>
        <v>203604.61612385727</v>
      </c>
      <c r="BD19" s="37">
        <f t="shared" si="25"/>
        <v>-106060.89531759307</v>
      </c>
      <c r="BE19" s="37">
        <f t="shared" si="26"/>
        <v>-12308.033361944235</v>
      </c>
    </row>
    <row r="20" spans="1:57" x14ac:dyDescent="0.25">
      <c r="A20" s="2">
        <f>'creep_res-40'!A20</f>
        <v>100</v>
      </c>
      <c r="B20" s="3">
        <f>'creep_res-40'!O20</f>
        <v>-5.4381057142857138E-4</v>
      </c>
      <c r="C20" s="2">
        <f>IF('Modell einstellen'!$B$2="Ja",creep_res0!O20,creep_res0!C20)</f>
        <v>-5.8054137142857145E-4</v>
      </c>
      <c r="D20" s="2">
        <f>IF('Modell einstellen'!$B$2="Ja",creep_res25!O20,creep_res25!C20)</f>
        <v>-6.1952425714285723E-4</v>
      </c>
      <c r="E20" s="2">
        <f>IF('Modell einstellen'!$B$2="Ja",creep_res50!O20,creep_res50!C20)</f>
        <v>-6.7451420000000004E-4</v>
      </c>
      <c r="F20" s="2">
        <f>IF('Modell einstellen'!$B$2="Ja",creep_res80!O20,creep_res80!C20)</f>
        <v>-7.7574680000000007E-4</v>
      </c>
      <c r="G20" s="2">
        <f>IF('Modell einstellen'!$B$2="Ja",creep_res125!O20,creep_res125!C20)</f>
        <v>-1.1436928E-3</v>
      </c>
      <c r="H20" s="2">
        <f>IF('Modell einstellen'!$B$2="Ja",creep_res160!O20,creep_res160!C20)</f>
        <v>-2.2155535142857146E-3</v>
      </c>
      <c r="M20" s="9">
        <f t="shared" si="27"/>
        <v>-10</v>
      </c>
      <c r="N20" s="2">
        <f t="shared" si="4"/>
        <v>100</v>
      </c>
      <c r="O20" s="2">
        <f t="shared" si="5"/>
        <v>18388.756168770953</v>
      </c>
      <c r="P20" s="2">
        <f t="shared" si="6"/>
        <v>17225.301231146415</v>
      </c>
      <c r="Q20" s="2">
        <f t="shared" si="7"/>
        <v>16141.418006969308</v>
      </c>
      <c r="R20" s="2">
        <f t="shared" si="8"/>
        <v>14825.484771113788</v>
      </c>
      <c r="S20" s="2">
        <f t="shared" si="9"/>
        <v>12890.804061325163</v>
      </c>
      <c r="T20" s="2">
        <f t="shared" si="10"/>
        <v>8743.6066747993864</v>
      </c>
      <c r="U20" s="2">
        <f t="shared" si="11"/>
        <v>4513.5447803543393</v>
      </c>
      <c r="Z20" s="2">
        <v>100</v>
      </c>
      <c r="AA20" s="3">
        <f>IF('Modell einstellen'!$B$2="Ja",'creep_res-40'!P20,'creep_res-40'!L20)</f>
        <v>0.45653454958317952</v>
      </c>
      <c r="AB20" s="2">
        <f>IF('Modell einstellen'!$B$2="Ja",creep_res0!P20,creep_res0!L20)</f>
        <v>0.46861924150797574</v>
      </c>
      <c r="AC20" s="2">
        <f>IF('Modell einstellen'!$B$2="Ja",creep_res25!P20,creep_res25!L20)</f>
        <v>0.4777292935699185</v>
      </c>
      <c r="AD20" s="2">
        <f>IF('Modell einstellen'!$B$2="Ja",creep_res50!P20,creep_res50!L20)</f>
        <v>0.48214704534230501</v>
      </c>
      <c r="AE20" s="2">
        <f>IF('Modell einstellen'!$B$2="Ja",creep_res80!P20,creep_res80!L20)</f>
        <v>0.48463847077054373</v>
      </c>
      <c r="AF20" s="2">
        <f>IF('Modell einstellen'!$B$2="Ja",creep_res125!P20,creep_res125!L20)</f>
        <v>0.51017575948466487</v>
      </c>
      <c r="AG20" s="2">
        <f>IF('Modell einstellen'!$B$2="Ja",creep_res160!P20,creep_res160!L20)</f>
        <v>0.58367199641939194</v>
      </c>
      <c r="AL20" s="2">
        <f t="shared" si="12"/>
        <v>100</v>
      </c>
      <c r="AM20" s="2">
        <f t="shared" si="13"/>
        <v>6312.5025678358661</v>
      </c>
      <c r="AN20" s="2">
        <f t="shared" si="14"/>
        <v>5864.4544291342345</v>
      </c>
      <c r="AO20" s="2">
        <f t="shared" si="15"/>
        <v>5461.5612200441165</v>
      </c>
      <c r="AP20" s="2">
        <f t="shared" si="16"/>
        <v>5001.3542238279779</v>
      </c>
      <c r="AQ20" s="2">
        <f t="shared" si="17"/>
        <v>4341.3949978794144</v>
      </c>
      <c r="AR20" s="2">
        <f t="shared" si="18"/>
        <v>2894.897040918956</v>
      </c>
      <c r="AS20" s="2">
        <f t="shared" si="19"/>
        <v>1425.0251284859655</v>
      </c>
      <c r="AX20" s="2">
        <f t="shared" si="28"/>
        <v>100</v>
      </c>
      <c r="AY20" s="37">
        <f t="shared" si="20"/>
        <v>70511.007372631066</v>
      </c>
      <c r="AZ20" s="37">
        <f t="shared" si="21"/>
        <v>91485.473152411738</v>
      </c>
      <c r="BA20" s="37">
        <f t="shared" si="22"/>
        <v>120797.08126640866</v>
      </c>
      <c r="BB20" s="37">
        <f t="shared" si="23"/>
        <v>138403.65227466426</v>
      </c>
      <c r="BC20" s="37">
        <f t="shared" si="24"/>
        <v>139860.25163656444</v>
      </c>
      <c r="BD20" s="37">
        <f t="shared" si="25"/>
        <v>-143209.73106030768</v>
      </c>
      <c r="BE20" s="37">
        <f t="shared" si="26"/>
        <v>-8990.5523422893457</v>
      </c>
    </row>
    <row r="21" spans="1:57" x14ac:dyDescent="0.25">
      <c r="A21" s="2">
        <f>'creep_res-40'!A21</f>
        <v>1000</v>
      </c>
      <c r="B21" s="3">
        <f>'creep_res-40'!O21</f>
        <v>-5.6729200000000006E-4</v>
      </c>
      <c r="C21" s="2">
        <f>IF('Modell einstellen'!$B$2="Ja",creep_res0!O21,creep_res0!C21)</f>
        <v>-6.1604911428571438E-4</v>
      </c>
      <c r="D21" s="2">
        <f>IF('Modell einstellen'!$B$2="Ja",creep_res25!O21,creep_res25!C21)</f>
        <v>-6.848605142857143E-4</v>
      </c>
      <c r="E21" s="2">
        <f>IF('Modell einstellen'!$B$2="Ja",creep_res50!O21,creep_res50!C21)</f>
        <v>-7.7386777142857144E-4</v>
      </c>
      <c r="F21" s="2">
        <f>IF('Modell einstellen'!$B$2="Ja",creep_res80!O21,creep_res80!C21)</f>
        <v>-9.1759265714285723E-4</v>
      </c>
      <c r="G21" s="2">
        <f>IF('Modell einstellen'!$B$2="Ja",creep_res125!O21,creep_res125!C21)</f>
        <v>-1.5037889428571431E-3</v>
      </c>
      <c r="H21" s="2">
        <f>IF('Modell einstellen'!$B$2="Ja",creep_res160!O21,creep_res160!C21)</f>
        <v>-3.1730811428571431E-3</v>
      </c>
      <c r="M21" s="9">
        <f t="shared" si="27"/>
        <v>-10</v>
      </c>
      <c r="N21" s="2">
        <f t="shared" si="4"/>
        <v>1000</v>
      </c>
      <c r="O21" s="2">
        <f t="shared" si="5"/>
        <v>17627.606241582816</v>
      </c>
      <c r="P21" s="2">
        <f t="shared" si="6"/>
        <v>16232.472002812019</v>
      </c>
      <c r="Q21" s="2">
        <f t="shared" si="7"/>
        <v>14601.513434351888</v>
      </c>
      <c r="R21" s="2">
        <f t="shared" si="8"/>
        <v>12922.104226591386</v>
      </c>
      <c r="S21" s="2">
        <f t="shared" si="9"/>
        <v>10898.081978050452</v>
      </c>
      <c r="T21" s="2">
        <f t="shared" si="10"/>
        <v>6649.8693500168793</v>
      </c>
      <c r="U21" s="2">
        <f t="shared" si="11"/>
        <v>3151.5109604148611</v>
      </c>
      <c r="Z21" s="2">
        <v>1000</v>
      </c>
      <c r="AA21" s="3">
        <f>IF('Modell einstellen'!$B$2="Ja",'creep_res-40'!P21,'creep_res-40'!L21)</f>
        <v>0.46665345435608369</v>
      </c>
      <c r="AB21" s="2">
        <f>IF('Modell einstellen'!$B$2="Ja",creep_res0!P21,creep_res0!L21)</f>
        <v>0.47644703096260549</v>
      </c>
      <c r="AC21" s="2">
        <f>IF('Modell einstellen'!$B$2="Ja",creep_res25!P21,creep_res25!L21)</f>
        <v>0.47890581932053905</v>
      </c>
      <c r="AD21" s="2">
        <f>IF('Modell einstellen'!$B$2="Ja",creep_res50!P21,creep_res50!L21)</f>
        <v>0.47556880518384614</v>
      </c>
      <c r="AE21" s="2">
        <f>IF('Modell einstellen'!$B$2="Ja",creep_res80!P21,creep_res80!L21)</f>
        <v>0.47443900021245033</v>
      </c>
      <c r="AF21" s="2">
        <f>IF('Modell einstellen'!$B$2="Ja",creep_res125!P21,creep_res125!L21)</f>
        <v>0.50582160912284546</v>
      </c>
      <c r="AG21" s="2">
        <f>IF('Modell einstellen'!$B$2="Ja",creep_res160!P21,creep_res160!L21)</f>
        <v>0.57526012571467267</v>
      </c>
      <c r="AL21" s="2">
        <f t="shared" si="12"/>
        <v>1000</v>
      </c>
      <c r="AM21" s="2">
        <f t="shared" si="13"/>
        <v>6009.4653543505283</v>
      </c>
      <c r="AN21" s="2">
        <f t="shared" si="14"/>
        <v>5497.1399794237341</v>
      </c>
      <c r="AO21" s="2">
        <f t="shared" si="15"/>
        <v>4936.5934069622945</v>
      </c>
      <c r="AP21" s="2">
        <f t="shared" si="16"/>
        <v>4378.6857587374161</v>
      </c>
      <c r="AQ21" s="2">
        <f t="shared" si="17"/>
        <v>3695.6706844027317</v>
      </c>
      <c r="AR21" s="2">
        <f t="shared" si="18"/>
        <v>2208.0535004045023</v>
      </c>
      <c r="AS21" s="2">
        <f t="shared" si="19"/>
        <v>1000.3144588532851</v>
      </c>
      <c r="AX21" s="2">
        <f t="shared" si="28"/>
        <v>1000</v>
      </c>
      <c r="AY21" s="37">
        <f t="shared" si="20"/>
        <v>88103.109838398741</v>
      </c>
      <c r="AZ21" s="37">
        <f t="shared" si="21"/>
        <v>114865.00900049369</v>
      </c>
      <c r="BA21" s="37">
        <f t="shared" si="22"/>
        <v>115367.62718456863</v>
      </c>
      <c r="BB21" s="37">
        <f t="shared" si="23"/>
        <v>88153.03770330624</v>
      </c>
      <c r="BC21" s="37">
        <f t="shared" si="24"/>
        <v>71059.309551203638</v>
      </c>
      <c r="BD21" s="37">
        <f t="shared" si="25"/>
        <v>-190378.90297149163</v>
      </c>
      <c r="BE21" s="37">
        <f t="shared" si="26"/>
        <v>-6979.151599176872</v>
      </c>
    </row>
    <row r="22" spans="1:57" x14ac:dyDescent="0.25">
      <c r="A22" s="2">
        <f>'creep_res-40'!A22</f>
        <v>10000</v>
      </c>
      <c r="B22" s="3">
        <f>'creep_res-40'!O22</f>
        <v>-5.9286342857142857E-4</v>
      </c>
      <c r="C22" s="2">
        <f>IF('Modell einstellen'!$B$2="Ja",creep_res0!O22,creep_res0!C22)</f>
        <v>-6.8582380000000007E-4</v>
      </c>
      <c r="D22" s="2">
        <f>IF('Modell einstellen'!$B$2="Ja",creep_res25!O22,creep_res25!C22)</f>
        <v>-7.9147494285714286E-4</v>
      </c>
      <c r="E22" s="2">
        <f>IF('Modell einstellen'!$B$2="Ja",creep_res50!O22,creep_res50!C22)</f>
        <v>-9.1107685714285716E-4</v>
      </c>
      <c r="F22" s="2">
        <f>IF('Modell einstellen'!$B$2="Ja",creep_res80!O22,creep_res80!C22)</f>
        <v>-1.1109637142857143E-3</v>
      </c>
      <c r="G22" s="2">
        <f>IF('Modell einstellen'!$B$2="Ja",creep_res125!O22,creep_res125!C22)</f>
        <v>-2.0861996285714288E-3</v>
      </c>
      <c r="H22" s="2">
        <f>IF('Modell einstellen'!$B$2="Ja",creep_res160!O22,creep_res160!C22)</f>
        <v>-4.2031974285714289E-3</v>
      </c>
      <c r="M22" s="9">
        <f t="shared" si="27"/>
        <v>-10</v>
      </c>
      <c r="N22" s="2">
        <f t="shared" si="4"/>
        <v>10000</v>
      </c>
      <c r="O22" s="2">
        <f t="shared" si="5"/>
        <v>16867.291045588914</v>
      </c>
      <c r="P22" s="2">
        <f t="shared" si="6"/>
        <v>14581.004625386286</v>
      </c>
      <c r="Q22" s="2">
        <f t="shared" si="7"/>
        <v>12634.638771887119</v>
      </c>
      <c r="R22" s="2">
        <f t="shared" si="8"/>
        <v>10976.02240864735</v>
      </c>
      <c r="S22" s="2">
        <f t="shared" si="9"/>
        <v>9001.1940726879857</v>
      </c>
      <c r="T22" s="2">
        <f t="shared" si="10"/>
        <v>4793.4051291379628</v>
      </c>
      <c r="U22" s="2">
        <f t="shared" si="11"/>
        <v>2379.141158591442</v>
      </c>
      <c r="Z22" s="2">
        <v>10000</v>
      </c>
      <c r="AA22" s="3">
        <f>IF('Modell einstellen'!$B$2="Ja",'creep_res-40'!P22,'creep_res-40'!L22)</f>
        <v>0.47606445136485304</v>
      </c>
      <c r="AB22" s="2">
        <f>IF('Modell einstellen'!$B$2="Ja",creep_res0!P22,creep_res0!L22)</f>
        <v>0.47579580311194469</v>
      </c>
      <c r="AC22" s="2">
        <f>IF('Modell einstellen'!$B$2="Ja",creep_res25!P22,creep_res25!L22)</f>
        <v>0.47018209005299078</v>
      </c>
      <c r="AD22" s="2">
        <f>IF('Modell einstellen'!$B$2="Ja",creep_res50!P22,creep_res50!L22)</f>
        <v>0.46518728700636519</v>
      </c>
      <c r="AE22" s="2">
        <f>IF('Modell einstellen'!$B$2="Ja",creep_res80!P22,creep_res80!L22)</f>
        <v>0.46658682178895905</v>
      </c>
      <c r="AF22" s="2">
        <f>IF('Modell einstellen'!$B$2="Ja",creep_res125!P22,creep_res125!L22)</f>
        <v>0.5066484460663927</v>
      </c>
      <c r="AG22" s="2">
        <f>IF('Modell einstellen'!$B$2="Ja",creep_res160!P22,creep_res160!L22)</f>
        <v>0.55189027863209716</v>
      </c>
      <c r="AL22" s="2">
        <f t="shared" si="12"/>
        <v>10000</v>
      </c>
      <c r="AM22" s="2">
        <f t="shared" si="13"/>
        <v>5713.6024886963633</v>
      </c>
      <c r="AN22" s="2">
        <f t="shared" si="14"/>
        <v>4940.0481403456943</v>
      </c>
      <c r="AO22" s="2">
        <f t="shared" si="15"/>
        <v>4296.9639126238171</v>
      </c>
      <c r="AP22" s="2">
        <f t="shared" si="16"/>
        <v>3745.6038917295314</v>
      </c>
      <c r="AQ22" s="2">
        <f t="shared" si="17"/>
        <v>3068.755950536985</v>
      </c>
      <c r="AR22" s="2">
        <f t="shared" si="18"/>
        <v>1590.7510281023892</v>
      </c>
      <c r="AS22" s="2">
        <f t="shared" si="19"/>
        <v>766.53007991277559</v>
      </c>
      <c r="AX22" s="2">
        <f t="shared" si="28"/>
        <v>10000</v>
      </c>
      <c r="AY22" s="37">
        <f t="shared" si="20"/>
        <v>117449.3727767255</v>
      </c>
      <c r="AZ22" s="37">
        <f t="shared" si="21"/>
        <v>100402.72969204199</v>
      </c>
      <c r="BA22" s="37">
        <f t="shared" si="22"/>
        <v>70621.084186990949</v>
      </c>
      <c r="BB22" s="37">
        <f t="shared" si="23"/>
        <v>52547.96052356992</v>
      </c>
      <c r="BC22" s="37">
        <f t="shared" si="24"/>
        <v>44898.423090412361</v>
      </c>
      <c r="BD22" s="37">
        <f t="shared" si="25"/>
        <v>-120163.5460193773</v>
      </c>
      <c r="BE22" s="37">
        <f t="shared" si="26"/>
        <v>-7641.576358517259</v>
      </c>
    </row>
    <row r="23" spans="1:57" x14ac:dyDescent="0.25">
      <c r="A23" s="2">
        <f>'creep_res-40'!A23</f>
        <v>100000</v>
      </c>
      <c r="B23" s="3">
        <f>'creep_res-40'!O23</f>
        <v>-6.3993217142857149E-4</v>
      </c>
      <c r="C23" s="2">
        <f>IF('Modell einstellen'!$B$2="Ja",creep_res0!O23,creep_res0!C23)</f>
        <v>-7.9257514285714279E-4</v>
      </c>
      <c r="D23" s="2">
        <f>IF('Modell einstellen'!$B$2="Ja",creep_res25!O23,creep_res25!C23)</f>
        <v>-9.3079459999999997E-4</v>
      </c>
      <c r="E23" s="2">
        <f>IF('Modell einstellen'!$B$2="Ja",creep_res50!O23,creep_res50!C23)</f>
        <v>-1.0893183428571428E-3</v>
      </c>
      <c r="F23" s="2">
        <f>IF('Modell einstellen'!$B$2="Ja",creep_res80!O23,creep_res80!C23)</f>
        <v>-1.384965342857143E-3</v>
      </c>
      <c r="G23" s="2">
        <f>IF('Modell einstellen'!$B$2="Ja",creep_res125!O23,creep_res125!C23)</f>
        <v>-2.927647142857143E-3</v>
      </c>
      <c r="H23" s="2">
        <f>IF('Modell einstellen'!$B$2="Ja",creep_res160!O23,creep_res160!C23)</f>
        <v>-5.1432511428571434E-3</v>
      </c>
      <c r="M23" s="9">
        <f t="shared" si="27"/>
        <v>-10</v>
      </c>
      <c r="N23" s="2">
        <f t="shared" si="4"/>
        <v>100000</v>
      </c>
      <c r="O23" s="2">
        <f t="shared" si="5"/>
        <v>15626.656146504096</v>
      </c>
      <c r="P23" s="2">
        <f t="shared" si="6"/>
        <v>12617.100208254253</v>
      </c>
      <c r="Q23" s="2">
        <f t="shared" si="7"/>
        <v>10743.508825685065</v>
      </c>
      <c r="R23" s="2">
        <f t="shared" si="8"/>
        <v>9180.0528886452776</v>
      </c>
      <c r="S23" s="2">
        <f t="shared" si="9"/>
        <v>7220.3972840001124</v>
      </c>
      <c r="T23" s="2">
        <f t="shared" si="10"/>
        <v>3415.7121784289966</v>
      </c>
      <c r="U23" s="2">
        <f t="shared" si="11"/>
        <v>1944.2954898066419</v>
      </c>
      <c r="Z23" s="2">
        <v>100000</v>
      </c>
      <c r="AA23" s="3">
        <f>IF('Modell einstellen'!$B$2="Ja",'creep_res-40'!P23,'creep_res-40'!L23)</f>
        <v>0.48363156881001584</v>
      </c>
      <c r="AB23" s="2">
        <f>IF('Modell einstellen'!$B$2="Ja",creep_res0!P23,creep_res0!L23)</f>
        <v>0.4661428767637355</v>
      </c>
      <c r="AC23" s="2">
        <f>IF('Modell einstellen'!$B$2="Ja",creep_res25!P23,creep_res25!L23)</f>
        <v>0.46006857244030303</v>
      </c>
      <c r="AD23" s="2">
        <f>IF('Modell einstellen'!$B$2="Ja",creep_res50!P23,creep_res50!L23)</f>
        <v>0.45783908584298932</v>
      </c>
      <c r="AE23" s="2">
        <f>IF('Modell einstellen'!$B$2="Ja",creep_res80!P23,creep_res80!L23)</f>
        <v>0.46329825643703054</v>
      </c>
      <c r="AF23" s="2">
        <f>IF('Modell einstellen'!$B$2="Ja",creep_res125!P23,creep_res125!L23)</f>
        <v>0.5055053277790601</v>
      </c>
      <c r="AG23" s="2">
        <f>IF('Modell einstellen'!$B$2="Ja",creep_res160!P23,creep_res160!L23)</f>
        <v>0.52444961577665794</v>
      </c>
      <c r="AL23" s="2">
        <f t="shared" si="12"/>
        <v>100000</v>
      </c>
      <c r="AM23" s="2">
        <f t="shared" si="13"/>
        <v>5266.353343720587</v>
      </c>
      <c r="AN23" s="2">
        <f t="shared" si="14"/>
        <v>4302.8208260658694</v>
      </c>
      <c r="AO23" s="2">
        <f t="shared" si="15"/>
        <v>3679.1110460410682</v>
      </c>
      <c r="AP23" s="2">
        <f t="shared" si="16"/>
        <v>3148.5137755573865</v>
      </c>
      <c r="AQ23" s="2">
        <f t="shared" si="17"/>
        <v>2467.1652727793789</v>
      </c>
      <c r="AR23" s="2">
        <f t="shared" si="18"/>
        <v>1134.4072038150462</v>
      </c>
      <c r="AS23" s="2">
        <f t="shared" si="19"/>
        <v>637.70408339015069</v>
      </c>
      <c r="AX23" s="2">
        <f t="shared" si="28"/>
        <v>100000</v>
      </c>
      <c r="AY23" s="37">
        <f t="shared" si="20"/>
        <v>159113.76361331894</v>
      </c>
      <c r="AZ23" s="37">
        <f t="shared" si="21"/>
        <v>62109.530689738909</v>
      </c>
      <c r="BA23" s="37">
        <f t="shared" si="22"/>
        <v>44841.49237098881</v>
      </c>
      <c r="BB23" s="37">
        <f t="shared" si="23"/>
        <v>36289.744787703974</v>
      </c>
      <c r="BC23" s="37">
        <f t="shared" si="24"/>
        <v>32788.620662358189</v>
      </c>
      <c r="BD23" s="37">
        <f t="shared" si="25"/>
        <v>-103406.26133775656</v>
      </c>
      <c r="BE23" s="37">
        <f t="shared" si="26"/>
        <v>-13253.756265997315</v>
      </c>
    </row>
    <row r="24" spans="1:57" x14ac:dyDescent="0.25">
      <c r="A24" s="2">
        <f>'creep_res-40'!A24</f>
        <v>1000000</v>
      </c>
      <c r="B24" s="3">
        <f>'creep_res-40'!O24</f>
        <v>-7.2384711428571426E-4</v>
      </c>
      <c r="C24" s="2">
        <f>IF('Modell einstellen'!$B$2="Ja",creep_res0!O24,creep_res0!C24)</f>
        <v>-9.293032000000001E-4</v>
      </c>
      <c r="D24" s="2">
        <f>IF('Modell einstellen'!$B$2="Ja",creep_res25!O24,creep_res25!C24)</f>
        <v>-1.1103511428571429E-3</v>
      </c>
      <c r="E24" s="2">
        <f>IF('Modell einstellen'!$B$2="Ja",creep_res50!O24,creep_res50!C24)</f>
        <v>-1.3385251714285716E-3</v>
      </c>
      <c r="F24" s="2">
        <f>IF('Modell einstellen'!$B$2="Ja",creep_res80!O24,creep_res80!C24)</f>
        <v>-1.8246440571428573E-3</v>
      </c>
      <c r="G24" s="2">
        <f>IF('Modell einstellen'!$B$2="Ja",creep_res125!O24,creep_res125!C24)</f>
        <v>-4.0266440000000002E-3</v>
      </c>
      <c r="H24" s="2">
        <f>IF('Modell einstellen'!$B$2="Ja",creep_res160!O24,creep_res160!C24)</f>
        <v>-5.7413314285714289E-3</v>
      </c>
      <c r="M24" s="9">
        <f t="shared" si="27"/>
        <v>-10</v>
      </c>
      <c r="N24" s="2">
        <f t="shared" si="4"/>
        <v>1000000</v>
      </c>
      <c r="O24" s="2">
        <f t="shared" si="5"/>
        <v>13815.071998826588</v>
      </c>
      <c r="P24" s="2">
        <f t="shared" si="6"/>
        <v>10760.750635529932</v>
      </c>
      <c r="Q24" s="2">
        <f t="shared" si="7"/>
        <v>9006.1599560911109</v>
      </c>
      <c r="R24" s="2">
        <f t="shared" si="8"/>
        <v>7470.909186808397</v>
      </c>
      <c r="S24" s="2">
        <f t="shared" si="9"/>
        <v>5480.5209601584602</v>
      </c>
      <c r="T24" s="2">
        <f t="shared" si="10"/>
        <v>2483.4576883379805</v>
      </c>
      <c r="U24" s="2">
        <f t="shared" si="11"/>
        <v>1741.7562675855177</v>
      </c>
      <c r="Z24" s="2">
        <v>1000000</v>
      </c>
      <c r="AA24" s="3">
        <f>IF('Modell einstellen'!$B$2="Ja",'creep_res-40'!P24,'creep_res-40'!L24)</f>
        <v>0.47926095206608155</v>
      </c>
      <c r="AB24" s="2">
        <f>IF('Modell einstellen'!$B$2="Ja",creep_res0!P24,creep_res0!L24)</f>
        <v>0.45641610064093491</v>
      </c>
      <c r="AC24" s="2">
        <f>IF('Modell einstellen'!$B$2="Ja",creep_res25!P24,creep_res25!L24)</f>
        <v>0.45372431732664237</v>
      </c>
      <c r="AD24" s="2">
        <f>IF('Modell einstellen'!$B$2="Ja",creep_res50!P24,creep_res50!L24)</f>
        <v>0.45502383529539681</v>
      </c>
      <c r="AE24" s="2">
        <f>IF('Modell einstellen'!$B$2="Ja",creep_res80!P24,creep_res80!L24)</f>
        <v>0.4651849592833307</v>
      </c>
      <c r="AF24" s="2">
        <f>IF('Modell einstellen'!$B$2="Ja",creep_res125!P24,creep_res125!L24)</f>
        <v>0.49947526667723435</v>
      </c>
      <c r="AG24" s="2">
        <f>IF('Modell einstellen'!$B$2="Ja",creep_res160!P24,creep_res160!L24)</f>
        <v>0.49939446599245768</v>
      </c>
      <c r="AL24" s="2">
        <f t="shared" si="12"/>
        <v>1000000</v>
      </c>
      <c r="AM24" s="2">
        <f t="shared" si="13"/>
        <v>4669.585842690939</v>
      </c>
      <c r="AN24" s="2">
        <f t="shared" si="14"/>
        <v>3694.2569609036786</v>
      </c>
      <c r="AO24" s="2">
        <f t="shared" si="15"/>
        <v>3097.6161878660678</v>
      </c>
      <c r="AP24" s="2">
        <f t="shared" si="16"/>
        <v>2567.2806883234543</v>
      </c>
      <c r="AQ24" s="2">
        <f t="shared" si="17"/>
        <v>1870.2488465480699</v>
      </c>
      <c r="AR24" s="2">
        <f t="shared" si="18"/>
        <v>828.10892034291578</v>
      </c>
      <c r="AS24" s="2">
        <f t="shared" si="19"/>
        <v>580.81989332695025</v>
      </c>
      <c r="AX24" s="2">
        <f t="shared" si="28"/>
        <v>1000000</v>
      </c>
      <c r="AY24" s="37">
        <f t="shared" si="20"/>
        <v>111023.03283839283</v>
      </c>
      <c r="AZ24" s="37">
        <f t="shared" si="21"/>
        <v>41149.563614756378</v>
      </c>
      <c r="BA24" s="37">
        <f t="shared" si="22"/>
        <v>32436.618384296831</v>
      </c>
      <c r="BB24" s="37">
        <f t="shared" si="23"/>
        <v>27684.697868586711</v>
      </c>
      <c r="BC24" s="37">
        <f t="shared" si="24"/>
        <v>26236.366272266579</v>
      </c>
      <c r="BD24" s="37">
        <f t="shared" si="25"/>
        <v>788799.94230489223</v>
      </c>
      <c r="BE24" s="37">
        <f t="shared" si="26"/>
        <v>479399.51786104322</v>
      </c>
    </row>
    <row r="25" spans="1:57" x14ac:dyDescent="0.25">
      <c r="A25" s="2">
        <f>'creep_res-40'!A25</f>
        <v>10000000</v>
      </c>
      <c r="B25" s="3">
        <f>'creep_res-40'!O25</f>
        <v>-8.4787879999999999E-4</v>
      </c>
      <c r="C25" s="2">
        <f>IF('Modell einstellen'!$B$2="Ja",creep_res0!O25,creep_res0!C25)</f>
        <v>-1.1024778857142859E-3</v>
      </c>
      <c r="D25" s="2">
        <f>IF('Modell einstellen'!$B$2="Ja",creep_res25!O25,creep_res25!C25)</f>
        <v>-1.3624052285714286E-3</v>
      </c>
      <c r="E25" s="2">
        <f>IF('Modell einstellen'!$B$2="Ja",creep_res50!O25,creep_res50!C25)</f>
        <v>-1.7284236571428573E-3</v>
      </c>
      <c r="F25" s="2">
        <f>IF('Modell einstellen'!$B$2="Ja",creep_res80!O25,creep_res80!C25)</f>
        <v>-2.5012873714285715E-3</v>
      </c>
      <c r="G25" s="2">
        <f>IF('Modell einstellen'!$B$2="Ja",creep_res125!O25,creep_res125!C25)</f>
        <v>-4.9830545714285718E-3</v>
      </c>
      <c r="H25" s="2">
        <f>IF('Modell einstellen'!$B$2="Ja",creep_res160!O25,creep_res160!C25)</f>
        <v>-6.2392011428571426E-3</v>
      </c>
      <c r="M25" s="9">
        <f t="shared" si="27"/>
        <v>-10</v>
      </c>
      <c r="N25" s="2">
        <f t="shared" si="4"/>
        <v>10000000</v>
      </c>
      <c r="O25" s="2">
        <f t="shared" si="5"/>
        <v>11794.138501870786</v>
      </c>
      <c r="P25" s="2">
        <f t="shared" si="6"/>
        <v>9070.4767230057278</v>
      </c>
      <c r="Q25" s="2">
        <f t="shared" si="7"/>
        <v>7339.9600869747519</v>
      </c>
      <c r="R25" s="2">
        <f t="shared" si="8"/>
        <v>5785.6185656069638</v>
      </c>
      <c r="S25" s="2">
        <f t="shared" si="9"/>
        <v>3997.9412658564916</v>
      </c>
      <c r="T25" s="2">
        <f t="shared" si="10"/>
        <v>2006.8012213506906</v>
      </c>
      <c r="U25" s="2">
        <f t="shared" si="11"/>
        <v>1602.7692922592105</v>
      </c>
      <c r="Z25" s="2">
        <v>10000000</v>
      </c>
      <c r="AA25" s="3">
        <f>IF('Modell einstellen'!$B$2="Ja",'creep_res-40'!P25,'creep_res-40'!L25)</f>
        <v>0.46871648569178925</v>
      </c>
      <c r="AB25" s="2">
        <f>IF('Modell einstellen'!$B$2="Ja",creep_res0!P25,creep_res0!L25)</f>
        <v>0.45037879088264704</v>
      </c>
      <c r="AC25" s="2">
        <f>IF('Modell einstellen'!$B$2="Ja",creep_res25!P25,creep_res25!L25)</f>
        <v>0.45168069672075539</v>
      </c>
      <c r="AD25" s="2">
        <f>IF('Modell einstellen'!$B$2="Ja",creep_res50!P25,creep_res50!L25)</f>
        <v>0.45655111210498855</v>
      </c>
      <c r="AE25" s="2">
        <f>IF('Modell einstellen'!$B$2="Ja",creep_res80!P25,creep_res80!L25)</f>
        <v>0.46805516994460156</v>
      </c>
      <c r="AF25" s="2">
        <f>IF('Modell einstellen'!$B$2="Ja",creep_res125!P25,creep_res125!L25)</f>
        <v>0.48688429833428043</v>
      </c>
      <c r="AG25" s="2">
        <f>IF('Modell einstellen'!$B$2="Ja",creep_res160!P25,creep_res160!L25)</f>
        <v>0.4818723587506899</v>
      </c>
      <c r="AL25" s="2">
        <f t="shared" si="12"/>
        <v>10000000</v>
      </c>
      <c r="AM25" s="2">
        <f t="shared" si="13"/>
        <v>4015.1174909416081</v>
      </c>
      <c r="AN25" s="2">
        <f t="shared" si="14"/>
        <v>3126.9337293210729</v>
      </c>
      <c r="AO25" s="2">
        <f t="shared" si="15"/>
        <v>2528.090407055493</v>
      </c>
      <c r="AP25" s="2">
        <f t="shared" si="16"/>
        <v>1986.0678137294008</v>
      </c>
      <c r="AQ25" s="2">
        <f t="shared" si="17"/>
        <v>1361.6454434772222</v>
      </c>
      <c r="AR25" s="2">
        <f t="shared" si="18"/>
        <v>674.83435785785764</v>
      </c>
      <c r="AS25" s="2">
        <f t="shared" si="19"/>
        <v>540.7919524224219</v>
      </c>
      <c r="AX25" s="2">
        <f t="shared" si="28"/>
        <v>10000000</v>
      </c>
      <c r="AY25" s="37">
        <f t="shared" si="20"/>
        <v>62834.684458576892</v>
      </c>
      <c r="AZ25" s="37">
        <f t="shared" si="21"/>
        <v>30465.72518871339</v>
      </c>
      <c r="BA25" s="37">
        <f t="shared" si="22"/>
        <v>25317.556300277502</v>
      </c>
      <c r="BB25" s="37">
        <f t="shared" si="23"/>
        <v>22193.197746845115</v>
      </c>
      <c r="BC25" s="37">
        <f t="shared" si="24"/>
        <v>20858.572205702232</v>
      </c>
      <c r="BD25" s="37">
        <f t="shared" si="25"/>
        <v>25501.256337608618</v>
      </c>
      <c r="BE25" s="37">
        <f t="shared" si="26"/>
        <v>14735.961049907772</v>
      </c>
    </row>
    <row r="26" spans="1:57" x14ac:dyDescent="0.25">
      <c r="A26" s="2">
        <f>'creep_res-40'!A26</f>
        <v>100000000</v>
      </c>
      <c r="B26" s="3">
        <f>'creep_res-40'!O26</f>
        <v>-1.0044371142857143E-3</v>
      </c>
      <c r="C26" s="2">
        <f>IF('Modell einstellen'!$B$2="Ja",creep_res0!O26,creep_res0!C26)</f>
        <v>-1.3449208571428572E-3</v>
      </c>
      <c r="D26" s="2">
        <f>IF('Modell einstellen'!$B$2="Ja",creep_res25!O26,creep_res25!C26)</f>
        <v>-1.7606820000000002E-3</v>
      </c>
      <c r="E26" s="2">
        <f>IF('Modell einstellen'!$B$2="Ja",creep_res50!O26,creep_res50!C26)</f>
        <v>-2.3549972571428575E-3</v>
      </c>
      <c r="F26" s="2">
        <f>IF('Modell einstellen'!$B$2="Ja",creep_res80!O26,creep_res80!C26)</f>
        <v>-3.4749714285714287E-3</v>
      </c>
      <c r="G26" s="2">
        <f>IF('Modell einstellen'!$B$2="Ja",creep_res125!O26,creep_res125!C26)</f>
        <v>-5.7374362857142867E-3</v>
      </c>
      <c r="H26" s="2">
        <f>IF('Modell einstellen'!$B$2="Ja",creep_res160!O26,creep_res160!C26)</f>
        <v>-6.5440177142857148E-3</v>
      </c>
      <c r="M26" s="9">
        <f t="shared" si="27"/>
        <v>-10</v>
      </c>
      <c r="N26" s="2">
        <f t="shared" si="4"/>
        <v>100000000</v>
      </c>
      <c r="O26" s="2">
        <f t="shared" si="5"/>
        <v>9955.8248672554309</v>
      </c>
      <c r="P26" s="2">
        <f t="shared" si="6"/>
        <v>7435.3817526809325</v>
      </c>
      <c r="Q26" s="2">
        <f t="shared" si="7"/>
        <v>5679.6173301027666</v>
      </c>
      <c r="R26" s="2">
        <f t="shared" si="8"/>
        <v>4246.2894466944108</v>
      </c>
      <c r="S26" s="2">
        <f t="shared" si="9"/>
        <v>2877.7215023350655</v>
      </c>
      <c r="T26" s="2">
        <f t="shared" si="10"/>
        <v>1742.938745114978</v>
      </c>
      <c r="U26" s="2">
        <f t="shared" si="11"/>
        <v>1528.1132228859665</v>
      </c>
      <c r="Z26" s="2">
        <v>100000000</v>
      </c>
      <c r="AA26" s="3">
        <f>IF('Modell einstellen'!$B$2="Ja",'creep_res-40'!P26,'creep_res-40'!L26)</f>
        <v>0.45939424380944682</v>
      </c>
      <c r="AB26" s="2">
        <f>IF('Modell einstellen'!$B$2="Ja",creep_res0!P26,creep_res0!L26)</f>
        <v>0.44857730343346808</v>
      </c>
      <c r="AC26" s="2">
        <f>IF('Modell einstellen'!$B$2="Ja",creep_res25!P26,creep_res25!L26)</f>
        <v>0.45362629773170682</v>
      </c>
      <c r="AD26" s="2">
        <f>IF('Modell einstellen'!$B$2="Ja",creep_res50!P26,creep_res50!L26)</f>
        <v>0.46020525544075847</v>
      </c>
      <c r="AE26" s="2">
        <f>IF('Modell einstellen'!$B$2="Ja",creep_res80!P26,creep_res80!L26)</f>
        <v>0.4701026195487733</v>
      </c>
      <c r="AF26" s="2">
        <f>IF('Modell einstellen'!$B$2="Ja",creep_res125!P26,creep_res125!L26)</f>
        <v>0.47548224500669206</v>
      </c>
      <c r="AG26" s="2">
        <f>IF('Modell einstellen'!$B$2="Ja",creep_res160!P26,creep_res160!L26)</f>
        <v>0.46967385086540542</v>
      </c>
      <c r="AL26" s="2">
        <f t="shared" si="12"/>
        <v>100000000</v>
      </c>
      <c r="AM26" s="2">
        <f t="shared" si="13"/>
        <v>3410.9442700239138</v>
      </c>
      <c r="AN26" s="2">
        <f t="shared" si="14"/>
        <v>2566.4428591616524</v>
      </c>
      <c r="AO26" s="2">
        <f t="shared" si="15"/>
        <v>1953.6029786216222</v>
      </c>
      <c r="AP26" s="2">
        <f t="shared" si="16"/>
        <v>1454.0043020913115</v>
      </c>
      <c r="AQ26" s="2">
        <f t="shared" si="17"/>
        <v>978.74851186182502</v>
      </c>
      <c r="AR26" s="2">
        <f t="shared" si="18"/>
        <v>590.63358810768784</v>
      </c>
      <c r="AS26" s="2">
        <f t="shared" si="19"/>
        <v>519.88174858869183</v>
      </c>
      <c r="AX26" s="2">
        <f t="shared" si="28"/>
        <v>100000000</v>
      </c>
      <c r="AY26" s="37">
        <f t="shared" si="20"/>
        <v>40863.766623526259</v>
      </c>
      <c r="AZ26" s="37">
        <f t="shared" si="21"/>
        <v>24098.897468555402</v>
      </c>
      <c r="BA26" s="37">
        <f t="shared" si="22"/>
        <v>20412.493332404825</v>
      </c>
      <c r="BB26" s="37">
        <f t="shared" si="23"/>
        <v>17784.129930243493</v>
      </c>
      <c r="BC26" s="37">
        <f t="shared" si="24"/>
        <v>16042.21651363769</v>
      </c>
      <c r="BD26" s="37">
        <f t="shared" si="25"/>
        <v>11848.139886045228</v>
      </c>
      <c r="BE26" s="37">
        <f t="shared" si="26"/>
        <v>8398.2155471605311</v>
      </c>
    </row>
    <row r="27" spans="1:57" x14ac:dyDescent="0.25">
      <c r="A27" s="2">
        <f>'creep_res-40'!A27</f>
        <v>1000000000</v>
      </c>
      <c r="B27" s="3">
        <f>'creep_res-40'!O27</f>
        <v>-1.2166804000000001E-3</v>
      </c>
      <c r="C27" s="2">
        <f>IF('Modell einstellen'!$B$2="Ja",creep_res0!O27,creep_res0!C27)</f>
        <v>-1.7242072571428573E-3</v>
      </c>
      <c r="D27" s="2">
        <f>IF('Modell einstellen'!$B$2="Ja",creep_res25!O27,creep_res25!C27)</f>
        <v>-2.3945662571428572E-3</v>
      </c>
      <c r="E27" s="2">
        <f>IF('Modell einstellen'!$B$2="Ja",creep_res50!O27,creep_res50!C27)</f>
        <v>-3.2569482857142855E-3</v>
      </c>
      <c r="F27" s="2">
        <f>IF('Modell einstellen'!$B$2="Ja",creep_res80!O27,creep_res80!C27)</f>
        <v>-4.540344571428572E-3</v>
      </c>
      <c r="G27" s="2">
        <f>IF('Modell einstellen'!$B$2="Ja",creep_res125!O27,creep_res125!C27)</f>
        <v>-6.1724285714285718E-3</v>
      </c>
      <c r="H27" s="2">
        <f>IF('Modell einstellen'!$B$2="Ja",creep_res160!O27,creep_res160!C27)</f>
        <v>-6.6851005714285722E-3</v>
      </c>
      <c r="M27" s="9">
        <f t="shared" si="27"/>
        <v>-10</v>
      </c>
      <c r="N27" s="2">
        <f t="shared" si="4"/>
        <v>1000000000</v>
      </c>
      <c r="O27" s="2">
        <f t="shared" si="5"/>
        <v>8219.0853078589898</v>
      </c>
      <c r="P27" s="2">
        <f t="shared" si="6"/>
        <v>5799.7667963483473</v>
      </c>
      <c r="Q27" s="2">
        <f t="shared" si="7"/>
        <v>4176.1216546715132</v>
      </c>
      <c r="R27" s="2">
        <f t="shared" si="8"/>
        <v>3070.3588521384481</v>
      </c>
      <c r="S27" s="2">
        <f t="shared" si="9"/>
        <v>2202.476010945928</v>
      </c>
      <c r="T27" s="2">
        <f t="shared" si="10"/>
        <v>1620.1078528942069</v>
      </c>
      <c r="U27" s="2">
        <f t="shared" si="11"/>
        <v>1495.8638083530059</v>
      </c>
      <c r="Z27" s="2">
        <v>1000000000</v>
      </c>
      <c r="AA27" s="3">
        <f>IF('Modell einstellen'!$B$2="Ja",'creep_res-40'!P27,'creep_res-40'!L27)</f>
        <v>0.45487917075722717</v>
      </c>
      <c r="AB27" s="2">
        <f>IF('Modell einstellen'!$B$2="Ja",creep_res0!P27,creep_res0!L27)</f>
        <v>0.45039691449755109</v>
      </c>
      <c r="AC27" s="2">
        <f>IF('Modell einstellen'!$B$2="Ja",creep_res25!P27,creep_res25!L27)</f>
        <v>0.4577537507866471</v>
      </c>
      <c r="AD27" s="2">
        <f>IF('Modell einstellen'!$B$2="Ja",creep_res50!P27,creep_res50!L27)</f>
        <v>0.4632180746937602</v>
      </c>
      <c r="AE27" s="2">
        <f>IF('Modell einstellen'!$B$2="Ja",creep_res80!P27,creep_res80!L27)</f>
        <v>0.46821997650776159</v>
      </c>
      <c r="AF27" s="2">
        <f>IF('Modell einstellen'!$B$2="Ja",creep_res125!P27,creep_res125!L27)</f>
        <v>0.46653792209595674</v>
      </c>
      <c r="AG27" s="2">
        <f>IF('Modell einstellen'!$B$2="Ja",creep_res160!P27,creep_res160!L27)</f>
        <v>0.46841492116455813</v>
      </c>
      <c r="AL27" s="2">
        <f t="shared" si="12"/>
        <v>1000000000</v>
      </c>
      <c r="AM27" s="2">
        <f t="shared" si="13"/>
        <v>2824.662512551186</v>
      </c>
      <c r="AN27" s="2">
        <f t="shared" si="14"/>
        <v>1999.3722885012867</v>
      </c>
      <c r="AO27" s="2">
        <f t="shared" si="15"/>
        <v>1432.382407665888</v>
      </c>
      <c r="AP27" s="2">
        <f t="shared" si="16"/>
        <v>1049.180195775346</v>
      </c>
      <c r="AQ27" s="2">
        <f t="shared" si="17"/>
        <v>750.04973579798059</v>
      </c>
      <c r="AR27" s="2">
        <f t="shared" si="18"/>
        <v>552.35798150339338</v>
      </c>
      <c r="AS27" s="2">
        <f t="shared" si="19"/>
        <v>509.34643430573385</v>
      </c>
      <c r="AX27" s="2">
        <f t="shared" si="28"/>
        <v>1000000000</v>
      </c>
      <c r="AY27" s="37">
        <f t="shared" si="20"/>
        <v>30359.538472561322</v>
      </c>
      <c r="AZ27" s="37">
        <f t="shared" si="21"/>
        <v>19487.25144010787</v>
      </c>
      <c r="BA27" s="37">
        <f t="shared" si="22"/>
        <v>16475.315293992826</v>
      </c>
      <c r="BB27" s="37">
        <f t="shared" si="23"/>
        <v>13912.443981544302</v>
      </c>
      <c r="BC27" s="37">
        <f t="shared" si="24"/>
        <v>11550.631334407477</v>
      </c>
      <c r="BD27" s="37">
        <f t="shared" si="25"/>
        <v>8069.3726270280786</v>
      </c>
      <c r="BE27" s="37">
        <f t="shared" si="26"/>
        <v>7893.3041777229164</v>
      </c>
    </row>
    <row r="28" spans="1:57" x14ac:dyDescent="0.25">
      <c r="A28" s="2">
        <f>'creep_res-40'!A28</f>
        <v>10000000000</v>
      </c>
      <c r="B28" s="3">
        <f>'creep_res-40'!O28</f>
        <v>-1.5274286285714288E-3</v>
      </c>
      <c r="C28" s="2">
        <f>IF('Modell einstellen'!$B$2="Ja",creep_res0!O28,creep_res0!C28)</f>
        <v>-2.3387959142857147E-3</v>
      </c>
      <c r="D28" s="2">
        <f>IF('Modell einstellen'!$B$2="Ja",creep_res25!O28,creep_res25!C28)</f>
        <v>-3.312309428571429E-3</v>
      </c>
      <c r="E28" s="2">
        <f>IF('Modell einstellen'!$B$2="Ja",creep_res50!O28,creep_res50!C28)</f>
        <v>-4.3552957142857143E-3</v>
      </c>
      <c r="F28" s="2">
        <f>IF('Modell einstellen'!$B$2="Ja",creep_res80!O28,creep_res80!C28)</f>
        <v>-5.441729714285715E-3</v>
      </c>
      <c r="G28" s="2">
        <f>IF('Modell einstellen'!$B$2="Ja",creep_res125!O28,creep_res125!C28)</f>
        <v>-6.5362099999999998E-3</v>
      </c>
      <c r="H28" s="2">
        <f>IF('Modell einstellen'!$B$2="Ja",creep_res160!O28,creep_res160!C28)</f>
        <v>-7.1206405714285721E-3</v>
      </c>
      <c r="M28" s="9">
        <f t="shared" si="27"/>
        <v>-10</v>
      </c>
      <c r="N28" s="2">
        <f t="shared" si="4"/>
        <v>10000000000</v>
      </c>
      <c r="O28" s="2">
        <f t="shared" si="5"/>
        <v>6546.9507464664885</v>
      </c>
      <c r="P28" s="2">
        <f t="shared" si="6"/>
        <v>4275.7044079470579</v>
      </c>
      <c r="Q28" s="2">
        <f t="shared" si="7"/>
        <v>3019.0416130032017</v>
      </c>
      <c r="R28" s="2">
        <f t="shared" si="8"/>
        <v>2296.0553441180145</v>
      </c>
      <c r="S28" s="2">
        <f t="shared" si="9"/>
        <v>1837.6509905936418</v>
      </c>
      <c r="T28" s="2">
        <f t="shared" si="10"/>
        <v>1529.938603563839</v>
      </c>
      <c r="U28" s="2">
        <f t="shared" si="11"/>
        <v>1404.3680339834593</v>
      </c>
      <c r="Z28" s="2">
        <v>10000000000</v>
      </c>
      <c r="AA28" s="3">
        <f>IF('Modell einstellen'!$B$2="Ja",'creep_res-40'!P28,'creep_res-40'!L28)</f>
        <v>0.45448844165774627</v>
      </c>
      <c r="AB28" s="2">
        <f>IF('Modell einstellen'!$B$2="Ja",creep_res0!P28,creep_res0!L28)</f>
        <v>0.4547391461762797</v>
      </c>
      <c r="AC28" s="2">
        <f>IF('Modell einstellen'!$B$2="Ja",creep_res25!P28,creep_res25!L28)</f>
        <v>0.46080456768919881</v>
      </c>
      <c r="AD28" s="2">
        <f>IF('Modell einstellen'!$B$2="Ja",creep_res50!P28,creep_res50!L28)</f>
        <v>0.46408430852817278</v>
      </c>
      <c r="AE28" s="2">
        <f>IF('Modell einstellen'!$B$2="Ja",creep_res80!P28,creep_res80!L28)</f>
        <v>0.46444649899659002</v>
      </c>
      <c r="AF28" s="2">
        <f>IF('Modell einstellen'!$B$2="Ja",creep_res125!P28,creep_res125!L28)</f>
        <v>0.46126691593009234</v>
      </c>
      <c r="AG28" s="2">
        <f>IF('Modell einstellen'!$B$2="Ja",creep_res160!P28,creep_res160!L28)</f>
        <v>0.46118675839838164</v>
      </c>
      <c r="AL28" s="2">
        <f t="shared" si="12"/>
        <v>10000000000</v>
      </c>
      <c r="AM28" s="2">
        <f t="shared" si="13"/>
        <v>2250.6025345256894</v>
      </c>
      <c r="AN28" s="2">
        <f t="shared" si="14"/>
        <v>1469.5776968625496</v>
      </c>
      <c r="AO28" s="2">
        <f t="shared" si="15"/>
        <v>1033.3489091490621</v>
      </c>
      <c r="AP28" s="2">
        <f t="shared" si="16"/>
        <v>784.12675101552475</v>
      </c>
      <c r="AQ28" s="2">
        <f t="shared" si="17"/>
        <v>627.42168862186645</v>
      </c>
      <c r="AR28" s="2">
        <f t="shared" si="18"/>
        <v>523.49731143746499</v>
      </c>
      <c r="AS28" s="2">
        <f t="shared" si="19"/>
        <v>480.55733666885891</v>
      </c>
      <c r="AX28" s="2">
        <f t="shared" si="28"/>
        <v>10000000000</v>
      </c>
      <c r="AY28" s="37">
        <f t="shared" si="20"/>
        <v>23975.414103352377</v>
      </c>
      <c r="AZ28" s="37">
        <f t="shared" si="21"/>
        <v>15744.674285199657</v>
      </c>
      <c r="BA28" s="37">
        <f t="shared" si="22"/>
        <v>12837.557146385636</v>
      </c>
      <c r="BB28" s="37">
        <f t="shared" si="23"/>
        <v>10654.838456514535</v>
      </c>
      <c r="BC28" s="37">
        <f t="shared" si="24"/>
        <v>8614.4868003172196</v>
      </c>
      <c r="BD28" s="37">
        <f t="shared" si="25"/>
        <v>6583.2549455762382</v>
      </c>
      <c r="BE28" s="37">
        <f t="shared" si="26"/>
        <v>6030.4506745317494</v>
      </c>
    </row>
    <row r="29" spans="1:57" x14ac:dyDescent="0.25">
      <c r="A29" s="2">
        <f>'creep_res-40'!A29</f>
        <v>100000000000</v>
      </c>
      <c r="B29" s="3">
        <f>'creep_res-40'!O29</f>
        <v>-2.0460255714285715E-3</v>
      </c>
      <c r="C29" s="2">
        <f>IF('Modell einstellen'!$B$2="Ja",creep_res0!O29,creep_res0!C29)</f>
        <v>-3.2282211428571431E-3</v>
      </c>
      <c r="D29" s="2">
        <f>IF('Modell einstellen'!$B$2="Ja",creep_res25!O29,creep_res25!C29)</f>
        <v>-4.4061685714285714E-3</v>
      </c>
      <c r="E29" s="2">
        <f>IF('Modell einstellen'!$B$2="Ja",creep_res50!O29,creep_res50!C29)</f>
        <v>-5.2736577142857149E-3</v>
      </c>
      <c r="F29" s="2">
        <f>IF('Modell einstellen'!$B$2="Ja",creep_res80!O29,creep_res80!C29)</f>
        <v>-6.005448E-3</v>
      </c>
      <c r="G29" s="2">
        <f>IF('Modell einstellen'!$B$2="Ja",creep_res125!O29,creep_res125!C29)</f>
        <v>-6.6916345714285721E-3</v>
      </c>
      <c r="H29" s="2">
        <f>IF('Modell einstellen'!$B$2="Ja",creep_res160!O29,creep_res160!C29)</f>
        <v>-7.2605777142857146E-3</v>
      </c>
      <c r="M29" s="9">
        <f t="shared" si="27"/>
        <v>-10</v>
      </c>
      <c r="N29" s="2">
        <f t="shared" si="4"/>
        <v>100000000000</v>
      </c>
      <c r="O29" s="2">
        <f t="shared" si="5"/>
        <v>4887.5244472227305</v>
      </c>
      <c r="P29" s="2">
        <f t="shared" si="6"/>
        <v>3097.6812174489019</v>
      </c>
      <c r="Q29" s="2">
        <f t="shared" si="7"/>
        <v>2269.5454878517717</v>
      </c>
      <c r="R29" s="2">
        <f t="shared" si="8"/>
        <v>1896.2171118749673</v>
      </c>
      <c r="S29" s="2">
        <f t="shared" si="9"/>
        <v>1665.154706193443</v>
      </c>
      <c r="T29" s="2">
        <f t="shared" si="10"/>
        <v>1494.403182549333</v>
      </c>
      <c r="U29" s="2">
        <f t="shared" si="11"/>
        <v>1377.3008696435097</v>
      </c>
      <c r="Z29" s="2">
        <v>100000000000</v>
      </c>
      <c r="AA29" s="3">
        <f>IF('Modell einstellen'!$B$2="Ja",'creep_res-40'!P29,'creep_res-40'!L29)</f>
        <v>0.45806405575576176</v>
      </c>
      <c r="AB29" s="2">
        <f>IF('Modell einstellen'!$B$2="Ja",creep_res0!P29,creep_res0!L29)</f>
        <v>0.45813700672303026</v>
      </c>
      <c r="AC29" s="2">
        <f>IF('Modell einstellen'!$B$2="Ja",creep_res25!P29,creep_res25!L29)</f>
        <v>0.46201535639321245</v>
      </c>
      <c r="AD29" s="2">
        <f>IF('Modell einstellen'!$B$2="Ja",creep_res50!P29,creep_res50!L29)</f>
        <v>0.4617277127579979</v>
      </c>
      <c r="AE29" s="2">
        <f>IF('Modell einstellen'!$B$2="Ja",creep_res80!P29,creep_res80!L29)</f>
        <v>0.45992204792334274</v>
      </c>
      <c r="AF29" s="2">
        <f>IF('Modell einstellen'!$B$2="Ja",creep_res125!P29,creep_res125!L29)</f>
        <v>0.46028335336047083</v>
      </c>
      <c r="AG29" s="2">
        <f>IF('Modell einstellen'!$B$2="Ja",creep_res160!P29,creep_res160!L29)</f>
        <v>0.46042459746021003</v>
      </c>
      <c r="AL29" s="2">
        <f t="shared" si="12"/>
        <v>100000000000</v>
      </c>
      <c r="AM29" s="2">
        <f t="shared" si="13"/>
        <v>1676.0321427337321</v>
      </c>
      <c r="AN29" s="2">
        <f t="shared" si="14"/>
        <v>1062.2051299591283</v>
      </c>
      <c r="AO29" s="2">
        <f t="shared" si="15"/>
        <v>776.17019476824578</v>
      </c>
      <c r="AP29" s="2">
        <f t="shared" si="16"/>
        <v>648.62186552417882</v>
      </c>
      <c r="AQ29" s="2">
        <f t="shared" si="17"/>
        <v>570.28890979557161</v>
      </c>
      <c r="AR29" s="2">
        <f t="shared" si="18"/>
        <v>511.68260567729681</v>
      </c>
      <c r="AS29" s="2">
        <f t="shared" si="19"/>
        <v>471.54124630560909</v>
      </c>
      <c r="AX29" s="2">
        <f t="shared" si="28"/>
        <v>100000000000</v>
      </c>
      <c r="AY29" s="37">
        <f t="shared" si="20"/>
        <v>19424.563403800661</v>
      </c>
      <c r="AZ29" s="37">
        <f t="shared" si="21"/>
        <v>12332.615575106849</v>
      </c>
      <c r="BA29" s="37">
        <f t="shared" si="22"/>
        <v>9958.1711289516224</v>
      </c>
      <c r="BB29" s="37">
        <f t="shared" si="23"/>
        <v>8257.5724652708795</v>
      </c>
      <c r="BC29" s="37">
        <f t="shared" si="24"/>
        <v>6924.6498382639193</v>
      </c>
      <c r="BD29" s="37">
        <f t="shared" si="25"/>
        <v>6271.1033827227493</v>
      </c>
      <c r="BE29" s="37">
        <f t="shared" si="26"/>
        <v>5800.3236912066841</v>
      </c>
    </row>
    <row r="30" spans="1:57" x14ac:dyDescent="0.25">
      <c r="A30" s="2">
        <f>'creep_res-40'!A30</f>
        <v>1000000000000</v>
      </c>
      <c r="B30" s="3">
        <f>'creep_res-40'!O30</f>
        <v>-2.8050813428571434E-3</v>
      </c>
      <c r="C30" s="2">
        <f>IF('Modell einstellen'!$B$2="Ja",creep_res0!O30,creep_res0!C30)</f>
        <v>-4.3318382857142866E-3</v>
      </c>
      <c r="D30" s="2">
        <f>IF('Modell einstellen'!$B$2="Ja",creep_res25!O30,creep_res25!C30)</f>
        <v>-5.319179714285715E-3</v>
      </c>
      <c r="E30" s="2">
        <f>IF('Modell einstellen'!$B$2="Ja",creep_res50!O30,creep_res50!C30)</f>
        <v>-5.9309482857142866E-3</v>
      </c>
      <c r="F30" s="2">
        <f>IF('Modell einstellen'!$B$2="Ja",creep_res80!O30,creep_res80!C30)</f>
        <v>-6.4124148571428575E-3</v>
      </c>
      <c r="G30" s="2">
        <f>IF('Modell einstellen'!$B$2="Ja",creep_res125!O30,creep_res125!C30)</f>
        <v>-6.9259671428571435E-3</v>
      </c>
      <c r="H30" s="2">
        <f>IF('Modell einstellen'!$B$2="Ja",creep_res160!O30,creep_res160!C30)</f>
        <v>-7.3119360000000007E-3</v>
      </c>
      <c r="M30" s="9">
        <f t="shared" si="27"/>
        <v>-10</v>
      </c>
      <c r="N30" s="2">
        <f t="shared" si="4"/>
        <v>1000000000000</v>
      </c>
      <c r="O30" s="2">
        <f t="shared" si="5"/>
        <v>3564.9590075040037</v>
      </c>
      <c r="P30" s="2">
        <f t="shared" si="6"/>
        <v>2308.4887616830961</v>
      </c>
      <c r="Q30" s="2">
        <f t="shared" si="7"/>
        <v>1879.989121845801</v>
      </c>
      <c r="R30" s="2">
        <f t="shared" si="8"/>
        <v>1686.0710156732823</v>
      </c>
      <c r="S30" s="2">
        <f t="shared" si="9"/>
        <v>1559.4748971771364</v>
      </c>
      <c r="T30" s="2">
        <f t="shared" si="10"/>
        <v>1443.841674922347</v>
      </c>
      <c r="U30" s="2">
        <f t="shared" si="11"/>
        <v>1367.6268501256027</v>
      </c>
      <c r="Z30" s="2">
        <v>1000000000000</v>
      </c>
      <c r="AA30" s="3">
        <f>IF('Modell einstellen'!$B$2="Ja",'creep_res-40'!P30,'creep_res-40'!L30)</f>
        <v>0.46176743924726721</v>
      </c>
      <c r="AB30" s="2">
        <f>IF('Modell einstellen'!$B$2="Ja",creep_res0!P30,creep_res0!L30)</f>
        <v>0.46034755023832175</v>
      </c>
      <c r="AC30" s="2">
        <f>IF('Modell einstellen'!$B$2="Ja",creep_res25!P30,creep_res25!L30)</f>
        <v>0.46033481854264419</v>
      </c>
      <c r="AD30" s="2">
        <f>IF('Modell einstellen'!$B$2="Ja",creep_res50!P30,creep_res50!L30)</f>
        <v>0.45887854888442553</v>
      </c>
      <c r="AE30" s="2">
        <f>IF('Modell einstellen'!$B$2="Ja",creep_res80!P30,creep_res80!L30)</f>
        <v>0.45747793164794792</v>
      </c>
      <c r="AF30" s="2">
        <f>IF('Modell einstellen'!$B$2="Ja",creep_res125!P30,creep_res125!L30)</f>
        <v>0.45995082275255211</v>
      </c>
      <c r="AG30" s="2">
        <f>IF('Modell einstellen'!$B$2="Ja",creep_res160!P30,creep_res160!L30)</f>
        <v>0.45677095641974985</v>
      </c>
      <c r="AL30" s="2">
        <f t="shared" si="12"/>
        <v>1000000000000</v>
      </c>
      <c r="AM30" s="2">
        <f t="shared" si="13"/>
        <v>1219.4001972501756</v>
      </c>
      <c r="AN30" s="2">
        <f t="shared" si="14"/>
        <v>790.39019215198527</v>
      </c>
      <c r="AO30" s="2">
        <f t="shared" si="15"/>
        <v>643.6842763640858</v>
      </c>
      <c r="AP30" s="2">
        <f t="shared" si="16"/>
        <v>577.86544910218402</v>
      </c>
      <c r="AQ30" s="2">
        <f t="shared" si="17"/>
        <v>534.99091249150581</v>
      </c>
      <c r="AR30" s="2">
        <f t="shared" si="18"/>
        <v>494.48298272135173</v>
      </c>
      <c r="AS30" s="2">
        <f t="shared" si="19"/>
        <v>469.40352706055</v>
      </c>
      <c r="AX30" s="2">
        <f t="shared" si="28"/>
        <v>1000000000000</v>
      </c>
      <c r="AY30" s="37">
        <f t="shared" si="20"/>
        <v>15540.675876426383</v>
      </c>
      <c r="AZ30" s="37">
        <f t="shared" si="21"/>
        <v>9703.0102619036406</v>
      </c>
      <c r="BA30" s="37">
        <f t="shared" si="22"/>
        <v>7899.4097290213431</v>
      </c>
      <c r="BB30" s="37">
        <f t="shared" si="23"/>
        <v>6833.7042668009281</v>
      </c>
      <c r="BC30" s="37">
        <f t="shared" si="24"/>
        <v>6112.4139284798675</v>
      </c>
      <c r="BD30" s="37">
        <f t="shared" si="25"/>
        <v>6008.6197942820208</v>
      </c>
      <c r="BE30" s="37">
        <f t="shared" si="26"/>
        <v>5272.7932305771392</v>
      </c>
    </row>
    <row r="31" spans="1:57" x14ac:dyDescent="0.25">
      <c r="A31" s="2">
        <f>'creep_res-40'!A31</f>
        <v>10000000000000</v>
      </c>
      <c r="B31" s="3">
        <f>'creep_res-40'!O31</f>
        <v>-3.8796105714285715E-3</v>
      </c>
      <c r="C31" s="2">
        <f>IF('Modell einstellen'!$B$2="Ja",creep_res0!O31,creep_res0!C31)</f>
        <v>-5.2510288571428572E-3</v>
      </c>
      <c r="D31" s="2">
        <f>IF('Modell einstellen'!$B$2="Ja",creep_res25!O31,creep_res25!C31)</f>
        <v>-5.9556611428571438E-3</v>
      </c>
      <c r="E31" s="2">
        <f>IF('Modell einstellen'!$B$2="Ja",creep_res50!O31,creep_res50!C31)</f>
        <v>-6.3319302857142868E-3</v>
      </c>
      <c r="F31" s="2">
        <f>IF('Modell einstellen'!$B$2="Ja",creep_res80!O31,creep_res80!C31)</f>
        <v>-6.6409679999999997E-3</v>
      </c>
      <c r="G31" s="2">
        <f>IF('Modell einstellen'!$B$2="Ja",creep_res125!O31,creep_res125!C31)</f>
        <v>-7.2774937142857151E-3</v>
      </c>
      <c r="H31" s="2">
        <f>IF('Modell einstellen'!$B$2="Ja",creep_res160!O31,creep_res160!C31)</f>
        <v>-7.3189177142857151E-3</v>
      </c>
      <c r="M31" s="9">
        <f t="shared" si="27"/>
        <v>-10</v>
      </c>
      <c r="N31" s="2">
        <f t="shared" si="4"/>
        <v>10000000000000</v>
      </c>
      <c r="O31" s="2">
        <f t="shared" si="5"/>
        <v>2577.5782944930334</v>
      </c>
      <c r="P31" s="2">
        <f t="shared" si="6"/>
        <v>1904.3886963975115</v>
      </c>
      <c r="Q31" s="2">
        <f t="shared" si="7"/>
        <v>1679.0747089419935</v>
      </c>
      <c r="R31" s="2">
        <f t="shared" si="8"/>
        <v>1579.2972361937382</v>
      </c>
      <c r="S31" s="2">
        <f t="shared" si="9"/>
        <v>1505.804575477551</v>
      </c>
      <c r="T31" s="2">
        <f t="shared" si="10"/>
        <v>1374.0994348603842</v>
      </c>
      <c r="U31" s="2">
        <f t="shared" si="11"/>
        <v>1366.3222337479092</v>
      </c>
      <c r="Z31" s="2">
        <v>10000000000000</v>
      </c>
      <c r="AA31" s="3">
        <f>IF('Modell einstellen'!$B$2="Ja",'creep_res-40'!P31,'creep_res-40'!L31)</f>
        <v>0.46407626185161299</v>
      </c>
      <c r="AB31" s="2">
        <f>IF('Modell einstellen'!$B$2="Ja",creep_res0!P31,creep_res0!L31)</f>
        <v>0.45923343675614919</v>
      </c>
      <c r="AC31" s="2">
        <f>IF('Modell einstellen'!$B$2="Ja",creep_res25!P31,creep_res25!L31)</f>
        <v>0.45793672709192801</v>
      </c>
      <c r="AD31" s="2">
        <f>IF('Modell einstellen'!$B$2="Ja",creep_res50!P31,creep_res50!L31)</f>
        <v>0.45656652839242512</v>
      </c>
      <c r="AE31" s="2">
        <f>IF('Modell einstellen'!$B$2="Ja",creep_res80!P31,creep_res80!L31)</f>
        <v>0.45892018839938492</v>
      </c>
      <c r="AF31" s="2">
        <f>IF('Modell einstellen'!$B$2="Ja",creep_res125!P31,creep_res125!L31)</f>
        <v>0.45657920379810507</v>
      </c>
      <c r="AG31" s="2">
        <f>IF('Modell einstellen'!$B$2="Ja",creep_res160!P31,creep_res160!L31)</f>
        <v>0.4564396952992113</v>
      </c>
      <c r="AL31" s="2">
        <f t="shared" si="12"/>
        <v>10000000000000</v>
      </c>
      <c r="AM31" s="2">
        <f t="shared" si="13"/>
        <v>880.27460100786607</v>
      </c>
      <c r="AN31" s="2">
        <f t="shared" si="14"/>
        <v>652.53051651246926</v>
      </c>
      <c r="AO31" s="2">
        <f t="shared" si="15"/>
        <v>575.83936179835393</v>
      </c>
      <c r="AP31" s="2">
        <f t="shared" si="16"/>
        <v>542.13014146932505</v>
      </c>
      <c r="AQ31" s="2">
        <f t="shared" si="17"/>
        <v>516.06818092277001</v>
      </c>
      <c r="AR31" s="2">
        <f t="shared" si="18"/>
        <v>471.68716650538101</v>
      </c>
      <c r="AS31" s="2">
        <f t="shared" si="19"/>
        <v>469.06241231883331</v>
      </c>
      <c r="AX31" s="2">
        <f t="shared" si="28"/>
        <v>10000000000000</v>
      </c>
      <c r="AY31" s="37">
        <f t="shared" si="20"/>
        <v>11958.565688264673</v>
      </c>
      <c r="AZ31" s="37">
        <f t="shared" si="21"/>
        <v>7785.7462295188197</v>
      </c>
      <c r="BA31" s="37">
        <f t="shared" si="22"/>
        <v>6652.9721887134192</v>
      </c>
      <c r="BB31" s="37">
        <f t="shared" si="23"/>
        <v>6060.2156882708014</v>
      </c>
      <c r="BC31" s="37">
        <f t="shared" si="24"/>
        <v>6109.264367767958</v>
      </c>
      <c r="BD31" s="37">
        <f t="shared" si="25"/>
        <v>5274.3522115961614</v>
      </c>
      <c r="BE31" s="37">
        <f t="shared" si="26"/>
        <v>5227.7038431091396</v>
      </c>
    </row>
    <row r="32" spans="1:57" x14ac:dyDescent="0.25">
      <c r="A32" s="2">
        <f>'creep_res-40'!A32</f>
        <v>100000000000000</v>
      </c>
      <c r="B32" s="3">
        <f>'creep_res-40'!O32</f>
        <v>-4.8738751428571434E-3</v>
      </c>
      <c r="C32" s="2">
        <f>IF('Modell einstellen'!$B$2="Ja",creep_res0!O32,creep_res0!C32)</f>
        <v>-5.9256691428571434E-3</v>
      </c>
      <c r="D32" s="2">
        <f>IF('Modell einstellen'!$B$2="Ja",creep_res25!O32,creep_res25!C32)</f>
        <v>-6.3544920000000006E-3</v>
      </c>
      <c r="E32" s="2">
        <f>IF('Modell einstellen'!$B$2="Ja",creep_res50!O32,creep_res50!C32)</f>
        <v>-6.602536E-3</v>
      </c>
      <c r="F32" s="2">
        <f>IF('Modell einstellen'!$B$2="Ja",creep_res80!O32,creep_res80!C32)</f>
        <v>-6.818763142857143E-3</v>
      </c>
      <c r="G32" s="2">
        <f>IF('Modell einstellen'!$B$2="Ja",creep_res125!O32,creep_res125!C32)</f>
        <v>-7.315386000000001E-3</v>
      </c>
      <c r="H32" s="2">
        <f>IF('Modell einstellen'!$B$2="Ja",creep_res160!O32,creep_res160!C32)</f>
        <v>-7.3578197142857155E-3</v>
      </c>
      <c r="M32" s="9">
        <v>-1</v>
      </c>
      <c r="N32" s="2">
        <f t="shared" si="4"/>
        <v>100000000000000</v>
      </c>
      <c r="O32" s="2">
        <f t="shared" si="5"/>
        <v>2051.755473189623</v>
      </c>
      <c r="P32" s="2">
        <f t="shared" si="6"/>
        <v>1687.5731261597846</v>
      </c>
      <c r="Q32" s="2">
        <f t="shared" si="7"/>
        <v>1573.6899188794318</v>
      </c>
      <c r="R32" s="2">
        <f t="shared" si="8"/>
        <v>1514.5695532746811</v>
      </c>
      <c r="S32" s="2">
        <f t="shared" si="9"/>
        <v>1466.5416279307628</v>
      </c>
      <c r="T32" s="2">
        <f t="shared" si="10"/>
        <v>1366.9818653451778</v>
      </c>
      <c r="U32" s="2">
        <f t="shared" si="11"/>
        <v>1359.0982639305919</v>
      </c>
      <c r="Z32" s="2">
        <v>100000000000000</v>
      </c>
      <c r="AA32" s="3">
        <f>IF('Modell einstellen'!$B$2="Ja",'creep_res-40'!P32,'creep_res-40'!L32)</f>
        <v>0.46242138332519567</v>
      </c>
      <c r="AB32" s="2">
        <f>IF('Modell einstellen'!$B$2="Ja",creep_res0!P32,creep_res0!L32)</f>
        <v>0.4574956935544639</v>
      </c>
      <c r="AC32" s="2">
        <f>IF('Modell einstellen'!$B$2="Ja",creep_res25!P32,creep_res25!L32)</f>
        <v>0.45609373652528001</v>
      </c>
      <c r="AD32" s="2">
        <f>IF('Modell einstellen'!$B$2="Ja",creep_res50!P32,creep_res50!L32)</f>
        <v>0.45894196671443471</v>
      </c>
      <c r="AE32" s="2">
        <f>IF('Modell einstellen'!$B$2="Ja",creep_res80!P32,creep_res80!L32)</f>
        <v>0.45440159633475208</v>
      </c>
      <c r="AF32" s="2">
        <f>IF('Modell einstellen'!$B$2="Ja",creep_res125!P32,creep_res125!L32)</f>
        <v>0.45822642070522906</v>
      </c>
      <c r="AG32" s="2">
        <f>IF('Modell einstellen'!$B$2="Ja",creep_res160!P32,creep_res160!L32)</f>
        <v>0.45478895553259585</v>
      </c>
      <c r="AL32" s="2">
        <f t="shared" si="12"/>
        <v>100000000000000</v>
      </c>
      <c r="AM32" s="2">
        <f t="shared" si="13"/>
        <v>701.49257135601476</v>
      </c>
      <c r="AN32" s="2">
        <f t="shared" si="14"/>
        <v>578.9290265565794</v>
      </c>
      <c r="AO32" s="2">
        <f t="shared" si="15"/>
        <v>540.3807046910232</v>
      </c>
      <c r="AP32" s="2">
        <f t="shared" si="16"/>
        <v>519.06435890850435</v>
      </c>
      <c r="AQ32" s="2">
        <f t="shared" si="17"/>
        <v>504.17354863560553</v>
      </c>
      <c r="AR32" s="2">
        <f t="shared" si="18"/>
        <v>468.71385881352927</v>
      </c>
      <c r="AS32" s="2">
        <f t="shared" si="19"/>
        <v>467.11183046926152</v>
      </c>
      <c r="AX32" s="2">
        <f t="shared" si="28"/>
        <v>100000000000000</v>
      </c>
      <c r="AY32" s="37">
        <f t="shared" si="20"/>
        <v>9099.8359117588352</v>
      </c>
      <c r="AZ32" s="37">
        <f t="shared" si="21"/>
        <v>6617.2633131586181</v>
      </c>
      <c r="BA32" s="37">
        <f t="shared" si="22"/>
        <v>5973.6728291075488</v>
      </c>
      <c r="BB32" s="37">
        <f t="shared" si="23"/>
        <v>6148.0845203527888</v>
      </c>
      <c r="BC32" s="37">
        <f t="shared" si="24"/>
        <v>5360.3544205081589</v>
      </c>
      <c r="BD32" s="37">
        <f t="shared" si="25"/>
        <v>5453.9331974213164</v>
      </c>
      <c r="BE32" s="37">
        <f t="shared" si="26"/>
        <v>5010.2000515621148</v>
      </c>
    </row>
    <row r="33" spans="1:60" x14ac:dyDescent="0.25">
      <c r="A33" s="2">
        <f>'creep_res-40'!A33</f>
        <v>1000000000000000</v>
      </c>
      <c r="B33" s="3">
        <f>'creep_res-40'!O33</f>
        <v>-5.7076408571428584E-3</v>
      </c>
      <c r="C33" s="2">
        <f>IF('Modell einstellen'!$B$2="Ja",creep_res0!O33,creep_res0!C33)</f>
        <v>-6.321428285714286E-3</v>
      </c>
      <c r="D33" s="2">
        <f>IF('Modell einstellen'!$B$2="Ja",creep_res25!O33,creep_res25!C33)</f>
        <v>-6.6169728571428572E-3</v>
      </c>
      <c r="E33" s="2">
        <f>IF('Modell einstellen'!$B$2="Ja",creep_res50!O33,creep_res50!C33)</f>
        <v>-6.7862760000000008E-3</v>
      </c>
      <c r="F33" s="2">
        <f>IF('Modell einstellen'!$B$2="Ja",creep_res80!O33,creep_res80!C33)</f>
        <v>-7.1517714285714296E-3</v>
      </c>
      <c r="G33" s="2">
        <f>IF('Modell einstellen'!$B$2="Ja",creep_res125!O33,creep_res125!C33)</f>
        <v>-7.3200740000000011E-3</v>
      </c>
      <c r="H33" s="2">
        <f>IF('Modell einstellen'!$B$2="Ja",creep_res160!O33,creep_res160!C33)</f>
        <v>-7.3748585714285718E-3</v>
      </c>
      <c r="M33" s="9">
        <f>M31</f>
        <v>-10</v>
      </c>
      <c r="N33" s="2">
        <f t="shared" si="4"/>
        <v>1000000000000000</v>
      </c>
      <c r="O33" s="2">
        <f t="shared" si="5"/>
        <v>1752.0373566401686</v>
      </c>
      <c r="P33" s="2">
        <f t="shared" si="6"/>
        <v>1581.9209754540552</v>
      </c>
      <c r="Q33" s="2">
        <f t="shared" si="7"/>
        <v>1511.2650778377078</v>
      </c>
      <c r="R33" s="2">
        <f t="shared" si="8"/>
        <v>1473.5622305959851</v>
      </c>
      <c r="S33" s="2">
        <f t="shared" si="9"/>
        <v>1398.2549777877207</v>
      </c>
      <c r="T33" s="2">
        <f t="shared" si="10"/>
        <v>1366.1064082139058</v>
      </c>
      <c r="U33" s="2">
        <f t="shared" si="11"/>
        <v>1355.9582062687498</v>
      </c>
      <c r="Z33" s="2">
        <v>1000000000000000</v>
      </c>
      <c r="AA33" s="3">
        <f>IF('Modell einstellen'!$B$2="Ja",'creep_res-40'!P33,'creep_res-40'!L33)</f>
        <v>0.46034411615547138</v>
      </c>
      <c r="AB33" s="2">
        <f>IF('Modell einstellen'!$B$2="Ja",creep_res0!P33,creep_res0!L33)</f>
        <v>0.4557226420665601</v>
      </c>
      <c r="AC33" s="2">
        <f>IF('Modell einstellen'!$B$2="Ja",creep_res25!P33,creep_res25!L33)</f>
        <v>0.45838211301197068</v>
      </c>
      <c r="AD33" s="2">
        <f>IF('Modell einstellen'!$B$2="Ja",creep_res50!P33,creep_res50!L33)</f>
        <v>0.45446027499365732</v>
      </c>
      <c r="AE33" s="2">
        <f>IF('Modell einstellen'!$B$2="Ja",creep_res80!P33,creep_res80!L33)</f>
        <v>0.45554987375755057</v>
      </c>
      <c r="AF33" s="2">
        <f>IF('Modell einstellen'!$B$2="Ja",creep_res125!P33,creep_res125!L33)</f>
        <v>0.45803065456910486</v>
      </c>
      <c r="AG33" s="2">
        <f>IF('Modell einstellen'!$B$2="Ja",creep_res160!P33,creep_res160!L33)</f>
        <v>0.4543913965614062</v>
      </c>
      <c r="AL33" s="2">
        <f t="shared" si="12"/>
        <v>1000000000000000</v>
      </c>
      <c r="AM33" s="2">
        <f t="shared" si="13"/>
        <v>599.87140608085383</v>
      </c>
      <c r="AN33" s="2">
        <f t="shared" si="14"/>
        <v>543.3455967986946</v>
      </c>
      <c r="AO33" s="2">
        <f t="shared" si="15"/>
        <v>518.13069577372926</v>
      </c>
      <c r="AP33" s="2">
        <f t="shared" si="16"/>
        <v>506.56668178937065</v>
      </c>
      <c r="AQ33" s="2">
        <f t="shared" si="17"/>
        <v>480.31847035858652</v>
      </c>
      <c r="AR33" s="2">
        <f t="shared" si="18"/>
        <v>468.47657281171303</v>
      </c>
      <c r="AS33" s="2">
        <f t="shared" si="19"/>
        <v>466.16000667860783</v>
      </c>
      <c r="AX33" s="2">
        <f>AL33</f>
        <v>1000000000000000</v>
      </c>
      <c r="AY33" s="37">
        <f t="shared" si="20"/>
        <v>7363.5031626456439</v>
      </c>
      <c r="AZ33" s="37">
        <f t="shared" si="21"/>
        <v>5954.5896190406684</v>
      </c>
      <c r="BA33" s="37">
        <f t="shared" si="22"/>
        <v>6052.1456326074322</v>
      </c>
      <c r="BB33" s="37">
        <f t="shared" si="23"/>
        <v>5392.9553826933534</v>
      </c>
      <c r="BC33" s="37">
        <f t="shared" si="24"/>
        <v>5242.785926565045</v>
      </c>
      <c r="BD33" s="37">
        <f t="shared" si="25"/>
        <v>5425.0167361766289</v>
      </c>
      <c r="BE33" s="37">
        <f t="shared" si="26"/>
        <v>4955.0527168058534</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18" zoomScale="120" zoomScaleNormal="120" zoomScaleSheetLayoutView="110" workbookViewId="0">
      <selection activeCell="B67" sqref="B67"/>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125</v>
      </c>
      <c r="D2" s="11">
        <f>1</f>
        <v>1</v>
      </c>
      <c r="E2" s="11">
        <f>D2+1</f>
        <v>2</v>
      </c>
      <c r="F2" s="11">
        <f t="shared" ref="F2:J2" si="0">E2+1</f>
        <v>3</v>
      </c>
      <c r="G2" s="11">
        <f t="shared" si="0"/>
        <v>4</v>
      </c>
      <c r="H2" s="11">
        <f t="shared" si="0"/>
        <v>5</v>
      </c>
      <c r="I2" s="11">
        <f t="shared" si="0"/>
        <v>6</v>
      </c>
      <c r="J2" s="11">
        <f t="shared" si="0"/>
        <v>7</v>
      </c>
    </row>
    <row r="3" spans="1:36" x14ac:dyDescent="0.25">
      <c r="A3" s="11" t="s">
        <v>111</v>
      </c>
      <c r="B3" s="35">
        <v>6</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5</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8" t="s">
        <v>26</v>
      </c>
      <c r="B15" s="118"/>
      <c r="C15" s="118"/>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9149.8345482474924</v>
      </c>
      <c r="G16" s="26">
        <f>INDEX(Comparison!$AM$3:$AS$33,G14,$B$3)</f>
        <v>8820.2788795776141</v>
      </c>
      <c r="H16" s="26">
        <f>INDEX(Comparison!$AM$3:$AS$33,H14,$B$3)</f>
        <v>8533.8722605331295</v>
      </c>
      <c r="I16" s="26">
        <f>INDEX(Comparison!$AM$3:$AS$33,I14,$B$3)</f>
        <v>8273.7015747988644</v>
      </c>
      <c r="J16" s="26">
        <f>INDEX(Comparison!$AM$3:$AS$33,J14,$B$3)</f>
        <v>7979.0862222792848</v>
      </c>
      <c r="K16" s="26">
        <f>INDEX(Comparison!$AM$3:$AS$33,K14,$B$3)</f>
        <v>7625.3190133909084</v>
      </c>
      <c r="L16" s="26">
        <f>INDEX(Comparison!$AM$3:$AS$33,L14,$B$3)</f>
        <v>7251.0629198471606</v>
      </c>
      <c r="M16" s="26">
        <f>INDEX(Comparison!$AM$3:$AS$33,M14,$B$3)</f>
        <v>6924.393407013602</v>
      </c>
      <c r="N16" s="26">
        <f>INDEX(Comparison!$AM$3:$AS$33,N14,$B$3)</f>
        <v>6643.9609995540914</v>
      </c>
      <c r="O16" s="26">
        <f>INDEX(Comparison!$AM$3:$AS$33,O14,$B$3)</f>
        <v>6360.2369441944311</v>
      </c>
      <c r="P16" s="26">
        <f>INDEX(Comparison!$AM$3:$AS$33,P14,$B$3)</f>
        <v>6077.1759886859509</v>
      </c>
      <c r="Q16" s="26">
        <f>INDEX(Comparison!$AM$3:$AS$33,Q14,$B$3)</f>
        <v>5794.3492029841209</v>
      </c>
      <c r="R16" s="26">
        <f>INDEX(Comparison!$AM$3:$AS$33,R14,$B$3)</f>
        <v>5497.4610054881305</v>
      </c>
      <c r="S16" s="26">
        <f>INDEX(Comparison!$AM$3:$AS$33,S14,$B$3)</f>
        <v>5142.3629386905741</v>
      </c>
      <c r="T16" s="26">
        <f>INDEX(Comparison!$AM$3:$AS$33,T14,$B$3)</f>
        <v>4755.3271416437765</v>
      </c>
      <c r="U16" s="26">
        <f>INDEX(Comparison!$AM$3:$AS$33,U14,$B$3)</f>
        <v>4259.9552232455089</v>
      </c>
      <c r="V16" s="26">
        <f>INDEX(Comparison!$AM$3:$AS$33,V14,$B$3)</f>
        <v>3608.881023132205</v>
      </c>
      <c r="W16" s="26">
        <f>INDEX(Comparison!$AM$3:$AS$33,W14,$B$3)</f>
        <v>2894.897040918956</v>
      </c>
      <c r="X16" s="26">
        <f>INDEX(Comparison!$AM$3:$AS$33,X14,$B$3)</f>
        <v>2208.0535004045023</v>
      </c>
      <c r="Y16" s="26">
        <f>INDEX(Comparison!$AM$3:$AS$33,Y14,$B$3)</f>
        <v>1590.7510281023892</v>
      </c>
      <c r="Z16" s="26">
        <f>INDEX(Comparison!$AM$3:$AS$33,Z14,$B$3)</f>
        <v>1134.4072038150462</v>
      </c>
      <c r="AA16" s="26">
        <f>INDEX(Comparison!$AM$3:$AS$33,AA14,$B$3)</f>
        <v>828.10892034291578</v>
      </c>
      <c r="AB16" s="26">
        <f>INDEX(Comparison!$AM$3:$AS$33,AB14,$B$3)</f>
        <v>674.83435785785764</v>
      </c>
      <c r="AC16" s="26">
        <f>INDEX(Comparison!$AM$3:$AS$33,AC14,$B$3)</f>
        <v>590.63358810768784</v>
      </c>
      <c r="AD16" s="26">
        <f>INDEX(Comparison!$AM$3:$AS$33,AD14,$B$3)</f>
        <v>552.35798150339338</v>
      </c>
      <c r="AE16" s="26">
        <f>INDEX(Comparison!$AM$3:$AS$33,AE14,$B$3)</f>
        <v>523.49731143746499</v>
      </c>
      <c r="AF16" s="26">
        <f>INDEX(Comparison!$AM$3:$AS$33,AF14,$B$3)</f>
        <v>511.68260567729681</v>
      </c>
      <c r="AG16" s="26">
        <f>INDEX(Comparison!$AM$3:$AS$33,AG14,$B$3)</f>
        <v>494.48298272135173</v>
      </c>
      <c r="AH16" s="26">
        <f>INDEX(Comparison!$AM$3:$AS$33,AH14,$B$3)</f>
        <v>471.68716650538101</v>
      </c>
      <c r="AI16" s="26">
        <f>INDEX(Comparison!$AM$3:$AS$33,AI14,$B$3)</f>
        <v>468.71385881352927</v>
      </c>
      <c r="AJ16" s="26">
        <f>INDEX(Comparison!$AM$3:$AS$33,AJ14,$B$3)</f>
        <v>468.47657281171303</v>
      </c>
    </row>
    <row r="17" spans="1:36" x14ac:dyDescent="0.25">
      <c r="A17" s="14" t="s">
        <v>20</v>
      </c>
      <c r="B17" s="105">
        <v>4.5031525325238332E-2</v>
      </c>
      <c r="C17" s="18">
        <f t="shared" ref="C17:C48" si="3">ABS(B17/$B$49)</f>
        <v>4.34718283560728E-2</v>
      </c>
      <c r="D17" s="66"/>
      <c r="E17" s="65" t="s">
        <v>22</v>
      </c>
      <c r="F17" s="27">
        <f>($C$17+SUM(F18:F48))*$B$51</f>
        <v>9058.0029954048314</v>
      </c>
      <c r="G17" s="27">
        <f t="shared" ref="G17:M17" si="4">($C$17+SUM(G18:G48))*$B$51</f>
        <v>8939.0355742173906</v>
      </c>
      <c r="H17" s="27">
        <f t="shared" si="4"/>
        <v>8502.4332750886988</v>
      </c>
      <c r="I17" s="27">
        <f t="shared" si="4"/>
        <v>8278.8387239064559</v>
      </c>
      <c r="J17" s="27">
        <f t="shared" si="4"/>
        <v>7978.3726604943085</v>
      </c>
      <c r="K17" s="27">
        <f t="shared" si="4"/>
        <v>7625.4223223230783</v>
      </c>
      <c r="L17" s="27">
        <f t="shared" si="4"/>
        <v>7250.9995626640712</v>
      </c>
      <c r="M17" s="27">
        <f t="shared" si="4"/>
        <v>6924.5270599566102</v>
      </c>
      <c r="N17" s="27">
        <f t="shared" ref="N17" si="5">($C$17+SUM(N18:N48))*$B$51</f>
        <v>6643.6381357485398</v>
      </c>
      <c r="O17" s="27">
        <f t="shared" ref="O17" si="6">($C$17+SUM(O18:O48))*$B$51</f>
        <v>6360.9119526695185</v>
      </c>
      <c r="P17" s="27">
        <f t="shared" ref="P17" si="7">($C$17+SUM(P18:P48))*$B$51</f>
        <v>6076.0044030323497</v>
      </c>
      <c r="Q17" s="27">
        <f t="shared" ref="Q17" si="8">($C$17+SUM(Q18:Q48))*$B$51</f>
        <v>5796.0503589935333</v>
      </c>
      <c r="R17" s="27">
        <f t="shared" ref="R17" si="9">($C$17+SUM(R18:R48))*$B$51</f>
        <v>5495.3701747785726</v>
      </c>
      <c r="S17" s="27">
        <f t="shared" ref="S17:T17" si="10">($C$17+SUM(S18:S48))*$B$51</f>
        <v>5144.5519938146781</v>
      </c>
      <c r="T17" s="27">
        <f t="shared" si="10"/>
        <v>4753.3567719048297</v>
      </c>
      <c r="U17" s="27">
        <f t="shared" ref="U17" si="11">($C$17+SUM(U18:U48))*$B$51</f>
        <v>4261.4912146386205</v>
      </c>
      <c r="V17" s="27">
        <f t="shared" ref="V17" si="12">($C$17+SUM(V18:V48))*$B$51</f>
        <v>3607.8661914939621</v>
      </c>
      <c r="W17" s="27">
        <f t="shared" ref="W17" si="13">($C$17+SUM(W18:W48))*$B$51</f>
        <v>2895.474949494173</v>
      </c>
      <c r="X17" s="27">
        <f t="shared" ref="X17" si="14">($C$17+SUM(X18:X48))*$B$51</f>
        <v>2207.7723245971515</v>
      </c>
      <c r="Y17" s="27">
        <f t="shared" ref="Y17" si="15">($C$17+SUM(Y18:Y48))*$B$51</f>
        <v>1590.8597646212274</v>
      </c>
      <c r="Z17" s="27">
        <f t="shared" ref="Z17:AA17" si="16">($C$17+SUM(Z18:Z48))*$B$51</f>
        <v>1134.3701738853269</v>
      </c>
      <c r="AA17" s="27">
        <f t="shared" si="16"/>
        <v>828.1194797439681</v>
      </c>
      <c r="AB17" s="27">
        <f t="shared" ref="AB17" si="17">($C$17+SUM(AB18:AB48))*$B$51</f>
        <v>674.80968000920768</v>
      </c>
      <c r="AC17" s="27">
        <f t="shared" ref="AC17" si="18">($C$17+SUM(AC18:AC48))*$B$51</f>
        <v>590.67305209818346</v>
      </c>
      <c r="AD17" s="27">
        <f t="shared" ref="AD17" si="19">($C$17+SUM(AD18:AD48))*$B$51</f>
        <v>552.2988212698931</v>
      </c>
      <c r="AE17" s="27">
        <f t="shared" ref="AE17" si="20">($C$17+SUM(AE18:AE48))*$B$51</f>
        <v>523.58707617803157</v>
      </c>
      <c r="AF17" s="27">
        <f t="shared" ref="AF17" si="21">($C$17+SUM(AF18:AF48))*$B$51</f>
        <v>512.13472793699691</v>
      </c>
      <c r="AG17" s="27">
        <f t="shared" ref="AG17:AH17" si="22">($C$17+SUM(AG18:AG48))*$B$51</f>
        <v>493.23557378849233</v>
      </c>
      <c r="AH17" s="27">
        <f t="shared" si="22"/>
        <v>473.40862293008212</v>
      </c>
      <c r="AI17" s="27">
        <f t="shared" ref="AI17" si="23">($C$17+SUM(AI18:AI48))*$B$51</f>
        <v>468.11838552184156</v>
      </c>
      <c r="AJ17" s="27">
        <f t="shared" ref="AJ17" si="24">($C$17+SUM(AJ18:AJ48))*$B$51</f>
        <v>468.11773275852704</v>
      </c>
    </row>
    <row r="18" spans="1:36" x14ac:dyDescent="0.25">
      <c r="A18" s="3">
        <f>0.000000000000001/10^5</f>
        <v>1.0000000000000001E-20</v>
      </c>
      <c r="B18" s="106">
        <v>0.1630889258384422</v>
      </c>
      <c r="C18" s="18">
        <f t="shared" si="3"/>
        <v>0.15744023191796075</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5.5019087224693446E-2</v>
      </c>
      <c r="C19" s="18">
        <f t="shared" si="3"/>
        <v>5.3113464375571039E-2</v>
      </c>
      <c r="D19" s="17"/>
      <c r="F19" s="3">
        <f t="shared" si="25"/>
        <v>5.1770216722916276E-2</v>
      </c>
      <c r="G19" s="3">
        <f t="shared" si="25"/>
        <v>4.1111011658984814E-2</v>
      </c>
      <c r="H19" s="3">
        <f t="shared" si="25"/>
        <v>4.0995857393837732E-3</v>
      </c>
      <c r="I19" s="3">
        <f t="shared" si="25"/>
        <v>3.9861906946213712E-13</v>
      </c>
      <c r="J19" s="3">
        <f t="shared" si="25"/>
        <v>3.011196129054483E-113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1.6473830599263072E-2</v>
      </c>
      <c r="C20" s="18">
        <f t="shared" si="3"/>
        <v>1.5903248468841287E-2</v>
      </c>
      <c r="D20" s="17"/>
      <c r="F20" s="3">
        <f t="shared" si="25"/>
        <v>1.5866542839508287E-2</v>
      </c>
      <c r="G20" s="3">
        <f t="shared" si="25"/>
        <v>1.5539981149173819E-2</v>
      </c>
      <c r="H20" s="3">
        <f t="shared" si="25"/>
        <v>1.2622119209449825E-2</v>
      </c>
      <c r="I20" s="3">
        <f t="shared" si="25"/>
        <v>1.5774302923450513E-3</v>
      </c>
      <c r="J20" s="3">
        <f t="shared" si="25"/>
        <v>1.4659837861276296E-12</v>
      </c>
      <c r="K20" s="3">
        <f t="shared" si="25"/>
        <v>7.0456176484576714E-103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3.0790589025744993E-2</v>
      </c>
      <c r="C21" s="18">
        <f t="shared" si="3"/>
        <v>2.9724136400935491E-2</v>
      </c>
      <c r="D21" s="17"/>
      <c r="F21" s="3">
        <f t="shared" si="25"/>
        <v>2.971794114752891E-2</v>
      </c>
      <c r="G21" s="3">
        <f t="shared" si="25"/>
        <v>2.9662241940644828E-2</v>
      </c>
      <c r="H21" s="3">
        <f t="shared" si="25"/>
        <v>2.9110959427828594E-2</v>
      </c>
      <c r="I21" s="3">
        <f t="shared" si="25"/>
        <v>2.4131370061305942E-2</v>
      </c>
      <c r="J21" s="3">
        <f t="shared" si="25"/>
        <v>3.6968904997189025E-3</v>
      </c>
      <c r="K21" s="3">
        <f t="shared" si="25"/>
        <v>2.632586569665882E-11</v>
      </c>
      <c r="L21" s="3">
        <f t="shared" si="25"/>
        <v>8.8276154009039287E-93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3.5711471759260878E-2</v>
      </c>
      <c r="C22" s="18">
        <f t="shared" si="3"/>
        <v>3.4474581072901148E-2</v>
      </c>
      <c r="D22" s="17"/>
      <c r="F22" s="3">
        <f t="shared" si="25"/>
        <v>3.4473932831749196E-2</v>
      </c>
      <c r="G22" s="3">
        <f t="shared" si="25"/>
        <v>3.446809920986682E-2</v>
      </c>
      <c r="H22" s="3">
        <f t="shared" si="25"/>
        <v>3.4409817257061485E-2</v>
      </c>
      <c r="I22" s="3">
        <f t="shared" si="25"/>
        <v>3.3832390504855467E-2</v>
      </c>
      <c r="J22" s="3">
        <f t="shared" si="25"/>
        <v>2.8565108138508641E-2</v>
      </c>
      <c r="K22" s="3">
        <f t="shared" si="25"/>
        <v>5.2585710735277265E-3</v>
      </c>
      <c r="L22" s="3">
        <f t="shared" si="25"/>
        <v>2.350642068022079E-10</v>
      </c>
      <c r="M22" s="3">
        <f t="shared" si="25"/>
        <v>7.4881418886117967E-84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3.9532783986385316E-2</v>
      </c>
      <c r="C23" s="18">
        <f t="shared" si="3"/>
        <v>3.8163539597684065E-2</v>
      </c>
      <c r="D23" s="17"/>
      <c r="F23" s="3">
        <f t="shared" si="25"/>
        <v>3.8163474863071381E-2</v>
      </c>
      <c r="G23" s="3">
        <f t="shared" si="25"/>
        <v>3.8162892256498486E-2</v>
      </c>
      <c r="H23" s="3">
        <f t="shared" si="25"/>
        <v>3.8157066679923558E-2</v>
      </c>
      <c r="I23" s="3">
        <f t="shared" si="25"/>
        <v>3.809885980196015E-2</v>
      </c>
      <c r="J23" s="3">
        <f t="shared" si="25"/>
        <v>3.7521652299088215E-2</v>
      </c>
      <c r="K23" s="3">
        <f t="shared" si="25"/>
        <v>3.2209331819564896E-2</v>
      </c>
      <c r="L23" s="3">
        <f t="shared" si="25"/>
        <v>6.9980867829135774E-3</v>
      </c>
      <c r="M23" s="3">
        <f t="shared" si="25"/>
        <v>1.6404213283841324E-9</v>
      </c>
      <c r="N23" s="3">
        <f t="shared" si="25"/>
        <v>8.2170558972869015E-76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3.2265497348682261E-2</v>
      </c>
      <c r="C24" s="18">
        <f t="shared" si="3"/>
        <v>3.114796028859175E-2</v>
      </c>
      <c r="D24" s="17"/>
      <c r="F24" s="3">
        <f t="shared" si="25"/>
        <v>3.1147955522477549E-2</v>
      </c>
      <c r="G24" s="3">
        <f t="shared" si="25"/>
        <v>3.1147912627482552E-2</v>
      </c>
      <c r="H24" s="3">
        <f t="shared" si="25"/>
        <v>3.1147483680781542E-2</v>
      </c>
      <c r="I24" s="3">
        <f t="shared" si="25"/>
        <v>3.1143194538651088E-2</v>
      </c>
      <c r="J24" s="3">
        <f t="shared" si="25"/>
        <v>3.1100335588760311E-2</v>
      </c>
      <c r="K24" s="3">
        <f t="shared" si="25"/>
        <v>3.0674976746487476E-2</v>
      </c>
      <c r="L24" s="3">
        <f t="shared" si="25"/>
        <v>2.6728581479784169E-2</v>
      </c>
      <c r="M24" s="3">
        <f t="shared" si="25"/>
        <v>6.7436123453489738E-3</v>
      </c>
      <c r="N24" s="3">
        <f t="shared" si="25"/>
        <v>7.0478955535342808E-9</v>
      </c>
      <c r="O24" s="3">
        <f t="shared" si="25"/>
        <v>1.0957918932418064E-68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2.6875847030190067E-2</v>
      </c>
      <c r="C25" s="18">
        <f t="shared" si="3"/>
        <v>2.5944984110180327E-2</v>
      </c>
      <c r="D25" s="17"/>
      <c r="F25" s="3">
        <f t="shared" si="25"/>
        <v>2.5944983752055142E-2</v>
      </c>
      <c r="G25" s="3">
        <f t="shared" si="25"/>
        <v>2.5944980528928713E-2</v>
      </c>
      <c r="H25" s="3">
        <f t="shared" si="25"/>
        <v>2.5944948297686416E-2</v>
      </c>
      <c r="I25" s="3">
        <f t="shared" si="25"/>
        <v>2.5944625987465681E-2</v>
      </c>
      <c r="J25" s="3">
        <f t="shared" si="25"/>
        <v>2.594140310547078E-2</v>
      </c>
      <c r="K25" s="3">
        <f t="shared" si="25"/>
        <v>2.5909196296647119E-2</v>
      </c>
      <c r="L25" s="3">
        <f t="shared" si="25"/>
        <v>2.5589319237102493E-2</v>
      </c>
      <c r="M25" s="3">
        <f t="shared" si="25"/>
        <v>2.2599906471970854E-2</v>
      </c>
      <c r="N25" s="3">
        <f t="shared" si="25"/>
        <v>6.5250784440922423E-3</v>
      </c>
      <c r="O25" s="3">
        <f t="shared" si="25"/>
        <v>2.6264956724792391E-8</v>
      </c>
      <c r="P25" s="3">
        <f t="shared" si="25"/>
        <v>2.9328254368024419E-62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2.9295329657415898E-2</v>
      </c>
      <c r="C26" s="18">
        <f t="shared" si="3"/>
        <v>2.8280666339942875E-2</v>
      </c>
      <c r="D26" s="17"/>
      <c r="F26" s="3">
        <f t="shared" si="25"/>
        <v>2.8280666304728686E-2</v>
      </c>
      <c r="G26" s="3">
        <f t="shared" si="25"/>
        <v>2.828066598780099E-2</v>
      </c>
      <c r="H26" s="3">
        <f t="shared" si="25"/>
        <v>2.8280662818524243E-2</v>
      </c>
      <c r="I26" s="3">
        <f t="shared" si="25"/>
        <v>2.8280631125776268E-2</v>
      </c>
      <c r="J26" s="3">
        <f t="shared" si="25"/>
        <v>2.8280314200249939E-2</v>
      </c>
      <c r="K26" s="3">
        <f t="shared" si="25"/>
        <v>2.8277145140318653E-2</v>
      </c>
      <c r="L26" s="3">
        <f t="shared" si="25"/>
        <v>2.8245474066110537E-2</v>
      </c>
      <c r="M26" s="3">
        <f t="shared" si="25"/>
        <v>2.793070776280638E-2</v>
      </c>
      <c r="N26" s="3">
        <f t="shared" si="25"/>
        <v>2.4969662187204106E-2</v>
      </c>
      <c r="O26" s="3">
        <f t="shared" si="25"/>
        <v>8.1417905709576452E-3</v>
      </c>
      <c r="P26" s="3">
        <f t="shared" si="25"/>
        <v>1.106095251590475E-7</v>
      </c>
      <c r="Q26" s="3">
        <f t="shared" si="25"/>
        <v>2.3687462386498599E-56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2.8701393028654005E-2</v>
      </c>
      <c r="C27" s="18">
        <f t="shared" si="3"/>
        <v>2.7707301103179493E-2</v>
      </c>
      <c r="D27" s="17"/>
      <c r="F27" s="3">
        <f t="shared" si="25"/>
        <v>2.7707301100067284E-2</v>
      </c>
      <c r="G27" s="3">
        <f t="shared" si="25"/>
        <v>2.7707301072057395E-2</v>
      </c>
      <c r="H27" s="3">
        <f t="shared" si="25"/>
        <v>2.7707300791958517E-2</v>
      </c>
      <c r="I27" s="3">
        <f t="shared" si="25"/>
        <v>2.7707297990969895E-2</v>
      </c>
      <c r="J27" s="3">
        <f t="shared" si="25"/>
        <v>2.7707269981099226E-2</v>
      </c>
      <c r="K27" s="3">
        <f t="shared" si="25"/>
        <v>2.7706989883949932E-2</v>
      </c>
      <c r="L27" s="3">
        <f t="shared" si="25"/>
        <v>2.7704189068187293E-2</v>
      </c>
      <c r="M27" s="3">
        <f t="shared" si="25"/>
        <v>2.7676196477768932E-2</v>
      </c>
      <c r="N27" s="3">
        <f t="shared" si="25"/>
        <v>2.7397821487331678E-2</v>
      </c>
      <c r="O27" s="3">
        <f t="shared" si="25"/>
        <v>2.4763515455078697E-2</v>
      </c>
      <c r="P27" s="3">
        <f t="shared" si="25"/>
        <v>9.0110408253476423E-3</v>
      </c>
      <c r="Q27" s="3">
        <f t="shared" si="25"/>
        <v>3.6677654402847319E-7</v>
      </c>
      <c r="R27" s="3">
        <f t="shared" si="25"/>
        <v>4.5779128557842392E-51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2.7461018858671804E-2</v>
      </c>
      <c r="C28" s="18">
        <f t="shared" si="3"/>
        <v>2.6509888121377792E-2</v>
      </c>
      <c r="D28" s="17"/>
      <c r="F28" s="3">
        <f t="shared" si="25"/>
        <v>2.6509888121109181E-2</v>
      </c>
      <c r="G28" s="3">
        <f t="shared" si="25"/>
        <v>2.6509888118691649E-2</v>
      </c>
      <c r="H28" s="3">
        <f t="shared" si="25"/>
        <v>2.6509888094516362E-2</v>
      </c>
      <c r="I28" s="3">
        <f t="shared" si="25"/>
        <v>2.6509887852763498E-2</v>
      </c>
      <c r="J28" s="3">
        <f t="shared" si="25"/>
        <v>2.650988543523496E-2</v>
      </c>
      <c r="K28" s="3">
        <f t="shared" si="25"/>
        <v>2.6509861259961728E-2</v>
      </c>
      <c r="L28" s="3">
        <f t="shared" si="25"/>
        <v>2.6509619508441936E-2</v>
      </c>
      <c r="M28" s="3">
        <f t="shared" si="25"/>
        <v>2.6507202114494022E-2</v>
      </c>
      <c r="N28" s="3">
        <f t="shared" si="25"/>
        <v>2.6483040295925613E-2</v>
      </c>
      <c r="O28" s="3">
        <f t="shared" si="25"/>
        <v>2.6242630121484076E-2</v>
      </c>
      <c r="P28" s="3">
        <f t="shared" si="25"/>
        <v>2.3955351006282218E-2</v>
      </c>
      <c r="Q28" s="3">
        <f t="shared" si="25"/>
        <v>9.6239716141828455E-3</v>
      </c>
      <c r="R28" s="3">
        <f t="shared" si="25"/>
        <v>1.0540768607698658E-6</v>
      </c>
      <c r="S28" s="3">
        <f t="shared" si="25"/>
        <v>2.6184949663498649E-46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3.117588701276049E-2</v>
      </c>
      <c r="C29" s="18">
        <f t="shared" si="3"/>
        <v>3.0096089334719207E-2</v>
      </c>
      <c r="D29" s="17"/>
      <c r="F29" s="3">
        <f t="shared" si="25"/>
        <v>3.0096089334691697E-2</v>
      </c>
      <c r="G29" s="3">
        <f t="shared" si="25"/>
        <v>3.0096089334444114E-2</v>
      </c>
      <c r="H29" s="3">
        <f t="shared" si="25"/>
        <v>3.0096089331968286E-2</v>
      </c>
      <c r="I29" s="3">
        <f t="shared" si="25"/>
        <v>3.009608930721001E-2</v>
      </c>
      <c r="J29" s="3">
        <f t="shared" si="25"/>
        <v>3.0096089059627254E-2</v>
      </c>
      <c r="K29" s="3">
        <f t="shared" si="25"/>
        <v>3.0096086583799801E-2</v>
      </c>
      <c r="L29" s="3">
        <f t="shared" si="25"/>
        <v>3.0096061825536442E-2</v>
      </c>
      <c r="M29" s="3">
        <f t="shared" si="25"/>
        <v>3.0095814244023036E-2</v>
      </c>
      <c r="N29" s="3">
        <f t="shared" si="25"/>
        <v>3.0093338540904672E-2</v>
      </c>
      <c r="O29" s="3">
        <f t="shared" si="25"/>
        <v>3.0068592707877907E-2</v>
      </c>
      <c r="P29" s="3">
        <f t="shared" si="25"/>
        <v>2.9822250792322671E-2</v>
      </c>
      <c r="Q29" s="3">
        <f t="shared" si="25"/>
        <v>2.7467148479698972E-2</v>
      </c>
      <c r="R29" s="3">
        <f t="shared" si="25"/>
        <v>1.206549505287933E-2</v>
      </c>
      <c r="S29" s="3">
        <f t="shared" si="25"/>
        <v>3.227459886201817E-6</v>
      </c>
      <c r="T29" s="3">
        <f t="shared" si="25"/>
        <v>6.0536586095597724E-42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3.822667145952989E-2</v>
      </c>
      <c r="C30" s="18">
        <f t="shared" si="3"/>
        <v>3.6902665150925024E-2</v>
      </c>
      <c r="D30" s="17"/>
      <c r="F30" s="3">
        <f t="shared" si="25"/>
        <v>3.6902665150921977E-2</v>
      </c>
      <c r="G30" s="3">
        <f t="shared" si="25"/>
        <v>3.6902665150894597E-2</v>
      </c>
      <c r="H30" s="3">
        <f t="shared" si="25"/>
        <v>3.6902665150620746E-2</v>
      </c>
      <c r="I30" s="3">
        <f t="shared" si="25"/>
        <v>3.6902665147882235E-2</v>
      </c>
      <c r="J30" s="3">
        <f t="shared" si="25"/>
        <v>3.6902665120497113E-2</v>
      </c>
      <c r="K30" s="3">
        <f t="shared" si="25"/>
        <v>3.6902664846645908E-2</v>
      </c>
      <c r="L30" s="3">
        <f t="shared" si="25"/>
        <v>3.6902662108134004E-2</v>
      </c>
      <c r="M30" s="3">
        <f t="shared" si="25"/>
        <v>3.6902634723026143E-2</v>
      </c>
      <c r="N30" s="3">
        <f t="shared" si="25"/>
        <v>3.6902360873065261E-2</v>
      </c>
      <c r="O30" s="3">
        <f t="shared" si="25"/>
        <v>3.6899622485225311E-2</v>
      </c>
      <c r="P30" s="3">
        <f t="shared" si="25"/>
        <v>3.68722497806485E-2</v>
      </c>
      <c r="Q30" s="3">
        <f t="shared" si="25"/>
        <v>3.6599637055191793E-2</v>
      </c>
      <c r="R30" s="3">
        <f t="shared" si="25"/>
        <v>3.3981941989861236E-2</v>
      </c>
      <c r="S30" s="3">
        <f t="shared" si="25"/>
        <v>1.6179397652337568E-2</v>
      </c>
      <c r="T30" s="3">
        <f t="shared" si="25"/>
        <v>9.6850952969242312E-6</v>
      </c>
      <c r="U30" s="3">
        <f t="shared" si="25"/>
        <v>5.7216250044442266E-38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3.7459222074857343E-2</v>
      </c>
      <c r="C31" s="18">
        <f t="shared" si="3"/>
        <v>3.6161796888491096E-2</v>
      </c>
      <c r="D31" s="17"/>
      <c r="F31" s="3">
        <f t="shared" si="25"/>
        <v>3.6161796888490826E-2</v>
      </c>
      <c r="G31" s="3">
        <f t="shared" si="25"/>
        <v>3.6161796888488404E-2</v>
      </c>
      <c r="H31" s="3">
        <f t="shared" si="25"/>
        <v>3.6161796888464194E-2</v>
      </c>
      <c r="I31" s="3">
        <f t="shared" si="25"/>
        <v>3.6161796888222124E-2</v>
      </c>
      <c r="J31" s="3">
        <f t="shared" si="25"/>
        <v>3.6161796885801352E-2</v>
      </c>
      <c r="K31" s="3">
        <f t="shared" si="25"/>
        <v>3.6161796861593654E-2</v>
      </c>
      <c r="L31" s="3">
        <f t="shared" si="25"/>
        <v>3.6161796619516663E-2</v>
      </c>
      <c r="M31" s="3">
        <f t="shared" si="25"/>
        <v>3.6161794198746842E-2</v>
      </c>
      <c r="N31" s="3">
        <f t="shared" si="25"/>
        <v>3.616176999105758E-2</v>
      </c>
      <c r="O31" s="3">
        <f t="shared" si="25"/>
        <v>3.6161527915056203E-2</v>
      </c>
      <c r="P31" s="3">
        <f t="shared" si="25"/>
        <v>3.615910724416916E-2</v>
      </c>
      <c r="Q31" s="3">
        <f t="shared" si="25"/>
        <v>3.6134909445760213E-2</v>
      </c>
      <c r="R31" s="3">
        <f t="shared" si="25"/>
        <v>3.589382030475264E-2</v>
      </c>
      <c r="S31" s="3">
        <f t="shared" si="25"/>
        <v>3.3569650510653359E-2</v>
      </c>
      <c r="T31" s="3">
        <f t="shared" si="25"/>
        <v>1.7187716276704016E-2</v>
      </c>
      <c r="U31" s="3">
        <f t="shared" si="25"/>
        <v>2.127804570656751E-5</v>
      </c>
      <c r="V31" s="3">
        <f t="shared" si="26"/>
        <v>1.7991499107902097E-34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5.9728629827739556E-2</v>
      </c>
      <c r="C32" s="18">
        <f t="shared" si="3"/>
        <v>5.7659888823700683E-2</v>
      </c>
      <c r="D32" s="17"/>
      <c r="F32" s="3">
        <f t="shared" si="25"/>
        <v>5.7659888823700642E-2</v>
      </c>
      <c r="G32" s="3">
        <f t="shared" si="25"/>
        <v>5.7659888823700302E-2</v>
      </c>
      <c r="H32" s="3">
        <f t="shared" si="25"/>
        <v>5.7659888823696819E-2</v>
      </c>
      <c r="I32" s="3">
        <f t="shared" si="25"/>
        <v>5.7659888823661992E-2</v>
      </c>
      <c r="J32" s="3">
        <f t="shared" si="25"/>
        <v>5.7659888823313799E-2</v>
      </c>
      <c r="K32" s="3">
        <f t="shared" si="25"/>
        <v>5.7659888819831841E-2</v>
      </c>
      <c r="L32" s="3">
        <f t="shared" si="25"/>
        <v>5.7659888785012228E-2</v>
      </c>
      <c r="M32" s="3">
        <f t="shared" si="25"/>
        <v>5.7659888436816131E-2</v>
      </c>
      <c r="N32" s="3">
        <f t="shared" si="25"/>
        <v>5.7659884954855259E-2</v>
      </c>
      <c r="O32" s="3">
        <f t="shared" si="25"/>
        <v>5.7659850135258081E-2</v>
      </c>
      <c r="P32" s="3">
        <f t="shared" si="25"/>
        <v>5.7659501940442795E-2</v>
      </c>
      <c r="Q32" s="3">
        <f t="shared" si="25"/>
        <v>5.7656020107934719E-2</v>
      </c>
      <c r="R32" s="3">
        <f t="shared" si="25"/>
        <v>5.7621213344745244E-2</v>
      </c>
      <c r="S32" s="3">
        <f t="shared" si="25"/>
        <v>5.7274299322809676E-2</v>
      </c>
      <c r="T32" s="3">
        <f t="shared" si="25"/>
        <v>5.3917983633570782E-2</v>
      </c>
      <c r="U32" s="3">
        <f t="shared" si="25"/>
        <v>2.9476249199708079E-2</v>
      </c>
      <c r="V32" s="3">
        <f t="shared" si="26"/>
        <v>7.028424581027416E-5</v>
      </c>
      <c r="W32" s="3">
        <f t="shared" si="26"/>
        <v>4.1755691823469021E-31</v>
      </c>
      <c r="X32" s="3">
        <f t="shared" si="26"/>
        <v>2.2871393725655456E-293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7.2655179490270214E-2</v>
      </c>
      <c r="C33" s="18">
        <f t="shared" si="3"/>
        <v>7.0138718801303929E-2</v>
      </c>
      <c r="D33" s="17"/>
      <c r="F33" s="3">
        <f t="shared" si="25"/>
        <v>7.0138718801303915E-2</v>
      </c>
      <c r="G33" s="3">
        <f t="shared" si="25"/>
        <v>7.0138718801303887E-2</v>
      </c>
      <c r="H33" s="3">
        <f t="shared" si="25"/>
        <v>7.0138718801303498E-2</v>
      </c>
      <c r="I33" s="3">
        <f t="shared" si="25"/>
        <v>7.0138718801299682E-2</v>
      </c>
      <c r="J33" s="3">
        <f t="shared" si="25"/>
        <v>7.0138718801261477E-2</v>
      </c>
      <c r="K33" s="3">
        <f t="shared" si="25"/>
        <v>7.0138718800879393E-2</v>
      </c>
      <c r="L33" s="3">
        <f t="shared" si="25"/>
        <v>7.0138718797058588E-2</v>
      </c>
      <c r="M33" s="3">
        <f t="shared" si="25"/>
        <v>7.0138718758850568E-2</v>
      </c>
      <c r="N33" s="3">
        <f t="shared" si="25"/>
        <v>7.0138718376770381E-2</v>
      </c>
      <c r="O33" s="3">
        <f t="shared" si="25"/>
        <v>7.0138714555968609E-2</v>
      </c>
      <c r="P33" s="3">
        <f t="shared" si="25"/>
        <v>7.0138676347962295E-2</v>
      </c>
      <c r="Q33" s="3">
        <f t="shared" si="25"/>
        <v>7.0138294269043833E-2</v>
      </c>
      <c r="R33" s="3">
        <f t="shared" si="25"/>
        <v>7.013447359433253E-2</v>
      </c>
      <c r="S33" s="3">
        <f t="shared" si="25"/>
        <v>7.0096278292241992E-2</v>
      </c>
      <c r="T33" s="3">
        <f t="shared" si="25"/>
        <v>6.9715467470106235E-2</v>
      </c>
      <c r="U33" s="3">
        <f t="shared" ref="P33:AE48" si="27">$C33*EXP(-U$15/$A33)</f>
        <v>6.6019310102359452E-2</v>
      </c>
      <c r="V33" s="3">
        <f t="shared" si="27"/>
        <v>3.8290352108119256E-2</v>
      </c>
      <c r="W33" s="3">
        <f t="shared" si="27"/>
        <v>1.6491993068475807E-4</v>
      </c>
      <c r="X33" s="3">
        <f t="shared" si="27"/>
        <v>3.623355775733973E-28</v>
      </c>
      <c r="Y33" s="3">
        <f t="shared" si="27"/>
        <v>9.4948768555585234E-265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7.0086729142667184E-2</v>
      </c>
      <c r="C34" s="18">
        <f t="shared" si="3"/>
        <v>6.7659228447697881E-2</v>
      </c>
      <c r="D34" s="17"/>
      <c r="F34" s="3">
        <f t="shared" ref="F34:O48" si="28">$C34*EXP(-F$15/$A34)</f>
        <v>6.7659228447697881E-2</v>
      </c>
      <c r="G34" s="3">
        <f t="shared" si="28"/>
        <v>6.7659228447697881E-2</v>
      </c>
      <c r="H34" s="3">
        <f t="shared" si="28"/>
        <v>6.7659228447697839E-2</v>
      </c>
      <c r="I34" s="3">
        <f t="shared" si="28"/>
        <v>6.7659228447697506E-2</v>
      </c>
      <c r="J34" s="3">
        <f t="shared" si="28"/>
        <v>6.7659228447694189E-2</v>
      </c>
      <c r="K34" s="3">
        <f t="shared" si="28"/>
        <v>6.7659228447660938E-2</v>
      </c>
      <c r="L34" s="3">
        <f t="shared" si="28"/>
        <v>6.7659228447328454E-2</v>
      </c>
      <c r="M34" s="3">
        <f t="shared" si="28"/>
        <v>6.7659228444003613E-2</v>
      </c>
      <c r="N34" s="3">
        <f t="shared" si="28"/>
        <v>6.7659228410755251E-2</v>
      </c>
      <c r="O34" s="3">
        <f t="shared" si="28"/>
        <v>6.7659228078271572E-2</v>
      </c>
      <c r="P34" s="3">
        <f t="shared" si="27"/>
        <v>6.7659224753434943E-2</v>
      </c>
      <c r="Q34" s="3">
        <f t="shared" si="27"/>
        <v>6.7659191505077515E-2</v>
      </c>
      <c r="R34" s="3">
        <f t="shared" si="27"/>
        <v>6.7658859022401957E-2</v>
      </c>
      <c r="S34" s="3">
        <f t="shared" si="27"/>
        <v>6.7655534285506636E-2</v>
      </c>
      <c r="T34" s="3">
        <f t="shared" si="27"/>
        <v>6.7622295900942778E-2</v>
      </c>
      <c r="U34" s="3">
        <f t="shared" si="27"/>
        <v>6.7290808862828719E-2</v>
      </c>
      <c r="V34" s="3">
        <f t="shared" si="27"/>
        <v>6.4064009857548426E-2</v>
      </c>
      <c r="W34" s="3">
        <f t="shared" si="27"/>
        <v>3.9192034962211464E-2</v>
      </c>
      <c r="X34" s="3">
        <f t="shared" si="27"/>
        <v>2.8776287890528942E-4</v>
      </c>
      <c r="Y34" s="3">
        <f t="shared" si="27"/>
        <v>1.3104013385021567E-25</v>
      </c>
      <c r="Z34" s="3">
        <f t="shared" si="27"/>
        <v>5.0245816879523944E-239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6.9161395517023799E-2</v>
      </c>
      <c r="C35" s="18">
        <f t="shared" si="3"/>
        <v>6.6765944370475505E-2</v>
      </c>
      <c r="D35" s="17"/>
      <c r="F35" s="3">
        <f t="shared" si="28"/>
        <v>6.6765944370475505E-2</v>
      </c>
      <c r="G35" s="3">
        <f t="shared" si="28"/>
        <v>6.6765944370475505E-2</v>
      </c>
      <c r="H35" s="3">
        <f t="shared" si="28"/>
        <v>6.6765944370475505E-2</v>
      </c>
      <c r="I35" s="3">
        <f t="shared" si="28"/>
        <v>6.6765944370475477E-2</v>
      </c>
      <c r="J35" s="3">
        <f t="shared" si="28"/>
        <v>6.6765944370475172E-2</v>
      </c>
      <c r="K35" s="3">
        <f t="shared" si="28"/>
        <v>6.6765944370472216E-2</v>
      </c>
      <c r="L35" s="3">
        <f t="shared" si="28"/>
        <v>6.6765944370442629E-2</v>
      </c>
      <c r="M35" s="3">
        <f t="shared" si="28"/>
        <v>6.6765944370146643E-2</v>
      </c>
      <c r="N35" s="3">
        <f t="shared" si="28"/>
        <v>6.6765944367186969E-2</v>
      </c>
      <c r="O35" s="3">
        <f t="shared" si="28"/>
        <v>6.6765944337590158E-2</v>
      </c>
      <c r="P35" s="3">
        <f t="shared" si="27"/>
        <v>6.6765944041622088E-2</v>
      </c>
      <c r="Q35" s="3">
        <f t="shared" si="27"/>
        <v>6.6765941081941393E-2</v>
      </c>
      <c r="R35" s="3">
        <f t="shared" si="27"/>
        <v>6.6765911485141688E-2</v>
      </c>
      <c r="S35" s="3">
        <f t="shared" si="27"/>
        <v>6.6765615517866195E-2</v>
      </c>
      <c r="T35" s="3">
        <f t="shared" si="27"/>
        <v>6.6762655917270181E-2</v>
      </c>
      <c r="U35" s="3">
        <f t="shared" si="27"/>
        <v>6.6733067126010195E-2</v>
      </c>
      <c r="V35" s="3">
        <f t="shared" si="27"/>
        <v>6.6437899501494993E-2</v>
      </c>
      <c r="W35" s="3">
        <f t="shared" si="27"/>
        <v>6.3557084540029035E-2</v>
      </c>
      <c r="X35" s="3">
        <f t="shared" si="27"/>
        <v>4.0798547914900778E-2</v>
      </c>
      <c r="Y35" s="3">
        <f t="shared" si="27"/>
        <v>4.8467664729075086E-4</v>
      </c>
      <c r="Z35" s="3">
        <f t="shared" si="27"/>
        <v>2.7134759956702111E-23</v>
      </c>
      <c r="AA35" s="3">
        <f t="shared" si="27"/>
        <v>8.2085202488643144E-216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5.0347768225114511E-2</v>
      </c>
      <c r="C36" s="18">
        <f t="shared" si="3"/>
        <v>4.8603939630861931E-2</v>
      </c>
      <c r="D36" s="17"/>
      <c r="F36" s="3">
        <f t="shared" si="28"/>
        <v>4.8603939630861931E-2</v>
      </c>
      <c r="G36" s="3">
        <f t="shared" si="28"/>
        <v>4.8603939630861931E-2</v>
      </c>
      <c r="H36" s="3">
        <f t="shared" si="28"/>
        <v>4.8603939630861931E-2</v>
      </c>
      <c r="I36" s="3">
        <f t="shared" si="28"/>
        <v>4.8603939630861931E-2</v>
      </c>
      <c r="J36" s="3">
        <f t="shared" si="28"/>
        <v>4.860393963086191E-2</v>
      </c>
      <c r="K36" s="3">
        <f t="shared" si="28"/>
        <v>4.8603939630861716E-2</v>
      </c>
      <c r="L36" s="3">
        <f t="shared" si="28"/>
        <v>4.8603939630859773E-2</v>
      </c>
      <c r="M36" s="3">
        <f t="shared" si="28"/>
        <v>4.8603939630840337E-2</v>
      </c>
      <c r="N36" s="3">
        <f t="shared" si="28"/>
        <v>4.8603939630645972E-2</v>
      </c>
      <c r="O36" s="3">
        <f t="shared" si="28"/>
        <v>4.8603939628702374E-2</v>
      </c>
      <c r="P36" s="3">
        <f t="shared" si="27"/>
        <v>4.8603939609266324E-2</v>
      </c>
      <c r="Q36" s="3">
        <f t="shared" si="27"/>
        <v>4.8603939414905852E-2</v>
      </c>
      <c r="R36" s="3">
        <f t="shared" si="27"/>
        <v>4.8603937471301213E-2</v>
      </c>
      <c r="S36" s="3">
        <f t="shared" si="27"/>
        <v>4.8603918035259056E-2</v>
      </c>
      <c r="T36" s="3">
        <f t="shared" si="27"/>
        <v>4.8603723675264922E-2</v>
      </c>
      <c r="U36" s="3">
        <f t="shared" si="27"/>
        <v>4.8601780118070044E-2</v>
      </c>
      <c r="V36" s="3">
        <f t="shared" si="27"/>
        <v>4.858234882013291E-2</v>
      </c>
      <c r="W36" s="3">
        <f t="shared" si="27"/>
        <v>4.8388462610226113E-2</v>
      </c>
      <c r="X36" s="3">
        <f t="shared" si="27"/>
        <v>4.6491652715632298E-2</v>
      </c>
      <c r="Y36" s="3">
        <f t="shared" si="27"/>
        <v>3.1167832084524644E-2</v>
      </c>
      <c r="Z36" s="3">
        <f t="shared" si="27"/>
        <v>5.715085074264319E-4</v>
      </c>
      <c r="AA36" s="3">
        <f t="shared" si="27"/>
        <v>2.4557476749800121E-21</v>
      </c>
      <c r="AB36" s="3">
        <f t="shared" si="27"/>
        <v>5.2698003318163587E-195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3.8896395009506569E-2</v>
      </c>
      <c r="C37" s="18">
        <f t="shared" si="3"/>
        <v>3.7549192378247005E-2</v>
      </c>
      <c r="D37" s="17"/>
      <c r="F37" s="3">
        <f t="shared" si="28"/>
        <v>3.7549192378247005E-2</v>
      </c>
      <c r="G37" s="3">
        <f t="shared" si="28"/>
        <v>3.7549192378247005E-2</v>
      </c>
      <c r="H37" s="3">
        <f t="shared" si="28"/>
        <v>3.7549192378247005E-2</v>
      </c>
      <c r="I37" s="3">
        <f t="shared" si="28"/>
        <v>3.7549192378247005E-2</v>
      </c>
      <c r="J37" s="3">
        <f t="shared" si="28"/>
        <v>3.7549192378247005E-2</v>
      </c>
      <c r="K37" s="3">
        <f t="shared" si="28"/>
        <v>3.7549192378246991E-2</v>
      </c>
      <c r="L37" s="3">
        <f t="shared" si="28"/>
        <v>3.7549192378246853E-2</v>
      </c>
      <c r="M37" s="3">
        <f t="shared" si="28"/>
        <v>3.7549192378245499E-2</v>
      </c>
      <c r="N37" s="3">
        <f t="shared" si="28"/>
        <v>3.7549192378231955E-2</v>
      </c>
      <c r="O37" s="3">
        <f t="shared" si="28"/>
        <v>3.7549192378096501E-2</v>
      </c>
      <c r="P37" s="3">
        <f t="shared" si="27"/>
        <v>3.7549192376741987E-2</v>
      </c>
      <c r="Q37" s="3">
        <f t="shared" si="27"/>
        <v>3.7549192363196843E-2</v>
      </c>
      <c r="R37" s="3">
        <f t="shared" si="27"/>
        <v>3.7549192227745394E-2</v>
      </c>
      <c r="S37" s="3">
        <f t="shared" si="27"/>
        <v>3.7549190873230928E-2</v>
      </c>
      <c r="T37" s="3">
        <f t="shared" si="27"/>
        <v>3.7549177328088955E-2</v>
      </c>
      <c r="U37" s="3">
        <f t="shared" si="27"/>
        <v>3.7549041876937951E-2</v>
      </c>
      <c r="V37" s="3">
        <f t="shared" si="27"/>
        <v>3.7547687392301327E-2</v>
      </c>
      <c r="W37" s="3">
        <f t="shared" si="27"/>
        <v>3.7534145232918564E-2</v>
      </c>
      <c r="X37" s="3">
        <f t="shared" si="27"/>
        <v>3.7398991979153924E-2</v>
      </c>
      <c r="Y37" s="3">
        <f t="shared" si="27"/>
        <v>3.6073938722970045E-2</v>
      </c>
      <c r="Z37" s="3">
        <f t="shared" si="27"/>
        <v>2.5149550542220026E-2</v>
      </c>
      <c r="AA37" s="3">
        <f t="shared" si="27"/>
        <v>6.8217669052987812E-4</v>
      </c>
      <c r="AB37" s="3">
        <f t="shared" si="27"/>
        <v>1.4708329611084181E-19</v>
      </c>
      <c r="AC37" s="3">
        <f t="shared" si="27"/>
        <v>3.1932147994128626E-176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8.122222964969613E-3</v>
      </c>
      <c r="C38" s="18">
        <f t="shared" si="3"/>
        <v>7.8409043454057813E-3</v>
      </c>
      <c r="D38" s="17"/>
      <c r="F38" s="3">
        <f t="shared" si="28"/>
        <v>7.8409043454057813E-3</v>
      </c>
      <c r="G38" s="3">
        <f t="shared" si="28"/>
        <v>7.8409043454057813E-3</v>
      </c>
      <c r="H38" s="3">
        <f t="shared" si="28"/>
        <v>7.8409043454057813E-3</v>
      </c>
      <c r="I38" s="3">
        <f t="shared" si="28"/>
        <v>7.8409043454057813E-3</v>
      </c>
      <c r="J38" s="3">
        <f t="shared" si="28"/>
        <v>7.8409043454057813E-3</v>
      </c>
      <c r="K38" s="3">
        <f t="shared" si="28"/>
        <v>7.8409043454057813E-3</v>
      </c>
      <c r="L38" s="3">
        <f t="shared" si="28"/>
        <v>7.8409043454057779E-3</v>
      </c>
      <c r="M38" s="3">
        <f t="shared" si="28"/>
        <v>7.8409043454057518E-3</v>
      </c>
      <c r="N38" s="3">
        <f t="shared" si="28"/>
        <v>7.8409043454054968E-3</v>
      </c>
      <c r="O38" s="3">
        <f t="shared" si="28"/>
        <v>7.8409043454029468E-3</v>
      </c>
      <c r="P38" s="3">
        <f t="shared" si="27"/>
        <v>7.8409043453774308E-3</v>
      </c>
      <c r="Q38" s="3">
        <f t="shared" si="27"/>
        <v>7.8409043451222807E-3</v>
      </c>
      <c r="R38" s="3">
        <f t="shared" si="27"/>
        <v>7.84090434257078E-3</v>
      </c>
      <c r="S38" s="3">
        <f t="shared" si="27"/>
        <v>7.8409043170557663E-3</v>
      </c>
      <c r="T38" s="3">
        <f t="shared" si="27"/>
        <v>7.8409040619056361E-3</v>
      </c>
      <c r="U38" s="3">
        <f t="shared" si="27"/>
        <v>7.840901510404787E-3</v>
      </c>
      <c r="V38" s="3">
        <f t="shared" si="27"/>
        <v>7.8408759954419708E-3</v>
      </c>
      <c r="W38" s="3">
        <f t="shared" si="27"/>
        <v>7.84062085038029E-3</v>
      </c>
      <c r="X38" s="3">
        <f t="shared" si="27"/>
        <v>7.8380698563573232E-3</v>
      </c>
      <c r="Y38" s="3">
        <f t="shared" si="27"/>
        <v>7.8126055205843589E-3</v>
      </c>
      <c r="Z38" s="3">
        <f t="shared" si="27"/>
        <v>7.5624681748007478E-3</v>
      </c>
      <c r="AA38" s="3">
        <f t="shared" si="27"/>
        <v>5.4618554037536154E-3</v>
      </c>
      <c r="AB38" s="3">
        <f t="shared" si="27"/>
        <v>2.1091457077987782E-4</v>
      </c>
      <c r="AC38" s="3">
        <f t="shared" si="27"/>
        <v>1.555143370080609E-18</v>
      </c>
      <c r="AD38" s="3">
        <f t="shared" si="27"/>
        <v>7.3859936585501211E-160</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1.5404744615130025E-2</v>
      </c>
      <c r="C39" s="18">
        <f t="shared" si="3"/>
        <v>1.487119099211914E-2</v>
      </c>
      <c r="D39" s="17"/>
      <c r="F39" s="3">
        <f t="shared" si="28"/>
        <v>1.487119099211914E-2</v>
      </c>
      <c r="G39" s="3">
        <f t="shared" si="28"/>
        <v>1.487119099211914E-2</v>
      </c>
      <c r="H39" s="3">
        <f t="shared" si="28"/>
        <v>1.487119099211914E-2</v>
      </c>
      <c r="I39" s="3">
        <f t="shared" si="28"/>
        <v>1.487119099211914E-2</v>
      </c>
      <c r="J39" s="3">
        <f t="shared" si="28"/>
        <v>1.487119099211914E-2</v>
      </c>
      <c r="K39" s="3">
        <f t="shared" si="28"/>
        <v>1.487119099211914E-2</v>
      </c>
      <c r="L39" s="3">
        <f t="shared" si="28"/>
        <v>1.4871190992119138E-2</v>
      </c>
      <c r="M39" s="3">
        <f t="shared" si="28"/>
        <v>1.4871190992119124E-2</v>
      </c>
      <c r="N39" s="3">
        <f t="shared" si="28"/>
        <v>1.4871190992118991E-2</v>
      </c>
      <c r="O39" s="3">
        <f t="shared" si="28"/>
        <v>1.4871190992117651E-2</v>
      </c>
      <c r="P39" s="3">
        <f t="shared" si="27"/>
        <v>1.487119099210427E-2</v>
      </c>
      <c r="Q39" s="3">
        <f t="shared" si="27"/>
        <v>1.4871190991970427E-2</v>
      </c>
      <c r="R39" s="3">
        <f t="shared" si="27"/>
        <v>1.487119099063202E-2</v>
      </c>
      <c r="S39" s="3">
        <f t="shared" si="27"/>
        <v>1.4871190977247949E-2</v>
      </c>
      <c r="T39" s="3">
        <f t="shared" si="27"/>
        <v>1.4871190843407231E-2</v>
      </c>
      <c r="U39" s="3">
        <f t="shared" si="27"/>
        <v>1.4871189505000116E-2</v>
      </c>
      <c r="V39" s="3">
        <f t="shared" si="27"/>
        <v>1.4871176120935583E-2</v>
      </c>
      <c r="W39" s="3">
        <f t="shared" si="27"/>
        <v>1.4871042280952776E-2</v>
      </c>
      <c r="X39" s="3">
        <f t="shared" si="27"/>
        <v>1.4869703947373403E-2</v>
      </c>
      <c r="Y39" s="3">
        <f t="shared" si="27"/>
        <v>1.4856327234244605E-2</v>
      </c>
      <c r="Z39" s="3">
        <f t="shared" si="27"/>
        <v>1.472322016939968E-2</v>
      </c>
      <c r="AA39" s="3">
        <f t="shared" si="27"/>
        <v>1.3456010060428701E-2</v>
      </c>
      <c r="AB39" s="3">
        <f t="shared" si="27"/>
        <v>5.4708054317345765E-3</v>
      </c>
      <c r="AC39" s="3">
        <f t="shared" si="27"/>
        <v>6.7515102652670639E-7</v>
      </c>
      <c r="AD39" s="3">
        <f t="shared" si="27"/>
        <v>5.5321960344599874E-46</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3.4131273369300392E-3</v>
      </c>
      <c r="C40" s="18">
        <f t="shared" si="3"/>
        <v>3.2949113910046581E-3</v>
      </c>
      <c r="D40" s="17"/>
      <c r="F40" s="3">
        <f t="shared" si="28"/>
        <v>3.2949113910046581E-3</v>
      </c>
      <c r="G40" s="3">
        <f t="shared" si="28"/>
        <v>3.2949113910046581E-3</v>
      </c>
      <c r="H40" s="3">
        <f t="shared" si="28"/>
        <v>3.2949113910046581E-3</v>
      </c>
      <c r="I40" s="3">
        <f t="shared" si="28"/>
        <v>3.2949113910046581E-3</v>
      </c>
      <c r="J40" s="3">
        <f t="shared" si="28"/>
        <v>3.2949113910046581E-3</v>
      </c>
      <c r="K40" s="3">
        <f t="shared" si="28"/>
        <v>3.2949113910046581E-3</v>
      </c>
      <c r="L40" s="3">
        <f t="shared" si="28"/>
        <v>3.2949113910046581E-3</v>
      </c>
      <c r="M40" s="3">
        <f t="shared" si="28"/>
        <v>3.2949113910046577E-3</v>
      </c>
      <c r="N40" s="3">
        <f t="shared" si="28"/>
        <v>3.2949113910046546E-3</v>
      </c>
      <c r="O40" s="3">
        <f t="shared" si="28"/>
        <v>3.2949113910046251E-3</v>
      </c>
      <c r="P40" s="3">
        <f t="shared" si="27"/>
        <v>3.2949113910043285E-3</v>
      </c>
      <c r="Q40" s="3">
        <f t="shared" si="27"/>
        <v>3.2949113910013634E-3</v>
      </c>
      <c r="R40" s="3">
        <f t="shared" si="27"/>
        <v>3.2949113909717092E-3</v>
      </c>
      <c r="S40" s="3">
        <f t="shared" si="27"/>
        <v>3.2949113906751669E-3</v>
      </c>
      <c r="T40" s="3">
        <f t="shared" si="27"/>
        <v>3.2949113877097469E-3</v>
      </c>
      <c r="U40" s="3">
        <f t="shared" si="27"/>
        <v>3.2949113580555442E-3</v>
      </c>
      <c r="V40" s="3">
        <f t="shared" si="27"/>
        <v>3.2949110615135358E-3</v>
      </c>
      <c r="W40" s="3">
        <f t="shared" si="27"/>
        <v>3.2949080960949146E-3</v>
      </c>
      <c r="X40" s="3">
        <f t="shared" si="27"/>
        <v>3.2948784420554931E-3</v>
      </c>
      <c r="Y40" s="3">
        <f t="shared" si="27"/>
        <v>3.2945819163395654E-3</v>
      </c>
      <c r="Z40" s="3">
        <f t="shared" si="27"/>
        <v>3.2916181265203342E-3</v>
      </c>
      <c r="AA40" s="3">
        <f t="shared" si="27"/>
        <v>3.2621264748824018E-3</v>
      </c>
      <c r="AB40" s="3">
        <f t="shared" si="27"/>
        <v>2.9813591156939265E-3</v>
      </c>
      <c r="AC40" s="3">
        <f t="shared" si="27"/>
        <v>1.2121301612322134E-3</v>
      </c>
      <c r="AD40" s="3">
        <f t="shared" si="27"/>
        <v>1.4958874572522276E-7</v>
      </c>
      <c r="AE40" s="3">
        <f t="shared" si="27"/>
        <v>1.2257320708793824E-46</v>
      </c>
      <c r="AF40" s="3">
        <f t="shared" si="29"/>
        <v>0</v>
      </c>
      <c r="AG40" s="3">
        <f t="shared" si="29"/>
        <v>0</v>
      </c>
      <c r="AH40" s="3">
        <f t="shared" si="29"/>
        <v>0</v>
      </c>
      <c r="AI40" s="3">
        <f t="shared" si="29"/>
        <v>0</v>
      </c>
      <c r="AJ40" s="3">
        <f t="shared" si="29"/>
        <v>0</v>
      </c>
    </row>
    <row r="41" spans="1:36" x14ac:dyDescent="0.25">
      <c r="A41" s="3">
        <f t="shared" si="30"/>
        <v>1000000000</v>
      </c>
      <c r="B41" s="106">
        <v>4.1763915790264576E-3</v>
      </c>
      <c r="C41" s="18">
        <f t="shared" si="3"/>
        <v>4.0317394660720415E-3</v>
      </c>
      <c r="D41" s="17"/>
      <c r="F41" s="3">
        <f t="shared" si="28"/>
        <v>4.0317394660720415E-3</v>
      </c>
      <c r="G41" s="3">
        <f t="shared" si="28"/>
        <v>4.0317394660720415E-3</v>
      </c>
      <c r="H41" s="3">
        <f t="shared" si="28"/>
        <v>4.0317394660720415E-3</v>
      </c>
      <c r="I41" s="3">
        <f t="shared" si="28"/>
        <v>4.0317394660720415E-3</v>
      </c>
      <c r="J41" s="3">
        <f t="shared" si="28"/>
        <v>4.0317394660720415E-3</v>
      </c>
      <c r="K41" s="3">
        <f t="shared" si="28"/>
        <v>4.0317394660720415E-3</v>
      </c>
      <c r="L41" s="3">
        <f t="shared" si="28"/>
        <v>4.0317394660720415E-3</v>
      </c>
      <c r="M41" s="3">
        <f t="shared" si="28"/>
        <v>4.0317394660720415E-3</v>
      </c>
      <c r="N41" s="3">
        <f t="shared" si="28"/>
        <v>4.0317394660720407E-3</v>
      </c>
      <c r="O41" s="3">
        <f t="shared" si="28"/>
        <v>4.0317394660720372E-3</v>
      </c>
      <c r="P41" s="3">
        <f t="shared" si="27"/>
        <v>4.0317394660720016E-3</v>
      </c>
      <c r="Q41" s="3">
        <f t="shared" si="27"/>
        <v>4.0317394660716382E-3</v>
      </c>
      <c r="R41" s="3">
        <f t="shared" si="27"/>
        <v>4.03173946606801E-3</v>
      </c>
      <c r="S41" s="3">
        <f t="shared" si="27"/>
        <v>4.031739466031724E-3</v>
      </c>
      <c r="T41" s="3">
        <f t="shared" si="27"/>
        <v>4.0317394656688675E-3</v>
      </c>
      <c r="U41" s="3">
        <f t="shared" si="27"/>
        <v>4.0317394620403022E-3</v>
      </c>
      <c r="V41" s="3">
        <f t="shared" si="27"/>
        <v>4.0317394257546471E-3</v>
      </c>
      <c r="W41" s="3">
        <f t="shared" si="27"/>
        <v>4.031739062898115E-3</v>
      </c>
      <c r="X41" s="3">
        <f t="shared" si="27"/>
        <v>4.0317354343345916E-3</v>
      </c>
      <c r="Y41" s="3">
        <f t="shared" si="27"/>
        <v>4.031699148878967E-3</v>
      </c>
      <c r="Z41" s="3">
        <f t="shared" si="27"/>
        <v>4.0313363122834595E-3</v>
      </c>
      <c r="AA41" s="3">
        <f t="shared" si="27"/>
        <v>4.0277097418039143E-3</v>
      </c>
      <c r="AB41" s="3">
        <f t="shared" si="27"/>
        <v>3.9916229881045845E-3</v>
      </c>
      <c r="AC41" s="3">
        <f t="shared" si="27"/>
        <v>3.648068728674304E-3</v>
      </c>
      <c r="AD41" s="3">
        <f t="shared" si="27"/>
        <v>1.4831940617274319E-3</v>
      </c>
      <c r="AE41" s="3">
        <f t="shared" si="27"/>
        <v>1.8304068858030887E-7</v>
      </c>
      <c r="AF41" s="3">
        <f t="shared" si="29"/>
        <v>1.4998377129309674E-46</v>
      </c>
      <c r="AG41" s="3">
        <f t="shared" si="29"/>
        <v>0</v>
      </c>
      <c r="AH41" s="3">
        <f t="shared" si="29"/>
        <v>0</v>
      </c>
      <c r="AI41" s="3">
        <f t="shared" si="29"/>
        <v>0</v>
      </c>
      <c r="AJ41" s="3">
        <f t="shared" si="29"/>
        <v>0</v>
      </c>
    </row>
    <row r="42" spans="1:36" x14ac:dyDescent="0.25">
      <c r="A42" s="3">
        <f t="shared" si="30"/>
        <v>10000000000</v>
      </c>
      <c r="B42" s="106">
        <v>2.2274124469526127E-3</v>
      </c>
      <c r="C42" s="18">
        <f t="shared" si="3"/>
        <v>2.1502645285220883E-3</v>
      </c>
      <c r="D42" s="17"/>
      <c r="F42" s="3">
        <f t="shared" si="28"/>
        <v>2.1502645285220883E-3</v>
      </c>
      <c r="G42" s="3">
        <f t="shared" si="28"/>
        <v>2.1502645285220883E-3</v>
      </c>
      <c r="H42" s="3">
        <f t="shared" si="28"/>
        <v>2.1502645285220883E-3</v>
      </c>
      <c r="I42" s="3">
        <f t="shared" si="28"/>
        <v>2.1502645285220883E-3</v>
      </c>
      <c r="J42" s="3">
        <f t="shared" si="28"/>
        <v>2.1502645285220883E-3</v>
      </c>
      <c r="K42" s="3">
        <f t="shared" si="28"/>
        <v>2.1502645285220883E-3</v>
      </c>
      <c r="L42" s="3">
        <f t="shared" si="28"/>
        <v>2.1502645285220883E-3</v>
      </c>
      <c r="M42" s="3">
        <f t="shared" si="28"/>
        <v>2.1502645285220883E-3</v>
      </c>
      <c r="N42" s="3">
        <f t="shared" si="28"/>
        <v>2.1502645285220883E-3</v>
      </c>
      <c r="O42" s="3">
        <f t="shared" si="28"/>
        <v>2.1502645285220879E-3</v>
      </c>
      <c r="P42" s="3">
        <f t="shared" si="27"/>
        <v>2.1502645285220862E-3</v>
      </c>
      <c r="Q42" s="3">
        <f t="shared" si="27"/>
        <v>2.1502645285220666E-3</v>
      </c>
      <c r="R42" s="3">
        <f t="shared" si="27"/>
        <v>2.1502645285218732E-3</v>
      </c>
      <c r="S42" s="3">
        <f t="shared" si="27"/>
        <v>2.1502645285199381E-3</v>
      </c>
      <c r="T42" s="3">
        <f t="shared" si="27"/>
        <v>2.1502645285005856E-3</v>
      </c>
      <c r="U42" s="3">
        <f t="shared" si="27"/>
        <v>2.150264528307062E-3</v>
      </c>
      <c r="V42" s="3">
        <f t="shared" si="27"/>
        <v>2.150264526371824E-3</v>
      </c>
      <c r="W42" s="3">
        <f t="shared" si="27"/>
        <v>2.1502645070194432E-3</v>
      </c>
      <c r="X42" s="3">
        <f t="shared" si="27"/>
        <v>2.1502643134956464E-3</v>
      </c>
      <c r="Y42" s="3">
        <f t="shared" si="27"/>
        <v>2.1502623782586349E-3</v>
      </c>
      <c r="Z42" s="3">
        <f t="shared" si="27"/>
        <v>2.1502430259843159E-3</v>
      </c>
      <c r="AA42" s="3">
        <f t="shared" si="27"/>
        <v>2.1500495128202006E-3</v>
      </c>
      <c r="AB42" s="3">
        <f t="shared" si="27"/>
        <v>2.1481153387675426E-3</v>
      </c>
      <c r="AC42" s="3">
        <f t="shared" si="27"/>
        <v>2.1288690389800269E-3</v>
      </c>
      <c r="AD42" s="3">
        <f t="shared" si="27"/>
        <v>1.9456398040822362E-3</v>
      </c>
      <c r="AE42" s="3">
        <f t="shared" si="27"/>
        <v>7.9103811312348073E-4</v>
      </c>
      <c r="AF42" s="3">
        <f t="shared" si="29"/>
        <v>9.7621858565665424E-8</v>
      </c>
      <c r="AG42" s="3">
        <f t="shared" si="29"/>
        <v>7.9991474146447904E-47</v>
      </c>
      <c r="AH42" s="3">
        <f t="shared" si="29"/>
        <v>0</v>
      </c>
      <c r="AI42" s="3">
        <f t="shared" si="29"/>
        <v>0</v>
      </c>
      <c r="AJ42" s="3">
        <f t="shared" si="29"/>
        <v>0</v>
      </c>
    </row>
    <row r="43" spans="1:36" x14ac:dyDescent="0.25">
      <c r="A43" s="3">
        <f t="shared" si="30"/>
        <v>100000000000</v>
      </c>
      <c r="B43" s="106">
        <v>0</v>
      </c>
      <c r="C43" s="18">
        <f t="shared" si="3"/>
        <v>0</v>
      </c>
      <c r="D43" s="17"/>
      <c r="F43" s="3">
        <f t="shared" si="28"/>
        <v>0</v>
      </c>
      <c r="G43" s="3">
        <f t="shared" si="28"/>
        <v>0</v>
      </c>
      <c r="H43" s="3">
        <f t="shared" si="28"/>
        <v>0</v>
      </c>
      <c r="I43" s="3">
        <f t="shared" si="28"/>
        <v>0</v>
      </c>
      <c r="J43" s="3">
        <f t="shared" si="28"/>
        <v>0</v>
      </c>
      <c r="K43" s="3">
        <f t="shared" si="28"/>
        <v>0</v>
      </c>
      <c r="L43" s="3">
        <f t="shared" si="28"/>
        <v>0</v>
      </c>
      <c r="M43" s="3">
        <f t="shared" si="28"/>
        <v>0</v>
      </c>
      <c r="N43" s="3">
        <f t="shared" si="28"/>
        <v>0</v>
      </c>
      <c r="O43" s="3">
        <f t="shared" si="28"/>
        <v>0</v>
      </c>
      <c r="P43" s="3">
        <f t="shared" si="27"/>
        <v>0</v>
      </c>
      <c r="Q43" s="3">
        <f t="shared" si="27"/>
        <v>0</v>
      </c>
      <c r="R43" s="3">
        <f t="shared" si="27"/>
        <v>0</v>
      </c>
      <c r="S43" s="3">
        <f t="shared" si="27"/>
        <v>0</v>
      </c>
      <c r="T43" s="3">
        <f t="shared" si="27"/>
        <v>0</v>
      </c>
      <c r="U43" s="3">
        <f t="shared" si="27"/>
        <v>0</v>
      </c>
      <c r="V43" s="3">
        <f t="shared" si="27"/>
        <v>0</v>
      </c>
      <c r="W43" s="3">
        <f t="shared" si="27"/>
        <v>0</v>
      </c>
      <c r="X43" s="3">
        <f t="shared" si="27"/>
        <v>0</v>
      </c>
      <c r="Y43" s="3">
        <f t="shared" si="27"/>
        <v>0</v>
      </c>
      <c r="Z43" s="3">
        <f t="shared" si="27"/>
        <v>0</v>
      </c>
      <c r="AA43" s="3">
        <f t="shared" si="27"/>
        <v>0</v>
      </c>
      <c r="AB43" s="3">
        <f t="shared" si="27"/>
        <v>0</v>
      </c>
      <c r="AC43" s="3">
        <f t="shared" si="27"/>
        <v>0</v>
      </c>
      <c r="AD43" s="3">
        <f t="shared" si="27"/>
        <v>0</v>
      </c>
      <c r="AE43" s="3">
        <f t="shared" si="27"/>
        <v>0</v>
      </c>
      <c r="AF43" s="3">
        <f t="shared" si="29"/>
        <v>0</v>
      </c>
      <c r="AG43" s="3">
        <f t="shared" si="29"/>
        <v>0</v>
      </c>
      <c r="AH43" s="3">
        <f t="shared" si="29"/>
        <v>0</v>
      </c>
      <c r="AI43" s="3">
        <f t="shared" si="29"/>
        <v>0</v>
      </c>
      <c r="AJ43" s="3">
        <f t="shared" si="29"/>
        <v>0</v>
      </c>
    </row>
    <row r="44" spans="1:36" x14ac:dyDescent="0.25">
      <c r="A44" s="3">
        <f t="shared" si="30"/>
        <v>1000000000000</v>
      </c>
      <c r="B44" s="106">
        <v>3.1661348247578845E-3</v>
      </c>
      <c r="C44" s="18">
        <f t="shared" si="3"/>
        <v>3.0564736295290245E-3</v>
      </c>
      <c r="D44" s="17"/>
      <c r="F44" s="3">
        <f t="shared" si="28"/>
        <v>3.0564736295290245E-3</v>
      </c>
      <c r="G44" s="3">
        <f t="shared" si="28"/>
        <v>3.0564736295290245E-3</v>
      </c>
      <c r="H44" s="3">
        <f t="shared" si="28"/>
        <v>3.0564736295290245E-3</v>
      </c>
      <c r="I44" s="3">
        <f t="shared" si="28"/>
        <v>3.0564736295290245E-3</v>
      </c>
      <c r="J44" s="3">
        <f t="shared" si="28"/>
        <v>3.0564736295290245E-3</v>
      </c>
      <c r="K44" s="3">
        <f t="shared" si="28"/>
        <v>3.0564736295290245E-3</v>
      </c>
      <c r="L44" s="3">
        <f t="shared" si="28"/>
        <v>3.0564736295290245E-3</v>
      </c>
      <c r="M44" s="3">
        <f t="shared" si="28"/>
        <v>3.0564736295290245E-3</v>
      </c>
      <c r="N44" s="3">
        <f t="shared" si="28"/>
        <v>3.0564736295290245E-3</v>
      </c>
      <c r="O44" s="3">
        <f t="shared" si="28"/>
        <v>3.0564736295290245E-3</v>
      </c>
      <c r="P44" s="3">
        <f t="shared" si="27"/>
        <v>3.0564736295290245E-3</v>
      </c>
      <c r="Q44" s="3">
        <f t="shared" si="27"/>
        <v>3.0564736295290241E-3</v>
      </c>
      <c r="R44" s="3">
        <f t="shared" si="27"/>
        <v>3.0564736295290214E-3</v>
      </c>
      <c r="S44" s="3">
        <f t="shared" si="27"/>
        <v>3.0564736295289941E-3</v>
      </c>
      <c r="T44" s="3">
        <f t="shared" si="27"/>
        <v>3.0564736295287187E-3</v>
      </c>
      <c r="U44" s="3">
        <f t="shared" si="27"/>
        <v>3.0564736295259679E-3</v>
      </c>
      <c r="V44" s="3">
        <f t="shared" si="27"/>
        <v>3.05647362949846E-3</v>
      </c>
      <c r="W44" s="3">
        <f t="shared" si="27"/>
        <v>3.0564736292233771E-3</v>
      </c>
      <c r="X44" s="3">
        <f t="shared" si="27"/>
        <v>3.056473626472551E-3</v>
      </c>
      <c r="Y44" s="3">
        <f t="shared" si="27"/>
        <v>3.0564735989642884E-3</v>
      </c>
      <c r="Z44" s="3">
        <f t="shared" si="27"/>
        <v>3.0564733238816768E-3</v>
      </c>
      <c r="AA44" s="3">
        <f t="shared" si="27"/>
        <v>3.056470573056923E-3</v>
      </c>
      <c r="AB44" s="3">
        <f t="shared" si="27"/>
        <v>3.0564430649455522E-3</v>
      </c>
      <c r="AC44" s="3">
        <f t="shared" si="27"/>
        <v>3.0561679974479305E-3</v>
      </c>
      <c r="AD44" s="3">
        <f t="shared" si="27"/>
        <v>3.0534186836270252E-3</v>
      </c>
      <c r="AE44" s="3">
        <f t="shared" si="27"/>
        <v>3.026061208773927E-3</v>
      </c>
      <c r="AF44" s="3">
        <f t="shared" si="29"/>
        <v>2.7656117072380406E-3</v>
      </c>
      <c r="AG44" s="3">
        <f t="shared" si="29"/>
        <v>1.1244138107863876E-3</v>
      </c>
      <c r="AH44" s="3">
        <f t="shared" si="29"/>
        <v>1.3876368810150487E-7</v>
      </c>
      <c r="AI44" s="3">
        <f t="shared" si="29"/>
        <v>1.1370314120552133E-46</v>
      </c>
      <c r="AJ44" s="3">
        <f t="shared" si="29"/>
        <v>0</v>
      </c>
    </row>
    <row r="45" spans="1:36" x14ac:dyDescent="0.25">
      <c r="A45" s="3">
        <f t="shared" si="30"/>
        <v>10000000000000</v>
      </c>
      <c r="B45" s="106">
        <v>1.3831272025351441E-3</v>
      </c>
      <c r="C45" s="18">
        <f t="shared" si="3"/>
        <v>1.3352216676863077E-3</v>
      </c>
      <c r="D45" s="17"/>
      <c r="F45" s="3">
        <f t="shared" si="28"/>
        <v>1.3352216676863077E-3</v>
      </c>
      <c r="G45" s="3">
        <f t="shared" si="28"/>
        <v>1.3352216676863077E-3</v>
      </c>
      <c r="H45" s="3">
        <f t="shared" si="28"/>
        <v>1.3352216676863077E-3</v>
      </c>
      <c r="I45" s="3">
        <f t="shared" si="28"/>
        <v>1.3352216676863077E-3</v>
      </c>
      <c r="J45" s="3">
        <f t="shared" si="28"/>
        <v>1.3352216676863077E-3</v>
      </c>
      <c r="K45" s="3">
        <f t="shared" si="28"/>
        <v>1.3352216676863077E-3</v>
      </c>
      <c r="L45" s="3">
        <f t="shared" si="28"/>
        <v>1.3352216676863077E-3</v>
      </c>
      <c r="M45" s="3">
        <f t="shared" si="28"/>
        <v>1.3352216676863077E-3</v>
      </c>
      <c r="N45" s="3">
        <f t="shared" si="28"/>
        <v>1.3352216676863077E-3</v>
      </c>
      <c r="O45" s="3">
        <f t="shared" si="28"/>
        <v>1.3352216676863077E-3</v>
      </c>
      <c r="P45" s="3">
        <f t="shared" si="27"/>
        <v>1.3352216676863077E-3</v>
      </c>
      <c r="Q45" s="3">
        <f t="shared" si="27"/>
        <v>1.3352216676863077E-3</v>
      </c>
      <c r="R45" s="3">
        <f t="shared" si="27"/>
        <v>1.3352216676863074E-3</v>
      </c>
      <c r="S45" s="3">
        <f t="shared" si="27"/>
        <v>1.3352216676863064E-3</v>
      </c>
      <c r="T45" s="3">
        <f t="shared" si="27"/>
        <v>1.3352216676862942E-3</v>
      </c>
      <c r="U45" s="3">
        <f t="shared" si="27"/>
        <v>1.3352216676861741E-3</v>
      </c>
      <c r="V45" s="3">
        <f t="shared" si="27"/>
        <v>1.3352216676849726E-3</v>
      </c>
      <c r="W45" s="3">
        <f t="shared" si="27"/>
        <v>1.3352216676729555E-3</v>
      </c>
      <c r="X45" s="3">
        <f t="shared" si="27"/>
        <v>1.3352216675527856E-3</v>
      </c>
      <c r="Y45" s="3">
        <f t="shared" si="27"/>
        <v>1.335221666351086E-3</v>
      </c>
      <c r="Z45" s="3">
        <f t="shared" si="27"/>
        <v>1.335221654334091E-3</v>
      </c>
      <c r="AA45" s="3">
        <f t="shared" si="27"/>
        <v>1.3352215341641475E-3</v>
      </c>
      <c r="AB45" s="3">
        <f t="shared" si="27"/>
        <v>1.3352203324653077E-3</v>
      </c>
      <c r="AC45" s="3">
        <f t="shared" si="27"/>
        <v>1.3352083155363916E-3</v>
      </c>
      <c r="AD45" s="3">
        <f t="shared" si="27"/>
        <v>1.3350881521954248E-3</v>
      </c>
      <c r="AE45" s="3">
        <f t="shared" si="27"/>
        <v>1.3338871134069739E-3</v>
      </c>
      <c r="AF45" s="3">
        <f t="shared" si="29"/>
        <v>1.3219359901111159E-3</v>
      </c>
      <c r="AG45" s="3">
        <f t="shared" si="29"/>
        <v>1.2081585262949466E-3</v>
      </c>
      <c r="AH45" s="3">
        <f t="shared" si="29"/>
        <v>4.9120060094844011E-4</v>
      </c>
      <c r="AI45" s="3">
        <f t="shared" si="29"/>
        <v>6.0618969930306267E-8</v>
      </c>
      <c r="AJ45" s="3">
        <f t="shared" si="29"/>
        <v>4.9671260486223095E-47</v>
      </c>
    </row>
    <row r="46" spans="1:36" x14ac:dyDescent="0.25">
      <c r="A46" s="3">
        <f t="shared" si="30"/>
        <v>100000000000000</v>
      </c>
      <c r="B46" s="106">
        <v>0</v>
      </c>
      <c r="C46" s="18">
        <f t="shared" si="3"/>
        <v>0</v>
      </c>
      <c r="D46" s="17"/>
      <c r="F46" s="3">
        <f t="shared" si="28"/>
        <v>0</v>
      </c>
      <c r="G46" s="3">
        <f t="shared" si="28"/>
        <v>0</v>
      </c>
      <c r="H46" s="3">
        <f t="shared" si="28"/>
        <v>0</v>
      </c>
      <c r="I46" s="3">
        <f t="shared" si="28"/>
        <v>0</v>
      </c>
      <c r="J46" s="3">
        <f t="shared" si="28"/>
        <v>0</v>
      </c>
      <c r="K46" s="3">
        <f t="shared" si="28"/>
        <v>0</v>
      </c>
      <c r="L46" s="3">
        <f t="shared" si="28"/>
        <v>0</v>
      </c>
      <c r="M46" s="3">
        <f t="shared" si="28"/>
        <v>0</v>
      </c>
      <c r="N46" s="3">
        <f t="shared" si="28"/>
        <v>0</v>
      </c>
      <c r="O46" s="3">
        <f t="shared" si="28"/>
        <v>0</v>
      </c>
      <c r="P46" s="3">
        <f t="shared" si="27"/>
        <v>0</v>
      </c>
      <c r="Q46" s="3">
        <f t="shared" si="27"/>
        <v>0</v>
      </c>
      <c r="R46" s="3">
        <f t="shared" si="27"/>
        <v>0</v>
      </c>
      <c r="S46" s="3">
        <f t="shared" si="27"/>
        <v>0</v>
      </c>
      <c r="T46" s="3">
        <f t="shared" si="27"/>
        <v>0</v>
      </c>
      <c r="U46" s="3">
        <f t="shared" si="27"/>
        <v>0</v>
      </c>
      <c r="V46" s="3">
        <f t="shared" si="27"/>
        <v>0</v>
      </c>
      <c r="W46" s="3">
        <f t="shared" si="27"/>
        <v>0</v>
      </c>
      <c r="X46" s="3">
        <f t="shared" si="27"/>
        <v>0</v>
      </c>
      <c r="Y46" s="3">
        <f t="shared" si="27"/>
        <v>0</v>
      </c>
      <c r="Z46" s="3">
        <f t="shared" si="27"/>
        <v>0</v>
      </c>
      <c r="AA46" s="3">
        <f t="shared" si="27"/>
        <v>0</v>
      </c>
      <c r="AB46" s="3">
        <f t="shared" si="27"/>
        <v>0</v>
      </c>
      <c r="AC46" s="3">
        <f t="shared" si="27"/>
        <v>0</v>
      </c>
      <c r="AD46" s="3">
        <f t="shared" si="27"/>
        <v>0</v>
      </c>
      <c r="AE46" s="3">
        <f t="shared" si="27"/>
        <v>0</v>
      </c>
      <c r="AF46" s="3">
        <f t="shared" si="29"/>
        <v>0</v>
      </c>
      <c r="AG46" s="3">
        <f t="shared" si="29"/>
        <v>0</v>
      </c>
      <c r="AH46" s="3">
        <f t="shared" si="29"/>
        <v>0</v>
      </c>
      <c r="AI46" s="3">
        <f t="shared" si="29"/>
        <v>0</v>
      </c>
      <c r="AJ46" s="3">
        <f t="shared" si="29"/>
        <v>0</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0</v>
      </c>
      <c r="C48" s="18">
        <f t="shared" si="3"/>
        <v>0</v>
      </c>
      <c r="D48" s="17"/>
      <c r="F48" s="3">
        <f t="shared" si="28"/>
        <v>0</v>
      </c>
      <c r="G48" s="3">
        <f t="shared" si="28"/>
        <v>0</v>
      </c>
      <c r="H48" s="3">
        <f t="shared" si="28"/>
        <v>0</v>
      </c>
      <c r="I48" s="3">
        <f t="shared" si="28"/>
        <v>0</v>
      </c>
      <c r="J48" s="3">
        <f t="shared" si="28"/>
        <v>0</v>
      </c>
      <c r="K48" s="3">
        <f t="shared" si="28"/>
        <v>0</v>
      </c>
      <c r="L48" s="3">
        <f t="shared" si="28"/>
        <v>0</v>
      </c>
      <c r="M48" s="3">
        <f t="shared" si="28"/>
        <v>0</v>
      </c>
      <c r="N48" s="3">
        <f t="shared" si="28"/>
        <v>0</v>
      </c>
      <c r="O48" s="3">
        <f t="shared" si="28"/>
        <v>0</v>
      </c>
      <c r="P48" s="3">
        <f t="shared" si="27"/>
        <v>0</v>
      </c>
      <c r="Q48" s="3">
        <f t="shared" si="27"/>
        <v>0</v>
      </c>
      <c r="R48" s="3">
        <f t="shared" si="27"/>
        <v>0</v>
      </c>
      <c r="S48" s="3">
        <f t="shared" si="27"/>
        <v>0</v>
      </c>
      <c r="T48" s="3">
        <f t="shared" si="27"/>
        <v>0</v>
      </c>
      <c r="U48" s="3">
        <f t="shared" si="27"/>
        <v>0</v>
      </c>
      <c r="V48" s="3">
        <f t="shared" si="27"/>
        <v>0</v>
      </c>
      <c r="W48" s="3">
        <f t="shared" si="27"/>
        <v>0</v>
      </c>
      <c r="X48" s="3">
        <f t="shared" si="27"/>
        <v>0</v>
      </c>
      <c r="Y48" s="3">
        <f t="shared" si="27"/>
        <v>0</v>
      </c>
      <c r="Z48" s="3">
        <f t="shared" si="27"/>
        <v>0</v>
      </c>
      <c r="AA48" s="3">
        <f t="shared" si="27"/>
        <v>0</v>
      </c>
      <c r="AB48" s="3">
        <f t="shared" si="27"/>
        <v>0</v>
      </c>
      <c r="AC48" s="3">
        <f t="shared" si="27"/>
        <v>0</v>
      </c>
      <c r="AD48" s="3">
        <f t="shared" si="27"/>
        <v>0</v>
      </c>
      <c r="AE48" s="3">
        <f t="shared" si="27"/>
        <v>0</v>
      </c>
      <c r="AF48" s="3">
        <f t="shared" si="29"/>
        <v>0</v>
      </c>
      <c r="AG48" s="3">
        <f t="shared" si="29"/>
        <v>0</v>
      </c>
      <c r="AH48" s="3">
        <f t="shared" si="29"/>
        <v>0</v>
      </c>
      <c r="AI48" s="3">
        <f t="shared" si="29"/>
        <v>0</v>
      </c>
      <c r="AJ48" s="3">
        <f t="shared" si="29"/>
        <v>0</v>
      </c>
    </row>
    <row r="49" spans="1:36" x14ac:dyDescent="0.25">
      <c r="B49" s="16">
        <f>SUM(B17:B48)</f>
        <v>1.0358783384124135</v>
      </c>
      <c r="C49" s="18">
        <f>SUM(C17:C48)</f>
        <v>0.99999999999999989</v>
      </c>
      <c r="F49" s="3">
        <f t="shared" ref="F49:AJ49" si="31">F16-F17</f>
        <v>91.83155284266104</v>
      </c>
      <c r="G49" s="3">
        <f t="shared" si="31"/>
        <v>-118.75669463977647</v>
      </c>
      <c r="H49" s="3">
        <f t="shared" si="31"/>
        <v>31.438985444430728</v>
      </c>
      <c r="I49" s="3">
        <f t="shared" si="31"/>
        <v>-5.1371491075915401</v>
      </c>
      <c r="J49" s="3">
        <f t="shared" si="31"/>
        <v>0.71356178497626388</v>
      </c>
      <c r="K49" s="3">
        <f t="shared" si="31"/>
        <v>-0.10330893216996628</v>
      </c>
      <c r="L49" s="3">
        <f t="shared" si="31"/>
        <v>6.3357183089465252E-2</v>
      </c>
      <c r="M49" s="3">
        <f t="shared" si="31"/>
        <v>-0.13365294300820096</v>
      </c>
      <c r="N49" s="3">
        <f t="shared" si="31"/>
        <v>0.32286380555160576</v>
      </c>
      <c r="O49" s="3">
        <f t="shared" si="31"/>
        <v>-0.6750084750874521</v>
      </c>
      <c r="P49" s="3">
        <f t="shared" si="31"/>
        <v>1.1715856536011415</v>
      </c>
      <c r="Q49" s="3">
        <f t="shared" si="31"/>
        <v>-1.7011560094124434</v>
      </c>
      <c r="R49" s="3">
        <f t="shared" si="31"/>
        <v>2.0908307095578493</v>
      </c>
      <c r="S49" s="3">
        <f t="shared" si="31"/>
        <v>-2.1890551241040157</v>
      </c>
      <c r="T49" s="3">
        <f t="shared" si="31"/>
        <v>1.9703697389468289</v>
      </c>
      <c r="U49" s="3">
        <f t="shared" si="31"/>
        <v>-1.5359913931115443</v>
      </c>
      <c r="V49" s="3">
        <f t="shared" si="31"/>
        <v>1.0148316382428675</v>
      </c>
      <c r="W49" s="3">
        <f t="shared" si="31"/>
        <v>-0.57790857521695216</v>
      </c>
      <c r="X49" s="3">
        <f t="shared" si="31"/>
        <v>0.28117580735079173</v>
      </c>
      <c r="Y49" s="3">
        <f t="shared" si="31"/>
        <v>-0.10873651883821367</v>
      </c>
      <c r="Z49" s="3">
        <f t="shared" si="31"/>
        <v>3.7029929719210486E-2</v>
      </c>
      <c r="AA49" s="3">
        <f t="shared" si="31"/>
        <v>-1.0559401052319117E-2</v>
      </c>
      <c r="AB49" s="3">
        <f t="shared" si="31"/>
        <v>2.4677848649957923E-2</v>
      </c>
      <c r="AC49" s="3">
        <f t="shared" si="31"/>
        <v>-3.9463990495619328E-2</v>
      </c>
      <c r="AD49" s="3">
        <f t="shared" si="31"/>
        <v>5.9160233500278991E-2</v>
      </c>
      <c r="AE49" s="3">
        <f t="shared" si="31"/>
        <v>-8.9764740566579349E-2</v>
      </c>
      <c r="AF49" s="3">
        <f t="shared" si="31"/>
        <v>-0.45212225970010422</v>
      </c>
      <c r="AG49" s="3">
        <f t="shared" si="31"/>
        <v>1.2474089328594005</v>
      </c>
      <c r="AH49" s="3">
        <f t="shared" si="31"/>
        <v>-1.7214564247011026</v>
      </c>
      <c r="AI49" s="3">
        <f t="shared" si="31"/>
        <v>0.59547329168771057</v>
      </c>
      <c r="AJ49" s="3">
        <f t="shared" si="31"/>
        <v>0.35884005318598611</v>
      </c>
    </row>
    <row r="50" spans="1:36" x14ac:dyDescent="0.25">
      <c r="F50" s="57">
        <f t="shared" ref="F50:AJ50" si="32">F49/F17</f>
        <v>1.0138167639075371E-2</v>
      </c>
      <c r="G50" s="57">
        <f t="shared" si="32"/>
        <v>-1.3285179777369168E-2</v>
      </c>
      <c r="H50" s="57">
        <f t="shared" si="32"/>
        <v>3.6976456535735354E-3</v>
      </c>
      <c r="I50" s="57">
        <f t="shared" si="32"/>
        <v>-6.2051566396108303E-4</v>
      </c>
      <c r="J50" s="57">
        <f t="shared" si="32"/>
        <v>8.9437008690949562E-5</v>
      </c>
      <c r="K50" s="57">
        <f t="shared" si="32"/>
        <v>-1.3547962041070704E-5</v>
      </c>
      <c r="L50" s="57">
        <f t="shared" si="32"/>
        <v>8.7377171301589969E-6</v>
      </c>
      <c r="M50" s="57">
        <f t="shared" si="32"/>
        <v>-1.9301382152305206E-5</v>
      </c>
      <c r="N50" s="57">
        <f t="shared" si="32"/>
        <v>4.859743998010943E-5</v>
      </c>
      <c r="O50" s="57">
        <f t="shared" si="32"/>
        <v>-1.0611819187407045E-4</v>
      </c>
      <c r="P50" s="57">
        <f t="shared" si="32"/>
        <v>1.9282172557617613E-4</v>
      </c>
      <c r="Q50" s="57">
        <f t="shared" si="32"/>
        <v>-2.9350262748715041E-4</v>
      </c>
      <c r="R50" s="57">
        <f t="shared" si="32"/>
        <v>3.8047131368035568E-4</v>
      </c>
      <c r="S50" s="57">
        <f t="shared" si="32"/>
        <v>-4.2550937899664117E-4</v>
      </c>
      <c r="T50" s="57">
        <f t="shared" si="32"/>
        <v>4.14521744000553E-4</v>
      </c>
      <c r="U50" s="57">
        <f t="shared" si="32"/>
        <v>-3.6043518940864419E-4</v>
      </c>
      <c r="V50" s="57">
        <f t="shared" si="32"/>
        <v>2.8128305884388724E-4</v>
      </c>
      <c r="W50" s="57">
        <f t="shared" si="32"/>
        <v>-1.995902521339065E-4</v>
      </c>
      <c r="X50" s="57">
        <f t="shared" si="32"/>
        <v>1.2735724794543633E-4</v>
      </c>
      <c r="Y50" s="57">
        <f t="shared" si="32"/>
        <v>-6.835078820671731E-5</v>
      </c>
      <c r="Z50" s="57">
        <f t="shared" si="32"/>
        <v>3.2643603095080873E-5</v>
      </c>
      <c r="AA50" s="57">
        <f t="shared" si="32"/>
        <v>-1.2751059853807322E-5</v>
      </c>
      <c r="AB50" s="57">
        <f t="shared" si="32"/>
        <v>3.6570086916389813E-5</v>
      </c>
      <c r="AC50" s="57">
        <f t="shared" si="32"/>
        <v>-6.6811902719170446E-5</v>
      </c>
      <c r="AD50" s="57">
        <f t="shared" si="32"/>
        <v>1.0711634937813678E-4</v>
      </c>
      <c r="AE50" s="57">
        <f t="shared" si="32"/>
        <v>-1.7144185685755408E-4</v>
      </c>
      <c r="AF50" s="57">
        <f t="shared" si="32"/>
        <v>-8.828189830464388E-4</v>
      </c>
      <c r="AG50" s="57">
        <f t="shared" si="32"/>
        <v>2.5290327769308674E-3</v>
      </c>
      <c r="AH50" s="57">
        <f t="shared" si="32"/>
        <v>-3.6363013712053679E-3</v>
      </c>
      <c r="AI50" s="57">
        <f t="shared" si="32"/>
        <v>1.2720570481842928E-3</v>
      </c>
      <c r="AJ50" s="57">
        <f t="shared" si="32"/>
        <v>7.6655941032485828E-4</v>
      </c>
    </row>
    <row r="51" spans="1:36" x14ac:dyDescent="0.25">
      <c r="A51" s="13" t="s">
        <v>21</v>
      </c>
      <c r="B51" s="3">
        <f>STUTT!D8</f>
        <v>10768.300999999999</v>
      </c>
      <c r="E51" s="11" t="s">
        <v>24</v>
      </c>
      <c r="F51" s="20">
        <f t="shared" ref="F51:AJ51" si="33">(F16-F17)^2</f>
        <v>8433.0340974944465</v>
      </c>
      <c r="G51" s="20">
        <f t="shared" si="33"/>
        <v>14103.152521765112</v>
      </c>
      <c r="H51" s="20">
        <f t="shared" si="33"/>
        <v>988.4098057751271</v>
      </c>
      <c r="I51" s="20">
        <f t="shared" si="33"/>
        <v>26.390300953628557</v>
      </c>
      <c r="J51" s="20">
        <f t="shared" si="33"/>
        <v>0.50917042097851184</v>
      </c>
      <c r="K51" s="20">
        <f t="shared" si="33"/>
        <v>1.0672735466098695E-2</v>
      </c>
      <c r="L51" s="20">
        <f t="shared" si="33"/>
        <v>4.0141326490320218E-3</v>
      </c>
      <c r="M51" s="20">
        <f t="shared" si="33"/>
        <v>1.7863109174753415E-2</v>
      </c>
      <c r="N51" s="20">
        <f t="shared" si="33"/>
        <v>0.1042410369352651</v>
      </c>
      <c r="O51" s="20">
        <f t="shared" si="33"/>
        <v>0.45563644143988746</v>
      </c>
      <c r="P51" s="20">
        <f t="shared" si="33"/>
        <v>1.372612943724014</v>
      </c>
      <c r="Q51" s="20">
        <f t="shared" si="33"/>
        <v>2.8939317683600692</v>
      </c>
      <c r="R51" s="20">
        <f t="shared" si="33"/>
        <v>4.3715730560301793</v>
      </c>
      <c r="S51" s="20">
        <f t="shared" si="33"/>
        <v>4.7919623363660477</v>
      </c>
      <c r="T51" s="20">
        <f t="shared" si="33"/>
        <v>3.8823569081573948</v>
      </c>
      <c r="U51" s="20">
        <f t="shared" si="33"/>
        <v>2.3592695597127427</v>
      </c>
      <c r="V51" s="20">
        <f t="shared" si="33"/>
        <v>1.0298832539787022</v>
      </c>
      <c r="W51" s="20">
        <f t="shared" si="33"/>
        <v>0.33397832130928767</v>
      </c>
      <c r="X51" s="20">
        <f t="shared" si="33"/>
        <v>7.9059834639369539E-2</v>
      </c>
      <c r="Y51" s="20">
        <f t="shared" si="33"/>
        <v>1.1823630529053197E-2</v>
      </c>
      <c r="Z51" s="20">
        <f t="shared" si="33"/>
        <v>1.3712156950096679E-3</v>
      </c>
      <c r="AA51" s="20">
        <f t="shared" si="33"/>
        <v>1.1150095058371808E-4</v>
      </c>
      <c r="AB51" s="20">
        <f t="shared" si="33"/>
        <v>6.0899621399023004E-4</v>
      </c>
      <c r="AC51" s="20">
        <f t="shared" si="33"/>
        <v>1.5574065458383325E-3</v>
      </c>
      <c r="AD51" s="20">
        <f t="shared" si="33"/>
        <v>3.4999332278075326E-3</v>
      </c>
      <c r="AE51" s="20">
        <f t="shared" si="33"/>
        <v>8.0577086489852963E-3</v>
      </c>
      <c r="AF51" s="20">
        <f t="shared" si="33"/>
        <v>0.20441453771632848</v>
      </c>
      <c r="AG51" s="20">
        <f t="shared" si="33"/>
        <v>1.5560290457774282</v>
      </c>
      <c r="AH51" s="20">
        <f t="shared" si="33"/>
        <v>2.963412222144703</v>
      </c>
      <c r="AI51" s="20">
        <f t="shared" si="33"/>
        <v>0.35458844111339721</v>
      </c>
      <c r="AJ51" s="20">
        <f t="shared" si="33"/>
        <v>0.12876618377052135</v>
      </c>
    </row>
    <row r="52" spans="1:36" x14ac:dyDescent="0.25">
      <c r="A52" s="13"/>
    </row>
    <row r="53" spans="1:36" x14ac:dyDescent="0.25">
      <c r="E53" s="119" t="s">
        <v>25</v>
      </c>
      <c r="F53" s="119"/>
      <c r="G53" s="104">
        <f>SUM(F51:AJ51)</f>
        <v>23578.437192669564</v>
      </c>
      <c r="I53" s="3">
        <f>G53+C123</f>
        <v>23578.437192669564</v>
      </c>
      <c r="K53" s="3">
        <f>SUM(Z51:AJ51)</f>
        <v>5.2224171918045927</v>
      </c>
    </row>
    <row r="55" spans="1:36" x14ac:dyDescent="0.25">
      <c r="E55" s="30" t="s">
        <v>30</v>
      </c>
      <c r="F55" s="31">
        <f t="shared" ref="F55:AJ55" si="34">ABS(F17-F16)/F16</f>
        <v>1.003641676343207E-2</v>
      </c>
      <c r="G55" s="31">
        <f t="shared" si="34"/>
        <v>1.3464052130454122E-2</v>
      </c>
      <c r="H55" s="31">
        <f t="shared" si="34"/>
        <v>3.6840234403118033E-3</v>
      </c>
      <c r="I55" s="31">
        <f t="shared" si="34"/>
        <v>6.209009427218102E-4</v>
      </c>
      <c r="J55" s="31">
        <f t="shared" si="34"/>
        <v>8.942901042776671E-5</v>
      </c>
      <c r="K55" s="31">
        <f t="shared" si="34"/>
        <v>1.3548145590832895E-5</v>
      </c>
      <c r="L55" s="31">
        <f t="shared" si="34"/>
        <v>8.73764078312545E-6</v>
      </c>
      <c r="M55" s="31">
        <f t="shared" si="34"/>
        <v>1.9301754702848935E-5</v>
      </c>
      <c r="N55" s="31">
        <f t="shared" si="34"/>
        <v>4.8595078383704351E-5</v>
      </c>
      <c r="O55" s="31">
        <f t="shared" si="34"/>
        <v>1.0612945413984835E-4</v>
      </c>
      <c r="P55" s="31">
        <f t="shared" si="34"/>
        <v>1.9278455252609361E-4</v>
      </c>
      <c r="Q55" s="31">
        <f t="shared" si="34"/>
        <v>2.9358879657034458E-4</v>
      </c>
      <c r="R55" s="31">
        <f t="shared" si="34"/>
        <v>3.8032661031530145E-4</v>
      </c>
      <c r="S55" s="31">
        <f t="shared" si="34"/>
        <v>4.2569051430302698E-4</v>
      </c>
      <c r="T55" s="31">
        <f t="shared" si="34"/>
        <v>4.1434998692134776E-4</v>
      </c>
      <c r="U55" s="31">
        <f t="shared" si="34"/>
        <v>3.6056514977669813E-4</v>
      </c>
      <c r="V55" s="31">
        <f t="shared" si="34"/>
        <v>2.812039609335968E-4</v>
      </c>
      <c r="W55" s="31">
        <f t="shared" si="34"/>
        <v>1.9963009635517155E-4</v>
      </c>
      <c r="X55" s="31">
        <f t="shared" si="34"/>
        <v>1.2734103014228686E-4</v>
      </c>
      <c r="Y55" s="31">
        <f t="shared" si="34"/>
        <v>6.8355460356310898E-5</v>
      </c>
      <c r="Z55" s="31">
        <f t="shared" si="34"/>
        <v>3.2642537525041889E-5</v>
      </c>
      <c r="AA55" s="31">
        <f t="shared" si="34"/>
        <v>1.2751222445407933E-5</v>
      </c>
      <c r="AB55" s="31">
        <f t="shared" si="34"/>
        <v>3.6568749594038736E-5</v>
      </c>
      <c r="AC55" s="31">
        <f t="shared" si="34"/>
        <v>6.6816366847772326E-5</v>
      </c>
      <c r="AD55" s="31">
        <f t="shared" si="34"/>
        <v>1.0710487669474464E-4</v>
      </c>
      <c r="AE55" s="31">
        <f t="shared" si="34"/>
        <v>1.7147125420777316E-4</v>
      </c>
      <c r="AF55" s="31">
        <f t="shared" si="34"/>
        <v>8.835990410532823E-4</v>
      </c>
      <c r="AG55" s="31">
        <f t="shared" si="34"/>
        <v>2.5226529050491782E-3</v>
      </c>
      <c r="AH55" s="31">
        <f t="shared" si="34"/>
        <v>3.6495723160224333E-3</v>
      </c>
      <c r="AI55" s="31">
        <f t="shared" si="34"/>
        <v>1.2704409747880117E-3</v>
      </c>
      <c r="AJ55" s="31">
        <f t="shared" si="34"/>
        <v>7.6597224709080319E-4</v>
      </c>
    </row>
    <row r="56" spans="1:36" x14ac:dyDescent="0.25">
      <c r="E56" s="13" t="s">
        <v>31</v>
      </c>
      <c r="F56" s="32">
        <f>AVERAGE(F55:AJ55)</f>
        <v>1.3017600971118259E-3</v>
      </c>
    </row>
    <row r="57" spans="1:36" x14ac:dyDescent="0.25">
      <c r="A57" s="42"/>
      <c r="B57" s="15"/>
      <c r="C57" s="15"/>
      <c r="D57" s="15"/>
      <c r="F57" s="60">
        <f>AVERAGE(S55:X55)</f>
        <v>3.0146345640535472E-4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20"/>
      <c r="D63" s="120"/>
      <c r="E63" s="120"/>
      <c r="F63" s="120"/>
      <c r="G63" s="120"/>
      <c r="H63" s="120"/>
      <c r="I63" s="120"/>
    </row>
    <row r="64" spans="1:36" x14ac:dyDescent="0.25">
      <c r="A64" s="42">
        <f>10^A65</f>
        <v>1.0000000000000001E-5</v>
      </c>
      <c r="B64" s="42">
        <f>10^B65</f>
        <v>100000</v>
      </c>
      <c r="C64" s="15"/>
      <c r="D64" s="15"/>
      <c r="E64" s="15"/>
      <c r="F64" s="15"/>
      <c r="G64" s="15"/>
      <c r="H64" s="15"/>
      <c r="I64" s="15"/>
    </row>
    <row r="65" spans="1:13" x14ac:dyDescent="0.25">
      <c r="A65" s="15">
        <f>-A67</f>
        <v>-5</v>
      </c>
      <c r="B65" s="101">
        <f>A67</f>
        <v>5</v>
      </c>
      <c r="C65" s="15"/>
      <c r="D65" s="15"/>
      <c r="E65" s="15"/>
      <c r="F65" s="15"/>
      <c r="G65" s="15"/>
      <c r="H65" s="15"/>
      <c r="I65" s="15"/>
    </row>
    <row r="66" spans="1:13" x14ac:dyDescent="0.25">
      <c r="A66" s="15"/>
      <c r="B66" s="15"/>
      <c r="C66" s="15"/>
      <c r="D66" s="15"/>
      <c r="E66" s="15"/>
      <c r="F66" s="15"/>
      <c r="G66" s="15"/>
      <c r="H66" s="15"/>
      <c r="I66" s="15"/>
    </row>
    <row r="67" spans="1:13" x14ac:dyDescent="0.25">
      <c r="A67" s="102">
        <v>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1"/>
    </row>
    <row r="101" spans="1:9" x14ac:dyDescent="0.25">
      <c r="A101" s="121"/>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-17.057668506080475</v>
      </c>
    </row>
    <row r="119" spans="1:14" x14ac:dyDescent="0.25">
      <c r="L119" s="11">
        <f>L118+1</f>
        <v>2</v>
      </c>
      <c r="M119" s="11">
        <f t="shared" ref="M119:M124" si="35">INDEX($B$125:$K$126,1,L119)</f>
        <v>0</v>
      </c>
      <c r="N119" s="11">
        <f t="shared" ref="N119:N124" si="36">IF(L119=$B$3,0,INDEX($B$125:$K$126,2,L119))</f>
        <v>-13.801205867961423</v>
      </c>
    </row>
    <row r="120" spans="1:14" x14ac:dyDescent="0.25">
      <c r="L120" s="11">
        <f t="shared" ref="L120:L124" si="37">L119+1</f>
        <v>3</v>
      </c>
      <c r="M120" s="11">
        <f t="shared" si="35"/>
        <v>25</v>
      </c>
      <c r="N120" s="11">
        <f t="shared" si="36"/>
        <v>-11.300486481572344</v>
      </c>
    </row>
    <row r="121" spans="1:14" x14ac:dyDescent="0.25">
      <c r="A121" s="103">
        <f>(A165+A204+A243+A282+A321+A360+A399)*10^9</f>
        <v>3756482750265687.5</v>
      </c>
      <c r="L121" s="11">
        <f t="shared" si="37"/>
        <v>4</v>
      </c>
      <c r="M121" s="11">
        <f t="shared" si="35"/>
        <v>50</v>
      </c>
      <c r="N121" s="11">
        <f t="shared" si="36"/>
        <v>-8.4000955453265451</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-5.4999789808794874</v>
      </c>
    </row>
    <row r="123" spans="1:14" x14ac:dyDescent="0.25">
      <c r="A123" s="119"/>
      <c r="B123" s="119"/>
      <c r="C123" s="3"/>
      <c r="D123" s="3"/>
      <c r="E123" s="3"/>
      <c r="F123" s="3"/>
      <c r="G123" s="3"/>
      <c r="H123" s="3"/>
      <c r="I123" s="3"/>
      <c r="J123" s="3"/>
      <c r="K123" s="3"/>
      <c r="L123" s="11">
        <f t="shared" si="37"/>
        <v>6</v>
      </c>
      <c r="M123" s="11">
        <f t="shared" si="35"/>
        <v>125</v>
      </c>
      <c r="N123" s="11">
        <f t="shared" si="36"/>
        <v>0</v>
      </c>
    </row>
    <row r="124" spans="1:14" x14ac:dyDescent="0.25">
      <c r="B124" s="3"/>
      <c r="C124" s="3"/>
      <c r="D124" s="3"/>
      <c r="E124" s="3"/>
      <c r="F124" s="3"/>
      <c r="G124" s="3"/>
      <c r="H124" s="3"/>
      <c r="I124" s="3"/>
      <c r="J124" s="3"/>
      <c r="K124" s="3"/>
      <c r="L124" s="11">
        <f t="shared" si="37"/>
        <v>7</v>
      </c>
      <c r="M124" s="11">
        <f t="shared" si="35"/>
        <v>160</v>
      </c>
      <c r="N124" s="11">
        <f t="shared" si="36"/>
        <v>5.2917717621939255</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-17.057668506080475</v>
      </c>
      <c r="C126" s="107">
        <v>-13.801205867961423</v>
      </c>
      <c r="D126" s="107">
        <v>-11.300486481572344</v>
      </c>
      <c r="E126" s="107">
        <v>-8.4000955453265451</v>
      </c>
      <c r="F126" s="107">
        <v>-5.4999789808794874</v>
      </c>
      <c r="G126" s="107">
        <v>-4.1720176633359293E-5</v>
      </c>
      <c r="H126" s="107">
        <v>5.2917717621939255</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10871.278895571992</v>
      </c>
      <c r="C130" s="26">
        <f>INDEX(Comparison!$AM$3:$AS$33,G14,$B$122)</f>
        <v>10785.751287884957</v>
      </c>
      <c r="D130" s="26">
        <f>INDEX(Comparison!$AM$3:$AS$33,H14,$B$122)</f>
        <v>10484.858187200372</v>
      </c>
      <c r="E130" s="26">
        <f>INDEX(Comparison!$AM$3:$AS$33,I14,$B$122)</f>
        <v>10280.433181032142</v>
      </c>
      <c r="F130" s="26">
        <f>INDEX(Comparison!$AM$3:$AS$33,J14,$B$122)</f>
        <v>10088.860550656809</v>
      </c>
      <c r="G130" s="26">
        <f>INDEX(Comparison!$AM$3:$AS$33,K14,$B$122)</f>
        <v>9877.8461517898249</v>
      </c>
      <c r="H130" s="26">
        <f>INDEX(Comparison!$AM$3:$AS$33,L14,$B$122)</f>
        <v>9655.619688733279</v>
      </c>
      <c r="I130" s="26">
        <f>INDEX(Comparison!$AM$3:$AS$33,M14,$B$122)</f>
        <v>9400.3699029441887</v>
      </c>
      <c r="J130" s="26">
        <f>INDEX(Comparison!$AM$3:$AS$33,N14,$B$122)</f>
        <v>9134.8429877609706</v>
      </c>
      <c r="K130" s="26">
        <f>INDEX(Comparison!$AM$3:$AS$33,O14,$B$122)</f>
        <v>8837.1618999065868</v>
      </c>
      <c r="L130" s="26">
        <f>INDEX(Comparison!$AM$3:$AS$33,P14,$B$122)</f>
        <v>8570.3120101913646</v>
      </c>
      <c r="M130" s="26">
        <f>INDEX(Comparison!$AM$3:$AS$33,Q14,$B$122)</f>
        <v>8285.4763038384153</v>
      </c>
      <c r="N130" s="26">
        <f>INDEX(Comparison!$AM$3:$AS$33,R14,$B$122)</f>
        <v>7936.5401145889446</v>
      </c>
      <c r="O130" s="26">
        <f>INDEX(Comparison!$AM$3:$AS$33,S14,$B$122)</f>
        <v>7548.1809664568409</v>
      </c>
      <c r="P130" s="26">
        <f>INDEX(Comparison!$AM$3:$AS$33,T14,$B$122)</f>
        <v>7185.7092224582611</v>
      </c>
      <c r="Q130" s="26">
        <f>INDEX(Comparison!$AM$3:$AS$33,U14,$B$122)</f>
        <v>6895.934147375373</v>
      </c>
      <c r="R130" s="26">
        <f>INDEX(Comparison!$AM$3:$AS$33,V14,$B$122)</f>
        <v>6598.4326641088546</v>
      </c>
      <c r="S130" s="26">
        <f>INDEX(Comparison!$AM$3:$AS$33,W14,$B$122)</f>
        <v>6312.5025678358661</v>
      </c>
      <c r="T130" s="26">
        <f>INDEX(Comparison!$AM$3:$AS$33,X14,$B$122)</f>
        <v>6009.4653543505283</v>
      </c>
      <c r="U130" s="26">
        <f>INDEX(Comparison!$AM$3:$AS$33,Y14,$B$122)</f>
        <v>5713.6024886963633</v>
      </c>
      <c r="V130" s="26">
        <f>INDEX(Comparison!$AM$3:$AS$33,Z14,$B$122)</f>
        <v>5266.353343720587</v>
      </c>
      <c r="W130" s="26">
        <f>INDEX(Comparison!$AM$3:$AS$33,AA14,$B$122)</f>
        <v>4669.585842690939</v>
      </c>
      <c r="X130" s="26">
        <f>INDEX(Comparison!$AM$3:$AS$33,AB14,$B$122)</f>
        <v>4015.1174909416081</v>
      </c>
      <c r="Y130" s="26">
        <f>INDEX(Comparison!$AM$3:$AS$33,AC14,$B$122)</f>
        <v>3410.9442700239138</v>
      </c>
      <c r="Z130" s="26">
        <f>INDEX(Comparison!$AM$3:$AS$33,AD14,$B$122)</f>
        <v>2824.662512551186</v>
      </c>
      <c r="AA130" s="26">
        <f>INDEX(Comparison!$AM$3:$AS$33,AE14,$B$122)</f>
        <v>2250.6025345256894</v>
      </c>
      <c r="AB130" s="26">
        <f>INDEX(Comparison!$AM$3:$AS$33,AF14,$B$122)</f>
        <v>1676.0321427337321</v>
      </c>
      <c r="AC130" s="26">
        <f>INDEX(Comparison!$AM$3:$AS$33,AG14,$B$122)</f>
        <v>1219.4001972501756</v>
      </c>
      <c r="AD130" s="26">
        <f>INDEX(Comparison!$AM$3:$AS$33,AH14,$B$122)</f>
        <v>880.27460100786607</v>
      </c>
      <c r="AE130" s="26">
        <f>INDEX(Comparison!$AM$3:$AS$33,AI14,$B$122)</f>
        <v>701.49257135601476</v>
      </c>
      <c r="AF130" s="26">
        <f>INDEX(Comparison!$AM$3:$AS$33,AJ14,$B$122)</f>
        <v>599.87140608085383</v>
      </c>
    </row>
    <row r="131" spans="1:33" x14ac:dyDescent="0.25">
      <c r="A131" s="68" t="s">
        <v>22</v>
      </c>
      <c r="B131" s="27">
        <f>($C$17+SUM(B132:B162))*$B$51</f>
        <v>10761.688536065531</v>
      </c>
      <c r="C131" s="27">
        <f t="shared" ref="C131:AF131" si="40">($C$17+SUM(C132:C162))*$B$51</f>
        <v>10703.32495449059</v>
      </c>
      <c r="D131" s="27">
        <f t="shared" si="40"/>
        <v>10219.882984663591</v>
      </c>
      <c r="E131" s="27">
        <f t="shared" si="40"/>
        <v>9106.982357971594</v>
      </c>
      <c r="F131" s="27">
        <f t="shared" si="40"/>
        <v>9072.9312841326828</v>
      </c>
      <c r="G131" s="27">
        <f t="shared" si="40"/>
        <v>9072.8781051338756</v>
      </c>
      <c r="H131" s="27">
        <f t="shared" si="40"/>
        <v>9072.3465710122509</v>
      </c>
      <c r="I131" s="27">
        <f t="shared" si="40"/>
        <v>9067.0567315458029</v>
      </c>
      <c r="J131" s="27">
        <f t="shared" si="40"/>
        <v>9016.6256996371249</v>
      </c>
      <c r="K131" s="27">
        <f t="shared" si="40"/>
        <v>8693.4972396701633</v>
      </c>
      <c r="L131" s="27">
        <f t="shared" si="40"/>
        <v>8371.1338325615925</v>
      </c>
      <c r="M131" s="27">
        <f t="shared" si="40"/>
        <v>8122.1889964116754</v>
      </c>
      <c r="N131" s="27">
        <f t="shared" si="40"/>
        <v>7788.038486098103</v>
      </c>
      <c r="O131" s="27">
        <f t="shared" si="40"/>
        <v>7418.3733469167664</v>
      </c>
      <c r="P131" s="27">
        <f t="shared" si="40"/>
        <v>7060.7664882717754</v>
      </c>
      <c r="Q131" s="27">
        <f t="shared" si="40"/>
        <v>6760.5384047645175</v>
      </c>
      <c r="R131" s="27">
        <f t="shared" si="40"/>
        <v>6482.5462069333744</v>
      </c>
      <c r="S131" s="27">
        <f t="shared" si="40"/>
        <v>6192.1092590613434</v>
      </c>
      <c r="T131" s="27">
        <f t="shared" si="40"/>
        <v>5907.3658942616921</v>
      </c>
      <c r="U131" s="27">
        <f t="shared" si="40"/>
        <v>5618.5059265923983</v>
      </c>
      <c r="V131" s="27">
        <f t="shared" si="40"/>
        <v>5286.9011742298162</v>
      </c>
      <c r="W131" s="27">
        <f t="shared" si="40"/>
        <v>4902.4521416077514</v>
      </c>
      <c r="X131" s="27">
        <f t="shared" si="40"/>
        <v>4472.1695394026074</v>
      </c>
      <c r="Y131" s="27">
        <f t="shared" si="40"/>
        <v>3861.7084237492368</v>
      </c>
      <c r="Z131" s="27">
        <f t="shared" si="40"/>
        <v>3153.5384713808362</v>
      </c>
      <c r="AA131" s="27">
        <f t="shared" si="40"/>
        <v>2459.4189891013689</v>
      </c>
      <c r="AB131" s="27">
        <f t="shared" si="40"/>
        <v>1804.753476406748</v>
      </c>
      <c r="AC131" s="27">
        <f t="shared" si="40"/>
        <v>1298.1210512001928</v>
      </c>
      <c r="AD131" s="27">
        <f t="shared" si="40"/>
        <v>929.03910615734242</v>
      </c>
      <c r="AE131" s="27">
        <f t="shared" si="40"/>
        <v>744.80935235907123</v>
      </c>
      <c r="AF131" s="27">
        <f t="shared" si="40"/>
        <v>607.44213575931519</v>
      </c>
    </row>
    <row r="132" spans="1:33" x14ac:dyDescent="0.25">
      <c r="B132" s="3">
        <f t="shared" ref="B132:Z133" si="41">$C18*EXP(-B$129/$A18/EXP(-$B$126))</f>
        <v>0.15682616444867656</v>
      </c>
      <c r="C132" s="3">
        <f t="shared" ref="C132:AF132" si="42">$C18*EXP(-C$129/$A18/EXP(-$B$126))</f>
        <v>0.15140622157590991</v>
      </c>
      <c r="D132" s="3">
        <f t="shared" si="42"/>
        <v>0.10651131042463731</v>
      </c>
      <c r="E132" s="3">
        <f t="shared" si="42"/>
        <v>3.1616645637113777E-3</v>
      </c>
      <c r="F132" s="3">
        <f t="shared" si="42"/>
        <v>1.6792541448769678E-18</v>
      </c>
      <c r="G132" s="3">
        <f t="shared" si="42"/>
        <v>3.0000106875711011E-171</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5.3113464322402437E-2</v>
      </c>
      <c r="C133" s="3">
        <f t="shared" si="41"/>
        <v>5.3113463843885031E-2</v>
      </c>
      <c r="D133" s="3">
        <f t="shared" si="41"/>
        <v>5.3113459058711197E-2</v>
      </c>
      <c r="E133" s="3">
        <f t="shared" si="41"/>
        <v>5.3113411206996558E-2</v>
      </c>
      <c r="F133" s="3">
        <f t="shared" si="41"/>
        <v>5.3112932692221247E-2</v>
      </c>
      <c r="G133" s="3">
        <f t="shared" si="41"/>
        <v>5.3108147781571413E-2</v>
      </c>
      <c r="H133" s="3">
        <f t="shared" si="41"/>
        <v>5.3060322377493779E-2</v>
      </c>
      <c r="I133" s="3">
        <f t="shared" si="41"/>
        <v>5.258443069668936E-2</v>
      </c>
      <c r="J133" s="3">
        <f t="shared" si="41"/>
        <v>4.8054061250598225E-2</v>
      </c>
      <c r="K133" s="3">
        <f t="shared" si="41"/>
        <v>1.9519078451361582E-2</v>
      </c>
      <c r="L133" s="3">
        <f t="shared" si="41"/>
        <v>2.3864449986945925E-6</v>
      </c>
      <c r="M133" s="3">
        <f t="shared" si="41"/>
        <v>1.7810357140555788E-45</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1.5903248467405193E-2</v>
      </c>
      <c r="C134" s="3">
        <f t="shared" si="44"/>
        <v>1.5903248454480341E-2</v>
      </c>
      <c r="D134" s="3">
        <f t="shared" si="44"/>
        <v>1.5903248325231829E-2</v>
      </c>
      <c r="E134" s="3">
        <f t="shared" si="44"/>
        <v>1.5903247032746783E-2</v>
      </c>
      <c r="F134" s="3">
        <f t="shared" si="44"/>
        <v>1.5903234107902089E-2</v>
      </c>
      <c r="G134" s="3">
        <f t="shared" si="44"/>
        <v>1.590310486003289E-2</v>
      </c>
      <c r="H134" s="3">
        <f t="shared" si="44"/>
        <v>1.5901812439112348E-2</v>
      </c>
      <c r="I134" s="3">
        <f t="shared" si="44"/>
        <v>1.5888894005317268E-2</v>
      </c>
      <c r="J134" s="3">
        <f t="shared" si="44"/>
        <v>1.5760285475472421E-2</v>
      </c>
      <c r="K134" s="3">
        <f t="shared" si="44"/>
        <v>1.4530086499660973E-2</v>
      </c>
      <c r="L134" s="3">
        <f t="shared" si="44"/>
        <v>6.446283455199868E-3</v>
      </c>
      <c r="M134" s="3">
        <f t="shared" si="44"/>
        <v>1.9042386886611934E-6</v>
      </c>
      <c r="N134" s="3">
        <f t="shared" si="44"/>
        <v>9.6347676638731089E-42</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2.9724136400693359E-2</v>
      </c>
      <c r="C135" s="3">
        <f t="shared" si="47"/>
        <v>2.9724136398514168E-2</v>
      </c>
      <c r="D135" s="3">
        <f t="shared" si="47"/>
        <v>2.9724136376722245E-2</v>
      </c>
      <c r="E135" s="3">
        <f t="shared" si="47"/>
        <v>2.9724136158803025E-2</v>
      </c>
      <c r="F135" s="3">
        <f t="shared" si="47"/>
        <v>2.9724133979610892E-2</v>
      </c>
      <c r="G135" s="3">
        <f t="shared" si="47"/>
        <v>2.9724112187698389E-2</v>
      </c>
      <c r="H135" s="3">
        <f t="shared" si="47"/>
        <v>2.9723894269452031E-2</v>
      </c>
      <c r="I135" s="3">
        <f t="shared" si="47"/>
        <v>2.9721715174856618E-2</v>
      </c>
      <c r="J135" s="3">
        <f t="shared" si="47"/>
        <v>2.9699933013333499E-2</v>
      </c>
      <c r="K135" s="3">
        <f t="shared" si="47"/>
        <v>2.9482987462991935E-2</v>
      </c>
      <c r="L135" s="3">
        <f t="shared" si="47"/>
        <v>2.7398807907527033E-2</v>
      </c>
      <c r="M135" s="3">
        <f t="shared" si="47"/>
        <v>1.3162350921906403E-2</v>
      </c>
      <c r="N135" s="3">
        <f t="shared" si="47"/>
        <v>8.6169077483454465E-6</v>
      </c>
      <c r="O135" s="3">
        <f t="shared" si="47"/>
        <v>1.2460378204979747E-37</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3.4474581072875814E-2</v>
      </c>
      <c r="C136" s="3">
        <f t="shared" si="49"/>
        <v>3.4474581072647816E-2</v>
      </c>
      <c r="D136" s="3">
        <f t="shared" si="49"/>
        <v>3.4474581070367834E-2</v>
      </c>
      <c r="E136" s="3">
        <f t="shared" si="49"/>
        <v>3.4474581047567988E-2</v>
      </c>
      <c r="F136" s="3">
        <f t="shared" si="49"/>
        <v>3.4474580819569542E-2</v>
      </c>
      <c r="G136" s="3">
        <f t="shared" si="49"/>
        <v>3.4474578539585188E-2</v>
      </c>
      <c r="H136" s="3">
        <f t="shared" si="49"/>
        <v>3.4474555739749967E-2</v>
      </c>
      <c r="I136" s="3">
        <f t="shared" si="49"/>
        <v>3.4474327742227022E-2</v>
      </c>
      <c r="J136" s="3">
        <f t="shared" si="49"/>
        <v>3.4472047849928314E-2</v>
      </c>
      <c r="K136" s="3">
        <f t="shared" si="49"/>
        <v>3.4449257217988451E-2</v>
      </c>
      <c r="L136" s="3">
        <f t="shared" si="49"/>
        <v>3.4222177978068272E-2</v>
      </c>
      <c r="M136" s="3">
        <f t="shared" si="49"/>
        <v>3.2032104965059642E-2</v>
      </c>
      <c r="N136" s="3">
        <f t="shared" si="49"/>
        <v>1.6533462412116492E-2</v>
      </c>
      <c r="O136" s="3">
        <f t="shared" si="49"/>
        <v>2.2189481122546378E-5</v>
      </c>
      <c r="P136" s="3">
        <f t="shared" si="49"/>
        <v>4.207077297239765E-34</v>
      </c>
      <c r="Q136" s="3">
        <f t="shared" si="49"/>
        <v>0</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3.8163539597681533E-2</v>
      </c>
      <c r="C137" s="3">
        <f t="shared" si="51"/>
        <v>3.8163539597658766E-2</v>
      </c>
      <c r="D137" s="3">
        <f t="shared" si="51"/>
        <v>3.8163539597431087E-2</v>
      </c>
      <c r="E137" s="3">
        <f t="shared" si="51"/>
        <v>3.8163539595154269E-2</v>
      </c>
      <c r="F137" s="3">
        <f t="shared" si="51"/>
        <v>3.81635395723861E-2</v>
      </c>
      <c r="G137" s="3">
        <f t="shared" si="51"/>
        <v>3.81635393447044E-2</v>
      </c>
      <c r="H137" s="3">
        <f t="shared" si="51"/>
        <v>3.8163537067887478E-2</v>
      </c>
      <c r="I137" s="3">
        <f t="shared" si="51"/>
        <v>3.8163514299725788E-2</v>
      </c>
      <c r="J137" s="3">
        <f t="shared" si="51"/>
        <v>3.8163286618855943E-2</v>
      </c>
      <c r="K137" s="3">
        <f t="shared" si="51"/>
        <v>3.8161009884864171E-2</v>
      </c>
      <c r="L137" s="3">
        <f t="shared" si="51"/>
        <v>3.8138250013969151E-2</v>
      </c>
      <c r="M137" s="3">
        <f t="shared" si="51"/>
        <v>3.7911396561203507E-2</v>
      </c>
      <c r="N137" s="3">
        <f t="shared" si="51"/>
        <v>3.5715768495606294E-2</v>
      </c>
      <c r="O137" s="3">
        <f t="shared" si="51"/>
        <v>1.9668088848235604E-2</v>
      </c>
      <c r="P137" s="3">
        <f t="shared" si="51"/>
        <v>5.0441011130681067E-5</v>
      </c>
      <c r="Q137" s="3">
        <f t="shared" si="51"/>
        <v>6.208690435524493E-31</v>
      </c>
      <c r="R137" s="3">
        <f t="shared" si="51"/>
        <v>4.9563530458211813E-290</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3.1147960288591563E-2</v>
      </c>
      <c r="C138" s="3">
        <f t="shared" si="53"/>
        <v>3.1147960288589887E-2</v>
      </c>
      <c r="D138" s="3">
        <f t="shared" si="53"/>
        <v>3.1147960288573126E-2</v>
      </c>
      <c r="E138" s="3">
        <f t="shared" si="53"/>
        <v>3.1147960288405493E-2</v>
      </c>
      <c r="F138" s="3">
        <f t="shared" si="53"/>
        <v>3.1147960286729177E-2</v>
      </c>
      <c r="G138" s="3">
        <f t="shared" si="53"/>
        <v>3.1147960269966024E-2</v>
      </c>
      <c r="H138" s="3">
        <f t="shared" si="53"/>
        <v>3.1147960102334508E-2</v>
      </c>
      <c r="I138" s="3">
        <f t="shared" si="53"/>
        <v>3.1147958426019372E-2</v>
      </c>
      <c r="J138" s="3">
        <f t="shared" si="53"/>
        <v>3.1147941662872974E-2</v>
      </c>
      <c r="K138" s="3">
        <f t="shared" si="53"/>
        <v>3.1147774031905186E-2</v>
      </c>
      <c r="L138" s="3">
        <f t="shared" si="53"/>
        <v>3.1146097771844811E-2</v>
      </c>
      <c r="M138" s="3">
        <f t="shared" si="53"/>
        <v>3.1129340132002616E-2</v>
      </c>
      <c r="N138" s="3">
        <f t="shared" si="53"/>
        <v>3.0962258823342297E-2</v>
      </c>
      <c r="O138" s="3">
        <f t="shared" si="53"/>
        <v>2.933998289189867E-2</v>
      </c>
      <c r="P138" s="3">
        <f t="shared" si="53"/>
        <v>1.7129001671126447E-2</v>
      </c>
      <c r="Q138" s="3">
        <f t="shared" si="53"/>
        <v>7.8786898839974592E-5</v>
      </c>
      <c r="R138" s="3">
        <f t="shared" si="53"/>
        <v>3.3394392931601508E-28</v>
      </c>
      <c r="S138" s="3">
        <f t="shared" si="53"/>
        <v>6.2498417149740052E-262</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2.5944984110180314E-2</v>
      </c>
      <c r="C139" s="3">
        <f t="shared" si="55"/>
        <v>2.5944984110180185E-2</v>
      </c>
      <c r="D139" s="3">
        <f t="shared" si="55"/>
        <v>2.5944984110178929E-2</v>
      </c>
      <c r="E139" s="3">
        <f t="shared" si="55"/>
        <v>2.5944984110166332E-2</v>
      </c>
      <c r="F139" s="3">
        <f t="shared" si="55"/>
        <v>2.5944984110040373E-2</v>
      </c>
      <c r="G139" s="3">
        <f t="shared" si="55"/>
        <v>2.5944984108780794E-2</v>
      </c>
      <c r="H139" s="3">
        <f t="shared" si="55"/>
        <v>2.5944984096184984E-2</v>
      </c>
      <c r="I139" s="3">
        <f t="shared" si="55"/>
        <v>2.5944983970226897E-2</v>
      </c>
      <c r="J139" s="3">
        <f t="shared" si="55"/>
        <v>2.5944982710646027E-2</v>
      </c>
      <c r="K139" s="3">
        <f t="shared" si="55"/>
        <v>2.5944970114840711E-2</v>
      </c>
      <c r="L139" s="3">
        <f t="shared" si="55"/>
        <v>2.5944844157123868E-2</v>
      </c>
      <c r="M139" s="3">
        <f t="shared" si="55"/>
        <v>2.594358461358745E-2</v>
      </c>
      <c r="N139" s="3">
        <f t="shared" si="55"/>
        <v>2.5930992540819642E-2</v>
      </c>
      <c r="O139" s="3">
        <f t="shared" si="55"/>
        <v>2.5805407469545998E-2</v>
      </c>
      <c r="P139" s="3">
        <f t="shared" si="55"/>
        <v>2.4582527213474942E-2</v>
      </c>
      <c r="Q139" s="3">
        <f t="shared" si="55"/>
        <v>1.5128107594188265E-2</v>
      </c>
      <c r="R139" s="3">
        <f t="shared" si="55"/>
        <v>1.1785970912588362E-4</v>
      </c>
      <c r="S139" s="3">
        <f t="shared" si="55"/>
        <v>9.7089657243549702E-26</v>
      </c>
      <c r="T139" s="3">
        <f t="shared" si="55"/>
        <v>1.3971691815934335E-236</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2.8280666339942875E-2</v>
      </c>
      <c r="C140" s="3">
        <f t="shared" si="57"/>
        <v>2.8280666339942861E-2</v>
      </c>
      <c r="D140" s="3">
        <f t="shared" si="57"/>
        <v>2.8280666339942737E-2</v>
      </c>
      <c r="E140" s="3">
        <f t="shared" si="57"/>
        <v>2.8280666339941501E-2</v>
      </c>
      <c r="F140" s="3">
        <f t="shared" si="57"/>
        <v>2.8280666339929112E-2</v>
      </c>
      <c r="G140" s="3">
        <f t="shared" si="57"/>
        <v>2.8280666339805263E-2</v>
      </c>
      <c r="H140" s="3">
        <f t="shared" si="57"/>
        <v>2.8280666338566723E-2</v>
      </c>
      <c r="I140" s="3">
        <f t="shared" si="57"/>
        <v>2.8280666326181356E-2</v>
      </c>
      <c r="J140" s="3">
        <f t="shared" si="57"/>
        <v>2.8280666202327685E-2</v>
      </c>
      <c r="K140" s="3">
        <f t="shared" si="57"/>
        <v>2.8280664963790995E-2</v>
      </c>
      <c r="L140" s="3">
        <f t="shared" si="57"/>
        <v>2.8280652578427077E-2</v>
      </c>
      <c r="M140" s="3">
        <f t="shared" si="57"/>
        <v>2.8280528725086226E-2</v>
      </c>
      <c r="N140" s="3">
        <f t="shared" si="57"/>
        <v>2.8279290221509781E-2</v>
      </c>
      <c r="O140" s="3">
        <f t="shared" si="57"/>
        <v>2.8266908168466349E-2</v>
      </c>
      <c r="P140" s="3">
        <f t="shared" si="57"/>
        <v>2.8143385427383406E-2</v>
      </c>
      <c r="Q140" s="3">
        <f t="shared" si="57"/>
        <v>2.6937460015696343E-2</v>
      </c>
      <c r="R140" s="3">
        <f t="shared" si="57"/>
        <v>1.738439923616663E-2</v>
      </c>
      <c r="S140" s="3">
        <f t="shared" si="57"/>
        <v>2.1786633581644081E-4</v>
      </c>
      <c r="T140" s="3">
        <f t="shared" si="57"/>
        <v>2.0820662833491897E-23</v>
      </c>
      <c r="U140" s="3">
        <f t="shared" si="57"/>
        <v>1.3229358078041861E-213</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2.7707301103179493E-2</v>
      </c>
      <c r="C141" s="3">
        <f t="shared" si="59"/>
        <v>2.7707301103179493E-2</v>
      </c>
      <c r="D141" s="3">
        <f t="shared" si="59"/>
        <v>2.7707301103179479E-2</v>
      </c>
      <c r="E141" s="3">
        <f t="shared" si="59"/>
        <v>2.7707301103179371E-2</v>
      </c>
      <c r="F141" s="3">
        <f t="shared" si="59"/>
        <v>2.7707301103178279E-2</v>
      </c>
      <c r="G141" s="3">
        <f t="shared" si="59"/>
        <v>2.7707301103167329E-2</v>
      </c>
      <c r="H141" s="3">
        <f t="shared" si="59"/>
        <v>2.7707301103057868E-2</v>
      </c>
      <c r="I141" s="3">
        <f t="shared" si="59"/>
        <v>2.7707301101963257E-2</v>
      </c>
      <c r="J141" s="3">
        <f t="shared" si="59"/>
        <v>2.7707301091017142E-2</v>
      </c>
      <c r="K141" s="3">
        <f t="shared" si="59"/>
        <v>2.7707300981555976E-2</v>
      </c>
      <c r="L141" s="3">
        <f t="shared" si="59"/>
        <v>2.7707299886944356E-2</v>
      </c>
      <c r="M141" s="3">
        <f t="shared" si="59"/>
        <v>2.7707288940830511E-2</v>
      </c>
      <c r="N141" s="3">
        <f t="shared" si="59"/>
        <v>2.7707179479929924E-2</v>
      </c>
      <c r="O141" s="3">
        <f t="shared" si="59"/>
        <v>2.7706084894707887E-2</v>
      </c>
      <c r="P141" s="3">
        <f t="shared" si="59"/>
        <v>2.7695141420521499E-2</v>
      </c>
      <c r="Q141" s="3">
        <f t="shared" si="59"/>
        <v>2.7585944134821488E-2</v>
      </c>
      <c r="R141" s="3">
        <f t="shared" si="59"/>
        <v>2.6517373434452218E-2</v>
      </c>
      <c r="S141" s="3">
        <f t="shared" si="59"/>
        <v>1.7863108153205749E-2</v>
      </c>
      <c r="T141" s="3">
        <f t="shared" si="59"/>
        <v>3.4373381479804109E-4</v>
      </c>
      <c r="U141" s="3">
        <f t="shared" si="59"/>
        <v>2.3926245818105351E-21</v>
      </c>
      <c r="V141" s="3">
        <f t="shared" si="59"/>
        <v>6.3884806630066339E-193</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2.6509888121377792E-2</v>
      </c>
      <c r="C142" s="3">
        <f t="shared" si="61"/>
        <v>2.6509888121377792E-2</v>
      </c>
      <c r="D142" s="3">
        <f t="shared" si="61"/>
        <v>2.6509888121377792E-2</v>
      </c>
      <c r="E142" s="3">
        <f t="shared" si="61"/>
        <v>2.6509888121377782E-2</v>
      </c>
      <c r="F142" s="3">
        <f t="shared" si="61"/>
        <v>2.6509888121377684E-2</v>
      </c>
      <c r="G142" s="3">
        <f t="shared" si="61"/>
        <v>2.6509888121376741E-2</v>
      </c>
      <c r="H142" s="3">
        <f t="shared" si="61"/>
        <v>2.6509888121367294E-2</v>
      </c>
      <c r="I142" s="3">
        <f t="shared" si="61"/>
        <v>2.650988812127282E-2</v>
      </c>
      <c r="J142" s="3">
        <f t="shared" si="61"/>
        <v>2.6509888120328062E-2</v>
      </c>
      <c r="K142" s="3">
        <f t="shared" si="61"/>
        <v>2.6509888110880488E-2</v>
      </c>
      <c r="L142" s="3">
        <f t="shared" si="61"/>
        <v>2.6509888016404741E-2</v>
      </c>
      <c r="M142" s="3">
        <f t="shared" si="61"/>
        <v>2.6509887071647309E-2</v>
      </c>
      <c r="N142" s="3">
        <f t="shared" si="61"/>
        <v>2.6509877624074828E-2</v>
      </c>
      <c r="O142" s="3">
        <f t="shared" si="61"/>
        <v>2.6509783148535221E-2</v>
      </c>
      <c r="P142" s="3">
        <f t="shared" si="61"/>
        <v>2.650883841165692E-2</v>
      </c>
      <c r="Q142" s="3">
        <f t="shared" si="61"/>
        <v>2.6499392894408457E-2</v>
      </c>
      <c r="R142" s="3">
        <f t="shared" si="61"/>
        <v>2.640512263146768E-2</v>
      </c>
      <c r="S142" s="3">
        <f t="shared" si="61"/>
        <v>2.5480669440930116E-2</v>
      </c>
      <c r="T142" s="3">
        <f t="shared" si="61"/>
        <v>1.784174319423322E-2</v>
      </c>
      <c r="U142" s="3">
        <f t="shared" si="61"/>
        <v>5.0547745048609249E-4</v>
      </c>
      <c r="V142" s="3">
        <f t="shared" si="61"/>
        <v>1.6840183104160007E-19</v>
      </c>
      <c r="W142" s="3">
        <f t="shared" si="61"/>
        <v>2.836593078434751E-174</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3.0096089334719207E-2</v>
      </c>
      <c r="C143" s="3">
        <f t="shared" si="63"/>
        <v>3.0096089334719207E-2</v>
      </c>
      <c r="D143" s="3">
        <f t="shared" si="63"/>
        <v>3.0096089334719207E-2</v>
      </c>
      <c r="E143" s="3">
        <f t="shared" si="63"/>
        <v>3.0096089334719207E-2</v>
      </c>
      <c r="F143" s="3">
        <f t="shared" si="63"/>
        <v>3.0096089334719196E-2</v>
      </c>
      <c r="G143" s="3">
        <f t="shared" si="63"/>
        <v>3.0096089334719099E-2</v>
      </c>
      <c r="H143" s="3">
        <f t="shared" si="63"/>
        <v>3.0096089334718131E-2</v>
      </c>
      <c r="I143" s="3">
        <f t="shared" si="63"/>
        <v>3.0096089334708458E-2</v>
      </c>
      <c r="J143" s="3">
        <f t="shared" si="63"/>
        <v>3.0096089334611702E-2</v>
      </c>
      <c r="K143" s="3">
        <f t="shared" si="63"/>
        <v>3.009608933364416E-2</v>
      </c>
      <c r="L143" s="3">
        <f t="shared" si="63"/>
        <v>3.0096089323968758E-2</v>
      </c>
      <c r="M143" s="3">
        <f t="shared" si="63"/>
        <v>3.0096089227214722E-2</v>
      </c>
      <c r="N143" s="3">
        <f t="shared" si="63"/>
        <v>3.0096088259674379E-2</v>
      </c>
      <c r="O143" s="3">
        <f t="shared" si="63"/>
        <v>3.0096078584272681E-2</v>
      </c>
      <c r="P143" s="3">
        <f t="shared" si="63"/>
        <v>3.0095981830426746E-2</v>
      </c>
      <c r="Q143" s="3">
        <f t="shared" si="63"/>
        <v>3.0095014309074856E-2</v>
      </c>
      <c r="R143" s="3">
        <f t="shared" si="63"/>
        <v>3.0085340806096619E-2</v>
      </c>
      <c r="S143" s="3">
        <f t="shared" si="63"/>
        <v>2.9988776627089389E-2</v>
      </c>
      <c r="T143" s="3">
        <f t="shared" si="63"/>
        <v>2.9040018425010868E-2</v>
      </c>
      <c r="U143" s="3">
        <f t="shared" si="63"/>
        <v>2.1056116254820394E-2</v>
      </c>
      <c r="V143" s="3">
        <f t="shared" si="63"/>
        <v>8.4565280090572847E-4</v>
      </c>
      <c r="W143" s="3">
        <f t="shared" si="63"/>
        <v>9.2327337228591961E-18</v>
      </c>
      <c r="X143" s="3">
        <f t="shared" si="63"/>
        <v>2.2218385539723092E-157</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3.6902665150925024E-2</v>
      </c>
      <c r="C144" s="3">
        <f t="shared" si="65"/>
        <v>3.6902665150925024E-2</v>
      </c>
      <c r="D144" s="3">
        <f t="shared" si="65"/>
        <v>3.6902665150925024E-2</v>
      </c>
      <c r="E144" s="3">
        <f t="shared" si="65"/>
        <v>3.6902665150925024E-2</v>
      </c>
      <c r="F144" s="3">
        <f t="shared" si="65"/>
        <v>3.6902665150925024E-2</v>
      </c>
      <c r="G144" s="3">
        <f t="shared" si="65"/>
        <v>3.690266515092501E-2</v>
      </c>
      <c r="H144" s="3">
        <f t="shared" si="65"/>
        <v>3.6902665150924906E-2</v>
      </c>
      <c r="I144" s="3">
        <f t="shared" si="65"/>
        <v>3.6902665150923837E-2</v>
      </c>
      <c r="J144" s="3">
        <f t="shared" si="65"/>
        <v>3.6902665150913137E-2</v>
      </c>
      <c r="K144" s="3">
        <f t="shared" si="65"/>
        <v>3.6902665150806112E-2</v>
      </c>
      <c r="L144" s="3">
        <f t="shared" si="65"/>
        <v>3.6902665149735919E-2</v>
      </c>
      <c r="M144" s="3">
        <f t="shared" si="65"/>
        <v>3.6902665139033952E-2</v>
      </c>
      <c r="N144" s="3">
        <f t="shared" si="65"/>
        <v>3.6902665032014351E-2</v>
      </c>
      <c r="O144" s="3">
        <f t="shared" si="65"/>
        <v>3.6902663961818315E-2</v>
      </c>
      <c r="P144" s="3">
        <f t="shared" si="65"/>
        <v>3.6902653259859641E-2</v>
      </c>
      <c r="Q144" s="3">
        <f t="shared" si="65"/>
        <v>3.6902546240443632E-2</v>
      </c>
      <c r="R144" s="3">
        <f t="shared" si="65"/>
        <v>3.6901476063353277E-2</v>
      </c>
      <c r="S144" s="3">
        <f t="shared" si="65"/>
        <v>3.6890775999238852E-2</v>
      </c>
      <c r="T144" s="3">
        <f t="shared" si="65"/>
        <v>3.6783945854009535E-2</v>
      </c>
      <c r="U144" s="3">
        <f t="shared" si="65"/>
        <v>3.5732512458365839E-2</v>
      </c>
      <c r="V144" s="3">
        <f t="shared" si="65"/>
        <v>2.6737201274568349E-2</v>
      </c>
      <c r="W144" s="3">
        <f t="shared" si="65"/>
        <v>1.471092093101312E-3</v>
      </c>
      <c r="X144" s="3">
        <f t="shared" si="65"/>
        <v>3.7400638764906577E-16</v>
      </c>
      <c r="Y144" s="3">
        <f t="shared" si="65"/>
        <v>4.2195933875841877E-142</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3.6161796888491096E-2</v>
      </c>
      <c r="C145" s="3">
        <f t="shared" si="68"/>
        <v>3.6161796888491096E-2</v>
      </c>
      <c r="D145" s="3">
        <f t="shared" si="68"/>
        <v>3.6161796888491096E-2</v>
      </c>
      <c r="E145" s="3">
        <f t="shared" si="68"/>
        <v>3.6161796888491096E-2</v>
      </c>
      <c r="F145" s="3">
        <f t="shared" si="68"/>
        <v>3.6161796888491096E-2</v>
      </c>
      <c r="G145" s="3">
        <f t="shared" si="68"/>
        <v>3.6161796888491096E-2</v>
      </c>
      <c r="H145" s="3">
        <f t="shared" si="68"/>
        <v>3.6161796888491082E-2</v>
      </c>
      <c r="I145" s="3">
        <f t="shared" si="68"/>
        <v>3.6161796888490992E-2</v>
      </c>
      <c r="J145" s="3">
        <f t="shared" si="68"/>
        <v>3.6161796888490041E-2</v>
      </c>
      <c r="K145" s="3">
        <f t="shared" si="68"/>
        <v>3.6161796888480584E-2</v>
      </c>
      <c r="L145" s="3">
        <f t="shared" si="68"/>
        <v>3.6161796888385979E-2</v>
      </c>
      <c r="M145" s="3">
        <f t="shared" si="68"/>
        <v>3.6161796887439958E-2</v>
      </c>
      <c r="N145" s="3">
        <f t="shared" si="68"/>
        <v>3.616179687797972E-2</v>
      </c>
      <c r="O145" s="3">
        <f t="shared" si="68"/>
        <v>3.6161796783377304E-2</v>
      </c>
      <c r="P145" s="3">
        <f t="shared" si="68"/>
        <v>3.6161795837353204E-2</v>
      </c>
      <c r="Q145" s="3">
        <f t="shared" si="68"/>
        <v>3.6161786377113564E-2</v>
      </c>
      <c r="R145" s="3">
        <f t="shared" si="68"/>
        <v>3.616169177485324E-2</v>
      </c>
      <c r="S145" s="3">
        <f t="shared" si="68"/>
        <v>3.6160745765861743E-2</v>
      </c>
      <c r="T145" s="3">
        <f t="shared" si="68"/>
        <v>3.6151287036985252E-2</v>
      </c>
      <c r="U145" s="3">
        <f t="shared" si="68"/>
        <v>3.6056835720415334E-2</v>
      </c>
      <c r="V145" s="3">
        <f t="shared" si="68"/>
        <v>3.5125789075551576E-2</v>
      </c>
      <c r="W145" s="3">
        <f t="shared" si="68"/>
        <v>2.7040260333358993E-2</v>
      </c>
      <c r="X145" s="3">
        <f t="shared" si="68"/>
        <v>1.9763263555818106E-3</v>
      </c>
      <c r="Y145" s="3">
        <f t="shared" si="68"/>
        <v>8.5967955801707257E-15</v>
      </c>
      <c r="Z145" s="3">
        <f t="shared" si="68"/>
        <v>2.0850476122998169E-128</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5.7659888823700683E-2</v>
      </c>
      <c r="C146" s="3">
        <f t="shared" si="70"/>
        <v>5.7659888823700683E-2</v>
      </c>
      <c r="D146" s="3">
        <f t="shared" si="70"/>
        <v>5.7659888823700683E-2</v>
      </c>
      <c r="E146" s="3">
        <f t="shared" si="70"/>
        <v>5.7659888823700683E-2</v>
      </c>
      <c r="F146" s="3">
        <f t="shared" si="70"/>
        <v>5.7659888823700683E-2</v>
      </c>
      <c r="G146" s="3">
        <f t="shared" si="70"/>
        <v>5.7659888823700683E-2</v>
      </c>
      <c r="H146" s="3">
        <f t="shared" si="70"/>
        <v>5.7659888823700683E-2</v>
      </c>
      <c r="I146" s="3">
        <f t="shared" si="70"/>
        <v>5.765988882370067E-2</v>
      </c>
      <c r="J146" s="3">
        <f t="shared" si="70"/>
        <v>5.7659888823700531E-2</v>
      </c>
      <c r="K146" s="3">
        <f t="shared" si="70"/>
        <v>5.7659888823699171E-2</v>
      </c>
      <c r="L146" s="3">
        <f t="shared" si="70"/>
        <v>5.7659888823685564E-2</v>
      </c>
      <c r="M146" s="3">
        <f t="shared" si="70"/>
        <v>5.7659888823549492E-2</v>
      </c>
      <c r="N146" s="3">
        <f t="shared" si="70"/>
        <v>5.7659888822188754E-2</v>
      </c>
      <c r="O146" s="3">
        <f t="shared" si="70"/>
        <v>5.7659888808581437E-2</v>
      </c>
      <c r="P146" s="3">
        <f t="shared" si="70"/>
        <v>5.7659888672508236E-2</v>
      </c>
      <c r="Q146" s="3">
        <f t="shared" si="70"/>
        <v>5.7659887311776264E-2</v>
      </c>
      <c r="R146" s="3">
        <f t="shared" si="70"/>
        <v>5.7659873704458284E-2</v>
      </c>
      <c r="S146" s="3">
        <f t="shared" si="70"/>
        <v>5.7659737631455044E-2</v>
      </c>
      <c r="T146" s="3">
        <f t="shared" si="70"/>
        <v>5.7658376919084244E-2</v>
      </c>
      <c r="U146" s="3">
        <f t="shared" si="70"/>
        <v>5.7644771561381362E-2</v>
      </c>
      <c r="V146" s="3">
        <f t="shared" si="70"/>
        <v>5.7508894430754555E-2</v>
      </c>
      <c r="W146" s="3">
        <f t="shared" si="70"/>
        <v>5.6167614664098607E-2</v>
      </c>
      <c r="X146" s="3">
        <f t="shared" si="70"/>
        <v>4.436041492794808E-2</v>
      </c>
      <c r="Y146" s="3">
        <f t="shared" si="70"/>
        <v>4.1888208917062204E-3</v>
      </c>
      <c r="Z146" s="3">
        <f t="shared" si="70"/>
        <v>2.3607701384460292E-13</v>
      </c>
      <c r="AA146" s="3">
        <f t="shared" ref="AA146" si="71">$C32*EXP(-AA$129/$A32/EXP(-$B$126))</f>
        <v>7.6326056587709926E-116</v>
      </c>
      <c r="AB146" s="3">
        <f t="shared" si="67"/>
        <v>0</v>
      </c>
      <c r="AC146" s="3">
        <f t="shared" si="67"/>
        <v>0</v>
      </c>
      <c r="AD146" s="3">
        <f t="shared" si="67"/>
        <v>0</v>
      </c>
      <c r="AE146" s="3">
        <f t="shared" si="67"/>
        <v>0</v>
      </c>
      <c r="AF146" s="3">
        <f t="shared" si="67"/>
        <v>0</v>
      </c>
    </row>
    <row r="147" spans="1:32" x14ac:dyDescent="0.25">
      <c r="B147" s="3">
        <f t="shared" ref="B147:Z147" si="72">$C33*EXP(-B$129/$A33/EXP(-$B$126))</f>
        <v>7.0138718801303929E-2</v>
      </c>
      <c r="C147" s="3">
        <f t="shared" si="72"/>
        <v>7.0138718801303929E-2</v>
      </c>
      <c r="D147" s="3">
        <f t="shared" si="72"/>
        <v>7.0138718801303929E-2</v>
      </c>
      <c r="E147" s="3">
        <f t="shared" si="72"/>
        <v>7.0138718801303929E-2</v>
      </c>
      <c r="F147" s="3">
        <f t="shared" si="72"/>
        <v>7.0138718801303929E-2</v>
      </c>
      <c r="G147" s="3">
        <f t="shared" si="72"/>
        <v>7.0138718801303929E-2</v>
      </c>
      <c r="H147" s="3">
        <f t="shared" si="72"/>
        <v>7.0138718801303929E-2</v>
      </c>
      <c r="I147" s="3">
        <f t="shared" si="72"/>
        <v>7.0138718801303929E-2</v>
      </c>
      <c r="J147" s="3">
        <f t="shared" si="72"/>
        <v>7.0138718801303915E-2</v>
      </c>
      <c r="K147" s="3">
        <f t="shared" si="72"/>
        <v>7.0138718801303762E-2</v>
      </c>
      <c r="L147" s="3">
        <f t="shared" si="72"/>
        <v>7.0138718801302263E-2</v>
      </c>
      <c r="M147" s="3">
        <f t="shared" si="72"/>
        <v>7.0138718801287331E-2</v>
      </c>
      <c r="N147" s="3">
        <f t="shared" si="72"/>
        <v>7.013871880113802E-2</v>
      </c>
      <c r="O147" s="3">
        <f t="shared" si="72"/>
        <v>7.0138718799644881E-2</v>
      </c>
      <c r="P147" s="3">
        <f t="shared" si="72"/>
        <v>7.013871878471338E-2</v>
      </c>
      <c r="Q147" s="3">
        <f t="shared" si="72"/>
        <v>7.0138718635398459E-2</v>
      </c>
      <c r="R147" s="3">
        <f t="shared" si="72"/>
        <v>7.0138717142249243E-2</v>
      </c>
      <c r="S147" s="3">
        <f t="shared" si="72"/>
        <v>7.0138702210758866E-2</v>
      </c>
      <c r="T147" s="3">
        <f t="shared" si="72"/>
        <v>7.0138552896029924E-2</v>
      </c>
      <c r="U147" s="3">
        <f t="shared" si="72"/>
        <v>7.0137059766223128E-2</v>
      </c>
      <c r="V147" s="3">
        <f t="shared" si="72"/>
        <v>7.012213021628344E-2</v>
      </c>
      <c r="W147" s="3">
        <f t="shared" si="72"/>
        <v>6.9973009392090807E-2</v>
      </c>
      <c r="X147" s="3">
        <f t="shared" si="72"/>
        <v>6.8499131863256693E-2</v>
      </c>
      <c r="Y147" s="3">
        <f t="shared" si="72"/>
        <v>5.5364351529273763E-2</v>
      </c>
      <c r="Z147" s="3">
        <f t="shared" si="72"/>
        <v>6.5869098280652389E-3</v>
      </c>
      <c r="AA147" s="3">
        <f t="shared" ref="AA147" si="73">$C33*EXP(-AA$129/$A33/EXP(-$B$126))</f>
        <v>3.7428008991659688E-12</v>
      </c>
      <c r="AB147" s="3">
        <f t="shared" si="67"/>
        <v>1.3132481411134348E-104</v>
      </c>
      <c r="AC147" s="3">
        <f t="shared" si="67"/>
        <v>0</v>
      </c>
      <c r="AD147" s="3">
        <f t="shared" si="67"/>
        <v>0</v>
      </c>
      <c r="AE147" s="3">
        <f t="shared" si="67"/>
        <v>0</v>
      </c>
      <c r="AF147" s="3">
        <f t="shared" si="67"/>
        <v>0</v>
      </c>
    </row>
    <row r="148" spans="1:32" x14ac:dyDescent="0.25">
      <c r="B148" s="3">
        <f t="shared" ref="B148:Z148" si="74">$C34*EXP(-B$129/$A34/EXP(-$B$126))</f>
        <v>6.7659228447697881E-2</v>
      </c>
      <c r="C148" s="3">
        <f t="shared" si="74"/>
        <v>6.7659228447697881E-2</v>
      </c>
      <c r="D148" s="3">
        <f t="shared" si="74"/>
        <v>6.7659228447697881E-2</v>
      </c>
      <c r="E148" s="3">
        <f t="shared" si="74"/>
        <v>6.7659228447697881E-2</v>
      </c>
      <c r="F148" s="3">
        <f t="shared" si="74"/>
        <v>6.7659228447697881E-2</v>
      </c>
      <c r="G148" s="3">
        <f t="shared" si="74"/>
        <v>6.7659228447697881E-2</v>
      </c>
      <c r="H148" s="3">
        <f t="shared" si="74"/>
        <v>6.7659228447697881E-2</v>
      </c>
      <c r="I148" s="3">
        <f t="shared" si="74"/>
        <v>6.7659228447697881E-2</v>
      </c>
      <c r="J148" s="3">
        <f t="shared" si="74"/>
        <v>6.7659228447697881E-2</v>
      </c>
      <c r="K148" s="3">
        <f t="shared" si="74"/>
        <v>6.7659228447697867E-2</v>
      </c>
      <c r="L148" s="3">
        <f t="shared" si="74"/>
        <v>6.7659228447697742E-2</v>
      </c>
      <c r="M148" s="3">
        <f t="shared" si="74"/>
        <v>6.7659228447696437E-2</v>
      </c>
      <c r="N148" s="3">
        <f t="shared" si="74"/>
        <v>6.7659228447683448E-2</v>
      </c>
      <c r="O148" s="3">
        <f t="shared" si="74"/>
        <v>6.765922844755351E-2</v>
      </c>
      <c r="P148" s="3">
        <f t="shared" si="74"/>
        <v>6.7659228446254174E-2</v>
      </c>
      <c r="Q148" s="3">
        <f t="shared" si="74"/>
        <v>6.7659228433260901E-2</v>
      </c>
      <c r="R148" s="3">
        <f t="shared" si="74"/>
        <v>6.7659228303328031E-2</v>
      </c>
      <c r="S148" s="3">
        <f t="shared" si="74"/>
        <v>6.7659227003999386E-2</v>
      </c>
      <c r="T148" s="3">
        <f t="shared" si="74"/>
        <v>6.7659214010714286E-2</v>
      </c>
      <c r="U148" s="3">
        <f t="shared" si="74"/>
        <v>6.7659084078000586E-2</v>
      </c>
      <c r="V148" s="3">
        <f t="shared" si="74"/>
        <v>6.7657784764587309E-2</v>
      </c>
      <c r="W148" s="3">
        <f t="shared" si="74"/>
        <v>6.7644793002723982E-2</v>
      </c>
      <c r="X148" s="3">
        <f t="shared" si="74"/>
        <v>6.7515012513580455E-2</v>
      </c>
      <c r="Y148" s="3">
        <f t="shared" si="74"/>
        <v>6.6230823632479952E-2</v>
      </c>
      <c r="Z148" s="3">
        <f t="shared" si="74"/>
        <v>5.4658560487857728E-2</v>
      </c>
      <c r="AA148" s="3">
        <f>$C34*EXP(-AA$129/$A34/EXP(-$B$126))</f>
        <v>8.0101108889871122E-3</v>
      </c>
      <c r="AB148" s="3">
        <f t="shared" si="67"/>
        <v>3.6596699024680564E-11</v>
      </c>
      <c r="AC148" s="3">
        <f t="shared" si="67"/>
        <v>1.4503598692780596E-94</v>
      </c>
      <c r="AD148" s="3">
        <f t="shared" si="67"/>
        <v>0</v>
      </c>
      <c r="AE148" s="3">
        <f t="shared" si="67"/>
        <v>0</v>
      </c>
      <c r="AF148" s="3">
        <f t="shared" si="67"/>
        <v>0</v>
      </c>
    </row>
    <row r="149" spans="1:32" x14ac:dyDescent="0.25">
      <c r="B149" s="3">
        <f t="shared" ref="B149:Z149" si="75">$C35*EXP(-B$129/$A35/EXP(-$B$126))</f>
        <v>6.6765944370475505E-2</v>
      </c>
      <c r="C149" s="3">
        <f t="shared" si="75"/>
        <v>6.6765944370475505E-2</v>
      </c>
      <c r="D149" s="3">
        <f t="shared" si="75"/>
        <v>6.6765944370475505E-2</v>
      </c>
      <c r="E149" s="3">
        <f t="shared" si="75"/>
        <v>6.6765944370475505E-2</v>
      </c>
      <c r="F149" s="3">
        <f t="shared" si="75"/>
        <v>6.6765944370475505E-2</v>
      </c>
      <c r="G149" s="3">
        <f t="shared" si="75"/>
        <v>6.6765944370475505E-2</v>
      </c>
      <c r="H149" s="3">
        <f t="shared" si="75"/>
        <v>6.6765944370475505E-2</v>
      </c>
      <c r="I149" s="3">
        <f t="shared" si="75"/>
        <v>6.6765944370475505E-2</v>
      </c>
      <c r="J149" s="3">
        <f t="shared" si="75"/>
        <v>6.6765944370475505E-2</v>
      </c>
      <c r="K149" s="3">
        <f t="shared" si="75"/>
        <v>6.6765944370475505E-2</v>
      </c>
      <c r="L149" s="3">
        <f t="shared" si="75"/>
        <v>6.6765944370475491E-2</v>
      </c>
      <c r="M149" s="3">
        <f t="shared" si="75"/>
        <v>6.676594437047538E-2</v>
      </c>
      <c r="N149" s="3">
        <f t="shared" si="75"/>
        <v>6.6765944370474228E-2</v>
      </c>
      <c r="O149" s="3">
        <f t="shared" si="75"/>
        <v>6.6765944370462654E-2</v>
      </c>
      <c r="P149" s="3">
        <f t="shared" si="75"/>
        <v>6.6765944370346997E-2</v>
      </c>
      <c r="Q149" s="3">
        <f t="shared" si="75"/>
        <v>6.6765944369190366E-2</v>
      </c>
      <c r="R149" s="3">
        <f t="shared" si="75"/>
        <v>6.6765944357624091E-2</v>
      </c>
      <c r="S149" s="3">
        <f t="shared" si="75"/>
        <v>6.676594424196132E-2</v>
      </c>
      <c r="T149" s="3">
        <f t="shared" si="75"/>
        <v>6.6765943085333693E-2</v>
      </c>
      <c r="U149" s="3">
        <f t="shared" si="75"/>
        <v>6.6765931519058574E-2</v>
      </c>
      <c r="V149" s="3">
        <f t="shared" si="75"/>
        <v>6.6765815856417457E-2</v>
      </c>
      <c r="W149" s="3">
        <f t="shared" si="75"/>
        <v>6.676465924102655E-2</v>
      </c>
      <c r="X149" s="3">
        <f t="shared" si="75"/>
        <v>6.6753094189072631E-2</v>
      </c>
      <c r="Y149" s="3">
        <f t="shared" si="75"/>
        <v>6.6637553794442153E-2</v>
      </c>
      <c r="Z149" s="3">
        <f t="shared" si="75"/>
        <v>6.549309207772662E-2</v>
      </c>
      <c r="AA149" s="3">
        <f t="shared" ref="AA149" si="76">$C35*EXP(-AA$129/$A35/EXP(-$B$126))</f>
        <v>5.5075694605746274E-2</v>
      </c>
      <c r="AB149" s="3">
        <f t="shared" si="67"/>
        <v>9.7410296390405219E-3</v>
      </c>
      <c r="AC149" s="3">
        <f t="shared" si="67"/>
        <v>2.9177876480468568E-10</v>
      </c>
      <c r="AD149" s="3">
        <f t="shared" si="67"/>
        <v>1.69645306270633E-85</v>
      </c>
      <c r="AE149" s="3">
        <f t="shared" si="67"/>
        <v>0</v>
      </c>
      <c r="AF149" s="3">
        <f t="shared" si="67"/>
        <v>0</v>
      </c>
    </row>
    <row r="150" spans="1:32" x14ac:dyDescent="0.25">
      <c r="B150" s="3">
        <f t="shared" ref="B150:Z150" si="77">$C36*EXP(-B$129/$A36/EXP(-$B$126))</f>
        <v>4.8603939630861931E-2</v>
      </c>
      <c r="C150" s="3">
        <f t="shared" si="77"/>
        <v>4.8603939630861931E-2</v>
      </c>
      <c r="D150" s="3">
        <f t="shared" si="77"/>
        <v>4.8603939630861931E-2</v>
      </c>
      <c r="E150" s="3">
        <f t="shared" si="77"/>
        <v>4.8603939630861931E-2</v>
      </c>
      <c r="F150" s="3">
        <f t="shared" si="77"/>
        <v>4.8603939630861931E-2</v>
      </c>
      <c r="G150" s="3">
        <f t="shared" si="77"/>
        <v>4.8603939630861931E-2</v>
      </c>
      <c r="H150" s="3">
        <f t="shared" si="77"/>
        <v>4.8603939630861931E-2</v>
      </c>
      <c r="I150" s="3">
        <f t="shared" si="77"/>
        <v>4.8603939630861931E-2</v>
      </c>
      <c r="J150" s="3">
        <f t="shared" si="77"/>
        <v>4.8603939630861931E-2</v>
      </c>
      <c r="K150" s="3">
        <f t="shared" si="77"/>
        <v>4.8603939630861931E-2</v>
      </c>
      <c r="L150" s="3">
        <f t="shared" si="77"/>
        <v>4.8603939630861931E-2</v>
      </c>
      <c r="M150" s="3">
        <f t="shared" si="77"/>
        <v>4.8603939630861917E-2</v>
      </c>
      <c r="N150" s="3">
        <f t="shared" si="77"/>
        <v>4.8603939630861848E-2</v>
      </c>
      <c r="O150" s="3">
        <f t="shared" si="77"/>
        <v>4.8603939630861091E-2</v>
      </c>
      <c r="P150" s="3">
        <f t="shared" si="77"/>
        <v>4.8603939630853493E-2</v>
      </c>
      <c r="Q150" s="3">
        <f t="shared" si="77"/>
        <v>4.8603939630777533E-2</v>
      </c>
      <c r="R150" s="3">
        <f t="shared" si="77"/>
        <v>4.8603939630017988E-2</v>
      </c>
      <c r="S150" s="3">
        <f t="shared" si="77"/>
        <v>4.860393962242248E-2</v>
      </c>
      <c r="T150" s="3">
        <f t="shared" si="77"/>
        <v>4.8603939546467433E-2</v>
      </c>
      <c r="U150" s="3">
        <f t="shared" si="77"/>
        <v>4.8603938786916982E-2</v>
      </c>
      <c r="V150" s="3">
        <f t="shared" si="77"/>
        <v>4.860393119141309E-2</v>
      </c>
      <c r="W150" s="3">
        <f t="shared" si="77"/>
        <v>4.8603855236439418E-2</v>
      </c>
      <c r="X150" s="3">
        <f t="shared" si="77"/>
        <v>4.8603095693231069E-2</v>
      </c>
      <c r="Y150" s="3">
        <f t="shared" si="77"/>
        <v>4.8595500913942262E-2</v>
      </c>
      <c r="Z150" s="3">
        <f t="shared" si="77"/>
        <v>4.8519618362788584E-2</v>
      </c>
      <c r="AA150" s="3">
        <f t="shared" ref="AA150" si="78">$C36*EXP(-AA$129/$A36/EXP(-$B$126))</f>
        <v>4.776727945833309E-2</v>
      </c>
      <c r="AB150" s="3">
        <f t="shared" si="67"/>
        <v>4.0856561781501564E-2</v>
      </c>
      <c r="AC150" s="3">
        <f t="shared" si="67"/>
        <v>8.5619938160129729E-3</v>
      </c>
      <c r="AD150" s="3">
        <f t="shared" si="67"/>
        <v>1.3986396738724179E-9</v>
      </c>
      <c r="AE150" s="3">
        <f t="shared" si="67"/>
        <v>1.892409754601209E-77</v>
      </c>
      <c r="AF150" s="3">
        <f t="shared" si="67"/>
        <v>0</v>
      </c>
    </row>
    <row r="151" spans="1:32" x14ac:dyDescent="0.25">
      <c r="B151" s="3">
        <f t="shared" ref="B151:Z151" si="79">$C37*EXP(-B$129/$A37/EXP(-$B$126))</f>
        <v>3.7549192378247005E-2</v>
      </c>
      <c r="C151" s="3">
        <f t="shared" si="79"/>
        <v>3.7549192378247005E-2</v>
      </c>
      <c r="D151" s="3">
        <f t="shared" si="79"/>
        <v>3.7549192378247005E-2</v>
      </c>
      <c r="E151" s="3">
        <f t="shared" si="79"/>
        <v>3.7549192378247005E-2</v>
      </c>
      <c r="F151" s="3">
        <f t="shared" si="79"/>
        <v>3.7549192378247005E-2</v>
      </c>
      <c r="G151" s="3">
        <f t="shared" si="79"/>
        <v>3.7549192378247005E-2</v>
      </c>
      <c r="H151" s="3">
        <f t="shared" si="79"/>
        <v>3.7549192378247005E-2</v>
      </c>
      <c r="I151" s="3">
        <f t="shared" si="79"/>
        <v>3.7549192378247005E-2</v>
      </c>
      <c r="J151" s="3">
        <f t="shared" si="79"/>
        <v>3.7549192378247005E-2</v>
      </c>
      <c r="K151" s="3">
        <f t="shared" si="79"/>
        <v>3.7549192378247005E-2</v>
      </c>
      <c r="L151" s="3">
        <f t="shared" si="79"/>
        <v>3.7549192378247005E-2</v>
      </c>
      <c r="M151" s="3">
        <f t="shared" si="79"/>
        <v>3.7549192378247005E-2</v>
      </c>
      <c r="N151" s="3">
        <f t="shared" si="79"/>
        <v>3.7549192378246998E-2</v>
      </c>
      <c r="O151" s="3">
        <f t="shared" si="79"/>
        <v>3.754919237824695E-2</v>
      </c>
      <c r="P151" s="3">
        <f t="shared" si="79"/>
        <v>3.7549192378246415E-2</v>
      </c>
      <c r="Q151" s="3">
        <f t="shared" si="79"/>
        <v>3.7549192378241121E-2</v>
      </c>
      <c r="R151" s="3">
        <f t="shared" si="79"/>
        <v>3.7549192378188191E-2</v>
      </c>
      <c r="S151" s="3">
        <f t="shared" si="79"/>
        <v>3.7549192377658858E-2</v>
      </c>
      <c r="T151" s="3">
        <f t="shared" si="79"/>
        <v>3.7549192372365481E-2</v>
      </c>
      <c r="U151" s="3">
        <f t="shared" si="79"/>
        <v>3.7549192319431775E-2</v>
      </c>
      <c r="V151" s="3">
        <f t="shared" si="79"/>
        <v>3.7549191790094652E-2</v>
      </c>
      <c r="W151" s="3">
        <f t="shared" si="79"/>
        <v>3.7549186496723903E-2</v>
      </c>
      <c r="X151" s="3">
        <f t="shared" si="79"/>
        <v>3.7549133563057412E-2</v>
      </c>
      <c r="Y151" s="3">
        <f t="shared" si="79"/>
        <v>3.754860423049669E-2</v>
      </c>
      <c r="Z151" s="3">
        <f t="shared" si="79"/>
        <v>3.7543311315284073E-2</v>
      </c>
      <c r="AA151" s="3">
        <f t="shared" ref="AA151" si="80">$C37*EXP(-AA$129/$A37/EXP(-$B$126))</f>
        <v>3.7490423181218459E-2</v>
      </c>
      <c r="AB151" s="3">
        <f t="shared" si="67"/>
        <v>3.696562233223824E-2</v>
      </c>
      <c r="AC151" s="3">
        <f t="shared" si="67"/>
        <v>3.2105158403337108E-2</v>
      </c>
      <c r="AD151" s="3">
        <f t="shared" si="67"/>
        <v>7.8404820685185825E-3</v>
      </c>
      <c r="AE151" s="3">
        <f t="shared" si="67"/>
        <v>5.9159194865469726E-9</v>
      </c>
      <c r="AF151" s="3">
        <f t="shared" si="67"/>
        <v>3.5384832448536489E-70</v>
      </c>
    </row>
    <row r="152" spans="1:32" x14ac:dyDescent="0.25">
      <c r="B152" s="3">
        <f t="shared" ref="B152:Z152" si="81">$C38*EXP(-B$129/$A38/EXP(-$B$126))</f>
        <v>7.8409043454057813E-3</v>
      </c>
      <c r="C152" s="3">
        <f t="shared" si="81"/>
        <v>7.8409043454057813E-3</v>
      </c>
      <c r="D152" s="3">
        <f t="shared" si="81"/>
        <v>7.8409043454057813E-3</v>
      </c>
      <c r="E152" s="3">
        <f t="shared" si="81"/>
        <v>7.8409043454057813E-3</v>
      </c>
      <c r="F152" s="3">
        <f t="shared" si="81"/>
        <v>7.8409043454057813E-3</v>
      </c>
      <c r="G152" s="3">
        <f t="shared" si="81"/>
        <v>7.8409043454057813E-3</v>
      </c>
      <c r="H152" s="3">
        <f t="shared" si="81"/>
        <v>7.8409043454057813E-3</v>
      </c>
      <c r="I152" s="3">
        <f t="shared" si="81"/>
        <v>7.8409043454057813E-3</v>
      </c>
      <c r="J152" s="3">
        <f t="shared" si="81"/>
        <v>7.8409043454057813E-3</v>
      </c>
      <c r="K152" s="3">
        <f t="shared" si="81"/>
        <v>7.8409043454057813E-3</v>
      </c>
      <c r="L152" s="3">
        <f t="shared" si="81"/>
        <v>7.8409043454057813E-3</v>
      </c>
      <c r="M152" s="3">
        <f t="shared" si="81"/>
        <v>7.8409043454057813E-3</v>
      </c>
      <c r="N152" s="3">
        <f t="shared" si="81"/>
        <v>7.8409043454057813E-3</v>
      </c>
      <c r="O152" s="3">
        <f t="shared" si="81"/>
        <v>7.8409043454057796E-3</v>
      </c>
      <c r="P152" s="3">
        <f t="shared" si="81"/>
        <v>7.8409043454057692E-3</v>
      </c>
      <c r="Q152" s="3">
        <f t="shared" si="81"/>
        <v>7.8409043454056703E-3</v>
      </c>
      <c r="R152" s="3">
        <f t="shared" si="81"/>
        <v>7.8409043454046728E-3</v>
      </c>
      <c r="S152" s="3">
        <f t="shared" si="81"/>
        <v>7.8409043453947017E-3</v>
      </c>
      <c r="T152" s="3">
        <f t="shared" si="81"/>
        <v>7.8409043452949915E-3</v>
      </c>
      <c r="U152" s="3">
        <f t="shared" si="81"/>
        <v>7.8409043442978776E-3</v>
      </c>
      <c r="V152" s="3">
        <f t="shared" si="81"/>
        <v>7.8409043343267443E-3</v>
      </c>
      <c r="W152" s="3">
        <f t="shared" si="81"/>
        <v>7.8409042346154183E-3</v>
      </c>
      <c r="X152" s="3">
        <f t="shared" si="81"/>
        <v>7.8409032375022242E-3</v>
      </c>
      <c r="Y152" s="3">
        <f t="shared" si="81"/>
        <v>7.8408932663772499E-3</v>
      </c>
      <c r="Z152" s="3">
        <f t="shared" si="81"/>
        <v>7.8407935558249073E-3</v>
      </c>
      <c r="AA152" s="3">
        <f t="shared" ref="AA152" si="82">$C38*EXP(-AA$129/$A38/EXP(-$B$126))</f>
        <v>7.8397965200384164E-3</v>
      </c>
      <c r="AB152" s="3">
        <f t="shared" si="67"/>
        <v>7.8298331325863165E-3</v>
      </c>
      <c r="AC152" s="3">
        <f t="shared" si="67"/>
        <v>7.7308930307397267E-3</v>
      </c>
      <c r="AD152" s="3">
        <f t="shared" si="67"/>
        <v>6.8077130221900423E-3</v>
      </c>
      <c r="AE152" s="3">
        <f t="shared" si="67"/>
        <v>1.9086091299019016E-3</v>
      </c>
      <c r="AF152" s="3">
        <f t="shared" si="67"/>
        <v>5.7263062104842482E-9</v>
      </c>
    </row>
    <row r="153" spans="1:32" x14ac:dyDescent="0.25">
      <c r="B153" s="3">
        <f t="shared" ref="B153:Z153" si="83">$C39*EXP(-B$129/$A39/EXP(-$B$126))</f>
        <v>1.487119099211914E-2</v>
      </c>
      <c r="C153" s="3">
        <f t="shared" si="83"/>
        <v>1.487119099211914E-2</v>
      </c>
      <c r="D153" s="3">
        <f t="shared" si="83"/>
        <v>1.487119099211914E-2</v>
      </c>
      <c r="E153" s="3">
        <f t="shared" si="83"/>
        <v>1.487119099211914E-2</v>
      </c>
      <c r="F153" s="3">
        <f t="shared" si="83"/>
        <v>1.487119099211914E-2</v>
      </c>
      <c r="G153" s="3">
        <f t="shared" si="83"/>
        <v>1.487119099211914E-2</v>
      </c>
      <c r="H153" s="3">
        <f t="shared" si="83"/>
        <v>1.487119099211914E-2</v>
      </c>
      <c r="I153" s="3">
        <f t="shared" si="83"/>
        <v>1.487119099211914E-2</v>
      </c>
      <c r="J153" s="3">
        <f t="shared" si="83"/>
        <v>1.487119099211914E-2</v>
      </c>
      <c r="K153" s="3">
        <f t="shared" si="83"/>
        <v>1.487119099211914E-2</v>
      </c>
      <c r="L153" s="3">
        <f t="shared" si="83"/>
        <v>1.487119099211914E-2</v>
      </c>
      <c r="M153" s="3">
        <f t="shared" si="83"/>
        <v>1.487119099211914E-2</v>
      </c>
      <c r="N153" s="3">
        <f t="shared" si="83"/>
        <v>1.487119099211914E-2</v>
      </c>
      <c r="O153" s="3">
        <f t="shared" si="83"/>
        <v>1.487119099211914E-2</v>
      </c>
      <c r="P153" s="3">
        <f t="shared" si="83"/>
        <v>1.4871190992119133E-2</v>
      </c>
      <c r="Q153" s="3">
        <f t="shared" si="83"/>
        <v>1.4871190992119082E-2</v>
      </c>
      <c r="R153" s="3">
        <f t="shared" si="83"/>
        <v>1.4871190992118559E-2</v>
      </c>
      <c r="S153" s="3">
        <f t="shared" si="83"/>
        <v>1.4871190992113328E-2</v>
      </c>
      <c r="T153" s="3">
        <f t="shared" si="83"/>
        <v>1.4871190992061023E-2</v>
      </c>
      <c r="U153" s="3">
        <f t="shared" si="83"/>
        <v>1.4871190991537981E-2</v>
      </c>
      <c r="V153" s="3">
        <f t="shared" si="83"/>
        <v>1.4871190986307556E-2</v>
      </c>
      <c r="W153" s="3">
        <f t="shared" si="83"/>
        <v>1.487119093400331E-2</v>
      </c>
      <c r="X153" s="3">
        <f t="shared" si="83"/>
        <v>1.4871190410960852E-2</v>
      </c>
      <c r="Y153" s="3">
        <f t="shared" si="83"/>
        <v>1.4871185180537271E-2</v>
      </c>
      <c r="Z153" s="3">
        <f t="shared" si="83"/>
        <v>1.4871132876402654E-2</v>
      </c>
      <c r="AA153" s="3">
        <f t="shared" ref="AA153" si="84">$C39*EXP(-AA$129/$A39/EXP(-$B$126))</f>
        <v>1.4870609845174245E-2</v>
      </c>
      <c r="AB153" s="3">
        <f t="shared" si="67"/>
        <v>1.4865380544534949E-2</v>
      </c>
      <c r="AC153" s="3">
        <f t="shared" si="67"/>
        <v>1.4813188571095452E-2</v>
      </c>
      <c r="AD153" s="3">
        <f t="shared" si="67"/>
        <v>1.4301241880942664E-2</v>
      </c>
      <c r="AE153" s="3">
        <f t="shared" si="67"/>
        <v>1.006064346355282E-2</v>
      </c>
      <c r="AF153" s="3">
        <f t="shared" si="67"/>
        <v>2.9863851829478371E-4</v>
      </c>
    </row>
    <row r="154" spans="1:32" x14ac:dyDescent="0.25">
      <c r="B154" s="3">
        <f t="shared" ref="B154:Z154" si="85">$C40*EXP(-B$129/$A40/EXP(-$B$126))</f>
        <v>3.2949113910046581E-3</v>
      </c>
      <c r="C154" s="3">
        <f t="shared" si="85"/>
        <v>3.2949113910046581E-3</v>
      </c>
      <c r="D154" s="3">
        <f t="shared" si="85"/>
        <v>3.2949113910046581E-3</v>
      </c>
      <c r="E154" s="3">
        <f t="shared" si="85"/>
        <v>3.2949113910046581E-3</v>
      </c>
      <c r="F154" s="3">
        <f t="shared" si="85"/>
        <v>3.2949113910046581E-3</v>
      </c>
      <c r="G154" s="3">
        <f t="shared" si="85"/>
        <v>3.2949113910046581E-3</v>
      </c>
      <c r="H154" s="3">
        <f t="shared" si="85"/>
        <v>3.2949113910046581E-3</v>
      </c>
      <c r="I154" s="3">
        <f t="shared" si="85"/>
        <v>3.2949113910046581E-3</v>
      </c>
      <c r="J154" s="3">
        <f t="shared" si="85"/>
        <v>3.2949113910046581E-3</v>
      </c>
      <c r="K154" s="3">
        <f t="shared" si="85"/>
        <v>3.2949113910046581E-3</v>
      </c>
      <c r="L154" s="3">
        <f t="shared" si="85"/>
        <v>3.2949113910046581E-3</v>
      </c>
      <c r="M154" s="3">
        <f t="shared" si="85"/>
        <v>3.2949113910046581E-3</v>
      </c>
      <c r="N154" s="3">
        <f t="shared" si="85"/>
        <v>3.2949113910046581E-3</v>
      </c>
      <c r="O154" s="3">
        <f t="shared" si="85"/>
        <v>3.2949113910046581E-3</v>
      </c>
      <c r="P154" s="3">
        <f t="shared" si="85"/>
        <v>3.2949113910046581E-3</v>
      </c>
      <c r="Q154" s="3">
        <f t="shared" si="85"/>
        <v>3.2949113910046568E-3</v>
      </c>
      <c r="R154" s="3">
        <f t="shared" si="85"/>
        <v>3.2949113910046451E-3</v>
      </c>
      <c r="S154" s="3">
        <f t="shared" si="85"/>
        <v>3.2949113910045293E-3</v>
      </c>
      <c r="T154" s="3">
        <f t="shared" si="85"/>
        <v>3.2949113910033705E-3</v>
      </c>
      <c r="U154" s="3">
        <f t="shared" si="85"/>
        <v>3.2949113909917817E-3</v>
      </c>
      <c r="V154" s="3">
        <f t="shared" si="85"/>
        <v>3.2949113908758943E-3</v>
      </c>
      <c r="W154" s="3">
        <f t="shared" si="85"/>
        <v>3.294911389717024E-3</v>
      </c>
      <c r="X154" s="3">
        <f t="shared" si="85"/>
        <v>3.2949113781283179E-3</v>
      </c>
      <c r="Y154" s="3">
        <f t="shared" si="85"/>
        <v>3.2949112622412615E-3</v>
      </c>
      <c r="Z154" s="3">
        <f t="shared" si="85"/>
        <v>3.2949101033709167E-3</v>
      </c>
      <c r="AA154" s="3">
        <f t="shared" ref="AA154:AF154" si="86">$C40*EXP(-AA$129/$A40/EXP(-$B$126))</f>
        <v>3.2948985146898863E-3</v>
      </c>
      <c r="AB154" s="3">
        <f t="shared" si="86"/>
        <v>3.2947826301213102E-3</v>
      </c>
      <c r="AC154" s="3">
        <f t="shared" si="86"/>
        <v>3.2936240085789919E-3</v>
      </c>
      <c r="AD154" s="3">
        <f t="shared" si="86"/>
        <v>3.2820601783588063E-3</v>
      </c>
      <c r="AE154" s="3">
        <f t="shared" si="86"/>
        <v>3.168631537581785E-3</v>
      </c>
      <c r="AF154" s="3">
        <f t="shared" si="86"/>
        <v>2.2290702046973733E-3</v>
      </c>
    </row>
    <row r="155" spans="1:32" x14ac:dyDescent="0.25">
      <c r="B155" s="3">
        <f t="shared" ref="B155:Z155" si="87">$C41*EXP(-B$129/$A41/EXP(-$B$126))</f>
        <v>4.0317394660720415E-3</v>
      </c>
      <c r="C155" s="3">
        <f t="shared" si="87"/>
        <v>4.0317394660720415E-3</v>
      </c>
      <c r="D155" s="3">
        <f t="shared" si="87"/>
        <v>4.0317394660720415E-3</v>
      </c>
      <c r="E155" s="3">
        <f t="shared" si="87"/>
        <v>4.0317394660720415E-3</v>
      </c>
      <c r="F155" s="3">
        <f t="shared" si="87"/>
        <v>4.0317394660720415E-3</v>
      </c>
      <c r="G155" s="3">
        <f t="shared" si="87"/>
        <v>4.0317394660720415E-3</v>
      </c>
      <c r="H155" s="3">
        <f t="shared" si="87"/>
        <v>4.0317394660720415E-3</v>
      </c>
      <c r="I155" s="3">
        <f t="shared" si="87"/>
        <v>4.0317394660720415E-3</v>
      </c>
      <c r="J155" s="3">
        <f t="shared" si="87"/>
        <v>4.0317394660720415E-3</v>
      </c>
      <c r="K155" s="3">
        <f t="shared" si="87"/>
        <v>4.0317394660720415E-3</v>
      </c>
      <c r="L155" s="3">
        <f t="shared" si="87"/>
        <v>4.0317394660720415E-3</v>
      </c>
      <c r="M155" s="3">
        <f t="shared" si="87"/>
        <v>4.0317394660720415E-3</v>
      </c>
      <c r="N155" s="3">
        <f t="shared" si="87"/>
        <v>4.0317394660720415E-3</v>
      </c>
      <c r="O155" s="3">
        <f t="shared" si="87"/>
        <v>4.0317394660720415E-3</v>
      </c>
      <c r="P155" s="3">
        <f t="shared" si="87"/>
        <v>4.0317394660720415E-3</v>
      </c>
      <c r="Q155" s="3">
        <f t="shared" si="87"/>
        <v>4.0317394660720415E-3</v>
      </c>
      <c r="R155" s="3">
        <f t="shared" si="87"/>
        <v>4.0317394660720398E-3</v>
      </c>
      <c r="S155" s="3">
        <f t="shared" si="87"/>
        <v>4.0317394660720259E-3</v>
      </c>
      <c r="T155" s="3">
        <f t="shared" si="87"/>
        <v>4.0317394660718837E-3</v>
      </c>
      <c r="U155" s="3">
        <f t="shared" si="87"/>
        <v>4.0317394660704655E-3</v>
      </c>
      <c r="V155" s="3">
        <f t="shared" si="87"/>
        <v>4.0317394660562859E-3</v>
      </c>
      <c r="W155" s="3">
        <f t="shared" si="87"/>
        <v>4.0317394659144827E-3</v>
      </c>
      <c r="X155" s="3">
        <f t="shared" si="87"/>
        <v>4.031739464496459E-3</v>
      </c>
      <c r="Y155" s="3">
        <f t="shared" si="87"/>
        <v>4.0317394503162161E-3</v>
      </c>
      <c r="Z155" s="3">
        <f t="shared" si="87"/>
        <v>4.031739308513793E-3</v>
      </c>
      <c r="AA155" s="3">
        <f t="shared" ref="AA155:AF155" si="88">$C41*EXP(-AA$129/$A41/EXP(-$B$126))</f>
        <v>4.0317378904898308E-3</v>
      </c>
      <c r="AB155" s="3">
        <f t="shared" si="88"/>
        <v>4.0317237102776415E-3</v>
      </c>
      <c r="AC155" s="3">
        <f t="shared" si="88"/>
        <v>4.0315819108987837E-3</v>
      </c>
      <c r="AD155" s="3">
        <f t="shared" si="88"/>
        <v>4.0301641913779614E-3</v>
      </c>
      <c r="AE155" s="3">
        <f t="shared" si="88"/>
        <v>4.0160143872876421E-3</v>
      </c>
      <c r="AF155" s="3">
        <f t="shared" si="88"/>
        <v>3.8772201457028372E-3</v>
      </c>
    </row>
    <row r="156" spans="1:32" x14ac:dyDescent="0.25">
      <c r="B156" s="3">
        <f t="shared" ref="B156:Z156" si="89">$C42*EXP(-B$129/$A42/EXP(-$B$126))</f>
        <v>2.1502645285220883E-3</v>
      </c>
      <c r="C156" s="3">
        <f t="shared" si="89"/>
        <v>2.1502645285220883E-3</v>
      </c>
      <c r="D156" s="3">
        <f t="shared" si="89"/>
        <v>2.1502645285220883E-3</v>
      </c>
      <c r="E156" s="3">
        <f t="shared" si="89"/>
        <v>2.1502645285220883E-3</v>
      </c>
      <c r="F156" s="3">
        <f t="shared" si="89"/>
        <v>2.1502645285220883E-3</v>
      </c>
      <c r="G156" s="3">
        <f t="shared" si="89"/>
        <v>2.1502645285220883E-3</v>
      </c>
      <c r="H156" s="3">
        <f t="shared" si="89"/>
        <v>2.1502645285220883E-3</v>
      </c>
      <c r="I156" s="3">
        <f t="shared" si="89"/>
        <v>2.1502645285220883E-3</v>
      </c>
      <c r="J156" s="3">
        <f t="shared" si="89"/>
        <v>2.1502645285220883E-3</v>
      </c>
      <c r="K156" s="3">
        <f t="shared" si="89"/>
        <v>2.1502645285220883E-3</v>
      </c>
      <c r="L156" s="3">
        <f t="shared" si="89"/>
        <v>2.1502645285220883E-3</v>
      </c>
      <c r="M156" s="3">
        <f t="shared" si="89"/>
        <v>2.1502645285220883E-3</v>
      </c>
      <c r="N156" s="3">
        <f t="shared" si="89"/>
        <v>2.1502645285220883E-3</v>
      </c>
      <c r="O156" s="3">
        <f t="shared" si="89"/>
        <v>2.1502645285220883E-3</v>
      </c>
      <c r="P156" s="3">
        <f t="shared" si="89"/>
        <v>2.1502645285220883E-3</v>
      </c>
      <c r="Q156" s="3">
        <f t="shared" si="89"/>
        <v>2.1502645285220883E-3</v>
      </c>
      <c r="R156" s="3">
        <f t="shared" si="89"/>
        <v>2.1502645285220883E-3</v>
      </c>
      <c r="S156" s="3">
        <f t="shared" si="89"/>
        <v>2.1502645285220875E-3</v>
      </c>
      <c r="T156" s="3">
        <f t="shared" si="89"/>
        <v>2.1502645285220801E-3</v>
      </c>
      <c r="U156" s="3">
        <f t="shared" si="89"/>
        <v>2.1502645285220042E-3</v>
      </c>
      <c r="V156" s="3">
        <f t="shared" si="89"/>
        <v>2.1502645285212479E-3</v>
      </c>
      <c r="W156" s="3">
        <f t="shared" si="89"/>
        <v>2.1502645285136853E-3</v>
      </c>
      <c r="X156" s="3">
        <f t="shared" si="89"/>
        <v>2.150264528438057E-3</v>
      </c>
      <c r="Y156" s="3">
        <f t="shared" si="89"/>
        <v>2.1502645276817761E-3</v>
      </c>
      <c r="Z156" s="3">
        <f t="shared" si="89"/>
        <v>2.1502645201189677E-3</v>
      </c>
      <c r="AA156" s="3">
        <f t="shared" ref="AA156:AF156" si="90">$C42*EXP(-AA$129/$A42/EXP(-$B$126))</f>
        <v>2.1502644444908862E-3</v>
      </c>
      <c r="AB156" s="3">
        <f t="shared" si="90"/>
        <v>2.1502636882102162E-3</v>
      </c>
      <c r="AC156" s="3">
        <f t="shared" si="90"/>
        <v>2.1502561254181421E-3</v>
      </c>
      <c r="AD156" s="3">
        <f t="shared" si="90"/>
        <v>2.1501804989603585E-3</v>
      </c>
      <c r="AE156" s="3">
        <f t="shared" si="90"/>
        <v>2.1494243806588981E-3</v>
      </c>
      <c r="AF156" s="3">
        <f t="shared" si="90"/>
        <v>2.1418778062641513E-3</v>
      </c>
    </row>
    <row r="157" spans="1:32" x14ac:dyDescent="0.25">
      <c r="B157" s="3">
        <f t="shared" ref="B157:Z157" si="91">$C43*EXP(-B$129/$A43/EXP(-$B$126))</f>
        <v>0</v>
      </c>
      <c r="C157" s="3">
        <f t="shared" si="91"/>
        <v>0</v>
      </c>
      <c r="D157" s="3">
        <f t="shared" si="91"/>
        <v>0</v>
      </c>
      <c r="E157" s="3">
        <f t="shared" si="91"/>
        <v>0</v>
      </c>
      <c r="F157" s="3">
        <f t="shared" si="91"/>
        <v>0</v>
      </c>
      <c r="G157" s="3">
        <f t="shared" si="91"/>
        <v>0</v>
      </c>
      <c r="H157" s="3">
        <f t="shared" si="91"/>
        <v>0</v>
      </c>
      <c r="I157" s="3">
        <f t="shared" si="91"/>
        <v>0</v>
      </c>
      <c r="J157" s="3">
        <f t="shared" si="91"/>
        <v>0</v>
      </c>
      <c r="K157" s="3">
        <f t="shared" si="91"/>
        <v>0</v>
      </c>
      <c r="L157" s="3">
        <f t="shared" si="91"/>
        <v>0</v>
      </c>
      <c r="M157" s="3">
        <f t="shared" si="91"/>
        <v>0</v>
      </c>
      <c r="N157" s="3">
        <f t="shared" si="91"/>
        <v>0</v>
      </c>
      <c r="O157" s="3">
        <f t="shared" si="91"/>
        <v>0</v>
      </c>
      <c r="P157" s="3">
        <f t="shared" si="91"/>
        <v>0</v>
      </c>
      <c r="Q157" s="3">
        <f t="shared" si="91"/>
        <v>0</v>
      </c>
      <c r="R157" s="3">
        <f t="shared" si="91"/>
        <v>0</v>
      </c>
      <c r="S157" s="3">
        <f t="shared" si="91"/>
        <v>0</v>
      </c>
      <c r="T157" s="3">
        <f t="shared" si="91"/>
        <v>0</v>
      </c>
      <c r="U157" s="3">
        <f t="shared" si="91"/>
        <v>0</v>
      </c>
      <c r="V157" s="3">
        <f t="shared" si="91"/>
        <v>0</v>
      </c>
      <c r="W157" s="3">
        <f t="shared" si="91"/>
        <v>0</v>
      </c>
      <c r="X157" s="3">
        <f t="shared" si="91"/>
        <v>0</v>
      </c>
      <c r="Y157" s="3">
        <f t="shared" si="91"/>
        <v>0</v>
      </c>
      <c r="Z157" s="3">
        <f t="shared" si="91"/>
        <v>0</v>
      </c>
      <c r="AA157" s="3">
        <f t="shared" ref="AA157:AF157" si="92">$C43*EXP(-AA$129/$A43/EXP(-$B$126))</f>
        <v>0</v>
      </c>
      <c r="AB157" s="3">
        <f t="shared" si="92"/>
        <v>0</v>
      </c>
      <c r="AC157" s="3">
        <f t="shared" si="92"/>
        <v>0</v>
      </c>
      <c r="AD157" s="3">
        <f t="shared" si="92"/>
        <v>0</v>
      </c>
      <c r="AE157" s="3">
        <f t="shared" si="92"/>
        <v>0</v>
      </c>
      <c r="AF157" s="3">
        <f t="shared" si="92"/>
        <v>0</v>
      </c>
    </row>
    <row r="158" spans="1:32" x14ac:dyDescent="0.25">
      <c r="B158" s="3">
        <f t="shared" ref="B158:Z158" si="93">$C44*EXP(-B$129/$A44/EXP(-$B$126))</f>
        <v>3.0564736295290245E-3</v>
      </c>
      <c r="C158" s="3">
        <f t="shared" si="93"/>
        <v>3.0564736295290245E-3</v>
      </c>
      <c r="D158" s="3">
        <f t="shared" si="93"/>
        <v>3.0564736295290245E-3</v>
      </c>
      <c r="E158" s="3">
        <f t="shared" si="93"/>
        <v>3.0564736295290245E-3</v>
      </c>
      <c r="F158" s="3">
        <f t="shared" si="93"/>
        <v>3.0564736295290245E-3</v>
      </c>
      <c r="G158" s="3">
        <f t="shared" si="93"/>
        <v>3.0564736295290245E-3</v>
      </c>
      <c r="H158" s="3">
        <f t="shared" si="93"/>
        <v>3.0564736295290245E-3</v>
      </c>
      <c r="I158" s="3">
        <f t="shared" si="93"/>
        <v>3.0564736295290245E-3</v>
      </c>
      <c r="J158" s="3">
        <f t="shared" si="93"/>
        <v>3.0564736295290245E-3</v>
      </c>
      <c r="K158" s="3">
        <f t="shared" si="93"/>
        <v>3.0564736295290245E-3</v>
      </c>
      <c r="L158" s="3">
        <f t="shared" si="93"/>
        <v>3.0564736295290245E-3</v>
      </c>
      <c r="M158" s="3">
        <f t="shared" si="93"/>
        <v>3.0564736295290245E-3</v>
      </c>
      <c r="N158" s="3">
        <f t="shared" si="93"/>
        <v>3.0564736295290245E-3</v>
      </c>
      <c r="O158" s="3">
        <f t="shared" si="93"/>
        <v>3.0564736295290245E-3</v>
      </c>
      <c r="P158" s="3">
        <f t="shared" si="93"/>
        <v>3.0564736295290245E-3</v>
      </c>
      <c r="Q158" s="3">
        <f t="shared" si="93"/>
        <v>3.0564736295290245E-3</v>
      </c>
      <c r="R158" s="3">
        <f t="shared" si="93"/>
        <v>3.0564736295290245E-3</v>
      </c>
      <c r="S158" s="3">
        <f t="shared" si="93"/>
        <v>3.0564736295290245E-3</v>
      </c>
      <c r="T158" s="3">
        <f t="shared" si="93"/>
        <v>3.0564736295290245E-3</v>
      </c>
      <c r="U158" s="3">
        <f t="shared" si="93"/>
        <v>3.0564736295290232E-3</v>
      </c>
      <c r="V158" s="3">
        <f t="shared" si="93"/>
        <v>3.0564736295290128E-3</v>
      </c>
      <c r="W158" s="3">
        <f t="shared" si="93"/>
        <v>3.0564736295289052E-3</v>
      </c>
      <c r="X158" s="3">
        <f t="shared" si="93"/>
        <v>3.0564736295278301E-3</v>
      </c>
      <c r="Y158" s="3">
        <f t="shared" si="93"/>
        <v>3.05647362951708E-3</v>
      </c>
      <c r="Z158" s="3">
        <f t="shared" si="93"/>
        <v>3.0564736294095788E-3</v>
      </c>
      <c r="AA158" s="3">
        <f t="shared" ref="AA158:AF158" si="94">$C44*EXP(-AA$129/$A44/EXP(-$B$126))</f>
        <v>3.0564736283345707E-3</v>
      </c>
      <c r="AB158" s="3">
        <f t="shared" si="94"/>
        <v>3.0564736175844867E-3</v>
      </c>
      <c r="AC158" s="3">
        <f t="shared" si="94"/>
        <v>3.0564735100836495E-3</v>
      </c>
      <c r="AD158" s="3">
        <f t="shared" si="94"/>
        <v>3.0564724350754845E-3</v>
      </c>
      <c r="AE158" s="3">
        <f t="shared" si="94"/>
        <v>3.0564616850146278E-3</v>
      </c>
      <c r="AF158" s="3">
        <f t="shared" si="94"/>
        <v>3.056354186485566E-3</v>
      </c>
    </row>
    <row r="159" spans="1:32" x14ac:dyDescent="0.25">
      <c r="A159" s="11" t="s">
        <v>75</v>
      </c>
      <c r="B159" s="3">
        <f t="shared" ref="B159:Z159" si="95">$C45*EXP(-B$129/$A45/EXP(-$B$126))</f>
        <v>1.3352216676863077E-3</v>
      </c>
      <c r="C159" s="3">
        <f t="shared" si="95"/>
        <v>1.3352216676863077E-3</v>
      </c>
      <c r="D159" s="3">
        <f t="shared" si="95"/>
        <v>1.3352216676863077E-3</v>
      </c>
      <c r="E159" s="3">
        <f t="shared" si="95"/>
        <v>1.3352216676863077E-3</v>
      </c>
      <c r="F159" s="3">
        <f t="shared" si="95"/>
        <v>1.3352216676863077E-3</v>
      </c>
      <c r="G159" s="3">
        <f t="shared" si="95"/>
        <v>1.3352216676863077E-3</v>
      </c>
      <c r="H159" s="3">
        <f t="shared" si="95"/>
        <v>1.3352216676863077E-3</v>
      </c>
      <c r="I159" s="3">
        <f t="shared" si="95"/>
        <v>1.3352216676863077E-3</v>
      </c>
      <c r="J159" s="3">
        <f t="shared" si="95"/>
        <v>1.3352216676863077E-3</v>
      </c>
      <c r="K159" s="3">
        <f t="shared" si="95"/>
        <v>1.3352216676863077E-3</v>
      </c>
      <c r="L159" s="3">
        <f t="shared" si="95"/>
        <v>1.3352216676863077E-3</v>
      </c>
      <c r="M159" s="3">
        <f t="shared" si="95"/>
        <v>1.3352216676863077E-3</v>
      </c>
      <c r="N159" s="3">
        <f t="shared" si="95"/>
        <v>1.3352216676863077E-3</v>
      </c>
      <c r="O159" s="3">
        <f t="shared" si="95"/>
        <v>1.3352216676863077E-3</v>
      </c>
      <c r="P159" s="3">
        <f t="shared" si="95"/>
        <v>1.3352216676863077E-3</v>
      </c>
      <c r="Q159" s="3">
        <f t="shared" si="95"/>
        <v>1.3352216676863077E-3</v>
      </c>
      <c r="R159" s="3">
        <f t="shared" si="95"/>
        <v>1.3352216676863077E-3</v>
      </c>
      <c r="S159" s="3">
        <f t="shared" si="95"/>
        <v>1.3352216676863077E-3</v>
      </c>
      <c r="T159" s="3">
        <f t="shared" si="95"/>
        <v>1.3352216676863077E-3</v>
      </c>
      <c r="U159" s="3">
        <f t="shared" si="95"/>
        <v>1.3352216676863077E-3</v>
      </c>
      <c r="V159" s="3">
        <f t="shared" si="95"/>
        <v>1.335221667686307E-3</v>
      </c>
      <c r="W159" s="3">
        <f t="shared" si="95"/>
        <v>1.3352216676863024E-3</v>
      </c>
      <c r="X159" s="3">
        <f t="shared" si="95"/>
        <v>1.3352216676862554E-3</v>
      </c>
      <c r="Y159" s="3">
        <f t="shared" si="95"/>
        <v>1.3352216676857859E-3</v>
      </c>
      <c r="Z159" s="3">
        <f t="shared" si="95"/>
        <v>1.3352216676810896E-3</v>
      </c>
      <c r="AA159" s="3">
        <f t="shared" ref="AA159:AF159" si="96">$C45*EXP(-AA$129/$A45/EXP(-$B$126))</f>
        <v>1.3352216676341278E-3</v>
      </c>
      <c r="AB159" s="3">
        <f t="shared" si="96"/>
        <v>1.33522166716451E-3</v>
      </c>
      <c r="AC159" s="3">
        <f t="shared" si="96"/>
        <v>1.3352216624683316E-3</v>
      </c>
      <c r="AD159" s="3">
        <f t="shared" si="96"/>
        <v>1.3352216155065502E-3</v>
      </c>
      <c r="AE159" s="3">
        <f t="shared" si="96"/>
        <v>1.3352211458888242E-3</v>
      </c>
      <c r="AF159" s="3">
        <f t="shared" si="96"/>
        <v>1.33521644972065E-3</v>
      </c>
    </row>
    <row r="160" spans="1:32" x14ac:dyDescent="0.25">
      <c r="B160" s="3">
        <f t="shared" ref="B160:Z160" si="97">$C46*EXP(-B$129/$A46/EXP(-$B$126))</f>
        <v>0</v>
      </c>
      <c r="C160" s="3">
        <f t="shared" si="97"/>
        <v>0</v>
      </c>
      <c r="D160" s="3">
        <f t="shared" si="97"/>
        <v>0</v>
      </c>
      <c r="E160" s="3">
        <f t="shared" si="97"/>
        <v>0</v>
      </c>
      <c r="F160" s="3">
        <f t="shared" si="97"/>
        <v>0</v>
      </c>
      <c r="G160" s="3">
        <f t="shared" si="97"/>
        <v>0</v>
      </c>
      <c r="H160" s="3">
        <f t="shared" si="97"/>
        <v>0</v>
      </c>
      <c r="I160" s="3">
        <f t="shared" si="97"/>
        <v>0</v>
      </c>
      <c r="J160" s="3">
        <f t="shared" si="97"/>
        <v>0</v>
      </c>
      <c r="K160" s="3">
        <f t="shared" si="97"/>
        <v>0</v>
      </c>
      <c r="L160" s="3">
        <f t="shared" si="97"/>
        <v>0</v>
      </c>
      <c r="M160" s="3">
        <f t="shared" si="97"/>
        <v>0</v>
      </c>
      <c r="N160" s="3">
        <f t="shared" si="97"/>
        <v>0</v>
      </c>
      <c r="O160" s="3">
        <f t="shared" si="97"/>
        <v>0</v>
      </c>
      <c r="P160" s="3">
        <f t="shared" si="97"/>
        <v>0</v>
      </c>
      <c r="Q160" s="3">
        <f t="shared" si="97"/>
        <v>0</v>
      </c>
      <c r="R160" s="3">
        <f t="shared" si="97"/>
        <v>0</v>
      </c>
      <c r="S160" s="3">
        <f t="shared" si="97"/>
        <v>0</v>
      </c>
      <c r="T160" s="3">
        <f t="shared" si="97"/>
        <v>0</v>
      </c>
      <c r="U160" s="3">
        <f t="shared" si="97"/>
        <v>0</v>
      </c>
      <c r="V160" s="3">
        <f t="shared" si="97"/>
        <v>0</v>
      </c>
      <c r="W160" s="3">
        <f t="shared" si="97"/>
        <v>0</v>
      </c>
      <c r="X160" s="3">
        <f t="shared" si="97"/>
        <v>0</v>
      </c>
      <c r="Y160" s="3">
        <f t="shared" si="97"/>
        <v>0</v>
      </c>
      <c r="Z160" s="3">
        <f t="shared" si="97"/>
        <v>0</v>
      </c>
      <c r="AA160" s="3">
        <f t="shared" ref="AA160:AF160" si="98">$C46*EXP(-AA$129/$A46/EXP(-$B$126))</f>
        <v>0</v>
      </c>
      <c r="AB160" s="3">
        <f t="shared" si="98"/>
        <v>0</v>
      </c>
      <c r="AC160" s="3">
        <f t="shared" si="98"/>
        <v>0</v>
      </c>
      <c r="AD160" s="3">
        <f t="shared" si="98"/>
        <v>0</v>
      </c>
      <c r="AE160" s="3">
        <f t="shared" si="98"/>
        <v>0</v>
      </c>
      <c r="AF160" s="3">
        <f t="shared" si="98"/>
        <v>0</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0</v>
      </c>
      <c r="C162" s="3">
        <f t="shared" si="101"/>
        <v>0</v>
      </c>
      <c r="D162" s="3">
        <f t="shared" si="101"/>
        <v>0</v>
      </c>
      <c r="E162" s="3">
        <f t="shared" si="101"/>
        <v>0</v>
      </c>
      <c r="F162" s="3">
        <f t="shared" si="101"/>
        <v>0</v>
      </c>
      <c r="G162" s="3">
        <f t="shared" si="101"/>
        <v>0</v>
      </c>
      <c r="H162" s="3">
        <f t="shared" si="101"/>
        <v>0</v>
      </c>
      <c r="I162" s="3">
        <f t="shared" si="101"/>
        <v>0</v>
      </c>
      <c r="J162" s="3">
        <f t="shared" si="101"/>
        <v>0</v>
      </c>
      <c r="K162" s="3">
        <f t="shared" si="101"/>
        <v>0</v>
      </c>
      <c r="L162" s="3">
        <f t="shared" si="101"/>
        <v>0</v>
      </c>
      <c r="M162" s="3">
        <f t="shared" si="101"/>
        <v>0</v>
      </c>
      <c r="N162" s="3">
        <f t="shared" si="101"/>
        <v>0</v>
      </c>
      <c r="O162" s="3">
        <f t="shared" si="101"/>
        <v>0</v>
      </c>
      <c r="P162" s="3">
        <f t="shared" si="101"/>
        <v>0</v>
      </c>
      <c r="Q162" s="3">
        <f t="shared" si="101"/>
        <v>0</v>
      </c>
      <c r="R162" s="3">
        <f t="shared" si="101"/>
        <v>0</v>
      </c>
      <c r="S162" s="3">
        <f t="shared" si="101"/>
        <v>0</v>
      </c>
      <c r="T162" s="3">
        <f t="shared" si="101"/>
        <v>0</v>
      </c>
      <c r="U162" s="3">
        <f t="shared" si="101"/>
        <v>0</v>
      </c>
      <c r="V162" s="3">
        <f t="shared" si="101"/>
        <v>0</v>
      </c>
      <c r="W162" s="3">
        <f t="shared" si="101"/>
        <v>0</v>
      </c>
      <c r="X162" s="3">
        <f t="shared" si="101"/>
        <v>0</v>
      </c>
      <c r="Y162" s="3">
        <f t="shared" si="101"/>
        <v>0</v>
      </c>
      <c r="Z162" s="3">
        <f t="shared" si="101"/>
        <v>0</v>
      </c>
      <c r="AA162" s="3">
        <f t="shared" ref="AA162:AF162" si="102">$C48*EXP(-AA$129/$A48/EXP(-$B$126))</f>
        <v>0</v>
      </c>
      <c r="AB162" s="3">
        <f t="shared" si="102"/>
        <v>0</v>
      </c>
      <c r="AC162" s="3">
        <f t="shared" si="102"/>
        <v>0</v>
      </c>
      <c r="AD162" s="3">
        <f t="shared" si="102"/>
        <v>0</v>
      </c>
      <c r="AE162" s="3">
        <f t="shared" si="102"/>
        <v>0</v>
      </c>
      <c r="AF162" s="3">
        <f t="shared" si="102"/>
        <v>0</v>
      </c>
    </row>
    <row r="163" spans="1:34" x14ac:dyDescent="0.25">
      <c r="A163" s="79">
        <f>AVERAGE(B163:AF163)</f>
        <v>6.1305995881685716E-3</v>
      </c>
      <c r="B163" s="80">
        <f>IF($A$64&lt;=B129,IF($B$64&gt;=B129,ABS((B131-B130)/B130),0),0)</f>
        <v>0</v>
      </c>
      <c r="C163" s="80">
        <f t="shared" ref="C163:AF163" si="103">IF($A$64&lt;=C129,IF($B$64&gt;=C129,ABS((C131-C130)/C130),0),0)</f>
        <v>0</v>
      </c>
      <c r="D163" s="80">
        <f t="shared" si="103"/>
        <v>0</v>
      </c>
      <c r="E163" s="80">
        <f t="shared" si="103"/>
        <v>0</v>
      </c>
      <c r="F163" s="80">
        <f t="shared" si="103"/>
        <v>0</v>
      </c>
      <c r="G163" s="80">
        <f t="shared" si="103"/>
        <v>0</v>
      </c>
      <c r="H163" s="80">
        <f t="shared" si="103"/>
        <v>0</v>
      </c>
      <c r="I163" s="80">
        <f t="shared" si="103"/>
        <v>0</v>
      </c>
      <c r="J163" s="80">
        <f t="shared" si="103"/>
        <v>0</v>
      </c>
      <c r="K163" s="80">
        <f t="shared" si="103"/>
        <v>0</v>
      </c>
      <c r="L163" s="80">
        <f t="shared" si="103"/>
        <v>2.3240481489229317E-2</v>
      </c>
      <c r="M163" s="80">
        <f t="shared" si="103"/>
        <v>1.9707654869653517E-2</v>
      </c>
      <c r="N163" s="80">
        <f t="shared" si="103"/>
        <v>1.8711129326728394E-2</v>
      </c>
      <c r="O163" s="80">
        <f t="shared" si="103"/>
        <v>1.7197205540900925E-2</v>
      </c>
      <c r="P163" s="80">
        <f t="shared" si="103"/>
        <v>1.738766909687758E-2</v>
      </c>
      <c r="Q163" s="80">
        <f t="shared" si="103"/>
        <v>1.9634140889003088E-2</v>
      </c>
      <c r="R163" s="80">
        <f t="shared" si="103"/>
        <v>1.756272482794688E-2</v>
      </c>
      <c r="S163" s="80">
        <f t="shared" si="103"/>
        <v>1.907219957231597E-2</v>
      </c>
      <c r="T163" s="80">
        <f t="shared" si="103"/>
        <v>1.6989774309110823E-2</v>
      </c>
      <c r="U163" s="80">
        <f t="shared" si="103"/>
        <v>1.6643888386022907E-2</v>
      </c>
      <c r="V163" s="80">
        <f t="shared" si="103"/>
        <v>3.901718925436279E-3</v>
      </c>
      <c r="W163" s="80">
        <f t="shared" si="103"/>
        <v>0</v>
      </c>
      <c r="X163" s="80">
        <f t="shared" si="103"/>
        <v>0</v>
      </c>
      <c r="Y163" s="80">
        <f t="shared" si="103"/>
        <v>0</v>
      </c>
      <c r="Z163" s="80">
        <f t="shared" si="103"/>
        <v>0</v>
      </c>
      <c r="AA163" s="80">
        <f t="shared" si="103"/>
        <v>0</v>
      </c>
      <c r="AB163" s="80">
        <f t="shared" si="103"/>
        <v>0</v>
      </c>
      <c r="AC163" s="80">
        <f t="shared" si="103"/>
        <v>0</v>
      </c>
      <c r="AD163" s="80">
        <f t="shared" si="103"/>
        <v>0</v>
      </c>
      <c r="AE163" s="80">
        <f t="shared" si="103"/>
        <v>0</v>
      </c>
      <c r="AF163" s="80">
        <f t="shared" si="103"/>
        <v>0</v>
      </c>
    </row>
    <row r="164" spans="1:34" x14ac:dyDescent="0.25">
      <c r="B164" s="21">
        <f>(B131-B130)^2</f>
        <v>12010.046896755373</v>
      </c>
      <c r="C164" s="21">
        <f t="shared" ref="C164:AF164" si="104">(C131-C130)^2</f>
        <v>6794.1004368393815</v>
      </c>
      <c r="D164" s="21">
        <f t="shared" si="104"/>
        <v>70211.857959408415</v>
      </c>
      <c r="E164" s="21">
        <f t="shared" si="104"/>
        <v>1376986.8341414772</v>
      </c>
      <c r="F164" s="21">
        <f t="shared" si="104"/>
        <v>1032112.2745802496</v>
      </c>
      <c r="G164" s="21">
        <f t="shared" si="104"/>
        <v>647973.55613709462</v>
      </c>
      <c r="H164" s="21">
        <f t="shared" si="104"/>
        <v>340207.52985600824</v>
      </c>
      <c r="I164" s="21">
        <f t="shared" si="104"/>
        <v>111097.67022764968</v>
      </c>
      <c r="J164" s="21">
        <f t="shared" si="104"/>
        <v>13975.327211356354</v>
      </c>
      <c r="K164" s="21">
        <f t="shared" si="104"/>
        <v>20639.534600847008</v>
      </c>
      <c r="L164" s="21">
        <f t="shared" si="104"/>
        <v>39671.946443917048</v>
      </c>
      <c r="M164" s="21">
        <f t="shared" si="104"/>
        <v>26662.744766674692</v>
      </c>
      <c r="N164" s="21">
        <f t="shared" si="104"/>
        <v>22052.733664431918</v>
      </c>
      <c r="O164" s="21">
        <f t="shared" si="104"/>
        <v>16850.018090660727</v>
      </c>
      <c r="P164" s="21">
        <f t="shared" si="104"/>
        <v>15610.686825994828</v>
      </c>
      <c r="Q164" s="21">
        <f t="shared" si="104"/>
        <v>18332.007117145018</v>
      </c>
      <c r="R164" s="21">
        <f t="shared" si="104"/>
        <v>13429.670956684417</v>
      </c>
      <c r="S164" s="21">
        <f t="shared" si="104"/>
        <v>14494.548797677557</v>
      </c>
      <c r="T164" s="21">
        <f t="shared" si="104"/>
        <v>10424.29975043185</v>
      </c>
      <c r="U164" s="21">
        <f t="shared" si="104"/>
        <v>9043.356123993266</v>
      </c>
      <c r="V164" s="21">
        <f t="shared" si="104"/>
        <v>422.21333863601211</v>
      </c>
      <c r="W164" s="21">
        <f t="shared" si="104"/>
        <v>54226.713171214229</v>
      </c>
      <c r="X164" s="21">
        <f t="shared" si="104"/>
        <v>208896.57500239558</v>
      </c>
      <c r="Y164" s="21">
        <f t="shared" si="104"/>
        <v>203188.32228370663</v>
      </c>
      <c r="Z164" s="21">
        <f t="shared" si="104"/>
        <v>108159.39629612181</v>
      </c>
      <c r="AA164" s="21">
        <f t="shared" si="104"/>
        <v>43604.311701556806</v>
      </c>
      <c r="AB164" s="21">
        <f t="shared" si="104"/>
        <v>16569.181742559871</v>
      </c>
      <c r="AC164" s="21">
        <f t="shared" si="104"/>
        <v>6196.9728466199504</v>
      </c>
      <c r="AD164" s="21">
        <f t="shared" si="104"/>
        <v>2377.9769624733053</v>
      </c>
      <c r="AE164" s="21">
        <f t="shared" si="104"/>
        <v>1876.3435164667533</v>
      </c>
      <c r="AF164" s="21">
        <f t="shared" si="104"/>
        <v>57.315947864335676</v>
      </c>
    </row>
    <row r="165" spans="1:34" x14ac:dyDescent="0.25">
      <c r="A165" s="71">
        <f>SUM(B165:AF165)</f>
        <v>186994.22587624734</v>
      </c>
      <c r="B165" s="60">
        <f>IF($A$64&lt;=B129,IF($B$64&gt;=B129,ABS(B164),0),0)</f>
        <v>0</v>
      </c>
      <c r="C165" s="60">
        <f t="shared" ref="C165:AF165" si="105">IF($A$64&lt;=C129,IF($B$64&gt;=C129,ABS(C164),0),0)</f>
        <v>0</v>
      </c>
      <c r="D165" s="60">
        <f t="shared" si="105"/>
        <v>0</v>
      </c>
      <c r="E165" s="60">
        <f t="shared" si="105"/>
        <v>0</v>
      </c>
      <c r="F165" s="60">
        <f t="shared" si="105"/>
        <v>0</v>
      </c>
      <c r="G165" s="60">
        <f t="shared" si="105"/>
        <v>0</v>
      </c>
      <c r="H165" s="60">
        <f t="shared" si="105"/>
        <v>0</v>
      </c>
      <c r="I165" s="60">
        <f t="shared" si="105"/>
        <v>0</v>
      </c>
      <c r="J165" s="60">
        <f t="shared" si="105"/>
        <v>0</v>
      </c>
      <c r="K165" s="60">
        <f t="shared" si="105"/>
        <v>0</v>
      </c>
      <c r="L165" s="60">
        <f t="shared" si="105"/>
        <v>39671.946443917048</v>
      </c>
      <c r="M165" s="60">
        <f t="shared" si="105"/>
        <v>26662.744766674692</v>
      </c>
      <c r="N165" s="60">
        <f t="shared" si="105"/>
        <v>22052.733664431918</v>
      </c>
      <c r="O165" s="60">
        <f t="shared" si="105"/>
        <v>16850.018090660727</v>
      </c>
      <c r="P165" s="60">
        <f t="shared" si="105"/>
        <v>15610.686825994828</v>
      </c>
      <c r="Q165" s="60">
        <f t="shared" si="105"/>
        <v>18332.007117145018</v>
      </c>
      <c r="R165" s="60">
        <f t="shared" si="105"/>
        <v>13429.670956684417</v>
      </c>
      <c r="S165" s="60">
        <f t="shared" si="105"/>
        <v>14494.548797677557</v>
      </c>
      <c r="T165" s="60">
        <f t="shared" si="105"/>
        <v>10424.29975043185</v>
      </c>
      <c r="U165" s="60">
        <f t="shared" si="105"/>
        <v>9043.356123993266</v>
      </c>
      <c r="V165" s="60">
        <f t="shared" si="105"/>
        <v>422.21333863601211</v>
      </c>
      <c r="W165" s="60">
        <f t="shared" si="105"/>
        <v>0</v>
      </c>
      <c r="X165" s="60">
        <f t="shared" si="105"/>
        <v>0</v>
      </c>
      <c r="Y165" s="60">
        <f t="shared" si="105"/>
        <v>0</v>
      </c>
      <c r="Z165" s="60">
        <f t="shared" si="105"/>
        <v>0</v>
      </c>
      <c r="AA165" s="60">
        <f t="shared" si="105"/>
        <v>0</v>
      </c>
      <c r="AB165" s="60">
        <f t="shared" si="105"/>
        <v>0</v>
      </c>
      <c r="AC165" s="60">
        <f t="shared" si="105"/>
        <v>0</v>
      </c>
      <c r="AD165" s="60">
        <f t="shared" si="105"/>
        <v>0</v>
      </c>
      <c r="AE165" s="60">
        <f t="shared" si="105"/>
        <v>0</v>
      </c>
      <c r="AF165" s="60">
        <f t="shared" si="105"/>
        <v>0</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10681.367679183619</v>
      </c>
      <c r="C169" s="26">
        <f>INDEX(Comparison!$AM$3:$AS$33,G$14,$C$122)</f>
        <v>10340.369878221287</v>
      </c>
      <c r="D169" s="26">
        <f>INDEX(Comparison!$AM$3:$AS$33,H$14,$C$122)</f>
        <v>10144.235493546155</v>
      </c>
      <c r="E169" s="26">
        <f>INDEX(Comparison!$AM$3:$AS$33,I$14,$C$122)</f>
        <v>9945.8458355930761</v>
      </c>
      <c r="F169" s="26">
        <f>INDEX(Comparison!$AM$3:$AS$33,J$14,$C$122)</f>
        <v>9733.3402923935464</v>
      </c>
      <c r="G169" s="26">
        <f>INDEX(Comparison!$AM$3:$AS$33,K$14,$C$122)</f>
        <v>9498.3871358707802</v>
      </c>
      <c r="H169" s="26">
        <f>INDEX(Comparison!$AM$3:$AS$33,L$14,$C$122)</f>
        <v>9242.4212792479666</v>
      </c>
      <c r="I169" s="26">
        <f>INDEX(Comparison!$AM$3:$AS$33,M$14,$C$122)</f>
        <v>8962.4165772503438</v>
      </c>
      <c r="J169" s="26">
        <f>INDEX(Comparison!$AM$3:$AS$33,N$14,$C$122)</f>
        <v>8679.0953494242967</v>
      </c>
      <c r="K169" s="26">
        <f>INDEX(Comparison!$AM$3:$AS$33,O$14,$C$122)</f>
        <v>8412.1987380125211</v>
      </c>
      <c r="L169" s="26">
        <f>INDEX(Comparison!$AM$3:$AS$33,P$14,$C$122)</f>
        <v>8104.719083836997</v>
      </c>
      <c r="M169" s="26">
        <f>INDEX(Comparison!$AM$3:$AS$33,Q$14,$C$122)</f>
        <v>7738.4866265331348</v>
      </c>
      <c r="N169" s="26">
        <f>INDEX(Comparison!$AM$3:$AS$33,R$14,$C$122)</f>
        <v>7356.7094808941847</v>
      </c>
      <c r="O169" s="26">
        <f>INDEX(Comparison!$AM$3:$AS$33,S$14,$C$122)</f>
        <v>7029.386180221145</v>
      </c>
      <c r="P169" s="26">
        <f>INDEX(Comparison!$AM$3:$AS$33,T$14,$C$122)</f>
        <v>6740.4128171607354</v>
      </c>
      <c r="Q169" s="26">
        <f>INDEX(Comparison!$AM$3:$AS$33,U$14,$C$122)</f>
        <v>6451.1295620052033</v>
      </c>
      <c r="R169" s="26">
        <f>INDEX(Comparison!$AM$3:$AS$33,V$14,$C$122)</f>
        <v>6158.0006144488207</v>
      </c>
      <c r="S169" s="26">
        <f>INDEX(Comparison!$AM$3:$AS$33,W$14,$C$122)</f>
        <v>5864.4544291342345</v>
      </c>
      <c r="T169" s="26">
        <f>INDEX(Comparison!$AM$3:$AS$33,X$14,$C$122)</f>
        <v>5497.1399794237341</v>
      </c>
      <c r="U169" s="26">
        <f>INDEX(Comparison!$AM$3:$AS$33,Y$14,$C$122)</f>
        <v>4940.0481403456943</v>
      </c>
      <c r="V169" s="26">
        <f>INDEX(Comparison!$AM$3:$AS$33,Z$14,$C$122)</f>
        <v>4302.8208260658694</v>
      </c>
      <c r="W169" s="26">
        <f>INDEX(Comparison!$AM$3:$AS$33,AA$14,$C$122)</f>
        <v>3694.2569609036786</v>
      </c>
      <c r="X169" s="26">
        <f>INDEX(Comparison!$AM$3:$AS$33,AB$14,$C$122)</f>
        <v>3126.9337293210729</v>
      </c>
      <c r="Y169" s="26">
        <f>INDEX(Comparison!$AM$3:$AS$33,AC$14,$C$122)</f>
        <v>2566.4428591616524</v>
      </c>
      <c r="Z169" s="26">
        <f>INDEX(Comparison!$AM$3:$AS$33,AD$14,$C$122)</f>
        <v>1999.3722885012867</v>
      </c>
      <c r="AA169" s="26">
        <f>INDEX(Comparison!$AM$3:$AS$33,AE$14,$C$122)</f>
        <v>1469.5776968625496</v>
      </c>
      <c r="AB169" s="26">
        <f>INDEX(Comparison!$AM$3:$AS$33,AF$14,$C$122)</f>
        <v>1062.2051299591283</v>
      </c>
      <c r="AC169" s="26">
        <f>INDEX(Comparison!$AM$3:$AS$33,AG$14,$C$122)</f>
        <v>790.39019215198527</v>
      </c>
      <c r="AD169" s="26">
        <f>INDEX(Comparison!$AM$3:$AS$33,AH$14,$C$122)</f>
        <v>652.53051651246926</v>
      </c>
      <c r="AE169" s="26">
        <f>INDEX(Comparison!$AM$3:$AS$33,AI$14,$C$122)</f>
        <v>578.9290265565794</v>
      </c>
      <c r="AF169" s="26">
        <f>INDEX(Comparison!$AM$3:$AS$33,AJ$14,$C$122)</f>
        <v>543.3455967986946</v>
      </c>
      <c r="AG169" s="26"/>
      <c r="AH169" s="26"/>
    </row>
    <row r="170" spans="1:34" x14ac:dyDescent="0.25">
      <c r="A170" s="70" t="s">
        <v>22</v>
      </c>
      <c r="B170" s="27">
        <f>($C$17+SUM(B171:B201))*$B$51</f>
        <v>10604.757228366958</v>
      </c>
      <c r="C170" s="27">
        <f t="shared" ref="C170:AF170" si="106">($C$17+SUM(C171:C201))*$B$51</f>
        <v>9687.705150177906</v>
      </c>
      <c r="D170" s="27">
        <f t="shared" si="106"/>
        <v>9073.0023012091042</v>
      </c>
      <c r="E170" s="27">
        <f t="shared" si="106"/>
        <v>9072.9218548298595</v>
      </c>
      <c r="F170" s="27">
        <f t="shared" si="106"/>
        <v>9072.7838269393324</v>
      </c>
      <c r="G170" s="27">
        <f t="shared" si="106"/>
        <v>9071.4052710322139</v>
      </c>
      <c r="H170" s="27">
        <f t="shared" si="106"/>
        <v>9057.7905335056712</v>
      </c>
      <c r="I170" s="27">
        <f t="shared" si="106"/>
        <v>8937.3383902395199</v>
      </c>
      <c r="J170" s="27">
        <f t="shared" si="106"/>
        <v>8500.2767642315812</v>
      </c>
      <c r="K170" s="27">
        <f t="shared" si="106"/>
        <v>8277.3937985061912</v>
      </c>
      <c r="L170" s="27">
        <f t="shared" si="106"/>
        <v>7976.2559618301602</v>
      </c>
      <c r="M170" s="27">
        <f t="shared" si="106"/>
        <v>7622.9832926548925</v>
      </c>
      <c r="N170" s="27">
        <f t="shared" si="106"/>
        <v>7248.4856478225183</v>
      </c>
      <c r="O170" s="27">
        <f t="shared" si="106"/>
        <v>6922.400943601835</v>
      </c>
      <c r="P170" s="27">
        <f t="shared" si="106"/>
        <v>6641.7202654021476</v>
      </c>
      <c r="Q170" s="27">
        <f t="shared" si="106"/>
        <v>6358.875861775362</v>
      </c>
      <c r="R170" s="27">
        <f t="shared" si="106"/>
        <v>6074.0227401193279</v>
      </c>
      <c r="S170" s="27">
        <f t="shared" si="106"/>
        <v>5794.1069442114294</v>
      </c>
      <c r="T170" s="27">
        <f t="shared" si="106"/>
        <v>5493.1862672868365</v>
      </c>
      <c r="U170" s="27">
        <f t="shared" si="106"/>
        <v>5142.0362205636102</v>
      </c>
      <c r="V170" s="27">
        <f t="shared" si="106"/>
        <v>4750.7395162992516</v>
      </c>
      <c r="W170" s="27">
        <f t="shared" si="106"/>
        <v>4257.7321457848748</v>
      </c>
      <c r="X170" s="27">
        <f t="shared" si="106"/>
        <v>3603.619589272414</v>
      </c>
      <c r="Y170" s="27">
        <f t="shared" si="106"/>
        <v>2891.4984356674036</v>
      </c>
      <c r="Z170" s="27">
        <f t="shared" si="106"/>
        <v>2204.0869735086053</v>
      </c>
      <c r="AA170" s="27">
        <f t="shared" si="106"/>
        <v>1588.1295886491309</v>
      </c>
      <c r="AB170" s="27">
        <f t="shared" si="106"/>
        <v>1132.3633473455002</v>
      </c>
      <c r="AC170" s="27">
        <f t="shared" si="106"/>
        <v>827.18737689009106</v>
      </c>
      <c r="AD170" s="27">
        <f t="shared" si="106"/>
        <v>673.79896659995848</v>
      </c>
      <c r="AE170" s="27">
        <f t="shared" si="106"/>
        <v>590.42546085841036</v>
      </c>
      <c r="AF170" s="27">
        <f t="shared" si="106"/>
        <v>552.03948771285457</v>
      </c>
      <c r="AG170" s="27"/>
      <c r="AH170" s="27"/>
    </row>
    <row r="171" spans="1:34" x14ac:dyDescent="0.25">
      <c r="B171" s="3">
        <f t="shared" ref="B171:AF171" si="107">$C18*EXP(-B$168/$A18/EXP(-$C$126))</f>
        <v>0.14225271475118745</v>
      </c>
      <c r="C171" s="3">
        <f t="shared" si="107"/>
        <v>5.7090539200743556E-2</v>
      </c>
      <c r="D171" s="3">
        <f t="shared" si="107"/>
        <v>6.1887075506877994E-6</v>
      </c>
      <c r="E171" s="3">
        <f t="shared" si="107"/>
        <v>1.3866220981134386E-45</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5.3113462995444262E-2</v>
      </c>
      <c r="C172" s="3">
        <f t="shared" si="108"/>
        <v>5.3113450574304874E-2</v>
      </c>
      <c r="D172" s="3">
        <f t="shared" si="108"/>
        <v>5.3113326363070722E-2</v>
      </c>
      <c r="E172" s="3">
        <f t="shared" si="108"/>
        <v>5.3112084266705564E-2</v>
      </c>
      <c r="F172" s="3">
        <f t="shared" si="108"/>
        <v>5.3099664900548238E-2</v>
      </c>
      <c r="G172" s="3">
        <f t="shared" si="108"/>
        <v>5.2975630850257027E-2</v>
      </c>
      <c r="H172" s="3">
        <f t="shared" si="108"/>
        <v>5.1751114226170118E-2</v>
      </c>
      <c r="I172" s="3">
        <f t="shared" si="108"/>
        <v>4.0959569320471095E-2</v>
      </c>
      <c r="J172" s="3">
        <f t="shared" si="108"/>
        <v>3.9510465685715385E-3</v>
      </c>
      <c r="K172" s="3">
        <f t="shared" si="108"/>
        <v>2.7560038395592248E-13</v>
      </c>
      <c r="L172" s="3">
        <f t="shared" si="108"/>
        <v>7.5154764162199738E-115</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1.5903248431563786E-2</v>
      </c>
      <c r="C173" s="3">
        <f t="shared" si="109"/>
        <v>1.5903248096066278E-2</v>
      </c>
      <c r="D173" s="3">
        <f t="shared" si="109"/>
        <v>1.5903244741091598E-2</v>
      </c>
      <c r="E173" s="3">
        <f t="shared" si="109"/>
        <v>1.5903211191383698E-2</v>
      </c>
      <c r="F173" s="3">
        <f t="shared" si="109"/>
        <v>1.5902875698197427E-2</v>
      </c>
      <c r="G173" s="3">
        <f t="shared" si="109"/>
        <v>1.5899521155574987E-2</v>
      </c>
      <c r="H173" s="3">
        <f t="shared" si="109"/>
        <v>1.586601462301418E-2</v>
      </c>
      <c r="I173" s="3">
        <f t="shared" si="109"/>
        <v>1.5534808475556215E-2</v>
      </c>
      <c r="J173" s="3">
        <f t="shared" si="109"/>
        <v>1.2580167811692917E-2</v>
      </c>
      <c r="K173" s="3">
        <f t="shared" si="109"/>
        <v>1.5257793920848493E-3</v>
      </c>
      <c r="L173" s="3">
        <f t="shared" si="109"/>
        <v>1.0508599706080466E-12</v>
      </c>
      <c r="M173" s="3">
        <f t="shared" si="109"/>
        <v>2.5239217897888601E-104</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2.9724136394650325E-2</v>
      </c>
      <c r="C174" s="3">
        <f t="shared" si="110"/>
        <v>2.9724136338083827E-2</v>
      </c>
      <c r="D174" s="3">
        <f t="shared" si="110"/>
        <v>2.972413577241885E-2</v>
      </c>
      <c r="E174" s="3">
        <f t="shared" si="110"/>
        <v>2.9724130115769673E-2</v>
      </c>
      <c r="F174" s="3">
        <f t="shared" si="110"/>
        <v>2.97240735493371E-2</v>
      </c>
      <c r="G174" s="3">
        <f t="shared" si="110"/>
        <v>2.9723507890932015E-2</v>
      </c>
      <c r="H174" s="3">
        <f t="shared" si="110"/>
        <v>2.9717851898903483E-2</v>
      </c>
      <c r="I174" s="3">
        <f t="shared" si="110"/>
        <v>2.9661351139182241E-2</v>
      </c>
      <c r="J174" s="3">
        <f t="shared" si="110"/>
        <v>2.9102218152957531E-2</v>
      </c>
      <c r="K174" s="3">
        <f t="shared" si="110"/>
        <v>2.4059007575503073E-2</v>
      </c>
      <c r="L174" s="3">
        <f t="shared" si="110"/>
        <v>3.587516265969063E-3</v>
      </c>
      <c r="M174" s="3">
        <f t="shared" si="110"/>
        <v>1.9496451712995328E-11</v>
      </c>
      <c r="N174" s="3">
        <f t="shared" si="110"/>
        <v>4.3809931530248014E-94</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3.4474581072243562E-2</v>
      </c>
      <c r="C175" s="3">
        <f t="shared" si="111"/>
        <v>3.4474581066325276E-2</v>
      </c>
      <c r="D175" s="3">
        <f t="shared" si="111"/>
        <v>3.4474581007142457E-2</v>
      </c>
      <c r="E175" s="3">
        <f t="shared" si="111"/>
        <v>3.4474580415314288E-2</v>
      </c>
      <c r="F175" s="3">
        <f t="shared" si="111"/>
        <v>3.4474574497033138E-2</v>
      </c>
      <c r="G175" s="3">
        <f t="shared" si="111"/>
        <v>3.4474515314277518E-2</v>
      </c>
      <c r="H175" s="3">
        <f t="shared" si="111"/>
        <v>3.4473923492309266E-2</v>
      </c>
      <c r="I175" s="3">
        <f t="shared" si="111"/>
        <v>3.4468005831385415E-2</v>
      </c>
      <c r="J175" s="3">
        <f t="shared" si="111"/>
        <v>3.440888506254447E-2</v>
      </c>
      <c r="K175" s="3">
        <f t="shared" si="111"/>
        <v>3.3823226107337984E-2</v>
      </c>
      <c r="L175" s="3">
        <f t="shared" si="111"/>
        <v>2.8487826239418618E-2</v>
      </c>
      <c r="M175" s="3">
        <f t="shared" si="111"/>
        <v>5.1180219033176702E-3</v>
      </c>
      <c r="N175" s="3">
        <f t="shared" si="111"/>
        <v>1.7927941438335958E-10</v>
      </c>
      <c r="O175" s="3">
        <f t="shared" si="111"/>
        <v>4.9867003480002685E-85</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3.8163539597618396E-2</v>
      </c>
      <c r="C176" s="3">
        <f t="shared" si="112"/>
        <v>3.8163539597027396E-2</v>
      </c>
      <c r="D176" s="3">
        <f t="shared" si="112"/>
        <v>3.8163539591117332E-2</v>
      </c>
      <c r="E176" s="3">
        <f t="shared" si="112"/>
        <v>3.8163539532016733E-2</v>
      </c>
      <c r="F176" s="3">
        <f t="shared" si="112"/>
        <v>3.8163538941010752E-2</v>
      </c>
      <c r="G176" s="3">
        <f t="shared" si="112"/>
        <v>3.8163533030951456E-2</v>
      </c>
      <c r="H176" s="3">
        <f t="shared" si="112"/>
        <v>3.8163473930408795E-2</v>
      </c>
      <c r="I176" s="3">
        <f t="shared" si="112"/>
        <v>3.8162882930015983E-2</v>
      </c>
      <c r="J176" s="3">
        <f t="shared" si="112"/>
        <v>3.8156973429437968E-2</v>
      </c>
      <c r="K176" s="3">
        <f t="shared" si="112"/>
        <v>3.809792872983761E-2</v>
      </c>
      <c r="L176" s="3">
        <f t="shared" si="112"/>
        <v>3.7512483646023054E-2</v>
      </c>
      <c r="M176" s="3">
        <f t="shared" si="112"/>
        <v>3.2130712768525124E-2</v>
      </c>
      <c r="N176" s="3">
        <f t="shared" si="112"/>
        <v>6.829136079430983E-3</v>
      </c>
      <c r="O176" s="3">
        <f t="shared" si="112"/>
        <v>1.2847535775106514E-9</v>
      </c>
      <c r="P176" s="3">
        <f t="shared" si="112"/>
        <v>7.1344504444927912E-77</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3.1147960288586917E-2</v>
      </c>
      <c r="C177" s="3">
        <f t="shared" si="113"/>
        <v>3.1147960288543403E-2</v>
      </c>
      <c r="D177" s="3">
        <f t="shared" si="113"/>
        <v>3.1147960288108272E-2</v>
      </c>
      <c r="E177" s="3">
        <f t="shared" si="113"/>
        <v>3.1147960283756968E-2</v>
      </c>
      <c r="F177" s="3">
        <f t="shared" si="113"/>
        <v>3.1147960240243928E-2</v>
      </c>
      <c r="G177" s="3">
        <f t="shared" si="113"/>
        <v>3.114795980511352E-2</v>
      </c>
      <c r="H177" s="3">
        <f t="shared" si="113"/>
        <v>3.1147955453809804E-2</v>
      </c>
      <c r="I177" s="3">
        <f t="shared" si="113"/>
        <v>3.1147911940806051E-2</v>
      </c>
      <c r="J177" s="3">
        <f t="shared" si="113"/>
        <v>3.1147476814111775E-2</v>
      </c>
      <c r="K177" s="3">
        <f t="shared" si="113"/>
        <v>3.1143125881477232E-2</v>
      </c>
      <c r="L177" s="3">
        <f t="shared" si="113"/>
        <v>3.1099649968676583E-2</v>
      </c>
      <c r="M177" s="3">
        <f t="shared" si="113"/>
        <v>3.0668214988633667E-2</v>
      </c>
      <c r="N177" s="3">
        <f t="shared" si="113"/>
        <v>2.6669721443456511E-2</v>
      </c>
      <c r="O177" s="3">
        <f t="shared" si="113"/>
        <v>6.5965716734493803E-3</v>
      </c>
      <c r="P177" s="3">
        <f t="shared" si="113"/>
        <v>5.6534863019540675E-9</v>
      </c>
      <c r="Q177" s="3">
        <f t="shared" si="113"/>
        <v>1.2086399116693265E-69</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2.5944984110179963E-2</v>
      </c>
      <c r="C178" s="3">
        <f t="shared" si="114"/>
        <v>2.5944984110176695E-2</v>
      </c>
      <c r="D178" s="3">
        <f t="shared" si="114"/>
        <v>2.5944984110143999E-2</v>
      </c>
      <c r="E178" s="3">
        <f t="shared" si="114"/>
        <v>2.5944984109817042E-2</v>
      </c>
      <c r="F178" s="3">
        <f t="shared" si="114"/>
        <v>2.594498410654748E-2</v>
      </c>
      <c r="G178" s="3">
        <f t="shared" si="114"/>
        <v>2.5944984073851839E-2</v>
      </c>
      <c r="H178" s="3">
        <f t="shared" si="114"/>
        <v>2.5944983746895457E-2</v>
      </c>
      <c r="I178" s="3">
        <f t="shared" si="114"/>
        <v>2.5944980477331861E-2</v>
      </c>
      <c r="J178" s="3">
        <f t="shared" si="114"/>
        <v>2.5944947781718568E-2</v>
      </c>
      <c r="K178" s="3">
        <f t="shared" si="114"/>
        <v>2.5944620827851775E-2</v>
      </c>
      <c r="L178" s="3">
        <f t="shared" si="114"/>
        <v>2.594135151578722E-2</v>
      </c>
      <c r="M178" s="3">
        <f t="shared" si="114"/>
        <v>2.5908681044919606E-2</v>
      </c>
      <c r="N178" s="3">
        <f t="shared" si="114"/>
        <v>2.5584230788613237E-2</v>
      </c>
      <c r="O178" s="3">
        <f t="shared" si="114"/>
        <v>2.2555006641037191E-2</v>
      </c>
      <c r="P178" s="3">
        <f t="shared" si="114"/>
        <v>6.396595844655191E-3</v>
      </c>
      <c r="Q178" s="3">
        <f t="shared" si="114"/>
        <v>2.1528235452812476E-8</v>
      </c>
      <c r="R178" s="3">
        <f t="shared" si="114"/>
        <v>4.0142430565853595E-63</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2.8280666339942841E-2</v>
      </c>
      <c r="C179" s="3">
        <f t="shared" si="115"/>
        <v>2.8280666339942518E-2</v>
      </c>
      <c r="D179" s="3">
        <f t="shared" si="115"/>
        <v>2.8280666339939302E-2</v>
      </c>
      <c r="E179" s="3">
        <f t="shared" si="115"/>
        <v>2.8280666339907154E-2</v>
      </c>
      <c r="F179" s="3">
        <f t="shared" si="115"/>
        <v>2.8280666339585658E-2</v>
      </c>
      <c r="G179" s="3">
        <f t="shared" si="115"/>
        <v>2.8280666336370719E-2</v>
      </c>
      <c r="H179" s="3">
        <f t="shared" si="115"/>
        <v>2.8280666304221339E-2</v>
      </c>
      <c r="I179" s="3">
        <f t="shared" si="115"/>
        <v>2.828066598272751E-2</v>
      </c>
      <c r="J179" s="3">
        <f t="shared" si="115"/>
        <v>2.8280662767789434E-2</v>
      </c>
      <c r="K179" s="3">
        <f t="shared" si="115"/>
        <v>2.8280630618428778E-2</v>
      </c>
      <c r="L179" s="3">
        <f t="shared" si="115"/>
        <v>2.8280309126832284E-2</v>
      </c>
      <c r="M179" s="3">
        <f t="shared" si="115"/>
        <v>2.8277094411868278E-2</v>
      </c>
      <c r="N179" s="3">
        <f t="shared" si="115"/>
        <v>2.8244967353868142E-2</v>
      </c>
      <c r="O179" s="3">
        <f t="shared" si="115"/>
        <v>2.792569751265029E-2</v>
      </c>
      <c r="P179" s="3">
        <f t="shared" si="115"/>
        <v>2.4924907390076426E-2</v>
      </c>
      <c r="Q179" s="3">
        <f t="shared" si="115"/>
        <v>7.9970312265262283E-3</v>
      </c>
      <c r="R179" s="3">
        <f t="shared" si="115"/>
        <v>9.244452106698289E-8</v>
      </c>
      <c r="S179" s="3">
        <f t="shared" si="115"/>
        <v>3.9391727468094888E-57</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2.7707301103179489E-2</v>
      </c>
      <c r="C180" s="3">
        <f t="shared" si="116"/>
        <v>2.7707301103179462E-2</v>
      </c>
      <c r="D180" s="3">
        <f t="shared" si="116"/>
        <v>2.7707301103179177E-2</v>
      </c>
      <c r="E180" s="3">
        <f t="shared" si="116"/>
        <v>2.7707301103176336E-2</v>
      </c>
      <c r="F180" s="3">
        <f t="shared" si="116"/>
        <v>2.7707301103147921E-2</v>
      </c>
      <c r="G180" s="3">
        <f t="shared" si="116"/>
        <v>2.7707301102863787E-2</v>
      </c>
      <c r="H180" s="3">
        <f t="shared" si="116"/>
        <v>2.7707301100022445E-2</v>
      </c>
      <c r="I180" s="3">
        <f t="shared" si="116"/>
        <v>2.7707301071609004E-2</v>
      </c>
      <c r="J180" s="3">
        <f t="shared" si="116"/>
        <v>2.7707300787474604E-2</v>
      </c>
      <c r="K180" s="3">
        <f t="shared" si="116"/>
        <v>2.7707297946130763E-2</v>
      </c>
      <c r="L180" s="3">
        <f t="shared" si="116"/>
        <v>2.7707269532708374E-2</v>
      </c>
      <c r="M180" s="3">
        <f t="shared" si="116"/>
        <v>2.7706985400087019E-2</v>
      </c>
      <c r="N180" s="3">
        <f t="shared" si="116"/>
        <v>2.7704144234123398E-2</v>
      </c>
      <c r="O180" s="3">
        <f t="shared" si="116"/>
        <v>2.7675748593399548E-2</v>
      </c>
      <c r="P180" s="3">
        <f t="shared" si="116"/>
        <v>2.7393388015981811E-2</v>
      </c>
      <c r="Q180" s="3">
        <f t="shared" si="116"/>
        <v>2.4723472700271355E-2</v>
      </c>
      <c r="R180" s="3">
        <f t="shared" si="116"/>
        <v>8.8663874453750735E-3</v>
      </c>
      <c r="S180" s="3">
        <f t="shared" si="116"/>
        <v>3.1197445430068427E-7</v>
      </c>
      <c r="T180" s="3">
        <f t="shared" si="116"/>
        <v>9.0749098250781847E-52</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2.6509888121377792E-2</v>
      </c>
      <c r="C181" s="3">
        <f t="shared" si="117"/>
        <v>2.6509888121377789E-2</v>
      </c>
      <c r="D181" s="3">
        <f t="shared" si="117"/>
        <v>2.6509888121377764E-2</v>
      </c>
      <c r="E181" s="3">
        <f t="shared" si="117"/>
        <v>2.6509888121377518E-2</v>
      </c>
      <c r="F181" s="3">
        <f t="shared" si="117"/>
        <v>2.6509888121375065E-2</v>
      </c>
      <c r="G181" s="3">
        <f t="shared" si="117"/>
        <v>2.6509888121350543E-2</v>
      </c>
      <c r="H181" s="3">
        <f t="shared" si="117"/>
        <v>2.6509888121105309E-2</v>
      </c>
      <c r="I181" s="3">
        <f t="shared" si="117"/>
        <v>2.6509888118652951E-2</v>
      </c>
      <c r="J181" s="3">
        <f t="shared" si="117"/>
        <v>2.6509888094129356E-2</v>
      </c>
      <c r="K181" s="3">
        <f t="shared" si="117"/>
        <v>2.6509887848893438E-2</v>
      </c>
      <c r="L181" s="3">
        <f t="shared" si="117"/>
        <v>2.6509885396534382E-2</v>
      </c>
      <c r="M181" s="3">
        <f t="shared" si="117"/>
        <v>2.6509860872956297E-2</v>
      </c>
      <c r="N181" s="3">
        <f t="shared" si="117"/>
        <v>2.6509615638423186E-2</v>
      </c>
      <c r="O181" s="3">
        <f t="shared" si="117"/>
        <v>2.6507163417861E-2</v>
      </c>
      <c r="P181" s="3">
        <f t="shared" si="117"/>
        <v>2.6482653684862339E-2</v>
      </c>
      <c r="Q181" s="3">
        <f t="shared" si="117"/>
        <v>2.6238799358646307E-2</v>
      </c>
      <c r="R181" s="3">
        <f t="shared" si="117"/>
        <v>2.3920405190735568E-2</v>
      </c>
      <c r="S181" s="3">
        <f t="shared" si="117"/>
        <v>9.4844961670983875E-3</v>
      </c>
      <c r="T181" s="3">
        <f t="shared" si="117"/>
        <v>9.1090188227139082E-7</v>
      </c>
      <c r="U181" s="3">
        <f t="shared" si="117"/>
        <v>6.0819793439977515E-47</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3.0096089334719207E-2</v>
      </c>
      <c r="C182" s="3">
        <f t="shared" si="118"/>
        <v>3.0096089334719207E-2</v>
      </c>
      <c r="D182" s="3">
        <f t="shared" si="118"/>
        <v>3.0096089334719203E-2</v>
      </c>
      <c r="E182" s="3">
        <f t="shared" si="118"/>
        <v>3.0096089334719179E-2</v>
      </c>
      <c r="F182" s="3">
        <f t="shared" si="118"/>
        <v>3.0096089334718926E-2</v>
      </c>
      <c r="G182" s="3">
        <f t="shared" si="118"/>
        <v>3.0096089334716417E-2</v>
      </c>
      <c r="H182" s="3">
        <f t="shared" si="118"/>
        <v>3.0096089334691298E-2</v>
      </c>
      <c r="I182" s="3">
        <f t="shared" si="118"/>
        <v>3.0096089334440152E-2</v>
      </c>
      <c r="J182" s="3">
        <f t="shared" si="118"/>
        <v>3.0096089331928651E-2</v>
      </c>
      <c r="K182" s="3">
        <f t="shared" si="118"/>
        <v>3.0096089306813671E-2</v>
      </c>
      <c r="L182" s="3">
        <f t="shared" si="118"/>
        <v>3.0096089055663872E-2</v>
      </c>
      <c r="M182" s="3">
        <f t="shared" si="118"/>
        <v>3.0096086544165953E-2</v>
      </c>
      <c r="N182" s="3">
        <f t="shared" si="118"/>
        <v>3.0096061429198299E-2</v>
      </c>
      <c r="O182" s="3">
        <f t="shared" si="118"/>
        <v>3.0095810280674495E-2</v>
      </c>
      <c r="P182" s="3">
        <f t="shared" si="118"/>
        <v>3.0093298910703021E-2</v>
      </c>
      <c r="Q182" s="3">
        <f t="shared" si="118"/>
        <v>3.0068196734088205E-2</v>
      </c>
      <c r="R182" s="3">
        <f t="shared" si="118"/>
        <v>2.9818323727958576E-2</v>
      </c>
      <c r="S182" s="3">
        <f t="shared" si="118"/>
        <v>2.743100051575605E-2</v>
      </c>
      <c r="T182" s="3">
        <f t="shared" si="118"/>
        <v>1.1907644958091573E-2</v>
      </c>
      <c r="U182" s="3">
        <f t="shared" si="118"/>
        <v>2.8292294178103706E-6</v>
      </c>
      <c r="V182" s="3">
        <f t="shared" si="118"/>
        <v>1.6221501292865319E-42</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3.6902665150925024E-2</v>
      </c>
      <c r="C183" s="3">
        <f t="shared" si="119"/>
        <v>3.6902665150925024E-2</v>
      </c>
      <c r="D183" s="3">
        <f t="shared" si="119"/>
        <v>3.6902665150925024E-2</v>
      </c>
      <c r="E183" s="3">
        <f t="shared" si="119"/>
        <v>3.6902665150925017E-2</v>
      </c>
      <c r="F183" s="3">
        <f t="shared" si="119"/>
        <v>3.6902665150924989E-2</v>
      </c>
      <c r="G183" s="3">
        <f t="shared" si="119"/>
        <v>3.6902665150924718E-2</v>
      </c>
      <c r="H183" s="3">
        <f t="shared" si="119"/>
        <v>3.6902665150921936E-2</v>
      </c>
      <c r="I183" s="3">
        <f t="shared" si="119"/>
        <v>3.6902665150894159E-2</v>
      </c>
      <c r="J183" s="3">
        <f t="shared" si="119"/>
        <v>3.6902665150616361E-2</v>
      </c>
      <c r="K183" s="3">
        <f t="shared" si="119"/>
        <v>3.6902665147838395E-2</v>
      </c>
      <c r="L183" s="3">
        <f t="shared" si="119"/>
        <v>3.6902665120058721E-2</v>
      </c>
      <c r="M183" s="3">
        <f t="shared" si="119"/>
        <v>3.6902664842262012E-2</v>
      </c>
      <c r="N183" s="3">
        <f t="shared" si="119"/>
        <v>3.6902662064295023E-2</v>
      </c>
      <c r="O183" s="3">
        <f t="shared" si="119"/>
        <v>3.690263428463663E-2</v>
      </c>
      <c r="P183" s="3">
        <f t="shared" si="119"/>
        <v>3.6902356489202863E-2</v>
      </c>
      <c r="Q183" s="3">
        <f t="shared" si="119"/>
        <v>3.6899578649877862E-2</v>
      </c>
      <c r="R183" s="3">
        <f t="shared" si="119"/>
        <v>3.6871811754692944E-2</v>
      </c>
      <c r="S183" s="3">
        <f t="shared" si="119"/>
        <v>3.6595289413238918E-2</v>
      </c>
      <c r="T183" s="3">
        <f t="shared" si="119"/>
        <v>3.3941596680947213E-2</v>
      </c>
      <c r="U183" s="3">
        <f t="shared" si="119"/>
        <v>1.5988329606029052E-2</v>
      </c>
      <c r="V183" s="3">
        <f t="shared" si="119"/>
        <v>8.6002551461750201E-6</v>
      </c>
      <c r="W183" s="3">
        <f t="shared" si="119"/>
        <v>1.744189890988793E-38</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3.6161796888491096E-2</v>
      </c>
      <c r="C184" s="3">
        <f t="shared" si="120"/>
        <v>3.6161796888491096E-2</v>
      </c>
      <c r="D184" s="3">
        <f t="shared" si="120"/>
        <v>3.6161796888491096E-2</v>
      </c>
      <c r="E184" s="3">
        <f t="shared" si="120"/>
        <v>3.6161796888491096E-2</v>
      </c>
      <c r="F184" s="3">
        <f t="shared" si="120"/>
        <v>3.6161796888491089E-2</v>
      </c>
      <c r="G184" s="3">
        <f t="shared" si="120"/>
        <v>3.6161796888491068E-2</v>
      </c>
      <c r="H184" s="3">
        <f t="shared" si="120"/>
        <v>3.6161796888490826E-2</v>
      </c>
      <c r="I184" s="3">
        <f t="shared" si="120"/>
        <v>3.6161796888488369E-2</v>
      </c>
      <c r="J184" s="3">
        <f t="shared" si="120"/>
        <v>3.6161796888463812E-2</v>
      </c>
      <c r="K184" s="3">
        <f t="shared" si="120"/>
        <v>3.6161796888218245E-2</v>
      </c>
      <c r="L184" s="3">
        <f t="shared" si="120"/>
        <v>3.6161796885762598E-2</v>
      </c>
      <c r="M184" s="3">
        <f t="shared" si="120"/>
        <v>3.616179686120613E-2</v>
      </c>
      <c r="N184" s="3">
        <f t="shared" si="120"/>
        <v>3.6161796615641416E-2</v>
      </c>
      <c r="O184" s="3">
        <f t="shared" si="120"/>
        <v>3.6161794159994376E-2</v>
      </c>
      <c r="P184" s="3">
        <f t="shared" si="120"/>
        <v>3.6161769603533171E-2</v>
      </c>
      <c r="Q184" s="3">
        <f t="shared" si="120"/>
        <v>3.61615240398383E-2</v>
      </c>
      <c r="R184" s="3">
        <f t="shared" si="120"/>
        <v>3.6159068494602882E-2</v>
      </c>
      <c r="S184" s="3">
        <f t="shared" si="120"/>
        <v>3.6134522211278303E-2</v>
      </c>
      <c r="T184" s="3">
        <f t="shared" si="120"/>
        <v>3.5889973981386519E-2</v>
      </c>
      <c r="U184" s="3">
        <f t="shared" si="120"/>
        <v>3.3533695161049044E-2</v>
      </c>
      <c r="V184" s="3">
        <f t="shared" si="120"/>
        <v>1.7004509052756158E-2</v>
      </c>
      <c r="W184" s="3">
        <f t="shared" si="120"/>
        <v>1.9115732914824285E-5</v>
      </c>
      <c r="X184" s="3">
        <f t="shared" si="120"/>
        <v>6.1611178548423777E-35</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5.7659888823700683E-2</v>
      </c>
      <c r="C185" s="3">
        <f t="shared" si="121"/>
        <v>5.7659888823700683E-2</v>
      </c>
      <c r="D185" s="3">
        <f t="shared" si="121"/>
        <v>5.7659888823700683E-2</v>
      </c>
      <c r="E185" s="3">
        <f t="shared" si="121"/>
        <v>5.7659888823700683E-2</v>
      </c>
      <c r="F185" s="3">
        <f t="shared" si="121"/>
        <v>5.7659888823700683E-2</v>
      </c>
      <c r="G185" s="3">
        <f t="shared" si="121"/>
        <v>5.7659888823700677E-2</v>
      </c>
      <c r="H185" s="3">
        <f t="shared" si="121"/>
        <v>5.7659888823700642E-2</v>
      </c>
      <c r="I185" s="3">
        <f t="shared" si="121"/>
        <v>5.7659888823700295E-2</v>
      </c>
      <c r="J185" s="3">
        <f t="shared" si="121"/>
        <v>5.7659888823696756E-2</v>
      </c>
      <c r="K185" s="3">
        <f t="shared" si="121"/>
        <v>5.7659888823661437E-2</v>
      </c>
      <c r="L185" s="3">
        <f t="shared" si="121"/>
        <v>5.7659888823308227E-2</v>
      </c>
      <c r="M185" s="3">
        <f t="shared" si="121"/>
        <v>5.7659888819776094E-2</v>
      </c>
      <c r="N185" s="3">
        <f t="shared" si="121"/>
        <v>5.7659888784454827E-2</v>
      </c>
      <c r="O185" s="3">
        <f t="shared" si="121"/>
        <v>5.765988843124209E-2</v>
      </c>
      <c r="P185" s="3">
        <f t="shared" si="121"/>
        <v>5.7659884899114902E-2</v>
      </c>
      <c r="Q185" s="3">
        <f t="shared" si="121"/>
        <v>5.7659849577854853E-2</v>
      </c>
      <c r="R185" s="3">
        <f t="shared" si="121"/>
        <v>5.7659496366444449E-2</v>
      </c>
      <c r="S185" s="3">
        <f t="shared" si="121"/>
        <v>5.7655964371341399E-2</v>
      </c>
      <c r="T185" s="3">
        <f t="shared" si="121"/>
        <v>5.7620656317715319E-2</v>
      </c>
      <c r="U185" s="3">
        <f t="shared" si="121"/>
        <v>5.7268762829706374E-2</v>
      </c>
      <c r="V185" s="3">
        <f t="shared" si="121"/>
        <v>5.3865885794337896E-2</v>
      </c>
      <c r="W185" s="3">
        <f t="shared" si="121"/>
        <v>2.9192672399529315E-2</v>
      </c>
      <c r="X185" s="3">
        <f t="shared" si="121"/>
        <v>6.3807882184625244E-5</v>
      </c>
      <c r="Y185" s="3">
        <f t="shared" si="121"/>
        <v>1.5881045793796765E-31</v>
      </c>
      <c r="Z185" s="3">
        <f t="shared" si="121"/>
        <v>1.4485275998734957E-297</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7.0138718801303929E-2</v>
      </c>
      <c r="C186" s="3">
        <f t="shared" si="122"/>
        <v>7.0138718801303929E-2</v>
      </c>
      <c r="D186" s="3">
        <f t="shared" si="122"/>
        <v>7.0138718801303929E-2</v>
      </c>
      <c r="E186" s="3">
        <f t="shared" si="122"/>
        <v>7.0138718801303929E-2</v>
      </c>
      <c r="F186" s="3">
        <f t="shared" si="122"/>
        <v>7.0138718801303929E-2</v>
      </c>
      <c r="G186" s="3">
        <f t="shared" si="122"/>
        <v>7.0138718801303929E-2</v>
      </c>
      <c r="H186" s="3">
        <f t="shared" si="122"/>
        <v>7.0138718801303915E-2</v>
      </c>
      <c r="I186" s="3">
        <f t="shared" si="122"/>
        <v>7.0138718801303887E-2</v>
      </c>
      <c r="J186" s="3">
        <f t="shared" si="122"/>
        <v>7.0138718801303498E-2</v>
      </c>
      <c r="K186" s="3">
        <f t="shared" si="122"/>
        <v>7.0138718801299627E-2</v>
      </c>
      <c r="L186" s="3">
        <f t="shared" si="122"/>
        <v>7.0138718801260866E-2</v>
      </c>
      <c r="M186" s="3">
        <f t="shared" si="122"/>
        <v>7.0138718800873273E-2</v>
      </c>
      <c r="N186" s="3">
        <f t="shared" si="122"/>
        <v>7.0138718796997429E-2</v>
      </c>
      <c r="O186" s="3">
        <f t="shared" si="122"/>
        <v>7.0138718758238933E-2</v>
      </c>
      <c r="P186" s="3">
        <f t="shared" si="122"/>
        <v>7.0138718370653913E-2</v>
      </c>
      <c r="Q186" s="3">
        <f t="shared" si="122"/>
        <v>7.013871449480398E-2</v>
      </c>
      <c r="R186" s="3">
        <f t="shared" si="122"/>
        <v>7.0138675736316311E-2</v>
      </c>
      <c r="S186" s="3">
        <f t="shared" si="122"/>
        <v>7.0138288152617592E-2</v>
      </c>
      <c r="T186" s="3">
        <f t="shared" si="122"/>
        <v>7.0134412433426094E-2</v>
      </c>
      <c r="U186" s="3">
        <f t="shared" si="122"/>
        <v>7.0095667018659255E-2</v>
      </c>
      <c r="V186" s="3">
        <f t="shared" si="122"/>
        <v>6.9709388181399948E-2</v>
      </c>
      <c r="W186" s="3">
        <f t="shared" si="122"/>
        <v>6.5961762903011367E-2</v>
      </c>
      <c r="X186" s="3">
        <f t="shared" si="122"/>
        <v>3.7957891909882607E-2</v>
      </c>
      <c r="Y186" s="3">
        <f t="shared" si="122"/>
        <v>1.5114729904440867E-4</v>
      </c>
      <c r="Z186" s="3">
        <f t="shared" si="122"/>
        <v>1.5148982088304653E-28</v>
      </c>
      <c r="AA186" s="3">
        <f t="shared" si="122"/>
        <v>1.5495802206895738E-268</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6.7659228447697881E-2</v>
      </c>
      <c r="C187" s="3">
        <f t="shared" si="123"/>
        <v>6.7659228447697881E-2</v>
      </c>
      <c r="D187" s="3">
        <f t="shared" si="123"/>
        <v>6.7659228447697881E-2</v>
      </c>
      <c r="E187" s="3">
        <f t="shared" si="123"/>
        <v>6.7659228447697881E-2</v>
      </c>
      <c r="F187" s="3">
        <f t="shared" si="123"/>
        <v>6.7659228447697881E-2</v>
      </c>
      <c r="G187" s="3">
        <f t="shared" si="123"/>
        <v>6.7659228447697881E-2</v>
      </c>
      <c r="H187" s="3">
        <f t="shared" si="123"/>
        <v>6.7659228447697881E-2</v>
      </c>
      <c r="I187" s="3">
        <f t="shared" si="123"/>
        <v>6.7659228447697881E-2</v>
      </c>
      <c r="J187" s="3">
        <f t="shared" si="123"/>
        <v>6.7659228447697839E-2</v>
      </c>
      <c r="K187" s="3">
        <f t="shared" si="123"/>
        <v>6.7659228447697506E-2</v>
      </c>
      <c r="L187" s="3">
        <f t="shared" si="123"/>
        <v>6.7659228447694134E-2</v>
      </c>
      <c r="M187" s="3">
        <f t="shared" si="123"/>
        <v>6.7659228447660411E-2</v>
      </c>
      <c r="N187" s="3">
        <f t="shared" si="123"/>
        <v>6.7659228447323125E-2</v>
      </c>
      <c r="O187" s="3">
        <f t="shared" si="123"/>
        <v>6.7659228443950392E-2</v>
      </c>
      <c r="P187" s="3">
        <f t="shared" si="123"/>
        <v>6.7659228410222996E-2</v>
      </c>
      <c r="Q187" s="3">
        <f t="shared" si="123"/>
        <v>6.7659228072949079E-2</v>
      </c>
      <c r="R187" s="3">
        <f t="shared" si="123"/>
        <v>6.765922470020988E-2</v>
      </c>
      <c r="S187" s="3">
        <f t="shared" si="123"/>
        <v>6.7659190972827174E-2</v>
      </c>
      <c r="T187" s="3">
        <f t="shared" si="123"/>
        <v>6.7658853699924831E-2</v>
      </c>
      <c r="U187" s="3">
        <f t="shared" si="123"/>
        <v>6.7655481063369563E-2</v>
      </c>
      <c r="V187" s="3">
        <f t="shared" si="123"/>
        <v>6.7621763942929375E-2</v>
      </c>
      <c r="W187" s="3">
        <f t="shared" si="123"/>
        <v>6.7285515546861324E-2</v>
      </c>
      <c r="X187" s="3">
        <f t="shared" si="123"/>
        <v>6.401363283919001E-2</v>
      </c>
      <c r="Y187" s="3">
        <f t="shared" si="123"/>
        <v>3.8884934926510205E-2</v>
      </c>
      <c r="Z187" s="3">
        <f t="shared" si="123"/>
        <v>2.659931153651982E-4</v>
      </c>
      <c r="AA187" s="3">
        <f t="shared" si="123"/>
        <v>5.9670625636813007E-26</v>
      </c>
      <c r="AB187" s="3">
        <f t="shared" si="123"/>
        <v>1.9260277705679827E-242</v>
      </c>
      <c r="AC187" s="3">
        <f t="shared" si="123"/>
        <v>0</v>
      </c>
      <c r="AD187" s="3">
        <f t="shared" si="123"/>
        <v>0</v>
      </c>
      <c r="AE187" s="3">
        <f t="shared" si="123"/>
        <v>0</v>
      </c>
      <c r="AF187" s="3">
        <f t="shared" si="123"/>
        <v>0</v>
      </c>
      <c r="AG187" s="3"/>
      <c r="AH187" s="3"/>
    </row>
    <row r="188" spans="2:34" x14ac:dyDescent="0.25">
      <c r="B188" s="3">
        <f t="shared" ref="B188:AF188" si="124">$C35*EXP(-B$168/$A35/EXP(-$C$126))</f>
        <v>6.6765944370475505E-2</v>
      </c>
      <c r="C188" s="3">
        <f t="shared" si="124"/>
        <v>6.6765944370475505E-2</v>
      </c>
      <c r="D188" s="3">
        <f t="shared" si="124"/>
        <v>6.6765944370475505E-2</v>
      </c>
      <c r="E188" s="3">
        <f t="shared" si="124"/>
        <v>6.6765944370475505E-2</v>
      </c>
      <c r="F188" s="3">
        <f t="shared" si="124"/>
        <v>6.6765944370475505E-2</v>
      </c>
      <c r="G188" s="3">
        <f t="shared" si="124"/>
        <v>6.6765944370475505E-2</v>
      </c>
      <c r="H188" s="3">
        <f t="shared" si="124"/>
        <v>6.6765944370475505E-2</v>
      </c>
      <c r="I188" s="3">
        <f t="shared" si="124"/>
        <v>6.6765944370475505E-2</v>
      </c>
      <c r="J188" s="3">
        <f t="shared" si="124"/>
        <v>6.6765944370475505E-2</v>
      </c>
      <c r="K188" s="3">
        <f t="shared" si="124"/>
        <v>6.6765944370475477E-2</v>
      </c>
      <c r="L188" s="3">
        <f t="shared" si="124"/>
        <v>6.6765944370475172E-2</v>
      </c>
      <c r="M188" s="3">
        <f t="shared" si="124"/>
        <v>6.6765944370472174E-2</v>
      </c>
      <c r="N188" s="3">
        <f t="shared" si="124"/>
        <v>6.6765944370442143E-2</v>
      </c>
      <c r="O188" s="3">
        <f t="shared" si="124"/>
        <v>6.6765944370141911E-2</v>
      </c>
      <c r="P188" s="3">
        <f t="shared" si="124"/>
        <v>6.676594436713959E-2</v>
      </c>
      <c r="Q188" s="3">
        <f t="shared" si="124"/>
        <v>6.676594433711637E-2</v>
      </c>
      <c r="R188" s="3">
        <f t="shared" si="124"/>
        <v>6.6765944036884128E-2</v>
      </c>
      <c r="S188" s="3">
        <f t="shared" si="124"/>
        <v>6.6765941034561863E-2</v>
      </c>
      <c r="T188" s="3">
        <f t="shared" si="124"/>
        <v>6.6765911011346629E-2</v>
      </c>
      <c r="U188" s="3">
        <f t="shared" si="124"/>
        <v>6.6765610779936799E-2</v>
      </c>
      <c r="V188" s="3">
        <f t="shared" si="124"/>
        <v>6.6762608540091584E-2</v>
      </c>
      <c r="W188" s="3">
        <f t="shared" si="124"/>
        <v>6.6732593565709278E-2</v>
      </c>
      <c r="X188" s="3">
        <f t="shared" si="124"/>
        <v>6.6433184995126432E-2</v>
      </c>
      <c r="Y188" s="3">
        <f t="shared" si="124"/>
        <v>6.3511998133389758E-2</v>
      </c>
      <c r="Z188" s="3">
        <f t="shared" si="124"/>
        <v>4.0510051510453442E-2</v>
      </c>
      <c r="AA188" s="3">
        <f t="shared" si="124"/>
        <v>4.5147425267679512E-4</v>
      </c>
      <c r="AB188" s="3">
        <f t="shared" si="124"/>
        <v>1.334550190255091E-23</v>
      </c>
      <c r="AC188" s="3">
        <f t="shared" si="124"/>
        <v>6.7975772077592722E-219</v>
      </c>
      <c r="AD188" s="3">
        <f t="shared" si="124"/>
        <v>0</v>
      </c>
      <c r="AE188" s="3">
        <f t="shared" si="124"/>
        <v>0</v>
      </c>
      <c r="AF188" s="3">
        <f t="shared" si="124"/>
        <v>0</v>
      </c>
      <c r="AG188" s="3"/>
      <c r="AH188" s="3"/>
    </row>
    <row r="189" spans="2:34" x14ac:dyDescent="0.25">
      <c r="B189" s="3">
        <f t="shared" ref="B189:AF189" si="125">$C36*EXP(-B$168/$A36/EXP(-$C$126))</f>
        <v>4.8603939630861931E-2</v>
      </c>
      <c r="C189" s="3">
        <f t="shared" si="125"/>
        <v>4.8603939630861931E-2</v>
      </c>
      <c r="D189" s="3">
        <f t="shared" si="125"/>
        <v>4.8603939630861931E-2</v>
      </c>
      <c r="E189" s="3">
        <f t="shared" si="125"/>
        <v>4.8603939630861931E-2</v>
      </c>
      <c r="F189" s="3">
        <f t="shared" si="125"/>
        <v>4.8603939630861931E-2</v>
      </c>
      <c r="G189" s="3">
        <f t="shared" si="125"/>
        <v>4.8603939630861931E-2</v>
      </c>
      <c r="H189" s="3">
        <f t="shared" si="125"/>
        <v>4.8603939630861931E-2</v>
      </c>
      <c r="I189" s="3">
        <f t="shared" si="125"/>
        <v>4.8603939630861931E-2</v>
      </c>
      <c r="J189" s="3">
        <f t="shared" si="125"/>
        <v>4.8603939630861931E-2</v>
      </c>
      <c r="K189" s="3">
        <f t="shared" si="125"/>
        <v>4.8603939630861931E-2</v>
      </c>
      <c r="L189" s="3">
        <f t="shared" si="125"/>
        <v>4.860393963086191E-2</v>
      </c>
      <c r="M189" s="3">
        <f t="shared" si="125"/>
        <v>4.8603939630861709E-2</v>
      </c>
      <c r="N189" s="3">
        <f t="shared" si="125"/>
        <v>4.8603939630859738E-2</v>
      </c>
      <c r="O189" s="3">
        <f t="shared" si="125"/>
        <v>4.8603939630840025E-2</v>
      </c>
      <c r="P189" s="3">
        <f t="shared" si="125"/>
        <v>4.8603939630642863E-2</v>
      </c>
      <c r="Q189" s="3">
        <f t="shared" si="125"/>
        <v>4.860393962867126E-2</v>
      </c>
      <c r="R189" s="3">
        <f t="shared" si="125"/>
        <v>4.8603939608955184E-2</v>
      </c>
      <c r="S189" s="3">
        <f t="shared" si="125"/>
        <v>4.8603939411794465E-2</v>
      </c>
      <c r="T189" s="3">
        <f t="shared" si="125"/>
        <v>4.8603937440187359E-2</v>
      </c>
      <c r="U189" s="3">
        <f t="shared" si="125"/>
        <v>4.8603917724120656E-2</v>
      </c>
      <c r="V189" s="3">
        <f t="shared" si="125"/>
        <v>4.8603720563893463E-2</v>
      </c>
      <c r="W189" s="3">
        <f t="shared" si="125"/>
        <v>4.8601749005608624E-2</v>
      </c>
      <c r="X189" s="3">
        <f t="shared" si="125"/>
        <v>4.8582037820804211E-2</v>
      </c>
      <c r="Y189" s="3">
        <f t="shared" si="125"/>
        <v>4.8385365117771334E-2</v>
      </c>
      <c r="Z189" s="3">
        <f t="shared" si="125"/>
        <v>4.6461900568076822E-2</v>
      </c>
      <c r="AA189" s="3">
        <f t="shared" si="125"/>
        <v>3.0968948196799129E-2</v>
      </c>
      <c r="AB189" s="3">
        <f t="shared" si="125"/>
        <v>5.3606974999165506E-4</v>
      </c>
      <c r="AC189" s="3">
        <f t="shared" si="125"/>
        <v>1.294701809977105E-21</v>
      </c>
      <c r="AD189" s="3">
        <f t="shared" si="125"/>
        <v>8.7428755491955105E-198</v>
      </c>
      <c r="AE189" s="3">
        <f t="shared" si="125"/>
        <v>0</v>
      </c>
      <c r="AF189" s="3">
        <f t="shared" si="125"/>
        <v>0</v>
      </c>
      <c r="AG189" s="3"/>
      <c r="AH189" s="3"/>
    </row>
    <row r="190" spans="2:34" x14ac:dyDescent="0.25">
      <c r="B190" s="3">
        <f t="shared" ref="B190:AF190" si="126">$C37*EXP(-B$168/$A37/EXP(-$C$126))</f>
        <v>3.7549192378247005E-2</v>
      </c>
      <c r="C190" s="3">
        <f t="shared" si="126"/>
        <v>3.7549192378247005E-2</v>
      </c>
      <c r="D190" s="3">
        <f t="shared" si="126"/>
        <v>3.7549192378247005E-2</v>
      </c>
      <c r="E190" s="3">
        <f t="shared" si="126"/>
        <v>3.7549192378247005E-2</v>
      </c>
      <c r="F190" s="3">
        <f t="shared" si="126"/>
        <v>3.7549192378247005E-2</v>
      </c>
      <c r="G190" s="3">
        <f t="shared" si="126"/>
        <v>3.7549192378247005E-2</v>
      </c>
      <c r="H190" s="3">
        <f t="shared" si="126"/>
        <v>3.7549192378247005E-2</v>
      </c>
      <c r="I190" s="3">
        <f t="shared" si="126"/>
        <v>3.7549192378247005E-2</v>
      </c>
      <c r="J190" s="3">
        <f t="shared" si="126"/>
        <v>3.7549192378247005E-2</v>
      </c>
      <c r="K190" s="3">
        <f t="shared" si="126"/>
        <v>3.7549192378247005E-2</v>
      </c>
      <c r="L190" s="3">
        <f t="shared" si="126"/>
        <v>3.7549192378247005E-2</v>
      </c>
      <c r="M190" s="3">
        <f t="shared" si="126"/>
        <v>3.7549192378246991E-2</v>
      </c>
      <c r="N190" s="3">
        <f t="shared" si="126"/>
        <v>3.7549192378246853E-2</v>
      </c>
      <c r="O190" s="3">
        <f t="shared" si="126"/>
        <v>3.7549192378245479E-2</v>
      </c>
      <c r="P190" s="3">
        <f t="shared" si="126"/>
        <v>3.754919237823174E-2</v>
      </c>
      <c r="Q190" s="3">
        <f t="shared" si="126"/>
        <v>3.7549192378094336E-2</v>
      </c>
      <c r="R190" s="3">
        <f t="shared" si="126"/>
        <v>3.7549192376720303E-2</v>
      </c>
      <c r="S190" s="3">
        <f t="shared" si="126"/>
        <v>3.7549192362980009E-2</v>
      </c>
      <c r="T190" s="3">
        <f t="shared" si="126"/>
        <v>3.7549192225577045E-2</v>
      </c>
      <c r="U190" s="3">
        <f t="shared" si="126"/>
        <v>3.7549190851547419E-2</v>
      </c>
      <c r="V190" s="3">
        <f t="shared" si="126"/>
        <v>3.7549177111253974E-2</v>
      </c>
      <c r="W190" s="3">
        <f t="shared" si="126"/>
        <v>3.7549039708596001E-2</v>
      </c>
      <c r="X190" s="3">
        <f t="shared" si="126"/>
        <v>3.7547665709669636E-2</v>
      </c>
      <c r="Y190" s="3">
        <f t="shared" si="126"/>
        <v>3.753392848536672E-2</v>
      </c>
      <c r="Z190" s="3">
        <f t="shared" si="126"/>
        <v>3.7396832364419243E-2</v>
      </c>
      <c r="AA190" s="3">
        <f t="shared" si="126"/>
        <v>3.6053113143325627E-2</v>
      </c>
      <c r="AB190" s="3">
        <f t="shared" si="126"/>
        <v>2.5004738126818117E-2</v>
      </c>
      <c r="AC190" s="3">
        <f t="shared" si="126"/>
        <v>6.4389892699785332E-4</v>
      </c>
      <c r="AD190" s="3">
        <f t="shared" si="126"/>
        <v>8.2560365986844472E-20</v>
      </c>
      <c r="AE190" s="3">
        <f t="shared" si="126"/>
        <v>9.9154103150301899E-179</v>
      </c>
      <c r="AF190" s="3">
        <f t="shared" si="126"/>
        <v>0</v>
      </c>
      <c r="AG190" s="3"/>
      <c r="AH190" s="3"/>
    </row>
    <row r="191" spans="2:34" x14ac:dyDescent="0.25">
      <c r="B191" s="3">
        <f t="shared" ref="B191:AF191" si="127">$C38*EXP(-B$168/$A38/EXP(-$C$126))</f>
        <v>7.8409043454057813E-3</v>
      </c>
      <c r="C191" s="3">
        <f t="shared" si="127"/>
        <v>7.8409043454057813E-3</v>
      </c>
      <c r="D191" s="3">
        <f t="shared" si="127"/>
        <v>7.8409043454057813E-3</v>
      </c>
      <c r="E191" s="3">
        <f t="shared" si="127"/>
        <v>7.8409043454057813E-3</v>
      </c>
      <c r="F191" s="3">
        <f t="shared" si="127"/>
        <v>7.8409043454057813E-3</v>
      </c>
      <c r="G191" s="3">
        <f t="shared" si="127"/>
        <v>7.8409043454057813E-3</v>
      </c>
      <c r="H191" s="3">
        <f t="shared" si="127"/>
        <v>7.8409043454057813E-3</v>
      </c>
      <c r="I191" s="3">
        <f t="shared" si="127"/>
        <v>7.8409043454057813E-3</v>
      </c>
      <c r="J191" s="3">
        <f t="shared" si="127"/>
        <v>7.8409043454057813E-3</v>
      </c>
      <c r="K191" s="3">
        <f t="shared" si="127"/>
        <v>7.8409043454057813E-3</v>
      </c>
      <c r="L191" s="3">
        <f t="shared" si="127"/>
        <v>7.8409043454057813E-3</v>
      </c>
      <c r="M191" s="3">
        <f t="shared" si="127"/>
        <v>7.8409043454057813E-3</v>
      </c>
      <c r="N191" s="3">
        <f t="shared" si="127"/>
        <v>7.8409043454057779E-3</v>
      </c>
      <c r="O191" s="3">
        <f t="shared" si="127"/>
        <v>7.8409043454057518E-3</v>
      </c>
      <c r="P191" s="3">
        <f t="shared" si="127"/>
        <v>7.8409043454054934E-3</v>
      </c>
      <c r="Q191" s="3">
        <f t="shared" si="127"/>
        <v>7.8409043454029052E-3</v>
      </c>
      <c r="R191" s="3">
        <f t="shared" si="127"/>
        <v>7.8409043453770231E-3</v>
      </c>
      <c r="S191" s="3">
        <f t="shared" si="127"/>
        <v>7.8409043451181971E-3</v>
      </c>
      <c r="T191" s="3">
        <f t="shared" si="127"/>
        <v>7.8409043425299342E-3</v>
      </c>
      <c r="U191" s="3">
        <f t="shared" si="127"/>
        <v>7.8409043166473135E-3</v>
      </c>
      <c r="V191" s="3">
        <f t="shared" si="127"/>
        <v>7.84090405782111E-3</v>
      </c>
      <c r="W191" s="3">
        <f t="shared" si="127"/>
        <v>7.8409014695595414E-3</v>
      </c>
      <c r="X191" s="3">
        <f t="shared" si="127"/>
        <v>7.8408755869908524E-3</v>
      </c>
      <c r="Y191" s="3">
        <f t="shared" si="127"/>
        <v>7.8406167660029728E-3</v>
      </c>
      <c r="Z191" s="3">
        <f t="shared" si="127"/>
        <v>7.8380290259686351E-3</v>
      </c>
      <c r="AA191" s="3">
        <f t="shared" si="127"/>
        <v>7.8121985527359614E-3</v>
      </c>
      <c r="AB191" s="3">
        <f t="shared" si="127"/>
        <v>7.558529719117176E-3</v>
      </c>
      <c r="AC191" s="3">
        <f t="shared" si="127"/>
        <v>5.433477191667503E-3</v>
      </c>
      <c r="AD191" s="3">
        <f t="shared" si="127"/>
        <v>2.0020876274124964E-4</v>
      </c>
      <c r="AE191" s="3">
        <f t="shared" si="127"/>
        <v>9.2370951237134594E-19</v>
      </c>
      <c r="AF191" s="3">
        <f t="shared" si="127"/>
        <v>4.0370000843052998E-162</v>
      </c>
      <c r="AG191" s="3"/>
      <c r="AH191" s="3"/>
    </row>
    <row r="192" spans="2:34" x14ac:dyDescent="0.25">
      <c r="B192" s="3">
        <f t="shared" ref="B192:AF192" si="128">$C39*EXP(-B$168/$A39/EXP(-$C$126))</f>
        <v>1.487119099211914E-2</v>
      </c>
      <c r="C192" s="3">
        <f t="shared" si="128"/>
        <v>1.487119099211914E-2</v>
      </c>
      <c r="D192" s="3">
        <f t="shared" si="128"/>
        <v>1.487119099211914E-2</v>
      </c>
      <c r="E192" s="3">
        <f t="shared" si="128"/>
        <v>1.487119099211914E-2</v>
      </c>
      <c r="F192" s="3">
        <f t="shared" si="128"/>
        <v>1.487119099211914E-2</v>
      </c>
      <c r="G192" s="3">
        <f t="shared" si="128"/>
        <v>1.487119099211914E-2</v>
      </c>
      <c r="H192" s="3">
        <f t="shared" si="128"/>
        <v>1.487119099211914E-2</v>
      </c>
      <c r="I192" s="3">
        <f t="shared" si="128"/>
        <v>1.487119099211914E-2</v>
      </c>
      <c r="J192" s="3">
        <f t="shared" si="128"/>
        <v>1.487119099211914E-2</v>
      </c>
      <c r="K192" s="3">
        <f t="shared" si="128"/>
        <v>1.487119099211914E-2</v>
      </c>
      <c r="L192" s="3">
        <f t="shared" si="128"/>
        <v>1.487119099211914E-2</v>
      </c>
      <c r="M192" s="3">
        <f t="shared" si="128"/>
        <v>1.487119099211914E-2</v>
      </c>
      <c r="N192" s="3">
        <f t="shared" si="128"/>
        <v>1.4871190992119138E-2</v>
      </c>
      <c r="O192" s="3">
        <f t="shared" si="128"/>
        <v>1.4871190992119124E-2</v>
      </c>
      <c r="P192" s="3">
        <f t="shared" si="128"/>
        <v>1.4871190992118989E-2</v>
      </c>
      <c r="Q192" s="3">
        <f t="shared" si="128"/>
        <v>1.4871190992117631E-2</v>
      </c>
      <c r="R192" s="3">
        <f t="shared" si="128"/>
        <v>1.4871190992104055E-2</v>
      </c>
      <c r="S192" s="3">
        <f t="shared" si="128"/>
        <v>1.4871190991968285E-2</v>
      </c>
      <c r="T192" s="3">
        <f t="shared" si="128"/>
        <v>1.4871190990610595E-2</v>
      </c>
      <c r="U192" s="3">
        <f t="shared" si="128"/>
        <v>1.4871190977033693E-2</v>
      </c>
      <c r="V192" s="3">
        <f t="shared" si="128"/>
        <v>1.4871190841264665E-2</v>
      </c>
      <c r="W192" s="3">
        <f t="shared" si="128"/>
        <v>1.4871189483574462E-2</v>
      </c>
      <c r="X192" s="3">
        <f t="shared" si="128"/>
        <v>1.4871175906679237E-2</v>
      </c>
      <c r="Y192" s="3">
        <f t="shared" si="128"/>
        <v>1.4871040138408752E-2</v>
      </c>
      <c r="Z192" s="3">
        <f t="shared" si="128"/>
        <v>1.4869682523875251E-2</v>
      </c>
      <c r="AA192" s="3">
        <f t="shared" si="128"/>
        <v>1.4856113193375509E-2</v>
      </c>
      <c r="AB192" s="3">
        <f t="shared" si="128"/>
        <v>1.4721099075480918E-2</v>
      </c>
      <c r="AC192" s="3">
        <f t="shared" si="128"/>
        <v>1.3436637284138936E-2</v>
      </c>
      <c r="AD192" s="3">
        <f t="shared" si="128"/>
        <v>5.3925499343758761E-3</v>
      </c>
      <c r="AE192" s="3">
        <f t="shared" si="128"/>
        <v>5.8456120687503223E-7</v>
      </c>
      <c r="AF192" s="3">
        <f t="shared" si="128"/>
        <v>1.3097492174479713E-46</v>
      </c>
      <c r="AG192" s="3"/>
      <c r="AH192" s="3"/>
    </row>
    <row r="193" spans="1:34" x14ac:dyDescent="0.25">
      <c r="B193" s="3">
        <f t="shared" ref="B193:AF193" si="129">$C40*EXP(-B$168/$A40/EXP(-$C$126))</f>
        <v>3.2949113910046581E-3</v>
      </c>
      <c r="C193" s="3">
        <f t="shared" si="129"/>
        <v>3.2949113910046581E-3</v>
      </c>
      <c r="D193" s="3">
        <f t="shared" si="129"/>
        <v>3.2949113910046581E-3</v>
      </c>
      <c r="E193" s="3">
        <f t="shared" si="129"/>
        <v>3.2949113910046581E-3</v>
      </c>
      <c r="F193" s="3">
        <f t="shared" si="129"/>
        <v>3.2949113910046581E-3</v>
      </c>
      <c r="G193" s="3">
        <f t="shared" si="129"/>
        <v>3.2949113910046581E-3</v>
      </c>
      <c r="H193" s="3">
        <f t="shared" si="129"/>
        <v>3.2949113910046581E-3</v>
      </c>
      <c r="I193" s="3">
        <f t="shared" si="129"/>
        <v>3.2949113910046581E-3</v>
      </c>
      <c r="J193" s="3">
        <f t="shared" si="129"/>
        <v>3.2949113910046581E-3</v>
      </c>
      <c r="K193" s="3">
        <f t="shared" si="129"/>
        <v>3.2949113910046581E-3</v>
      </c>
      <c r="L193" s="3">
        <f t="shared" si="129"/>
        <v>3.2949113910046581E-3</v>
      </c>
      <c r="M193" s="3">
        <f t="shared" si="129"/>
        <v>3.2949113910046581E-3</v>
      </c>
      <c r="N193" s="3">
        <f t="shared" si="129"/>
        <v>3.2949113910046581E-3</v>
      </c>
      <c r="O193" s="3">
        <f t="shared" si="129"/>
        <v>3.2949113910046577E-3</v>
      </c>
      <c r="P193" s="3">
        <f t="shared" si="129"/>
        <v>3.2949113910046546E-3</v>
      </c>
      <c r="Q193" s="3">
        <f t="shared" si="129"/>
        <v>3.2949113910046247E-3</v>
      </c>
      <c r="R193" s="3">
        <f t="shared" si="129"/>
        <v>3.2949113910043237E-3</v>
      </c>
      <c r="S193" s="3">
        <f t="shared" si="129"/>
        <v>3.2949113910013157E-3</v>
      </c>
      <c r="T193" s="3">
        <f t="shared" si="129"/>
        <v>3.2949113909712343E-3</v>
      </c>
      <c r="U193" s="3">
        <f t="shared" si="129"/>
        <v>3.2949113906704198E-3</v>
      </c>
      <c r="V193" s="3">
        <f t="shared" si="129"/>
        <v>3.2949113876622753E-3</v>
      </c>
      <c r="W193" s="3">
        <f t="shared" si="129"/>
        <v>3.2949113575808302E-3</v>
      </c>
      <c r="X193" s="3">
        <f t="shared" si="129"/>
        <v>3.2949110567663952E-3</v>
      </c>
      <c r="Y193" s="3">
        <f t="shared" si="129"/>
        <v>3.294908048623554E-3</v>
      </c>
      <c r="Z193" s="3">
        <f t="shared" si="129"/>
        <v>3.29487796734619E-3</v>
      </c>
      <c r="AA193" s="3">
        <f t="shared" si="129"/>
        <v>3.2945771696768307E-3</v>
      </c>
      <c r="AB193" s="3">
        <f t="shared" si="129"/>
        <v>3.2915707029011975E-3</v>
      </c>
      <c r="AC193" s="3">
        <f t="shared" si="129"/>
        <v>3.2616565181373086E-3</v>
      </c>
      <c r="AD193" s="3">
        <f t="shared" si="129"/>
        <v>2.9770668178338319E-3</v>
      </c>
      <c r="AE193" s="3">
        <f t="shared" si="129"/>
        <v>1.1947916084698582E-3</v>
      </c>
      <c r="AF193" s="3">
        <f t="shared" si="129"/>
        <v>1.2951735878401956E-7</v>
      </c>
      <c r="AG193" s="3"/>
      <c r="AH193" s="3"/>
    </row>
    <row r="194" spans="1:34" x14ac:dyDescent="0.25">
      <c r="B194" s="3">
        <f t="shared" ref="B194:AF194" si="130">$C41*EXP(-B$168/$A41/EXP(-$C$126))</f>
        <v>4.0317394660720415E-3</v>
      </c>
      <c r="C194" s="3">
        <f t="shared" si="130"/>
        <v>4.0317394660720415E-3</v>
      </c>
      <c r="D194" s="3">
        <f t="shared" si="130"/>
        <v>4.0317394660720415E-3</v>
      </c>
      <c r="E194" s="3">
        <f t="shared" si="130"/>
        <v>4.0317394660720415E-3</v>
      </c>
      <c r="F194" s="3">
        <f t="shared" si="130"/>
        <v>4.0317394660720415E-3</v>
      </c>
      <c r="G194" s="3">
        <f t="shared" si="130"/>
        <v>4.0317394660720415E-3</v>
      </c>
      <c r="H194" s="3">
        <f t="shared" si="130"/>
        <v>4.0317394660720415E-3</v>
      </c>
      <c r="I194" s="3">
        <f t="shared" si="130"/>
        <v>4.0317394660720415E-3</v>
      </c>
      <c r="J194" s="3">
        <f t="shared" si="130"/>
        <v>4.0317394660720415E-3</v>
      </c>
      <c r="K194" s="3">
        <f t="shared" si="130"/>
        <v>4.0317394660720415E-3</v>
      </c>
      <c r="L194" s="3">
        <f t="shared" si="130"/>
        <v>4.0317394660720415E-3</v>
      </c>
      <c r="M194" s="3">
        <f t="shared" si="130"/>
        <v>4.0317394660720415E-3</v>
      </c>
      <c r="N194" s="3">
        <f t="shared" si="130"/>
        <v>4.0317394660720415E-3</v>
      </c>
      <c r="O194" s="3">
        <f t="shared" si="130"/>
        <v>4.0317394660720415E-3</v>
      </c>
      <c r="P194" s="3">
        <f t="shared" si="130"/>
        <v>4.0317394660720407E-3</v>
      </c>
      <c r="Q194" s="3">
        <f t="shared" si="130"/>
        <v>4.0317394660720372E-3</v>
      </c>
      <c r="R194" s="3">
        <f t="shared" si="130"/>
        <v>4.0317394660720008E-3</v>
      </c>
      <c r="S194" s="3">
        <f t="shared" si="130"/>
        <v>4.0317394660716321E-3</v>
      </c>
      <c r="T194" s="3">
        <f t="shared" si="130"/>
        <v>4.0317394660679519E-3</v>
      </c>
      <c r="U194" s="3">
        <f t="shared" si="130"/>
        <v>4.0317394660311428E-3</v>
      </c>
      <c r="V194" s="3">
        <f t="shared" si="130"/>
        <v>4.0317394656630588E-3</v>
      </c>
      <c r="W194" s="3">
        <f t="shared" si="130"/>
        <v>4.031739461982215E-3</v>
      </c>
      <c r="X194" s="3">
        <f t="shared" si="130"/>
        <v>4.0317394251737741E-3</v>
      </c>
      <c r="Y194" s="3">
        <f t="shared" si="130"/>
        <v>4.03173905708939E-3</v>
      </c>
      <c r="Z194" s="3">
        <f t="shared" si="130"/>
        <v>4.0317353762473968E-3</v>
      </c>
      <c r="AA194" s="3">
        <f t="shared" si="130"/>
        <v>4.0316985680122902E-3</v>
      </c>
      <c r="AB194" s="3">
        <f t="shared" si="130"/>
        <v>4.0313305041432069E-3</v>
      </c>
      <c r="AC194" s="3">
        <f t="shared" si="130"/>
        <v>4.0276517130273526E-3</v>
      </c>
      <c r="AD194" s="3">
        <f t="shared" si="130"/>
        <v>3.9910479367809854E-3</v>
      </c>
      <c r="AE194" s="3">
        <f t="shared" si="130"/>
        <v>3.6428165611259067E-3</v>
      </c>
      <c r="AF194" s="3">
        <f t="shared" si="130"/>
        <v>1.4619781566055511E-3</v>
      </c>
      <c r="AG194" s="3"/>
      <c r="AH194" s="3"/>
    </row>
    <row r="195" spans="1:34" x14ac:dyDescent="0.25">
      <c r="B195" s="3">
        <f t="shared" ref="B195:AF195" si="131">$C42*EXP(-B$168/$A42/EXP(-$C$126))</f>
        <v>2.1502645285220883E-3</v>
      </c>
      <c r="C195" s="3">
        <f t="shared" si="131"/>
        <v>2.1502645285220883E-3</v>
      </c>
      <c r="D195" s="3">
        <f t="shared" si="131"/>
        <v>2.1502645285220883E-3</v>
      </c>
      <c r="E195" s="3">
        <f t="shared" si="131"/>
        <v>2.1502645285220883E-3</v>
      </c>
      <c r="F195" s="3">
        <f t="shared" si="131"/>
        <v>2.1502645285220883E-3</v>
      </c>
      <c r="G195" s="3">
        <f t="shared" si="131"/>
        <v>2.1502645285220883E-3</v>
      </c>
      <c r="H195" s="3">
        <f t="shared" si="131"/>
        <v>2.1502645285220883E-3</v>
      </c>
      <c r="I195" s="3">
        <f t="shared" si="131"/>
        <v>2.1502645285220883E-3</v>
      </c>
      <c r="J195" s="3">
        <f t="shared" si="131"/>
        <v>2.1502645285220883E-3</v>
      </c>
      <c r="K195" s="3">
        <f t="shared" si="131"/>
        <v>2.1502645285220883E-3</v>
      </c>
      <c r="L195" s="3">
        <f t="shared" si="131"/>
        <v>2.1502645285220883E-3</v>
      </c>
      <c r="M195" s="3">
        <f t="shared" si="131"/>
        <v>2.1502645285220883E-3</v>
      </c>
      <c r="N195" s="3">
        <f t="shared" si="131"/>
        <v>2.1502645285220883E-3</v>
      </c>
      <c r="O195" s="3">
        <f t="shared" si="131"/>
        <v>2.1502645285220883E-3</v>
      </c>
      <c r="P195" s="3">
        <f t="shared" si="131"/>
        <v>2.1502645285220883E-3</v>
      </c>
      <c r="Q195" s="3">
        <f t="shared" si="131"/>
        <v>2.1502645285220879E-3</v>
      </c>
      <c r="R195" s="3">
        <f t="shared" si="131"/>
        <v>2.1502645285220862E-3</v>
      </c>
      <c r="S195" s="3">
        <f t="shared" si="131"/>
        <v>2.1502645285220666E-3</v>
      </c>
      <c r="T195" s="3">
        <f t="shared" si="131"/>
        <v>2.1502645285218702E-3</v>
      </c>
      <c r="U195" s="3">
        <f t="shared" si="131"/>
        <v>2.1502645285199069E-3</v>
      </c>
      <c r="V195" s="3">
        <f t="shared" si="131"/>
        <v>2.1502645285002759E-3</v>
      </c>
      <c r="W195" s="3">
        <f t="shared" si="131"/>
        <v>2.1502645283039638E-3</v>
      </c>
      <c r="X195" s="3">
        <f t="shared" si="131"/>
        <v>2.150264526340844E-3</v>
      </c>
      <c r="Y195" s="3">
        <f t="shared" si="131"/>
        <v>2.1502645067096437E-3</v>
      </c>
      <c r="Z195" s="3">
        <f t="shared" si="131"/>
        <v>2.1502643103976549E-3</v>
      </c>
      <c r="AA195" s="3">
        <f t="shared" si="131"/>
        <v>2.1502623472787479E-3</v>
      </c>
      <c r="AB195" s="3">
        <f t="shared" si="131"/>
        <v>2.1502427161882534E-3</v>
      </c>
      <c r="AC195" s="3">
        <f t="shared" si="131"/>
        <v>2.1500464151403857E-3</v>
      </c>
      <c r="AD195" s="3">
        <f t="shared" si="131"/>
        <v>2.148084390036623E-3</v>
      </c>
      <c r="AE195" s="3">
        <f t="shared" si="131"/>
        <v>2.1285623444444249E-3</v>
      </c>
      <c r="AF195" s="3">
        <f t="shared" si="131"/>
        <v>1.9428386435230752E-3</v>
      </c>
      <c r="AG195" s="3"/>
      <c r="AH195" s="3"/>
    </row>
    <row r="196" spans="1:34" x14ac:dyDescent="0.25">
      <c r="B196" s="3">
        <f t="shared" ref="B196:AF196" si="132">$C43*EXP(-B$168/$A43/EXP(-$C$126))</f>
        <v>0</v>
      </c>
      <c r="C196" s="3">
        <f t="shared" si="132"/>
        <v>0</v>
      </c>
      <c r="D196" s="3">
        <f t="shared" si="132"/>
        <v>0</v>
      </c>
      <c r="E196" s="3">
        <f t="shared" si="132"/>
        <v>0</v>
      </c>
      <c r="F196" s="3">
        <f t="shared" si="132"/>
        <v>0</v>
      </c>
      <c r="G196" s="3">
        <f t="shared" si="132"/>
        <v>0</v>
      </c>
      <c r="H196" s="3">
        <f t="shared" si="132"/>
        <v>0</v>
      </c>
      <c r="I196" s="3">
        <f t="shared" si="132"/>
        <v>0</v>
      </c>
      <c r="J196" s="3">
        <f t="shared" si="132"/>
        <v>0</v>
      </c>
      <c r="K196" s="3">
        <f t="shared" si="132"/>
        <v>0</v>
      </c>
      <c r="L196" s="3">
        <f t="shared" si="132"/>
        <v>0</v>
      </c>
      <c r="M196" s="3">
        <f t="shared" si="132"/>
        <v>0</v>
      </c>
      <c r="N196" s="3">
        <f t="shared" si="132"/>
        <v>0</v>
      </c>
      <c r="O196" s="3">
        <f t="shared" si="132"/>
        <v>0</v>
      </c>
      <c r="P196" s="3">
        <f t="shared" si="132"/>
        <v>0</v>
      </c>
      <c r="Q196" s="3">
        <f t="shared" si="132"/>
        <v>0</v>
      </c>
      <c r="R196" s="3">
        <f t="shared" si="132"/>
        <v>0</v>
      </c>
      <c r="S196" s="3">
        <f t="shared" si="132"/>
        <v>0</v>
      </c>
      <c r="T196" s="3">
        <f t="shared" si="132"/>
        <v>0</v>
      </c>
      <c r="U196" s="3">
        <f t="shared" si="132"/>
        <v>0</v>
      </c>
      <c r="V196" s="3">
        <f t="shared" si="132"/>
        <v>0</v>
      </c>
      <c r="W196" s="3">
        <f t="shared" si="132"/>
        <v>0</v>
      </c>
      <c r="X196" s="3">
        <f t="shared" si="132"/>
        <v>0</v>
      </c>
      <c r="Y196" s="3">
        <f t="shared" si="132"/>
        <v>0</v>
      </c>
      <c r="Z196" s="3">
        <f t="shared" si="132"/>
        <v>0</v>
      </c>
      <c r="AA196" s="3">
        <f t="shared" si="132"/>
        <v>0</v>
      </c>
      <c r="AB196" s="3">
        <f t="shared" si="132"/>
        <v>0</v>
      </c>
      <c r="AC196" s="3">
        <f t="shared" si="132"/>
        <v>0</v>
      </c>
      <c r="AD196" s="3">
        <f t="shared" si="132"/>
        <v>0</v>
      </c>
      <c r="AE196" s="3">
        <f t="shared" si="132"/>
        <v>0</v>
      </c>
      <c r="AF196" s="3">
        <f t="shared" si="132"/>
        <v>0</v>
      </c>
      <c r="AG196" s="3"/>
      <c r="AH196" s="3"/>
    </row>
    <row r="197" spans="1:34" x14ac:dyDescent="0.25">
      <c r="B197" s="3">
        <f t="shared" ref="B197:AF197" si="133">$C44*EXP(-B$168/$A44/EXP(-$C$126))</f>
        <v>3.0564736295290245E-3</v>
      </c>
      <c r="C197" s="3">
        <f t="shared" si="133"/>
        <v>3.0564736295290245E-3</v>
      </c>
      <c r="D197" s="3">
        <f t="shared" si="133"/>
        <v>3.0564736295290245E-3</v>
      </c>
      <c r="E197" s="3">
        <f t="shared" si="133"/>
        <v>3.0564736295290245E-3</v>
      </c>
      <c r="F197" s="3">
        <f t="shared" si="133"/>
        <v>3.0564736295290245E-3</v>
      </c>
      <c r="G197" s="3">
        <f t="shared" si="133"/>
        <v>3.0564736295290245E-3</v>
      </c>
      <c r="H197" s="3">
        <f t="shared" si="133"/>
        <v>3.0564736295290245E-3</v>
      </c>
      <c r="I197" s="3">
        <f t="shared" si="133"/>
        <v>3.0564736295290245E-3</v>
      </c>
      <c r="J197" s="3">
        <f t="shared" si="133"/>
        <v>3.0564736295290245E-3</v>
      </c>
      <c r="K197" s="3">
        <f t="shared" si="133"/>
        <v>3.0564736295290245E-3</v>
      </c>
      <c r="L197" s="3">
        <f t="shared" si="133"/>
        <v>3.0564736295290245E-3</v>
      </c>
      <c r="M197" s="3">
        <f t="shared" si="133"/>
        <v>3.0564736295290245E-3</v>
      </c>
      <c r="N197" s="3">
        <f t="shared" si="133"/>
        <v>3.0564736295290245E-3</v>
      </c>
      <c r="O197" s="3">
        <f t="shared" si="133"/>
        <v>3.0564736295290245E-3</v>
      </c>
      <c r="P197" s="3">
        <f t="shared" si="133"/>
        <v>3.0564736295290245E-3</v>
      </c>
      <c r="Q197" s="3">
        <f t="shared" si="133"/>
        <v>3.0564736295290245E-3</v>
      </c>
      <c r="R197" s="3">
        <f t="shared" si="133"/>
        <v>3.0564736295290245E-3</v>
      </c>
      <c r="S197" s="3">
        <f t="shared" si="133"/>
        <v>3.0564736295290241E-3</v>
      </c>
      <c r="T197" s="3">
        <f t="shared" si="133"/>
        <v>3.0564736295290214E-3</v>
      </c>
      <c r="U197" s="3">
        <f t="shared" si="133"/>
        <v>3.0564736295289937E-3</v>
      </c>
      <c r="V197" s="3">
        <f t="shared" si="133"/>
        <v>3.0564736295287144E-3</v>
      </c>
      <c r="W197" s="3">
        <f t="shared" si="133"/>
        <v>3.0564736295259241E-3</v>
      </c>
      <c r="X197" s="3">
        <f t="shared" si="133"/>
        <v>3.0564736294980193E-3</v>
      </c>
      <c r="Y197" s="3">
        <f t="shared" si="133"/>
        <v>3.0564736292189735E-3</v>
      </c>
      <c r="Z197" s="3">
        <f t="shared" si="133"/>
        <v>3.0564736264285151E-3</v>
      </c>
      <c r="AA197" s="3">
        <f t="shared" si="133"/>
        <v>3.0564735985239271E-3</v>
      </c>
      <c r="AB197" s="3">
        <f t="shared" si="133"/>
        <v>3.0564733194780656E-3</v>
      </c>
      <c r="AC197" s="3">
        <f t="shared" si="133"/>
        <v>3.0564705290208492E-3</v>
      </c>
      <c r="AD197" s="3">
        <f t="shared" si="133"/>
        <v>3.0564426245888042E-3</v>
      </c>
      <c r="AE197" s="3">
        <f t="shared" si="133"/>
        <v>3.0561635942796036E-3</v>
      </c>
      <c r="AF197" s="3">
        <f t="shared" si="133"/>
        <v>3.0533746918396578E-3</v>
      </c>
      <c r="AG197" s="3"/>
      <c r="AH197" s="3"/>
    </row>
    <row r="198" spans="1:34" x14ac:dyDescent="0.25">
      <c r="B198" s="3">
        <f t="shared" ref="B198:AF198" si="134">$C45*EXP(-B$168/$A45/EXP(-$C$126))</f>
        <v>1.3352216676863077E-3</v>
      </c>
      <c r="C198" s="3">
        <f t="shared" si="134"/>
        <v>1.3352216676863077E-3</v>
      </c>
      <c r="D198" s="3">
        <f t="shared" si="134"/>
        <v>1.3352216676863077E-3</v>
      </c>
      <c r="E198" s="3">
        <f t="shared" si="134"/>
        <v>1.3352216676863077E-3</v>
      </c>
      <c r="F198" s="3">
        <f t="shared" si="134"/>
        <v>1.3352216676863077E-3</v>
      </c>
      <c r="G198" s="3">
        <f t="shared" si="134"/>
        <v>1.3352216676863077E-3</v>
      </c>
      <c r="H198" s="3">
        <f t="shared" si="134"/>
        <v>1.3352216676863077E-3</v>
      </c>
      <c r="I198" s="3">
        <f t="shared" si="134"/>
        <v>1.3352216676863077E-3</v>
      </c>
      <c r="J198" s="3">
        <f t="shared" si="134"/>
        <v>1.3352216676863077E-3</v>
      </c>
      <c r="K198" s="3">
        <f t="shared" si="134"/>
        <v>1.3352216676863077E-3</v>
      </c>
      <c r="L198" s="3">
        <f t="shared" si="134"/>
        <v>1.3352216676863077E-3</v>
      </c>
      <c r="M198" s="3">
        <f t="shared" si="134"/>
        <v>1.3352216676863077E-3</v>
      </c>
      <c r="N198" s="3">
        <f t="shared" si="134"/>
        <v>1.3352216676863077E-3</v>
      </c>
      <c r="O198" s="3">
        <f t="shared" si="134"/>
        <v>1.3352216676863077E-3</v>
      </c>
      <c r="P198" s="3">
        <f t="shared" si="134"/>
        <v>1.3352216676863077E-3</v>
      </c>
      <c r="Q198" s="3">
        <f t="shared" si="134"/>
        <v>1.3352216676863077E-3</v>
      </c>
      <c r="R198" s="3">
        <f t="shared" si="134"/>
        <v>1.3352216676863077E-3</v>
      </c>
      <c r="S198" s="3">
        <f t="shared" si="134"/>
        <v>1.3352216676863077E-3</v>
      </c>
      <c r="T198" s="3">
        <f t="shared" si="134"/>
        <v>1.3352216676863074E-3</v>
      </c>
      <c r="U198" s="3">
        <f t="shared" si="134"/>
        <v>1.3352216676863064E-3</v>
      </c>
      <c r="V198" s="3">
        <f t="shared" si="134"/>
        <v>1.3352216676862942E-3</v>
      </c>
      <c r="W198" s="3">
        <f t="shared" si="134"/>
        <v>1.3352216676861721E-3</v>
      </c>
      <c r="X198" s="3">
        <f t="shared" si="134"/>
        <v>1.3352216676849533E-3</v>
      </c>
      <c r="Y198" s="3">
        <f t="shared" si="134"/>
        <v>1.3352216676727629E-3</v>
      </c>
      <c r="Z198" s="3">
        <f t="shared" si="134"/>
        <v>1.3352216675508617E-3</v>
      </c>
      <c r="AA198" s="3">
        <f t="shared" si="134"/>
        <v>1.3352216663318488E-3</v>
      </c>
      <c r="AB198" s="3">
        <f t="shared" si="134"/>
        <v>1.335221654141719E-3</v>
      </c>
      <c r="AC198" s="3">
        <f t="shared" si="134"/>
        <v>1.3352215322404283E-3</v>
      </c>
      <c r="AD198" s="3">
        <f t="shared" si="134"/>
        <v>1.3352203132281318E-3</v>
      </c>
      <c r="AE198" s="3">
        <f t="shared" si="134"/>
        <v>1.3352081231663786E-3</v>
      </c>
      <c r="AF198" s="3">
        <f t="shared" si="134"/>
        <v>1.3350862286696664E-3</v>
      </c>
      <c r="AG198" s="3"/>
      <c r="AH198" s="3"/>
    </row>
    <row r="199" spans="1:34" x14ac:dyDescent="0.25">
      <c r="B199" s="3">
        <f t="shared" ref="B199:AF199" si="135">$C46*EXP(-B$168/$A46/EXP(-$C$126))</f>
        <v>0</v>
      </c>
      <c r="C199" s="3">
        <f t="shared" si="135"/>
        <v>0</v>
      </c>
      <c r="D199" s="3">
        <f t="shared" si="135"/>
        <v>0</v>
      </c>
      <c r="E199" s="3">
        <f t="shared" si="135"/>
        <v>0</v>
      </c>
      <c r="F199" s="3">
        <f t="shared" si="135"/>
        <v>0</v>
      </c>
      <c r="G199" s="3">
        <f t="shared" si="135"/>
        <v>0</v>
      </c>
      <c r="H199" s="3">
        <f t="shared" si="135"/>
        <v>0</v>
      </c>
      <c r="I199" s="3">
        <f t="shared" si="135"/>
        <v>0</v>
      </c>
      <c r="J199" s="3">
        <f t="shared" si="135"/>
        <v>0</v>
      </c>
      <c r="K199" s="3">
        <f t="shared" si="135"/>
        <v>0</v>
      </c>
      <c r="L199" s="3">
        <f t="shared" si="135"/>
        <v>0</v>
      </c>
      <c r="M199" s="3">
        <f t="shared" si="135"/>
        <v>0</v>
      </c>
      <c r="N199" s="3">
        <f t="shared" si="135"/>
        <v>0</v>
      </c>
      <c r="O199" s="3">
        <f t="shared" si="135"/>
        <v>0</v>
      </c>
      <c r="P199" s="3">
        <f t="shared" si="135"/>
        <v>0</v>
      </c>
      <c r="Q199" s="3">
        <f t="shared" si="135"/>
        <v>0</v>
      </c>
      <c r="R199" s="3">
        <f t="shared" si="135"/>
        <v>0</v>
      </c>
      <c r="S199" s="3">
        <f t="shared" si="135"/>
        <v>0</v>
      </c>
      <c r="T199" s="3">
        <f t="shared" si="135"/>
        <v>0</v>
      </c>
      <c r="U199" s="3">
        <f t="shared" si="135"/>
        <v>0</v>
      </c>
      <c r="V199" s="3">
        <f t="shared" si="135"/>
        <v>0</v>
      </c>
      <c r="W199" s="3">
        <f t="shared" si="135"/>
        <v>0</v>
      </c>
      <c r="X199" s="3">
        <f t="shared" si="135"/>
        <v>0</v>
      </c>
      <c r="Y199" s="3">
        <f t="shared" si="135"/>
        <v>0</v>
      </c>
      <c r="Z199" s="3">
        <f t="shared" si="135"/>
        <v>0</v>
      </c>
      <c r="AA199" s="3">
        <f t="shared" si="135"/>
        <v>0</v>
      </c>
      <c r="AB199" s="3">
        <f t="shared" si="135"/>
        <v>0</v>
      </c>
      <c r="AC199" s="3">
        <f t="shared" si="135"/>
        <v>0</v>
      </c>
      <c r="AD199" s="3">
        <f t="shared" si="135"/>
        <v>0</v>
      </c>
      <c r="AE199" s="3">
        <f t="shared" si="135"/>
        <v>0</v>
      </c>
      <c r="AF199" s="3">
        <f t="shared" si="135"/>
        <v>0</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0</v>
      </c>
      <c r="C201" s="3">
        <f t="shared" si="137"/>
        <v>0</v>
      </c>
      <c r="D201" s="3">
        <f t="shared" si="137"/>
        <v>0</v>
      </c>
      <c r="E201" s="3">
        <f t="shared" si="137"/>
        <v>0</v>
      </c>
      <c r="F201" s="3">
        <f t="shared" si="137"/>
        <v>0</v>
      </c>
      <c r="G201" s="3">
        <f t="shared" si="137"/>
        <v>0</v>
      </c>
      <c r="H201" s="3">
        <f t="shared" si="137"/>
        <v>0</v>
      </c>
      <c r="I201" s="3">
        <f t="shared" si="137"/>
        <v>0</v>
      </c>
      <c r="J201" s="3">
        <f t="shared" si="137"/>
        <v>0</v>
      </c>
      <c r="K201" s="3">
        <f t="shared" si="137"/>
        <v>0</v>
      </c>
      <c r="L201" s="3">
        <f t="shared" si="137"/>
        <v>0</v>
      </c>
      <c r="M201" s="3">
        <f t="shared" si="137"/>
        <v>0</v>
      </c>
      <c r="N201" s="3">
        <f t="shared" si="137"/>
        <v>0</v>
      </c>
      <c r="O201" s="3">
        <f t="shared" si="137"/>
        <v>0</v>
      </c>
      <c r="P201" s="3">
        <f t="shared" si="137"/>
        <v>0</v>
      </c>
      <c r="Q201" s="3">
        <f t="shared" si="137"/>
        <v>0</v>
      </c>
      <c r="R201" s="3">
        <f t="shared" si="137"/>
        <v>0</v>
      </c>
      <c r="S201" s="3">
        <f t="shared" si="137"/>
        <v>0</v>
      </c>
      <c r="T201" s="3">
        <f t="shared" si="137"/>
        <v>0</v>
      </c>
      <c r="U201" s="3">
        <f t="shared" si="137"/>
        <v>0</v>
      </c>
      <c r="V201" s="3">
        <f t="shared" si="137"/>
        <v>0</v>
      </c>
      <c r="W201" s="3">
        <f t="shared" si="137"/>
        <v>0</v>
      </c>
      <c r="X201" s="3">
        <f t="shared" si="137"/>
        <v>0</v>
      </c>
      <c r="Y201" s="3">
        <f t="shared" si="137"/>
        <v>0</v>
      </c>
      <c r="Z201" s="3">
        <f t="shared" si="137"/>
        <v>0</v>
      </c>
      <c r="AA201" s="3">
        <f t="shared" si="137"/>
        <v>0</v>
      </c>
      <c r="AB201" s="3">
        <f t="shared" si="137"/>
        <v>0</v>
      </c>
      <c r="AC201" s="3">
        <f t="shared" si="137"/>
        <v>0</v>
      </c>
      <c r="AD201" s="3">
        <f t="shared" si="137"/>
        <v>0</v>
      </c>
      <c r="AE201" s="3">
        <f t="shared" si="137"/>
        <v>0</v>
      </c>
      <c r="AF201" s="3">
        <f t="shared" si="137"/>
        <v>0</v>
      </c>
      <c r="AG201" s="3"/>
      <c r="AH201" s="3"/>
    </row>
    <row r="202" spans="1:34" x14ac:dyDescent="0.25">
      <c r="A202" s="79">
        <f>AVERAGE(B202:AF202)</f>
        <v>8.4189641917413009E-3</v>
      </c>
      <c r="B202" s="80">
        <f>IF($A$64&lt;=B168,IF($B$64&gt;=B168,ABS((B170-B169)/B169),0),0)</f>
        <v>0</v>
      </c>
      <c r="C202" s="80">
        <f t="shared" ref="C202:AF202" si="138">IF($A$64&lt;=C168,IF($B$64&gt;=C168,ABS((C170-C169)/C169),0),0)</f>
        <v>0</v>
      </c>
      <c r="D202" s="80">
        <f t="shared" si="138"/>
        <v>0</v>
      </c>
      <c r="E202" s="80">
        <f t="shared" si="138"/>
        <v>0</v>
      </c>
      <c r="F202" s="80">
        <f t="shared" si="138"/>
        <v>0</v>
      </c>
      <c r="G202" s="80">
        <f t="shared" si="138"/>
        <v>0</v>
      </c>
      <c r="H202" s="80">
        <f t="shared" si="138"/>
        <v>0</v>
      </c>
      <c r="I202" s="80">
        <f t="shared" si="138"/>
        <v>0</v>
      </c>
      <c r="J202" s="80">
        <f t="shared" si="138"/>
        <v>0</v>
      </c>
      <c r="K202" s="80">
        <f t="shared" si="138"/>
        <v>0</v>
      </c>
      <c r="L202" s="80">
        <f t="shared" si="138"/>
        <v>1.5850410196576341E-2</v>
      </c>
      <c r="M202" s="80">
        <f t="shared" si="138"/>
        <v>1.4925829745859254E-2</v>
      </c>
      <c r="N202" s="80">
        <f t="shared" si="138"/>
        <v>1.4710902116323902E-2</v>
      </c>
      <c r="O202" s="80">
        <f t="shared" si="138"/>
        <v>1.5219712486466945E-2</v>
      </c>
      <c r="P202" s="80">
        <f t="shared" si="138"/>
        <v>1.4641915033352522E-2</v>
      </c>
      <c r="Q202" s="80">
        <f t="shared" si="138"/>
        <v>1.4300394891025277E-2</v>
      </c>
      <c r="R202" s="80">
        <f t="shared" si="138"/>
        <v>1.3637198108173517E-2</v>
      </c>
      <c r="S202" s="80">
        <f t="shared" si="138"/>
        <v>1.1995571927939834E-2</v>
      </c>
      <c r="T202" s="80">
        <f t="shared" si="138"/>
        <v>7.1923075484646133E-4</v>
      </c>
      <c r="U202" s="80">
        <f t="shared" si="138"/>
        <v>4.0887876895017709E-2</v>
      </c>
      <c r="V202" s="80">
        <f t="shared" si="138"/>
        <v>0.10409884778839855</v>
      </c>
      <c r="W202" s="80">
        <f t="shared" si="138"/>
        <v>0</v>
      </c>
      <c r="X202" s="80">
        <f t="shared" si="138"/>
        <v>0</v>
      </c>
      <c r="Y202" s="80">
        <f t="shared" si="138"/>
        <v>0</v>
      </c>
      <c r="Z202" s="80">
        <f t="shared" si="138"/>
        <v>0</v>
      </c>
      <c r="AA202" s="80">
        <f t="shared" si="138"/>
        <v>0</v>
      </c>
      <c r="AB202" s="80">
        <f t="shared" si="138"/>
        <v>0</v>
      </c>
      <c r="AC202" s="80">
        <f t="shared" si="138"/>
        <v>0</v>
      </c>
      <c r="AD202" s="80">
        <f t="shared" si="138"/>
        <v>0</v>
      </c>
      <c r="AE202" s="80">
        <f t="shared" si="138"/>
        <v>0</v>
      </c>
      <c r="AF202" s="80">
        <f t="shared" si="138"/>
        <v>0</v>
      </c>
    </row>
    <row r="203" spans="1:34" x14ac:dyDescent="0.25">
      <c r="B203" s="21">
        <f>(B170-B169)^2</f>
        <v>5869.1611743320163</v>
      </c>
      <c r="C203" s="21">
        <f t="shared" ref="C203:AF203" si="139">(C170-C169)^2</f>
        <v>425971.24723194027</v>
      </c>
      <c r="D203" s="21">
        <f t="shared" si="139"/>
        <v>1147540.5523646297</v>
      </c>
      <c r="E203" s="21">
        <f t="shared" si="139"/>
        <v>761996.2761915006</v>
      </c>
      <c r="F203" s="21">
        <f t="shared" si="139"/>
        <v>436334.8440533643</v>
      </c>
      <c r="G203" s="21">
        <f t="shared" si="139"/>
        <v>182313.51290101965</v>
      </c>
      <c r="H203" s="21">
        <f t="shared" si="139"/>
        <v>34088.512273356129</v>
      </c>
      <c r="I203" s="21">
        <f t="shared" si="139"/>
        <v>628.9154637498599</v>
      </c>
      <c r="J203" s="21">
        <f t="shared" si="139"/>
        <v>31976.086410324468</v>
      </c>
      <c r="K203" s="21">
        <f t="shared" si="139"/>
        <v>18172.371715305264</v>
      </c>
      <c r="L203" s="21">
        <f t="shared" si="139"/>
        <v>16502.773715743435</v>
      </c>
      <c r="M203" s="21">
        <f t="shared" si="139"/>
        <v>13341.020136988716</v>
      </c>
      <c r="N203" s="21">
        <f t="shared" si="139"/>
        <v>11712.398044723908</v>
      </c>
      <c r="O203" s="21">
        <f t="shared" si="139"/>
        <v>11445.840854489737</v>
      </c>
      <c r="P203" s="21">
        <f t="shared" si="139"/>
        <v>9740.2197726215309</v>
      </c>
      <c r="Q203" s="21">
        <f t="shared" si="139"/>
        <v>8510.7452060974283</v>
      </c>
      <c r="R203" s="21">
        <f t="shared" si="139"/>
        <v>7052.2833769000872</v>
      </c>
      <c r="S203" s="21">
        <f t="shared" si="139"/>
        <v>4948.7686349642845</v>
      </c>
      <c r="T203" s="21">
        <f t="shared" si="139"/>
        <v>15.631839661451332</v>
      </c>
      <c r="U203" s="21">
        <f t="shared" si="139"/>
        <v>40799.184550119237</v>
      </c>
      <c r="V203" s="21">
        <f t="shared" si="139"/>
        <v>200631.15306038861</v>
      </c>
      <c r="W203" s="21">
        <f t="shared" si="139"/>
        <v>317504.28397689818</v>
      </c>
      <c r="X203" s="21">
        <f t="shared" si="139"/>
        <v>227229.40907754964</v>
      </c>
      <c r="Y203" s="21">
        <f t="shared" si="139"/>
        <v>105661.12781748621</v>
      </c>
      <c r="Z203" s="21">
        <f t="shared" si="139"/>
        <v>41908.102257645682</v>
      </c>
      <c r="AA203" s="21">
        <f t="shared" si="139"/>
        <v>14054.551046177292</v>
      </c>
      <c r="AB203" s="21">
        <f t="shared" si="139"/>
        <v>4922.1754668334188</v>
      </c>
      <c r="AC203" s="21">
        <f t="shared" si="139"/>
        <v>1354.0328046502852</v>
      </c>
      <c r="AD203" s="21">
        <f t="shared" si="139"/>
        <v>452.34696912401995</v>
      </c>
      <c r="AE203" s="21">
        <f t="shared" si="139"/>
        <v>132.16800165631548</v>
      </c>
      <c r="AF203" s="21">
        <f t="shared" si="139"/>
        <v>75.583739227313188</v>
      </c>
      <c r="AG203" s="3"/>
      <c r="AH203" s="3"/>
    </row>
    <row r="204" spans="1:34" x14ac:dyDescent="0.25">
      <c r="A204" s="71">
        <f>SUM(B204:AF204)</f>
        <v>324700.01919269841</v>
      </c>
      <c r="B204" s="60">
        <f>IF($A$64&lt;=B168,IF($B$64&gt;=B168,ABS(B203),0),0)</f>
        <v>0</v>
      </c>
      <c r="C204" s="60">
        <f t="shared" ref="C204" si="140">IF($A$64&lt;=C168,IF($B$64&gt;=C168,ABS(C203),0),0)</f>
        <v>0</v>
      </c>
      <c r="D204" s="60">
        <f t="shared" ref="D204" si="141">IF($A$64&lt;=D168,IF($B$64&gt;=D168,ABS(D203),0),0)</f>
        <v>0</v>
      </c>
      <c r="E204" s="60">
        <f t="shared" ref="E204" si="142">IF($A$64&lt;=E168,IF($B$64&gt;=E168,ABS(E203),0),0)</f>
        <v>0</v>
      </c>
      <c r="F204" s="60">
        <f t="shared" ref="F204" si="143">IF($A$64&lt;=F168,IF($B$64&gt;=F168,ABS(F203),0),0)</f>
        <v>0</v>
      </c>
      <c r="G204" s="60">
        <f t="shared" ref="G204" si="144">IF($A$64&lt;=G168,IF($B$64&gt;=G168,ABS(G203),0),0)</f>
        <v>0</v>
      </c>
      <c r="H204" s="60">
        <f t="shared" ref="H204" si="145">IF($A$64&lt;=H168,IF($B$64&gt;=H168,ABS(H203),0),0)</f>
        <v>0</v>
      </c>
      <c r="I204" s="60">
        <f t="shared" ref="I204" si="146">IF($A$64&lt;=I168,IF($B$64&gt;=I168,ABS(I203),0),0)</f>
        <v>0</v>
      </c>
      <c r="J204" s="60">
        <f t="shared" ref="J204" si="147">IF($A$64&lt;=J168,IF($B$64&gt;=J168,ABS(J203),0),0)</f>
        <v>0</v>
      </c>
      <c r="K204" s="60">
        <f t="shared" ref="K204" si="148">IF($A$64&lt;=K168,IF($B$64&gt;=K168,ABS(K203),0),0)</f>
        <v>0</v>
      </c>
      <c r="L204" s="60">
        <f t="shared" ref="L204" si="149">IF($A$64&lt;=L168,IF($B$64&gt;=L168,ABS(L203),0),0)</f>
        <v>16502.773715743435</v>
      </c>
      <c r="M204" s="60">
        <f t="shared" ref="M204" si="150">IF($A$64&lt;=M168,IF($B$64&gt;=M168,ABS(M203),0),0)</f>
        <v>13341.020136988716</v>
      </c>
      <c r="N204" s="60">
        <f t="shared" ref="N204" si="151">IF($A$64&lt;=N168,IF($B$64&gt;=N168,ABS(N203),0),0)</f>
        <v>11712.398044723908</v>
      </c>
      <c r="O204" s="60">
        <f t="shared" ref="O204" si="152">IF($A$64&lt;=O168,IF($B$64&gt;=O168,ABS(O203),0),0)</f>
        <v>11445.840854489737</v>
      </c>
      <c r="P204" s="60">
        <f t="shared" ref="P204" si="153">IF($A$64&lt;=P168,IF($B$64&gt;=P168,ABS(P203),0),0)</f>
        <v>9740.2197726215309</v>
      </c>
      <c r="Q204" s="60">
        <f t="shared" ref="Q204" si="154">IF($A$64&lt;=Q168,IF($B$64&gt;=Q168,ABS(Q203),0),0)</f>
        <v>8510.7452060974283</v>
      </c>
      <c r="R204" s="60">
        <f t="shared" ref="R204" si="155">IF($A$64&lt;=R168,IF($B$64&gt;=R168,ABS(R203),0),0)</f>
        <v>7052.2833769000872</v>
      </c>
      <c r="S204" s="60">
        <f t="shared" ref="S204" si="156">IF($A$64&lt;=S168,IF($B$64&gt;=S168,ABS(S203),0),0)</f>
        <v>4948.7686349642845</v>
      </c>
      <c r="T204" s="60">
        <f t="shared" ref="T204" si="157">IF($A$64&lt;=T168,IF($B$64&gt;=T168,ABS(T203),0),0)</f>
        <v>15.631839661451332</v>
      </c>
      <c r="U204" s="60">
        <f t="shared" ref="U204" si="158">IF($A$64&lt;=U168,IF($B$64&gt;=U168,ABS(U203),0),0)</f>
        <v>40799.184550119237</v>
      </c>
      <c r="V204" s="60">
        <f t="shared" ref="V204" si="159">IF($A$64&lt;=V168,IF($B$64&gt;=V168,ABS(V203),0),0)</f>
        <v>200631.15306038861</v>
      </c>
      <c r="W204" s="60">
        <f t="shared" ref="W204" si="160">IF($A$64&lt;=W168,IF($B$64&gt;=W168,ABS(W203),0),0)</f>
        <v>0</v>
      </c>
      <c r="X204" s="60">
        <f t="shared" ref="X204" si="161">IF($A$64&lt;=X168,IF($B$64&gt;=X168,ABS(X203),0),0)</f>
        <v>0</v>
      </c>
      <c r="Y204" s="60">
        <f t="shared" ref="Y204" si="162">IF($A$64&lt;=Y168,IF($B$64&gt;=Y168,ABS(Y203),0),0)</f>
        <v>0</v>
      </c>
      <c r="Z204" s="60">
        <f t="shared" ref="Z204" si="163">IF($A$64&lt;=Z168,IF($B$64&gt;=Z168,ABS(Z203),0),0)</f>
        <v>0</v>
      </c>
      <c r="AA204" s="60">
        <f t="shared" ref="AA204" si="164">IF($A$64&lt;=AA168,IF($B$64&gt;=AA168,ABS(AA203),0),0)</f>
        <v>0</v>
      </c>
      <c r="AB204" s="60">
        <f t="shared" ref="AB204" si="165">IF($A$64&lt;=AB168,IF($B$64&gt;=AB168,ABS(AB203),0),0)</f>
        <v>0</v>
      </c>
      <c r="AC204" s="60">
        <f t="shared" ref="AC204" si="166">IF($A$64&lt;=AC168,IF($B$64&gt;=AC168,ABS(AC203),0),0)</f>
        <v>0</v>
      </c>
      <c r="AD204" s="60">
        <f t="shared" ref="AD204" si="167">IF($A$64&lt;=AD168,IF($B$64&gt;=AD168,ABS(AD203),0),0)</f>
        <v>0</v>
      </c>
      <c r="AE204" s="60">
        <f t="shared" ref="AE204" si="168">IF($A$64&lt;=AE168,IF($B$64&gt;=AE168,ABS(AE203),0),0)</f>
        <v>0</v>
      </c>
      <c r="AF204" s="60">
        <f t="shared" ref="AF204" si="169">IF($A$64&lt;=AF168,IF($B$64&gt;=AF168,ABS(AF203),0),0)</f>
        <v>0</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10334.776176356636</v>
      </c>
      <c r="C208" s="26">
        <f>INDEX(Comparison!$AM$3:$AS$33,G$14,$D$122)</f>
        <v>10091.776344091975</v>
      </c>
      <c r="D208" s="26">
        <f>INDEX(Comparison!$AM$3:$AS$33,H$14,$D$122)</f>
        <v>9888.29643553188</v>
      </c>
      <c r="E208" s="26">
        <f>INDEX(Comparison!$AM$3:$AS$33,I$14,$D$122)</f>
        <v>9675.5582946416034</v>
      </c>
      <c r="F208" s="26">
        <f>INDEX(Comparison!$AM$3:$AS$33,J$14,$D$122)</f>
        <v>9437.8844555939704</v>
      </c>
      <c r="G208" s="26">
        <f>INDEX(Comparison!$AM$3:$AS$33,K$14,$D$122)</f>
        <v>9182.6179716248589</v>
      </c>
      <c r="H208" s="26">
        <f>INDEX(Comparison!$AM$3:$AS$33,L$14,$D$122)</f>
        <v>8899.8294294290881</v>
      </c>
      <c r="I208" s="26">
        <f>INDEX(Comparison!$AM$3:$AS$33,M$14,$D$122)</f>
        <v>8621.6067732840511</v>
      </c>
      <c r="J208" s="26">
        <f>INDEX(Comparison!$AM$3:$AS$33,N$14,$D$122)</f>
        <v>8354.3796068734482</v>
      </c>
      <c r="K208" s="26">
        <f>INDEX(Comparison!$AM$3:$AS$33,O$14,$D$122)</f>
        <v>8041.7904738604348</v>
      </c>
      <c r="L208" s="26">
        <f>INDEX(Comparison!$AM$3:$AS$33,P$14,$D$122)</f>
        <v>7673.2145085350385</v>
      </c>
      <c r="M208" s="26">
        <f>INDEX(Comparison!$AM$3:$AS$33,Q$14,$D$122)</f>
        <v>7295.4976540764501</v>
      </c>
      <c r="N208" s="26">
        <f>INDEX(Comparison!$AM$3:$AS$33,R$14,$D$122)</f>
        <v>6977.8752509418382</v>
      </c>
      <c r="O208" s="26">
        <f>INDEX(Comparison!$AM$3:$AS$33,S$14,$D$122)</f>
        <v>6688.5988498392426</v>
      </c>
      <c r="P208" s="26">
        <f>INDEX(Comparison!$AM$3:$AS$33,T$14,$D$122)</f>
        <v>6402.4667189627462</v>
      </c>
      <c r="Q208" s="26">
        <f>INDEX(Comparison!$AM$3:$AS$33,U$14,$D$122)</f>
        <v>6108.5862714487212</v>
      </c>
      <c r="R208" s="26">
        <f>INDEX(Comparison!$AM$3:$AS$33,V$14,$D$122)</f>
        <v>5821.8385981744532</v>
      </c>
      <c r="S208" s="26">
        <f>INDEX(Comparison!$AM$3:$AS$33,W$14,$D$122)</f>
        <v>5461.5612200441165</v>
      </c>
      <c r="T208" s="26">
        <f>INDEX(Comparison!$AM$3:$AS$33,X$14,$D$122)</f>
        <v>4936.5934069622945</v>
      </c>
      <c r="U208" s="26">
        <f>INDEX(Comparison!$AM$3:$AS$33,Y$14,$D$122)</f>
        <v>4296.9639126238171</v>
      </c>
      <c r="V208" s="26">
        <f>INDEX(Comparison!$AM$3:$AS$33,Z$14,$D$122)</f>
        <v>3679.1110460410682</v>
      </c>
      <c r="W208" s="26">
        <f>INDEX(Comparison!$AM$3:$AS$33,AA$14,$D$122)</f>
        <v>3097.6161878660678</v>
      </c>
      <c r="X208" s="26">
        <f>INDEX(Comparison!$AM$3:$AS$33,AB$14,$D$122)</f>
        <v>2528.090407055493</v>
      </c>
      <c r="Y208" s="26">
        <f>INDEX(Comparison!$AM$3:$AS$33,AC$14,$D$122)</f>
        <v>1953.6029786216222</v>
      </c>
      <c r="Z208" s="26">
        <f>INDEX(Comparison!$AM$3:$AS$33,AD$14,$D$122)</f>
        <v>1432.382407665888</v>
      </c>
      <c r="AA208" s="26">
        <f>INDEX(Comparison!$AM$3:$AS$33,AE$14,$D$122)</f>
        <v>1033.3489091490621</v>
      </c>
      <c r="AB208" s="26">
        <f>INDEX(Comparison!$AM$3:$AS$33,AF$14,$D$122)</f>
        <v>776.17019476824578</v>
      </c>
      <c r="AC208" s="26">
        <f>INDEX(Comparison!$AM$3:$AS$33,AG$14,$D$122)</f>
        <v>643.6842763640858</v>
      </c>
      <c r="AD208" s="26">
        <f>INDEX(Comparison!$AM$3:$AS$33,AH$14,$D$122)</f>
        <v>575.83936179835393</v>
      </c>
      <c r="AE208" s="26">
        <f>INDEX(Comparison!$AM$3:$AS$33,AI$14,$D$122)</f>
        <v>540.3807046910232</v>
      </c>
      <c r="AF208" s="26">
        <f>INDEX(Comparison!$AM$3:$AS$33,AJ$14,$D$122)</f>
        <v>518.13069577372926</v>
      </c>
      <c r="AG208" s="26"/>
      <c r="AH208" s="26"/>
    </row>
    <row r="209" spans="1:34" x14ac:dyDescent="0.25">
      <c r="A209" s="70" t="s">
        <v>22</v>
      </c>
      <c r="B209" s="27">
        <f>($C$17+SUM(B210:B240))*$B$51</f>
        <v>9565.1748290440064</v>
      </c>
      <c r="C209" s="27">
        <f t="shared" ref="C209:AF209" si="170">($C$17+SUM(C210:C240))*$B$51</f>
        <v>9072.9425406841128</v>
      </c>
      <c r="D209" s="27">
        <f t="shared" si="170"/>
        <v>9072.9184938448125</v>
      </c>
      <c r="E209" s="27">
        <f t="shared" si="170"/>
        <v>9072.7502255586769</v>
      </c>
      <c r="F209" s="27">
        <f t="shared" si="170"/>
        <v>9071.070102997086</v>
      </c>
      <c r="G209" s="27">
        <f t="shared" si="170"/>
        <v>9054.522233025682</v>
      </c>
      <c r="H209" s="27">
        <f t="shared" si="170"/>
        <v>8911.9040952981286</v>
      </c>
      <c r="I209" s="27">
        <f t="shared" si="170"/>
        <v>8473.4036812467075</v>
      </c>
      <c r="J209" s="27">
        <f t="shared" si="170"/>
        <v>8257.3777843880653</v>
      </c>
      <c r="K209" s="27">
        <f t="shared" si="170"/>
        <v>7947.729267221237</v>
      </c>
      <c r="L209" s="27">
        <f t="shared" si="170"/>
        <v>7590.1369446446088</v>
      </c>
      <c r="M209" s="27">
        <f t="shared" si="170"/>
        <v>7214.8460236806295</v>
      </c>
      <c r="N209" s="27">
        <f t="shared" si="170"/>
        <v>6893.6687712242392</v>
      </c>
      <c r="O209" s="27">
        <f t="shared" si="170"/>
        <v>6615.3865895533208</v>
      </c>
      <c r="P209" s="27">
        <f t="shared" si="170"/>
        <v>6330.7806403713439</v>
      </c>
      <c r="Q209" s="27">
        <f t="shared" si="170"/>
        <v>6046.457853237177</v>
      </c>
      <c r="R209" s="27">
        <f t="shared" si="170"/>
        <v>5766.769828759021</v>
      </c>
      <c r="S209" s="27">
        <f t="shared" si="170"/>
        <v>5462.2212767365509</v>
      </c>
      <c r="T209" s="27">
        <f t="shared" si="170"/>
        <v>5106.2258909473858</v>
      </c>
      <c r="U209" s="27">
        <f t="shared" si="170"/>
        <v>4713.0643731070713</v>
      </c>
      <c r="V209" s="27">
        <f t="shared" si="170"/>
        <v>4203.5538326702226</v>
      </c>
      <c r="W209" s="27">
        <f t="shared" si="170"/>
        <v>3542.4790058835365</v>
      </c>
      <c r="X209" s="27">
        <f t="shared" si="170"/>
        <v>2834.4390915586696</v>
      </c>
      <c r="Y209" s="27">
        <f t="shared" si="170"/>
        <v>2151.5492685536469</v>
      </c>
      <c r="Z209" s="27">
        <f t="shared" si="170"/>
        <v>1549.9850314984301</v>
      </c>
      <c r="AA209" s="27">
        <f t="shared" si="170"/>
        <v>1104.7767525240208</v>
      </c>
      <c r="AB209" s="27">
        <f t="shared" si="170"/>
        <v>815.31111290844785</v>
      </c>
      <c r="AC209" s="27">
        <f t="shared" si="170"/>
        <v>660.22908528907715</v>
      </c>
      <c r="AD209" s="27">
        <f t="shared" si="170"/>
        <v>586.94154649184202</v>
      </c>
      <c r="AE209" s="27">
        <f t="shared" si="170"/>
        <v>548.43294360046525</v>
      </c>
      <c r="AF209" s="27">
        <f t="shared" si="170"/>
        <v>521.70953324799007</v>
      </c>
      <c r="AG209" s="27"/>
      <c r="AH209" s="27"/>
    </row>
    <row r="210" spans="1:34" x14ac:dyDescent="0.25">
      <c r="B210" s="3">
        <f t="shared" ref="B210:AF210" si="171">$C18*EXP(-B$207/$A18/EXP(-$D$126))</f>
        <v>4.5711744391505424E-2</v>
      </c>
      <c r="C210" s="3">
        <f t="shared" si="171"/>
        <v>6.7024943778843175E-7</v>
      </c>
      <c r="D210" s="3">
        <f t="shared" si="171"/>
        <v>3.0783861484529371E-55</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5.3113447550087671E-2</v>
      </c>
      <c r="C211" s="3">
        <f t="shared" si="172"/>
        <v>5.3113296120977205E-2</v>
      </c>
      <c r="D211" s="3">
        <f t="shared" si="172"/>
        <v>5.3111781853617611E-2</v>
      </c>
      <c r="E211" s="3">
        <f t="shared" si="172"/>
        <v>5.3096641554276972E-2</v>
      </c>
      <c r="F211" s="3">
        <f t="shared" si="172"/>
        <v>5.294547573613189E-2</v>
      </c>
      <c r="G211" s="3">
        <f t="shared" si="172"/>
        <v>5.145728678354191E-2</v>
      </c>
      <c r="H211" s="3">
        <f t="shared" si="172"/>
        <v>3.8692533340124159E-2</v>
      </c>
      <c r="I211" s="3">
        <f t="shared" si="172"/>
        <v>2.2357847437942087E-3</v>
      </c>
      <c r="J211" s="3">
        <f t="shared" si="172"/>
        <v>9.2780822256588222E-16</v>
      </c>
      <c r="K211" s="3">
        <f t="shared" si="172"/>
        <v>1.4052076461224227E-139</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1.5903248014381546E-2</v>
      </c>
      <c r="C212" s="3">
        <f t="shared" si="173"/>
        <v>1.5903243924244449E-2</v>
      </c>
      <c r="D212" s="3">
        <f t="shared" si="173"/>
        <v>1.5903203022931342E-2</v>
      </c>
      <c r="E212" s="3">
        <f t="shared" si="173"/>
        <v>1.5902794015585881E-2</v>
      </c>
      <c r="F212" s="3">
        <f t="shared" si="173"/>
        <v>1.589870452063585E-2</v>
      </c>
      <c r="G212" s="3">
        <f t="shared" si="173"/>
        <v>1.585786736657991E-2</v>
      </c>
      <c r="H212" s="3">
        <f t="shared" si="173"/>
        <v>1.5455220748700401E-2</v>
      </c>
      <c r="I212" s="3">
        <f t="shared" si="173"/>
        <v>1.1950319767900383E-2</v>
      </c>
      <c r="J212" s="3">
        <f t="shared" si="173"/>
        <v>9.1289885945342541E-4</v>
      </c>
      <c r="K212" s="3">
        <f t="shared" si="173"/>
        <v>6.178087372828078E-15</v>
      </c>
      <c r="L212" s="3">
        <f t="shared" si="173"/>
        <v>1.2449957266746441E-126</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2.9724136324311385E-2</v>
      </c>
      <c r="C213" s="3">
        <f t="shared" si="174"/>
        <v>2.9724135634694449E-2</v>
      </c>
      <c r="D213" s="3">
        <f t="shared" si="174"/>
        <v>2.9724128738525955E-2</v>
      </c>
      <c r="E213" s="3">
        <f t="shared" si="174"/>
        <v>2.9724059776929004E-2</v>
      </c>
      <c r="F213" s="3">
        <f t="shared" si="174"/>
        <v>2.9723370169759129E-2</v>
      </c>
      <c r="G213" s="3">
        <f t="shared" si="174"/>
        <v>2.9716474977949384E-2</v>
      </c>
      <c r="H213" s="3">
        <f t="shared" si="174"/>
        <v>2.964761097326411E-2</v>
      </c>
      <c r="I213" s="3">
        <f t="shared" si="174"/>
        <v>2.8967687266947314E-2</v>
      </c>
      <c r="J213" s="3">
        <f t="shared" si="174"/>
        <v>2.296968408277621E-2</v>
      </c>
      <c r="K213" s="3">
        <f t="shared" si="174"/>
        <v>2.2571842480459642E-3</v>
      </c>
      <c r="L213" s="3">
        <f t="shared" si="174"/>
        <v>1.8953389967649481E-13</v>
      </c>
      <c r="M213" s="3">
        <f t="shared" si="174"/>
        <v>3.3028265977443036E-114</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3.4474581064884331E-2</v>
      </c>
      <c r="C214" s="3">
        <f t="shared" si="175"/>
        <v>3.4474580992733019E-2</v>
      </c>
      <c r="D214" s="3">
        <f t="shared" si="175"/>
        <v>3.4474580271219843E-2</v>
      </c>
      <c r="E214" s="3">
        <f t="shared" si="175"/>
        <v>3.4474573056088975E-2</v>
      </c>
      <c r="F214" s="3">
        <f t="shared" si="175"/>
        <v>3.4474500904863314E-2</v>
      </c>
      <c r="G214" s="3">
        <f t="shared" si="175"/>
        <v>3.4473779400911862E-2</v>
      </c>
      <c r="H214" s="3">
        <f t="shared" si="175"/>
        <v>3.4466565191850027E-2</v>
      </c>
      <c r="I214" s="3">
        <f t="shared" si="175"/>
        <v>3.439450608222263E-2</v>
      </c>
      <c r="J214" s="3">
        <f t="shared" si="175"/>
        <v>3.3682149185429298E-2</v>
      </c>
      <c r="K214" s="3">
        <f t="shared" si="175"/>
        <v>2.7321653183188674E-2</v>
      </c>
      <c r="L214" s="3">
        <f t="shared" si="175"/>
        <v>3.3696032219732806E-3</v>
      </c>
      <c r="M214" s="3">
        <f t="shared" si="175"/>
        <v>2.7434476079265287E-12</v>
      </c>
      <c r="N214" s="3">
        <f t="shared" si="175"/>
        <v>3.5113630218282634E-103</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3.8163539596883497E-2</v>
      </c>
      <c r="C215" s="3">
        <f t="shared" si="176"/>
        <v>3.8163539589678393E-2</v>
      </c>
      <c r="D215" s="3">
        <f t="shared" si="176"/>
        <v>3.8163539517627305E-2</v>
      </c>
      <c r="E215" s="3">
        <f t="shared" si="176"/>
        <v>3.8163538797116488E-2</v>
      </c>
      <c r="F215" s="3">
        <f t="shared" si="176"/>
        <v>3.8163531592009074E-2</v>
      </c>
      <c r="G215" s="3">
        <f t="shared" si="176"/>
        <v>3.8163459541009734E-2</v>
      </c>
      <c r="H215" s="3">
        <f t="shared" si="176"/>
        <v>3.8162739038497873E-2</v>
      </c>
      <c r="I215" s="3">
        <f t="shared" si="176"/>
        <v>3.8155534761482222E-2</v>
      </c>
      <c r="J215" s="3">
        <f t="shared" si="176"/>
        <v>3.8083566749386483E-2</v>
      </c>
      <c r="K215" s="3">
        <f t="shared" si="176"/>
        <v>3.7371310475407933E-2</v>
      </c>
      <c r="L215" s="3">
        <f t="shared" si="176"/>
        <v>3.0941790493442544E-2</v>
      </c>
      <c r="M215" s="3">
        <f t="shared" si="176"/>
        <v>4.6839967037807821E-3</v>
      </c>
      <c r="N215" s="3">
        <f t="shared" si="176"/>
        <v>2.9602471836383202E-11</v>
      </c>
      <c r="O215" s="3">
        <f t="shared" si="176"/>
        <v>3.0091368204296425E-93</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3.1147960288532808E-2</v>
      </c>
      <c r="C216" s="3">
        <f t="shared" si="177"/>
        <v>3.1147960288002329E-2</v>
      </c>
      <c r="D216" s="3">
        <f t="shared" si="177"/>
        <v>3.1147960282697541E-2</v>
      </c>
      <c r="E216" s="3">
        <f t="shared" si="177"/>
        <v>3.1147960229649656E-2</v>
      </c>
      <c r="F216" s="3">
        <f t="shared" si="177"/>
        <v>3.1147959699170821E-2</v>
      </c>
      <c r="G216" s="3">
        <f t="shared" si="177"/>
        <v>3.1147954394382976E-2</v>
      </c>
      <c r="H216" s="3">
        <f t="shared" si="177"/>
        <v>3.1147901346554183E-2</v>
      </c>
      <c r="I216" s="3">
        <f t="shared" si="177"/>
        <v>3.1147370873235259E-2</v>
      </c>
      <c r="J216" s="3">
        <f t="shared" si="177"/>
        <v>3.1142066636911471E-2</v>
      </c>
      <c r="K216" s="3">
        <f t="shared" si="177"/>
        <v>3.1089073928923322E-2</v>
      </c>
      <c r="L216" s="3">
        <f t="shared" si="177"/>
        <v>3.0564081226065506E-2</v>
      </c>
      <c r="M216" s="3">
        <f t="shared" si="177"/>
        <v>2.5777864755541394E-2</v>
      </c>
      <c r="N216" s="3">
        <f t="shared" si="177"/>
        <v>4.6946465120626347E-3</v>
      </c>
      <c r="O216" s="3">
        <f t="shared" si="177"/>
        <v>1.8843538578835189E-10</v>
      </c>
      <c r="P216" s="3">
        <f t="shared" si="177"/>
        <v>2.0453050960349085E-84</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2.5944984110175897E-2</v>
      </c>
      <c r="C217" s="3">
        <f t="shared" si="178"/>
        <v>2.5944984110136037E-2</v>
      </c>
      <c r="D217" s="3">
        <f t="shared" si="178"/>
        <v>2.5944984109737439E-2</v>
      </c>
      <c r="E217" s="3">
        <f t="shared" si="178"/>
        <v>2.5944984105751426E-2</v>
      </c>
      <c r="F217" s="3">
        <f t="shared" si="178"/>
        <v>2.5944984065891321E-2</v>
      </c>
      <c r="G217" s="3">
        <f t="shared" si="178"/>
        <v>2.5944983667290259E-2</v>
      </c>
      <c r="H217" s="3">
        <f t="shared" si="178"/>
        <v>2.5944979681280001E-2</v>
      </c>
      <c r="I217" s="3">
        <f t="shared" si="178"/>
        <v>2.5944939821211096E-2</v>
      </c>
      <c r="J217" s="3">
        <f t="shared" si="178"/>
        <v>2.5944541223890116E-2</v>
      </c>
      <c r="K217" s="3">
        <f t="shared" si="178"/>
        <v>2.594055558746999E-2</v>
      </c>
      <c r="L217" s="3">
        <f t="shared" si="178"/>
        <v>2.5900732883098573E-2</v>
      </c>
      <c r="M217" s="3">
        <f t="shared" si="178"/>
        <v>2.5505852767056022E-2</v>
      </c>
      <c r="N217" s="3">
        <f t="shared" si="178"/>
        <v>2.1873475921575229E-2</v>
      </c>
      <c r="O217" s="3">
        <f t="shared" si="178"/>
        <v>4.70649219286605E-3</v>
      </c>
      <c r="P217" s="3">
        <f t="shared" si="178"/>
        <v>1.0011352305128377E-9</v>
      </c>
      <c r="Q217" s="3">
        <f t="shared" si="178"/>
        <v>1.8986580967634585E-76</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2.8280666339942438E-2</v>
      </c>
      <c r="C218" s="3">
        <f t="shared" si="179"/>
        <v>2.8280666339938521E-2</v>
      </c>
      <c r="D218" s="3">
        <f t="shared" si="179"/>
        <v>2.8280666339899327E-2</v>
      </c>
      <c r="E218" s="3">
        <f t="shared" si="179"/>
        <v>2.8280666339507383E-2</v>
      </c>
      <c r="F218" s="3">
        <f t="shared" si="179"/>
        <v>2.828066633558797E-2</v>
      </c>
      <c r="G218" s="3">
        <f t="shared" si="179"/>
        <v>2.8280666296393815E-2</v>
      </c>
      <c r="H218" s="3">
        <f t="shared" si="179"/>
        <v>2.8280665904452301E-2</v>
      </c>
      <c r="I218" s="3">
        <f t="shared" si="179"/>
        <v>2.8280661985037432E-2</v>
      </c>
      <c r="J218" s="3">
        <f t="shared" si="179"/>
        <v>2.828062279091861E-2</v>
      </c>
      <c r="K218" s="3">
        <f t="shared" si="179"/>
        <v>2.8280230852717941E-2</v>
      </c>
      <c r="L218" s="3">
        <f t="shared" si="179"/>
        <v>2.827631176944952E-2</v>
      </c>
      <c r="M218" s="3">
        <f t="shared" si="179"/>
        <v>2.8237150795278602E-2</v>
      </c>
      <c r="N218" s="3">
        <f t="shared" si="179"/>
        <v>2.7848511650564442E-2</v>
      </c>
      <c r="O218" s="3">
        <f t="shared" si="179"/>
        <v>2.4244495605687307E-2</v>
      </c>
      <c r="P218" s="3">
        <f t="shared" si="179"/>
        <v>6.0635196754384342E-3</v>
      </c>
      <c r="Q218" s="3">
        <f t="shared" si="179"/>
        <v>5.8055205927300455E-9</v>
      </c>
      <c r="R218" s="3">
        <f t="shared" si="179"/>
        <v>3.7584169430807404E-69</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2.7707301103179451E-2</v>
      </c>
      <c r="C219" s="3">
        <f t="shared" si="180"/>
        <v>2.7707301103179108E-2</v>
      </c>
      <c r="D219" s="3">
        <f t="shared" si="180"/>
        <v>2.7707301103175645E-2</v>
      </c>
      <c r="E219" s="3">
        <f t="shared" si="180"/>
        <v>2.7707301103141003E-2</v>
      </c>
      <c r="F219" s="3">
        <f t="shared" si="180"/>
        <v>2.7707301102794606E-2</v>
      </c>
      <c r="G219" s="3">
        <f t="shared" si="180"/>
        <v>2.7707301099330655E-2</v>
      </c>
      <c r="H219" s="3">
        <f t="shared" si="180"/>
        <v>2.7707301064691086E-2</v>
      </c>
      <c r="I219" s="3">
        <f t="shared" si="180"/>
        <v>2.7707300718295424E-2</v>
      </c>
      <c r="J219" s="3">
        <f t="shared" si="180"/>
        <v>2.7707297254339024E-2</v>
      </c>
      <c r="K219" s="3">
        <f t="shared" si="180"/>
        <v>2.7707262614798858E-2</v>
      </c>
      <c r="L219" s="3">
        <f t="shared" si="180"/>
        <v>2.770691622177901E-2</v>
      </c>
      <c r="M219" s="3">
        <f t="shared" si="180"/>
        <v>2.7703452529752749E-2</v>
      </c>
      <c r="N219" s="3">
        <f t="shared" si="180"/>
        <v>2.7668839415695281E-2</v>
      </c>
      <c r="O219" s="3">
        <f t="shared" si="180"/>
        <v>2.7325077920266529E-2</v>
      </c>
      <c r="P219" s="3">
        <f t="shared" si="180"/>
        <v>2.4113823154473014E-2</v>
      </c>
      <c r="Q219" s="3">
        <f t="shared" si="180"/>
        <v>6.9073696278915461E-3</v>
      </c>
      <c r="R219" s="3">
        <f t="shared" si="180"/>
        <v>2.5690878035724004E-8</v>
      </c>
      <c r="S219" s="3">
        <f t="shared" si="180"/>
        <v>1.3014918556382263E-62</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2.6509888121377789E-2</v>
      </c>
      <c r="C220" s="3">
        <f t="shared" si="181"/>
        <v>2.6509888121377761E-2</v>
      </c>
      <c r="D220" s="3">
        <f t="shared" si="181"/>
        <v>2.6509888121377459E-2</v>
      </c>
      <c r="E220" s="3">
        <f t="shared" si="181"/>
        <v>2.6509888121374468E-2</v>
      </c>
      <c r="F220" s="3">
        <f t="shared" si="181"/>
        <v>2.6509888121344572E-2</v>
      </c>
      <c r="G220" s="3">
        <f t="shared" si="181"/>
        <v>2.6509888121045599E-2</v>
      </c>
      <c r="H220" s="3">
        <f t="shared" si="181"/>
        <v>2.6509888118055866E-2</v>
      </c>
      <c r="I220" s="3">
        <f t="shared" si="181"/>
        <v>2.6509888088158514E-2</v>
      </c>
      <c r="J220" s="3">
        <f t="shared" si="181"/>
        <v>2.6509887789185001E-2</v>
      </c>
      <c r="K220" s="3">
        <f t="shared" si="181"/>
        <v>2.6509884799450101E-2</v>
      </c>
      <c r="L220" s="3">
        <f t="shared" si="181"/>
        <v>2.6509854902119614E-2</v>
      </c>
      <c r="M220" s="3">
        <f t="shared" si="181"/>
        <v>2.6509555930669195E-2</v>
      </c>
      <c r="N220" s="3">
        <f t="shared" si="181"/>
        <v>2.6506566401603593E-2</v>
      </c>
      <c r="O220" s="3">
        <f t="shared" si="181"/>
        <v>2.6476689647069462E-2</v>
      </c>
      <c r="P220" s="3">
        <f t="shared" si="181"/>
        <v>2.6179768002461915E-2</v>
      </c>
      <c r="Q220" s="3">
        <f t="shared" si="181"/>
        <v>2.3387665959505501E-2</v>
      </c>
      <c r="R220" s="3">
        <f t="shared" si="181"/>
        <v>7.5717761956384452E-3</v>
      </c>
      <c r="S220" s="3">
        <f t="shared" si="181"/>
        <v>9.5787013588792788E-8</v>
      </c>
      <c r="T220" s="3">
        <f t="shared" si="181"/>
        <v>1.0055305686311489E-56</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3.0096089334719207E-2</v>
      </c>
      <c r="C221" s="3">
        <f t="shared" si="182"/>
        <v>3.0096089334719203E-2</v>
      </c>
      <c r="D221" s="3">
        <f t="shared" si="182"/>
        <v>3.0096089334719172E-2</v>
      </c>
      <c r="E221" s="3">
        <f t="shared" si="182"/>
        <v>3.0096089334718867E-2</v>
      </c>
      <c r="F221" s="3">
        <f t="shared" si="182"/>
        <v>3.0096089334715807E-2</v>
      </c>
      <c r="G221" s="3">
        <f t="shared" si="182"/>
        <v>3.0096089334685185E-2</v>
      </c>
      <c r="H221" s="3">
        <f t="shared" si="182"/>
        <v>3.0096089334379003E-2</v>
      </c>
      <c r="I221" s="3">
        <f t="shared" si="182"/>
        <v>3.0096089331317171E-2</v>
      </c>
      <c r="J221" s="3">
        <f t="shared" si="182"/>
        <v>3.009608930069884E-2</v>
      </c>
      <c r="K221" s="3">
        <f t="shared" si="182"/>
        <v>3.009608899451556E-2</v>
      </c>
      <c r="L221" s="3">
        <f t="shared" si="182"/>
        <v>3.0096085932682926E-2</v>
      </c>
      <c r="M221" s="3">
        <f t="shared" si="182"/>
        <v>3.0096055314373697E-2</v>
      </c>
      <c r="N221" s="3">
        <f t="shared" si="182"/>
        <v>3.0095749132994641E-2</v>
      </c>
      <c r="O221" s="3">
        <f t="shared" si="182"/>
        <v>3.0092687490519882E-2</v>
      </c>
      <c r="P221" s="3">
        <f t="shared" si="182"/>
        <v>3.0062088190904956E-2</v>
      </c>
      <c r="Q221" s="3">
        <f t="shared" si="182"/>
        <v>2.9757801279277168E-2</v>
      </c>
      <c r="R221" s="3">
        <f t="shared" si="182"/>
        <v>2.687928960691131E-2</v>
      </c>
      <c r="S221" s="3">
        <f t="shared" si="182"/>
        <v>9.7182319326907986E-3</v>
      </c>
      <c r="T221" s="3">
        <f t="shared" si="182"/>
        <v>3.7092148520078712E-7</v>
      </c>
      <c r="U221" s="3">
        <f t="shared" si="182"/>
        <v>2.4334884800917537E-51</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3.6902665150925024E-2</v>
      </c>
      <c r="C222" s="3">
        <f t="shared" si="183"/>
        <v>3.6902665150925024E-2</v>
      </c>
      <c r="D222" s="3">
        <f t="shared" si="183"/>
        <v>3.6902665150925017E-2</v>
      </c>
      <c r="E222" s="3">
        <f t="shared" si="183"/>
        <v>3.6902665150924989E-2</v>
      </c>
      <c r="F222" s="3">
        <f t="shared" si="183"/>
        <v>3.6902665150924649E-2</v>
      </c>
      <c r="G222" s="3">
        <f t="shared" si="183"/>
        <v>3.6902665150921263E-2</v>
      </c>
      <c r="H222" s="3">
        <f t="shared" si="183"/>
        <v>3.6902665150887394E-2</v>
      </c>
      <c r="I222" s="3">
        <f t="shared" si="183"/>
        <v>3.6902665150548727E-2</v>
      </c>
      <c r="J222" s="3">
        <f t="shared" si="183"/>
        <v>3.6902665147162034E-2</v>
      </c>
      <c r="K222" s="3">
        <f t="shared" si="183"/>
        <v>3.6902665113295111E-2</v>
      </c>
      <c r="L222" s="3">
        <f t="shared" si="183"/>
        <v>3.6902664774625886E-2</v>
      </c>
      <c r="M222" s="3">
        <f t="shared" si="183"/>
        <v>3.6902661387933855E-2</v>
      </c>
      <c r="N222" s="3">
        <f t="shared" si="183"/>
        <v>3.690262752103058E-2</v>
      </c>
      <c r="O222" s="3">
        <f t="shared" si="183"/>
        <v>3.6902288853707256E-2</v>
      </c>
      <c r="P222" s="3">
        <f t="shared" si="183"/>
        <v>3.6898902351412612E-2</v>
      </c>
      <c r="Q222" s="3">
        <f t="shared" si="183"/>
        <v>3.6865054416518848E-2</v>
      </c>
      <c r="R222" s="3">
        <f t="shared" si="183"/>
        <v>3.6528278084605494E-2</v>
      </c>
      <c r="S222" s="3">
        <f t="shared" si="183"/>
        <v>3.3325172888114908E-2</v>
      </c>
      <c r="T222" s="3">
        <f t="shared" si="183"/>
        <v>1.3310811066298405E-2</v>
      </c>
      <c r="U222" s="3">
        <f t="shared" si="183"/>
        <v>1.3757058953835777E-6</v>
      </c>
      <c r="V222" s="3">
        <f t="shared" si="183"/>
        <v>1.9130943594560888E-46</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3.6161796888491096E-2</v>
      </c>
      <c r="C223" s="3">
        <f t="shared" si="184"/>
        <v>3.6161796888491096E-2</v>
      </c>
      <c r="D223" s="3">
        <f t="shared" si="184"/>
        <v>3.6161796888491096E-2</v>
      </c>
      <c r="E223" s="3">
        <f t="shared" si="184"/>
        <v>3.6161796888491089E-2</v>
      </c>
      <c r="F223" s="3">
        <f t="shared" si="184"/>
        <v>3.6161796888491061E-2</v>
      </c>
      <c r="G223" s="3">
        <f t="shared" si="184"/>
        <v>3.6161796888490763E-2</v>
      </c>
      <c r="H223" s="3">
        <f t="shared" si="184"/>
        <v>3.6161796888487766E-2</v>
      </c>
      <c r="I223" s="3">
        <f t="shared" si="184"/>
        <v>3.6161796888457831E-2</v>
      </c>
      <c r="J223" s="3">
        <f t="shared" si="184"/>
        <v>3.6161796888158459E-2</v>
      </c>
      <c r="K223" s="3">
        <f t="shared" si="184"/>
        <v>3.6161796885164715E-2</v>
      </c>
      <c r="L223" s="3">
        <f t="shared" si="184"/>
        <v>3.6161796855227281E-2</v>
      </c>
      <c r="M223" s="3">
        <f t="shared" si="184"/>
        <v>3.6161796555852929E-2</v>
      </c>
      <c r="N223" s="3">
        <f t="shared" si="184"/>
        <v>3.6161793562109551E-2</v>
      </c>
      <c r="O223" s="3">
        <f t="shared" si="184"/>
        <v>3.6161763624689418E-2</v>
      </c>
      <c r="P223" s="3">
        <f t="shared" si="184"/>
        <v>3.6161464251851176E-2</v>
      </c>
      <c r="Q223" s="3">
        <f t="shared" si="184"/>
        <v>3.6158470659778598E-2</v>
      </c>
      <c r="R223" s="3">
        <f t="shared" si="184"/>
        <v>3.6128548365858652E-2</v>
      </c>
      <c r="S223" s="3">
        <f t="shared" si="184"/>
        <v>3.5830683942396198E-2</v>
      </c>
      <c r="T223" s="3">
        <f t="shared" si="184"/>
        <v>3.2983820512318046E-2</v>
      </c>
      <c r="U223" s="3">
        <f t="shared" si="184"/>
        <v>1.4413171763457569E-2</v>
      </c>
      <c r="V223" s="3">
        <f t="shared" si="184"/>
        <v>3.6588583731651912E-6</v>
      </c>
      <c r="W223" s="3">
        <f t="shared" si="184"/>
        <v>4.0663613504212642E-42</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5.7659888823700683E-2</v>
      </c>
      <c r="C224" s="3">
        <f t="shared" si="185"/>
        <v>5.7659888823700683E-2</v>
      </c>
      <c r="D224" s="3">
        <f t="shared" si="185"/>
        <v>5.7659888823700683E-2</v>
      </c>
      <c r="E224" s="3">
        <f t="shared" si="185"/>
        <v>5.7659888823700683E-2</v>
      </c>
      <c r="F224" s="3">
        <f t="shared" si="185"/>
        <v>5.7659888823700677E-2</v>
      </c>
      <c r="G224" s="3">
        <f t="shared" si="185"/>
        <v>5.7659888823700642E-2</v>
      </c>
      <c r="H224" s="3">
        <f t="shared" si="185"/>
        <v>5.7659888823700205E-2</v>
      </c>
      <c r="I224" s="3">
        <f t="shared" si="185"/>
        <v>5.7659888823695903E-2</v>
      </c>
      <c r="J224" s="3">
        <f t="shared" si="185"/>
        <v>5.765988882365284E-2</v>
      </c>
      <c r="K224" s="3">
        <f t="shared" si="185"/>
        <v>5.7659888823222226E-2</v>
      </c>
      <c r="L224" s="3">
        <f t="shared" si="185"/>
        <v>5.7659888818916122E-2</v>
      </c>
      <c r="M224" s="3">
        <f t="shared" si="185"/>
        <v>5.7659888775855032E-2</v>
      </c>
      <c r="N224" s="3">
        <f t="shared" si="185"/>
        <v>5.7659888345244173E-2</v>
      </c>
      <c r="O224" s="3">
        <f t="shared" si="185"/>
        <v>5.7659884039135745E-2</v>
      </c>
      <c r="P224" s="3">
        <f t="shared" si="185"/>
        <v>5.765984097806915E-2</v>
      </c>
      <c r="Q224" s="3">
        <f t="shared" si="185"/>
        <v>5.765941036917193E-2</v>
      </c>
      <c r="R224" s="3">
        <f t="shared" si="185"/>
        <v>5.7655104457066238E-2</v>
      </c>
      <c r="S224" s="3">
        <f t="shared" si="185"/>
        <v>5.7612063017770422E-2</v>
      </c>
      <c r="T224" s="3">
        <f t="shared" si="185"/>
        <v>5.7183411924842893E-2</v>
      </c>
      <c r="U224" s="3">
        <f t="shared" si="185"/>
        <v>5.3068454445693129E-2</v>
      </c>
      <c r="V224" s="3">
        <f t="shared" si="185"/>
        <v>2.5147811078968543E-2</v>
      </c>
      <c r="W224" s="3">
        <f t="shared" si="185"/>
        <v>1.4359446001205364E-5</v>
      </c>
      <c r="X224" s="3">
        <f t="shared" si="185"/>
        <v>5.2906939780423362E-38</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7.0138718801303929E-2</v>
      </c>
      <c r="C225" s="3">
        <f t="shared" si="186"/>
        <v>7.0138718801303929E-2</v>
      </c>
      <c r="D225" s="3">
        <f t="shared" si="186"/>
        <v>7.0138718801303929E-2</v>
      </c>
      <c r="E225" s="3">
        <f t="shared" si="186"/>
        <v>7.0138718801303929E-2</v>
      </c>
      <c r="F225" s="3">
        <f t="shared" si="186"/>
        <v>7.0138718801303929E-2</v>
      </c>
      <c r="G225" s="3">
        <f t="shared" si="186"/>
        <v>7.0138718801303915E-2</v>
      </c>
      <c r="H225" s="3">
        <f t="shared" si="186"/>
        <v>7.0138718801303873E-2</v>
      </c>
      <c r="I225" s="3">
        <f t="shared" si="186"/>
        <v>7.0138718801303401E-2</v>
      </c>
      <c r="J225" s="3">
        <f t="shared" si="186"/>
        <v>7.0138718801298683E-2</v>
      </c>
      <c r="K225" s="3">
        <f t="shared" si="186"/>
        <v>7.0138718801251429E-2</v>
      </c>
      <c r="L225" s="3">
        <f t="shared" si="186"/>
        <v>7.0138718800778904E-2</v>
      </c>
      <c r="M225" s="3">
        <f t="shared" si="186"/>
        <v>7.0138718796053767E-2</v>
      </c>
      <c r="N225" s="3">
        <f t="shared" si="186"/>
        <v>7.0138718748802259E-2</v>
      </c>
      <c r="O225" s="3">
        <f t="shared" si="186"/>
        <v>7.013871827628726E-2</v>
      </c>
      <c r="P225" s="3">
        <f t="shared" si="186"/>
        <v>7.013871355113746E-2</v>
      </c>
      <c r="Q225" s="3">
        <f t="shared" si="186"/>
        <v>7.0138666299656913E-2</v>
      </c>
      <c r="R225" s="3">
        <f t="shared" si="186"/>
        <v>7.0138193786602215E-2</v>
      </c>
      <c r="S225" s="3">
        <f t="shared" si="186"/>
        <v>7.0133468831130183E-2</v>
      </c>
      <c r="T225" s="3">
        <f t="shared" si="186"/>
        <v>7.0086236779542635E-2</v>
      </c>
      <c r="U225" s="3">
        <f t="shared" si="186"/>
        <v>6.961566222188402E-2</v>
      </c>
      <c r="V225" s="3">
        <f t="shared" si="186"/>
        <v>6.5080237736150084E-2</v>
      </c>
      <c r="W225" s="3">
        <f t="shared" si="186"/>
        <v>3.3179577434095907E-2</v>
      </c>
      <c r="X225" s="3">
        <f t="shared" si="186"/>
        <v>3.9362987295269296E-5</v>
      </c>
      <c r="Y225" s="3">
        <f t="shared" si="186"/>
        <v>2.174002522875842E-34</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6.7659228447697881E-2</v>
      </c>
      <c r="C226" s="3">
        <f t="shared" si="187"/>
        <v>6.7659228447697881E-2</v>
      </c>
      <c r="D226" s="3">
        <f t="shared" si="187"/>
        <v>6.7659228447697881E-2</v>
      </c>
      <c r="E226" s="3">
        <f t="shared" si="187"/>
        <v>6.7659228447697881E-2</v>
      </c>
      <c r="F226" s="3">
        <f t="shared" si="187"/>
        <v>6.7659228447697881E-2</v>
      </c>
      <c r="G226" s="3">
        <f t="shared" si="187"/>
        <v>6.7659228447697881E-2</v>
      </c>
      <c r="H226" s="3">
        <f t="shared" si="187"/>
        <v>6.7659228447697867E-2</v>
      </c>
      <c r="I226" s="3">
        <f t="shared" si="187"/>
        <v>6.7659228447697839E-2</v>
      </c>
      <c r="J226" s="3">
        <f t="shared" si="187"/>
        <v>6.7659228447697423E-2</v>
      </c>
      <c r="K226" s="3">
        <f t="shared" si="187"/>
        <v>6.7659228447693315E-2</v>
      </c>
      <c r="L226" s="3">
        <f t="shared" si="187"/>
        <v>6.7659228447652195E-2</v>
      </c>
      <c r="M226" s="3">
        <f t="shared" si="187"/>
        <v>6.765922844724101E-2</v>
      </c>
      <c r="N226" s="3">
        <f t="shared" si="187"/>
        <v>6.7659228443129216E-2</v>
      </c>
      <c r="O226" s="3">
        <f t="shared" si="187"/>
        <v>6.7659228402011273E-2</v>
      </c>
      <c r="P226" s="3">
        <f t="shared" si="187"/>
        <v>6.7659227990831822E-2</v>
      </c>
      <c r="Q226" s="3">
        <f t="shared" si="187"/>
        <v>6.7659223879037458E-2</v>
      </c>
      <c r="R226" s="3">
        <f t="shared" si="187"/>
        <v>6.765918276110755E-2</v>
      </c>
      <c r="S226" s="3">
        <f t="shared" si="187"/>
        <v>6.76587715831828E-2</v>
      </c>
      <c r="T226" s="3">
        <f t="shared" si="187"/>
        <v>6.765465994136724E-2</v>
      </c>
      <c r="U226" s="3">
        <f t="shared" si="187"/>
        <v>6.7613557263313598E-2</v>
      </c>
      <c r="V226" s="3">
        <f t="shared" si="187"/>
        <v>6.7203901408432756E-2</v>
      </c>
      <c r="W226" s="3">
        <f t="shared" si="187"/>
        <v>6.3241402274580236E-2</v>
      </c>
      <c r="X226" s="3">
        <f t="shared" si="187"/>
        <v>3.4440666100963954E-2</v>
      </c>
      <c r="Y226" s="3">
        <f t="shared" si="187"/>
        <v>7.9026373821475035E-5</v>
      </c>
      <c r="Z226" s="3">
        <f t="shared" si="187"/>
        <v>3.197254269625052E-31</v>
      </c>
      <c r="AA226" s="3">
        <f t="shared" si="187"/>
        <v>3.7568892357885908E-295</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6.6765944370475505E-2</v>
      </c>
      <c r="C227" s="3">
        <f t="shared" si="188"/>
        <v>6.6765944370475505E-2</v>
      </c>
      <c r="D227" s="3">
        <f t="shared" si="188"/>
        <v>6.6765944370475505E-2</v>
      </c>
      <c r="E227" s="3">
        <f t="shared" si="188"/>
        <v>6.6765944370475505E-2</v>
      </c>
      <c r="F227" s="3">
        <f t="shared" si="188"/>
        <v>6.6765944370475505E-2</v>
      </c>
      <c r="G227" s="3">
        <f t="shared" si="188"/>
        <v>6.6765944370475505E-2</v>
      </c>
      <c r="H227" s="3">
        <f t="shared" si="188"/>
        <v>6.6765944370475505E-2</v>
      </c>
      <c r="I227" s="3">
        <f t="shared" si="188"/>
        <v>6.6765944370475491E-2</v>
      </c>
      <c r="J227" s="3">
        <f t="shared" si="188"/>
        <v>6.6765944370475463E-2</v>
      </c>
      <c r="K227" s="3">
        <f t="shared" si="188"/>
        <v>6.6765944370475103E-2</v>
      </c>
      <c r="L227" s="3">
        <f t="shared" si="188"/>
        <v>6.6765944370471439E-2</v>
      </c>
      <c r="M227" s="3">
        <f t="shared" si="188"/>
        <v>6.6765944370434829E-2</v>
      </c>
      <c r="N227" s="3">
        <f t="shared" si="188"/>
        <v>6.6765944370068817E-2</v>
      </c>
      <c r="O227" s="3">
        <f t="shared" si="188"/>
        <v>6.6765944366408606E-2</v>
      </c>
      <c r="P227" s="3">
        <f t="shared" si="188"/>
        <v>6.6765944329806509E-2</v>
      </c>
      <c r="Q227" s="3">
        <f t="shared" si="188"/>
        <v>6.676594396378556E-2</v>
      </c>
      <c r="R227" s="3">
        <f t="shared" si="188"/>
        <v>6.6765940303576132E-2</v>
      </c>
      <c r="S227" s="3">
        <f t="shared" si="188"/>
        <v>6.6765903701492935E-2</v>
      </c>
      <c r="T227" s="3">
        <f t="shared" si="188"/>
        <v>6.6765537681764547E-2</v>
      </c>
      <c r="U227" s="3">
        <f t="shared" si="188"/>
        <v>6.6761877594840285E-2</v>
      </c>
      <c r="V227" s="3">
        <f t="shared" si="188"/>
        <v>6.6725287759311441E-2</v>
      </c>
      <c r="W227" s="3">
        <f t="shared" si="188"/>
        <v>6.6360490540610328E-2</v>
      </c>
      <c r="X227" s="3">
        <f t="shared" si="188"/>
        <v>6.2820430846231359E-2</v>
      </c>
      <c r="Y227" s="3">
        <f t="shared" si="188"/>
        <v>3.6308987623153821E-2</v>
      </c>
      <c r="Z227" s="3">
        <f t="shared" si="188"/>
        <v>1.5105894016996827E-4</v>
      </c>
      <c r="AA227" s="3">
        <f t="shared" si="188"/>
        <v>2.346763729217473E-28</v>
      </c>
      <c r="AB227" s="3">
        <f t="shared" si="188"/>
        <v>1.9217580394620356E-266</v>
      </c>
      <c r="AC227" s="3">
        <f t="shared" si="188"/>
        <v>0</v>
      </c>
      <c r="AD227" s="3">
        <f t="shared" si="188"/>
        <v>0</v>
      </c>
      <c r="AE227" s="3">
        <f t="shared" si="188"/>
        <v>0</v>
      </c>
      <c r="AF227" s="3">
        <f t="shared" si="188"/>
        <v>0</v>
      </c>
      <c r="AG227" s="3"/>
      <c r="AH227" s="3"/>
    </row>
    <row r="228" spans="2:34" x14ac:dyDescent="0.25">
      <c r="B228" s="3">
        <f t="shared" ref="B228:AF228" si="189">$C36*EXP(-B$207/$A36/EXP(-$D$126))</f>
        <v>4.8603939630861931E-2</v>
      </c>
      <c r="C228" s="3">
        <f t="shared" si="189"/>
        <v>4.8603939630861931E-2</v>
      </c>
      <c r="D228" s="3">
        <f t="shared" si="189"/>
        <v>4.8603939630861931E-2</v>
      </c>
      <c r="E228" s="3">
        <f t="shared" si="189"/>
        <v>4.8603939630861931E-2</v>
      </c>
      <c r="F228" s="3">
        <f t="shared" si="189"/>
        <v>4.8603939630861931E-2</v>
      </c>
      <c r="G228" s="3">
        <f t="shared" si="189"/>
        <v>4.8603939630861931E-2</v>
      </c>
      <c r="H228" s="3">
        <f t="shared" si="189"/>
        <v>4.8603939630861931E-2</v>
      </c>
      <c r="I228" s="3">
        <f t="shared" si="189"/>
        <v>4.8603939630861931E-2</v>
      </c>
      <c r="J228" s="3">
        <f t="shared" si="189"/>
        <v>4.8603939630861931E-2</v>
      </c>
      <c r="K228" s="3">
        <f t="shared" si="189"/>
        <v>4.8603939630861903E-2</v>
      </c>
      <c r="L228" s="3">
        <f t="shared" si="189"/>
        <v>4.8603939630861667E-2</v>
      </c>
      <c r="M228" s="3">
        <f t="shared" si="189"/>
        <v>4.8603939630859259E-2</v>
      </c>
      <c r="N228" s="3">
        <f t="shared" si="189"/>
        <v>4.8603939630835223E-2</v>
      </c>
      <c r="O228" s="3">
        <f t="shared" si="189"/>
        <v>4.860393963059486E-2</v>
      </c>
      <c r="P228" s="3">
        <f t="shared" si="189"/>
        <v>4.860393962819122E-2</v>
      </c>
      <c r="Q228" s="3">
        <f t="shared" si="189"/>
        <v>4.8603939604154843E-2</v>
      </c>
      <c r="R228" s="3">
        <f t="shared" si="189"/>
        <v>4.8603939363791065E-2</v>
      </c>
      <c r="S228" s="3">
        <f t="shared" si="189"/>
        <v>4.8603936960153388E-2</v>
      </c>
      <c r="T228" s="3">
        <f t="shared" si="189"/>
        <v>4.8603912923783119E-2</v>
      </c>
      <c r="U228" s="3">
        <f t="shared" si="189"/>
        <v>4.8603672560734161E-2</v>
      </c>
      <c r="V228" s="3">
        <f t="shared" si="189"/>
        <v>4.8601268995620943E-2</v>
      </c>
      <c r="W228" s="3">
        <f t="shared" si="189"/>
        <v>4.8577239880923911E-2</v>
      </c>
      <c r="X228" s="3">
        <f t="shared" si="189"/>
        <v>4.833760118302545E-2</v>
      </c>
      <c r="Y228" s="3">
        <f t="shared" si="189"/>
        <v>4.6005280899661764E-2</v>
      </c>
      <c r="Z228" s="3">
        <f t="shared" si="189"/>
        <v>2.8056507761119027E-2</v>
      </c>
      <c r="AA228" s="3">
        <f t="shared" si="189"/>
        <v>1.9966083003801374E-4</v>
      </c>
      <c r="AB228" s="3">
        <f t="shared" si="189"/>
        <v>6.6509773297689944E-26</v>
      </c>
      <c r="AC228" s="3">
        <f t="shared" si="189"/>
        <v>1.118951905614153E-240</v>
      </c>
      <c r="AD228" s="3">
        <f t="shared" si="189"/>
        <v>0</v>
      </c>
      <c r="AE228" s="3">
        <f t="shared" si="189"/>
        <v>0</v>
      </c>
      <c r="AF228" s="3">
        <f t="shared" si="189"/>
        <v>0</v>
      </c>
      <c r="AG228" s="3"/>
      <c r="AH228" s="3"/>
    </row>
    <row r="229" spans="2:34" x14ac:dyDescent="0.25">
      <c r="B229" s="3">
        <f t="shared" ref="B229:AF229" si="190">$C37*EXP(-B$207/$A37/EXP(-$D$126))</f>
        <v>3.7549192378247005E-2</v>
      </c>
      <c r="C229" s="3">
        <f t="shared" si="190"/>
        <v>3.7549192378247005E-2</v>
      </c>
      <c r="D229" s="3">
        <f t="shared" si="190"/>
        <v>3.7549192378247005E-2</v>
      </c>
      <c r="E229" s="3">
        <f t="shared" si="190"/>
        <v>3.7549192378247005E-2</v>
      </c>
      <c r="F229" s="3">
        <f t="shared" si="190"/>
        <v>3.7549192378247005E-2</v>
      </c>
      <c r="G229" s="3">
        <f t="shared" si="190"/>
        <v>3.7549192378247005E-2</v>
      </c>
      <c r="H229" s="3">
        <f t="shared" si="190"/>
        <v>3.7549192378247005E-2</v>
      </c>
      <c r="I229" s="3">
        <f t="shared" si="190"/>
        <v>3.7549192378247005E-2</v>
      </c>
      <c r="J229" s="3">
        <f t="shared" si="190"/>
        <v>3.7549192378247005E-2</v>
      </c>
      <c r="K229" s="3">
        <f t="shared" si="190"/>
        <v>3.7549192378247005E-2</v>
      </c>
      <c r="L229" s="3">
        <f t="shared" si="190"/>
        <v>3.7549192378246991E-2</v>
      </c>
      <c r="M229" s="3">
        <f t="shared" si="190"/>
        <v>3.7549192378246818E-2</v>
      </c>
      <c r="N229" s="3">
        <f t="shared" si="190"/>
        <v>3.7549192378245146E-2</v>
      </c>
      <c r="O229" s="3">
        <f t="shared" si="190"/>
        <v>3.7549192378228388E-2</v>
      </c>
      <c r="P229" s="3">
        <f t="shared" si="190"/>
        <v>3.7549192378060883E-2</v>
      </c>
      <c r="Q229" s="3">
        <f t="shared" si="190"/>
        <v>3.7549192376385765E-2</v>
      </c>
      <c r="R229" s="3">
        <f t="shared" si="190"/>
        <v>3.7549192359634609E-2</v>
      </c>
      <c r="S229" s="3">
        <f t="shared" si="190"/>
        <v>3.754919219212307E-2</v>
      </c>
      <c r="T229" s="3">
        <f t="shared" si="190"/>
        <v>3.7549190517007704E-2</v>
      </c>
      <c r="U229" s="3">
        <f t="shared" si="190"/>
        <v>3.7549173765858104E-2</v>
      </c>
      <c r="V229" s="3">
        <f t="shared" si="190"/>
        <v>3.7549006254773178E-2</v>
      </c>
      <c r="W229" s="3">
        <f t="shared" si="190"/>
        <v>3.7547331185024062E-2</v>
      </c>
      <c r="X229" s="3">
        <f t="shared" si="190"/>
        <v>3.7530584596871364E-2</v>
      </c>
      <c r="Y229" s="3">
        <f t="shared" si="190"/>
        <v>3.7363528971704779E-2</v>
      </c>
      <c r="Z229" s="3">
        <f t="shared" si="190"/>
        <v>3.5733329185368964E-2</v>
      </c>
      <c r="AA229" s="3">
        <f t="shared" si="190"/>
        <v>2.2873330118006421E-2</v>
      </c>
      <c r="AB229" s="3">
        <f t="shared" si="190"/>
        <v>2.6417308946249127E-4</v>
      </c>
      <c r="AC229" s="3">
        <f t="shared" si="190"/>
        <v>1.1155276720941019E-23</v>
      </c>
      <c r="AD229" s="3">
        <f t="shared" si="190"/>
        <v>2.0109351970609854E-217</v>
      </c>
      <c r="AE229" s="3">
        <f t="shared" si="190"/>
        <v>0</v>
      </c>
      <c r="AF229" s="3">
        <f t="shared" si="190"/>
        <v>0</v>
      </c>
      <c r="AG229" s="3"/>
      <c r="AH229" s="3"/>
    </row>
    <row r="230" spans="2:34" x14ac:dyDescent="0.25">
      <c r="B230" s="3">
        <f t="shared" ref="B230:AF230" si="191">$C38*EXP(-B$207/$A38/EXP(-$D$126))</f>
        <v>7.8409043454057813E-3</v>
      </c>
      <c r="C230" s="3">
        <f t="shared" si="191"/>
        <v>7.8409043454057813E-3</v>
      </c>
      <c r="D230" s="3">
        <f t="shared" si="191"/>
        <v>7.8409043454057813E-3</v>
      </c>
      <c r="E230" s="3">
        <f t="shared" si="191"/>
        <v>7.8409043454057813E-3</v>
      </c>
      <c r="F230" s="3">
        <f t="shared" si="191"/>
        <v>7.8409043454057813E-3</v>
      </c>
      <c r="G230" s="3">
        <f t="shared" si="191"/>
        <v>7.8409043454057813E-3</v>
      </c>
      <c r="H230" s="3">
        <f t="shared" si="191"/>
        <v>7.8409043454057813E-3</v>
      </c>
      <c r="I230" s="3">
        <f t="shared" si="191"/>
        <v>7.8409043454057813E-3</v>
      </c>
      <c r="J230" s="3">
        <f t="shared" si="191"/>
        <v>7.8409043454057813E-3</v>
      </c>
      <c r="K230" s="3">
        <f t="shared" si="191"/>
        <v>7.8409043454057813E-3</v>
      </c>
      <c r="L230" s="3">
        <f t="shared" si="191"/>
        <v>7.8409043454057813E-3</v>
      </c>
      <c r="M230" s="3">
        <f t="shared" si="191"/>
        <v>7.8409043454057779E-3</v>
      </c>
      <c r="N230" s="3">
        <f t="shared" si="191"/>
        <v>7.8409043454057466E-3</v>
      </c>
      <c r="O230" s="3">
        <f t="shared" si="191"/>
        <v>7.8409043454054309E-3</v>
      </c>
      <c r="P230" s="3">
        <f t="shared" si="191"/>
        <v>7.8409043454022755E-3</v>
      </c>
      <c r="Q230" s="3">
        <f t="shared" si="191"/>
        <v>7.8409043453707208E-3</v>
      </c>
      <c r="R230" s="3">
        <f t="shared" si="191"/>
        <v>7.8409043450551798E-3</v>
      </c>
      <c r="S230" s="3">
        <f t="shared" si="191"/>
        <v>7.8409043418997612E-3</v>
      </c>
      <c r="T230" s="3">
        <f t="shared" si="191"/>
        <v>7.8409043103455835E-3</v>
      </c>
      <c r="U230" s="3">
        <f t="shared" si="191"/>
        <v>7.8409039948038016E-3</v>
      </c>
      <c r="V230" s="3">
        <f t="shared" si="191"/>
        <v>7.8409008393867021E-3</v>
      </c>
      <c r="W230" s="3">
        <f t="shared" si="191"/>
        <v>7.8408692852855368E-3</v>
      </c>
      <c r="X230" s="3">
        <f t="shared" si="191"/>
        <v>7.8405537512578703E-3</v>
      </c>
      <c r="Y230" s="3">
        <f t="shared" si="191"/>
        <v>7.8373991092754117E-3</v>
      </c>
      <c r="Z230" s="3">
        <f t="shared" si="191"/>
        <v>7.8059224150093089E-3</v>
      </c>
      <c r="AA230" s="3">
        <f t="shared" si="191"/>
        <v>7.4980253154729101E-3</v>
      </c>
      <c r="AB230" s="3">
        <f t="shared" si="191"/>
        <v>5.0138763828966731E-3</v>
      </c>
      <c r="AC230" s="3">
        <f t="shared" si="191"/>
        <v>8.9627404625890249E-5</v>
      </c>
      <c r="AD230" s="3">
        <f t="shared" si="191"/>
        <v>2.9861581460580796E-22</v>
      </c>
      <c r="AE230" s="3">
        <f t="shared" si="191"/>
        <v>5.0330661614058232E-197</v>
      </c>
      <c r="AF230" s="3">
        <f t="shared" si="191"/>
        <v>0</v>
      </c>
      <c r="AG230" s="3"/>
      <c r="AH230" s="3"/>
    </row>
    <row r="231" spans="2:34" x14ac:dyDescent="0.25">
      <c r="B231" s="3">
        <f t="shared" ref="B231:AF231" si="192">$C39*EXP(-B$207/$A39/EXP(-$D$126))</f>
        <v>1.487119099211914E-2</v>
      </c>
      <c r="C231" s="3">
        <f t="shared" si="192"/>
        <v>1.487119099211914E-2</v>
      </c>
      <c r="D231" s="3">
        <f t="shared" si="192"/>
        <v>1.487119099211914E-2</v>
      </c>
      <c r="E231" s="3">
        <f t="shared" si="192"/>
        <v>1.487119099211914E-2</v>
      </c>
      <c r="F231" s="3">
        <f t="shared" si="192"/>
        <v>1.487119099211914E-2</v>
      </c>
      <c r="G231" s="3">
        <f t="shared" si="192"/>
        <v>1.487119099211914E-2</v>
      </c>
      <c r="H231" s="3">
        <f t="shared" si="192"/>
        <v>1.487119099211914E-2</v>
      </c>
      <c r="I231" s="3">
        <f t="shared" si="192"/>
        <v>1.487119099211914E-2</v>
      </c>
      <c r="J231" s="3">
        <f t="shared" si="192"/>
        <v>1.487119099211914E-2</v>
      </c>
      <c r="K231" s="3">
        <f t="shared" si="192"/>
        <v>1.487119099211914E-2</v>
      </c>
      <c r="L231" s="3">
        <f t="shared" si="192"/>
        <v>1.487119099211914E-2</v>
      </c>
      <c r="M231" s="3">
        <f t="shared" si="192"/>
        <v>1.4871190992119138E-2</v>
      </c>
      <c r="N231" s="3">
        <f t="shared" si="192"/>
        <v>1.4871190992119122E-2</v>
      </c>
      <c r="O231" s="3">
        <f t="shared" si="192"/>
        <v>1.4871190992118956E-2</v>
      </c>
      <c r="P231" s="3">
        <f t="shared" si="192"/>
        <v>1.4871190992117301E-2</v>
      </c>
      <c r="Q231" s="3">
        <f t="shared" si="192"/>
        <v>1.4871190992100748E-2</v>
      </c>
      <c r="R231" s="3">
        <f t="shared" si="192"/>
        <v>1.487119099193523E-2</v>
      </c>
      <c r="S231" s="3">
        <f t="shared" si="192"/>
        <v>1.4871190990280033E-2</v>
      </c>
      <c r="T231" s="3">
        <f t="shared" si="192"/>
        <v>1.4871190973728077E-2</v>
      </c>
      <c r="U231" s="3">
        <f t="shared" si="192"/>
        <v>1.4871190808208512E-2</v>
      </c>
      <c r="V231" s="3">
        <f t="shared" si="192"/>
        <v>1.4871189153012963E-2</v>
      </c>
      <c r="W231" s="3">
        <f t="shared" si="192"/>
        <v>1.4871172601067618E-2</v>
      </c>
      <c r="X231" s="3">
        <f t="shared" si="192"/>
        <v>1.4871007082627409E-2</v>
      </c>
      <c r="Y231" s="3">
        <f t="shared" si="192"/>
        <v>1.4869351999545428E-2</v>
      </c>
      <c r="Z231" s="3">
        <f t="shared" si="192"/>
        <v>1.4852811296567472E-2</v>
      </c>
      <c r="AA231" s="3">
        <f t="shared" si="192"/>
        <v>1.468841289253205E-2</v>
      </c>
      <c r="AB231" s="3">
        <f t="shared" si="192"/>
        <v>1.3141258511800433E-2</v>
      </c>
      <c r="AC231" s="3">
        <f t="shared" si="192"/>
        <v>4.3177533032549981E-3</v>
      </c>
      <c r="AD231" s="3">
        <f t="shared" si="192"/>
        <v>6.3309150909445183E-8</v>
      </c>
      <c r="AE231" s="3">
        <f t="shared" si="192"/>
        <v>2.9077236360393827E-56</v>
      </c>
      <c r="AF231" s="3">
        <f t="shared" si="192"/>
        <v>0</v>
      </c>
      <c r="AG231" s="3"/>
      <c r="AH231" s="3"/>
    </row>
    <row r="232" spans="2:34" x14ac:dyDescent="0.25">
      <c r="B232" s="3">
        <f t="shared" ref="B232:AF232" si="193">$C40*EXP(-B$207/$A40/EXP(-$D$126))</f>
        <v>3.2949113910046581E-3</v>
      </c>
      <c r="C232" s="3">
        <f t="shared" si="193"/>
        <v>3.2949113910046581E-3</v>
      </c>
      <c r="D232" s="3">
        <f t="shared" si="193"/>
        <v>3.2949113910046581E-3</v>
      </c>
      <c r="E232" s="3">
        <f t="shared" si="193"/>
        <v>3.2949113910046581E-3</v>
      </c>
      <c r="F232" s="3">
        <f t="shared" si="193"/>
        <v>3.2949113910046581E-3</v>
      </c>
      <c r="G232" s="3">
        <f t="shared" si="193"/>
        <v>3.2949113910046581E-3</v>
      </c>
      <c r="H232" s="3">
        <f t="shared" si="193"/>
        <v>3.2949113910046581E-3</v>
      </c>
      <c r="I232" s="3">
        <f t="shared" si="193"/>
        <v>3.2949113910046581E-3</v>
      </c>
      <c r="J232" s="3">
        <f t="shared" si="193"/>
        <v>3.2949113910046581E-3</v>
      </c>
      <c r="K232" s="3">
        <f t="shared" si="193"/>
        <v>3.2949113910046581E-3</v>
      </c>
      <c r="L232" s="3">
        <f t="shared" si="193"/>
        <v>3.2949113910046581E-3</v>
      </c>
      <c r="M232" s="3">
        <f t="shared" si="193"/>
        <v>3.2949113910046581E-3</v>
      </c>
      <c r="N232" s="3">
        <f t="shared" si="193"/>
        <v>3.2949113910046577E-3</v>
      </c>
      <c r="O232" s="3">
        <f t="shared" si="193"/>
        <v>3.2949113910046542E-3</v>
      </c>
      <c r="P232" s="3">
        <f t="shared" si="193"/>
        <v>3.2949113910046173E-3</v>
      </c>
      <c r="Q232" s="3">
        <f t="shared" si="193"/>
        <v>3.2949113910042504E-3</v>
      </c>
      <c r="R232" s="3">
        <f t="shared" si="193"/>
        <v>3.2949113910005832E-3</v>
      </c>
      <c r="S232" s="3">
        <f t="shared" si="193"/>
        <v>3.2949113909639103E-3</v>
      </c>
      <c r="T232" s="3">
        <f t="shared" si="193"/>
        <v>3.2949113905971794E-3</v>
      </c>
      <c r="U232" s="3">
        <f t="shared" si="193"/>
        <v>3.294911386929872E-3</v>
      </c>
      <c r="V232" s="3">
        <f t="shared" si="193"/>
        <v>3.2949113502567969E-3</v>
      </c>
      <c r="W232" s="3">
        <f t="shared" si="193"/>
        <v>3.2949109835260712E-3</v>
      </c>
      <c r="X232" s="3">
        <f t="shared" si="193"/>
        <v>3.294907316221059E-3</v>
      </c>
      <c r="Y232" s="3">
        <f t="shared" si="193"/>
        <v>3.2948706433954355E-3</v>
      </c>
      <c r="Z232" s="3">
        <f t="shared" si="193"/>
        <v>3.2945039375880283E-3</v>
      </c>
      <c r="AA232" s="3">
        <f t="shared" si="193"/>
        <v>3.2908391234728594E-3</v>
      </c>
      <c r="AB232" s="3">
        <f t="shared" si="193"/>
        <v>3.2544144568535977E-3</v>
      </c>
      <c r="AC232" s="3">
        <f t="shared" si="193"/>
        <v>2.9116216976578578E-3</v>
      </c>
      <c r="AD232" s="3">
        <f t="shared" si="193"/>
        <v>9.5665603044047757E-4</v>
      </c>
      <c r="AE232" s="3">
        <f t="shared" si="193"/>
        <v>1.4026989673988358E-8</v>
      </c>
      <c r="AF232" s="3">
        <f t="shared" si="193"/>
        <v>6.4424508671543861E-57</v>
      </c>
      <c r="AG232" s="3"/>
      <c r="AH232" s="3"/>
    </row>
    <row r="233" spans="2:34" x14ac:dyDescent="0.25">
      <c r="B233" s="3">
        <f t="shared" ref="B233:AF233" si="194">$C41*EXP(-B$207/$A41/EXP(-$D$126))</f>
        <v>4.0317394660720415E-3</v>
      </c>
      <c r="C233" s="3">
        <f t="shared" si="194"/>
        <v>4.0317394660720415E-3</v>
      </c>
      <c r="D233" s="3">
        <f t="shared" si="194"/>
        <v>4.0317394660720415E-3</v>
      </c>
      <c r="E233" s="3">
        <f t="shared" si="194"/>
        <v>4.0317394660720415E-3</v>
      </c>
      <c r="F233" s="3">
        <f t="shared" si="194"/>
        <v>4.0317394660720415E-3</v>
      </c>
      <c r="G233" s="3">
        <f t="shared" si="194"/>
        <v>4.0317394660720415E-3</v>
      </c>
      <c r="H233" s="3">
        <f t="shared" si="194"/>
        <v>4.0317394660720415E-3</v>
      </c>
      <c r="I233" s="3">
        <f t="shared" si="194"/>
        <v>4.0317394660720415E-3</v>
      </c>
      <c r="J233" s="3">
        <f t="shared" si="194"/>
        <v>4.0317394660720415E-3</v>
      </c>
      <c r="K233" s="3">
        <f t="shared" si="194"/>
        <v>4.0317394660720415E-3</v>
      </c>
      <c r="L233" s="3">
        <f t="shared" si="194"/>
        <v>4.0317394660720415E-3</v>
      </c>
      <c r="M233" s="3">
        <f t="shared" si="194"/>
        <v>4.0317394660720415E-3</v>
      </c>
      <c r="N233" s="3">
        <f t="shared" si="194"/>
        <v>4.0317394660720415E-3</v>
      </c>
      <c r="O233" s="3">
        <f t="shared" si="194"/>
        <v>4.0317394660720407E-3</v>
      </c>
      <c r="P233" s="3">
        <f t="shared" si="194"/>
        <v>4.0317394660720363E-3</v>
      </c>
      <c r="Q233" s="3">
        <f t="shared" si="194"/>
        <v>4.0317394660719921E-3</v>
      </c>
      <c r="R233" s="3">
        <f t="shared" si="194"/>
        <v>4.0317394660715428E-3</v>
      </c>
      <c r="S233" s="3">
        <f t="shared" si="194"/>
        <v>4.0317394660670559E-3</v>
      </c>
      <c r="T233" s="3">
        <f t="shared" si="194"/>
        <v>4.0317394660221812E-3</v>
      </c>
      <c r="U233" s="3">
        <f t="shared" si="194"/>
        <v>4.0317394655734404E-3</v>
      </c>
      <c r="V233" s="3">
        <f t="shared" si="194"/>
        <v>4.0317394610860273E-3</v>
      </c>
      <c r="W233" s="3">
        <f t="shared" si="194"/>
        <v>4.0317394162118969E-3</v>
      </c>
      <c r="X233" s="3">
        <f t="shared" si="194"/>
        <v>4.031738967470621E-3</v>
      </c>
      <c r="Y233" s="3">
        <f t="shared" si="194"/>
        <v>4.0317344800606131E-3</v>
      </c>
      <c r="Z233" s="3">
        <f t="shared" si="194"/>
        <v>4.0316896062352336E-3</v>
      </c>
      <c r="AA233" s="3">
        <f t="shared" si="194"/>
        <v>4.0312408954504162E-3</v>
      </c>
      <c r="AB233" s="3">
        <f t="shared" si="194"/>
        <v>4.0267565333688493E-3</v>
      </c>
      <c r="AC233" s="3">
        <f t="shared" si="194"/>
        <v>3.9821863618163403E-3</v>
      </c>
      <c r="AD233" s="3">
        <f t="shared" si="194"/>
        <v>3.562736206128909E-3</v>
      </c>
      <c r="AE233" s="3">
        <f t="shared" si="194"/>
        <v>1.1705892558787894E-3</v>
      </c>
      <c r="AF233" s="3">
        <f t="shared" si="194"/>
        <v>1.7163790204858928E-8</v>
      </c>
      <c r="AG233" s="3"/>
      <c r="AH233" s="3"/>
    </row>
    <row r="234" spans="2:34" x14ac:dyDescent="0.25">
      <c r="B234" s="3">
        <f t="shared" ref="B234:AF234" si="195">$C42*EXP(-B$207/$A42/EXP(-$D$126))</f>
        <v>2.1502645285220883E-3</v>
      </c>
      <c r="C234" s="3">
        <f t="shared" si="195"/>
        <v>2.1502645285220883E-3</v>
      </c>
      <c r="D234" s="3">
        <f t="shared" si="195"/>
        <v>2.1502645285220883E-3</v>
      </c>
      <c r="E234" s="3">
        <f t="shared" si="195"/>
        <v>2.1502645285220883E-3</v>
      </c>
      <c r="F234" s="3">
        <f t="shared" si="195"/>
        <v>2.1502645285220883E-3</v>
      </c>
      <c r="G234" s="3">
        <f t="shared" si="195"/>
        <v>2.1502645285220883E-3</v>
      </c>
      <c r="H234" s="3">
        <f t="shared" si="195"/>
        <v>2.1502645285220883E-3</v>
      </c>
      <c r="I234" s="3">
        <f t="shared" si="195"/>
        <v>2.1502645285220883E-3</v>
      </c>
      <c r="J234" s="3">
        <f t="shared" si="195"/>
        <v>2.1502645285220883E-3</v>
      </c>
      <c r="K234" s="3">
        <f t="shared" si="195"/>
        <v>2.1502645285220883E-3</v>
      </c>
      <c r="L234" s="3">
        <f t="shared" si="195"/>
        <v>2.1502645285220883E-3</v>
      </c>
      <c r="M234" s="3">
        <f t="shared" si="195"/>
        <v>2.1502645285220883E-3</v>
      </c>
      <c r="N234" s="3">
        <f t="shared" si="195"/>
        <v>2.1502645285220883E-3</v>
      </c>
      <c r="O234" s="3">
        <f t="shared" si="195"/>
        <v>2.1502645285220883E-3</v>
      </c>
      <c r="P234" s="3">
        <f t="shared" si="195"/>
        <v>2.1502645285220879E-3</v>
      </c>
      <c r="Q234" s="3">
        <f t="shared" si="195"/>
        <v>2.1502645285220857E-3</v>
      </c>
      <c r="R234" s="3">
        <f t="shared" si="195"/>
        <v>2.1502645285220619E-3</v>
      </c>
      <c r="S234" s="3">
        <f t="shared" si="195"/>
        <v>2.1502645285218225E-3</v>
      </c>
      <c r="T234" s="3">
        <f t="shared" si="195"/>
        <v>2.150264528519429E-3</v>
      </c>
      <c r="U234" s="3">
        <f t="shared" si="195"/>
        <v>2.1502645284954963E-3</v>
      </c>
      <c r="V234" s="3">
        <f t="shared" si="195"/>
        <v>2.1502645282561669E-3</v>
      </c>
      <c r="W234" s="3">
        <f t="shared" si="195"/>
        <v>2.1502645258628765E-3</v>
      </c>
      <c r="X234" s="3">
        <f t="shared" si="195"/>
        <v>2.1502645019299679E-3</v>
      </c>
      <c r="Y234" s="3">
        <f t="shared" si="195"/>
        <v>2.1502642626009005E-3</v>
      </c>
      <c r="Z234" s="3">
        <f t="shared" si="195"/>
        <v>2.1502618693116896E-3</v>
      </c>
      <c r="AA234" s="3">
        <f t="shared" si="195"/>
        <v>2.1502379365660883E-3</v>
      </c>
      <c r="AB234" s="3">
        <f t="shared" si="195"/>
        <v>2.1499986237602194E-3</v>
      </c>
      <c r="AC234" s="3">
        <f t="shared" si="195"/>
        <v>2.1476069601127573E-3</v>
      </c>
      <c r="AD234" s="3">
        <f t="shared" si="195"/>
        <v>2.1238361634811796E-3</v>
      </c>
      <c r="AE234" s="3">
        <f t="shared" si="195"/>
        <v>1.9001290517375569E-3</v>
      </c>
      <c r="AF234" s="3">
        <f t="shared" si="195"/>
        <v>6.2431528018290126E-4</v>
      </c>
      <c r="AG234" s="3"/>
      <c r="AH234" s="3"/>
    </row>
    <row r="235" spans="2:34" x14ac:dyDescent="0.25">
      <c r="B235" s="3">
        <f t="shared" ref="B235:AF235" si="196">$C43*EXP(-B$207/$A43/EXP(-$D$126))</f>
        <v>0</v>
      </c>
      <c r="C235" s="3">
        <f t="shared" si="196"/>
        <v>0</v>
      </c>
      <c r="D235" s="3">
        <f t="shared" si="196"/>
        <v>0</v>
      </c>
      <c r="E235" s="3">
        <f t="shared" si="196"/>
        <v>0</v>
      </c>
      <c r="F235" s="3">
        <f t="shared" si="196"/>
        <v>0</v>
      </c>
      <c r="G235" s="3">
        <f t="shared" si="196"/>
        <v>0</v>
      </c>
      <c r="H235" s="3">
        <f t="shared" si="196"/>
        <v>0</v>
      </c>
      <c r="I235" s="3">
        <f t="shared" si="196"/>
        <v>0</v>
      </c>
      <c r="J235" s="3">
        <f t="shared" si="196"/>
        <v>0</v>
      </c>
      <c r="K235" s="3">
        <f t="shared" si="196"/>
        <v>0</v>
      </c>
      <c r="L235" s="3">
        <f t="shared" si="196"/>
        <v>0</v>
      </c>
      <c r="M235" s="3">
        <f t="shared" si="196"/>
        <v>0</v>
      </c>
      <c r="N235" s="3">
        <f t="shared" si="196"/>
        <v>0</v>
      </c>
      <c r="O235" s="3">
        <f t="shared" si="196"/>
        <v>0</v>
      </c>
      <c r="P235" s="3">
        <f t="shared" si="196"/>
        <v>0</v>
      </c>
      <c r="Q235" s="3">
        <f t="shared" si="196"/>
        <v>0</v>
      </c>
      <c r="R235" s="3">
        <f t="shared" si="196"/>
        <v>0</v>
      </c>
      <c r="S235" s="3">
        <f t="shared" si="196"/>
        <v>0</v>
      </c>
      <c r="T235" s="3">
        <f t="shared" si="196"/>
        <v>0</v>
      </c>
      <c r="U235" s="3">
        <f t="shared" si="196"/>
        <v>0</v>
      </c>
      <c r="V235" s="3">
        <f t="shared" si="196"/>
        <v>0</v>
      </c>
      <c r="W235" s="3">
        <f t="shared" si="196"/>
        <v>0</v>
      </c>
      <c r="X235" s="3">
        <f t="shared" si="196"/>
        <v>0</v>
      </c>
      <c r="Y235" s="3">
        <f t="shared" si="196"/>
        <v>0</v>
      </c>
      <c r="Z235" s="3">
        <f t="shared" si="196"/>
        <v>0</v>
      </c>
      <c r="AA235" s="3">
        <f t="shared" si="196"/>
        <v>0</v>
      </c>
      <c r="AB235" s="3">
        <f t="shared" si="196"/>
        <v>0</v>
      </c>
      <c r="AC235" s="3">
        <f t="shared" si="196"/>
        <v>0</v>
      </c>
      <c r="AD235" s="3">
        <f t="shared" si="196"/>
        <v>0</v>
      </c>
      <c r="AE235" s="3">
        <f t="shared" si="196"/>
        <v>0</v>
      </c>
      <c r="AF235" s="3">
        <f t="shared" si="196"/>
        <v>0</v>
      </c>
      <c r="AG235" s="3"/>
      <c r="AH235" s="3"/>
    </row>
    <row r="236" spans="2:34" x14ac:dyDescent="0.25">
      <c r="B236" s="3">
        <f t="shared" ref="B236:AF236" si="197">$C44*EXP(-B$207/$A44/EXP(-$D$126))</f>
        <v>3.0564736295290245E-3</v>
      </c>
      <c r="C236" s="3">
        <f t="shared" si="197"/>
        <v>3.0564736295290245E-3</v>
      </c>
      <c r="D236" s="3">
        <f t="shared" si="197"/>
        <v>3.0564736295290245E-3</v>
      </c>
      <c r="E236" s="3">
        <f t="shared" si="197"/>
        <v>3.0564736295290245E-3</v>
      </c>
      <c r="F236" s="3">
        <f t="shared" si="197"/>
        <v>3.0564736295290245E-3</v>
      </c>
      <c r="G236" s="3">
        <f t="shared" si="197"/>
        <v>3.0564736295290245E-3</v>
      </c>
      <c r="H236" s="3">
        <f t="shared" si="197"/>
        <v>3.0564736295290245E-3</v>
      </c>
      <c r="I236" s="3">
        <f t="shared" si="197"/>
        <v>3.0564736295290245E-3</v>
      </c>
      <c r="J236" s="3">
        <f t="shared" si="197"/>
        <v>3.0564736295290245E-3</v>
      </c>
      <c r="K236" s="3">
        <f t="shared" si="197"/>
        <v>3.0564736295290245E-3</v>
      </c>
      <c r="L236" s="3">
        <f t="shared" si="197"/>
        <v>3.0564736295290245E-3</v>
      </c>
      <c r="M236" s="3">
        <f t="shared" si="197"/>
        <v>3.0564736295290245E-3</v>
      </c>
      <c r="N236" s="3">
        <f t="shared" si="197"/>
        <v>3.0564736295290245E-3</v>
      </c>
      <c r="O236" s="3">
        <f t="shared" si="197"/>
        <v>3.0564736295290245E-3</v>
      </c>
      <c r="P236" s="3">
        <f t="shared" si="197"/>
        <v>3.0564736295290245E-3</v>
      </c>
      <c r="Q236" s="3">
        <f t="shared" si="197"/>
        <v>3.0564736295290245E-3</v>
      </c>
      <c r="R236" s="3">
        <f t="shared" si="197"/>
        <v>3.0564736295290241E-3</v>
      </c>
      <c r="S236" s="3">
        <f t="shared" si="197"/>
        <v>3.0564736295290206E-3</v>
      </c>
      <c r="T236" s="3">
        <f t="shared" si="197"/>
        <v>3.0564736295289868E-3</v>
      </c>
      <c r="U236" s="3">
        <f t="shared" si="197"/>
        <v>3.0564736295286463E-3</v>
      </c>
      <c r="V236" s="3">
        <f t="shared" si="197"/>
        <v>3.0564736295252445E-3</v>
      </c>
      <c r="W236" s="3">
        <f t="shared" si="197"/>
        <v>3.0564736294912253E-3</v>
      </c>
      <c r="X236" s="3">
        <f t="shared" si="197"/>
        <v>3.056473629151033E-3</v>
      </c>
      <c r="Y236" s="3">
        <f t="shared" si="197"/>
        <v>3.0564736257491123E-3</v>
      </c>
      <c r="Z236" s="3">
        <f t="shared" si="197"/>
        <v>3.0564735917299008E-3</v>
      </c>
      <c r="AA236" s="3">
        <f t="shared" si="197"/>
        <v>3.0564732515378111E-3</v>
      </c>
      <c r="AB236" s="3">
        <f t="shared" si="197"/>
        <v>3.0564698496189941E-3</v>
      </c>
      <c r="AC236" s="3">
        <f t="shared" si="197"/>
        <v>3.0564358306390772E-3</v>
      </c>
      <c r="AD236" s="3">
        <f t="shared" si="197"/>
        <v>3.056095661664216E-3</v>
      </c>
      <c r="AE236" s="3">
        <f t="shared" si="197"/>
        <v>3.0526960534894045E-3</v>
      </c>
      <c r="AF236" s="3">
        <f t="shared" si="197"/>
        <v>3.0189072744375308E-3</v>
      </c>
      <c r="AG236" s="3"/>
      <c r="AH236" s="3"/>
    </row>
    <row r="237" spans="2:34" x14ac:dyDescent="0.25">
      <c r="B237" s="3">
        <f t="shared" ref="B237:AF237" si="198">$C45*EXP(-B$207/$A45/EXP(-$D$126))</f>
        <v>1.3352216676863077E-3</v>
      </c>
      <c r="C237" s="3">
        <f t="shared" si="198"/>
        <v>1.3352216676863077E-3</v>
      </c>
      <c r="D237" s="3">
        <f t="shared" si="198"/>
        <v>1.3352216676863077E-3</v>
      </c>
      <c r="E237" s="3">
        <f t="shared" si="198"/>
        <v>1.3352216676863077E-3</v>
      </c>
      <c r="F237" s="3">
        <f t="shared" si="198"/>
        <v>1.3352216676863077E-3</v>
      </c>
      <c r="G237" s="3">
        <f t="shared" si="198"/>
        <v>1.3352216676863077E-3</v>
      </c>
      <c r="H237" s="3">
        <f t="shared" si="198"/>
        <v>1.3352216676863077E-3</v>
      </c>
      <c r="I237" s="3">
        <f t="shared" si="198"/>
        <v>1.3352216676863077E-3</v>
      </c>
      <c r="J237" s="3">
        <f t="shared" si="198"/>
        <v>1.3352216676863077E-3</v>
      </c>
      <c r="K237" s="3">
        <f t="shared" si="198"/>
        <v>1.3352216676863077E-3</v>
      </c>
      <c r="L237" s="3">
        <f t="shared" si="198"/>
        <v>1.3352216676863077E-3</v>
      </c>
      <c r="M237" s="3">
        <f t="shared" si="198"/>
        <v>1.3352216676863077E-3</v>
      </c>
      <c r="N237" s="3">
        <f t="shared" si="198"/>
        <v>1.3352216676863077E-3</v>
      </c>
      <c r="O237" s="3">
        <f t="shared" si="198"/>
        <v>1.3352216676863077E-3</v>
      </c>
      <c r="P237" s="3">
        <f t="shared" si="198"/>
        <v>1.3352216676863077E-3</v>
      </c>
      <c r="Q237" s="3">
        <f t="shared" si="198"/>
        <v>1.3352216676863077E-3</v>
      </c>
      <c r="R237" s="3">
        <f t="shared" si="198"/>
        <v>1.3352216676863077E-3</v>
      </c>
      <c r="S237" s="3">
        <f t="shared" si="198"/>
        <v>1.3352216676863074E-3</v>
      </c>
      <c r="T237" s="3">
        <f t="shared" si="198"/>
        <v>1.3352216676863059E-3</v>
      </c>
      <c r="U237" s="3">
        <f t="shared" si="198"/>
        <v>1.3352216676862912E-3</v>
      </c>
      <c r="V237" s="3">
        <f t="shared" si="198"/>
        <v>1.3352216676861424E-3</v>
      </c>
      <c r="W237" s="3">
        <f t="shared" si="198"/>
        <v>1.3352216676846564E-3</v>
      </c>
      <c r="X237" s="3">
        <f t="shared" si="198"/>
        <v>1.335221667669795E-3</v>
      </c>
      <c r="Y237" s="3">
        <f t="shared" si="198"/>
        <v>1.3352216675211819E-3</v>
      </c>
      <c r="Z237" s="3">
        <f t="shared" si="198"/>
        <v>1.3352216660350515E-3</v>
      </c>
      <c r="AA237" s="3">
        <f t="shared" si="198"/>
        <v>1.3352216511737462E-3</v>
      </c>
      <c r="AB237" s="3">
        <f t="shared" si="198"/>
        <v>1.3352215025607022E-3</v>
      </c>
      <c r="AC237" s="3">
        <f t="shared" si="198"/>
        <v>1.3352200164311731E-3</v>
      </c>
      <c r="AD237" s="3">
        <f t="shared" si="198"/>
        <v>1.3352051552268562E-3</v>
      </c>
      <c r="AE237" s="3">
        <f t="shared" si="198"/>
        <v>1.3350565522807941E-3</v>
      </c>
      <c r="AF237" s="3">
        <f t="shared" si="198"/>
        <v>1.333571432156479E-3</v>
      </c>
      <c r="AG237" s="3"/>
      <c r="AH237" s="3"/>
    </row>
    <row r="238" spans="2:34" x14ac:dyDescent="0.25">
      <c r="B238" s="3">
        <f t="shared" ref="B238:AF238" si="199">$C46*EXP(-B$207/$A46/EXP(-$D$126))</f>
        <v>0</v>
      </c>
      <c r="C238" s="3">
        <f t="shared" si="199"/>
        <v>0</v>
      </c>
      <c r="D238" s="3">
        <f t="shared" si="199"/>
        <v>0</v>
      </c>
      <c r="E238" s="3">
        <f t="shared" si="199"/>
        <v>0</v>
      </c>
      <c r="F238" s="3">
        <f t="shared" si="199"/>
        <v>0</v>
      </c>
      <c r="G238" s="3">
        <f t="shared" si="199"/>
        <v>0</v>
      </c>
      <c r="H238" s="3">
        <f t="shared" si="199"/>
        <v>0</v>
      </c>
      <c r="I238" s="3">
        <f t="shared" si="199"/>
        <v>0</v>
      </c>
      <c r="J238" s="3">
        <f t="shared" si="199"/>
        <v>0</v>
      </c>
      <c r="K238" s="3">
        <f t="shared" si="199"/>
        <v>0</v>
      </c>
      <c r="L238" s="3">
        <f t="shared" si="199"/>
        <v>0</v>
      </c>
      <c r="M238" s="3">
        <f t="shared" si="199"/>
        <v>0</v>
      </c>
      <c r="N238" s="3">
        <f t="shared" si="199"/>
        <v>0</v>
      </c>
      <c r="O238" s="3">
        <f t="shared" si="199"/>
        <v>0</v>
      </c>
      <c r="P238" s="3">
        <f t="shared" si="199"/>
        <v>0</v>
      </c>
      <c r="Q238" s="3">
        <f t="shared" si="199"/>
        <v>0</v>
      </c>
      <c r="R238" s="3">
        <f t="shared" si="199"/>
        <v>0</v>
      </c>
      <c r="S238" s="3">
        <f t="shared" si="199"/>
        <v>0</v>
      </c>
      <c r="T238" s="3">
        <f t="shared" si="199"/>
        <v>0</v>
      </c>
      <c r="U238" s="3">
        <f t="shared" si="199"/>
        <v>0</v>
      </c>
      <c r="V238" s="3">
        <f t="shared" si="199"/>
        <v>0</v>
      </c>
      <c r="W238" s="3">
        <f t="shared" si="199"/>
        <v>0</v>
      </c>
      <c r="X238" s="3">
        <f t="shared" si="199"/>
        <v>0</v>
      </c>
      <c r="Y238" s="3">
        <f t="shared" si="199"/>
        <v>0</v>
      </c>
      <c r="Z238" s="3">
        <f t="shared" si="199"/>
        <v>0</v>
      </c>
      <c r="AA238" s="3">
        <f t="shared" si="199"/>
        <v>0</v>
      </c>
      <c r="AB238" s="3">
        <f t="shared" si="199"/>
        <v>0</v>
      </c>
      <c r="AC238" s="3">
        <f t="shared" si="199"/>
        <v>0</v>
      </c>
      <c r="AD238" s="3">
        <f t="shared" si="199"/>
        <v>0</v>
      </c>
      <c r="AE238" s="3">
        <f t="shared" si="199"/>
        <v>0</v>
      </c>
      <c r="AF238" s="3">
        <f t="shared" si="199"/>
        <v>0</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0</v>
      </c>
      <c r="C240" s="3">
        <f t="shared" si="201"/>
        <v>0</v>
      </c>
      <c r="D240" s="3">
        <f t="shared" si="201"/>
        <v>0</v>
      </c>
      <c r="E240" s="3">
        <f t="shared" si="201"/>
        <v>0</v>
      </c>
      <c r="F240" s="3">
        <f t="shared" si="201"/>
        <v>0</v>
      </c>
      <c r="G240" s="3">
        <f t="shared" si="201"/>
        <v>0</v>
      </c>
      <c r="H240" s="3">
        <f t="shared" si="201"/>
        <v>0</v>
      </c>
      <c r="I240" s="3">
        <f t="shared" si="201"/>
        <v>0</v>
      </c>
      <c r="J240" s="3">
        <f t="shared" si="201"/>
        <v>0</v>
      </c>
      <c r="K240" s="3">
        <f t="shared" si="201"/>
        <v>0</v>
      </c>
      <c r="L240" s="3">
        <f t="shared" si="201"/>
        <v>0</v>
      </c>
      <c r="M240" s="3">
        <f t="shared" si="201"/>
        <v>0</v>
      </c>
      <c r="N240" s="3">
        <f t="shared" si="201"/>
        <v>0</v>
      </c>
      <c r="O240" s="3">
        <f t="shared" si="201"/>
        <v>0</v>
      </c>
      <c r="P240" s="3">
        <f t="shared" si="201"/>
        <v>0</v>
      </c>
      <c r="Q240" s="3">
        <f t="shared" si="201"/>
        <v>0</v>
      </c>
      <c r="R240" s="3">
        <f t="shared" si="201"/>
        <v>0</v>
      </c>
      <c r="S240" s="3">
        <f t="shared" si="201"/>
        <v>0</v>
      </c>
      <c r="T240" s="3">
        <f t="shared" si="201"/>
        <v>0</v>
      </c>
      <c r="U240" s="3">
        <f t="shared" si="201"/>
        <v>0</v>
      </c>
      <c r="V240" s="3">
        <f t="shared" si="201"/>
        <v>0</v>
      </c>
      <c r="W240" s="3">
        <f t="shared" si="201"/>
        <v>0</v>
      </c>
      <c r="X240" s="3">
        <f t="shared" si="201"/>
        <v>0</v>
      </c>
      <c r="Y240" s="3">
        <f t="shared" si="201"/>
        <v>0</v>
      </c>
      <c r="Z240" s="3">
        <f t="shared" si="201"/>
        <v>0</v>
      </c>
      <c r="AA240" s="3">
        <f t="shared" si="201"/>
        <v>0</v>
      </c>
      <c r="AB240" s="3">
        <f t="shared" si="201"/>
        <v>0</v>
      </c>
      <c r="AC240" s="3">
        <f t="shared" si="201"/>
        <v>0</v>
      </c>
      <c r="AD240" s="3">
        <f t="shared" si="201"/>
        <v>0</v>
      </c>
      <c r="AE240" s="3">
        <f t="shared" si="201"/>
        <v>0</v>
      </c>
      <c r="AF240" s="3">
        <f t="shared" si="201"/>
        <v>0</v>
      </c>
      <c r="AG240" s="3"/>
      <c r="AH240" s="3"/>
    </row>
    <row r="241" spans="1:34" x14ac:dyDescent="0.25">
      <c r="A241" s="79">
        <f>AVERAGE(B241:AF241)</f>
        <v>1.1276993849012599E-2</v>
      </c>
      <c r="B241" s="80">
        <f>IF($A$64&lt;=B207,IF($B$64&gt;=B207,ABS((B209-B208)/B208),0),0)</f>
        <v>0</v>
      </c>
      <c r="C241" s="80">
        <f t="shared" ref="C241:AF241" si="202">IF($A$64&lt;=C207,IF($B$64&gt;=C207,ABS((C209-C208)/C208),0),0)</f>
        <v>0</v>
      </c>
      <c r="D241" s="80">
        <f t="shared" si="202"/>
        <v>0</v>
      </c>
      <c r="E241" s="80">
        <f t="shared" si="202"/>
        <v>0</v>
      </c>
      <c r="F241" s="80">
        <f t="shared" si="202"/>
        <v>0</v>
      </c>
      <c r="G241" s="80">
        <f t="shared" si="202"/>
        <v>0</v>
      </c>
      <c r="H241" s="80">
        <f t="shared" si="202"/>
        <v>0</v>
      </c>
      <c r="I241" s="80">
        <f t="shared" si="202"/>
        <v>0</v>
      </c>
      <c r="J241" s="80">
        <f t="shared" si="202"/>
        <v>0</v>
      </c>
      <c r="K241" s="80">
        <f t="shared" si="202"/>
        <v>0</v>
      </c>
      <c r="L241" s="80">
        <f t="shared" si="202"/>
        <v>1.0826957046231564E-2</v>
      </c>
      <c r="M241" s="80">
        <f t="shared" si="202"/>
        <v>1.105498681789795E-2</v>
      </c>
      <c r="N241" s="80">
        <f t="shared" si="202"/>
        <v>1.2067639028977084E-2</v>
      </c>
      <c r="O241" s="80">
        <f t="shared" si="202"/>
        <v>1.0945829153393068E-2</v>
      </c>
      <c r="P241" s="80">
        <f t="shared" si="202"/>
        <v>1.1196634318938879E-2</v>
      </c>
      <c r="Q241" s="80">
        <f t="shared" si="202"/>
        <v>1.0170670503898718E-2</v>
      </c>
      <c r="R241" s="80">
        <f t="shared" si="202"/>
        <v>9.4589996762706532E-3</v>
      </c>
      <c r="S241" s="80">
        <f t="shared" si="202"/>
        <v>1.2085494711877965E-4</v>
      </c>
      <c r="T241" s="80">
        <f t="shared" si="202"/>
        <v>3.436225550717853E-2</v>
      </c>
      <c r="U241" s="80">
        <f t="shared" si="202"/>
        <v>9.6835921581937254E-2</v>
      </c>
      <c r="V241" s="80">
        <f t="shared" si="202"/>
        <v>0.14254606073754814</v>
      </c>
      <c r="W241" s="80">
        <f t="shared" si="202"/>
        <v>0</v>
      </c>
      <c r="X241" s="80">
        <f t="shared" si="202"/>
        <v>0</v>
      </c>
      <c r="Y241" s="80">
        <f t="shared" si="202"/>
        <v>0</v>
      </c>
      <c r="Z241" s="80">
        <f t="shared" si="202"/>
        <v>0</v>
      </c>
      <c r="AA241" s="80">
        <f t="shared" si="202"/>
        <v>0</v>
      </c>
      <c r="AB241" s="80">
        <f t="shared" si="202"/>
        <v>0</v>
      </c>
      <c r="AC241" s="80">
        <f t="shared" si="202"/>
        <v>0</v>
      </c>
      <c r="AD241" s="80">
        <f t="shared" si="202"/>
        <v>0</v>
      </c>
      <c r="AE241" s="80">
        <f t="shared" si="202"/>
        <v>0</v>
      </c>
      <c r="AF241" s="80">
        <f t="shared" si="202"/>
        <v>0</v>
      </c>
    </row>
    <row r="242" spans="1:34" x14ac:dyDescent="0.25">
      <c r="B242" s="21">
        <f>(B209-B208)^2</f>
        <v>592286.2337854146</v>
      </c>
      <c r="C242" s="21">
        <f t="shared" ref="C242:AF242" si="203">(C209-C208)^2</f>
        <v>1038022.3189665308</v>
      </c>
      <c r="D242" s="21">
        <f t="shared" si="203"/>
        <v>664841.18778983888</v>
      </c>
      <c r="E242" s="21">
        <f t="shared" si="203"/>
        <v>363377.56815148634</v>
      </c>
      <c r="F242" s="21">
        <f t="shared" si="203"/>
        <v>134552.76927107145</v>
      </c>
      <c r="G242" s="21">
        <f t="shared" si="203"/>
        <v>16408.518247268661</v>
      </c>
      <c r="H242" s="21">
        <f t="shared" si="203"/>
        <v>145.79755584897092</v>
      </c>
      <c r="I242" s="21">
        <f t="shared" si="203"/>
        <v>21964.156489429337</v>
      </c>
      <c r="J242" s="21">
        <f t="shared" si="203"/>
        <v>9409.3535654857442</v>
      </c>
      <c r="K242" s="21">
        <f t="shared" si="203"/>
        <v>8847.5105944218558</v>
      </c>
      <c r="L242" s="21">
        <f t="shared" si="203"/>
        <v>6901.8816219684286</v>
      </c>
      <c r="M242" s="21">
        <f t="shared" si="203"/>
        <v>6504.6854855040492</v>
      </c>
      <c r="N242" s="21">
        <f t="shared" si="203"/>
        <v>7090.731226430411</v>
      </c>
      <c r="O242" s="21">
        <f t="shared" si="203"/>
        <v>5360.0350561735522</v>
      </c>
      <c r="P242" s="21">
        <f t="shared" si="203"/>
        <v>5138.8938638127065</v>
      </c>
      <c r="Q242" s="21">
        <f t="shared" si="203"/>
        <v>3859.9403494685316</v>
      </c>
      <c r="R242" s="21">
        <f t="shared" si="203"/>
        <v>3032.5693649300347</v>
      </c>
      <c r="S242" s="21">
        <f t="shared" si="203"/>
        <v>0.43567483722745243</v>
      </c>
      <c r="T242" s="21">
        <f t="shared" si="203"/>
        <v>28775.179622952259</v>
      </c>
      <c r="U242" s="21">
        <f t="shared" si="203"/>
        <v>173139.59321437619</v>
      </c>
      <c r="V242" s="21">
        <f t="shared" si="203"/>
        <v>275040.23644735274</v>
      </c>
      <c r="W242" s="21">
        <f t="shared" si="203"/>
        <v>197902.9268544435</v>
      </c>
      <c r="X242" s="21">
        <f t="shared" si="203"/>
        <v>93849.516496826851</v>
      </c>
      <c r="Y242" s="21">
        <f t="shared" si="203"/>
        <v>39182.733697853175</v>
      </c>
      <c r="Z242" s="21">
        <f t="shared" si="203"/>
        <v>13830.377132298405</v>
      </c>
      <c r="AA242" s="21">
        <f t="shared" si="203"/>
        <v>5101.9368091976294</v>
      </c>
      <c r="AB242" s="21">
        <f t="shared" si="203"/>
        <v>1532.0114728579999</v>
      </c>
      <c r="AC242" s="21">
        <f t="shared" si="203"/>
        <v>273.73070236447325</v>
      </c>
      <c r="AD242" s="21">
        <f t="shared" si="203"/>
        <v>123.25850496832111</v>
      </c>
      <c r="AE242" s="21">
        <f t="shared" si="203"/>
        <v>64.838551454732553</v>
      </c>
      <c r="AF242" s="21">
        <f t="shared" si="203"/>
        <v>12.808077667173484</v>
      </c>
      <c r="AG242" s="3"/>
      <c r="AH242" s="3"/>
    </row>
    <row r="243" spans="1:34" x14ac:dyDescent="0.25">
      <c r="A243" s="71">
        <f>SUM(B243:AF243)</f>
        <v>514844.18192780612</v>
      </c>
      <c r="B243" s="60">
        <f>IF($A$64&lt;=B207,IF($B$64&gt;=B207,ABS(B242),0),0)</f>
        <v>0</v>
      </c>
      <c r="C243" s="60">
        <f t="shared" ref="C243" si="204">IF($A$64&lt;=C207,IF($B$64&gt;=C207,ABS(C242),0),0)</f>
        <v>0</v>
      </c>
      <c r="D243" s="60">
        <f t="shared" ref="D243" si="205">IF($A$64&lt;=D207,IF($B$64&gt;=D207,ABS(D242),0),0)</f>
        <v>0</v>
      </c>
      <c r="E243" s="60">
        <f t="shared" ref="E243" si="206">IF($A$64&lt;=E207,IF($B$64&gt;=E207,ABS(E242),0),0)</f>
        <v>0</v>
      </c>
      <c r="F243" s="60">
        <f t="shared" ref="F243" si="207">IF($A$64&lt;=F207,IF($B$64&gt;=F207,ABS(F242),0),0)</f>
        <v>0</v>
      </c>
      <c r="G243" s="60">
        <f t="shared" ref="G243" si="208">IF($A$64&lt;=G207,IF($B$64&gt;=G207,ABS(G242),0),0)</f>
        <v>0</v>
      </c>
      <c r="H243" s="60">
        <f t="shared" ref="H243" si="209">IF($A$64&lt;=H207,IF($B$64&gt;=H207,ABS(H242),0),0)</f>
        <v>0</v>
      </c>
      <c r="I243" s="60">
        <f t="shared" ref="I243" si="210">IF($A$64&lt;=I207,IF($B$64&gt;=I207,ABS(I242),0),0)</f>
        <v>0</v>
      </c>
      <c r="J243" s="60">
        <f t="shared" ref="J243" si="211">IF($A$64&lt;=J207,IF($B$64&gt;=J207,ABS(J242),0),0)</f>
        <v>0</v>
      </c>
      <c r="K243" s="60">
        <f t="shared" ref="K243" si="212">IF($A$64&lt;=K207,IF($B$64&gt;=K207,ABS(K242),0),0)</f>
        <v>0</v>
      </c>
      <c r="L243" s="60">
        <f t="shared" ref="L243" si="213">IF($A$64&lt;=L207,IF($B$64&gt;=L207,ABS(L242),0),0)</f>
        <v>6901.8816219684286</v>
      </c>
      <c r="M243" s="60">
        <f t="shared" ref="M243" si="214">IF($A$64&lt;=M207,IF($B$64&gt;=M207,ABS(M242),0),0)</f>
        <v>6504.6854855040492</v>
      </c>
      <c r="N243" s="60">
        <f t="shared" ref="N243" si="215">IF($A$64&lt;=N207,IF($B$64&gt;=N207,ABS(N242),0),0)</f>
        <v>7090.731226430411</v>
      </c>
      <c r="O243" s="60">
        <f t="shared" ref="O243" si="216">IF($A$64&lt;=O207,IF($B$64&gt;=O207,ABS(O242),0),0)</f>
        <v>5360.0350561735522</v>
      </c>
      <c r="P243" s="60">
        <f t="shared" ref="P243" si="217">IF($A$64&lt;=P207,IF($B$64&gt;=P207,ABS(P242),0),0)</f>
        <v>5138.8938638127065</v>
      </c>
      <c r="Q243" s="60">
        <f t="shared" ref="Q243" si="218">IF($A$64&lt;=Q207,IF($B$64&gt;=Q207,ABS(Q242),0),0)</f>
        <v>3859.9403494685316</v>
      </c>
      <c r="R243" s="60">
        <f t="shared" ref="R243" si="219">IF($A$64&lt;=R207,IF($B$64&gt;=R207,ABS(R242),0),0)</f>
        <v>3032.5693649300347</v>
      </c>
      <c r="S243" s="60">
        <f t="shared" ref="S243" si="220">IF($A$64&lt;=S207,IF($B$64&gt;=S207,ABS(S242),0),0)</f>
        <v>0.43567483722745243</v>
      </c>
      <c r="T243" s="60">
        <f t="shared" ref="T243" si="221">IF($A$64&lt;=T207,IF($B$64&gt;=T207,ABS(T242),0),0)</f>
        <v>28775.179622952259</v>
      </c>
      <c r="U243" s="60">
        <f t="shared" ref="U243" si="222">IF($A$64&lt;=U207,IF($B$64&gt;=U207,ABS(U242),0),0)</f>
        <v>173139.59321437619</v>
      </c>
      <c r="V243" s="60">
        <f t="shared" ref="V243" si="223">IF($A$64&lt;=V207,IF($B$64&gt;=V207,ABS(V242),0),0)</f>
        <v>275040.23644735274</v>
      </c>
      <c r="W243" s="60">
        <f t="shared" ref="W243" si="224">IF($A$64&lt;=W207,IF($B$64&gt;=W207,ABS(W242),0),0)</f>
        <v>0</v>
      </c>
      <c r="X243" s="60">
        <f t="shared" ref="X243" si="225">IF($A$64&lt;=X207,IF($B$64&gt;=X207,ABS(X242),0),0)</f>
        <v>0</v>
      </c>
      <c r="Y243" s="60">
        <f t="shared" ref="Y243" si="226">IF($A$64&lt;=Y207,IF($B$64&gt;=Y207,ABS(Y242),0),0)</f>
        <v>0</v>
      </c>
      <c r="Z243" s="60">
        <f t="shared" ref="Z243" si="227">IF($A$64&lt;=Z207,IF($B$64&gt;=Z207,ABS(Z242),0),0)</f>
        <v>0</v>
      </c>
      <c r="AA243" s="60">
        <f t="shared" ref="AA243" si="228">IF($A$64&lt;=AA207,IF($B$64&gt;=AA207,ABS(AA242),0),0)</f>
        <v>0</v>
      </c>
      <c r="AB243" s="60">
        <f t="shared" ref="AB243" si="229">IF($A$64&lt;=AB207,IF($B$64&gt;=AB207,ABS(AB242),0),0)</f>
        <v>0</v>
      </c>
      <c r="AC243" s="60">
        <f t="shared" ref="AC243" si="230">IF($A$64&lt;=AC207,IF($B$64&gt;=AC207,ABS(AC242),0),0)</f>
        <v>0</v>
      </c>
      <c r="AD243" s="60">
        <f t="shared" ref="AD243" si="231">IF($A$64&lt;=AD207,IF($B$64&gt;=AD207,ABS(AD242),0),0)</f>
        <v>0</v>
      </c>
      <c r="AE243" s="60">
        <f t="shared" ref="AE243" si="232">IF($A$64&lt;=AE207,IF($B$64&gt;=AE207,ABS(AE242),0),0)</f>
        <v>0</v>
      </c>
      <c r="AF243" s="60">
        <f t="shared" ref="AF243" si="233">IF($A$64&lt;=AF207,IF($B$64&gt;=AF207,ABS(AF242),0),0)</f>
        <v>0</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10108.713203034791</v>
      </c>
      <c r="C247" s="26">
        <f>INDEX(Comparison!$AM$3:$AS$33,G$14,$E$122)</f>
        <v>9863.3085771990827</v>
      </c>
      <c r="D247" s="26">
        <f>INDEX(Comparison!$AM$3:$AS$33,H$14,$E$122)</f>
        <v>9647.7546876992856</v>
      </c>
      <c r="E247" s="26">
        <f>INDEX(Comparison!$AM$3:$AS$33,I$14,$E$122)</f>
        <v>9412.3170807609295</v>
      </c>
      <c r="F247" s="26">
        <f>INDEX(Comparison!$AM$3:$AS$33,J$14,$E$122)</f>
        <v>9158.3278957287839</v>
      </c>
      <c r="G247" s="26">
        <f>INDEX(Comparison!$AM$3:$AS$33,K$14,$E$122)</f>
        <v>8878.5637787646356</v>
      </c>
      <c r="H247" s="26">
        <f>INDEX(Comparison!$AM$3:$AS$33,L$14,$E$122)</f>
        <v>8599.940751813896</v>
      </c>
      <c r="I247" s="26">
        <f>INDEX(Comparison!$AM$3:$AS$33,M$14,$E$122)</f>
        <v>8334.6832742009774</v>
      </c>
      <c r="J247" s="26">
        <f>INDEX(Comparison!$AM$3:$AS$33,N$14,$E$122)</f>
        <v>8026.4753702879098</v>
      </c>
      <c r="K247" s="26">
        <f>INDEX(Comparison!$AM$3:$AS$33,O$14,$E$122)</f>
        <v>7661.4445647597695</v>
      </c>
      <c r="L247" s="26">
        <f>INDEX(Comparison!$AM$3:$AS$33,P$14,$E$122)</f>
        <v>7284.5164584803897</v>
      </c>
      <c r="M247" s="26">
        <f>INDEX(Comparison!$AM$3:$AS$33,Q$14,$E$122)</f>
        <v>6964.8609670274845</v>
      </c>
      <c r="N247" s="26">
        <f>INDEX(Comparison!$AM$3:$AS$33,R$14,$E$122)</f>
        <v>6677.7336683154199</v>
      </c>
      <c r="O247" s="26">
        <f>INDEX(Comparison!$AM$3:$AS$33,S$14,$E$122)</f>
        <v>6392.2538098508458</v>
      </c>
      <c r="P247" s="26">
        <f>INDEX(Comparison!$AM$3:$AS$33,T$14,$E$122)</f>
        <v>6101.0485432855839</v>
      </c>
      <c r="Q247" s="26">
        <f>INDEX(Comparison!$AM$3:$AS$33,U$14,$E$122)</f>
        <v>5816.6056093144152</v>
      </c>
      <c r="R247" s="26">
        <f>INDEX(Comparison!$AM$3:$AS$33,V$14,$E$122)</f>
        <v>5480.1263998982886</v>
      </c>
      <c r="S247" s="26">
        <f>INDEX(Comparison!$AM$3:$AS$33,W$14,$E$122)</f>
        <v>5001.3542238279779</v>
      </c>
      <c r="T247" s="26">
        <f>INDEX(Comparison!$AM$3:$AS$33,X$14,$E$122)</f>
        <v>4378.6857587374161</v>
      </c>
      <c r="U247" s="26">
        <f>INDEX(Comparison!$AM$3:$AS$33,Y$14,$E$122)</f>
        <v>3745.6038917295314</v>
      </c>
      <c r="V247" s="26">
        <f>INDEX(Comparison!$AM$3:$AS$33,Z$14,$E$122)</f>
        <v>3148.5137755573865</v>
      </c>
      <c r="W247" s="26">
        <f>INDEX(Comparison!$AM$3:$AS$33,AA$14,$E$122)</f>
        <v>2567.2806883234543</v>
      </c>
      <c r="X247" s="26">
        <f>INDEX(Comparison!$AM$3:$AS$33,AB$14,$E$122)</f>
        <v>1986.0678137294008</v>
      </c>
      <c r="Y247" s="26">
        <f>INDEX(Comparison!$AM$3:$AS$33,AC$14,$E$122)</f>
        <v>1454.0043020913115</v>
      </c>
      <c r="Z247" s="26">
        <f>INDEX(Comparison!$AM$3:$AS$33,AD$14,$E$122)</f>
        <v>1049.180195775346</v>
      </c>
      <c r="AA247" s="26">
        <f>INDEX(Comparison!$AM$3:$AS$33,AE$14,$E$122)</f>
        <v>784.12675101552475</v>
      </c>
      <c r="AB247" s="26">
        <f>INDEX(Comparison!$AM$3:$AS$33,AF$14,$E$122)</f>
        <v>648.62186552417882</v>
      </c>
      <c r="AC247" s="26">
        <f>INDEX(Comparison!$AM$3:$AS$33,AG$14,$E$122)</f>
        <v>577.86544910218402</v>
      </c>
      <c r="AD247" s="26">
        <f>INDEX(Comparison!$AM$3:$AS$33,AH$14,$E$122)</f>
        <v>542.13014146932505</v>
      </c>
      <c r="AE247" s="26">
        <f>INDEX(Comparison!$AM$3:$AS$33,AI$14,$E$122)</f>
        <v>519.06435890850435</v>
      </c>
      <c r="AF247" s="26">
        <f>INDEX(Comparison!$AM$3:$AS$33,AJ$14,$E$122)</f>
        <v>506.56668178937065</v>
      </c>
      <c r="AG247" s="26"/>
      <c r="AH247" s="26"/>
    </row>
    <row r="248" spans="1:34" x14ac:dyDescent="0.25">
      <c r="A248" s="70" t="s">
        <v>22</v>
      </c>
      <c r="B248" s="27">
        <f>($C$17+SUM(B249:B279))*$B$51</f>
        <v>9072.9337936696975</v>
      </c>
      <c r="C248" s="27">
        <f t="shared" ref="C248:AF248" si="234">($C$17+SUM(C249:C279))*$B$51</f>
        <v>9072.9031958615687</v>
      </c>
      <c r="D248" s="27">
        <f t="shared" si="234"/>
        <v>9072.59730540696</v>
      </c>
      <c r="E248" s="27">
        <f t="shared" si="234"/>
        <v>9069.546856045743</v>
      </c>
      <c r="F248" s="27">
        <f t="shared" si="234"/>
        <v>9039.8719229100607</v>
      </c>
      <c r="G248" s="27">
        <f t="shared" si="234"/>
        <v>8812.182625593483</v>
      </c>
      <c r="H248" s="27">
        <f t="shared" si="234"/>
        <v>8417.0140014683493</v>
      </c>
      <c r="I248" s="27">
        <f t="shared" si="234"/>
        <v>8193.8705463115184</v>
      </c>
      <c r="J248" s="27">
        <f t="shared" si="234"/>
        <v>7867.9938203144666</v>
      </c>
      <c r="K248" s="27">
        <f t="shared" si="234"/>
        <v>7501.2336481368866</v>
      </c>
      <c r="L248" s="27">
        <f t="shared" si="234"/>
        <v>7129.4314053069793</v>
      </c>
      <c r="M248" s="27">
        <f t="shared" si="234"/>
        <v>6819.0386083696158</v>
      </c>
      <c r="N248" s="27">
        <f t="shared" si="234"/>
        <v>6542.692634067932</v>
      </c>
      <c r="O248" s="27">
        <f t="shared" si="234"/>
        <v>6252.9049776758802</v>
      </c>
      <c r="P248" s="27">
        <f t="shared" si="234"/>
        <v>5968.0954901379546</v>
      </c>
      <c r="Q248" s="27">
        <f t="shared" si="234"/>
        <v>5685.3083920925674</v>
      </c>
      <c r="R248" s="27">
        <f t="shared" si="234"/>
        <v>5366.9890522744645</v>
      </c>
      <c r="S248" s="27">
        <f t="shared" si="234"/>
        <v>4994.7024924855723</v>
      </c>
      <c r="T248" s="27">
        <f t="shared" si="234"/>
        <v>4588.4461134073981</v>
      </c>
      <c r="U248" s="27">
        <f t="shared" si="234"/>
        <v>4024.0619746686179</v>
      </c>
      <c r="V248" s="27">
        <f t="shared" si="234"/>
        <v>3338.2991995220636</v>
      </c>
      <c r="W248" s="27">
        <f t="shared" si="234"/>
        <v>2641.2116365764068</v>
      </c>
      <c r="X248" s="27">
        <f t="shared" si="234"/>
        <v>1973.8008571596918</v>
      </c>
      <c r="Y248" s="27">
        <f t="shared" si="234"/>
        <v>1423.2119776440559</v>
      </c>
      <c r="Z248" s="27">
        <f t="shared" si="234"/>
        <v>1016.0050278154699</v>
      </c>
      <c r="AA248" s="27">
        <f t="shared" si="234"/>
        <v>781.95841155701657</v>
      </c>
      <c r="AB248" s="27">
        <f t="shared" si="234"/>
        <v>626.22594241009961</v>
      </c>
      <c r="AC248" s="27">
        <f t="shared" si="234"/>
        <v>576.45929883819213</v>
      </c>
      <c r="AD248" s="27">
        <f t="shared" si="234"/>
        <v>538.40689258638224</v>
      </c>
      <c r="AE248" s="27">
        <f t="shared" si="234"/>
        <v>517.08901152259102</v>
      </c>
      <c r="AF248" s="27">
        <f t="shared" si="234"/>
        <v>508.46176263770928</v>
      </c>
      <c r="AG248" s="27"/>
      <c r="AH248" s="27"/>
    </row>
    <row r="249" spans="1:34" x14ac:dyDescent="0.25">
      <c r="B249" s="3">
        <f t="shared" ref="B249:AF249" si="235">$C18*EXP(-B$246/$A18/EXP(-$E$126))</f>
        <v>2.7051101489864684E-11</v>
      </c>
      <c r="C249" s="3">
        <f t="shared" si="235"/>
        <v>3.5302710422092252E-99</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5.3113158468055588E-2</v>
      </c>
      <c r="C250" s="3">
        <f t="shared" si="236"/>
        <v>5.3110405379699799E-2</v>
      </c>
      <c r="D250" s="3">
        <f t="shared" si="236"/>
        <v>5.3082882343678132E-2</v>
      </c>
      <c r="E250" s="3">
        <f t="shared" si="236"/>
        <v>5.2808435234070035E-2</v>
      </c>
      <c r="F250" s="3">
        <f t="shared" si="236"/>
        <v>5.0140807586396698E-2</v>
      </c>
      <c r="G250" s="3">
        <f t="shared" si="236"/>
        <v>2.9858747031542576E-2</v>
      </c>
      <c r="H250" s="3">
        <f t="shared" si="236"/>
        <v>1.6744574936798439E-4</v>
      </c>
      <c r="I250" s="3">
        <f t="shared" si="236"/>
        <v>5.1510955688299659E-27</v>
      </c>
      <c r="J250" s="3">
        <f t="shared" si="236"/>
        <v>3.9097987929695122E-252</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1.5903240206196358E-2</v>
      </c>
      <c r="C251" s="3">
        <f t="shared" si="237"/>
        <v>1.5903165842585172E-2</v>
      </c>
      <c r="D251" s="3">
        <f t="shared" si="237"/>
        <v>1.5902422225597915E-2</v>
      </c>
      <c r="E251" s="3">
        <f t="shared" si="237"/>
        <v>1.5894987967852547E-2</v>
      </c>
      <c r="F251" s="3">
        <f t="shared" si="237"/>
        <v>1.5820836272713166E-2</v>
      </c>
      <c r="G251" s="3">
        <f t="shared" si="237"/>
        <v>1.5098081392377675E-2</v>
      </c>
      <c r="H251" s="3">
        <f t="shared" si="237"/>
        <v>9.4589956110312373E-3</v>
      </c>
      <c r="I251" s="3">
        <f t="shared" si="237"/>
        <v>8.8120639594058126E-5</v>
      </c>
      <c r="J251" s="3">
        <f t="shared" si="237"/>
        <v>4.3391414506778548E-25</v>
      </c>
      <c r="K251" s="3">
        <f t="shared" si="237"/>
        <v>3.6363483406300888E-228</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2.9724135007813381E-2</v>
      </c>
      <c r="C252" s="3">
        <f t="shared" si="238"/>
        <v>2.9724122469717323E-2</v>
      </c>
      <c r="D252" s="3">
        <f t="shared" si="238"/>
        <v>2.9723997089047643E-2</v>
      </c>
      <c r="E252" s="3">
        <f t="shared" si="238"/>
        <v>2.9722743311438527E-2</v>
      </c>
      <c r="F252" s="3">
        <f t="shared" si="238"/>
        <v>2.9710208443663049E-2</v>
      </c>
      <c r="G252" s="3">
        <f t="shared" si="238"/>
        <v>2.9585150144081182E-2</v>
      </c>
      <c r="H252" s="3">
        <f t="shared" si="238"/>
        <v>2.8363156835354515E-2</v>
      </c>
      <c r="I252" s="3">
        <f t="shared" si="238"/>
        <v>1.860212053387654E-2</v>
      </c>
      <c r="J252" s="3">
        <f t="shared" si="238"/>
        <v>2.7393109327477548E-4</v>
      </c>
      <c r="K252" s="3">
        <f t="shared" si="238"/>
        <v>1.3135000627016037E-22</v>
      </c>
      <c r="L252" s="3">
        <f t="shared" si="238"/>
        <v>8.4395204216557944E-206</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3.4474580927145455E-2</v>
      </c>
      <c r="C253" s="3">
        <f t="shared" si="239"/>
        <v>3.4474579615344211E-2</v>
      </c>
      <c r="D253" s="3">
        <f t="shared" si="239"/>
        <v>3.4474566497334547E-2</v>
      </c>
      <c r="E253" s="3">
        <f t="shared" si="239"/>
        <v>3.4474435317512458E-2</v>
      </c>
      <c r="F253" s="3">
        <f t="shared" si="239"/>
        <v>3.4473123546744748E-2</v>
      </c>
      <c r="G253" s="3">
        <f t="shared" si="239"/>
        <v>3.4460008584001299E-2</v>
      </c>
      <c r="H253" s="3">
        <f t="shared" si="239"/>
        <v>3.4329133063866403E-2</v>
      </c>
      <c r="I253" s="3">
        <f t="shared" si="239"/>
        <v>3.3047406574139397E-2</v>
      </c>
      <c r="J253" s="3">
        <f t="shared" si="239"/>
        <v>2.2588264164109927E-2</v>
      </c>
      <c r="K253" s="3">
        <f t="shared" si="239"/>
        <v>5.0273324299459081E-4</v>
      </c>
      <c r="L253" s="3">
        <f t="shared" si="239"/>
        <v>1.4992879827709379E-20</v>
      </c>
      <c r="M253" s="3">
        <f t="shared" si="239"/>
        <v>8.3437181106931833E-186</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3.8163539583128743E-2</v>
      </c>
      <c r="C254" s="3">
        <f t="shared" si="240"/>
        <v>3.8163539452130857E-2</v>
      </c>
      <c r="D254" s="3">
        <f t="shared" si="240"/>
        <v>3.8163538142152023E-2</v>
      </c>
      <c r="E254" s="3">
        <f t="shared" si="240"/>
        <v>3.8163525042366121E-2</v>
      </c>
      <c r="F254" s="3">
        <f t="shared" si="240"/>
        <v>3.8163394044754412E-2</v>
      </c>
      <c r="G254" s="3">
        <f t="shared" si="240"/>
        <v>3.8162084093368048E-2</v>
      </c>
      <c r="H254" s="3">
        <f t="shared" si="240"/>
        <v>3.8148987052260774E-2</v>
      </c>
      <c r="I254" s="3">
        <f t="shared" si="240"/>
        <v>3.8018263603066614E-2</v>
      </c>
      <c r="J254" s="3">
        <f t="shared" si="240"/>
        <v>3.6735414506522089E-2</v>
      </c>
      <c r="K254" s="3">
        <f t="shared" si="240"/>
        <v>2.6062232500889883E-2</v>
      </c>
      <c r="L254" s="3">
        <f t="shared" si="240"/>
        <v>8.4193452102667788E-4</v>
      </c>
      <c r="M254" s="3">
        <f t="shared" si="240"/>
        <v>1.0421862456396338E-18</v>
      </c>
      <c r="N254" s="3">
        <f t="shared" si="240"/>
        <v>8.8026927007462596E-168</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3.1147960287520111E-2</v>
      </c>
      <c r="C255" s="3">
        <f t="shared" si="241"/>
        <v>3.114796027787534E-2</v>
      </c>
      <c r="D255" s="3">
        <f t="shared" si="241"/>
        <v>3.1147960181427646E-2</v>
      </c>
      <c r="E255" s="3">
        <f t="shared" si="241"/>
        <v>3.1147959216950735E-2</v>
      </c>
      <c r="F255" s="3">
        <f t="shared" si="241"/>
        <v>3.1147949572183253E-2</v>
      </c>
      <c r="G255" s="3">
        <f t="shared" si="241"/>
        <v>3.1147853124672688E-2</v>
      </c>
      <c r="H255" s="3">
        <f t="shared" si="241"/>
        <v>3.1146888665992297E-2</v>
      </c>
      <c r="I255" s="3">
        <f t="shared" si="241"/>
        <v>3.113724572152235E-2</v>
      </c>
      <c r="J255" s="3">
        <f t="shared" si="241"/>
        <v>3.1040980322218751E-2</v>
      </c>
      <c r="K255" s="3">
        <f t="shared" si="241"/>
        <v>3.0094544471467411E-2</v>
      </c>
      <c r="L255" s="3">
        <f t="shared" si="241"/>
        <v>2.2080618222799015E-2</v>
      </c>
      <c r="M255" s="3">
        <f t="shared" si="241"/>
        <v>9.9826484441750555E-4</v>
      </c>
      <c r="N255" s="3">
        <f t="shared" si="241"/>
        <v>3.5611581313096195E-17</v>
      </c>
      <c r="O255" s="3">
        <f t="shared" si="241"/>
        <v>1.1886283274642538E-151</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2.5944984110099805E-2</v>
      </c>
      <c r="C256" s="3">
        <f t="shared" si="242"/>
        <v>2.5944984109375097E-2</v>
      </c>
      <c r="D256" s="3">
        <f t="shared" si="242"/>
        <v>2.5944984102128033E-2</v>
      </c>
      <c r="E256" s="3">
        <f t="shared" si="242"/>
        <v>2.5944984029657371E-2</v>
      </c>
      <c r="F256" s="3">
        <f t="shared" si="242"/>
        <v>2.5944983304950757E-2</v>
      </c>
      <c r="G256" s="3">
        <f t="shared" si="242"/>
        <v>2.5944976057885736E-2</v>
      </c>
      <c r="H256" s="3">
        <f t="shared" si="242"/>
        <v>2.5944903587346881E-2</v>
      </c>
      <c r="I256" s="3">
        <f t="shared" si="242"/>
        <v>2.5944178893091766E-2</v>
      </c>
      <c r="J256" s="3">
        <f t="shared" si="242"/>
        <v>2.5936933063767962E-2</v>
      </c>
      <c r="K256" s="3">
        <f t="shared" si="242"/>
        <v>2.5864585978300339E-2</v>
      </c>
      <c r="L256" s="3">
        <f t="shared" si="242"/>
        <v>2.5152121821092572E-2</v>
      </c>
      <c r="M256" s="3">
        <f t="shared" si="242"/>
        <v>1.9022412569884378E-2</v>
      </c>
      <c r="N256" s="3">
        <f t="shared" si="242"/>
        <v>1.1645959767135154E-3</v>
      </c>
      <c r="O256" s="3">
        <f t="shared" si="242"/>
        <v>8.6153350713389989E-16</v>
      </c>
      <c r="P256" s="3">
        <f t="shared" si="242"/>
        <v>4.2290327401187972E-137</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2.8280666339934958E-2</v>
      </c>
      <c r="C257" s="3">
        <f t="shared" si="243"/>
        <v>2.8280666339863696E-2</v>
      </c>
      <c r="D257" s="3">
        <f t="shared" si="243"/>
        <v>2.8280666339151099E-2</v>
      </c>
      <c r="E257" s="3">
        <f t="shared" si="243"/>
        <v>2.8280666332025112E-2</v>
      </c>
      <c r="F257" s="3">
        <f t="shared" si="243"/>
        <v>2.8280666260765239E-2</v>
      </c>
      <c r="G257" s="3">
        <f t="shared" si="243"/>
        <v>2.8280665548166505E-2</v>
      </c>
      <c r="H257" s="3">
        <f t="shared" si="243"/>
        <v>2.8280658422180176E-2</v>
      </c>
      <c r="I257" s="3">
        <f t="shared" si="243"/>
        <v>2.8280587162415646E-2</v>
      </c>
      <c r="J257" s="3">
        <f t="shared" si="243"/>
        <v>2.8279874574645834E-2</v>
      </c>
      <c r="K257" s="3">
        <f t="shared" si="243"/>
        <v>2.827274968440463E-2</v>
      </c>
      <c r="L257" s="3">
        <f t="shared" si="243"/>
        <v>2.8201599435687955E-2</v>
      </c>
      <c r="M257" s="3">
        <f t="shared" si="243"/>
        <v>2.7499870959527065E-2</v>
      </c>
      <c r="N257" s="3">
        <f t="shared" si="243"/>
        <v>2.1374689661448162E-2</v>
      </c>
      <c r="O257" s="3">
        <f t="shared" si="243"/>
        <v>1.7202494901096435E-3</v>
      </c>
      <c r="P257" s="3">
        <f t="shared" si="243"/>
        <v>1.9611356584835935E-14</v>
      </c>
      <c r="Q257" s="3">
        <f t="shared" si="243"/>
        <v>7.2722637572606624E-124</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2.7707301103178796E-2</v>
      </c>
      <c r="C258" s="3">
        <f t="shared" si="244"/>
        <v>2.7707301103172495E-2</v>
      </c>
      <c r="D258" s="3">
        <f t="shared" si="244"/>
        <v>2.7707301103109518E-2</v>
      </c>
      <c r="E258" s="3">
        <f t="shared" si="244"/>
        <v>2.7707301102479726E-2</v>
      </c>
      <c r="F258" s="3">
        <f t="shared" si="244"/>
        <v>2.7707301096181816E-2</v>
      </c>
      <c r="G258" s="3">
        <f t="shared" si="244"/>
        <v>2.770730103320275E-2</v>
      </c>
      <c r="H258" s="3">
        <f t="shared" si="244"/>
        <v>2.7707300403412079E-2</v>
      </c>
      <c r="I258" s="3">
        <f t="shared" si="244"/>
        <v>2.770729410550616E-2</v>
      </c>
      <c r="J258" s="3">
        <f t="shared" si="244"/>
        <v>2.7707231126525702E-2</v>
      </c>
      <c r="K258" s="3">
        <f t="shared" si="244"/>
        <v>2.7706601344594423E-2</v>
      </c>
      <c r="L258" s="3">
        <f t="shared" si="244"/>
        <v>2.7700304312545526E-2</v>
      </c>
      <c r="M258" s="3">
        <f t="shared" si="244"/>
        <v>2.7637412652277354E-2</v>
      </c>
      <c r="N258" s="3">
        <f t="shared" si="244"/>
        <v>2.7016296317545086E-2</v>
      </c>
      <c r="O258" s="3">
        <f t="shared" si="244"/>
        <v>2.1523361071522515E-2</v>
      </c>
      <c r="P258" s="3">
        <f t="shared" si="244"/>
        <v>2.216934667752943E-3</v>
      </c>
      <c r="Q258" s="3">
        <f t="shared" si="244"/>
        <v>2.9797575512253988E-13</v>
      </c>
      <c r="R258" s="3">
        <f t="shared" si="244"/>
        <v>5.7340473017641949E-112</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2.650988812137773E-2</v>
      </c>
      <c r="C259" s="3">
        <f t="shared" si="245"/>
        <v>2.6509888121377188E-2</v>
      </c>
      <c r="D259" s="3">
        <f t="shared" si="245"/>
        <v>2.6509888121371752E-2</v>
      </c>
      <c r="E259" s="3">
        <f t="shared" si="245"/>
        <v>2.6509888121317396E-2</v>
      </c>
      <c r="F259" s="3">
        <f t="shared" si="245"/>
        <v>2.6509888120773824E-2</v>
      </c>
      <c r="G259" s="3">
        <f t="shared" si="245"/>
        <v>2.6509888115338113E-2</v>
      </c>
      <c r="H259" s="3">
        <f t="shared" si="245"/>
        <v>2.6509888060980986E-2</v>
      </c>
      <c r="I259" s="3">
        <f t="shared" si="245"/>
        <v>2.6509887517409726E-2</v>
      </c>
      <c r="J259" s="3">
        <f t="shared" si="245"/>
        <v>2.6509882081697758E-2</v>
      </c>
      <c r="K259" s="3">
        <f t="shared" si="245"/>
        <v>2.6509827724639359E-2</v>
      </c>
      <c r="L259" s="3">
        <f t="shared" si="245"/>
        <v>2.6509284160185421E-2</v>
      </c>
      <c r="M259" s="3">
        <f t="shared" si="245"/>
        <v>2.6503849128604699E-2</v>
      </c>
      <c r="N259" s="3">
        <f t="shared" si="245"/>
        <v>2.6449560062183283E-2</v>
      </c>
      <c r="O259" s="3">
        <f t="shared" si="245"/>
        <v>2.5912748122520108E-2</v>
      </c>
      <c r="P259" s="3">
        <f t="shared" si="245"/>
        <v>2.1108806660940116E-2</v>
      </c>
      <c r="Q259" s="3">
        <f t="shared" si="245"/>
        <v>2.7162251571944138E-3</v>
      </c>
      <c r="R259" s="3">
        <f t="shared" si="245"/>
        <v>3.3805441985648692E-12</v>
      </c>
      <c r="S259" s="3">
        <f t="shared" si="245"/>
        <v>3.0143600847233278E-101</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3.00960893347192E-2</v>
      </c>
      <c r="C260" s="3">
        <f t="shared" si="246"/>
        <v>3.0096089334719144E-2</v>
      </c>
      <c r="D260" s="3">
        <f t="shared" si="246"/>
        <v>3.0096089334718589E-2</v>
      </c>
      <c r="E260" s="3">
        <f t="shared" si="246"/>
        <v>3.0096089334713021E-2</v>
      </c>
      <c r="F260" s="3">
        <f t="shared" si="246"/>
        <v>3.0096089334657353E-2</v>
      </c>
      <c r="G260" s="3">
        <f t="shared" si="246"/>
        <v>3.0096089334100674E-2</v>
      </c>
      <c r="H260" s="3">
        <f t="shared" si="246"/>
        <v>3.0096089328533877E-2</v>
      </c>
      <c r="I260" s="3">
        <f t="shared" si="246"/>
        <v>3.0096089272865924E-2</v>
      </c>
      <c r="J260" s="3">
        <f t="shared" si="246"/>
        <v>3.0096088716186402E-2</v>
      </c>
      <c r="K260" s="3">
        <f t="shared" si="246"/>
        <v>3.0096083149391703E-2</v>
      </c>
      <c r="L260" s="3">
        <f t="shared" si="246"/>
        <v>3.0096027481501378E-2</v>
      </c>
      <c r="M260" s="3">
        <f t="shared" si="246"/>
        <v>3.009547080826129E-2</v>
      </c>
      <c r="N260" s="3">
        <f t="shared" si="246"/>
        <v>3.0089904642138957E-2</v>
      </c>
      <c r="O260" s="3">
        <f t="shared" si="246"/>
        <v>3.0034299570034124E-2</v>
      </c>
      <c r="P260" s="3">
        <f t="shared" si="246"/>
        <v>2.948386922327835E-2</v>
      </c>
      <c r="Q260" s="3">
        <f t="shared" si="246"/>
        <v>2.4504968921431287E-2</v>
      </c>
      <c r="R260" s="3">
        <f t="shared" si="246"/>
        <v>3.85434827534118E-3</v>
      </c>
      <c r="S260" s="3">
        <f t="shared" si="246"/>
        <v>3.5720615979211698E-11</v>
      </c>
      <c r="T260" s="3">
        <f t="shared" si="246"/>
        <v>1.6695475328072074E-91</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3.6902665150925024E-2</v>
      </c>
      <c r="C261" s="3">
        <f t="shared" si="247"/>
        <v>3.6902665150925017E-2</v>
      </c>
      <c r="D261" s="3">
        <f t="shared" si="247"/>
        <v>3.6902665150924954E-2</v>
      </c>
      <c r="E261" s="3">
        <f t="shared" si="247"/>
        <v>3.6902665150924337E-2</v>
      </c>
      <c r="F261" s="3">
        <f t="shared" si="247"/>
        <v>3.6902665150918182E-2</v>
      </c>
      <c r="G261" s="3">
        <f t="shared" si="247"/>
        <v>3.6902665150856606E-2</v>
      </c>
      <c r="H261" s="3">
        <f t="shared" si="247"/>
        <v>3.690266515024087E-2</v>
      </c>
      <c r="I261" s="3">
        <f t="shared" si="247"/>
        <v>3.6902665144083434E-2</v>
      </c>
      <c r="J261" s="3">
        <f t="shared" si="247"/>
        <v>3.6902665082509133E-2</v>
      </c>
      <c r="K261" s="3">
        <f t="shared" si="247"/>
        <v>3.69026644667661E-2</v>
      </c>
      <c r="L261" s="3">
        <f t="shared" si="247"/>
        <v>3.6902658309336353E-2</v>
      </c>
      <c r="M261" s="3">
        <f t="shared" si="247"/>
        <v>3.6902596735095355E-2</v>
      </c>
      <c r="N261" s="3">
        <f t="shared" si="247"/>
        <v>3.6901980998336116E-2</v>
      </c>
      <c r="O261" s="3">
        <f t="shared" si="247"/>
        <v>3.6895824195777208E-2</v>
      </c>
      <c r="P261" s="3">
        <f t="shared" si="247"/>
        <v>3.6834312638668945E-2</v>
      </c>
      <c r="Q261" s="3">
        <f t="shared" si="247"/>
        <v>3.6224809208934013E-2</v>
      </c>
      <c r="R261" s="3">
        <f t="shared" si="247"/>
        <v>3.0657834480605307E-2</v>
      </c>
      <c r="S261" s="3">
        <f t="shared" si="247"/>
        <v>5.7795650880104179E-3</v>
      </c>
      <c r="T261" s="3">
        <f t="shared" si="247"/>
        <v>3.2766646625143223E-10</v>
      </c>
      <c r="U261" s="3">
        <f t="shared" si="247"/>
        <v>1.1240881825973002E-82</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3.6161796888491096E-2</v>
      </c>
      <c r="C262" s="3">
        <f t="shared" si="248"/>
        <v>3.6161796888491096E-2</v>
      </c>
      <c r="D262" s="3">
        <f t="shared" si="248"/>
        <v>3.6161796888491089E-2</v>
      </c>
      <c r="E262" s="3">
        <f t="shared" si="248"/>
        <v>3.6161796888491034E-2</v>
      </c>
      <c r="F262" s="3">
        <f t="shared" si="248"/>
        <v>3.6161796888490493E-2</v>
      </c>
      <c r="G262" s="3">
        <f t="shared" si="248"/>
        <v>3.6161796888485052E-2</v>
      </c>
      <c r="H262" s="3">
        <f t="shared" si="248"/>
        <v>3.6161796888430617E-2</v>
      </c>
      <c r="I262" s="3">
        <f t="shared" si="248"/>
        <v>3.6161796887886323E-2</v>
      </c>
      <c r="J262" s="3">
        <f t="shared" si="248"/>
        <v>3.6161796882443316E-2</v>
      </c>
      <c r="K262" s="3">
        <f t="shared" si="248"/>
        <v>3.6161796828013314E-2</v>
      </c>
      <c r="L262" s="3">
        <f t="shared" si="248"/>
        <v>3.6161796283713271E-2</v>
      </c>
      <c r="M262" s="3">
        <f t="shared" si="248"/>
        <v>3.6161790840713318E-2</v>
      </c>
      <c r="N262" s="3">
        <f t="shared" si="248"/>
        <v>3.6161736410758795E-2</v>
      </c>
      <c r="O262" s="3">
        <f t="shared" si="248"/>
        <v>3.6161192115719547E-2</v>
      </c>
      <c r="P262" s="3">
        <f t="shared" si="248"/>
        <v>3.6155749615897362E-2</v>
      </c>
      <c r="Q262" s="3">
        <f t="shared" si="248"/>
        <v>3.6101369649621989E-2</v>
      </c>
      <c r="R262" s="3">
        <f t="shared" si="248"/>
        <v>3.5562048203134015E-2</v>
      </c>
      <c r="S262" s="3">
        <f t="shared" si="248"/>
        <v>3.0592688178321944E-2</v>
      </c>
      <c r="T262" s="3">
        <f t="shared" si="248"/>
        <v>6.7908850340811415E-3</v>
      </c>
      <c r="U262" s="3">
        <f t="shared" si="248"/>
        <v>1.9724852250470966E-9</v>
      </c>
      <c r="V262" s="3">
        <f t="shared" si="248"/>
        <v>8.4311645440697797E-75</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5.7659888823700683E-2</v>
      </c>
      <c r="C263" s="3">
        <f t="shared" si="249"/>
        <v>5.7659888823700683E-2</v>
      </c>
      <c r="D263" s="3">
        <f t="shared" si="249"/>
        <v>5.7659888823700683E-2</v>
      </c>
      <c r="E263" s="3">
        <f t="shared" si="249"/>
        <v>5.7659888823700677E-2</v>
      </c>
      <c r="F263" s="3">
        <f t="shared" si="249"/>
        <v>5.7659888823700593E-2</v>
      </c>
      <c r="G263" s="3">
        <f t="shared" si="249"/>
        <v>5.7659888823699816E-2</v>
      </c>
      <c r="H263" s="3">
        <f t="shared" si="249"/>
        <v>5.7659888823691982E-2</v>
      </c>
      <c r="I263" s="3">
        <f t="shared" si="249"/>
        <v>5.7659888823613691E-2</v>
      </c>
      <c r="J263" s="3">
        <f t="shared" si="249"/>
        <v>5.7659888822830789E-2</v>
      </c>
      <c r="K263" s="3">
        <f t="shared" si="249"/>
        <v>5.7659888815001746E-2</v>
      </c>
      <c r="L263" s="3">
        <f t="shared" si="249"/>
        <v>5.7659888736711302E-2</v>
      </c>
      <c r="M263" s="3">
        <f t="shared" si="249"/>
        <v>5.765988795380686E-2</v>
      </c>
      <c r="N263" s="3">
        <f t="shared" si="249"/>
        <v>5.7659880124763037E-2</v>
      </c>
      <c r="O263" s="3">
        <f t="shared" si="249"/>
        <v>5.7659801834383295E-2</v>
      </c>
      <c r="P263" s="3">
        <f t="shared" si="249"/>
        <v>5.7659018936432424E-2</v>
      </c>
      <c r="Q263" s="3">
        <f t="shared" si="249"/>
        <v>5.7651190541555222E-2</v>
      </c>
      <c r="R263" s="3">
        <f t="shared" si="249"/>
        <v>5.7572965026566766E-2</v>
      </c>
      <c r="S263" s="3">
        <f t="shared" si="249"/>
        <v>5.6796524005100893E-2</v>
      </c>
      <c r="T263" s="3">
        <f t="shared" si="249"/>
        <v>4.9585348202898484E-2</v>
      </c>
      <c r="U263" s="3">
        <f t="shared" si="249"/>
        <v>1.2754677064320506E-2</v>
      </c>
      <c r="V263" s="3">
        <f t="shared" si="249"/>
        <v>1.617448515885982E-8</v>
      </c>
      <c r="W263" s="3">
        <f t="shared" si="249"/>
        <v>1.7395641611573877E-67</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7.0138718801303929E-2</v>
      </c>
      <c r="C264" s="3">
        <f t="shared" si="250"/>
        <v>7.0138718801303929E-2</v>
      </c>
      <c r="D264" s="3">
        <f t="shared" si="250"/>
        <v>7.0138718801303929E-2</v>
      </c>
      <c r="E264" s="3">
        <f t="shared" si="250"/>
        <v>7.0138718801303929E-2</v>
      </c>
      <c r="F264" s="3">
        <f t="shared" si="250"/>
        <v>7.0138718801303915E-2</v>
      </c>
      <c r="G264" s="3">
        <f t="shared" si="250"/>
        <v>7.0138718801303832E-2</v>
      </c>
      <c r="H264" s="3">
        <f t="shared" si="250"/>
        <v>7.0138718801302971E-2</v>
      </c>
      <c r="I264" s="3">
        <f t="shared" si="250"/>
        <v>7.0138718801294381E-2</v>
      </c>
      <c r="J264" s="3">
        <f t="shared" si="250"/>
        <v>7.0138718801208477E-2</v>
      </c>
      <c r="K264" s="3">
        <f t="shared" si="250"/>
        <v>7.0138718800349373E-2</v>
      </c>
      <c r="L264" s="3">
        <f t="shared" si="250"/>
        <v>7.0138718791758467E-2</v>
      </c>
      <c r="M264" s="3">
        <f t="shared" si="250"/>
        <v>7.0138718705849326E-2</v>
      </c>
      <c r="N264" s="3">
        <f t="shared" si="250"/>
        <v>7.0138717846757917E-2</v>
      </c>
      <c r="O264" s="3">
        <f t="shared" si="250"/>
        <v>7.0138709255844423E-2</v>
      </c>
      <c r="P264" s="3">
        <f t="shared" si="250"/>
        <v>7.0138623346767293E-2</v>
      </c>
      <c r="Q264" s="3">
        <f t="shared" si="250"/>
        <v>7.0137764261783406E-2</v>
      </c>
      <c r="R264" s="3">
        <f t="shared" si="250"/>
        <v>7.0129173990655574E-2</v>
      </c>
      <c r="S264" s="3">
        <f t="shared" si="250"/>
        <v>7.0043329124260756E-2</v>
      </c>
      <c r="T264" s="3">
        <f t="shared" si="250"/>
        <v>6.9190638819426165E-2</v>
      </c>
      <c r="U264" s="3">
        <f t="shared" si="250"/>
        <v>6.1214308353352294E-2</v>
      </c>
      <c r="V264" s="3">
        <f t="shared" si="250"/>
        <v>1.798494077286418E-2</v>
      </c>
      <c r="W264" s="3">
        <f t="shared" si="250"/>
        <v>8.619253679569802E-8</v>
      </c>
      <c r="X264" s="3">
        <f t="shared" si="250"/>
        <v>5.5090431335359814E-61</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6.7659228447697881E-2</v>
      </c>
      <c r="C265" s="3">
        <f t="shared" si="251"/>
        <v>6.7659228447697881E-2</v>
      </c>
      <c r="D265" s="3">
        <f t="shared" si="251"/>
        <v>6.7659228447697881E-2</v>
      </c>
      <c r="E265" s="3">
        <f t="shared" si="251"/>
        <v>6.7659228447697881E-2</v>
      </c>
      <c r="F265" s="3">
        <f t="shared" si="251"/>
        <v>6.7659228447697881E-2</v>
      </c>
      <c r="G265" s="3">
        <f t="shared" si="251"/>
        <v>6.7659228447697867E-2</v>
      </c>
      <c r="H265" s="3">
        <f t="shared" si="251"/>
        <v>6.7659228447697797E-2</v>
      </c>
      <c r="I265" s="3">
        <f t="shared" si="251"/>
        <v>6.7659228447697048E-2</v>
      </c>
      <c r="J265" s="3">
        <f t="shared" si="251"/>
        <v>6.7659228447689568E-2</v>
      </c>
      <c r="K265" s="3">
        <f t="shared" si="251"/>
        <v>6.7659228447614822E-2</v>
      </c>
      <c r="L265" s="3">
        <f t="shared" si="251"/>
        <v>6.7659228446867239E-2</v>
      </c>
      <c r="M265" s="3">
        <f t="shared" si="251"/>
        <v>6.7659228439391483E-2</v>
      </c>
      <c r="N265" s="3">
        <f t="shared" si="251"/>
        <v>6.7659228364633908E-2</v>
      </c>
      <c r="O265" s="3">
        <f t="shared" si="251"/>
        <v>6.7659227617058212E-2</v>
      </c>
      <c r="P265" s="3">
        <f t="shared" si="251"/>
        <v>6.7659220141301615E-2</v>
      </c>
      <c r="Q265" s="3">
        <f t="shared" si="251"/>
        <v>6.7659145383781052E-2</v>
      </c>
      <c r="R265" s="3">
        <f t="shared" si="251"/>
        <v>6.7658397813118526E-2</v>
      </c>
      <c r="S265" s="3">
        <f t="shared" si="251"/>
        <v>6.7650922560776025E-2</v>
      </c>
      <c r="T265" s="3">
        <f t="shared" si="251"/>
        <v>6.7576215447063812E-2</v>
      </c>
      <c r="U265" s="3">
        <f t="shared" si="251"/>
        <v>6.6833666771651479E-2</v>
      </c>
      <c r="V265" s="3">
        <f t="shared" si="251"/>
        <v>5.9842471370927415E-2</v>
      </c>
      <c r="W265" s="3">
        <f t="shared" si="251"/>
        <v>1.9822199279666029E-2</v>
      </c>
      <c r="X265" s="3">
        <f t="shared" si="251"/>
        <v>3.1519187257558998E-7</v>
      </c>
      <c r="Y265" s="3">
        <f t="shared" si="251"/>
        <v>3.2569173295549497E-55</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6.6765944370475505E-2</v>
      </c>
      <c r="C266" s="3">
        <f t="shared" si="252"/>
        <v>6.6765944370475505E-2</v>
      </c>
      <c r="D266" s="3">
        <f t="shared" si="252"/>
        <v>6.6765944370475505E-2</v>
      </c>
      <c r="E266" s="3">
        <f t="shared" si="252"/>
        <v>6.6765944370475505E-2</v>
      </c>
      <c r="F266" s="3">
        <f t="shared" si="252"/>
        <v>6.6765944370475505E-2</v>
      </c>
      <c r="G266" s="3">
        <f t="shared" si="252"/>
        <v>6.6765944370475505E-2</v>
      </c>
      <c r="H266" s="3">
        <f t="shared" si="252"/>
        <v>6.6765944370475491E-2</v>
      </c>
      <c r="I266" s="3">
        <f t="shared" si="252"/>
        <v>6.6765944370475436E-2</v>
      </c>
      <c r="J266" s="3">
        <f t="shared" si="252"/>
        <v>6.676594437047477E-2</v>
      </c>
      <c r="K266" s="3">
        <f t="shared" si="252"/>
        <v>6.6765944370468108E-2</v>
      </c>
      <c r="L266" s="3">
        <f t="shared" si="252"/>
        <v>6.6765944370401564E-2</v>
      </c>
      <c r="M266" s="3">
        <f t="shared" si="252"/>
        <v>6.6765944369736097E-2</v>
      </c>
      <c r="N266" s="3">
        <f t="shared" si="252"/>
        <v>6.6765944363081378E-2</v>
      </c>
      <c r="O266" s="3">
        <f t="shared" si="252"/>
        <v>6.676594429653418E-2</v>
      </c>
      <c r="P266" s="3">
        <f t="shared" si="252"/>
        <v>6.676594363106228E-2</v>
      </c>
      <c r="Q266" s="3">
        <f t="shared" si="252"/>
        <v>6.6765936976343573E-2</v>
      </c>
      <c r="R266" s="3">
        <f t="shared" si="252"/>
        <v>6.6765870429193117E-2</v>
      </c>
      <c r="S266" s="3">
        <f t="shared" si="252"/>
        <v>6.6765204961336547E-2</v>
      </c>
      <c r="T266" s="3">
        <f t="shared" si="252"/>
        <v>6.6758550647566292E-2</v>
      </c>
      <c r="U266" s="3">
        <f t="shared" si="252"/>
        <v>6.6692043975954227E-2</v>
      </c>
      <c r="V266" s="3">
        <f t="shared" si="252"/>
        <v>6.6030610456412633E-2</v>
      </c>
      <c r="W266" s="3">
        <f t="shared" si="252"/>
        <v>5.976654590827165E-2</v>
      </c>
      <c r="X266" s="3">
        <f t="shared" si="252"/>
        <v>2.2059039948591486E-2</v>
      </c>
      <c r="Y266" s="3">
        <f t="shared" si="252"/>
        <v>1.0348349921205844E-6</v>
      </c>
      <c r="Z266" s="3">
        <f t="shared" si="252"/>
        <v>5.3421501427056233E-50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4.8603939630861931E-2</v>
      </c>
      <c r="C267" s="3">
        <f t="shared" si="253"/>
        <v>4.8603939630861931E-2</v>
      </c>
      <c r="D267" s="3">
        <f t="shared" si="253"/>
        <v>4.8603939630861931E-2</v>
      </c>
      <c r="E267" s="3">
        <f t="shared" si="253"/>
        <v>4.8603939630861931E-2</v>
      </c>
      <c r="F267" s="3">
        <f t="shared" si="253"/>
        <v>4.8603939630861931E-2</v>
      </c>
      <c r="G267" s="3">
        <f t="shared" si="253"/>
        <v>4.8603939630861931E-2</v>
      </c>
      <c r="H267" s="3">
        <f t="shared" si="253"/>
        <v>4.8603939630861931E-2</v>
      </c>
      <c r="I267" s="3">
        <f t="shared" si="253"/>
        <v>4.8603939630861924E-2</v>
      </c>
      <c r="J267" s="3">
        <f t="shared" si="253"/>
        <v>4.8603939630861882E-2</v>
      </c>
      <c r="K267" s="3">
        <f t="shared" si="253"/>
        <v>4.8603939630861445E-2</v>
      </c>
      <c r="L267" s="3">
        <f t="shared" si="253"/>
        <v>4.8603939630857074E-2</v>
      </c>
      <c r="M267" s="3">
        <f t="shared" si="253"/>
        <v>4.8603939630813379E-2</v>
      </c>
      <c r="N267" s="3">
        <f t="shared" si="253"/>
        <v>4.8603939630376361E-2</v>
      </c>
      <c r="O267" s="3">
        <f t="shared" si="253"/>
        <v>4.8603939626006246E-2</v>
      </c>
      <c r="P267" s="3">
        <f t="shared" si="253"/>
        <v>4.8603939582305106E-2</v>
      </c>
      <c r="Q267" s="3">
        <f t="shared" si="253"/>
        <v>4.8603939145293679E-2</v>
      </c>
      <c r="R267" s="3">
        <f t="shared" si="253"/>
        <v>4.8603934775179623E-2</v>
      </c>
      <c r="S267" s="3">
        <f t="shared" si="253"/>
        <v>4.8603891074060664E-2</v>
      </c>
      <c r="T267" s="3">
        <f t="shared" si="253"/>
        <v>4.8603454065032151E-2</v>
      </c>
      <c r="U267" s="3">
        <f t="shared" si="253"/>
        <v>4.859908419085008E-2</v>
      </c>
      <c r="V267" s="3">
        <f t="shared" si="253"/>
        <v>4.8555407052139808E-2</v>
      </c>
      <c r="W267" s="3">
        <f t="shared" si="253"/>
        <v>4.8120788806471408E-2</v>
      </c>
      <c r="X267" s="3">
        <f t="shared" si="253"/>
        <v>4.3982926509129841E-2</v>
      </c>
      <c r="Y267" s="3">
        <f t="shared" si="253"/>
        <v>1.7897730864090858E-2</v>
      </c>
      <c r="Z267" s="3">
        <f t="shared" si="253"/>
        <v>2.2281092225232636E-6</v>
      </c>
      <c r="AA267" s="3">
        <f t="shared" si="253"/>
        <v>1.9921475774189644E-45</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3.7549192378247005E-2</v>
      </c>
      <c r="C268" s="3">
        <f t="shared" si="254"/>
        <v>3.7549192378247005E-2</v>
      </c>
      <c r="D268" s="3">
        <f t="shared" si="254"/>
        <v>3.7549192378247005E-2</v>
      </c>
      <c r="E268" s="3">
        <f t="shared" si="254"/>
        <v>3.7549192378247005E-2</v>
      </c>
      <c r="F268" s="3">
        <f t="shared" si="254"/>
        <v>3.7549192378247005E-2</v>
      </c>
      <c r="G268" s="3">
        <f t="shared" si="254"/>
        <v>3.7549192378247005E-2</v>
      </c>
      <c r="H268" s="3">
        <f t="shared" si="254"/>
        <v>3.7549192378247005E-2</v>
      </c>
      <c r="I268" s="3">
        <f t="shared" si="254"/>
        <v>3.7549192378247005E-2</v>
      </c>
      <c r="J268" s="3">
        <f t="shared" si="254"/>
        <v>3.7549192378246998E-2</v>
      </c>
      <c r="K268" s="3">
        <f t="shared" si="254"/>
        <v>3.7549192378246971E-2</v>
      </c>
      <c r="L268" s="3">
        <f t="shared" si="254"/>
        <v>3.7549192378246665E-2</v>
      </c>
      <c r="M268" s="3">
        <f t="shared" si="254"/>
        <v>3.7549192378243619E-2</v>
      </c>
      <c r="N268" s="3">
        <f t="shared" si="254"/>
        <v>3.7549192378213164E-2</v>
      </c>
      <c r="O268" s="3">
        <f t="shared" si="254"/>
        <v>3.7549192377908609E-2</v>
      </c>
      <c r="P268" s="3">
        <f t="shared" si="254"/>
        <v>3.7549192374863039E-2</v>
      </c>
      <c r="Q268" s="3">
        <f t="shared" si="254"/>
        <v>3.7549192344407345E-2</v>
      </c>
      <c r="R268" s="3">
        <f t="shared" si="254"/>
        <v>3.7549192039850396E-2</v>
      </c>
      <c r="S268" s="3">
        <f t="shared" si="254"/>
        <v>3.7549188994281044E-2</v>
      </c>
      <c r="T268" s="3">
        <f t="shared" si="254"/>
        <v>3.7549158538601156E-2</v>
      </c>
      <c r="U268" s="3">
        <f t="shared" si="254"/>
        <v>3.7548853983160831E-2</v>
      </c>
      <c r="V268" s="3">
        <f t="shared" si="254"/>
        <v>3.7545808564615431E-2</v>
      </c>
      <c r="W268" s="3">
        <f t="shared" si="254"/>
        <v>3.7515367960867053E-2</v>
      </c>
      <c r="X268" s="3">
        <f t="shared" si="254"/>
        <v>3.721231602686724E-2</v>
      </c>
      <c r="Y268" s="3">
        <f t="shared" si="254"/>
        <v>3.4313229999767762E-2</v>
      </c>
      <c r="Z268" s="3">
        <f t="shared" si="254"/>
        <v>1.5247920149886875E-2</v>
      </c>
      <c r="AA268" s="3">
        <f t="shared" si="254"/>
        <v>4.5782624558009143E-6</v>
      </c>
      <c r="AB268" s="3">
        <f t="shared" si="254"/>
        <v>2.7264745746996184E-41</v>
      </c>
      <c r="AC268" s="3">
        <f t="shared" si="254"/>
        <v>0</v>
      </c>
      <c r="AD268" s="3">
        <f t="shared" si="254"/>
        <v>0</v>
      </c>
      <c r="AE268" s="3">
        <f t="shared" si="254"/>
        <v>0</v>
      </c>
      <c r="AF268" s="3">
        <f t="shared" si="254"/>
        <v>0</v>
      </c>
      <c r="AG268" s="3"/>
      <c r="AH268" s="3"/>
    </row>
    <row r="269" spans="2:34" x14ac:dyDescent="0.25">
      <c r="B269" s="3">
        <f t="shared" ref="B269:AF269" si="255">$C38*EXP(-B$246/$A38/EXP(-$E$126))</f>
        <v>7.8409043454057813E-3</v>
      </c>
      <c r="C269" s="3">
        <f t="shared" si="255"/>
        <v>7.8409043454057813E-3</v>
      </c>
      <c r="D269" s="3">
        <f t="shared" si="255"/>
        <v>7.8409043454057813E-3</v>
      </c>
      <c r="E269" s="3">
        <f t="shared" si="255"/>
        <v>7.8409043454057813E-3</v>
      </c>
      <c r="F269" s="3">
        <f t="shared" si="255"/>
        <v>7.8409043454057813E-3</v>
      </c>
      <c r="G269" s="3">
        <f t="shared" si="255"/>
        <v>7.8409043454057813E-3</v>
      </c>
      <c r="H269" s="3">
        <f t="shared" si="255"/>
        <v>7.8409043454057813E-3</v>
      </c>
      <c r="I269" s="3">
        <f t="shared" si="255"/>
        <v>7.8409043454057813E-3</v>
      </c>
      <c r="J269" s="3">
        <f t="shared" si="255"/>
        <v>7.8409043454057813E-3</v>
      </c>
      <c r="K269" s="3">
        <f t="shared" si="255"/>
        <v>7.8409043454057796E-3</v>
      </c>
      <c r="L269" s="3">
        <f t="shared" si="255"/>
        <v>7.8409043454057744E-3</v>
      </c>
      <c r="M269" s="3">
        <f t="shared" si="255"/>
        <v>7.8409043454057172E-3</v>
      </c>
      <c r="N269" s="3">
        <f t="shared" si="255"/>
        <v>7.8409043454051447E-3</v>
      </c>
      <c r="O269" s="3">
        <f t="shared" si="255"/>
        <v>7.8409043453994062E-3</v>
      </c>
      <c r="P269" s="3">
        <f t="shared" si="255"/>
        <v>7.8409043453420372E-3</v>
      </c>
      <c r="Q269" s="3">
        <f t="shared" si="255"/>
        <v>7.8409043447683433E-3</v>
      </c>
      <c r="R269" s="3">
        <f t="shared" si="255"/>
        <v>7.8409043390313994E-3</v>
      </c>
      <c r="S269" s="3">
        <f t="shared" si="255"/>
        <v>7.8409042816619517E-3</v>
      </c>
      <c r="T269" s="3">
        <f t="shared" si="255"/>
        <v>7.8409037079675108E-3</v>
      </c>
      <c r="U269" s="3">
        <f t="shared" si="255"/>
        <v>7.8408979710254158E-3</v>
      </c>
      <c r="V269" s="3">
        <f t="shared" si="255"/>
        <v>7.8408406018353298E-3</v>
      </c>
      <c r="W269" s="3">
        <f t="shared" si="255"/>
        <v>7.8402669330202464E-3</v>
      </c>
      <c r="X269" s="3">
        <f t="shared" si="255"/>
        <v>7.8345325528238439E-3</v>
      </c>
      <c r="Y269" s="3">
        <f t="shared" si="255"/>
        <v>7.7774189227192555E-3</v>
      </c>
      <c r="Z269" s="3">
        <f t="shared" si="255"/>
        <v>7.2286886998670138E-3</v>
      </c>
      <c r="AA269" s="3">
        <f t="shared" si="255"/>
        <v>3.4777617204595282E-3</v>
      </c>
      <c r="AB269" s="3">
        <f t="shared" si="255"/>
        <v>2.3104832661254068E-6</v>
      </c>
      <c r="AC269" s="3">
        <f t="shared" si="255"/>
        <v>3.8701952255464837E-38</v>
      </c>
      <c r="AD269" s="3">
        <f t="shared" si="255"/>
        <v>0</v>
      </c>
      <c r="AE269" s="3">
        <f t="shared" si="255"/>
        <v>0</v>
      </c>
      <c r="AF269" s="3">
        <f t="shared" si="255"/>
        <v>0</v>
      </c>
      <c r="AG269" s="3"/>
      <c r="AH269" s="3"/>
    </row>
    <row r="270" spans="2:34" x14ac:dyDescent="0.25">
      <c r="B270" s="3">
        <f t="shared" ref="B270:AF270" si="256">$C39*EXP(-B$246/$A39/EXP(-$E$126))</f>
        <v>1.487119099211914E-2</v>
      </c>
      <c r="C270" s="3">
        <f t="shared" si="256"/>
        <v>1.487119099211914E-2</v>
      </c>
      <c r="D270" s="3">
        <f t="shared" si="256"/>
        <v>1.487119099211914E-2</v>
      </c>
      <c r="E270" s="3">
        <f t="shared" si="256"/>
        <v>1.487119099211914E-2</v>
      </c>
      <c r="F270" s="3">
        <f t="shared" si="256"/>
        <v>1.487119099211914E-2</v>
      </c>
      <c r="G270" s="3">
        <f t="shared" si="256"/>
        <v>1.487119099211914E-2</v>
      </c>
      <c r="H270" s="3">
        <f t="shared" si="256"/>
        <v>1.487119099211914E-2</v>
      </c>
      <c r="I270" s="3">
        <f t="shared" si="256"/>
        <v>1.487119099211914E-2</v>
      </c>
      <c r="J270" s="3">
        <f t="shared" si="256"/>
        <v>1.487119099211914E-2</v>
      </c>
      <c r="K270" s="3">
        <f t="shared" si="256"/>
        <v>1.487119099211914E-2</v>
      </c>
      <c r="L270" s="3">
        <f t="shared" si="256"/>
        <v>1.4871190992119136E-2</v>
      </c>
      <c r="M270" s="3">
        <f t="shared" si="256"/>
        <v>1.4871190992119107E-2</v>
      </c>
      <c r="N270" s="3">
        <f t="shared" si="256"/>
        <v>1.4871190992118805E-2</v>
      </c>
      <c r="O270" s="3">
        <f t="shared" si="256"/>
        <v>1.4871190992115797E-2</v>
      </c>
      <c r="P270" s="3">
        <f t="shared" si="256"/>
        <v>1.4871190992085703E-2</v>
      </c>
      <c r="Q270" s="3">
        <f t="shared" si="256"/>
        <v>1.4871190991784767E-2</v>
      </c>
      <c r="R270" s="3">
        <f t="shared" si="256"/>
        <v>1.4871190988775415E-2</v>
      </c>
      <c r="S270" s="3">
        <f t="shared" si="256"/>
        <v>1.4871190958681885E-2</v>
      </c>
      <c r="T270" s="3">
        <f t="shared" si="256"/>
        <v>1.48711906577466E-2</v>
      </c>
      <c r="U270" s="3">
        <f t="shared" si="256"/>
        <v>1.4871187648394082E-2</v>
      </c>
      <c r="V270" s="3">
        <f t="shared" si="256"/>
        <v>1.48711575549024E-2</v>
      </c>
      <c r="W270" s="3">
        <f t="shared" si="256"/>
        <v>1.487085662333491E-2</v>
      </c>
      <c r="X270" s="3">
        <f t="shared" si="256"/>
        <v>1.4867847642569196E-2</v>
      </c>
      <c r="Y270" s="3">
        <f t="shared" si="256"/>
        <v>1.4837791300767159E-2</v>
      </c>
      <c r="Z270" s="3">
        <f t="shared" si="256"/>
        <v>1.4540549546200382E-2</v>
      </c>
      <c r="AA270" s="3">
        <f t="shared" si="256"/>
        <v>1.1876717971021633E-2</v>
      </c>
      <c r="AB270" s="3">
        <f t="shared" si="256"/>
        <v>1.5698301817995083E-3</v>
      </c>
      <c r="AC270" s="3">
        <f t="shared" si="256"/>
        <v>2.5551416680623172E-12</v>
      </c>
      <c r="AD270" s="3">
        <f t="shared" si="256"/>
        <v>3.3345565033209449E-100</v>
      </c>
      <c r="AE270" s="3">
        <f t="shared" si="256"/>
        <v>0</v>
      </c>
      <c r="AF270" s="3">
        <f t="shared" si="256"/>
        <v>0</v>
      </c>
      <c r="AG270" s="3"/>
      <c r="AH270" s="3"/>
    </row>
    <row r="271" spans="2:34" x14ac:dyDescent="0.25">
      <c r="B271" s="3">
        <f t="shared" ref="B271:AF271" si="257">$C40*EXP(-B$246/$A40/EXP(-$E$126))</f>
        <v>3.2949113910046581E-3</v>
      </c>
      <c r="C271" s="3">
        <f t="shared" si="257"/>
        <v>3.2949113910046581E-3</v>
      </c>
      <c r="D271" s="3">
        <f t="shared" si="257"/>
        <v>3.2949113910046581E-3</v>
      </c>
      <c r="E271" s="3">
        <f t="shared" si="257"/>
        <v>3.2949113910046581E-3</v>
      </c>
      <c r="F271" s="3">
        <f t="shared" si="257"/>
        <v>3.2949113910046581E-3</v>
      </c>
      <c r="G271" s="3">
        <f t="shared" si="257"/>
        <v>3.2949113910046581E-3</v>
      </c>
      <c r="H271" s="3">
        <f t="shared" si="257"/>
        <v>3.2949113910046581E-3</v>
      </c>
      <c r="I271" s="3">
        <f t="shared" si="257"/>
        <v>3.2949113910046581E-3</v>
      </c>
      <c r="J271" s="3">
        <f t="shared" si="257"/>
        <v>3.2949113910046581E-3</v>
      </c>
      <c r="K271" s="3">
        <f t="shared" si="257"/>
        <v>3.2949113910046581E-3</v>
      </c>
      <c r="L271" s="3">
        <f t="shared" si="257"/>
        <v>3.2949113910046581E-3</v>
      </c>
      <c r="M271" s="3">
        <f t="shared" si="257"/>
        <v>3.2949113910046572E-3</v>
      </c>
      <c r="N271" s="3">
        <f t="shared" si="257"/>
        <v>3.2949113910046507E-3</v>
      </c>
      <c r="O271" s="3">
        <f t="shared" si="257"/>
        <v>3.2949113910045839E-3</v>
      </c>
      <c r="P271" s="3">
        <f t="shared" si="257"/>
        <v>3.2949113910039174E-3</v>
      </c>
      <c r="Q271" s="3">
        <f t="shared" si="257"/>
        <v>3.2949113909972495E-3</v>
      </c>
      <c r="R271" s="3">
        <f t="shared" si="257"/>
        <v>3.2949113909305733E-3</v>
      </c>
      <c r="S271" s="3">
        <f t="shared" si="257"/>
        <v>3.294911390263811E-3</v>
      </c>
      <c r="T271" s="3">
        <f t="shared" si="257"/>
        <v>3.2949113835961867E-3</v>
      </c>
      <c r="U271" s="3">
        <f t="shared" si="257"/>
        <v>3.2949113169199471E-3</v>
      </c>
      <c r="V271" s="3">
        <f t="shared" si="257"/>
        <v>3.2949106501576216E-3</v>
      </c>
      <c r="W271" s="3">
        <f t="shared" si="257"/>
        <v>3.2949039825417867E-3</v>
      </c>
      <c r="X271" s="3">
        <f t="shared" si="257"/>
        <v>3.29483730712553E-3</v>
      </c>
      <c r="Y271" s="3">
        <f t="shared" si="257"/>
        <v>3.2941706271665729E-3</v>
      </c>
      <c r="Z271" s="3">
        <f t="shared" si="257"/>
        <v>3.2875112423850889E-3</v>
      </c>
      <c r="AA271" s="3">
        <f t="shared" si="257"/>
        <v>3.2216533535634538E-3</v>
      </c>
      <c r="AB271" s="3">
        <f t="shared" si="257"/>
        <v>2.631445817030187E-3</v>
      </c>
      <c r="AC271" s="3">
        <f t="shared" si="257"/>
        <v>3.4781688640104277E-4</v>
      </c>
      <c r="AD271" s="3">
        <f t="shared" si="257"/>
        <v>5.6612583297401873E-13</v>
      </c>
      <c r="AE271" s="3">
        <f t="shared" si="257"/>
        <v>7.3881562092527398E-101</v>
      </c>
      <c r="AF271" s="3">
        <f t="shared" si="257"/>
        <v>0</v>
      </c>
      <c r="AG271" s="3"/>
      <c r="AH271" s="3"/>
    </row>
    <row r="272" spans="2:34" x14ac:dyDescent="0.25">
      <c r="B272" s="3">
        <f t="shared" ref="B272:AF272" si="258">$C41*EXP(-B$246/$A41/EXP(-$E$126))</f>
        <v>4.0317394660720415E-3</v>
      </c>
      <c r="C272" s="3">
        <f t="shared" si="258"/>
        <v>4.0317394660720415E-3</v>
      </c>
      <c r="D272" s="3">
        <f t="shared" si="258"/>
        <v>4.0317394660720415E-3</v>
      </c>
      <c r="E272" s="3">
        <f t="shared" si="258"/>
        <v>4.0317394660720415E-3</v>
      </c>
      <c r="F272" s="3">
        <f t="shared" si="258"/>
        <v>4.0317394660720415E-3</v>
      </c>
      <c r="G272" s="3">
        <f t="shared" si="258"/>
        <v>4.0317394660720415E-3</v>
      </c>
      <c r="H272" s="3">
        <f t="shared" si="258"/>
        <v>4.0317394660720415E-3</v>
      </c>
      <c r="I272" s="3">
        <f t="shared" si="258"/>
        <v>4.0317394660720415E-3</v>
      </c>
      <c r="J272" s="3">
        <f t="shared" si="258"/>
        <v>4.0317394660720415E-3</v>
      </c>
      <c r="K272" s="3">
        <f t="shared" si="258"/>
        <v>4.0317394660720415E-3</v>
      </c>
      <c r="L272" s="3">
        <f t="shared" si="258"/>
        <v>4.0317394660720415E-3</v>
      </c>
      <c r="M272" s="3">
        <f t="shared" si="258"/>
        <v>4.0317394660720415E-3</v>
      </c>
      <c r="N272" s="3">
        <f t="shared" si="258"/>
        <v>4.0317394660720407E-3</v>
      </c>
      <c r="O272" s="3">
        <f t="shared" si="258"/>
        <v>4.0317394660720329E-3</v>
      </c>
      <c r="P272" s="3">
        <f t="shared" si="258"/>
        <v>4.0317394660719505E-3</v>
      </c>
      <c r="Q272" s="3">
        <f t="shared" si="258"/>
        <v>4.0317394660711351E-3</v>
      </c>
      <c r="R272" s="3">
        <f t="shared" si="258"/>
        <v>4.0317394660629767E-3</v>
      </c>
      <c r="S272" s="3">
        <f t="shared" si="258"/>
        <v>4.0317394659813892E-3</v>
      </c>
      <c r="T272" s="3">
        <f t="shared" si="258"/>
        <v>4.0317394651655219E-3</v>
      </c>
      <c r="U272" s="3">
        <f t="shared" si="258"/>
        <v>4.0317394570068433E-3</v>
      </c>
      <c r="V272" s="3">
        <f t="shared" si="258"/>
        <v>4.0317393754200582E-3</v>
      </c>
      <c r="W272" s="3">
        <f t="shared" si="258"/>
        <v>4.031738559552296E-3</v>
      </c>
      <c r="X272" s="3">
        <f t="shared" si="258"/>
        <v>4.0317304008837566E-3</v>
      </c>
      <c r="Y272" s="3">
        <f t="shared" si="258"/>
        <v>4.0316488151064048E-3</v>
      </c>
      <c r="Z272" s="3">
        <f t="shared" si="258"/>
        <v>4.0308330481303627E-3</v>
      </c>
      <c r="AA272" s="3">
        <f t="shared" si="258"/>
        <v>4.0226844513223973E-3</v>
      </c>
      <c r="AB272" s="3">
        <f t="shared" si="258"/>
        <v>3.9420990218509821E-3</v>
      </c>
      <c r="AC272" s="3">
        <f t="shared" si="258"/>
        <v>3.2199056952836266E-3</v>
      </c>
      <c r="AD272" s="3">
        <f t="shared" si="258"/>
        <v>4.2559780869912855E-4</v>
      </c>
      <c r="AE272" s="3">
        <f t="shared" si="258"/>
        <v>6.9272632635753729E-13</v>
      </c>
      <c r="AF272" s="3">
        <f t="shared" si="258"/>
        <v>9.0403405237756723E-101</v>
      </c>
      <c r="AG272" s="3"/>
      <c r="AH272" s="3"/>
    </row>
    <row r="273" spans="1:34" x14ac:dyDescent="0.25">
      <c r="B273" s="3">
        <f t="shared" ref="B273:AF273" si="259">$C42*EXP(-B$246/$A42/EXP(-$E$126))</f>
        <v>2.1502645285220883E-3</v>
      </c>
      <c r="C273" s="3">
        <f t="shared" si="259"/>
        <v>2.1502645285220883E-3</v>
      </c>
      <c r="D273" s="3">
        <f t="shared" si="259"/>
        <v>2.1502645285220883E-3</v>
      </c>
      <c r="E273" s="3">
        <f t="shared" si="259"/>
        <v>2.1502645285220883E-3</v>
      </c>
      <c r="F273" s="3">
        <f t="shared" si="259"/>
        <v>2.1502645285220883E-3</v>
      </c>
      <c r="G273" s="3">
        <f t="shared" si="259"/>
        <v>2.1502645285220883E-3</v>
      </c>
      <c r="H273" s="3">
        <f t="shared" si="259"/>
        <v>2.1502645285220883E-3</v>
      </c>
      <c r="I273" s="3">
        <f t="shared" si="259"/>
        <v>2.1502645285220883E-3</v>
      </c>
      <c r="J273" s="3">
        <f t="shared" si="259"/>
        <v>2.1502645285220883E-3</v>
      </c>
      <c r="K273" s="3">
        <f t="shared" si="259"/>
        <v>2.1502645285220883E-3</v>
      </c>
      <c r="L273" s="3">
        <f t="shared" si="259"/>
        <v>2.1502645285220883E-3</v>
      </c>
      <c r="M273" s="3">
        <f t="shared" si="259"/>
        <v>2.1502645285220883E-3</v>
      </c>
      <c r="N273" s="3">
        <f t="shared" si="259"/>
        <v>2.1502645285220883E-3</v>
      </c>
      <c r="O273" s="3">
        <f t="shared" si="259"/>
        <v>2.1502645285220879E-3</v>
      </c>
      <c r="P273" s="3">
        <f t="shared" si="259"/>
        <v>2.1502645285220836E-3</v>
      </c>
      <c r="Q273" s="3">
        <f t="shared" si="259"/>
        <v>2.1502645285220398E-3</v>
      </c>
      <c r="R273" s="3">
        <f t="shared" si="259"/>
        <v>2.1502645285216048E-3</v>
      </c>
      <c r="S273" s="3">
        <f t="shared" si="259"/>
        <v>2.1502645285172537E-3</v>
      </c>
      <c r="T273" s="3">
        <f t="shared" si="259"/>
        <v>2.1502645284737407E-3</v>
      </c>
      <c r="U273" s="3">
        <f t="shared" si="259"/>
        <v>2.1502645280386105E-3</v>
      </c>
      <c r="V273" s="3">
        <f t="shared" si="259"/>
        <v>2.1502645236873077E-3</v>
      </c>
      <c r="W273" s="3">
        <f t="shared" si="259"/>
        <v>2.1502644801742856E-3</v>
      </c>
      <c r="X273" s="3">
        <f t="shared" si="259"/>
        <v>2.1502640450441085E-3</v>
      </c>
      <c r="Y273" s="3">
        <f t="shared" si="259"/>
        <v>2.1502596937471785E-3</v>
      </c>
      <c r="Z273" s="3">
        <f t="shared" si="259"/>
        <v>2.150216181262171E-3</v>
      </c>
      <c r="AA273" s="3">
        <f t="shared" si="259"/>
        <v>2.1497811048374954E-3</v>
      </c>
      <c r="AB273" s="3">
        <f t="shared" si="259"/>
        <v>2.1454351795065448E-3</v>
      </c>
      <c r="AC273" s="3">
        <f t="shared" si="259"/>
        <v>2.1024562142320539E-3</v>
      </c>
      <c r="AD273" s="3">
        <f t="shared" si="259"/>
        <v>1.7172858167097938E-3</v>
      </c>
      <c r="AE273" s="3">
        <f t="shared" si="259"/>
        <v>2.2698586532280486E-4</v>
      </c>
      <c r="AF273" s="3">
        <f t="shared" si="259"/>
        <v>3.6945463864291577E-13</v>
      </c>
      <c r="AG273" s="3"/>
      <c r="AH273" s="3"/>
    </row>
    <row r="274" spans="1:34" x14ac:dyDescent="0.25">
      <c r="B274" s="3">
        <f t="shared" ref="B274:AF274" si="260">$C43*EXP(-B$246/$A43/EXP(-$E$126))</f>
        <v>0</v>
      </c>
      <c r="C274" s="3">
        <f t="shared" si="260"/>
        <v>0</v>
      </c>
      <c r="D274" s="3">
        <f t="shared" si="260"/>
        <v>0</v>
      </c>
      <c r="E274" s="3">
        <f t="shared" si="260"/>
        <v>0</v>
      </c>
      <c r="F274" s="3">
        <f t="shared" si="260"/>
        <v>0</v>
      </c>
      <c r="G274" s="3">
        <f t="shared" si="260"/>
        <v>0</v>
      </c>
      <c r="H274" s="3">
        <f t="shared" si="260"/>
        <v>0</v>
      </c>
      <c r="I274" s="3">
        <f t="shared" si="260"/>
        <v>0</v>
      </c>
      <c r="J274" s="3">
        <f t="shared" si="260"/>
        <v>0</v>
      </c>
      <c r="K274" s="3">
        <f t="shared" si="260"/>
        <v>0</v>
      </c>
      <c r="L274" s="3">
        <f t="shared" si="260"/>
        <v>0</v>
      </c>
      <c r="M274" s="3">
        <f t="shared" si="260"/>
        <v>0</v>
      </c>
      <c r="N274" s="3">
        <f t="shared" si="260"/>
        <v>0</v>
      </c>
      <c r="O274" s="3">
        <f t="shared" si="260"/>
        <v>0</v>
      </c>
      <c r="P274" s="3">
        <f t="shared" si="260"/>
        <v>0</v>
      </c>
      <c r="Q274" s="3">
        <f t="shared" si="260"/>
        <v>0</v>
      </c>
      <c r="R274" s="3">
        <f t="shared" si="260"/>
        <v>0</v>
      </c>
      <c r="S274" s="3">
        <f t="shared" si="260"/>
        <v>0</v>
      </c>
      <c r="T274" s="3">
        <f t="shared" si="260"/>
        <v>0</v>
      </c>
      <c r="U274" s="3">
        <f t="shared" si="260"/>
        <v>0</v>
      </c>
      <c r="V274" s="3">
        <f t="shared" si="260"/>
        <v>0</v>
      </c>
      <c r="W274" s="3">
        <f t="shared" si="260"/>
        <v>0</v>
      </c>
      <c r="X274" s="3">
        <f t="shared" si="260"/>
        <v>0</v>
      </c>
      <c r="Y274" s="3">
        <f t="shared" si="260"/>
        <v>0</v>
      </c>
      <c r="Z274" s="3">
        <f t="shared" si="260"/>
        <v>0</v>
      </c>
      <c r="AA274" s="3">
        <f t="shared" si="260"/>
        <v>0</v>
      </c>
      <c r="AB274" s="3">
        <f t="shared" si="260"/>
        <v>0</v>
      </c>
      <c r="AC274" s="3">
        <f t="shared" si="260"/>
        <v>0</v>
      </c>
      <c r="AD274" s="3">
        <f t="shared" si="260"/>
        <v>0</v>
      </c>
      <c r="AE274" s="3">
        <f t="shared" si="260"/>
        <v>0</v>
      </c>
      <c r="AF274" s="3">
        <f t="shared" si="260"/>
        <v>0</v>
      </c>
      <c r="AG274" s="3"/>
      <c r="AH274" s="3"/>
    </row>
    <row r="275" spans="1:34" x14ac:dyDescent="0.25">
      <c r="B275" s="3">
        <f t="shared" ref="B275:AF275" si="261">$C44*EXP(-B$246/$A44/EXP(-$E$126))</f>
        <v>3.0564736295290245E-3</v>
      </c>
      <c r="C275" s="3">
        <f t="shared" si="261"/>
        <v>3.0564736295290245E-3</v>
      </c>
      <c r="D275" s="3">
        <f t="shared" si="261"/>
        <v>3.0564736295290245E-3</v>
      </c>
      <c r="E275" s="3">
        <f t="shared" si="261"/>
        <v>3.0564736295290245E-3</v>
      </c>
      <c r="F275" s="3">
        <f t="shared" si="261"/>
        <v>3.0564736295290245E-3</v>
      </c>
      <c r="G275" s="3">
        <f t="shared" si="261"/>
        <v>3.0564736295290245E-3</v>
      </c>
      <c r="H275" s="3">
        <f t="shared" si="261"/>
        <v>3.0564736295290245E-3</v>
      </c>
      <c r="I275" s="3">
        <f t="shared" si="261"/>
        <v>3.0564736295290245E-3</v>
      </c>
      <c r="J275" s="3">
        <f t="shared" si="261"/>
        <v>3.0564736295290245E-3</v>
      </c>
      <c r="K275" s="3">
        <f t="shared" si="261"/>
        <v>3.0564736295290245E-3</v>
      </c>
      <c r="L275" s="3">
        <f t="shared" si="261"/>
        <v>3.0564736295290245E-3</v>
      </c>
      <c r="M275" s="3">
        <f t="shared" si="261"/>
        <v>3.0564736295290245E-3</v>
      </c>
      <c r="N275" s="3">
        <f t="shared" si="261"/>
        <v>3.0564736295290245E-3</v>
      </c>
      <c r="O275" s="3">
        <f t="shared" si="261"/>
        <v>3.0564736295290245E-3</v>
      </c>
      <c r="P275" s="3">
        <f t="shared" si="261"/>
        <v>3.0564736295290245E-3</v>
      </c>
      <c r="Q275" s="3">
        <f t="shared" si="261"/>
        <v>3.0564736295290236E-3</v>
      </c>
      <c r="R275" s="3">
        <f t="shared" si="261"/>
        <v>3.0564736295290175E-3</v>
      </c>
      <c r="S275" s="3">
        <f t="shared" si="261"/>
        <v>3.0564736295289555E-3</v>
      </c>
      <c r="T275" s="3">
        <f t="shared" si="261"/>
        <v>3.0564736295283375E-3</v>
      </c>
      <c r="U275" s="3">
        <f t="shared" si="261"/>
        <v>3.0564736295221524E-3</v>
      </c>
      <c r="V275" s="3">
        <f t="shared" si="261"/>
        <v>3.0564736294603008E-3</v>
      </c>
      <c r="W275" s="3">
        <f t="shared" si="261"/>
        <v>3.0564736288417891E-3</v>
      </c>
      <c r="X275" s="3">
        <f t="shared" si="261"/>
        <v>3.0564736226566707E-3</v>
      </c>
      <c r="Y275" s="3">
        <f t="shared" si="261"/>
        <v>3.0564735608054872E-3</v>
      </c>
      <c r="Z275" s="3">
        <f t="shared" si="261"/>
        <v>3.0564729422937207E-3</v>
      </c>
      <c r="AA275" s="3">
        <f t="shared" si="261"/>
        <v>3.0564667571829382E-3</v>
      </c>
      <c r="AB275" s="3">
        <f t="shared" si="261"/>
        <v>3.0564049067635058E-3</v>
      </c>
      <c r="AC275" s="3">
        <f t="shared" si="261"/>
        <v>3.055786471403013E-3</v>
      </c>
      <c r="AD275" s="3">
        <f t="shared" si="261"/>
        <v>3.049608996030212E-3</v>
      </c>
      <c r="AE275" s="3">
        <f t="shared" si="261"/>
        <v>2.9885169432881183E-3</v>
      </c>
      <c r="AF275" s="3">
        <f t="shared" si="261"/>
        <v>2.4410200435875259E-3</v>
      </c>
      <c r="AG275" s="3"/>
      <c r="AH275" s="3"/>
    </row>
    <row r="276" spans="1:34" x14ac:dyDescent="0.25">
      <c r="B276" s="3">
        <f t="shared" ref="B276:AF276" si="262">$C45*EXP(-B$246/$A45/EXP(-$E$126))</f>
        <v>1.3352216676863077E-3</v>
      </c>
      <c r="C276" s="3">
        <f t="shared" si="262"/>
        <v>1.3352216676863077E-3</v>
      </c>
      <c r="D276" s="3">
        <f t="shared" si="262"/>
        <v>1.3352216676863077E-3</v>
      </c>
      <c r="E276" s="3">
        <f t="shared" si="262"/>
        <v>1.3352216676863077E-3</v>
      </c>
      <c r="F276" s="3">
        <f t="shared" si="262"/>
        <v>1.3352216676863077E-3</v>
      </c>
      <c r="G276" s="3">
        <f t="shared" si="262"/>
        <v>1.3352216676863077E-3</v>
      </c>
      <c r="H276" s="3">
        <f t="shared" si="262"/>
        <v>1.3352216676863077E-3</v>
      </c>
      <c r="I276" s="3">
        <f t="shared" si="262"/>
        <v>1.3352216676863077E-3</v>
      </c>
      <c r="J276" s="3">
        <f t="shared" si="262"/>
        <v>1.3352216676863077E-3</v>
      </c>
      <c r="K276" s="3">
        <f t="shared" si="262"/>
        <v>1.3352216676863077E-3</v>
      </c>
      <c r="L276" s="3">
        <f t="shared" si="262"/>
        <v>1.3352216676863077E-3</v>
      </c>
      <c r="M276" s="3">
        <f t="shared" si="262"/>
        <v>1.3352216676863077E-3</v>
      </c>
      <c r="N276" s="3">
        <f t="shared" si="262"/>
        <v>1.3352216676863077E-3</v>
      </c>
      <c r="O276" s="3">
        <f t="shared" si="262"/>
        <v>1.3352216676863077E-3</v>
      </c>
      <c r="P276" s="3">
        <f t="shared" si="262"/>
        <v>1.3352216676863077E-3</v>
      </c>
      <c r="Q276" s="3">
        <f t="shared" si="262"/>
        <v>1.3352216676863077E-3</v>
      </c>
      <c r="R276" s="3">
        <f t="shared" si="262"/>
        <v>1.3352216676863074E-3</v>
      </c>
      <c r="S276" s="3">
        <f t="shared" si="262"/>
        <v>1.3352216676863046E-3</v>
      </c>
      <c r="T276" s="3">
        <f t="shared" si="262"/>
        <v>1.3352216676862775E-3</v>
      </c>
      <c r="U276" s="3">
        <f t="shared" si="262"/>
        <v>1.3352216676860075E-3</v>
      </c>
      <c r="V276" s="3">
        <f t="shared" si="262"/>
        <v>1.3352216676833055E-3</v>
      </c>
      <c r="W276" s="3">
        <f t="shared" si="262"/>
        <v>1.3352216676562857E-3</v>
      </c>
      <c r="X276" s="3">
        <f t="shared" si="262"/>
        <v>1.3352216673860886E-3</v>
      </c>
      <c r="Y276" s="3">
        <f t="shared" si="262"/>
        <v>1.3352216646841174E-3</v>
      </c>
      <c r="Z276" s="3">
        <f t="shared" si="262"/>
        <v>1.3352216376644043E-3</v>
      </c>
      <c r="AA276" s="3">
        <f t="shared" si="262"/>
        <v>1.3352213674673037E-3</v>
      </c>
      <c r="AB276" s="3">
        <f t="shared" si="262"/>
        <v>1.3352186654993058E-3</v>
      </c>
      <c r="AC276" s="3">
        <f t="shared" si="262"/>
        <v>1.3351916461200499E-3</v>
      </c>
      <c r="AD276" s="3">
        <f t="shared" si="262"/>
        <v>1.3349214823975772E-3</v>
      </c>
      <c r="AE276" s="3">
        <f t="shared" si="262"/>
        <v>1.3322228499311707E-3</v>
      </c>
      <c r="AF276" s="3">
        <f t="shared" si="262"/>
        <v>1.3055347634524899E-3</v>
      </c>
      <c r="AG276" s="3"/>
      <c r="AH276" s="3"/>
    </row>
    <row r="277" spans="1:34" x14ac:dyDescent="0.25">
      <c r="B277" s="3">
        <f t="shared" ref="B277:AF277" si="263">$C46*EXP(-B$246/$A46/EXP(-$E$126))</f>
        <v>0</v>
      </c>
      <c r="C277" s="3">
        <f t="shared" si="263"/>
        <v>0</v>
      </c>
      <c r="D277" s="3">
        <f t="shared" si="263"/>
        <v>0</v>
      </c>
      <c r="E277" s="3">
        <f t="shared" si="263"/>
        <v>0</v>
      </c>
      <c r="F277" s="3">
        <f t="shared" si="263"/>
        <v>0</v>
      </c>
      <c r="G277" s="3">
        <f t="shared" si="263"/>
        <v>0</v>
      </c>
      <c r="H277" s="3">
        <f t="shared" si="263"/>
        <v>0</v>
      </c>
      <c r="I277" s="3">
        <f t="shared" si="263"/>
        <v>0</v>
      </c>
      <c r="J277" s="3">
        <f t="shared" si="263"/>
        <v>0</v>
      </c>
      <c r="K277" s="3">
        <f t="shared" si="263"/>
        <v>0</v>
      </c>
      <c r="L277" s="3">
        <f t="shared" si="263"/>
        <v>0</v>
      </c>
      <c r="M277" s="3">
        <f t="shared" si="263"/>
        <v>0</v>
      </c>
      <c r="N277" s="3">
        <f t="shared" si="263"/>
        <v>0</v>
      </c>
      <c r="O277" s="3">
        <f t="shared" si="263"/>
        <v>0</v>
      </c>
      <c r="P277" s="3">
        <f t="shared" si="263"/>
        <v>0</v>
      </c>
      <c r="Q277" s="3">
        <f t="shared" si="263"/>
        <v>0</v>
      </c>
      <c r="R277" s="3">
        <f t="shared" si="263"/>
        <v>0</v>
      </c>
      <c r="S277" s="3">
        <f t="shared" si="263"/>
        <v>0</v>
      </c>
      <c r="T277" s="3">
        <f t="shared" si="263"/>
        <v>0</v>
      </c>
      <c r="U277" s="3">
        <f t="shared" si="263"/>
        <v>0</v>
      </c>
      <c r="V277" s="3">
        <f t="shared" si="263"/>
        <v>0</v>
      </c>
      <c r="W277" s="3">
        <f t="shared" si="263"/>
        <v>0</v>
      </c>
      <c r="X277" s="3">
        <f t="shared" si="263"/>
        <v>0</v>
      </c>
      <c r="Y277" s="3">
        <f t="shared" si="263"/>
        <v>0</v>
      </c>
      <c r="Z277" s="3">
        <f t="shared" si="263"/>
        <v>0</v>
      </c>
      <c r="AA277" s="3">
        <f t="shared" si="263"/>
        <v>0</v>
      </c>
      <c r="AB277" s="3">
        <f t="shared" si="263"/>
        <v>0</v>
      </c>
      <c r="AC277" s="3">
        <f t="shared" si="263"/>
        <v>0</v>
      </c>
      <c r="AD277" s="3">
        <f t="shared" si="263"/>
        <v>0</v>
      </c>
      <c r="AE277" s="3">
        <f t="shared" si="263"/>
        <v>0</v>
      </c>
      <c r="AF277" s="3">
        <f t="shared" si="263"/>
        <v>0</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0</v>
      </c>
      <c r="C279" s="3">
        <f t="shared" si="265"/>
        <v>0</v>
      </c>
      <c r="D279" s="3">
        <f t="shared" si="265"/>
        <v>0</v>
      </c>
      <c r="E279" s="3">
        <f t="shared" si="265"/>
        <v>0</v>
      </c>
      <c r="F279" s="3">
        <f t="shared" si="265"/>
        <v>0</v>
      </c>
      <c r="G279" s="3">
        <f t="shared" si="265"/>
        <v>0</v>
      </c>
      <c r="H279" s="3">
        <f t="shared" si="265"/>
        <v>0</v>
      </c>
      <c r="I279" s="3">
        <f t="shared" si="265"/>
        <v>0</v>
      </c>
      <c r="J279" s="3">
        <f t="shared" si="265"/>
        <v>0</v>
      </c>
      <c r="K279" s="3">
        <f t="shared" si="265"/>
        <v>0</v>
      </c>
      <c r="L279" s="3">
        <f t="shared" si="265"/>
        <v>0</v>
      </c>
      <c r="M279" s="3">
        <f t="shared" si="265"/>
        <v>0</v>
      </c>
      <c r="N279" s="3">
        <f t="shared" si="265"/>
        <v>0</v>
      </c>
      <c r="O279" s="3">
        <f t="shared" si="265"/>
        <v>0</v>
      </c>
      <c r="P279" s="3">
        <f t="shared" si="265"/>
        <v>0</v>
      </c>
      <c r="Q279" s="3">
        <f t="shared" si="265"/>
        <v>0</v>
      </c>
      <c r="R279" s="3">
        <f t="shared" si="265"/>
        <v>0</v>
      </c>
      <c r="S279" s="3">
        <f t="shared" si="265"/>
        <v>0</v>
      </c>
      <c r="T279" s="3">
        <f t="shared" si="265"/>
        <v>0</v>
      </c>
      <c r="U279" s="3">
        <f t="shared" si="265"/>
        <v>0</v>
      </c>
      <c r="V279" s="3">
        <f t="shared" si="265"/>
        <v>0</v>
      </c>
      <c r="W279" s="3">
        <f t="shared" si="265"/>
        <v>0</v>
      </c>
      <c r="X279" s="3">
        <f t="shared" si="265"/>
        <v>0</v>
      </c>
      <c r="Y279" s="3">
        <f t="shared" si="265"/>
        <v>0</v>
      </c>
      <c r="Z279" s="3">
        <f t="shared" si="265"/>
        <v>0</v>
      </c>
      <c r="AA279" s="3">
        <f t="shared" si="265"/>
        <v>0</v>
      </c>
      <c r="AB279" s="3">
        <f t="shared" si="265"/>
        <v>0</v>
      </c>
      <c r="AC279" s="3">
        <f t="shared" si="265"/>
        <v>0</v>
      </c>
      <c r="AD279" s="3">
        <f t="shared" si="265"/>
        <v>0</v>
      </c>
      <c r="AE279" s="3">
        <f t="shared" si="265"/>
        <v>0</v>
      </c>
      <c r="AF279" s="3">
        <f t="shared" si="265"/>
        <v>0</v>
      </c>
      <c r="AG279" s="3"/>
      <c r="AH279" s="3"/>
    </row>
    <row r="280" spans="1:34" x14ac:dyDescent="0.25">
      <c r="A280" s="79">
        <f>AVERAGE(B280:AF280)</f>
        <v>2.4746145048112268E-2</v>
      </c>
      <c r="B280" s="80">
        <f>IF($D$61&lt;=B246,IF($E$61&gt;=B246,ABS((B248-B247)/B247),0),0)</f>
        <v>0.10246402173662784</v>
      </c>
      <c r="C280" s="80">
        <f t="shared" ref="C280:AF280" si="266">IF($D$61&lt;=C246,IF($E$61&gt;=C246,ABS((C248-C247)/C247),0),0)</f>
        <v>8.0135927528890927E-2</v>
      </c>
      <c r="D280" s="80">
        <f t="shared" si="266"/>
        <v>5.9615672341424779E-2</v>
      </c>
      <c r="E280" s="80">
        <f t="shared" si="266"/>
        <v>3.641719905673594E-2</v>
      </c>
      <c r="F280" s="80">
        <f t="shared" si="266"/>
        <v>1.2934235830753357E-2</v>
      </c>
      <c r="G280" s="80">
        <f t="shared" si="266"/>
        <v>7.4765643211259216E-3</v>
      </c>
      <c r="H280" s="80">
        <f t="shared" si="266"/>
        <v>2.1270698906496983E-2</v>
      </c>
      <c r="I280" s="80">
        <f t="shared" si="266"/>
        <v>1.689479051055582E-2</v>
      </c>
      <c r="J280" s="80">
        <f t="shared" si="266"/>
        <v>1.9744849720725977E-2</v>
      </c>
      <c r="K280" s="80">
        <f t="shared" si="266"/>
        <v>2.0911319695479182E-2</v>
      </c>
      <c r="L280" s="80">
        <f t="shared" si="266"/>
        <v>2.1289683956011329E-2</v>
      </c>
      <c r="M280" s="80">
        <f t="shared" si="266"/>
        <v>2.0936865695985882E-2</v>
      </c>
      <c r="N280" s="80">
        <f t="shared" si="266"/>
        <v>2.0222584630506007E-2</v>
      </c>
      <c r="O280" s="80">
        <f t="shared" si="266"/>
        <v>2.1799640051873511E-2</v>
      </c>
      <c r="P280" s="80">
        <f t="shared" si="266"/>
        <v>2.1791836633384735E-2</v>
      </c>
      <c r="Q280" s="80">
        <f t="shared" si="266"/>
        <v>2.2572824434167447E-2</v>
      </c>
      <c r="R280" s="80">
        <f t="shared" si="266"/>
        <v>2.0645025199769833E-2</v>
      </c>
      <c r="S280" s="80">
        <f t="shared" si="266"/>
        <v>1.3299860487215051E-3</v>
      </c>
      <c r="T280" s="80">
        <f t="shared" si="266"/>
        <v>4.7904866032328824E-2</v>
      </c>
      <c r="U280" s="80">
        <f t="shared" si="266"/>
        <v>7.4342640329356516E-2</v>
      </c>
      <c r="V280" s="80">
        <f t="shared" si="266"/>
        <v>6.0277781040065218E-2</v>
      </c>
      <c r="W280" s="80">
        <f t="shared" si="266"/>
        <v>2.8797376379297503E-2</v>
      </c>
      <c r="X280" s="80">
        <f t="shared" si="266"/>
        <v>6.1765043896836276E-3</v>
      </c>
      <c r="Y280" s="80">
        <f t="shared" si="266"/>
        <v>2.1177602021511671E-2</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1072838.9848647022</v>
      </c>
      <c r="C281" s="21">
        <f t="shared" ref="C281:AF281" si="267">(C248-C247)^2</f>
        <v>624740.66684730083</v>
      </c>
      <c r="D281" s="21">
        <f t="shared" si="267"/>
        <v>330806.01440536033</v>
      </c>
      <c r="E281" s="21">
        <f t="shared" si="267"/>
        <v>117491.42695129944</v>
      </c>
      <c r="F281" s="21">
        <f t="shared" si="267"/>
        <v>14031.8174964301</v>
      </c>
      <c r="G281" s="21">
        <f t="shared" si="267"/>
        <v>4406.4574963320256</v>
      </c>
      <c r="H281" s="21">
        <f t="shared" si="267"/>
        <v>33462.195991981964</v>
      </c>
      <c r="I281" s="21">
        <f t="shared" si="267"/>
        <v>19828.22433567082</v>
      </c>
      <c r="J281" s="21">
        <f t="shared" si="267"/>
        <v>25116.401681984968</v>
      </c>
      <c r="K281" s="21">
        <f t="shared" si="267"/>
        <v>25667.537805144337</v>
      </c>
      <c r="L281" s="21">
        <f t="shared" si="267"/>
        <v>24051.373717799535</v>
      </c>
      <c r="M281" s="21">
        <f t="shared" si="267"/>
        <v>21264.160284544119</v>
      </c>
      <c r="N281" s="21">
        <f t="shared" si="267"/>
        <v>18236.080930631204</v>
      </c>
      <c r="O281" s="21">
        <f t="shared" si="267"/>
        <v>19418.09702852671</v>
      </c>
      <c r="P281" s="21">
        <f t="shared" si="267"/>
        <v>17676.514341276357</v>
      </c>
      <c r="Q281" s="21">
        <f t="shared" si="267"/>
        <v>17238.959250201104</v>
      </c>
      <c r="R281" s="21">
        <f t="shared" si="267"/>
        <v>12800.059427354015</v>
      </c>
      <c r="S281" s="21">
        <f t="shared" si="267"/>
        <v>44.24552985154078</v>
      </c>
      <c r="T281" s="21">
        <f t="shared" si="267"/>
        <v>43999.406391276643</v>
      </c>
      <c r="U281" s="21">
        <f t="shared" si="267"/>
        <v>77538.903954111214</v>
      </c>
      <c r="V281" s="21">
        <f t="shared" si="267"/>
        <v>36018.507149452271</v>
      </c>
      <c r="W281" s="21">
        <f t="shared" si="267"/>
        <v>5465.7851095807364</v>
      </c>
      <c r="X281" s="21">
        <f t="shared" si="267"/>
        <v>150.47822348312701</v>
      </c>
      <c r="Y281" s="21">
        <f t="shared" si="267"/>
        <v>948.16724486505632</v>
      </c>
      <c r="Z281" s="21">
        <f t="shared" si="267"/>
        <v>1100.5917691659854</v>
      </c>
      <c r="AA281" s="21">
        <f t="shared" si="267"/>
        <v>4.7016960073235099</v>
      </c>
      <c r="AB281" s="21">
        <f t="shared" si="267"/>
        <v>501.57737213174744</v>
      </c>
      <c r="AC281" s="21">
        <f t="shared" si="267"/>
        <v>1.9772585649244616</v>
      </c>
      <c r="AD281" s="21">
        <f t="shared" si="267"/>
        <v>13.862582244334899</v>
      </c>
      <c r="AE281" s="21">
        <f t="shared" si="267"/>
        <v>3.9019972950346014</v>
      </c>
      <c r="AF281" s="21">
        <f t="shared" si="267"/>
        <v>3.5913314217398873</v>
      </c>
      <c r="AG281" s="3"/>
      <c r="AH281" s="3"/>
    </row>
    <row r="282" spans="1:34" s="3" customFormat="1" x14ac:dyDescent="0.25">
      <c r="A282" s="71">
        <f>SUM(B282:AF282)</f>
        <v>2563240.4664591597</v>
      </c>
      <c r="B282" s="21">
        <f>IF($D$61&lt;=B246,IF($E$61&gt;=B246,ABS(B281),0),0)</f>
        <v>1072838.9848647022</v>
      </c>
      <c r="C282" s="21">
        <f t="shared" ref="C282:AF282" si="268">IF($D$61&lt;=C246,IF($E$61&gt;=C246,ABS(C281),0),0)</f>
        <v>624740.66684730083</v>
      </c>
      <c r="D282" s="21">
        <f t="shared" si="268"/>
        <v>330806.01440536033</v>
      </c>
      <c r="E282" s="21">
        <f t="shared" si="268"/>
        <v>117491.42695129944</v>
      </c>
      <c r="F282" s="21">
        <f t="shared" si="268"/>
        <v>14031.8174964301</v>
      </c>
      <c r="G282" s="21">
        <f t="shared" si="268"/>
        <v>4406.4574963320256</v>
      </c>
      <c r="H282" s="21">
        <f t="shared" si="268"/>
        <v>33462.195991981964</v>
      </c>
      <c r="I282" s="21">
        <f t="shared" si="268"/>
        <v>19828.22433567082</v>
      </c>
      <c r="J282" s="21">
        <f t="shared" si="268"/>
        <v>25116.401681984968</v>
      </c>
      <c r="K282" s="21">
        <f t="shared" si="268"/>
        <v>25667.537805144337</v>
      </c>
      <c r="L282" s="21">
        <f t="shared" si="268"/>
        <v>24051.373717799535</v>
      </c>
      <c r="M282" s="21">
        <f t="shared" si="268"/>
        <v>21264.160284544119</v>
      </c>
      <c r="N282" s="21">
        <f t="shared" si="268"/>
        <v>18236.080930631204</v>
      </c>
      <c r="O282" s="21">
        <f t="shared" si="268"/>
        <v>19418.09702852671</v>
      </c>
      <c r="P282" s="21">
        <f t="shared" si="268"/>
        <v>17676.514341276357</v>
      </c>
      <c r="Q282" s="21">
        <f t="shared" si="268"/>
        <v>17238.959250201104</v>
      </c>
      <c r="R282" s="21">
        <f t="shared" si="268"/>
        <v>12800.059427354015</v>
      </c>
      <c r="S282" s="21">
        <f t="shared" si="268"/>
        <v>44.24552985154078</v>
      </c>
      <c r="T282" s="21">
        <f t="shared" si="268"/>
        <v>43999.406391276643</v>
      </c>
      <c r="U282" s="21">
        <f t="shared" si="268"/>
        <v>77538.903954111214</v>
      </c>
      <c r="V282" s="21">
        <f t="shared" si="268"/>
        <v>36018.507149452271</v>
      </c>
      <c r="W282" s="21">
        <f t="shared" si="268"/>
        <v>5465.7851095807364</v>
      </c>
      <c r="X282" s="21">
        <f t="shared" si="268"/>
        <v>150.47822348312701</v>
      </c>
      <c r="Y282" s="21">
        <f t="shared" si="268"/>
        <v>948.16724486505632</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9827.0404934265953</v>
      </c>
      <c r="C286" s="26">
        <f>INDEX(Comparison!$AM$3:$AS$33,G$14,$F$122)</f>
        <v>9554.6131285549327</v>
      </c>
      <c r="D286" s="26">
        <f>INDEX(Comparison!$AM$3:$AS$33,H$14,$F$122)</f>
        <v>9307.5270109220583</v>
      </c>
      <c r="E286" s="26">
        <f>INDEX(Comparison!$AM$3:$AS$33,I$14,$F$122)</f>
        <v>9052.7901664061646</v>
      </c>
      <c r="F286" s="26">
        <f>INDEX(Comparison!$AM$3:$AS$33,J$14,$F$122)</f>
        <v>8765.8976127630649</v>
      </c>
      <c r="G286" s="26">
        <f>INDEX(Comparison!$AM$3:$AS$33,K$14,$F$122)</f>
        <v>8497.5960737726527</v>
      </c>
      <c r="H286" s="26">
        <f>INDEX(Comparison!$AM$3:$AS$33,L$14,$F$122)</f>
        <v>8229.2269119551856</v>
      </c>
      <c r="I286" s="26">
        <f>INDEX(Comparison!$AM$3:$AS$33,M$14,$F$122)</f>
        <v>7906.9976228628248</v>
      </c>
      <c r="J286" s="26">
        <f>INDEX(Comparison!$AM$3:$AS$33,N$14,$F$122)</f>
        <v>7534.9505992492377</v>
      </c>
      <c r="K286" s="26">
        <f>INDEX(Comparison!$AM$3:$AS$33,O$14,$F$122)</f>
        <v>7166.8631213057552</v>
      </c>
      <c r="L286" s="26">
        <f>INDEX(Comparison!$AM$3:$AS$33,P$14,$F$122)</f>
        <v>6867.7062482363972</v>
      </c>
      <c r="M286" s="26">
        <f>INDEX(Comparison!$AM$3:$AS$33,Q$14,$F$122)</f>
        <v>6578.6198965937929</v>
      </c>
      <c r="N286" s="26">
        <f>INDEX(Comparison!$AM$3:$AS$33,R$14,$F$122)</f>
        <v>6298.4876021181899</v>
      </c>
      <c r="O286" s="26">
        <f>INDEX(Comparison!$AM$3:$AS$33,S$14,$F$122)</f>
        <v>6004.311404381504</v>
      </c>
      <c r="P286" s="26">
        <f>INDEX(Comparison!$AM$3:$AS$33,T$14,$F$122)</f>
        <v>5728.9563133722204</v>
      </c>
      <c r="Q286" s="26">
        <f>INDEX(Comparison!$AM$3:$AS$33,U$14,$F$122)</f>
        <v>5384.1034806229181</v>
      </c>
      <c r="R286" s="26">
        <f>INDEX(Comparison!$AM$3:$AS$33,V$14,$F$122)</f>
        <v>4946.9073871376504</v>
      </c>
      <c r="S286" s="26">
        <f>INDEX(Comparison!$AM$3:$AS$33,W$14,$F$122)</f>
        <v>4341.3949978794144</v>
      </c>
      <c r="T286" s="26">
        <f>INDEX(Comparison!$AM$3:$AS$33,X$14,$F$122)</f>
        <v>3695.6706844027317</v>
      </c>
      <c r="U286" s="26">
        <f>INDEX(Comparison!$AM$3:$AS$33,Y$14,$F$122)</f>
        <v>3068.755950536985</v>
      </c>
      <c r="V286" s="26">
        <f>INDEX(Comparison!$AM$3:$AS$33,Z$14,$F$122)</f>
        <v>2467.1652727793789</v>
      </c>
      <c r="W286" s="26">
        <f>INDEX(Comparison!$AM$3:$AS$33,AA$14,$F$122)</f>
        <v>1870.2488465480699</v>
      </c>
      <c r="X286" s="26">
        <f>INDEX(Comparison!$AM$3:$AS$33,AB$14,$F$122)</f>
        <v>1361.6454434772222</v>
      </c>
      <c r="Y286" s="26">
        <f>INDEX(Comparison!$AM$3:$AS$33,AC$14,$F$122)</f>
        <v>978.74851186182502</v>
      </c>
      <c r="Z286" s="26">
        <f>INDEX(Comparison!$AM$3:$AS$33,AD$14,$F$122)</f>
        <v>750.04973579798059</v>
      </c>
      <c r="AA286" s="26">
        <f>INDEX(Comparison!$AM$3:$AS$33,AE$14,$F$122)</f>
        <v>627.42168862186645</v>
      </c>
      <c r="AB286" s="26">
        <f>INDEX(Comparison!$AM$3:$AS$33,AF$14,$F$122)</f>
        <v>570.28890979557161</v>
      </c>
      <c r="AC286" s="26">
        <f>INDEX(Comparison!$AM$3:$AS$33,AG$14,$F$122)</f>
        <v>534.99091249150581</v>
      </c>
      <c r="AD286" s="26">
        <f>INDEX(Comparison!$AM$3:$AS$33,AH$14,$F$122)</f>
        <v>516.06818092277001</v>
      </c>
      <c r="AE286" s="26">
        <f>INDEX(Comparison!$AM$3:$AS$33,AI$14,$F$122)</f>
        <v>504.17354863560553</v>
      </c>
      <c r="AF286" s="26">
        <f>INDEX(Comparison!$AM$3:$AS$33,AJ$14,$F$122)</f>
        <v>480.31847035858652</v>
      </c>
      <c r="AG286" s="26"/>
      <c r="AH286" s="26"/>
    </row>
    <row r="287" spans="1:34" x14ac:dyDescent="0.25">
      <c r="A287" s="70" t="s">
        <v>22</v>
      </c>
      <c r="B287" s="27">
        <f>($C$17+SUM(B288:B318))*$B$51</f>
        <v>9072.8754001554717</v>
      </c>
      <c r="C287" s="27">
        <f t="shared" ref="C287:AF287" si="269">($C$17+SUM(C288:C318))*$B$51</f>
        <v>9072.3195454295983</v>
      </c>
      <c r="D287" s="27">
        <f t="shared" si="269"/>
        <v>9066.7888836541151</v>
      </c>
      <c r="E287" s="27">
        <f t="shared" si="269"/>
        <v>9014.1762185688003</v>
      </c>
      <c r="F287" s="27">
        <f t="shared" si="269"/>
        <v>8683.3043264416319</v>
      </c>
      <c r="G287" s="27">
        <f t="shared" si="269"/>
        <v>8367.0775165588057</v>
      </c>
      <c r="H287" s="27">
        <f t="shared" si="269"/>
        <v>8115.7013360455949</v>
      </c>
      <c r="I287" s="27">
        <f t="shared" si="269"/>
        <v>7780.8554790219341</v>
      </c>
      <c r="J287" s="27">
        <f t="shared" si="269"/>
        <v>7411.0344858094104</v>
      </c>
      <c r="K287" s="27">
        <f t="shared" si="269"/>
        <v>7054.9163127780075</v>
      </c>
      <c r="L287" s="27">
        <f t="shared" si="269"/>
        <v>6755.6505738550677</v>
      </c>
      <c r="M287" s="27">
        <f t="shared" si="269"/>
        <v>6477.5135286578134</v>
      </c>
      <c r="N287" s="27">
        <f t="shared" si="269"/>
        <v>6187.2575300132003</v>
      </c>
      <c r="O287" s="27">
        <f t="shared" si="269"/>
        <v>5902.6651056463461</v>
      </c>
      <c r="P287" s="27">
        <f t="shared" si="269"/>
        <v>5613.2984881673401</v>
      </c>
      <c r="Q287" s="27">
        <f t="shared" si="269"/>
        <v>5280.7249741385058</v>
      </c>
      <c r="R287" s="27">
        <f t="shared" si="269"/>
        <v>4895.6152704631804</v>
      </c>
      <c r="S287" s="27">
        <f t="shared" si="269"/>
        <v>4462.9416187210018</v>
      </c>
      <c r="T287" s="27">
        <f t="shared" si="269"/>
        <v>3849.420763797802</v>
      </c>
      <c r="U287" s="27">
        <f t="shared" si="269"/>
        <v>3139.8713734248304</v>
      </c>
      <c r="V287" s="27">
        <f t="shared" si="269"/>
        <v>2445.7496697401389</v>
      </c>
      <c r="W287" s="27">
        <f t="shared" si="269"/>
        <v>1792.1283864338109</v>
      </c>
      <c r="X287" s="27">
        <f t="shared" si="269"/>
        <v>1288.5223459061929</v>
      </c>
      <c r="Y287" s="27">
        <f t="shared" si="269"/>
        <v>922.44166153786693</v>
      </c>
      <c r="Z287" s="27">
        <f t="shared" si="269"/>
        <v>741.53176213833081</v>
      </c>
      <c r="AA287" s="27">
        <f t="shared" si="269"/>
        <v>606.41085061102683</v>
      </c>
      <c r="AB287" s="27">
        <f t="shared" si="269"/>
        <v>567.06831068427573</v>
      </c>
      <c r="AC287" s="27">
        <f t="shared" si="269"/>
        <v>531.38456805392514</v>
      </c>
      <c r="AD287" s="27">
        <f t="shared" si="269"/>
        <v>514.42100744108404</v>
      </c>
      <c r="AE287" s="27">
        <f t="shared" si="269"/>
        <v>503.79150124967447</v>
      </c>
      <c r="AF287" s="27">
        <f t="shared" si="269"/>
        <v>478.22496371042814</v>
      </c>
      <c r="AG287" s="27"/>
      <c r="AH287" s="27"/>
    </row>
    <row r="288" spans="1:34" x14ac:dyDescent="0.25">
      <c r="B288" s="3">
        <f t="shared" ref="B288:AF288" si="270">$C18*EXP(-B$285/$A18/EXP(-$F$126))</f>
        <v>5.0951459015628185E-179</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5.3107904394846063E-2</v>
      </c>
      <c r="C289" s="3">
        <f t="shared" si="271"/>
        <v>5.3057890752154627E-2</v>
      </c>
      <c r="D289" s="3">
        <f t="shared" si="271"/>
        <v>5.2560337501877587E-2</v>
      </c>
      <c r="E289" s="3">
        <f t="shared" si="271"/>
        <v>4.7834340006427591E-2</v>
      </c>
      <c r="F289" s="3">
        <f t="shared" si="271"/>
        <v>1.8644734147931392E-2</v>
      </c>
      <c r="G289" s="3">
        <f t="shared" si="271"/>
        <v>1.5091078758254037E-6</v>
      </c>
      <c r="H289" s="3">
        <f t="shared" si="271"/>
        <v>1.8212148794705662E-47</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1.5903098285496228E-2</v>
      </c>
      <c r="C290" s="3">
        <f t="shared" si="272"/>
        <v>1.5901746699211079E-2</v>
      </c>
      <c r="D290" s="3">
        <f t="shared" si="272"/>
        <v>1.5888237152587196E-2</v>
      </c>
      <c r="E290" s="3">
        <f t="shared" si="272"/>
        <v>1.5753771327341244E-2</v>
      </c>
      <c r="F290" s="3">
        <f t="shared" si="272"/>
        <v>1.447014134096317E-2</v>
      </c>
      <c r="G290" s="3">
        <f t="shared" si="272"/>
        <v>6.1852197418491928E-3</v>
      </c>
      <c r="H290" s="3">
        <f t="shared" si="272"/>
        <v>1.2594436323651513E-6</v>
      </c>
      <c r="I290" s="3">
        <f t="shared" si="272"/>
        <v>1.5431734795187159E-43</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2.9724111079190485E-2</v>
      </c>
      <c r="C291" s="3">
        <f t="shared" si="273"/>
        <v>2.9723883184456144E-2</v>
      </c>
      <c r="D291" s="3">
        <f t="shared" si="273"/>
        <v>2.9721604333210312E-2</v>
      </c>
      <c r="E291" s="3">
        <f t="shared" si="273"/>
        <v>2.9698825427783442E-2</v>
      </c>
      <c r="F291" s="3">
        <f t="shared" si="273"/>
        <v>2.9471994356918319E-2</v>
      </c>
      <c r="G291" s="3">
        <f t="shared" si="273"/>
        <v>2.7296819216787199E-2</v>
      </c>
      <c r="H291" s="3">
        <f t="shared" si="273"/>
        <v>1.2680524711262475E-2</v>
      </c>
      <c r="I291" s="3">
        <f t="shared" si="273"/>
        <v>5.9345669969402252E-6</v>
      </c>
      <c r="J291" s="3">
        <f t="shared" si="273"/>
        <v>2.9916250467490536E-39</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3.4474578423607231E-2</v>
      </c>
      <c r="C292" s="3">
        <f t="shared" si="274"/>
        <v>3.4474554579971152E-2</v>
      </c>
      <c r="D292" s="3">
        <f t="shared" si="274"/>
        <v>3.4474316144517327E-2</v>
      </c>
      <c r="E292" s="3">
        <f t="shared" si="274"/>
        <v>3.4471931880676897E-2</v>
      </c>
      <c r="F292" s="3">
        <f t="shared" si="274"/>
        <v>3.4448098309730536E-2</v>
      </c>
      <c r="G292" s="3">
        <f t="shared" si="274"/>
        <v>3.4210667029956558E-2</v>
      </c>
      <c r="H292" s="3">
        <f t="shared" si="274"/>
        <v>3.1924524933761952E-2</v>
      </c>
      <c r="I292" s="3">
        <f t="shared" si="274"/>
        <v>1.5986502352585572E-2</v>
      </c>
      <c r="J292" s="3">
        <f t="shared" si="274"/>
        <v>1.5850522475654371E-5</v>
      </c>
      <c r="K292" s="3">
        <f t="shared" si="274"/>
        <v>1.455274253959197E-35</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3.8163539333122713E-2</v>
      </c>
      <c r="C293" s="3">
        <f t="shared" si="275"/>
        <v>3.8163536952070642E-2</v>
      </c>
      <c r="D293" s="3">
        <f t="shared" si="275"/>
        <v>3.8163513141558102E-2</v>
      </c>
      <c r="E293" s="3">
        <f t="shared" si="275"/>
        <v>3.8163275037249728E-2</v>
      </c>
      <c r="F293" s="3">
        <f t="shared" si="275"/>
        <v>3.8160894075869492E-2</v>
      </c>
      <c r="G293" s="3">
        <f t="shared" si="275"/>
        <v>3.8137092630532478E-2</v>
      </c>
      <c r="H293" s="3">
        <f t="shared" si="275"/>
        <v>3.7899893141185241E-2</v>
      </c>
      <c r="I293" s="3">
        <f t="shared" si="275"/>
        <v>3.5607544324207346E-2</v>
      </c>
      <c r="J293" s="3">
        <f t="shared" si="275"/>
        <v>1.9080177234088041E-2</v>
      </c>
      <c r="K293" s="3">
        <f t="shared" si="275"/>
        <v>3.7237988537436508E-5</v>
      </c>
      <c r="L293" s="3">
        <f t="shared" si="275"/>
        <v>2.985549718747817E-32</v>
      </c>
      <c r="M293" s="3">
        <f t="shared" si="275"/>
        <v>3.2764628509228261E-303</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3.1147960269113321E-2</v>
      </c>
      <c r="C294" s="3">
        <f t="shared" si="276"/>
        <v>3.1147960093807447E-2</v>
      </c>
      <c r="D294" s="3">
        <f t="shared" si="276"/>
        <v>3.114795834074878E-2</v>
      </c>
      <c r="E294" s="3">
        <f t="shared" si="276"/>
        <v>3.1147940810167543E-2</v>
      </c>
      <c r="F294" s="3">
        <f t="shared" si="276"/>
        <v>3.1147765504897819E-2</v>
      </c>
      <c r="G294" s="3">
        <f t="shared" si="276"/>
        <v>3.1146012506465114E-2</v>
      </c>
      <c r="H294" s="3">
        <f t="shared" si="276"/>
        <v>3.1128487947460114E-2</v>
      </c>
      <c r="I294" s="3">
        <f t="shared" si="276"/>
        <v>3.0953783761534771E-2</v>
      </c>
      <c r="J294" s="3">
        <f t="shared" si="276"/>
        <v>2.9259771655215441E-2</v>
      </c>
      <c r="K294" s="3">
        <f t="shared" si="276"/>
        <v>1.6666438899139772E-2</v>
      </c>
      <c r="L294" s="3">
        <f t="shared" si="276"/>
        <v>5.9918596740128229E-5</v>
      </c>
      <c r="M294" s="3">
        <f t="shared" si="276"/>
        <v>2.1614730641188865E-29</v>
      </c>
      <c r="N294" s="3">
        <f t="shared" si="276"/>
        <v>8.0655087573339984E-274</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2.5944984108716724E-2</v>
      </c>
      <c r="C295" s="3">
        <f t="shared" si="277"/>
        <v>2.5944984095544261E-2</v>
      </c>
      <c r="D295" s="3">
        <f t="shared" si="277"/>
        <v>2.5944983963819675E-2</v>
      </c>
      <c r="E295" s="3">
        <f t="shared" si="277"/>
        <v>2.5944982646573824E-2</v>
      </c>
      <c r="F295" s="3">
        <f t="shared" si="277"/>
        <v>2.5944969474118996E-2</v>
      </c>
      <c r="G295" s="3">
        <f t="shared" si="277"/>
        <v>2.5944837749938544E-2</v>
      </c>
      <c r="H295" s="3">
        <f t="shared" si="277"/>
        <v>2.5943520544915898E-2</v>
      </c>
      <c r="I295" s="3">
        <f t="shared" si="277"/>
        <v>2.5930352172186571E-2</v>
      </c>
      <c r="J295" s="3">
        <f t="shared" si="277"/>
        <v>2.5799035504718539E-2</v>
      </c>
      <c r="K295" s="3">
        <f t="shared" si="277"/>
        <v>2.4521894548363548E-2</v>
      </c>
      <c r="L295" s="3">
        <f t="shared" si="277"/>
        <v>1.4759088045769687E-2</v>
      </c>
      <c r="M295" s="3">
        <f t="shared" si="277"/>
        <v>9.2069239114064448E-5</v>
      </c>
      <c r="N295" s="3">
        <f t="shared" si="277"/>
        <v>8.216083775355115E-27</v>
      </c>
      <c r="O295" s="3">
        <f t="shared" si="277"/>
        <v>2.6312851063346404E-247</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2.8280666339798959E-2</v>
      </c>
      <c r="C296" s="3">
        <f t="shared" si="278"/>
        <v>2.8280666338503721E-2</v>
      </c>
      <c r="D296" s="3">
        <f t="shared" si="278"/>
        <v>2.8280666325551339E-2</v>
      </c>
      <c r="E296" s="3">
        <f t="shared" si="278"/>
        <v>2.828066619602751E-2</v>
      </c>
      <c r="F296" s="3">
        <f t="shared" si="278"/>
        <v>2.8280664900789263E-2</v>
      </c>
      <c r="G296" s="3">
        <f t="shared" si="278"/>
        <v>2.8280651948410052E-2</v>
      </c>
      <c r="H296" s="3">
        <f t="shared" si="278"/>
        <v>2.8280522424944197E-2</v>
      </c>
      <c r="I296" s="3">
        <f t="shared" si="278"/>
        <v>2.8279227222911672E-2</v>
      </c>
      <c r="J296" s="3">
        <f t="shared" si="278"/>
        <v>2.8266278464636536E-2</v>
      </c>
      <c r="K296" s="3">
        <f t="shared" si="278"/>
        <v>2.8137116534792225E-2</v>
      </c>
      <c r="L296" s="3">
        <f t="shared" si="278"/>
        <v>2.6877517377804069E-2</v>
      </c>
      <c r="M296" s="3">
        <f t="shared" si="278"/>
        <v>1.7001403381067811E-2</v>
      </c>
      <c r="N296" s="3">
        <f t="shared" si="278"/>
        <v>1.7435763735520142E-4</v>
      </c>
      <c r="O296" s="3">
        <f t="shared" si="278"/>
        <v>2.2438974907976593E-24</v>
      </c>
      <c r="P296" s="3">
        <f t="shared" si="278"/>
        <v>2.7965551457113686E-223</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2.7707301103166774E-2</v>
      </c>
      <c r="C297" s="3">
        <f t="shared" si="279"/>
        <v>2.7707301103052299E-2</v>
      </c>
      <c r="D297" s="3">
        <f t="shared" si="279"/>
        <v>2.770730110190758E-2</v>
      </c>
      <c r="E297" s="3">
        <f t="shared" si="279"/>
        <v>2.7707301090460337E-2</v>
      </c>
      <c r="F297" s="3">
        <f t="shared" si="279"/>
        <v>2.770730097598792E-2</v>
      </c>
      <c r="G297" s="3">
        <f t="shared" si="279"/>
        <v>2.7707299831263785E-2</v>
      </c>
      <c r="H297" s="3">
        <f t="shared" si="279"/>
        <v>2.7707288384025051E-2</v>
      </c>
      <c r="I297" s="3">
        <f t="shared" si="279"/>
        <v>2.770717391189784E-2</v>
      </c>
      <c r="J297" s="3">
        <f t="shared" si="279"/>
        <v>2.7706029216637042E-2</v>
      </c>
      <c r="K297" s="3">
        <f t="shared" si="279"/>
        <v>2.769458486476585E-2</v>
      </c>
      <c r="L297" s="3">
        <f t="shared" si="279"/>
        <v>2.7580401022610571E-2</v>
      </c>
      <c r="M297" s="3">
        <f t="shared" si="279"/>
        <v>2.6464137650504205E-2</v>
      </c>
      <c r="N297" s="3">
        <f t="shared" si="279"/>
        <v>1.7507714226989816E-2</v>
      </c>
      <c r="O297" s="3">
        <f t="shared" si="279"/>
        <v>2.811554279899814E-4</v>
      </c>
      <c r="P297" s="3">
        <f t="shared" si="279"/>
        <v>3.2071310405788597E-22</v>
      </c>
      <c r="Q297" s="3">
        <f t="shared" si="279"/>
        <v>1.1962419626082486E-201</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2.6509888121376696E-2</v>
      </c>
      <c r="C298" s="3">
        <f t="shared" si="280"/>
        <v>2.6509888121366815E-2</v>
      </c>
      <c r="D298" s="3">
        <f t="shared" si="280"/>
        <v>2.6509888121268015E-2</v>
      </c>
      <c r="E298" s="3">
        <f t="shared" si="280"/>
        <v>2.6509888120280004E-2</v>
      </c>
      <c r="F298" s="3">
        <f t="shared" si="280"/>
        <v>2.650988811039991E-2</v>
      </c>
      <c r="G298" s="3">
        <f t="shared" si="280"/>
        <v>2.6509888011598964E-2</v>
      </c>
      <c r="H298" s="3">
        <f t="shared" si="280"/>
        <v>2.6509887023589505E-2</v>
      </c>
      <c r="I298" s="3">
        <f t="shared" si="280"/>
        <v>2.6509877143496965E-2</v>
      </c>
      <c r="J298" s="3">
        <f t="shared" si="280"/>
        <v>2.6509778342774074E-2</v>
      </c>
      <c r="K298" s="3">
        <f t="shared" si="280"/>
        <v>2.6508790355797313E-2</v>
      </c>
      <c r="L298" s="3">
        <f t="shared" si="280"/>
        <v>2.6498912510961856E-2</v>
      </c>
      <c r="M298" s="3">
        <f t="shared" si="280"/>
        <v>2.6400336276868833E-2</v>
      </c>
      <c r="N298" s="3">
        <f t="shared" si="280"/>
        <v>2.5434519272630032E-2</v>
      </c>
      <c r="O298" s="3">
        <f t="shared" si="280"/>
        <v>1.7521217554358894E-2</v>
      </c>
      <c r="P298" s="3">
        <f t="shared" si="280"/>
        <v>4.2166909045347214E-4</v>
      </c>
      <c r="Q298" s="3">
        <f t="shared" si="280"/>
        <v>2.7481891297742861E-20</v>
      </c>
      <c r="R298" s="3">
        <f t="shared" si="280"/>
        <v>3.8001008338053234E-182</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3.0096089334719092E-2</v>
      </c>
      <c r="C299" s="3">
        <f t="shared" si="281"/>
        <v>3.0096089334718083E-2</v>
      </c>
      <c r="D299" s="3">
        <f t="shared" si="281"/>
        <v>3.0096089334707962E-2</v>
      </c>
      <c r="E299" s="3">
        <f t="shared" si="281"/>
        <v>3.0096089334606779E-2</v>
      </c>
      <c r="F299" s="3">
        <f t="shared" si="281"/>
        <v>3.0096089333594943E-2</v>
      </c>
      <c r="G299" s="3">
        <f t="shared" si="281"/>
        <v>3.0096089323476589E-2</v>
      </c>
      <c r="H299" s="3">
        <f t="shared" si="281"/>
        <v>3.0096089222293048E-2</v>
      </c>
      <c r="I299" s="3">
        <f t="shared" si="281"/>
        <v>3.0096088210457662E-2</v>
      </c>
      <c r="J299" s="3">
        <f t="shared" si="281"/>
        <v>3.009607809210562E-2</v>
      </c>
      <c r="K299" s="3">
        <f t="shared" si="281"/>
        <v>3.0095976908772311E-2</v>
      </c>
      <c r="L299" s="3">
        <f t="shared" si="281"/>
        <v>3.0094965094148912E-2</v>
      </c>
      <c r="M299" s="3">
        <f t="shared" si="281"/>
        <v>3.0084848818650256E-2</v>
      </c>
      <c r="N299" s="3">
        <f t="shared" si="281"/>
        <v>2.9983872904695692E-2</v>
      </c>
      <c r="O299" s="3">
        <f t="shared" si="281"/>
        <v>2.8992567523522157E-2</v>
      </c>
      <c r="P299" s="3">
        <f t="shared" si="281"/>
        <v>2.0714581665021711E-2</v>
      </c>
      <c r="Q299" s="3">
        <f t="shared" si="281"/>
        <v>7.1807707958362053E-4</v>
      </c>
      <c r="R299" s="3">
        <f t="shared" si="281"/>
        <v>1.7993681973978334E-18</v>
      </c>
      <c r="S299" s="3">
        <f t="shared" si="281"/>
        <v>1.7563448740083284E-164</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3.690266515092501E-2</v>
      </c>
      <c r="C300" s="3">
        <f t="shared" si="282"/>
        <v>3.6902665150924899E-2</v>
      </c>
      <c r="D300" s="3">
        <f t="shared" si="282"/>
        <v>3.6902665150923782E-2</v>
      </c>
      <c r="E300" s="3">
        <f t="shared" si="282"/>
        <v>3.6902665150912589E-2</v>
      </c>
      <c r="F300" s="3">
        <f t="shared" si="282"/>
        <v>3.6902665150800672E-2</v>
      </c>
      <c r="G300" s="3">
        <f t="shared" si="282"/>
        <v>3.6902665149681477E-2</v>
      </c>
      <c r="H300" s="3">
        <f t="shared" si="282"/>
        <v>3.6902665138489575E-2</v>
      </c>
      <c r="I300" s="3">
        <f t="shared" si="282"/>
        <v>3.690266502657049E-2</v>
      </c>
      <c r="J300" s="3">
        <f t="shared" si="282"/>
        <v>3.6902663907379715E-2</v>
      </c>
      <c r="K300" s="3">
        <f t="shared" si="282"/>
        <v>3.6902652715473806E-2</v>
      </c>
      <c r="L300" s="3">
        <f t="shared" si="282"/>
        <v>3.6902540796601421E-2</v>
      </c>
      <c r="M300" s="3">
        <f t="shared" si="282"/>
        <v>3.6901421626546006E-2</v>
      </c>
      <c r="N300" s="3">
        <f t="shared" si="282"/>
        <v>3.6890231792625426E-2</v>
      </c>
      <c r="O300" s="3">
        <f t="shared" si="282"/>
        <v>3.677851990748298E-2</v>
      </c>
      <c r="P300" s="3">
        <f t="shared" si="282"/>
        <v>3.5679838920802696E-2</v>
      </c>
      <c r="Q300" s="3">
        <f t="shared" si="282"/>
        <v>2.6345670622734609E-2</v>
      </c>
      <c r="R300" s="3">
        <f t="shared" si="282"/>
        <v>1.2693254462792644E-3</v>
      </c>
      <c r="S300" s="3">
        <f t="shared" si="282"/>
        <v>8.5548081034844418E-17</v>
      </c>
      <c r="T300" s="3">
        <f t="shared" si="282"/>
        <v>1.6541813831932577E-148</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3.6161796888491096E-2</v>
      </c>
      <c r="C301" s="3">
        <f t="shared" si="283"/>
        <v>3.6161796888491082E-2</v>
      </c>
      <c r="D301" s="3">
        <f t="shared" si="283"/>
        <v>3.6161796888490985E-2</v>
      </c>
      <c r="E301" s="3">
        <f t="shared" si="283"/>
        <v>3.6161796888489993E-2</v>
      </c>
      <c r="F301" s="3">
        <f t="shared" si="283"/>
        <v>3.6161796888480105E-2</v>
      </c>
      <c r="G301" s="3">
        <f t="shared" si="283"/>
        <v>3.616179688838117E-2</v>
      </c>
      <c r="H301" s="3">
        <f t="shared" si="283"/>
        <v>3.6161796887391837E-2</v>
      </c>
      <c r="I301" s="3">
        <f t="shared" si="283"/>
        <v>3.6161796877498494E-2</v>
      </c>
      <c r="J301" s="3">
        <f t="shared" si="283"/>
        <v>3.6161796778565083E-2</v>
      </c>
      <c r="K301" s="3">
        <f t="shared" si="283"/>
        <v>3.6161795789230969E-2</v>
      </c>
      <c r="L301" s="3">
        <f t="shared" si="283"/>
        <v>3.6161785895891321E-2</v>
      </c>
      <c r="M301" s="3">
        <f t="shared" si="283"/>
        <v>3.6161686962643699E-2</v>
      </c>
      <c r="N301" s="3">
        <f t="shared" si="283"/>
        <v>3.6160697645054037E-2</v>
      </c>
      <c r="O301" s="3">
        <f t="shared" si="283"/>
        <v>3.6150805957660778E-2</v>
      </c>
      <c r="P301" s="3">
        <f t="shared" si="283"/>
        <v>3.6052037783500038E-2</v>
      </c>
      <c r="Q301" s="3">
        <f t="shared" si="283"/>
        <v>3.5079076590522555E-2</v>
      </c>
      <c r="R301" s="3">
        <f t="shared" si="283"/>
        <v>2.6682806293895862E-2</v>
      </c>
      <c r="S301" s="3">
        <f t="shared" si="283"/>
        <v>1.7300753222519716E-3</v>
      </c>
      <c r="T301" s="3">
        <f t="shared" si="283"/>
        <v>2.2719569151322152E-15</v>
      </c>
      <c r="U301" s="3">
        <f t="shared" si="283"/>
        <v>3.4653802005333657E-134</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5.7659888823700683E-2</v>
      </c>
      <c r="C302" s="3">
        <f t="shared" si="284"/>
        <v>5.7659888823700683E-2</v>
      </c>
      <c r="D302" s="3">
        <f t="shared" si="284"/>
        <v>5.765988882370067E-2</v>
      </c>
      <c r="E302" s="3">
        <f t="shared" si="284"/>
        <v>5.7659888823700524E-2</v>
      </c>
      <c r="F302" s="3">
        <f t="shared" si="284"/>
        <v>5.7659888823699101E-2</v>
      </c>
      <c r="G302" s="3">
        <f t="shared" si="284"/>
        <v>5.765988882368487E-2</v>
      </c>
      <c r="H302" s="3">
        <f t="shared" si="284"/>
        <v>5.7659888823542574E-2</v>
      </c>
      <c r="I302" s="3">
        <f t="shared" si="284"/>
        <v>5.7659888822119545E-2</v>
      </c>
      <c r="J302" s="3">
        <f t="shared" si="284"/>
        <v>5.7659888807889269E-2</v>
      </c>
      <c r="K302" s="3">
        <f t="shared" si="284"/>
        <v>5.7659888665586481E-2</v>
      </c>
      <c r="L302" s="3">
        <f t="shared" si="284"/>
        <v>5.7659887242558723E-2</v>
      </c>
      <c r="M302" s="3">
        <f t="shared" si="284"/>
        <v>5.7659873012282988E-2</v>
      </c>
      <c r="N302" s="3">
        <f t="shared" si="284"/>
        <v>5.7659730709718811E-2</v>
      </c>
      <c r="O302" s="3">
        <f t="shared" si="284"/>
        <v>5.765830770339278E-2</v>
      </c>
      <c r="P302" s="3">
        <f t="shared" si="284"/>
        <v>5.7644079571529658E-2</v>
      </c>
      <c r="Q302" s="3">
        <f t="shared" si="284"/>
        <v>5.7501991216365025E-2</v>
      </c>
      <c r="R302" s="3">
        <f t="shared" si="284"/>
        <v>5.6100228964291454E-2</v>
      </c>
      <c r="S302" s="3">
        <f t="shared" si="284"/>
        <v>4.3831075939624979E-2</v>
      </c>
      <c r="T302" s="3">
        <f t="shared" si="284"/>
        <v>3.7149853876279081E-3</v>
      </c>
      <c r="U302" s="3">
        <f t="shared" si="284"/>
        <v>7.1073367420215766E-14</v>
      </c>
      <c r="V302" s="3">
        <f t="shared" si="284"/>
        <v>4.6687940826138505E-121</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7.0138718801303929E-2</v>
      </c>
      <c r="C303" s="3">
        <f t="shared" si="285"/>
        <v>7.0138718801303929E-2</v>
      </c>
      <c r="D303" s="3">
        <f t="shared" si="285"/>
        <v>7.0138718801303929E-2</v>
      </c>
      <c r="E303" s="3">
        <f t="shared" si="285"/>
        <v>7.0138718801303915E-2</v>
      </c>
      <c r="F303" s="3">
        <f t="shared" si="285"/>
        <v>7.0138718801303762E-2</v>
      </c>
      <c r="G303" s="3">
        <f t="shared" si="285"/>
        <v>7.0138718801302194E-2</v>
      </c>
      <c r="H303" s="3">
        <f t="shared" si="285"/>
        <v>7.0138718801286581E-2</v>
      </c>
      <c r="I303" s="3">
        <f t="shared" si="285"/>
        <v>7.0138718801130429E-2</v>
      </c>
      <c r="J303" s="3">
        <f t="shared" si="285"/>
        <v>7.0138718799568928E-2</v>
      </c>
      <c r="K303" s="3">
        <f t="shared" si="285"/>
        <v>7.0138718783953849E-2</v>
      </c>
      <c r="L303" s="3">
        <f t="shared" si="285"/>
        <v>7.0138718627803132E-2</v>
      </c>
      <c r="M303" s="3">
        <f t="shared" si="285"/>
        <v>7.0138717066295916E-2</v>
      </c>
      <c r="N303" s="3">
        <f t="shared" si="285"/>
        <v>7.0138701451225735E-2</v>
      </c>
      <c r="O303" s="3">
        <f t="shared" si="285"/>
        <v>7.013854530071513E-2</v>
      </c>
      <c r="P303" s="3">
        <f t="shared" si="285"/>
        <v>7.0136983814729104E-2</v>
      </c>
      <c r="Q303" s="3">
        <f t="shared" si="285"/>
        <v>7.0121370866715771E-2</v>
      </c>
      <c r="R303" s="3">
        <f t="shared" si="285"/>
        <v>6.9965432413880632E-2</v>
      </c>
      <c r="S303" s="3">
        <f t="shared" si="285"/>
        <v>6.8424994192020236E-2</v>
      </c>
      <c r="T303" s="3">
        <f t="shared" si="285"/>
        <v>5.4768044609445406E-2</v>
      </c>
      <c r="U303" s="3">
        <f t="shared" si="285"/>
        <v>5.9108766803600823E-3</v>
      </c>
      <c r="V303" s="3">
        <f t="shared" si="285"/>
        <v>1.2673557225815046E-12</v>
      </c>
      <c r="W303" s="3">
        <f t="shared" si="285"/>
        <v>2.602344840728561E-109</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6.7659228447697881E-2</v>
      </c>
      <c r="C304" s="3">
        <f t="shared" si="286"/>
        <v>6.7659228447697881E-2</v>
      </c>
      <c r="D304" s="3">
        <f t="shared" si="286"/>
        <v>6.7659228447697881E-2</v>
      </c>
      <c r="E304" s="3">
        <f t="shared" si="286"/>
        <v>6.7659228447697881E-2</v>
      </c>
      <c r="F304" s="3">
        <f t="shared" si="286"/>
        <v>6.7659228447697867E-2</v>
      </c>
      <c r="G304" s="3">
        <f t="shared" si="286"/>
        <v>6.7659228447697728E-2</v>
      </c>
      <c r="H304" s="3">
        <f t="shared" si="286"/>
        <v>6.7659228447696368E-2</v>
      </c>
      <c r="I304" s="3">
        <f t="shared" si="286"/>
        <v>6.7659228447682782E-2</v>
      </c>
      <c r="J304" s="3">
        <f t="shared" si="286"/>
        <v>6.7659228447546904E-2</v>
      </c>
      <c r="K304" s="3">
        <f t="shared" si="286"/>
        <v>6.7659228446188088E-2</v>
      </c>
      <c r="L304" s="3">
        <f t="shared" si="286"/>
        <v>6.7659228432599958E-2</v>
      </c>
      <c r="M304" s="3">
        <f t="shared" si="286"/>
        <v>6.7659228296718624E-2</v>
      </c>
      <c r="N304" s="3">
        <f t="shared" si="286"/>
        <v>6.7659226937905298E-2</v>
      </c>
      <c r="O304" s="3">
        <f t="shared" si="286"/>
        <v>6.7659213349773525E-2</v>
      </c>
      <c r="P304" s="3">
        <f t="shared" si="286"/>
        <v>6.7659077468605944E-2</v>
      </c>
      <c r="Q304" s="3">
        <f t="shared" si="286"/>
        <v>6.7657718671939121E-2</v>
      </c>
      <c r="R304" s="3">
        <f t="shared" si="286"/>
        <v>6.7644132206059013E-2</v>
      </c>
      <c r="S304" s="3">
        <f t="shared" si="286"/>
        <v>6.750841751461456E-2</v>
      </c>
      <c r="T304" s="3">
        <f t="shared" si="286"/>
        <v>6.6166156494480155E-2</v>
      </c>
      <c r="U304" s="3">
        <f t="shared" si="286"/>
        <v>5.412721833926435E-2</v>
      </c>
      <c r="V304" s="3">
        <f t="shared" si="286"/>
        <v>7.2646336600990305E-3</v>
      </c>
      <c r="W304" s="3">
        <f t="shared" si="286"/>
        <v>1.3778242287316565E-11</v>
      </c>
      <c r="X304" s="3">
        <f t="shared" si="286"/>
        <v>8.2984084198452523E-99</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6.6765944370475505E-2</v>
      </c>
      <c r="C305" s="3">
        <f t="shared" si="287"/>
        <v>6.6765944370475505E-2</v>
      </c>
      <c r="D305" s="3">
        <f t="shared" si="287"/>
        <v>6.6765944370475505E-2</v>
      </c>
      <c r="E305" s="3">
        <f t="shared" si="287"/>
        <v>6.6765944370475505E-2</v>
      </c>
      <c r="F305" s="3">
        <f t="shared" si="287"/>
        <v>6.6765944370475505E-2</v>
      </c>
      <c r="G305" s="3">
        <f t="shared" si="287"/>
        <v>6.6765944370475491E-2</v>
      </c>
      <c r="H305" s="3">
        <f t="shared" si="287"/>
        <v>6.6765944370475366E-2</v>
      </c>
      <c r="I305" s="3">
        <f t="shared" si="287"/>
        <v>6.6765944370474159E-2</v>
      </c>
      <c r="J305" s="3">
        <f t="shared" si="287"/>
        <v>6.6765944370462071E-2</v>
      </c>
      <c r="K305" s="3">
        <f t="shared" si="287"/>
        <v>6.6765944370341113E-2</v>
      </c>
      <c r="L305" s="3">
        <f t="shared" si="287"/>
        <v>6.6765944369131525E-2</v>
      </c>
      <c r="M305" s="3">
        <f t="shared" si="287"/>
        <v>6.6765944357035742E-2</v>
      </c>
      <c r="N305" s="3">
        <f t="shared" si="287"/>
        <v>6.6765944236077804E-2</v>
      </c>
      <c r="O305" s="3">
        <f t="shared" si="287"/>
        <v>6.6765943026498506E-2</v>
      </c>
      <c r="P305" s="3">
        <f t="shared" si="287"/>
        <v>6.6765930930706749E-2</v>
      </c>
      <c r="Q305" s="3">
        <f t="shared" si="287"/>
        <v>6.676580997290979E-2</v>
      </c>
      <c r="R305" s="3">
        <f t="shared" si="287"/>
        <v>6.6764600406992447E-2</v>
      </c>
      <c r="S305" s="3">
        <f t="shared" si="287"/>
        <v>6.6752505952977284E-2</v>
      </c>
      <c r="T305" s="3">
        <f t="shared" si="287"/>
        <v>6.6631681847896834E-2</v>
      </c>
      <c r="U305" s="3">
        <f t="shared" si="287"/>
        <v>6.5435403964107852E-2</v>
      </c>
      <c r="V305" s="3">
        <f t="shared" si="287"/>
        <v>5.4592491145784419E-2</v>
      </c>
      <c r="W305" s="3">
        <f t="shared" si="287"/>
        <v>8.9193695277046941E-3</v>
      </c>
      <c r="X305" s="3">
        <f t="shared" si="287"/>
        <v>1.2087781582072717E-10</v>
      </c>
      <c r="Y305" s="3">
        <f t="shared" si="287"/>
        <v>2.5262194448216841E-89</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4.8603939630861931E-2</v>
      </c>
      <c r="C306" s="3">
        <f t="shared" si="288"/>
        <v>4.8603939630861931E-2</v>
      </c>
      <c r="D306" s="3">
        <f t="shared" si="288"/>
        <v>4.8603939630861931E-2</v>
      </c>
      <c r="E306" s="3">
        <f t="shared" si="288"/>
        <v>4.8603939630861931E-2</v>
      </c>
      <c r="F306" s="3">
        <f t="shared" si="288"/>
        <v>4.8603939630861931E-2</v>
      </c>
      <c r="G306" s="3">
        <f t="shared" si="288"/>
        <v>4.8603939630861931E-2</v>
      </c>
      <c r="H306" s="3">
        <f t="shared" si="288"/>
        <v>4.8603939630861917E-2</v>
      </c>
      <c r="I306" s="3">
        <f t="shared" si="288"/>
        <v>4.8603939630861848E-2</v>
      </c>
      <c r="J306" s="3">
        <f t="shared" si="288"/>
        <v>4.8603939630861043E-2</v>
      </c>
      <c r="K306" s="3">
        <f t="shared" si="288"/>
        <v>4.8603939630853105E-2</v>
      </c>
      <c r="L306" s="3">
        <f t="shared" si="288"/>
        <v>4.8603939630773675E-2</v>
      </c>
      <c r="M306" s="3">
        <f t="shared" si="288"/>
        <v>4.8603939629979345E-2</v>
      </c>
      <c r="N306" s="3">
        <f t="shared" si="288"/>
        <v>4.8603939622036116E-2</v>
      </c>
      <c r="O306" s="3">
        <f t="shared" si="288"/>
        <v>4.8603939542603766E-2</v>
      </c>
      <c r="P306" s="3">
        <f t="shared" si="288"/>
        <v>4.8603938748280263E-2</v>
      </c>
      <c r="Q306" s="3">
        <f t="shared" si="288"/>
        <v>4.8603930805045957E-2</v>
      </c>
      <c r="R306" s="3">
        <f t="shared" si="288"/>
        <v>4.8603851372774322E-2</v>
      </c>
      <c r="S306" s="3">
        <f t="shared" si="288"/>
        <v>4.8603057057197696E-2</v>
      </c>
      <c r="T306" s="3">
        <f t="shared" si="288"/>
        <v>4.8595114615363498E-2</v>
      </c>
      <c r="U306" s="3">
        <f t="shared" si="288"/>
        <v>4.8515761547073849E-2</v>
      </c>
      <c r="V306" s="3">
        <f t="shared" si="288"/>
        <v>4.7729322913218138E-2</v>
      </c>
      <c r="W306" s="3">
        <f t="shared" si="288"/>
        <v>4.0533068276671587E-2</v>
      </c>
      <c r="X306" s="3">
        <f t="shared" si="288"/>
        <v>7.9077248142051023E-3</v>
      </c>
      <c r="Y306" s="3">
        <f t="shared" si="288"/>
        <v>6.3164377624335717E-10</v>
      </c>
      <c r="Z306" s="3">
        <f t="shared" si="288"/>
        <v>6.6785004228986285E-81</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3.7549192378247005E-2</v>
      </c>
      <c r="C307" s="3">
        <f t="shared" si="289"/>
        <v>3.7549192378247005E-2</v>
      </c>
      <c r="D307" s="3">
        <f t="shared" si="289"/>
        <v>3.7549192378247005E-2</v>
      </c>
      <c r="E307" s="3">
        <f t="shared" si="289"/>
        <v>3.7549192378247005E-2</v>
      </c>
      <c r="F307" s="3">
        <f t="shared" si="289"/>
        <v>3.7549192378247005E-2</v>
      </c>
      <c r="G307" s="3">
        <f t="shared" si="289"/>
        <v>3.7549192378247005E-2</v>
      </c>
      <c r="H307" s="3">
        <f t="shared" si="289"/>
        <v>3.7549192378247005E-2</v>
      </c>
      <c r="I307" s="3">
        <f t="shared" si="289"/>
        <v>3.7549192378246998E-2</v>
      </c>
      <c r="J307" s="3">
        <f t="shared" si="289"/>
        <v>3.7549192378246943E-2</v>
      </c>
      <c r="K307" s="3">
        <f t="shared" si="289"/>
        <v>3.7549192378246388E-2</v>
      </c>
      <c r="L307" s="3">
        <f t="shared" si="289"/>
        <v>3.7549192378240857E-2</v>
      </c>
      <c r="M307" s="3">
        <f t="shared" si="289"/>
        <v>3.7549192378185499E-2</v>
      </c>
      <c r="N307" s="3">
        <f t="shared" si="289"/>
        <v>3.7549192377631928E-2</v>
      </c>
      <c r="O307" s="3">
        <f t="shared" si="289"/>
        <v>3.7549192372096217E-2</v>
      </c>
      <c r="P307" s="3">
        <f t="shared" si="289"/>
        <v>3.7549192316739144E-2</v>
      </c>
      <c r="Q307" s="3">
        <f t="shared" si="289"/>
        <v>3.7549191763168399E-2</v>
      </c>
      <c r="R307" s="3">
        <f t="shared" si="289"/>
        <v>3.7549186227461388E-2</v>
      </c>
      <c r="S307" s="3">
        <f t="shared" si="289"/>
        <v>3.7549130870436161E-2</v>
      </c>
      <c r="T307" s="3">
        <f t="shared" si="289"/>
        <v>3.7548577304672454E-2</v>
      </c>
      <c r="U307" s="3">
        <f t="shared" si="289"/>
        <v>3.7543042095865578E-2</v>
      </c>
      <c r="V307" s="3">
        <f t="shared" si="289"/>
        <v>3.7487734866340459E-2</v>
      </c>
      <c r="W307" s="3">
        <f t="shared" si="289"/>
        <v>3.6939124052471753E-2</v>
      </c>
      <c r="X307" s="3">
        <f t="shared" si="289"/>
        <v>3.1875758112268462E-2</v>
      </c>
      <c r="Y307" s="3">
        <f t="shared" si="289"/>
        <v>7.2979321464499026E-3</v>
      </c>
      <c r="Z307" s="3">
        <f t="shared" si="289"/>
        <v>2.8879708614368504E-9</v>
      </c>
      <c r="AA307" s="3">
        <f t="shared" si="289"/>
        <v>2.719710426382548E-73</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7.8409043454057813E-3</v>
      </c>
      <c r="C308" s="3">
        <f t="shared" si="290"/>
        <v>7.8409043454057813E-3</v>
      </c>
      <c r="D308" s="3">
        <f t="shared" si="290"/>
        <v>7.8409043454057813E-3</v>
      </c>
      <c r="E308" s="3">
        <f t="shared" si="290"/>
        <v>7.8409043454057813E-3</v>
      </c>
      <c r="F308" s="3">
        <f t="shared" si="290"/>
        <v>7.8409043454057813E-3</v>
      </c>
      <c r="G308" s="3">
        <f t="shared" si="290"/>
        <v>7.8409043454057813E-3</v>
      </c>
      <c r="H308" s="3">
        <f t="shared" si="290"/>
        <v>7.8409043454057813E-3</v>
      </c>
      <c r="I308" s="3">
        <f t="shared" si="290"/>
        <v>7.8409043454057813E-3</v>
      </c>
      <c r="J308" s="3">
        <f t="shared" si="290"/>
        <v>7.8409043454057796E-3</v>
      </c>
      <c r="K308" s="3">
        <f t="shared" si="290"/>
        <v>7.8409043454057692E-3</v>
      </c>
      <c r="L308" s="3">
        <f t="shared" si="290"/>
        <v>7.8409043454056651E-3</v>
      </c>
      <c r="M308" s="3">
        <f t="shared" si="290"/>
        <v>7.8409043454046225E-3</v>
      </c>
      <c r="N308" s="3">
        <f t="shared" si="290"/>
        <v>7.8409043453941951E-3</v>
      </c>
      <c r="O308" s="3">
        <f t="shared" si="290"/>
        <v>7.8409043452899192E-3</v>
      </c>
      <c r="P308" s="3">
        <f t="shared" si="290"/>
        <v>7.8409043442471561E-3</v>
      </c>
      <c r="Q308" s="3">
        <f t="shared" si="290"/>
        <v>7.8409043338195355E-3</v>
      </c>
      <c r="R308" s="3">
        <f t="shared" si="290"/>
        <v>7.8409042295433141E-3</v>
      </c>
      <c r="S308" s="3">
        <f t="shared" si="290"/>
        <v>7.8409031867811944E-3</v>
      </c>
      <c r="T308" s="3">
        <f t="shared" si="290"/>
        <v>7.8408927591676267E-3</v>
      </c>
      <c r="U308" s="3">
        <f t="shared" si="290"/>
        <v>7.8407884837946688E-3</v>
      </c>
      <c r="V308" s="3">
        <f t="shared" si="290"/>
        <v>7.8397458063332575E-3</v>
      </c>
      <c r="W308" s="3">
        <f t="shared" si="290"/>
        <v>7.829326654785064E-3</v>
      </c>
      <c r="X308" s="3">
        <f t="shared" si="290"/>
        <v>7.7258937081719752E-3</v>
      </c>
      <c r="Y308" s="3">
        <f t="shared" si="290"/>
        <v>6.7638175954011504E-3</v>
      </c>
      <c r="Z308" s="3">
        <f t="shared" si="290"/>
        <v>1.7890540849289909E-3</v>
      </c>
      <c r="AA308" s="3">
        <f t="shared" si="290"/>
        <v>2.9987433482389053E-9</v>
      </c>
      <c r="AB308" s="3">
        <f t="shared" si="290"/>
        <v>5.2492538405128272E-67</v>
      </c>
      <c r="AC308" s="3">
        <f t="shared" si="290"/>
        <v>0</v>
      </c>
      <c r="AD308" s="3">
        <f t="shared" si="290"/>
        <v>0</v>
      </c>
      <c r="AE308" s="3">
        <f t="shared" si="290"/>
        <v>0</v>
      </c>
      <c r="AF308" s="3">
        <f t="shared" si="290"/>
        <v>0</v>
      </c>
      <c r="AG308" s="3"/>
      <c r="AH308" s="3"/>
    </row>
    <row r="309" spans="1:34" x14ac:dyDescent="0.25">
      <c r="B309" s="3">
        <f t="shared" ref="B309:AF309" si="291">$C39*EXP(-B$285/$A39/EXP(-$F$126))</f>
        <v>1.487119099211914E-2</v>
      </c>
      <c r="C309" s="3">
        <f t="shared" si="291"/>
        <v>1.487119099211914E-2</v>
      </c>
      <c r="D309" s="3">
        <f t="shared" si="291"/>
        <v>1.487119099211914E-2</v>
      </c>
      <c r="E309" s="3">
        <f t="shared" si="291"/>
        <v>1.487119099211914E-2</v>
      </c>
      <c r="F309" s="3">
        <f t="shared" si="291"/>
        <v>1.487119099211914E-2</v>
      </c>
      <c r="G309" s="3">
        <f t="shared" si="291"/>
        <v>1.487119099211914E-2</v>
      </c>
      <c r="H309" s="3">
        <f t="shared" si="291"/>
        <v>1.487119099211914E-2</v>
      </c>
      <c r="I309" s="3">
        <f t="shared" si="291"/>
        <v>1.487119099211914E-2</v>
      </c>
      <c r="J309" s="3">
        <f t="shared" si="291"/>
        <v>1.487119099211914E-2</v>
      </c>
      <c r="K309" s="3">
        <f t="shared" si="291"/>
        <v>1.4871190992119133E-2</v>
      </c>
      <c r="L309" s="3">
        <f t="shared" si="291"/>
        <v>1.4871190992119079E-2</v>
      </c>
      <c r="M309" s="3">
        <f t="shared" si="291"/>
        <v>1.4871190992118533E-2</v>
      </c>
      <c r="N309" s="3">
        <f t="shared" si="291"/>
        <v>1.4871190992113063E-2</v>
      </c>
      <c r="O309" s="3">
        <f t="shared" si="291"/>
        <v>1.4871190992058364E-2</v>
      </c>
      <c r="P309" s="3">
        <f t="shared" si="291"/>
        <v>1.4871190991511376E-2</v>
      </c>
      <c r="Q309" s="3">
        <f t="shared" si="291"/>
        <v>1.4871190986041496E-2</v>
      </c>
      <c r="R309" s="3">
        <f t="shared" si="291"/>
        <v>1.4871190931342704E-2</v>
      </c>
      <c r="S309" s="3">
        <f t="shared" si="291"/>
        <v>1.4871190384354792E-2</v>
      </c>
      <c r="T309" s="3">
        <f t="shared" si="291"/>
        <v>1.4871184914476776E-2</v>
      </c>
      <c r="U309" s="3">
        <f t="shared" si="291"/>
        <v>1.4871130215807275E-2</v>
      </c>
      <c r="V309" s="3">
        <f t="shared" si="291"/>
        <v>1.487058324017764E-2</v>
      </c>
      <c r="W309" s="3">
        <f t="shared" si="291"/>
        <v>1.4865114590267455E-2</v>
      </c>
      <c r="X309" s="3">
        <f t="shared" si="291"/>
        <v>1.4810538579361982E-2</v>
      </c>
      <c r="Y309" s="3">
        <f t="shared" si="291"/>
        <v>1.4275678391882499E-2</v>
      </c>
      <c r="Z309" s="3">
        <f t="shared" si="291"/>
        <v>9.8822489948478098E-3</v>
      </c>
      <c r="AA309" s="3">
        <f t="shared" si="291"/>
        <v>2.4971587964510905E-4</v>
      </c>
      <c r="AB309" s="3">
        <f t="shared" si="291"/>
        <v>2.6506344719031703E-20</v>
      </c>
      <c r="AC309" s="3">
        <f t="shared" si="291"/>
        <v>4.8126763351273882E-180</v>
      </c>
      <c r="AD309" s="3">
        <f t="shared" si="291"/>
        <v>0</v>
      </c>
      <c r="AE309" s="3">
        <f t="shared" si="291"/>
        <v>0</v>
      </c>
      <c r="AF309" s="3">
        <f t="shared" si="291"/>
        <v>0</v>
      </c>
      <c r="AG309" s="3"/>
      <c r="AH309" s="3"/>
    </row>
    <row r="310" spans="1:34" x14ac:dyDescent="0.25">
      <c r="B310" s="3">
        <f t="shared" ref="B310:AF310" si="292">$C40*EXP(-B$285/$A40/EXP(-$F$126))</f>
        <v>3.2949113910046581E-3</v>
      </c>
      <c r="C310" s="3">
        <f t="shared" si="292"/>
        <v>3.2949113910046581E-3</v>
      </c>
      <c r="D310" s="3">
        <f t="shared" si="292"/>
        <v>3.2949113910046581E-3</v>
      </c>
      <c r="E310" s="3">
        <f t="shared" si="292"/>
        <v>3.2949113910046581E-3</v>
      </c>
      <c r="F310" s="3">
        <f t="shared" si="292"/>
        <v>3.2949113910046581E-3</v>
      </c>
      <c r="G310" s="3">
        <f t="shared" si="292"/>
        <v>3.2949113910046581E-3</v>
      </c>
      <c r="H310" s="3">
        <f t="shared" si="292"/>
        <v>3.2949113910046581E-3</v>
      </c>
      <c r="I310" s="3">
        <f t="shared" si="292"/>
        <v>3.2949113910046581E-3</v>
      </c>
      <c r="J310" s="3">
        <f t="shared" si="292"/>
        <v>3.2949113910046581E-3</v>
      </c>
      <c r="K310" s="3">
        <f t="shared" si="292"/>
        <v>3.2949113910046581E-3</v>
      </c>
      <c r="L310" s="3">
        <f t="shared" si="292"/>
        <v>3.2949113910046568E-3</v>
      </c>
      <c r="M310" s="3">
        <f t="shared" si="292"/>
        <v>3.2949113910046447E-3</v>
      </c>
      <c r="N310" s="3">
        <f t="shared" si="292"/>
        <v>3.2949113910045237E-3</v>
      </c>
      <c r="O310" s="3">
        <f t="shared" si="292"/>
        <v>3.2949113910033115E-3</v>
      </c>
      <c r="P310" s="3">
        <f t="shared" si="292"/>
        <v>3.2949113909911923E-3</v>
      </c>
      <c r="Q310" s="3">
        <f t="shared" si="292"/>
        <v>3.2949113908699998E-3</v>
      </c>
      <c r="R310" s="3">
        <f t="shared" si="292"/>
        <v>3.2949113896580747E-3</v>
      </c>
      <c r="S310" s="3">
        <f t="shared" si="292"/>
        <v>3.2949113775388255E-3</v>
      </c>
      <c r="T310" s="3">
        <f t="shared" si="292"/>
        <v>3.2949112563463328E-3</v>
      </c>
      <c r="U310" s="3">
        <f t="shared" si="292"/>
        <v>3.2949100444216533E-3</v>
      </c>
      <c r="V310" s="3">
        <f t="shared" si="292"/>
        <v>3.2948979251993722E-3</v>
      </c>
      <c r="W310" s="3">
        <f t="shared" si="292"/>
        <v>3.2947767354282475E-3</v>
      </c>
      <c r="X310" s="3">
        <f t="shared" si="292"/>
        <v>3.2935650828516631E-3</v>
      </c>
      <c r="Y310" s="3">
        <f t="shared" si="292"/>
        <v>3.2814730372244271E-3</v>
      </c>
      <c r="Z310" s="3">
        <f t="shared" si="292"/>
        <v>3.1629676044547883E-3</v>
      </c>
      <c r="AA310" s="3">
        <f t="shared" si="292"/>
        <v>2.1895445226360068E-3</v>
      </c>
      <c r="AB310" s="3">
        <f t="shared" si="292"/>
        <v>5.5327895176213484E-5</v>
      </c>
      <c r="AC310" s="3">
        <f t="shared" si="292"/>
        <v>5.8728354168080227E-21</v>
      </c>
      <c r="AD310" s="3">
        <f t="shared" si="292"/>
        <v>1.0663128518915026E-180</v>
      </c>
      <c r="AE310" s="3">
        <f t="shared" si="292"/>
        <v>0</v>
      </c>
      <c r="AF310" s="3">
        <f t="shared" si="292"/>
        <v>0</v>
      </c>
      <c r="AG310" s="3"/>
      <c r="AH310" s="3"/>
    </row>
    <row r="311" spans="1:34" x14ac:dyDescent="0.25">
      <c r="B311" s="3">
        <f t="shared" ref="B311:AF311" si="293">$C41*EXP(-B$285/$A41/EXP(-$F$126))</f>
        <v>4.0317394660720415E-3</v>
      </c>
      <c r="C311" s="3">
        <f t="shared" si="293"/>
        <v>4.0317394660720415E-3</v>
      </c>
      <c r="D311" s="3">
        <f t="shared" si="293"/>
        <v>4.0317394660720415E-3</v>
      </c>
      <c r="E311" s="3">
        <f t="shared" si="293"/>
        <v>4.0317394660720415E-3</v>
      </c>
      <c r="F311" s="3">
        <f t="shared" si="293"/>
        <v>4.0317394660720415E-3</v>
      </c>
      <c r="G311" s="3">
        <f t="shared" si="293"/>
        <v>4.0317394660720415E-3</v>
      </c>
      <c r="H311" s="3">
        <f t="shared" si="293"/>
        <v>4.0317394660720415E-3</v>
      </c>
      <c r="I311" s="3">
        <f t="shared" si="293"/>
        <v>4.0317394660720415E-3</v>
      </c>
      <c r="J311" s="3">
        <f t="shared" si="293"/>
        <v>4.0317394660720415E-3</v>
      </c>
      <c r="K311" s="3">
        <f t="shared" si="293"/>
        <v>4.0317394660720415E-3</v>
      </c>
      <c r="L311" s="3">
        <f t="shared" si="293"/>
        <v>4.0317394660720415E-3</v>
      </c>
      <c r="M311" s="3">
        <f t="shared" si="293"/>
        <v>4.0317394660720398E-3</v>
      </c>
      <c r="N311" s="3">
        <f t="shared" si="293"/>
        <v>4.0317394660720251E-3</v>
      </c>
      <c r="O311" s="3">
        <f t="shared" si="293"/>
        <v>4.0317394660718767E-3</v>
      </c>
      <c r="P311" s="3">
        <f t="shared" si="293"/>
        <v>4.0317394660703935E-3</v>
      </c>
      <c r="Q311" s="3">
        <f t="shared" si="293"/>
        <v>4.0317394660555643E-3</v>
      </c>
      <c r="R311" s="3">
        <f t="shared" si="293"/>
        <v>4.0317394659072706E-3</v>
      </c>
      <c r="S311" s="3">
        <f t="shared" si="293"/>
        <v>4.0317394644243275E-3</v>
      </c>
      <c r="T311" s="3">
        <f t="shared" si="293"/>
        <v>4.0317394495948981E-3</v>
      </c>
      <c r="U311" s="3">
        <f t="shared" si="293"/>
        <v>4.0317393013006046E-3</v>
      </c>
      <c r="V311" s="3">
        <f t="shared" si="293"/>
        <v>4.0317378183579757E-3</v>
      </c>
      <c r="W311" s="3">
        <f t="shared" si="293"/>
        <v>4.0317229889616822E-3</v>
      </c>
      <c r="X311" s="3">
        <f t="shared" si="293"/>
        <v>4.0315746979986957E-3</v>
      </c>
      <c r="Y311" s="3">
        <f t="shared" si="293"/>
        <v>4.0300920883219928E-3</v>
      </c>
      <c r="Z311" s="3">
        <f t="shared" si="293"/>
        <v>4.0152959460906818E-3</v>
      </c>
      <c r="AA311" s="3">
        <f t="shared" si="293"/>
        <v>3.8702896094876152E-3</v>
      </c>
      <c r="AB311" s="3">
        <f t="shared" si="293"/>
        <v>2.6791837524777237E-3</v>
      </c>
      <c r="AC311" s="3">
        <f t="shared" si="293"/>
        <v>6.7700654762864755E-5</v>
      </c>
      <c r="AD311" s="3">
        <f t="shared" si="293"/>
        <v>7.1861545024647613E-21</v>
      </c>
      <c r="AE311" s="3">
        <f t="shared" si="293"/>
        <v>1.3047682010167675E-180</v>
      </c>
      <c r="AF311" s="3">
        <f t="shared" si="293"/>
        <v>0</v>
      </c>
      <c r="AG311" s="3"/>
      <c r="AH311" s="3"/>
    </row>
    <row r="312" spans="1:34" x14ac:dyDescent="0.25">
      <c r="B312" s="3">
        <f t="shared" ref="B312:AF312" si="294">$C42*EXP(-B$285/$A42/EXP(-$F$126))</f>
        <v>2.1502645285220883E-3</v>
      </c>
      <c r="C312" s="3">
        <f t="shared" si="294"/>
        <v>2.1502645285220883E-3</v>
      </c>
      <c r="D312" s="3">
        <f t="shared" si="294"/>
        <v>2.1502645285220883E-3</v>
      </c>
      <c r="E312" s="3">
        <f t="shared" si="294"/>
        <v>2.1502645285220883E-3</v>
      </c>
      <c r="F312" s="3">
        <f t="shared" si="294"/>
        <v>2.1502645285220883E-3</v>
      </c>
      <c r="G312" s="3">
        <f t="shared" si="294"/>
        <v>2.1502645285220883E-3</v>
      </c>
      <c r="H312" s="3">
        <f t="shared" si="294"/>
        <v>2.1502645285220883E-3</v>
      </c>
      <c r="I312" s="3">
        <f t="shared" si="294"/>
        <v>2.1502645285220883E-3</v>
      </c>
      <c r="J312" s="3">
        <f t="shared" si="294"/>
        <v>2.1502645285220883E-3</v>
      </c>
      <c r="K312" s="3">
        <f t="shared" si="294"/>
        <v>2.1502645285220883E-3</v>
      </c>
      <c r="L312" s="3">
        <f t="shared" si="294"/>
        <v>2.1502645285220883E-3</v>
      </c>
      <c r="M312" s="3">
        <f t="shared" si="294"/>
        <v>2.1502645285220883E-3</v>
      </c>
      <c r="N312" s="3">
        <f t="shared" si="294"/>
        <v>2.1502645285220875E-3</v>
      </c>
      <c r="O312" s="3">
        <f t="shared" si="294"/>
        <v>2.1502645285220797E-3</v>
      </c>
      <c r="P312" s="3">
        <f t="shared" si="294"/>
        <v>2.1502645285220003E-3</v>
      </c>
      <c r="Q312" s="3">
        <f t="shared" si="294"/>
        <v>2.1502645285212097E-3</v>
      </c>
      <c r="R312" s="3">
        <f t="shared" si="294"/>
        <v>2.1502645285133007E-3</v>
      </c>
      <c r="S312" s="3">
        <f t="shared" si="294"/>
        <v>2.1502645284342103E-3</v>
      </c>
      <c r="T312" s="3">
        <f t="shared" si="294"/>
        <v>2.150264527643306E-3</v>
      </c>
      <c r="U312" s="3">
        <f t="shared" si="294"/>
        <v>2.1502645197342641E-3</v>
      </c>
      <c r="V312" s="3">
        <f t="shared" si="294"/>
        <v>2.1502644406438463E-3</v>
      </c>
      <c r="W312" s="3">
        <f t="shared" si="294"/>
        <v>2.1502636497398309E-3</v>
      </c>
      <c r="X312" s="3">
        <f t="shared" si="294"/>
        <v>2.1502557407156748E-3</v>
      </c>
      <c r="Y312" s="3">
        <f t="shared" si="294"/>
        <v>2.1501766520740863E-3</v>
      </c>
      <c r="Z312" s="3">
        <f t="shared" si="294"/>
        <v>2.1493859256334798E-3</v>
      </c>
      <c r="AA312" s="3">
        <f t="shared" si="294"/>
        <v>2.1414946370056582E-3</v>
      </c>
      <c r="AB312" s="3">
        <f t="shared" si="294"/>
        <v>2.0641577989901094E-3</v>
      </c>
      <c r="AC312" s="3">
        <f t="shared" si="294"/>
        <v>1.4289003138286149E-3</v>
      </c>
      <c r="AD312" s="3">
        <f t="shared" si="294"/>
        <v>3.6107074308582526E-5</v>
      </c>
      <c r="AE312" s="3">
        <f t="shared" si="294"/>
        <v>3.8326219372958769E-21</v>
      </c>
      <c r="AF312" s="3">
        <f t="shared" si="294"/>
        <v>6.9587750007152886E-181</v>
      </c>
      <c r="AG312" s="3"/>
      <c r="AH312" s="3"/>
    </row>
    <row r="313" spans="1:34" x14ac:dyDescent="0.25">
      <c r="B313" s="3">
        <f t="shared" ref="B313:AF313" si="295">$C43*EXP(-B$285/$A43/EXP(-$F$126))</f>
        <v>0</v>
      </c>
      <c r="C313" s="3">
        <f t="shared" si="295"/>
        <v>0</v>
      </c>
      <c r="D313" s="3">
        <f t="shared" si="295"/>
        <v>0</v>
      </c>
      <c r="E313" s="3">
        <f t="shared" si="295"/>
        <v>0</v>
      </c>
      <c r="F313" s="3">
        <f t="shared" si="295"/>
        <v>0</v>
      </c>
      <c r="G313" s="3">
        <f t="shared" si="295"/>
        <v>0</v>
      </c>
      <c r="H313" s="3">
        <f t="shared" si="295"/>
        <v>0</v>
      </c>
      <c r="I313" s="3">
        <f t="shared" si="295"/>
        <v>0</v>
      </c>
      <c r="J313" s="3">
        <f t="shared" si="295"/>
        <v>0</v>
      </c>
      <c r="K313" s="3">
        <f t="shared" si="295"/>
        <v>0</v>
      </c>
      <c r="L313" s="3">
        <f t="shared" si="295"/>
        <v>0</v>
      </c>
      <c r="M313" s="3">
        <f t="shared" si="295"/>
        <v>0</v>
      </c>
      <c r="N313" s="3">
        <f t="shared" si="295"/>
        <v>0</v>
      </c>
      <c r="O313" s="3">
        <f t="shared" si="295"/>
        <v>0</v>
      </c>
      <c r="P313" s="3">
        <f t="shared" si="295"/>
        <v>0</v>
      </c>
      <c r="Q313" s="3">
        <f t="shared" si="295"/>
        <v>0</v>
      </c>
      <c r="R313" s="3">
        <f t="shared" si="295"/>
        <v>0</v>
      </c>
      <c r="S313" s="3">
        <f t="shared" si="295"/>
        <v>0</v>
      </c>
      <c r="T313" s="3">
        <f t="shared" si="295"/>
        <v>0</v>
      </c>
      <c r="U313" s="3">
        <f t="shared" si="295"/>
        <v>0</v>
      </c>
      <c r="V313" s="3">
        <f t="shared" si="295"/>
        <v>0</v>
      </c>
      <c r="W313" s="3">
        <f t="shared" si="295"/>
        <v>0</v>
      </c>
      <c r="X313" s="3">
        <f t="shared" si="295"/>
        <v>0</v>
      </c>
      <c r="Y313" s="3">
        <f t="shared" si="295"/>
        <v>0</v>
      </c>
      <c r="Z313" s="3">
        <f t="shared" si="295"/>
        <v>0</v>
      </c>
      <c r="AA313" s="3">
        <f t="shared" si="295"/>
        <v>0</v>
      </c>
      <c r="AB313" s="3">
        <f t="shared" si="295"/>
        <v>0</v>
      </c>
      <c r="AC313" s="3">
        <f t="shared" si="295"/>
        <v>0</v>
      </c>
      <c r="AD313" s="3">
        <f t="shared" si="295"/>
        <v>0</v>
      </c>
      <c r="AE313" s="3">
        <f t="shared" si="295"/>
        <v>0</v>
      </c>
      <c r="AF313" s="3">
        <f t="shared" si="295"/>
        <v>0</v>
      </c>
      <c r="AG313" s="3"/>
      <c r="AH313" s="3"/>
    </row>
    <row r="314" spans="1:34" x14ac:dyDescent="0.25">
      <c r="B314" s="3">
        <f t="shared" ref="B314:AF314" si="296">$C44*EXP(-B$285/$A44/EXP(-$F$126))</f>
        <v>3.0564736295290245E-3</v>
      </c>
      <c r="C314" s="3">
        <f t="shared" si="296"/>
        <v>3.0564736295290245E-3</v>
      </c>
      <c r="D314" s="3">
        <f t="shared" si="296"/>
        <v>3.0564736295290245E-3</v>
      </c>
      <c r="E314" s="3">
        <f t="shared" si="296"/>
        <v>3.0564736295290245E-3</v>
      </c>
      <c r="F314" s="3">
        <f t="shared" si="296"/>
        <v>3.0564736295290245E-3</v>
      </c>
      <c r="G314" s="3">
        <f t="shared" si="296"/>
        <v>3.0564736295290245E-3</v>
      </c>
      <c r="H314" s="3">
        <f t="shared" si="296"/>
        <v>3.0564736295290245E-3</v>
      </c>
      <c r="I314" s="3">
        <f t="shared" si="296"/>
        <v>3.0564736295290245E-3</v>
      </c>
      <c r="J314" s="3">
        <f t="shared" si="296"/>
        <v>3.0564736295290245E-3</v>
      </c>
      <c r="K314" s="3">
        <f t="shared" si="296"/>
        <v>3.0564736295290245E-3</v>
      </c>
      <c r="L314" s="3">
        <f t="shared" si="296"/>
        <v>3.0564736295290245E-3</v>
      </c>
      <c r="M314" s="3">
        <f t="shared" si="296"/>
        <v>3.0564736295290245E-3</v>
      </c>
      <c r="N314" s="3">
        <f t="shared" si="296"/>
        <v>3.0564736295290245E-3</v>
      </c>
      <c r="O314" s="3">
        <f t="shared" si="296"/>
        <v>3.0564736295290245E-3</v>
      </c>
      <c r="P314" s="3">
        <f t="shared" si="296"/>
        <v>3.0564736295290232E-3</v>
      </c>
      <c r="Q314" s="3">
        <f t="shared" si="296"/>
        <v>3.0564736295290119E-3</v>
      </c>
      <c r="R314" s="3">
        <f t="shared" si="296"/>
        <v>3.0564736295288996E-3</v>
      </c>
      <c r="S314" s="3">
        <f t="shared" si="296"/>
        <v>3.0564736295277755E-3</v>
      </c>
      <c r="T314" s="3">
        <f t="shared" si="296"/>
        <v>3.0564736295165332E-3</v>
      </c>
      <c r="U314" s="3">
        <f t="shared" si="296"/>
        <v>3.056473629404111E-3</v>
      </c>
      <c r="V314" s="3">
        <f t="shared" si="296"/>
        <v>3.0564736282798874E-3</v>
      </c>
      <c r="W314" s="3">
        <f t="shared" si="296"/>
        <v>3.0564736170376528E-3</v>
      </c>
      <c r="X314" s="3">
        <f t="shared" si="296"/>
        <v>3.0564735046153101E-3</v>
      </c>
      <c r="Y314" s="3">
        <f t="shared" si="296"/>
        <v>3.0564723803921112E-3</v>
      </c>
      <c r="Z314" s="3">
        <f t="shared" si="296"/>
        <v>3.0564611381828631E-3</v>
      </c>
      <c r="AA314" s="3">
        <f t="shared" si="296"/>
        <v>3.0563487183646481E-3</v>
      </c>
      <c r="AB314" s="3">
        <f t="shared" si="296"/>
        <v>3.055224747577879E-3</v>
      </c>
      <c r="AC314" s="3">
        <f t="shared" si="296"/>
        <v>3.0440077483324338E-3</v>
      </c>
      <c r="AD314" s="3">
        <f t="shared" si="296"/>
        <v>2.9340780151064717E-3</v>
      </c>
      <c r="AE314" s="3">
        <f t="shared" si="296"/>
        <v>2.0310971373576491E-3</v>
      </c>
      <c r="AF314" s="3">
        <f t="shared" si="296"/>
        <v>5.1324066876311203E-5</v>
      </c>
      <c r="AG314" s="3"/>
      <c r="AH314" s="3"/>
    </row>
    <row r="315" spans="1:34" x14ac:dyDescent="0.25">
      <c r="B315" s="3">
        <f t="shared" ref="B315:AF315" si="297">$C45*EXP(-B$285/$A45/EXP(-$F$126))</f>
        <v>1.3352216676863077E-3</v>
      </c>
      <c r="C315" s="3">
        <f t="shared" si="297"/>
        <v>1.3352216676863077E-3</v>
      </c>
      <c r="D315" s="3">
        <f t="shared" si="297"/>
        <v>1.3352216676863077E-3</v>
      </c>
      <c r="E315" s="3">
        <f t="shared" si="297"/>
        <v>1.3352216676863077E-3</v>
      </c>
      <c r="F315" s="3">
        <f t="shared" si="297"/>
        <v>1.3352216676863077E-3</v>
      </c>
      <c r="G315" s="3">
        <f t="shared" si="297"/>
        <v>1.3352216676863077E-3</v>
      </c>
      <c r="H315" s="3">
        <f t="shared" si="297"/>
        <v>1.3352216676863077E-3</v>
      </c>
      <c r="I315" s="3">
        <f t="shared" si="297"/>
        <v>1.3352216676863077E-3</v>
      </c>
      <c r="J315" s="3">
        <f t="shared" si="297"/>
        <v>1.3352216676863077E-3</v>
      </c>
      <c r="K315" s="3">
        <f t="shared" si="297"/>
        <v>1.3352216676863077E-3</v>
      </c>
      <c r="L315" s="3">
        <f t="shared" si="297"/>
        <v>1.3352216676863077E-3</v>
      </c>
      <c r="M315" s="3">
        <f t="shared" si="297"/>
        <v>1.3352216676863077E-3</v>
      </c>
      <c r="N315" s="3">
        <f t="shared" si="297"/>
        <v>1.3352216676863077E-3</v>
      </c>
      <c r="O315" s="3">
        <f t="shared" si="297"/>
        <v>1.3352216676863077E-3</v>
      </c>
      <c r="P315" s="3">
        <f t="shared" si="297"/>
        <v>1.3352216676863077E-3</v>
      </c>
      <c r="Q315" s="3">
        <f t="shared" si="297"/>
        <v>1.335221667686307E-3</v>
      </c>
      <c r="R315" s="3">
        <f t="shared" si="297"/>
        <v>1.3352216676863022E-3</v>
      </c>
      <c r="S315" s="3">
        <f t="shared" si="297"/>
        <v>1.335221667686253E-3</v>
      </c>
      <c r="T315" s="3">
        <f t="shared" si="297"/>
        <v>1.3352216676857621E-3</v>
      </c>
      <c r="U315" s="3">
        <f t="shared" si="297"/>
        <v>1.3352216676808509E-3</v>
      </c>
      <c r="V315" s="3">
        <f t="shared" si="297"/>
        <v>1.3352216676317391E-3</v>
      </c>
      <c r="W315" s="3">
        <f t="shared" si="297"/>
        <v>1.3352216671406215E-3</v>
      </c>
      <c r="X315" s="3">
        <f t="shared" si="297"/>
        <v>1.3352216622294472E-3</v>
      </c>
      <c r="Y315" s="3">
        <f t="shared" si="297"/>
        <v>1.3352216131177041E-3</v>
      </c>
      <c r="Z315" s="3">
        <f t="shared" si="297"/>
        <v>1.335221122000372E-3</v>
      </c>
      <c r="AA315" s="3">
        <f t="shared" si="297"/>
        <v>1.3352162108369856E-3</v>
      </c>
      <c r="AB315" s="3">
        <f t="shared" si="297"/>
        <v>1.3351671001966359E-3</v>
      </c>
      <c r="AC315" s="3">
        <f t="shared" si="297"/>
        <v>1.3346760931308979E-3</v>
      </c>
      <c r="AD315" s="3">
        <f t="shared" si="297"/>
        <v>1.3297759427437844E-3</v>
      </c>
      <c r="AE315" s="3">
        <f t="shared" si="297"/>
        <v>1.2817530969687668E-3</v>
      </c>
      <c r="AF315" s="3">
        <f t="shared" si="297"/>
        <v>8.8728555704681658E-4</v>
      </c>
      <c r="AG315" s="3"/>
      <c r="AH315" s="3"/>
    </row>
    <row r="316" spans="1:34" x14ac:dyDescent="0.25">
      <c r="B316" s="3">
        <f t="shared" ref="B316:AF316" si="298">$C46*EXP(-B$285/$A46/EXP(-$F$126))</f>
        <v>0</v>
      </c>
      <c r="C316" s="3">
        <f t="shared" si="298"/>
        <v>0</v>
      </c>
      <c r="D316" s="3">
        <f t="shared" si="298"/>
        <v>0</v>
      </c>
      <c r="E316" s="3">
        <f t="shared" si="298"/>
        <v>0</v>
      </c>
      <c r="F316" s="3">
        <f t="shared" si="298"/>
        <v>0</v>
      </c>
      <c r="G316" s="3">
        <f t="shared" si="298"/>
        <v>0</v>
      </c>
      <c r="H316" s="3">
        <f t="shared" si="298"/>
        <v>0</v>
      </c>
      <c r="I316" s="3">
        <f t="shared" si="298"/>
        <v>0</v>
      </c>
      <c r="J316" s="3">
        <f t="shared" si="298"/>
        <v>0</v>
      </c>
      <c r="K316" s="3">
        <f t="shared" si="298"/>
        <v>0</v>
      </c>
      <c r="L316" s="3">
        <f t="shared" si="298"/>
        <v>0</v>
      </c>
      <c r="M316" s="3">
        <f t="shared" si="298"/>
        <v>0</v>
      </c>
      <c r="N316" s="3">
        <f t="shared" si="298"/>
        <v>0</v>
      </c>
      <c r="O316" s="3">
        <f t="shared" si="298"/>
        <v>0</v>
      </c>
      <c r="P316" s="3">
        <f t="shared" si="298"/>
        <v>0</v>
      </c>
      <c r="Q316" s="3">
        <f t="shared" si="298"/>
        <v>0</v>
      </c>
      <c r="R316" s="3">
        <f t="shared" si="298"/>
        <v>0</v>
      </c>
      <c r="S316" s="3">
        <f t="shared" si="298"/>
        <v>0</v>
      </c>
      <c r="T316" s="3">
        <f t="shared" si="298"/>
        <v>0</v>
      </c>
      <c r="U316" s="3">
        <f t="shared" si="298"/>
        <v>0</v>
      </c>
      <c r="V316" s="3">
        <f t="shared" si="298"/>
        <v>0</v>
      </c>
      <c r="W316" s="3">
        <f t="shared" si="298"/>
        <v>0</v>
      </c>
      <c r="X316" s="3">
        <f t="shared" si="298"/>
        <v>0</v>
      </c>
      <c r="Y316" s="3">
        <f t="shared" si="298"/>
        <v>0</v>
      </c>
      <c r="Z316" s="3">
        <f t="shared" si="298"/>
        <v>0</v>
      </c>
      <c r="AA316" s="3">
        <f t="shared" si="298"/>
        <v>0</v>
      </c>
      <c r="AB316" s="3">
        <f t="shared" si="298"/>
        <v>0</v>
      </c>
      <c r="AC316" s="3">
        <f t="shared" si="298"/>
        <v>0</v>
      </c>
      <c r="AD316" s="3">
        <f t="shared" si="298"/>
        <v>0</v>
      </c>
      <c r="AE316" s="3">
        <f t="shared" si="298"/>
        <v>0</v>
      </c>
      <c r="AF316" s="3">
        <f t="shared" si="298"/>
        <v>0</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0</v>
      </c>
      <c r="C318" s="3">
        <f t="shared" si="300"/>
        <v>0</v>
      </c>
      <c r="D318" s="3">
        <f t="shared" si="300"/>
        <v>0</v>
      </c>
      <c r="E318" s="3">
        <f t="shared" si="300"/>
        <v>0</v>
      </c>
      <c r="F318" s="3">
        <f t="shared" si="300"/>
        <v>0</v>
      </c>
      <c r="G318" s="3">
        <f t="shared" si="300"/>
        <v>0</v>
      </c>
      <c r="H318" s="3">
        <f t="shared" si="300"/>
        <v>0</v>
      </c>
      <c r="I318" s="3">
        <f t="shared" si="300"/>
        <v>0</v>
      </c>
      <c r="J318" s="3">
        <f t="shared" si="300"/>
        <v>0</v>
      </c>
      <c r="K318" s="3">
        <f t="shared" si="300"/>
        <v>0</v>
      </c>
      <c r="L318" s="3">
        <f t="shared" si="300"/>
        <v>0</v>
      </c>
      <c r="M318" s="3">
        <f t="shared" si="300"/>
        <v>0</v>
      </c>
      <c r="N318" s="3">
        <f t="shared" si="300"/>
        <v>0</v>
      </c>
      <c r="O318" s="3">
        <f t="shared" si="300"/>
        <v>0</v>
      </c>
      <c r="P318" s="3">
        <f t="shared" si="300"/>
        <v>0</v>
      </c>
      <c r="Q318" s="3">
        <f t="shared" si="300"/>
        <v>0</v>
      </c>
      <c r="R318" s="3">
        <f t="shared" si="300"/>
        <v>0</v>
      </c>
      <c r="S318" s="3">
        <f t="shared" si="300"/>
        <v>0</v>
      </c>
      <c r="T318" s="3">
        <f t="shared" si="300"/>
        <v>0</v>
      </c>
      <c r="U318" s="3">
        <f t="shared" si="300"/>
        <v>0</v>
      </c>
      <c r="V318" s="3">
        <f t="shared" si="300"/>
        <v>0</v>
      </c>
      <c r="W318" s="3">
        <f t="shared" si="300"/>
        <v>0</v>
      </c>
      <c r="X318" s="3">
        <f t="shared" si="300"/>
        <v>0</v>
      </c>
      <c r="Y318" s="3">
        <f t="shared" si="300"/>
        <v>0</v>
      </c>
      <c r="Z318" s="3">
        <f t="shared" si="300"/>
        <v>0</v>
      </c>
      <c r="AA318" s="3">
        <f t="shared" si="300"/>
        <v>0</v>
      </c>
      <c r="AB318" s="3">
        <f t="shared" si="300"/>
        <v>0</v>
      </c>
      <c r="AC318" s="3">
        <f t="shared" si="300"/>
        <v>0</v>
      </c>
      <c r="AD318" s="3">
        <f t="shared" si="300"/>
        <v>0</v>
      </c>
      <c r="AE318" s="3">
        <f t="shared" si="300"/>
        <v>0</v>
      </c>
      <c r="AF318" s="3">
        <f t="shared" si="300"/>
        <v>0</v>
      </c>
      <c r="AG318" s="3"/>
      <c r="AH318" s="3"/>
    </row>
    <row r="319" spans="1:34" x14ac:dyDescent="0.25">
      <c r="A319" s="79">
        <f>AVERAGE(B319:AF319)</f>
        <v>7.0156646046339024E-3</v>
      </c>
      <c r="B319" s="80">
        <f>IF($A$64&lt;=B285,IF($B$64&gt;=B285,ABS((B287-B286)/B286),0),0)</f>
        <v>0</v>
      </c>
      <c r="C319" s="80">
        <f t="shared" ref="C319:AF319" si="301">IF($A$64&lt;=C285,IF($B$64&gt;=C285,ABS((C287-C286)/C286),0),0)</f>
        <v>0</v>
      </c>
      <c r="D319" s="80">
        <f t="shared" si="301"/>
        <v>0</v>
      </c>
      <c r="E319" s="80">
        <f t="shared" si="301"/>
        <v>0</v>
      </c>
      <c r="F319" s="80">
        <f t="shared" si="301"/>
        <v>0</v>
      </c>
      <c r="G319" s="80">
        <f t="shared" si="301"/>
        <v>0</v>
      </c>
      <c r="H319" s="80">
        <f t="shared" si="301"/>
        <v>0</v>
      </c>
      <c r="I319" s="80">
        <f t="shared" si="301"/>
        <v>0</v>
      </c>
      <c r="J319" s="80">
        <f t="shared" si="301"/>
        <v>0</v>
      </c>
      <c r="K319" s="80">
        <f t="shared" si="301"/>
        <v>0</v>
      </c>
      <c r="L319" s="80">
        <f t="shared" si="301"/>
        <v>1.6316317316295376E-2</v>
      </c>
      <c r="M319" s="80">
        <f t="shared" si="301"/>
        <v>1.5368932925936225E-2</v>
      </c>
      <c r="N319" s="80">
        <f t="shared" si="301"/>
        <v>1.7659806469664686E-2</v>
      </c>
      <c r="O319" s="80">
        <f t="shared" si="301"/>
        <v>1.692888524419035E-2</v>
      </c>
      <c r="P319" s="80">
        <f t="shared" si="301"/>
        <v>2.0188288909607853E-2</v>
      </c>
      <c r="Q319" s="80">
        <f t="shared" si="301"/>
        <v>1.9200690859019653E-2</v>
      </c>
      <c r="R319" s="80">
        <f t="shared" si="301"/>
        <v>1.0368521716786842E-2</v>
      </c>
      <c r="S319" s="80">
        <f t="shared" si="301"/>
        <v>2.7997134769114002E-2</v>
      </c>
      <c r="T319" s="80">
        <f t="shared" si="301"/>
        <v>4.1602754283264369E-2</v>
      </c>
      <c r="U319" s="80">
        <f t="shared" si="301"/>
        <v>2.3174023621983134E-2</v>
      </c>
      <c r="V319" s="80">
        <f t="shared" si="301"/>
        <v>8.680246627788487E-3</v>
      </c>
      <c r="W319" s="80">
        <f t="shared" si="301"/>
        <v>0</v>
      </c>
      <c r="X319" s="80">
        <f t="shared" si="301"/>
        <v>0</v>
      </c>
      <c r="Y319" s="80">
        <f t="shared" si="301"/>
        <v>0</v>
      </c>
      <c r="Z319" s="80">
        <f t="shared" si="301"/>
        <v>0</v>
      </c>
      <c r="AA319" s="80">
        <f t="shared" si="301"/>
        <v>0</v>
      </c>
      <c r="AB319" s="80">
        <f t="shared" si="301"/>
        <v>0</v>
      </c>
      <c r="AC319" s="80">
        <f t="shared" si="301"/>
        <v>0</v>
      </c>
      <c r="AD319" s="80">
        <f t="shared" si="301"/>
        <v>0</v>
      </c>
      <c r="AE319" s="80">
        <f t="shared" si="301"/>
        <v>0</v>
      </c>
      <c r="AF319" s="80">
        <f t="shared" si="301"/>
        <v>0</v>
      </c>
    </row>
    <row r="320" spans="1:34" x14ac:dyDescent="0.25">
      <c r="B320" s="21">
        <f>(B287-B286)^2</f>
        <v>568764.98790864262</v>
      </c>
      <c r="C320" s="21">
        <f t="shared" ref="C320:AF320" si="302">(C287-C286)^2</f>
        <v>232607.10032387386</v>
      </c>
      <c r="D320" s="21">
        <f t="shared" si="302"/>
        <v>57954.845920476386</v>
      </c>
      <c r="E320" s="21">
        <f t="shared" si="302"/>
        <v>1491.0369675866928</v>
      </c>
      <c r="F320" s="21">
        <f t="shared" si="302"/>
        <v>6821.6509453742065</v>
      </c>
      <c r="G320" s="21">
        <f t="shared" si="302"/>
        <v>17035.093777184276</v>
      </c>
      <c r="H320" s="21">
        <f t="shared" si="302"/>
        <v>12888.056385604257</v>
      </c>
      <c r="I320" s="21">
        <f t="shared" si="302"/>
        <v>15911.840452775945</v>
      </c>
      <c r="J320" s="21">
        <f t="shared" si="302"/>
        <v>15355.203170032151</v>
      </c>
      <c r="K320" s="21">
        <f t="shared" si="302"/>
        <v>12532.08793954819</v>
      </c>
      <c r="L320" s="21">
        <f t="shared" si="302"/>
        <v>12556.474161054541</v>
      </c>
      <c r="M320" s="21">
        <f t="shared" si="302"/>
        <v>10222.497637205664</v>
      </c>
      <c r="N320" s="21">
        <f t="shared" si="302"/>
        <v>12372.128940481192</v>
      </c>
      <c r="O320" s="21">
        <f t="shared" si="302"/>
        <v>10331.970046556957</v>
      </c>
      <c r="P320" s="21">
        <f t="shared" si="302"/>
        <v>13376.732531122641</v>
      </c>
      <c r="Q320" s="21">
        <f t="shared" si="302"/>
        <v>10687.115602947688</v>
      </c>
      <c r="R320" s="21">
        <f t="shared" si="302"/>
        <v>2630.8812329474413</v>
      </c>
      <c r="S320" s="21">
        <f t="shared" si="302"/>
        <v>14773.581038008597</v>
      </c>
      <c r="T320" s="21">
        <f t="shared" si="302"/>
        <v>23639.086913990424</v>
      </c>
      <c r="U320" s="21">
        <f t="shared" si="302"/>
        <v>5057.4033725170848</v>
      </c>
      <c r="V320" s="21">
        <f t="shared" si="302"/>
        <v>458.62805353430844</v>
      </c>
      <c r="W320" s="21">
        <f t="shared" si="302"/>
        <v>6102.8062884635319</v>
      </c>
      <c r="X320" s="21">
        <f t="shared" si="302"/>
        <v>5346.9873983822781</v>
      </c>
      <c r="Y320" s="21">
        <f t="shared" si="302"/>
        <v>3170.4613934046192</v>
      </c>
      <c r="Z320" s="21">
        <f t="shared" si="302"/>
        <v>72.555875266487519</v>
      </c>
      <c r="AA320" s="21">
        <f t="shared" si="302"/>
        <v>441.45531391774301</v>
      </c>
      <c r="AB320" s="21">
        <f t="shared" si="302"/>
        <v>10.372258635679829</v>
      </c>
      <c r="AC320" s="21">
        <f t="shared" si="302"/>
        <v>13.005720202469067</v>
      </c>
      <c r="AD320" s="21">
        <f t="shared" si="302"/>
        <v>2.7131804787694738</v>
      </c>
      <c r="AE320" s="21">
        <f t="shared" si="302"/>
        <v>0.14596020509675597</v>
      </c>
      <c r="AF320" s="21">
        <f t="shared" si="302"/>
        <v>4.382770085883342</v>
      </c>
      <c r="AG320" s="3"/>
      <c r="AH320" s="3"/>
    </row>
    <row r="321" spans="1:34" x14ac:dyDescent="0.25">
      <c r="A321" s="71">
        <f>SUM(B321:AF321)</f>
        <v>116106.49953036655</v>
      </c>
      <c r="B321" s="60">
        <f>IF($A$64&lt;=B285,IF($B$64&gt;=B285,ABS(B320),0),0)</f>
        <v>0</v>
      </c>
      <c r="C321" s="60">
        <f t="shared" ref="C321" si="303">IF($A$64&lt;=C285,IF($B$64&gt;=C285,ABS(C320),0),0)</f>
        <v>0</v>
      </c>
      <c r="D321" s="60">
        <f t="shared" ref="D321" si="304">IF($A$64&lt;=D285,IF($B$64&gt;=D285,ABS(D320),0),0)</f>
        <v>0</v>
      </c>
      <c r="E321" s="60">
        <f t="shared" ref="E321" si="305">IF($A$64&lt;=E285,IF($B$64&gt;=E285,ABS(E320),0),0)</f>
        <v>0</v>
      </c>
      <c r="F321" s="60">
        <f t="shared" ref="F321" si="306">IF($A$64&lt;=F285,IF($B$64&gt;=F285,ABS(F320),0),0)</f>
        <v>0</v>
      </c>
      <c r="G321" s="60">
        <f t="shared" ref="G321" si="307">IF($A$64&lt;=G285,IF($B$64&gt;=G285,ABS(G320),0),0)</f>
        <v>0</v>
      </c>
      <c r="H321" s="60">
        <f t="shared" ref="H321" si="308">IF($A$64&lt;=H285,IF($B$64&gt;=H285,ABS(H320),0),0)</f>
        <v>0</v>
      </c>
      <c r="I321" s="60">
        <f t="shared" ref="I321" si="309">IF($A$64&lt;=I285,IF($B$64&gt;=I285,ABS(I320),0),0)</f>
        <v>0</v>
      </c>
      <c r="J321" s="60">
        <f t="shared" ref="J321" si="310">IF($A$64&lt;=J285,IF($B$64&gt;=J285,ABS(J320),0),0)</f>
        <v>0</v>
      </c>
      <c r="K321" s="60">
        <f t="shared" ref="K321" si="311">IF($A$64&lt;=K285,IF($B$64&gt;=K285,ABS(K320),0),0)</f>
        <v>0</v>
      </c>
      <c r="L321" s="60">
        <f t="shared" ref="L321" si="312">IF($A$64&lt;=L285,IF($B$64&gt;=L285,ABS(L320),0),0)</f>
        <v>12556.474161054541</v>
      </c>
      <c r="M321" s="60">
        <f t="shared" ref="M321" si="313">IF($A$64&lt;=M285,IF($B$64&gt;=M285,ABS(M320),0),0)</f>
        <v>10222.497637205664</v>
      </c>
      <c r="N321" s="60">
        <f t="shared" ref="N321" si="314">IF($A$64&lt;=N285,IF($B$64&gt;=N285,ABS(N320),0),0)</f>
        <v>12372.128940481192</v>
      </c>
      <c r="O321" s="60">
        <f t="shared" ref="O321" si="315">IF($A$64&lt;=O285,IF($B$64&gt;=O285,ABS(O320),0),0)</f>
        <v>10331.970046556957</v>
      </c>
      <c r="P321" s="60">
        <f t="shared" ref="P321" si="316">IF($A$64&lt;=P285,IF($B$64&gt;=P285,ABS(P320),0),0)</f>
        <v>13376.732531122641</v>
      </c>
      <c r="Q321" s="60">
        <f t="shared" ref="Q321" si="317">IF($A$64&lt;=Q285,IF($B$64&gt;=Q285,ABS(Q320),0),0)</f>
        <v>10687.115602947688</v>
      </c>
      <c r="R321" s="60">
        <f t="shared" ref="R321" si="318">IF($A$64&lt;=R285,IF($B$64&gt;=R285,ABS(R320),0),0)</f>
        <v>2630.8812329474413</v>
      </c>
      <c r="S321" s="60">
        <f t="shared" ref="S321" si="319">IF($A$64&lt;=S285,IF($B$64&gt;=S285,ABS(S320),0),0)</f>
        <v>14773.581038008597</v>
      </c>
      <c r="T321" s="60">
        <f t="shared" ref="T321" si="320">IF($A$64&lt;=T285,IF($B$64&gt;=T285,ABS(T320),0),0)</f>
        <v>23639.086913990424</v>
      </c>
      <c r="U321" s="60">
        <f t="shared" ref="U321" si="321">IF($A$64&lt;=U285,IF($B$64&gt;=U285,ABS(U320),0),0)</f>
        <v>5057.4033725170848</v>
      </c>
      <c r="V321" s="60">
        <f t="shared" ref="V321" si="322">IF($A$64&lt;=V285,IF($B$64&gt;=V285,ABS(V320),0),0)</f>
        <v>458.62805353430844</v>
      </c>
      <c r="W321" s="60">
        <f t="shared" ref="W321" si="323">IF($A$64&lt;=W285,IF($B$64&gt;=W285,ABS(W320),0),0)</f>
        <v>0</v>
      </c>
      <c r="X321" s="60">
        <f t="shared" ref="X321" si="324">IF($A$64&lt;=X285,IF($B$64&gt;=X285,ABS(X320),0),0)</f>
        <v>0</v>
      </c>
      <c r="Y321" s="60">
        <f t="shared" ref="Y321" si="325">IF($A$64&lt;=Y285,IF($B$64&gt;=Y285,ABS(Y320),0),0)</f>
        <v>0</v>
      </c>
      <c r="Z321" s="60">
        <f t="shared" ref="Z321" si="326">IF($A$64&lt;=Z285,IF($B$64&gt;=Z285,ABS(Z320),0),0)</f>
        <v>0</v>
      </c>
      <c r="AA321" s="60">
        <f t="shared" ref="AA321" si="327">IF($A$64&lt;=AA285,IF($B$64&gt;=AA285,ABS(AA320),0),0)</f>
        <v>0</v>
      </c>
      <c r="AB321" s="60">
        <f t="shared" ref="AB321" si="328">IF($A$64&lt;=AB285,IF($B$64&gt;=AB285,ABS(AB320),0),0)</f>
        <v>0</v>
      </c>
      <c r="AC321" s="60">
        <f t="shared" ref="AC321" si="329">IF($A$64&lt;=AC285,IF($B$64&gt;=AC285,ABS(AC320),0),0)</f>
        <v>0</v>
      </c>
      <c r="AD321" s="60">
        <f t="shared" ref="AD321" si="330">IF($A$64&lt;=AD285,IF($B$64&gt;=AD285,ABS(AD320),0),0)</f>
        <v>0</v>
      </c>
      <c r="AE321" s="60">
        <f t="shared" ref="AE321" si="331">IF($A$64&lt;=AE285,IF($B$64&gt;=AE285,ABS(AE320),0),0)</f>
        <v>0</v>
      </c>
      <c r="AF321" s="60">
        <f t="shared" ref="AF321" si="332">IF($A$64&lt;=AF285,IF($B$64&gt;=AF285,ABS(AF320),0),0)</f>
        <v>0</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9149.8345482474924</v>
      </c>
      <c r="C325" s="26">
        <f>INDEX(Comparison!$AM$3:$AS$33,G$14,$G$122)</f>
        <v>8820.2788795776141</v>
      </c>
      <c r="D325" s="26">
        <f>INDEX(Comparison!$AM$3:$AS$33,H$14,$G$122)</f>
        <v>8533.8722605331295</v>
      </c>
      <c r="E325" s="26">
        <f>INDEX(Comparison!$AM$3:$AS$33,I$14,$G$122)</f>
        <v>8273.7015747988644</v>
      </c>
      <c r="F325" s="26">
        <f>INDEX(Comparison!$AM$3:$AS$33,J$14,$G$122)</f>
        <v>7979.0862222792848</v>
      </c>
      <c r="G325" s="26">
        <f>INDEX(Comparison!$AM$3:$AS$33,K$14,$G$122)</f>
        <v>7625.3190133909084</v>
      </c>
      <c r="H325" s="26">
        <f>INDEX(Comparison!$AM$3:$AS$33,L$14,$G$122)</f>
        <v>7251.0629198471606</v>
      </c>
      <c r="I325" s="26">
        <f>INDEX(Comparison!$AM$3:$AS$33,M$14,$G$122)</f>
        <v>6924.393407013602</v>
      </c>
      <c r="J325" s="26">
        <f>INDEX(Comparison!$AM$3:$AS$33,N$14,$G$122)</f>
        <v>6643.9609995540914</v>
      </c>
      <c r="K325" s="26">
        <f>INDEX(Comparison!$AM$3:$AS$33,O$14,$G$122)</f>
        <v>6360.2369441944311</v>
      </c>
      <c r="L325" s="26">
        <f>INDEX(Comparison!$AM$3:$AS$33,P$14,$G$122)</f>
        <v>6077.1759886859509</v>
      </c>
      <c r="M325" s="26">
        <f>INDEX(Comparison!$AM$3:$AS$33,Q$14,$G$122)</f>
        <v>5794.3492029841209</v>
      </c>
      <c r="N325" s="26">
        <f>INDEX(Comparison!$AM$3:$AS$33,R$14,$G$122)</f>
        <v>5497.4610054881305</v>
      </c>
      <c r="O325" s="26">
        <f>INDEX(Comparison!$AM$3:$AS$33,S$14,$G$122)</f>
        <v>5142.3629386905741</v>
      </c>
      <c r="P325" s="26">
        <f>INDEX(Comparison!$AM$3:$AS$33,T$14,$G$122)</f>
        <v>4755.3271416437765</v>
      </c>
      <c r="Q325" s="26">
        <f>INDEX(Comparison!$AM$3:$AS$33,U$14,$G$122)</f>
        <v>4259.9552232455089</v>
      </c>
      <c r="R325" s="26">
        <f>INDEX(Comparison!$AM$3:$AS$33,V$14,$G$122)</f>
        <v>3608.881023132205</v>
      </c>
      <c r="S325" s="26">
        <f>INDEX(Comparison!$AM$3:$AS$33,W$14,$G$122)</f>
        <v>2894.897040918956</v>
      </c>
      <c r="T325" s="26">
        <f>INDEX(Comparison!$AM$3:$AS$33,X$14,$G$122)</f>
        <v>2208.0535004045023</v>
      </c>
      <c r="U325" s="26">
        <f>INDEX(Comparison!$AM$3:$AS$33,Y$14,$G$122)</f>
        <v>1590.7510281023892</v>
      </c>
      <c r="V325" s="26">
        <f>INDEX(Comparison!$AM$3:$AS$33,Z$14,$G$122)</f>
        <v>1134.4072038150462</v>
      </c>
      <c r="W325" s="26">
        <f>INDEX(Comparison!$AM$3:$AS$33,AA$14,$G$122)</f>
        <v>828.10892034291578</v>
      </c>
      <c r="X325" s="26">
        <f>INDEX(Comparison!$AM$3:$AS$33,AB$14,$G$122)</f>
        <v>674.83435785785764</v>
      </c>
      <c r="Y325" s="26">
        <f>INDEX(Comparison!$AM$3:$AS$33,AC$14,$G$122)</f>
        <v>590.63358810768784</v>
      </c>
      <c r="Z325" s="26">
        <f>INDEX(Comparison!$AM$3:$AS$33,AD$14,$G$122)</f>
        <v>552.35798150339338</v>
      </c>
      <c r="AA325" s="26">
        <f>INDEX(Comparison!$AM$3:$AS$33,AE$14,$G$122)</f>
        <v>523.49731143746499</v>
      </c>
      <c r="AB325" s="26">
        <f>INDEX(Comparison!$AM$3:$AS$33,AF$14,$G$122)</f>
        <v>511.68260567729681</v>
      </c>
      <c r="AC325" s="26">
        <f>INDEX(Comparison!$AM$3:$AS$33,AG$14,$G$122)</f>
        <v>494.48298272135173</v>
      </c>
      <c r="AD325" s="26">
        <f>INDEX(Comparison!$AM$3:$AS$33,AH$14,$G$122)</f>
        <v>471.68716650538101</v>
      </c>
      <c r="AE325" s="26">
        <f>INDEX(Comparison!$AM$3:$AS$33,AI$14,$G$122)</f>
        <v>468.71385881352927</v>
      </c>
      <c r="AF325" s="26">
        <f>INDEX(Comparison!$AM$3:$AS$33,AJ$14,$G$122)</f>
        <v>468.47657281171303</v>
      </c>
      <c r="AG325" s="26"/>
      <c r="AH325" s="26"/>
    </row>
    <row r="326" spans="1:34" x14ac:dyDescent="0.25">
      <c r="A326" s="77" t="s">
        <v>22</v>
      </c>
      <c r="B326" s="27">
        <f>($C$17+SUM(B327:B357))*$B$51</f>
        <v>9058.0036107343767</v>
      </c>
      <c r="C326" s="27">
        <f t="shared" ref="C326:AF326" si="333">($C$17+SUM(C327:C357))*$B$51</f>
        <v>8939.0404974696958</v>
      </c>
      <c r="D326" s="27">
        <f t="shared" si="333"/>
        <v>8502.4396080981896</v>
      </c>
      <c r="E326" s="27">
        <f t="shared" si="333"/>
        <v>8278.8429384056126</v>
      </c>
      <c r="F326" s="27">
        <f t="shared" si="333"/>
        <v>7978.3788446783619</v>
      </c>
      <c r="G326" s="27">
        <f t="shared" si="333"/>
        <v>7625.4294477775265</v>
      </c>
      <c r="H326" s="27">
        <f t="shared" si="333"/>
        <v>7251.0069089953367</v>
      </c>
      <c r="I326" s="27">
        <f t="shared" si="333"/>
        <v>6924.5332687676473</v>
      </c>
      <c r="J326" s="27">
        <f t="shared" si="333"/>
        <v>6643.6437306204934</v>
      </c>
      <c r="K326" s="27">
        <f t="shared" si="333"/>
        <v>6360.9178902770336</v>
      </c>
      <c r="L326" s="27">
        <f t="shared" si="333"/>
        <v>6076.0101788299071</v>
      </c>
      <c r="M326" s="27">
        <f t="shared" si="333"/>
        <v>5796.0560192864286</v>
      </c>
      <c r="N326" s="27">
        <f t="shared" si="333"/>
        <v>5495.3765323142561</v>
      </c>
      <c r="O326" s="27">
        <f t="shared" si="333"/>
        <v>5144.5593156680206</v>
      </c>
      <c r="P326" s="27">
        <f t="shared" si="333"/>
        <v>4753.3643842115498</v>
      </c>
      <c r="Q326" s="27">
        <f t="shared" si="333"/>
        <v>4261.5021470650208</v>
      </c>
      <c r="R326" s="27">
        <f t="shared" si="333"/>
        <v>3607.8785442133026</v>
      </c>
      <c r="S326" s="27">
        <f t="shared" si="333"/>
        <v>2895.4865215372461</v>
      </c>
      <c r="T326" s="27">
        <f t="shared" si="333"/>
        <v>2207.7830556277995</v>
      </c>
      <c r="U326" s="27">
        <f t="shared" si="333"/>
        <v>1590.8677276988001</v>
      </c>
      <c r="V326" s="27">
        <f t="shared" si="333"/>
        <v>1134.3760339652126</v>
      </c>
      <c r="W326" s="27">
        <f t="shared" si="333"/>
        <v>828.12221645145848</v>
      </c>
      <c r="X326" s="27">
        <f t="shared" si="333"/>
        <v>674.81263326488022</v>
      </c>
      <c r="Y326" s="27">
        <f t="shared" si="333"/>
        <v>590.67377328349528</v>
      </c>
      <c r="Z326" s="27">
        <f t="shared" si="333"/>
        <v>552.29957711402176</v>
      </c>
      <c r="AA326" s="27">
        <f t="shared" si="333"/>
        <v>523.5874465723723</v>
      </c>
      <c r="AB326" s="27">
        <f t="shared" si="333"/>
        <v>512.13485855866941</v>
      </c>
      <c r="AC326" s="27">
        <f t="shared" si="333"/>
        <v>493.23613321364837</v>
      </c>
      <c r="AD326" s="27">
        <f t="shared" si="333"/>
        <v>473.40884422813463</v>
      </c>
      <c r="AE326" s="27">
        <f t="shared" si="333"/>
        <v>468.1183857942267</v>
      </c>
      <c r="AF326" s="27">
        <f t="shared" si="333"/>
        <v>468.11773275852704</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5.177027204763375E-2</v>
      </c>
      <c r="C328" s="3">
        <f t="shared" si="335"/>
        <v>4.1111450997698598E-2</v>
      </c>
      <c r="D328" s="3">
        <f t="shared" si="335"/>
        <v>4.1000238685541864E-3</v>
      </c>
      <c r="E328" s="3">
        <f t="shared" si="335"/>
        <v>3.9904528486215198E-13</v>
      </c>
      <c r="F328" s="3">
        <f t="shared" si="335"/>
        <v>3.0435480939285473E-113</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1.5866544369073188E-2</v>
      </c>
      <c r="C329" s="3">
        <f t="shared" si="336"/>
        <v>1.5539996130017681E-2</v>
      </c>
      <c r="D329" s="3">
        <f t="shared" si="336"/>
        <v>1.262224088966008E-2</v>
      </c>
      <c r="E329" s="3">
        <f t="shared" si="336"/>
        <v>1.5775823669478303E-3</v>
      </c>
      <c r="F329" s="3">
        <f t="shared" si="336"/>
        <v>1.4673977037211195E-12</v>
      </c>
      <c r="G329" s="3">
        <f t="shared" si="336"/>
        <v>7.1138671798889518E-103</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2.9717941405963649E-2</v>
      </c>
      <c r="C330" s="3">
        <f t="shared" si="337"/>
        <v>2.9662244520148578E-2</v>
      </c>
      <c r="D330" s="3">
        <f t="shared" si="337"/>
        <v>2.9110984743466739E-2</v>
      </c>
      <c r="E330" s="3">
        <f t="shared" si="337"/>
        <v>2.4131579914720279E-2</v>
      </c>
      <c r="F330" s="3">
        <f t="shared" si="337"/>
        <v>3.6972120046530775E-3</v>
      </c>
      <c r="G330" s="3">
        <f t="shared" si="337"/>
        <v>2.6348769293124237E-11</v>
      </c>
      <c r="H330" s="3">
        <f t="shared" si="337"/>
        <v>8.9047173418550355E-93</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3.4473932858793112E-2</v>
      </c>
      <c r="C331" s="3">
        <f t="shared" si="338"/>
        <v>3.4468099480260229E-2</v>
      </c>
      <c r="D331" s="3">
        <f t="shared" si="338"/>
        <v>3.4409819956423587E-2</v>
      </c>
      <c r="E331" s="3">
        <f t="shared" si="338"/>
        <v>3.3832417045509315E-2</v>
      </c>
      <c r="F331" s="3">
        <f t="shared" si="338"/>
        <v>2.8565332225341442E-2</v>
      </c>
      <c r="G331" s="3">
        <f t="shared" si="338"/>
        <v>5.2589836111349752E-3</v>
      </c>
      <c r="H331" s="3">
        <f t="shared" si="338"/>
        <v>2.352486809973584E-10</v>
      </c>
      <c r="I331" s="3">
        <f t="shared" si="338"/>
        <v>7.5471154568027276E-84</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3.8163474865772068E-2</v>
      </c>
      <c r="C332" s="3">
        <f t="shared" si="339"/>
        <v>3.8162892283504883E-2</v>
      </c>
      <c r="D332" s="3">
        <f t="shared" si="339"/>
        <v>3.8157066949946299E-2</v>
      </c>
      <c r="E332" s="3">
        <f t="shared" si="339"/>
        <v>3.8098862498068535E-2</v>
      </c>
      <c r="F332" s="3">
        <f t="shared" si="339"/>
        <v>3.7521678851713203E-2</v>
      </c>
      <c r="G332" s="3">
        <f t="shared" si="339"/>
        <v>3.2209559753299102E-2</v>
      </c>
      <c r="H332" s="3">
        <f t="shared" si="339"/>
        <v>6.9985820278501585E-3</v>
      </c>
      <c r="I332" s="3">
        <f t="shared" si="339"/>
        <v>1.6415826016720981E-9</v>
      </c>
      <c r="J332" s="3">
        <f t="shared" si="339"/>
        <v>8.2754110443054321E-76</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3.1147955522676386E-2</v>
      </c>
      <c r="C333" s="3">
        <f t="shared" si="340"/>
        <v>3.114791262947094E-2</v>
      </c>
      <c r="D333" s="3">
        <f t="shared" si="340"/>
        <v>3.1147483700665141E-2</v>
      </c>
      <c r="E333" s="3">
        <f t="shared" si="340"/>
        <v>3.1143194737459658E-2</v>
      </c>
      <c r="F333" s="3">
        <f t="shared" si="340"/>
        <v>3.1100337574110098E-2</v>
      </c>
      <c r="G333" s="3">
        <f t="shared" si="340"/>
        <v>3.0674996328454961E-2</v>
      </c>
      <c r="H333" s="3">
        <f t="shared" si="340"/>
        <v>2.6728752107368119E-2</v>
      </c>
      <c r="I333" s="3">
        <f t="shared" si="340"/>
        <v>6.7440428505507934E-3</v>
      </c>
      <c r="J333" s="3">
        <f t="shared" si="340"/>
        <v>7.0523961495482682E-9</v>
      </c>
      <c r="K333" s="3">
        <f t="shared" si="340"/>
        <v>1.1028094666780368E-68</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2.5944983752070085E-2</v>
      </c>
      <c r="C334" s="3">
        <f t="shared" si="341"/>
        <v>2.5944980529078121E-2</v>
      </c>
      <c r="D334" s="3">
        <f t="shared" si="341"/>
        <v>2.5944948299180485E-2</v>
      </c>
      <c r="E334" s="3">
        <f t="shared" si="341"/>
        <v>2.5944626002406209E-2</v>
      </c>
      <c r="F334" s="3">
        <f t="shared" si="341"/>
        <v>2.5941403254857501E-2</v>
      </c>
      <c r="G334" s="3">
        <f t="shared" si="341"/>
        <v>2.5909197788659712E-2</v>
      </c>
      <c r="H334" s="3">
        <f t="shared" si="341"/>
        <v>2.5589333973027158E-2</v>
      </c>
      <c r="I334" s="3">
        <f t="shared" si="341"/>
        <v>2.2600036616653149E-2</v>
      </c>
      <c r="J334" s="3">
        <f t="shared" si="341"/>
        <v>6.5254542094825164E-3</v>
      </c>
      <c r="K334" s="3">
        <f t="shared" si="341"/>
        <v>2.6280086075063886E-8</v>
      </c>
      <c r="L334" s="3">
        <f t="shared" si="341"/>
        <v>2.9497631907022575E-62</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2.8280666304730157E-2</v>
      </c>
      <c r="C335" s="3">
        <f t="shared" si="342"/>
        <v>2.8280665987815683E-2</v>
      </c>
      <c r="D335" s="3">
        <f t="shared" si="342"/>
        <v>2.8280662818671153E-2</v>
      </c>
      <c r="E335" s="3">
        <f t="shared" si="342"/>
        <v>2.8280631127245378E-2</v>
      </c>
      <c r="F335" s="3">
        <f t="shared" si="342"/>
        <v>2.8280314214940871E-2</v>
      </c>
      <c r="G335" s="3">
        <f t="shared" si="342"/>
        <v>2.8277145287211512E-2</v>
      </c>
      <c r="H335" s="3">
        <f t="shared" si="342"/>
        <v>2.8245475533393943E-2</v>
      </c>
      <c r="I335" s="3">
        <f t="shared" si="342"/>
        <v>2.7930722272130414E-2</v>
      </c>
      <c r="J335" s="3">
        <f t="shared" si="342"/>
        <v>2.4969791898835355E-2</v>
      </c>
      <c r="K335" s="3">
        <f t="shared" si="342"/>
        <v>8.1422135280710406E-3</v>
      </c>
      <c r="L335" s="3">
        <f t="shared" si="342"/>
        <v>1.1066699903173941E-7</v>
      </c>
      <c r="M335" s="3">
        <f t="shared" si="342"/>
        <v>2.3810833129144817E-56</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2.7707301100067413E-2</v>
      </c>
      <c r="C336" s="3">
        <f t="shared" si="343"/>
        <v>2.7707301072058692E-2</v>
      </c>
      <c r="D336" s="3">
        <f t="shared" si="343"/>
        <v>2.7707300791971503E-2</v>
      </c>
      <c r="E336" s="3">
        <f t="shared" si="343"/>
        <v>2.7707297991099732E-2</v>
      </c>
      <c r="F336" s="3">
        <f t="shared" si="343"/>
        <v>2.7707269982397621E-2</v>
      </c>
      <c r="G336" s="3">
        <f t="shared" si="343"/>
        <v>2.7706989896933709E-2</v>
      </c>
      <c r="H336" s="3">
        <f t="shared" si="343"/>
        <v>2.7704189198011941E-2</v>
      </c>
      <c r="I336" s="3">
        <f t="shared" si="343"/>
        <v>2.76761977747037E-2</v>
      </c>
      <c r="J336" s="3">
        <f t="shared" si="343"/>
        <v>2.7397834326232693E-2</v>
      </c>
      <c r="K336" s="3">
        <f t="shared" si="343"/>
        <v>2.476363149970446E-2</v>
      </c>
      <c r="L336" s="3">
        <f t="shared" si="343"/>
        <v>9.0114631017862747E-3</v>
      </c>
      <c r="M336" s="3">
        <f t="shared" si="343"/>
        <v>3.6694845952760524E-7</v>
      </c>
      <c r="N336" s="3">
        <f t="shared" si="343"/>
        <v>4.5994157644284112E-51</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2.6509888121109187E-2</v>
      </c>
      <c r="C337" s="3">
        <f t="shared" si="344"/>
        <v>2.650988811869176E-2</v>
      </c>
      <c r="D337" s="3">
        <f t="shared" si="344"/>
        <v>2.6509888094517483E-2</v>
      </c>
      <c r="E337" s="3">
        <f t="shared" si="344"/>
        <v>2.6509887852774701E-2</v>
      </c>
      <c r="F337" s="3">
        <f t="shared" si="344"/>
        <v>2.6509885435347026E-2</v>
      </c>
      <c r="G337" s="3">
        <f t="shared" si="344"/>
        <v>2.6509861261082367E-2</v>
      </c>
      <c r="H337" s="3">
        <f t="shared" si="344"/>
        <v>2.6509619519648225E-2</v>
      </c>
      <c r="I337" s="3">
        <f t="shared" si="344"/>
        <v>2.6507202226546688E-2</v>
      </c>
      <c r="J337" s="3">
        <f t="shared" si="344"/>
        <v>2.6483041415430925E-2</v>
      </c>
      <c r="K337" s="3">
        <f t="shared" si="344"/>
        <v>2.6242641214911822E-2</v>
      </c>
      <c r="L337" s="3">
        <f t="shared" si="344"/>
        <v>2.3955452271841284E-2</v>
      </c>
      <c r="M337" s="3">
        <f t="shared" si="344"/>
        <v>9.6243784524733707E-3</v>
      </c>
      <c r="N337" s="3">
        <f t="shared" si="344"/>
        <v>1.0545225399891146E-6</v>
      </c>
      <c r="O337" s="3">
        <f t="shared" si="344"/>
        <v>2.629587437585961E-46</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3.0096089334691697E-2</v>
      </c>
      <c r="C338" s="3">
        <f t="shared" si="345"/>
        <v>3.0096089334444128E-2</v>
      </c>
      <c r="D338" s="3">
        <f t="shared" si="345"/>
        <v>3.00960893319684E-2</v>
      </c>
      <c r="E338" s="3">
        <f t="shared" si="345"/>
        <v>3.0096089307211159E-2</v>
      </c>
      <c r="F338" s="3">
        <f t="shared" si="345"/>
        <v>3.0096089059638731E-2</v>
      </c>
      <c r="G338" s="3">
        <f t="shared" si="345"/>
        <v>3.0096086583914564E-2</v>
      </c>
      <c r="H338" s="3">
        <f t="shared" si="345"/>
        <v>3.0096061826684103E-2</v>
      </c>
      <c r="I338" s="3">
        <f t="shared" si="345"/>
        <v>3.0095814255499578E-2</v>
      </c>
      <c r="J338" s="3">
        <f t="shared" si="345"/>
        <v>3.0093338655660638E-2</v>
      </c>
      <c r="K338" s="3">
        <f t="shared" si="345"/>
        <v>3.0068593854493939E-2</v>
      </c>
      <c r="L338" s="3">
        <f t="shared" si="345"/>
        <v>2.9822262164546528E-2</v>
      </c>
      <c r="M338" s="3">
        <f t="shared" si="345"/>
        <v>2.7467253221322711E-2</v>
      </c>
      <c r="N338" s="3">
        <f t="shared" si="345"/>
        <v>1.2065955159333539E-2</v>
      </c>
      <c r="O338" s="3">
        <f t="shared" si="345"/>
        <v>3.2286908592952686E-6</v>
      </c>
      <c r="P338" s="3">
        <f t="shared" si="345"/>
        <v>6.0767873052912384E-42</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3.6902665150921977E-2</v>
      </c>
      <c r="C339" s="3">
        <f t="shared" si="346"/>
        <v>3.6902665150894597E-2</v>
      </c>
      <c r="D339" s="3">
        <f t="shared" si="346"/>
        <v>3.690266515062076E-2</v>
      </c>
      <c r="E339" s="3">
        <f t="shared" si="346"/>
        <v>3.690266514788236E-2</v>
      </c>
      <c r="F339" s="3">
        <f t="shared" si="346"/>
        <v>3.6902665120498383E-2</v>
      </c>
      <c r="G339" s="3">
        <f t="shared" si="346"/>
        <v>3.6902664846658606E-2</v>
      </c>
      <c r="H339" s="3">
        <f t="shared" si="346"/>
        <v>3.6902662108260952E-2</v>
      </c>
      <c r="I339" s="3">
        <f t="shared" si="346"/>
        <v>3.6902634724295579E-2</v>
      </c>
      <c r="J339" s="3">
        <f t="shared" si="346"/>
        <v>3.6902360885759468E-2</v>
      </c>
      <c r="K339" s="3">
        <f t="shared" si="346"/>
        <v>3.6899622612157984E-2</v>
      </c>
      <c r="L339" s="3">
        <f t="shared" si="346"/>
        <v>3.6872251049033605E-2</v>
      </c>
      <c r="M339" s="3">
        <f t="shared" si="346"/>
        <v>3.6599649645267553E-2</v>
      </c>
      <c r="N339" s="3">
        <f t="shared" si="346"/>
        <v>3.3982058886071316E-2</v>
      </c>
      <c r="O339" s="3">
        <f t="shared" si="346"/>
        <v>1.6179954224279456E-2</v>
      </c>
      <c r="P339" s="3">
        <f t="shared" si="346"/>
        <v>9.6884274894645268E-6</v>
      </c>
      <c r="Q339" s="3">
        <f t="shared" si="346"/>
        <v>5.7413409708404528E-38</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3.6161796888490826E-2</v>
      </c>
      <c r="C340" s="3">
        <f t="shared" si="347"/>
        <v>3.6161796888488404E-2</v>
      </c>
      <c r="D340" s="3">
        <f t="shared" si="347"/>
        <v>3.6161796888464201E-2</v>
      </c>
      <c r="E340" s="3">
        <f t="shared" si="347"/>
        <v>3.6161796888222138E-2</v>
      </c>
      <c r="F340" s="3">
        <f t="shared" si="347"/>
        <v>3.6161796885801463E-2</v>
      </c>
      <c r="G340" s="3">
        <f t="shared" si="347"/>
        <v>3.6161796861594771E-2</v>
      </c>
      <c r="H340" s="3">
        <f t="shared" si="347"/>
        <v>3.6161796619527883E-2</v>
      </c>
      <c r="I340" s="3">
        <f t="shared" si="347"/>
        <v>3.6161794198859058E-2</v>
      </c>
      <c r="J340" s="3">
        <f t="shared" si="347"/>
        <v>3.6161769992179724E-2</v>
      </c>
      <c r="K340" s="3">
        <f t="shared" si="347"/>
        <v>3.6161527926277547E-2</v>
      </c>
      <c r="L340" s="3">
        <f t="shared" si="347"/>
        <v>3.6159107356375085E-2</v>
      </c>
      <c r="M340" s="3">
        <f t="shared" si="347"/>
        <v>3.6134910567068572E-2</v>
      </c>
      <c r="N340" s="3">
        <f t="shared" si="347"/>
        <v>3.5893831443024972E-2</v>
      </c>
      <c r="O340" s="3">
        <f t="shared" si="347"/>
        <v>3.3569754681351441E-2</v>
      </c>
      <c r="P340" s="3">
        <f t="shared" si="347"/>
        <v>1.7188249639839455E-2</v>
      </c>
      <c r="Q340" s="3">
        <f t="shared" si="347"/>
        <v>2.1284649556615887E-5</v>
      </c>
      <c r="R340" s="3">
        <f t="shared" si="347"/>
        <v>1.8047415538403021E-34</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5.7659888823700642E-2</v>
      </c>
      <c r="C341" s="3">
        <f t="shared" si="348"/>
        <v>5.7659888823700302E-2</v>
      </c>
      <c r="D341" s="3">
        <f t="shared" si="348"/>
        <v>5.7659888823696819E-2</v>
      </c>
      <c r="E341" s="3">
        <f t="shared" si="348"/>
        <v>5.7659888823661999E-2</v>
      </c>
      <c r="F341" s="3">
        <f t="shared" si="348"/>
        <v>5.7659888823313812E-2</v>
      </c>
      <c r="G341" s="3">
        <f t="shared" si="348"/>
        <v>5.7659888819832E-2</v>
      </c>
      <c r="H341" s="3">
        <f t="shared" si="348"/>
        <v>5.7659888785013838E-2</v>
      </c>
      <c r="I341" s="3">
        <f t="shared" si="348"/>
        <v>5.7659888436832271E-2</v>
      </c>
      <c r="J341" s="3">
        <f t="shared" si="348"/>
        <v>5.7659884955016658E-2</v>
      </c>
      <c r="K341" s="3">
        <f t="shared" si="348"/>
        <v>5.765985013687213E-2</v>
      </c>
      <c r="L341" s="3">
        <f t="shared" si="348"/>
        <v>5.7659501956583245E-2</v>
      </c>
      <c r="M341" s="3">
        <f t="shared" si="348"/>
        <v>5.7656020269329443E-2</v>
      </c>
      <c r="N341" s="3">
        <f t="shared" si="348"/>
        <v>5.7621214957718166E-2</v>
      </c>
      <c r="O341" s="3">
        <f t="shared" si="348"/>
        <v>5.7274315355430344E-2</v>
      </c>
      <c r="P341" s="3">
        <f t="shared" si="348"/>
        <v>5.3918134564735043E-2</v>
      </c>
      <c r="Q341" s="3">
        <f t="shared" si="348"/>
        <v>2.9477074330833485E-2</v>
      </c>
      <c r="R341" s="3">
        <f t="shared" si="348"/>
        <v>7.0303923016963528E-5</v>
      </c>
      <c r="S341" s="3">
        <f t="shared" si="348"/>
        <v>4.1872740996784434E-31</v>
      </c>
      <c r="T341" s="3">
        <f t="shared" si="348"/>
        <v>2.3520670723636035E-293</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7.0138718801303915E-2</v>
      </c>
      <c r="C342" s="3">
        <f t="shared" si="349"/>
        <v>7.0138718801303887E-2</v>
      </c>
      <c r="D342" s="3">
        <f t="shared" si="349"/>
        <v>7.0138718801303498E-2</v>
      </c>
      <c r="E342" s="3">
        <f t="shared" si="349"/>
        <v>7.0138718801299682E-2</v>
      </c>
      <c r="F342" s="3">
        <f t="shared" si="349"/>
        <v>7.0138718801261477E-2</v>
      </c>
      <c r="G342" s="3">
        <f t="shared" si="349"/>
        <v>7.0138718800879421E-2</v>
      </c>
      <c r="H342" s="3">
        <f t="shared" si="349"/>
        <v>7.0138718797058769E-2</v>
      </c>
      <c r="I342" s="3">
        <f t="shared" si="349"/>
        <v>7.0138718758852345E-2</v>
      </c>
      <c r="J342" s="3">
        <f t="shared" si="349"/>
        <v>7.0138718376788103E-2</v>
      </c>
      <c r="K342" s="3">
        <f t="shared" si="349"/>
        <v>7.0138714556145718E-2</v>
      </c>
      <c r="L342" s="3">
        <f t="shared" si="349"/>
        <v>7.0138676349733406E-2</v>
      </c>
      <c r="M342" s="3">
        <f t="shared" si="349"/>
        <v>7.0138294286754971E-2</v>
      </c>
      <c r="N342" s="3">
        <f t="shared" si="349"/>
        <v>7.0134473771434266E-2</v>
      </c>
      <c r="O342" s="3">
        <f t="shared" si="349"/>
        <v>7.0096280062294819E-2</v>
      </c>
      <c r="P342" s="3">
        <f t="shared" si="349"/>
        <v>6.971548507447517E-2</v>
      </c>
      <c r="Q342" s="3">
        <f t="shared" si="349"/>
        <v>6.601947681279749E-2</v>
      </c>
      <c r="R342" s="3">
        <f t="shared" si="349"/>
        <v>3.8291319018239955E-2</v>
      </c>
      <c r="S342" s="3">
        <f t="shared" si="349"/>
        <v>1.6496158109091902E-4</v>
      </c>
      <c r="T342" s="3">
        <f t="shared" si="349"/>
        <v>3.6325169404525826E-28</v>
      </c>
      <c r="U342" s="3">
        <f t="shared" si="349"/>
        <v>9.7376918392810504E-265</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6.7659228447697881E-2</v>
      </c>
      <c r="C343" s="3">
        <f t="shared" si="350"/>
        <v>6.7659228447697881E-2</v>
      </c>
      <c r="D343" s="3">
        <f t="shared" si="350"/>
        <v>6.7659228447697839E-2</v>
      </c>
      <c r="E343" s="3">
        <f t="shared" si="350"/>
        <v>6.7659228447697506E-2</v>
      </c>
      <c r="F343" s="3">
        <f t="shared" si="350"/>
        <v>6.7659228447694189E-2</v>
      </c>
      <c r="G343" s="3">
        <f t="shared" si="350"/>
        <v>6.7659228447660938E-2</v>
      </c>
      <c r="H343" s="3">
        <f t="shared" si="350"/>
        <v>6.7659228447328468E-2</v>
      </c>
      <c r="I343" s="3">
        <f t="shared" si="350"/>
        <v>6.7659228444003766E-2</v>
      </c>
      <c r="J343" s="3">
        <f t="shared" si="350"/>
        <v>6.7659228410756792E-2</v>
      </c>
      <c r="K343" s="3">
        <f t="shared" si="350"/>
        <v>6.765922807828699E-2</v>
      </c>
      <c r="L343" s="3">
        <f t="shared" si="350"/>
        <v>6.7659224753589056E-2</v>
      </c>
      <c r="M343" s="3">
        <f t="shared" si="350"/>
        <v>6.765919150661874E-2</v>
      </c>
      <c r="N343" s="3">
        <f t="shared" si="350"/>
        <v>6.7658859037814087E-2</v>
      </c>
      <c r="O343" s="3">
        <f t="shared" si="350"/>
        <v>6.765553443962033E-2</v>
      </c>
      <c r="P343" s="3">
        <f t="shared" si="350"/>
        <v>6.7622297441322407E-2</v>
      </c>
      <c r="Q343" s="3">
        <f t="shared" si="350"/>
        <v>6.7290824191116719E-2</v>
      </c>
      <c r="R343" s="3">
        <f t="shared" si="350"/>
        <v>6.4064155790197613E-2</v>
      </c>
      <c r="S343" s="3">
        <f t="shared" si="350"/>
        <v>3.9192927734320135E-2</v>
      </c>
      <c r="T343" s="3">
        <f t="shared" si="350"/>
        <v>2.8782843636074892E-4</v>
      </c>
      <c r="U343" s="3">
        <f t="shared" si="350"/>
        <v>1.3133897260551506E-25</v>
      </c>
      <c r="V343" s="3">
        <f t="shared" si="350"/>
        <v>5.1403510360721506E-239</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6.6765944370475505E-2</v>
      </c>
      <c r="C344" s="3">
        <f t="shared" si="351"/>
        <v>6.6765944370475505E-2</v>
      </c>
      <c r="D344" s="3">
        <f t="shared" si="351"/>
        <v>6.6765944370475505E-2</v>
      </c>
      <c r="E344" s="3">
        <f t="shared" si="351"/>
        <v>6.6765944370475477E-2</v>
      </c>
      <c r="F344" s="3">
        <f t="shared" si="351"/>
        <v>6.6765944370475172E-2</v>
      </c>
      <c r="G344" s="3">
        <f t="shared" si="351"/>
        <v>6.6765944370472216E-2</v>
      </c>
      <c r="H344" s="3">
        <f t="shared" si="351"/>
        <v>6.6765944370442629E-2</v>
      </c>
      <c r="I344" s="3">
        <f t="shared" si="351"/>
        <v>6.6765944370146657E-2</v>
      </c>
      <c r="J344" s="3">
        <f t="shared" si="351"/>
        <v>6.6765944367187108E-2</v>
      </c>
      <c r="K344" s="3">
        <f t="shared" si="351"/>
        <v>6.6765944337591532E-2</v>
      </c>
      <c r="L344" s="3">
        <f t="shared" si="351"/>
        <v>6.67659440416358E-2</v>
      </c>
      <c r="M344" s="3">
        <f t="shared" si="351"/>
        <v>6.6765941082078589E-2</v>
      </c>
      <c r="N344" s="3">
        <f t="shared" si="351"/>
        <v>6.6765911486513646E-2</v>
      </c>
      <c r="O344" s="3">
        <f t="shared" si="351"/>
        <v>6.6765615531585665E-2</v>
      </c>
      <c r="P344" s="3">
        <f t="shared" si="351"/>
        <v>6.6762656054458788E-2</v>
      </c>
      <c r="Q344" s="3">
        <f t="shared" si="351"/>
        <v>6.6733068497288273E-2</v>
      </c>
      <c r="R344" s="3">
        <f t="shared" si="351"/>
        <v>6.6437913153623962E-2</v>
      </c>
      <c r="S344" s="3">
        <f t="shared" si="351"/>
        <v>6.3557215141737428E-2</v>
      </c>
      <c r="T344" s="3">
        <f t="shared" si="351"/>
        <v>4.0799386280815073E-2</v>
      </c>
      <c r="U344" s="3">
        <f t="shared" si="351"/>
        <v>4.8477625229566962E-4</v>
      </c>
      <c r="V344" s="3">
        <f t="shared" si="351"/>
        <v>2.7190575700227754E-23</v>
      </c>
      <c r="W344" s="3">
        <f t="shared" si="351"/>
        <v>8.3789396573835109E-216</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4.8603939630861931E-2</v>
      </c>
      <c r="C345" s="3">
        <f t="shared" si="352"/>
        <v>4.8603939630861931E-2</v>
      </c>
      <c r="D345" s="3">
        <f t="shared" si="352"/>
        <v>4.8603939630861931E-2</v>
      </c>
      <c r="E345" s="3">
        <f t="shared" si="352"/>
        <v>4.8603939630861931E-2</v>
      </c>
      <c r="F345" s="3">
        <f t="shared" si="352"/>
        <v>4.860393963086191E-2</v>
      </c>
      <c r="G345" s="3">
        <f t="shared" si="352"/>
        <v>4.8603939630861716E-2</v>
      </c>
      <c r="H345" s="3">
        <f t="shared" si="352"/>
        <v>4.8603939630859773E-2</v>
      </c>
      <c r="I345" s="3">
        <f t="shared" si="352"/>
        <v>4.8603939630840337E-2</v>
      </c>
      <c r="J345" s="3">
        <f t="shared" si="352"/>
        <v>4.8603939630645986E-2</v>
      </c>
      <c r="K345" s="3">
        <f t="shared" si="352"/>
        <v>4.8603939628702464E-2</v>
      </c>
      <c r="L345" s="3">
        <f t="shared" si="352"/>
        <v>4.8603939609267226E-2</v>
      </c>
      <c r="M345" s="3">
        <f t="shared" si="352"/>
        <v>4.8603939414914865E-2</v>
      </c>
      <c r="N345" s="3">
        <f t="shared" si="352"/>
        <v>4.8603937471391308E-2</v>
      </c>
      <c r="O345" s="3">
        <f t="shared" si="352"/>
        <v>4.8603918036160008E-2</v>
      </c>
      <c r="P345" s="3">
        <f t="shared" si="352"/>
        <v>4.8603723684274416E-2</v>
      </c>
      <c r="Q345" s="3">
        <f t="shared" si="352"/>
        <v>4.8601780208161416E-2</v>
      </c>
      <c r="R345" s="3">
        <f t="shared" si="352"/>
        <v>4.8582349720686473E-2</v>
      </c>
      <c r="S345" s="3">
        <f t="shared" si="352"/>
        <v>4.838847157982247E-2</v>
      </c>
      <c r="T345" s="3">
        <f t="shared" si="352"/>
        <v>4.6491738895619056E-2</v>
      </c>
      <c r="U345" s="3">
        <f t="shared" si="352"/>
        <v>3.1168409836788768E-2</v>
      </c>
      <c r="V345" s="3">
        <f t="shared" si="352"/>
        <v>5.71614455725191E-4</v>
      </c>
      <c r="W345" s="3">
        <f t="shared" si="352"/>
        <v>2.4603040279155795E-21</v>
      </c>
      <c r="X345" s="3">
        <f t="shared" si="352"/>
        <v>5.3683957183843121E-195</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3.7549192378247005E-2</v>
      </c>
      <c r="C346" s="3">
        <f t="shared" si="353"/>
        <v>3.7549192378247005E-2</v>
      </c>
      <c r="D346" s="3">
        <f t="shared" si="353"/>
        <v>3.7549192378247005E-2</v>
      </c>
      <c r="E346" s="3">
        <f t="shared" si="353"/>
        <v>3.7549192378247005E-2</v>
      </c>
      <c r="F346" s="3">
        <f t="shared" si="353"/>
        <v>3.7549192378247005E-2</v>
      </c>
      <c r="G346" s="3">
        <f t="shared" si="353"/>
        <v>3.7549192378246991E-2</v>
      </c>
      <c r="H346" s="3">
        <f t="shared" si="353"/>
        <v>3.7549192378246853E-2</v>
      </c>
      <c r="I346" s="3">
        <f t="shared" si="353"/>
        <v>3.7549192378245499E-2</v>
      </c>
      <c r="J346" s="3">
        <f t="shared" si="353"/>
        <v>3.7549192378231955E-2</v>
      </c>
      <c r="K346" s="3">
        <f t="shared" si="353"/>
        <v>3.7549192378096514E-2</v>
      </c>
      <c r="L346" s="3">
        <f t="shared" si="353"/>
        <v>3.7549192376742049E-2</v>
      </c>
      <c r="M346" s="3">
        <f t="shared" si="353"/>
        <v>3.7549192363197467E-2</v>
      </c>
      <c r="N346" s="3">
        <f t="shared" si="353"/>
        <v>3.7549192227751674E-2</v>
      </c>
      <c r="O346" s="3">
        <f t="shared" si="353"/>
        <v>3.7549190873293718E-2</v>
      </c>
      <c r="P346" s="3">
        <f t="shared" si="353"/>
        <v>3.7549177328716841E-2</v>
      </c>
      <c r="Q346" s="3">
        <f t="shared" si="353"/>
        <v>3.7549041883216748E-2</v>
      </c>
      <c r="R346" s="3">
        <f t="shared" si="353"/>
        <v>3.7547687455087034E-2</v>
      </c>
      <c r="S346" s="3">
        <f t="shared" si="353"/>
        <v>3.7534145860549241E-2</v>
      </c>
      <c r="T346" s="3">
        <f t="shared" si="353"/>
        <v>3.7398998232861351E-2</v>
      </c>
      <c r="U346" s="3">
        <f t="shared" si="353"/>
        <v>3.6073999044389515E-2</v>
      </c>
      <c r="V346" s="3">
        <f t="shared" si="353"/>
        <v>2.5149971086262879E-2</v>
      </c>
      <c r="W346" s="3">
        <f t="shared" si="353"/>
        <v>6.8229077087153197E-4</v>
      </c>
      <c r="X346" s="3">
        <f t="shared" si="353"/>
        <v>1.4732944854539917E-19</v>
      </c>
      <c r="Y346" s="3">
        <f t="shared" si="353"/>
        <v>3.2470593637152472E-176</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7.8409043454057813E-3</v>
      </c>
      <c r="C347" s="3">
        <f t="shared" si="354"/>
        <v>7.8409043454057813E-3</v>
      </c>
      <c r="D347" s="3">
        <f t="shared" si="354"/>
        <v>7.8409043454057813E-3</v>
      </c>
      <c r="E347" s="3">
        <f t="shared" si="354"/>
        <v>7.8409043454057813E-3</v>
      </c>
      <c r="F347" s="3">
        <f t="shared" si="354"/>
        <v>7.8409043454057813E-3</v>
      </c>
      <c r="G347" s="3">
        <f t="shared" si="354"/>
        <v>7.8409043454057813E-3</v>
      </c>
      <c r="H347" s="3">
        <f t="shared" si="354"/>
        <v>7.8409043454057779E-3</v>
      </c>
      <c r="I347" s="3">
        <f t="shared" si="354"/>
        <v>7.8409043454057518E-3</v>
      </c>
      <c r="J347" s="3">
        <f t="shared" si="354"/>
        <v>7.8409043454054968E-3</v>
      </c>
      <c r="K347" s="3">
        <f t="shared" si="354"/>
        <v>7.8409043454029468E-3</v>
      </c>
      <c r="L347" s="3">
        <f t="shared" si="354"/>
        <v>7.8409043453774325E-3</v>
      </c>
      <c r="M347" s="3">
        <f t="shared" si="354"/>
        <v>7.8409043451222928E-3</v>
      </c>
      <c r="N347" s="3">
        <f t="shared" si="354"/>
        <v>7.840904342570898E-3</v>
      </c>
      <c r="O347" s="3">
        <f t="shared" si="354"/>
        <v>7.8409043170569494E-3</v>
      </c>
      <c r="P347" s="3">
        <f t="shared" si="354"/>
        <v>7.8409040619174634E-3</v>
      </c>
      <c r="Q347" s="3">
        <f t="shared" si="354"/>
        <v>7.8409015105230621E-3</v>
      </c>
      <c r="R347" s="3">
        <f t="shared" si="354"/>
        <v>7.8408759966247087E-3</v>
      </c>
      <c r="S347" s="3">
        <f t="shared" si="354"/>
        <v>7.8406208622072929E-3</v>
      </c>
      <c r="T347" s="3">
        <f t="shared" si="354"/>
        <v>7.8380699745888641E-3</v>
      </c>
      <c r="U347" s="3">
        <f t="shared" si="354"/>
        <v>7.8126066990587394E-3</v>
      </c>
      <c r="V347" s="3">
        <f t="shared" si="354"/>
        <v>7.5624795822384289E-3</v>
      </c>
      <c r="W347" s="3">
        <f t="shared" si="354"/>
        <v>5.4619377924614099E-3</v>
      </c>
      <c r="X347" s="3">
        <f t="shared" si="354"/>
        <v>2.1094638809697759E-4</v>
      </c>
      <c r="Y347" s="3">
        <f t="shared" si="354"/>
        <v>1.5574909600346552E-18</v>
      </c>
      <c r="Z347" s="3">
        <f t="shared" si="354"/>
        <v>7.4982504880406511E-160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1.487119099211914E-2</v>
      </c>
      <c r="C348" s="3">
        <f t="shared" si="355"/>
        <v>1.487119099211914E-2</v>
      </c>
      <c r="D348" s="3">
        <f t="shared" si="355"/>
        <v>1.487119099211914E-2</v>
      </c>
      <c r="E348" s="3">
        <f t="shared" si="355"/>
        <v>1.487119099211914E-2</v>
      </c>
      <c r="F348" s="3">
        <f t="shared" si="355"/>
        <v>1.487119099211914E-2</v>
      </c>
      <c r="G348" s="3">
        <f t="shared" si="355"/>
        <v>1.487119099211914E-2</v>
      </c>
      <c r="H348" s="3">
        <f t="shared" si="355"/>
        <v>1.4871190992119138E-2</v>
      </c>
      <c r="I348" s="3">
        <f t="shared" si="355"/>
        <v>1.4871190992119124E-2</v>
      </c>
      <c r="J348" s="3">
        <f t="shared" si="355"/>
        <v>1.4871190992118991E-2</v>
      </c>
      <c r="K348" s="3">
        <f t="shared" si="355"/>
        <v>1.4871190992117651E-2</v>
      </c>
      <c r="L348" s="3">
        <f t="shared" si="355"/>
        <v>1.487119099210427E-2</v>
      </c>
      <c r="M348" s="3">
        <f t="shared" si="355"/>
        <v>1.4871190991970434E-2</v>
      </c>
      <c r="N348" s="3">
        <f t="shared" si="355"/>
        <v>1.4871190990632083E-2</v>
      </c>
      <c r="O348" s="3">
        <f t="shared" si="355"/>
        <v>1.487119097724857E-2</v>
      </c>
      <c r="P348" s="3">
        <f t="shared" si="355"/>
        <v>1.4871190843413436E-2</v>
      </c>
      <c r="Q348" s="3">
        <f t="shared" si="355"/>
        <v>1.4871189505062157E-2</v>
      </c>
      <c r="R348" s="3">
        <f t="shared" si="355"/>
        <v>1.4871176121555999E-2</v>
      </c>
      <c r="S348" s="3">
        <f t="shared" si="355"/>
        <v>1.4871042287156872E-2</v>
      </c>
      <c r="T348" s="3">
        <f t="shared" si="355"/>
        <v>1.4869704009408779E-2</v>
      </c>
      <c r="U348" s="3">
        <f t="shared" si="355"/>
        <v>1.4856327854040284E-2</v>
      </c>
      <c r="V348" s="3">
        <f t="shared" si="355"/>
        <v>1.4723226311826289E-2</v>
      </c>
      <c r="W348" s="3">
        <f t="shared" si="355"/>
        <v>1.3456066198086411E-2</v>
      </c>
      <c r="X348" s="3">
        <f t="shared" si="355"/>
        <v>5.4710336747034495E-3</v>
      </c>
      <c r="Y348" s="3">
        <f t="shared" si="355"/>
        <v>6.7543275361505671E-7</v>
      </c>
      <c r="Z348" s="3">
        <f t="shared" si="355"/>
        <v>5.5553241835513277E-46</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3.2949113910046581E-3</v>
      </c>
      <c r="C349" s="3">
        <f t="shared" si="356"/>
        <v>3.2949113910046581E-3</v>
      </c>
      <c r="D349" s="3">
        <f t="shared" si="356"/>
        <v>3.2949113910046581E-3</v>
      </c>
      <c r="E349" s="3">
        <f t="shared" si="356"/>
        <v>3.2949113910046581E-3</v>
      </c>
      <c r="F349" s="3">
        <f t="shared" si="356"/>
        <v>3.2949113910046581E-3</v>
      </c>
      <c r="G349" s="3">
        <f t="shared" si="356"/>
        <v>3.2949113910046581E-3</v>
      </c>
      <c r="H349" s="3">
        <f t="shared" si="356"/>
        <v>3.2949113910046581E-3</v>
      </c>
      <c r="I349" s="3">
        <f t="shared" si="356"/>
        <v>3.2949113910046577E-3</v>
      </c>
      <c r="J349" s="3">
        <f t="shared" si="356"/>
        <v>3.2949113910046546E-3</v>
      </c>
      <c r="K349" s="3">
        <f t="shared" si="356"/>
        <v>3.2949113910046251E-3</v>
      </c>
      <c r="L349" s="3">
        <f t="shared" si="356"/>
        <v>3.2949113910043285E-3</v>
      </c>
      <c r="M349" s="3">
        <f t="shared" si="356"/>
        <v>3.2949113910013634E-3</v>
      </c>
      <c r="N349" s="3">
        <f t="shared" si="356"/>
        <v>3.2949113909717105E-3</v>
      </c>
      <c r="O349" s="3">
        <f t="shared" si="356"/>
        <v>3.2949113906751808E-3</v>
      </c>
      <c r="P349" s="3">
        <f t="shared" si="356"/>
        <v>3.2949113877098844E-3</v>
      </c>
      <c r="Q349" s="3">
        <f t="shared" si="356"/>
        <v>3.2949113580569189E-3</v>
      </c>
      <c r="R349" s="3">
        <f t="shared" si="356"/>
        <v>3.2949110615272817E-3</v>
      </c>
      <c r="S349" s="3">
        <f t="shared" si="356"/>
        <v>3.2949080962323758E-3</v>
      </c>
      <c r="T349" s="3">
        <f t="shared" si="356"/>
        <v>3.2948784434300936E-3</v>
      </c>
      <c r="U349" s="3">
        <f t="shared" si="356"/>
        <v>3.2945819300843329E-3</v>
      </c>
      <c r="V349" s="3">
        <f t="shared" si="356"/>
        <v>3.2916182638443622E-3</v>
      </c>
      <c r="W349" s="3">
        <f t="shared" si="356"/>
        <v>3.2621278358192238E-3</v>
      </c>
      <c r="X349" s="3">
        <f t="shared" si="356"/>
        <v>2.9813715537433038E-3</v>
      </c>
      <c r="Y349" s="3">
        <f t="shared" si="356"/>
        <v>1.2121807315166281E-3</v>
      </c>
      <c r="Z349" s="3">
        <f t="shared" si="356"/>
        <v>1.4965116613210555E-7</v>
      </c>
      <c r="AA349" s="3">
        <f t="shared" si="356"/>
        <v>1.230856421843222E-46</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4.0317394660720415E-3</v>
      </c>
      <c r="C350" s="3">
        <f t="shared" si="357"/>
        <v>4.0317394660720415E-3</v>
      </c>
      <c r="D350" s="3">
        <f t="shared" si="357"/>
        <v>4.0317394660720415E-3</v>
      </c>
      <c r="E350" s="3">
        <f t="shared" si="357"/>
        <v>4.0317394660720415E-3</v>
      </c>
      <c r="F350" s="3">
        <f t="shared" si="357"/>
        <v>4.0317394660720415E-3</v>
      </c>
      <c r="G350" s="3">
        <f t="shared" si="357"/>
        <v>4.0317394660720415E-3</v>
      </c>
      <c r="H350" s="3">
        <f t="shared" si="357"/>
        <v>4.0317394660720415E-3</v>
      </c>
      <c r="I350" s="3">
        <f t="shared" si="357"/>
        <v>4.0317394660720415E-3</v>
      </c>
      <c r="J350" s="3">
        <f t="shared" si="357"/>
        <v>4.0317394660720407E-3</v>
      </c>
      <c r="K350" s="3">
        <f t="shared" si="357"/>
        <v>4.0317394660720372E-3</v>
      </c>
      <c r="L350" s="3">
        <f t="shared" si="357"/>
        <v>4.0317394660720016E-3</v>
      </c>
      <c r="M350" s="3">
        <f t="shared" si="357"/>
        <v>4.0317394660716382E-3</v>
      </c>
      <c r="N350" s="3">
        <f t="shared" si="357"/>
        <v>4.03173946606801E-3</v>
      </c>
      <c r="O350" s="3">
        <f t="shared" si="357"/>
        <v>4.0317394660317257E-3</v>
      </c>
      <c r="P350" s="3">
        <f t="shared" si="357"/>
        <v>4.0317394656688849E-3</v>
      </c>
      <c r="Q350" s="3">
        <f t="shared" si="357"/>
        <v>4.0317394620404704E-3</v>
      </c>
      <c r="R350" s="3">
        <f t="shared" si="357"/>
        <v>4.031739425756329E-3</v>
      </c>
      <c r="S350" s="3">
        <f t="shared" si="357"/>
        <v>4.0317390629149349E-3</v>
      </c>
      <c r="T350" s="3">
        <f t="shared" si="357"/>
        <v>4.031735434502793E-3</v>
      </c>
      <c r="U350" s="3">
        <f t="shared" si="357"/>
        <v>4.0316991505609644E-3</v>
      </c>
      <c r="V350" s="3">
        <f t="shared" si="357"/>
        <v>4.0313363291019149E-3</v>
      </c>
      <c r="W350" s="3">
        <f t="shared" si="357"/>
        <v>4.0277099098371735E-3</v>
      </c>
      <c r="X350" s="3">
        <f t="shared" si="357"/>
        <v>3.9916246533823552E-3</v>
      </c>
      <c r="Y350" s="3">
        <f t="shared" si="357"/>
        <v>3.6480839481957427E-3</v>
      </c>
      <c r="Z350" s="3">
        <f t="shared" si="357"/>
        <v>1.4832559408456509E-3</v>
      </c>
      <c r="AA350" s="3">
        <f t="shared" si="357"/>
        <v>1.8311706781727553E-7</v>
      </c>
      <c r="AB350" s="3">
        <f t="shared" si="357"/>
        <v>1.5061080023461307E-46</v>
      </c>
      <c r="AC350" s="3">
        <f t="shared" si="357"/>
        <v>0</v>
      </c>
      <c r="AD350" s="3">
        <f t="shared" si="357"/>
        <v>0</v>
      </c>
      <c r="AE350" s="3">
        <f t="shared" si="357"/>
        <v>0</v>
      </c>
      <c r="AF350" s="3">
        <f t="shared" si="357"/>
        <v>0</v>
      </c>
      <c r="AG350" s="3"/>
      <c r="AH350" s="3"/>
    </row>
    <row r="351" spans="2:34" x14ac:dyDescent="0.25">
      <c r="B351" s="3">
        <f t="shared" ref="B351:AF351" si="358">$C42*EXP(-B$363/$A42/EXP(-$G$126))</f>
        <v>2.1502645285220883E-3</v>
      </c>
      <c r="C351" s="3">
        <f t="shared" si="358"/>
        <v>2.1502645285220883E-3</v>
      </c>
      <c r="D351" s="3">
        <f t="shared" si="358"/>
        <v>2.1502645285220883E-3</v>
      </c>
      <c r="E351" s="3">
        <f t="shared" si="358"/>
        <v>2.1502645285220883E-3</v>
      </c>
      <c r="F351" s="3">
        <f t="shared" si="358"/>
        <v>2.1502645285220883E-3</v>
      </c>
      <c r="G351" s="3">
        <f t="shared" si="358"/>
        <v>2.1502645285220883E-3</v>
      </c>
      <c r="H351" s="3">
        <f t="shared" si="358"/>
        <v>2.1502645285220883E-3</v>
      </c>
      <c r="I351" s="3">
        <f t="shared" si="358"/>
        <v>2.1502645285220883E-3</v>
      </c>
      <c r="J351" s="3">
        <f t="shared" si="358"/>
        <v>2.1502645285220883E-3</v>
      </c>
      <c r="K351" s="3">
        <f t="shared" si="358"/>
        <v>2.1502645285220879E-3</v>
      </c>
      <c r="L351" s="3">
        <f t="shared" si="358"/>
        <v>2.1502645285220862E-3</v>
      </c>
      <c r="M351" s="3">
        <f t="shared" si="358"/>
        <v>2.1502645285220666E-3</v>
      </c>
      <c r="N351" s="3">
        <f t="shared" si="358"/>
        <v>2.1502645285218732E-3</v>
      </c>
      <c r="O351" s="3">
        <f t="shared" si="358"/>
        <v>2.1502645285199381E-3</v>
      </c>
      <c r="P351" s="3">
        <f t="shared" si="358"/>
        <v>2.1502645285005864E-3</v>
      </c>
      <c r="Q351" s="3">
        <f t="shared" si="358"/>
        <v>2.1502645283070711E-3</v>
      </c>
      <c r="R351" s="3">
        <f t="shared" si="358"/>
        <v>2.1502645263719138E-3</v>
      </c>
      <c r="S351" s="3">
        <f t="shared" si="358"/>
        <v>2.1502645070203405E-3</v>
      </c>
      <c r="T351" s="3">
        <f t="shared" si="358"/>
        <v>2.1502643135046171E-3</v>
      </c>
      <c r="U351" s="3">
        <f t="shared" si="358"/>
        <v>2.1502623783483427E-3</v>
      </c>
      <c r="V351" s="3">
        <f t="shared" si="358"/>
        <v>2.1502430268813826E-3</v>
      </c>
      <c r="W351" s="3">
        <f t="shared" si="358"/>
        <v>2.150049521790058E-3</v>
      </c>
      <c r="X351" s="3">
        <f t="shared" si="358"/>
        <v>2.1481154283854264E-3</v>
      </c>
      <c r="Y351" s="3">
        <f t="shared" si="358"/>
        <v>2.1288699271296086E-3</v>
      </c>
      <c r="Z351" s="3">
        <f t="shared" si="358"/>
        <v>1.9456479211734734E-3</v>
      </c>
      <c r="AA351" s="3">
        <f t="shared" si="358"/>
        <v>7.9107111537327448E-4</v>
      </c>
      <c r="AB351" s="3">
        <f t="shared" si="358"/>
        <v>9.7662594224640181E-8</v>
      </c>
      <c r="AC351" s="3">
        <f t="shared" si="358"/>
        <v>8.0325890123136211E-47</v>
      </c>
      <c r="AD351" s="3">
        <f t="shared" si="358"/>
        <v>0</v>
      </c>
      <c r="AE351" s="3">
        <f t="shared" si="358"/>
        <v>0</v>
      </c>
      <c r="AF351" s="3">
        <f t="shared" si="358"/>
        <v>0</v>
      </c>
      <c r="AG351" s="3"/>
      <c r="AH351" s="3"/>
    </row>
    <row r="352" spans="2:34" x14ac:dyDescent="0.25">
      <c r="B352" s="3">
        <f t="shared" ref="B352:AF352" si="359">$C43*EXP(-B$363/$A43/EXP(-$G$126))</f>
        <v>0</v>
      </c>
      <c r="C352" s="3">
        <f t="shared" si="359"/>
        <v>0</v>
      </c>
      <c r="D352" s="3">
        <f t="shared" si="359"/>
        <v>0</v>
      </c>
      <c r="E352" s="3">
        <f t="shared" si="359"/>
        <v>0</v>
      </c>
      <c r="F352" s="3">
        <f t="shared" si="359"/>
        <v>0</v>
      </c>
      <c r="G352" s="3">
        <f t="shared" si="359"/>
        <v>0</v>
      </c>
      <c r="H352" s="3">
        <f t="shared" si="359"/>
        <v>0</v>
      </c>
      <c r="I352" s="3">
        <f t="shared" si="359"/>
        <v>0</v>
      </c>
      <c r="J352" s="3">
        <f t="shared" si="359"/>
        <v>0</v>
      </c>
      <c r="K352" s="3">
        <f t="shared" si="359"/>
        <v>0</v>
      </c>
      <c r="L352" s="3">
        <f t="shared" si="359"/>
        <v>0</v>
      </c>
      <c r="M352" s="3">
        <f t="shared" si="359"/>
        <v>0</v>
      </c>
      <c r="N352" s="3">
        <f t="shared" si="359"/>
        <v>0</v>
      </c>
      <c r="O352" s="3">
        <f t="shared" si="359"/>
        <v>0</v>
      </c>
      <c r="P352" s="3">
        <f t="shared" si="359"/>
        <v>0</v>
      </c>
      <c r="Q352" s="3">
        <f t="shared" si="359"/>
        <v>0</v>
      </c>
      <c r="R352" s="3">
        <f t="shared" si="359"/>
        <v>0</v>
      </c>
      <c r="S352" s="3">
        <f t="shared" si="359"/>
        <v>0</v>
      </c>
      <c r="T352" s="3">
        <f t="shared" si="359"/>
        <v>0</v>
      </c>
      <c r="U352" s="3">
        <f t="shared" si="359"/>
        <v>0</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3.0564736295290245E-3</v>
      </c>
      <c r="C353" s="3">
        <f t="shared" si="360"/>
        <v>3.0564736295290245E-3</v>
      </c>
      <c r="D353" s="3">
        <f t="shared" si="360"/>
        <v>3.0564736295290245E-3</v>
      </c>
      <c r="E353" s="3">
        <f t="shared" si="360"/>
        <v>3.0564736295290245E-3</v>
      </c>
      <c r="F353" s="3">
        <f t="shared" si="360"/>
        <v>3.0564736295290245E-3</v>
      </c>
      <c r="G353" s="3">
        <f t="shared" si="360"/>
        <v>3.0564736295290245E-3</v>
      </c>
      <c r="H353" s="3">
        <f t="shared" si="360"/>
        <v>3.0564736295290245E-3</v>
      </c>
      <c r="I353" s="3">
        <f t="shared" si="360"/>
        <v>3.0564736295290245E-3</v>
      </c>
      <c r="J353" s="3">
        <f t="shared" si="360"/>
        <v>3.0564736295290245E-3</v>
      </c>
      <c r="K353" s="3">
        <f t="shared" si="360"/>
        <v>3.0564736295290245E-3</v>
      </c>
      <c r="L353" s="3">
        <f t="shared" si="360"/>
        <v>3.0564736295290245E-3</v>
      </c>
      <c r="M353" s="3">
        <f t="shared" si="360"/>
        <v>3.0564736295290241E-3</v>
      </c>
      <c r="N353" s="3">
        <f t="shared" si="360"/>
        <v>3.0564736295290214E-3</v>
      </c>
      <c r="O353" s="3">
        <f t="shared" si="360"/>
        <v>3.0564736295289941E-3</v>
      </c>
      <c r="P353" s="3">
        <f t="shared" si="360"/>
        <v>3.0564736295287187E-3</v>
      </c>
      <c r="Q353" s="3">
        <f t="shared" si="360"/>
        <v>3.0564736295259679E-3</v>
      </c>
      <c r="R353" s="3">
        <f t="shared" si="360"/>
        <v>3.0564736294984613E-3</v>
      </c>
      <c r="S353" s="3">
        <f t="shared" si="360"/>
        <v>3.0564736292233901E-3</v>
      </c>
      <c r="T353" s="3">
        <f t="shared" si="360"/>
        <v>3.0564736264726785E-3</v>
      </c>
      <c r="U353" s="3">
        <f t="shared" si="360"/>
        <v>3.0564735989655634E-3</v>
      </c>
      <c r="V353" s="3">
        <f t="shared" si="360"/>
        <v>3.0564733238944283E-3</v>
      </c>
      <c r="W353" s="3">
        <f t="shared" si="360"/>
        <v>3.0564705731844373E-3</v>
      </c>
      <c r="X353" s="3">
        <f t="shared" si="360"/>
        <v>3.0564430662206794E-3</v>
      </c>
      <c r="Y353" s="3">
        <f t="shared" si="360"/>
        <v>3.0561680101980513E-3</v>
      </c>
      <c r="Z353" s="3">
        <f t="shared" si="360"/>
        <v>3.0534188110135372E-3</v>
      </c>
      <c r="AA353" s="3">
        <f t="shared" si="360"/>
        <v>3.0260624712259367E-3</v>
      </c>
      <c r="AB353" s="3">
        <f t="shared" si="360"/>
        <v>2.7656232452023168E-3</v>
      </c>
      <c r="AC353" s="3">
        <f t="shared" si="360"/>
        <v>1.1244607215291692E-3</v>
      </c>
      <c r="AD353" s="3">
        <f t="shared" si="360"/>
        <v>1.3882159142725215E-7</v>
      </c>
      <c r="AE353" s="3">
        <f t="shared" si="360"/>
        <v>1.1417849370307823E-46</v>
      </c>
      <c r="AF353" s="3">
        <f t="shared" si="360"/>
        <v>0</v>
      </c>
      <c r="AG353" s="3"/>
      <c r="AH353" s="3"/>
    </row>
    <row r="354" spans="1:34" x14ac:dyDescent="0.25">
      <c r="B354" s="3">
        <f t="shared" ref="B354:AF354" si="361">$C45*EXP(-B$363/$A45/EXP(-$G$126))</f>
        <v>1.3352216676863077E-3</v>
      </c>
      <c r="C354" s="3">
        <f t="shared" si="361"/>
        <v>1.3352216676863077E-3</v>
      </c>
      <c r="D354" s="3">
        <f t="shared" si="361"/>
        <v>1.3352216676863077E-3</v>
      </c>
      <c r="E354" s="3">
        <f t="shared" si="361"/>
        <v>1.3352216676863077E-3</v>
      </c>
      <c r="F354" s="3">
        <f t="shared" si="361"/>
        <v>1.3352216676863077E-3</v>
      </c>
      <c r="G354" s="3">
        <f t="shared" si="361"/>
        <v>1.3352216676863077E-3</v>
      </c>
      <c r="H354" s="3">
        <f t="shared" si="361"/>
        <v>1.3352216676863077E-3</v>
      </c>
      <c r="I354" s="3">
        <f t="shared" si="361"/>
        <v>1.3352216676863077E-3</v>
      </c>
      <c r="J354" s="3">
        <f t="shared" si="361"/>
        <v>1.3352216676863077E-3</v>
      </c>
      <c r="K354" s="3">
        <f t="shared" si="361"/>
        <v>1.3352216676863077E-3</v>
      </c>
      <c r="L354" s="3">
        <f t="shared" si="361"/>
        <v>1.3352216676863077E-3</v>
      </c>
      <c r="M354" s="3">
        <f t="shared" si="361"/>
        <v>1.3352216676863077E-3</v>
      </c>
      <c r="N354" s="3">
        <f t="shared" si="361"/>
        <v>1.3352216676863074E-3</v>
      </c>
      <c r="O354" s="3">
        <f t="shared" si="361"/>
        <v>1.3352216676863064E-3</v>
      </c>
      <c r="P354" s="3">
        <f t="shared" si="361"/>
        <v>1.3352216676862942E-3</v>
      </c>
      <c r="Q354" s="3">
        <f t="shared" si="361"/>
        <v>1.3352216676861741E-3</v>
      </c>
      <c r="R354" s="3">
        <f t="shared" si="361"/>
        <v>1.3352216676849726E-3</v>
      </c>
      <c r="S354" s="3">
        <f t="shared" si="361"/>
        <v>1.3352216676729559E-3</v>
      </c>
      <c r="T354" s="3">
        <f t="shared" si="361"/>
        <v>1.3352216675527912E-3</v>
      </c>
      <c r="U354" s="3">
        <f t="shared" si="361"/>
        <v>1.3352216663511417E-3</v>
      </c>
      <c r="V354" s="3">
        <f t="shared" si="361"/>
        <v>1.3352216543346482E-3</v>
      </c>
      <c r="W354" s="3">
        <f t="shared" si="361"/>
        <v>1.3352215341697179E-3</v>
      </c>
      <c r="X354" s="3">
        <f t="shared" si="361"/>
        <v>1.3352203325210121E-3</v>
      </c>
      <c r="Y354" s="3">
        <f t="shared" si="361"/>
        <v>1.3352083160934314E-3</v>
      </c>
      <c r="Z354" s="3">
        <f t="shared" si="361"/>
        <v>1.33508815776532E-3</v>
      </c>
      <c r="AA354" s="3">
        <f t="shared" si="361"/>
        <v>1.3338871690558201E-3</v>
      </c>
      <c r="AB354" s="3">
        <f t="shared" si="361"/>
        <v>1.3219365416137563E-3</v>
      </c>
      <c r="AC354" s="3">
        <f t="shared" si="361"/>
        <v>1.2081635666590295E-3</v>
      </c>
      <c r="AD354" s="3">
        <f t="shared" si="361"/>
        <v>4.9122109392426823E-4</v>
      </c>
      <c r="AE354" s="3">
        <f t="shared" si="361"/>
        <v>6.0644265020184324E-8</v>
      </c>
      <c r="AF354" s="3">
        <f t="shared" si="361"/>
        <v>4.9878918405596213E-47</v>
      </c>
      <c r="AG354" s="3"/>
      <c r="AH354" s="3"/>
    </row>
    <row r="355" spans="1:34" x14ac:dyDescent="0.25">
      <c r="B355" s="3">
        <f t="shared" ref="B355:AF355" si="362">$C46*EXP(-B$363/$A46/EXP(-$G$126))</f>
        <v>0</v>
      </c>
      <c r="C355" s="3">
        <f t="shared" si="362"/>
        <v>0</v>
      </c>
      <c r="D355" s="3">
        <f t="shared" si="362"/>
        <v>0</v>
      </c>
      <c r="E355" s="3">
        <f t="shared" si="362"/>
        <v>0</v>
      </c>
      <c r="F355" s="3">
        <f t="shared" si="362"/>
        <v>0</v>
      </c>
      <c r="G355" s="3">
        <f t="shared" si="362"/>
        <v>0</v>
      </c>
      <c r="H355" s="3">
        <f t="shared" si="362"/>
        <v>0</v>
      </c>
      <c r="I355" s="3">
        <f t="shared" si="362"/>
        <v>0</v>
      </c>
      <c r="J355" s="3">
        <f t="shared" si="362"/>
        <v>0</v>
      </c>
      <c r="K355" s="3">
        <f t="shared" si="362"/>
        <v>0</v>
      </c>
      <c r="L355" s="3">
        <f t="shared" si="362"/>
        <v>0</v>
      </c>
      <c r="M355" s="3">
        <f t="shared" si="362"/>
        <v>0</v>
      </c>
      <c r="N355" s="3">
        <f t="shared" si="362"/>
        <v>0</v>
      </c>
      <c r="O355" s="3">
        <f t="shared" si="362"/>
        <v>0</v>
      </c>
      <c r="P355" s="3">
        <f t="shared" si="362"/>
        <v>0</v>
      </c>
      <c r="Q355" s="3">
        <f t="shared" si="362"/>
        <v>0</v>
      </c>
      <c r="R355" s="3">
        <f t="shared" si="362"/>
        <v>0</v>
      </c>
      <c r="S355" s="3">
        <f t="shared" si="362"/>
        <v>0</v>
      </c>
      <c r="T355" s="3">
        <f t="shared" si="362"/>
        <v>0</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0</v>
      </c>
      <c r="C357" s="3">
        <f t="shared" si="364"/>
        <v>0</v>
      </c>
      <c r="D357" s="3">
        <f t="shared" si="364"/>
        <v>0</v>
      </c>
      <c r="E357" s="3">
        <f t="shared" si="364"/>
        <v>0</v>
      </c>
      <c r="F357" s="3">
        <f t="shared" si="364"/>
        <v>0</v>
      </c>
      <c r="G357" s="3">
        <f t="shared" si="364"/>
        <v>0</v>
      </c>
      <c r="H357" s="3">
        <f t="shared" si="364"/>
        <v>0</v>
      </c>
      <c r="I357" s="3">
        <f t="shared" si="364"/>
        <v>0</v>
      </c>
      <c r="J357" s="3">
        <f t="shared" si="364"/>
        <v>0</v>
      </c>
      <c r="K357" s="3">
        <f t="shared" si="364"/>
        <v>0</v>
      </c>
      <c r="L357" s="3">
        <f t="shared" si="364"/>
        <v>0</v>
      </c>
      <c r="M357" s="3">
        <f t="shared" si="364"/>
        <v>0</v>
      </c>
      <c r="N357" s="3">
        <f t="shared" si="364"/>
        <v>0</v>
      </c>
      <c r="O357" s="3">
        <f t="shared" si="364"/>
        <v>0</v>
      </c>
      <c r="P357" s="3">
        <f t="shared" si="364"/>
        <v>0</v>
      </c>
      <c r="Q357" s="3">
        <f t="shared" si="364"/>
        <v>0</v>
      </c>
      <c r="R357" s="3">
        <f t="shared" si="364"/>
        <v>0</v>
      </c>
      <c r="S357" s="3">
        <f t="shared" si="364"/>
        <v>0</v>
      </c>
      <c r="T357" s="3">
        <f t="shared" si="364"/>
        <v>0</v>
      </c>
      <c r="U357" s="3">
        <f t="shared" si="364"/>
        <v>0</v>
      </c>
      <c r="V357" s="3">
        <f t="shared" si="364"/>
        <v>0</v>
      </c>
      <c r="W357" s="3">
        <f t="shared" si="364"/>
        <v>0</v>
      </c>
      <c r="X357" s="3">
        <f t="shared" si="364"/>
        <v>0</v>
      </c>
      <c r="Y357" s="3">
        <f t="shared" si="364"/>
        <v>0</v>
      </c>
      <c r="Z357" s="3">
        <f t="shared" si="364"/>
        <v>0</v>
      </c>
      <c r="AA357" s="3">
        <f t="shared" si="364"/>
        <v>0</v>
      </c>
      <c r="AB357" s="3">
        <f t="shared" si="364"/>
        <v>0</v>
      </c>
      <c r="AC357" s="3">
        <f t="shared" si="364"/>
        <v>0</v>
      </c>
      <c r="AD357" s="3">
        <f t="shared" si="364"/>
        <v>0</v>
      </c>
      <c r="AE357" s="3">
        <f t="shared" si="364"/>
        <v>0</v>
      </c>
      <c r="AF357" s="3">
        <f t="shared" si="364"/>
        <v>0</v>
      </c>
      <c r="AG357" s="3"/>
      <c r="AH357" s="3"/>
    </row>
    <row r="358" spans="1:34" x14ac:dyDescent="0.25">
      <c r="A358" s="79">
        <f>AVERAGE(B358:AF358)</f>
        <v>8.9461055946637449E-5</v>
      </c>
      <c r="B358" s="80">
        <f>IF($A$64&lt;=B324,IF($B$64&gt;=B324,ABS((B326-B325)/B325),0),0)</f>
        <v>0</v>
      </c>
      <c r="C358" s="80">
        <f t="shared" ref="C358:AF358" si="365">IF($A$64&lt;=C324,IF($B$64&gt;=C324,ABS((C326-C325)/C325),0),0)</f>
        <v>0</v>
      </c>
      <c r="D358" s="80">
        <f t="shared" si="365"/>
        <v>0</v>
      </c>
      <c r="E358" s="80">
        <f t="shared" si="365"/>
        <v>0</v>
      </c>
      <c r="F358" s="80">
        <f t="shared" si="365"/>
        <v>0</v>
      </c>
      <c r="G358" s="80">
        <f t="shared" si="365"/>
        <v>0</v>
      </c>
      <c r="H358" s="80">
        <f t="shared" si="365"/>
        <v>0</v>
      </c>
      <c r="I358" s="80">
        <f t="shared" si="365"/>
        <v>0</v>
      </c>
      <c r="J358" s="80">
        <f t="shared" si="365"/>
        <v>0</v>
      </c>
      <c r="K358" s="80">
        <f t="shared" si="365"/>
        <v>0</v>
      </c>
      <c r="L358" s="80">
        <f t="shared" si="365"/>
        <v>1.9183414438123895E-4</v>
      </c>
      <c r="M358" s="80">
        <f t="shared" si="365"/>
        <v>2.9456566087330801E-4</v>
      </c>
      <c r="N358" s="80">
        <f t="shared" si="365"/>
        <v>3.7917016087852596E-4</v>
      </c>
      <c r="O358" s="80">
        <f t="shared" si="365"/>
        <v>4.2711434483187923E-4</v>
      </c>
      <c r="P358" s="80">
        <f t="shared" si="365"/>
        <v>4.1274919133075952E-4</v>
      </c>
      <c r="Q358" s="80">
        <f t="shared" si="365"/>
        <v>3.631314740283483E-4</v>
      </c>
      <c r="R358" s="80">
        <f t="shared" si="365"/>
        <v>2.7778109405012484E-4</v>
      </c>
      <c r="S358" s="80">
        <f t="shared" si="365"/>
        <v>2.0362749001357546E-4</v>
      </c>
      <c r="T358" s="80">
        <f t="shared" si="365"/>
        <v>1.22481079671867E-4</v>
      </c>
      <c r="U358" s="80">
        <f t="shared" si="365"/>
        <v>7.3361320753043881E-5</v>
      </c>
      <c r="V358" s="80">
        <f t="shared" si="365"/>
        <v>2.7476773533089893E-5</v>
      </c>
      <c r="W358" s="80">
        <f t="shared" si="365"/>
        <v>0</v>
      </c>
      <c r="X358" s="80">
        <f t="shared" si="365"/>
        <v>0</v>
      </c>
      <c r="Y358" s="80">
        <f t="shared" si="365"/>
        <v>0</v>
      </c>
      <c r="Z358" s="80">
        <f t="shared" si="365"/>
        <v>0</v>
      </c>
      <c r="AA358" s="80">
        <f t="shared" si="365"/>
        <v>0</v>
      </c>
      <c r="AB358" s="80">
        <f t="shared" si="365"/>
        <v>0</v>
      </c>
      <c r="AC358" s="80">
        <f t="shared" si="365"/>
        <v>0</v>
      </c>
      <c r="AD358" s="80">
        <f t="shared" si="365"/>
        <v>0</v>
      </c>
      <c r="AE358" s="80">
        <f t="shared" si="365"/>
        <v>0</v>
      </c>
      <c r="AF358" s="80">
        <f t="shared" si="365"/>
        <v>0</v>
      </c>
    </row>
    <row r="359" spans="1:34" x14ac:dyDescent="0.25">
      <c r="B359" s="21">
        <f>(B326-B325)^2</f>
        <v>8432.921084537762</v>
      </c>
      <c r="C359" s="21">
        <f t="shared" ref="C359:AF359" si="366">(C326-C325)^2</f>
        <v>14104.321884344803</v>
      </c>
      <c r="D359" s="21">
        <f t="shared" si="366"/>
        <v>988.01163909573211</v>
      </c>
      <c r="E359" s="21">
        <f t="shared" si="366"/>
        <v>26.433619736794864</v>
      </c>
      <c r="F359" s="21">
        <f t="shared" si="366"/>
        <v>0.50038307028741247</v>
      </c>
      <c r="G359" s="21">
        <f t="shared" si="366"/>
        <v>1.2195753747733814E-2</v>
      </c>
      <c r="H359" s="21">
        <f t="shared" si="366"/>
        <v>3.1372155220371878E-3</v>
      </c>
      <c r="I359" s="21">
        <f t="shared" si="366"/>
        <v>1.9561310244639602E-2</v>
      </c>
      <c r="J359" s="21">
        <f t="shared" si="366"/>
        <v>0.10065957622635867</v>
      </c>
      <c r="K359" s="21">
        <f t="shared" si="366"/>
        <v>0.46368756741173367</v>
      </c>
      <c r="L359" s="21">
        <f t="shared" si="366"/>
        <v>1.3591126204488173</v>
      </c>
      <c r="M359" s="21">
        <f t="shared" si="366"/>
        <v>2.9132218898234772</v>
      </c>
      <c r="N359" s="21">
        <f t="shared" si="366"/>
        <v>4.3450284126018381</v>
      </c>
      <c r="O359" s="21">
        <f t="shared" si="366"/>
        <v>4.8240718270572946</v>
      </c>
      <c r="P359" s="21">
        <f t="shared" si="366"/>
        <v>3.8524167377610743</v>
      </c>
      <c r="Q359" s="21">
        <f t="shared" si="366"/>
        <v>2.3929733033732954</v>
      </c>
      <c r="R359" s="21">
        <f t="shared" si="366"/>
        <v>1.00496398284372</v>
      </c>
      <c r="S359" s="21">
        <f t="shared" si="366"/>
        <v>0.34748739933962414</v>
      </c>
      <c r="T359" s="21">
        <f t="shared" si="366"/>
        <v>7.3140377245821217E-2</v>
      </c>
      <c r="U359" s="21">
        <f t="shared" si="366"/>
        <v>1.3618795802456138E-2</v>
      </c>
      <c r="V359" s="21">
        <f t="shared" si="366"/>
        <v>9.7155953864492054E-4</v>
      </c>
      <c r="W359" s="21">
        <f t="shared" si="366"/>
        <v>1.7678650237936981E-4</v>
      </c>
      <c r="X359" s="21">
        <f t="shared" si="366"/>
        <v>4.7195794003460106E-4</v>
      </c>
      <c r="Y359" s="21">
        <f t="shared" si="366"/>
        <v>1.6148483546746353E-3</v>
      </c>
      <c r="Z359" s="21">
        <f t="shared" si="366"/>
        <v>3.411072697871457E-3</v>
      </c>
      <c r="AA359" s="21">
        <f t="shared" si="366"/>
        <v>8.1243425447596659E-3</v>
      </c>
      <c r="AB359" s="21">
        <f t="shared" si="366"/>
        <v>0.20453266870982012</v>
      </c>
      <c r="AC359" s="21">
        <f t="shared" si="366"/>
        <v>1.5546336948601098</v>
      </c>
      <c r="AD359" s="21">
        <f t="shared" si="366"/>
        <v>2.9641741810260607</v>
      </c>
      <c r="AE359" s="21">
        <f t="shared" si="366"/>
        <v>0.35458811671732354</v>
      </c>
      <c r="AF359" s="21">
        <f t="shared" si="366"/>
        <v>0.12876618377052135</v>
      </c>
      <c r="AG359" s="3"/>
      <c r="AH359" s="3"/>
    </row>
    <row r="360" spans="1:34" x14ac:dyDescent="0.25">
      <c r="A360" s="71">
        <f>SUM(B360:AF360)</f>
        <v>21.127006905836065</v>
      </c>
      <c r="B360" s="60">
        <f>IF($A$64&lt;=B324,IF($B$64&gt;=B324,ABS(B359),0),0)</f>
        <v>0</v>
      </c>
      <c r="C360" s="60">
        <f t="shared" ref="C360:AF360" si="367">IF($A$64&lt;=C324,IF($B$64&gt;=C324,ABS(C359),0),0)</f>
        <v>0</v>
      </c>
      <c r="D360" s="60">
        <f t="shared" si="367"/>
        <v>0</v>
      </c>
      <c r="E360" s="60">
        <f t="shared" si="367"/>
        <v>0</v>
      </c>
      <c r="F360" s="60">
        <f t="shared" si="367"/>
        <v>0</v>
      </c>
      <c r="G360" s="60">
        <f t="shared" si="367"/>
        <v>0</v>
      </c>
      <c r="H360" s="60">
        <f t="shared" si="367"/>
        <v>0</v>
      </c>
      <c r="I360" s="60">
        <f t="shared" si="367"/>
        <v>0</v>
      </c>
      <c r="J360" s="60">
        <f t="shared" si="367"/>
        <v>0</v>
      </c>
      <c r="K360" s="60">
        <f t="shared" si="367"/>
        <v>0</v>
      </c>
      <c r="L360" s="60">
        <f t="shared" si="367"/>
        <v>1.3591126204488173</v>
      </c>
      <c r="M360" s="60">
        <f t="shared" si="367"/>
        <v>2.9132218898234772</v>
      </c>
      <c r="N360" s="60">
        <f t="shared" si="367"/>
        <v>4.3450284126018381</v>
      </c>
      <c r="O360" s="60">
        <f t="shared" si="367"/>
        <v>4.8240718270572946</v>
      </c>
      <c r="P360" s="60">
        <f t="shared" si="367"/>
        <v>3.8524167377610743</v>
      </c>
      <c r="Q360" s="60">
        <f t="shared" si="367"/>
        <v>2.3929733033732954</v>
      </c>
      <c r="R360" s="60">
        <f t="shared" si="367"/>
        <v>1.00496398284372</v>
      </c>
      <c r="S360" s="60">
        <f t="shared" si="367"/>
        <v>0.34748739933962414</v>
      </c>
      <c r="T360" s="60">
        <f t="shared" si="367"/>
        <v>7.3140377245821217E-2</v>
      </c>
      <c r="U360" s="60">
        <f t="shared" si="367"/>
        <v>1.3618795802456138E-2</v>
      </c>
      <c r="V360" s="60">
        <f t="shared" si="367"/>
        <v>9.7155953864492054E-4</v>
      </c>
      <c r="W360" s="60">
        <f t="shared" si="367"/>
        <v>0</v>
      </c>
      <c r="X360" s="60">
        <f t="shared" si="367"/>
        <v>0</v>
      </c>
      <c r="Y360" s="60">
        <f t="shared" si="367"/>
        <v>0</v>
      </c>
      <c r="Z360" s="60">
        <f t="shared" si="367"/>
        <v>0</v>
      </c>
      <c r="AA360" s="60">
        <f t="shared" si="367"/>
        <v>0</v>
      </c>
      <c r="AB360" s="60">
        <f t="shared" si="367"/>
        <v>0</v>
      </c>
      <c r="AC360" s="60">
        <f t="shared" si="367"/>
        <v>0</v>
      </c>
      <c r="AD360" s="60">
        <f t="shared" si="367"/>
        <v>0</v>
      </c>
      <c r="AE360" s="60">
        <f t="shared" si="367"/>
        <v>0</v>
      </c>
      <c r="AF360" s="60">
        <f t="shared" si="367"/>
        <v>0</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8426.4757441054771</v>
      </c>
      <c r="C364" s="26">
        <f>INDEX(Comparison!$AM$3:$AS$33,G$14,$H$122)</f>
        <v>8085.1354599765227</v>
      </c>
      <c r="D364" s="26">
        <f>INDEX(Comparison!$AM$3:$AS$33,H$14,$H$122)</f>
        <v>7751.6368467103184</v>
      </c>
      <c r="E364" s="26">
        <f>INDEX(Comparison!$AM$3:$AS$33,I$14,$H$122)</f>
        <v>7379.8266913065718</v>
      </c>
      <c r="F364" s="26">
        <f>INDEX(Comparison!$AM$3:$AS$33,J$14,$H$122)</f>
        <v>7023.3701518062126</v>
      </c>
      <c r="G364" s="26">
        <f>INDEX(Comparison!$AM$3:$AS$33,K$14,$H$122)</f>
        <v>6738.7256441372629</v>
      </c>
      <c r="H364" s="26">
        <f>INDEX(Comparison!$AM$3:$AS$33,L$14,$H$122)</f>
        <v>6452.9254698981604</v>
      </c>
      <c r="I364" s="26">
        <f>INDEX(Comparison!$AM$3:$AS$33,M$14,$H$122)</f>
        <v>6178.6253583876323</v>
      </c>
      <c r="J364" s="26">
        <f>INDEX(Comparison!$AM$3:$AS$33,N$14,$H$122)</f>
        <v>5887.9416764587622</v>
      </c>
      <c r="K364" s="26">
        <f>INDEX(Comparison!$AM$3:$AS$33,O$14,$H$122)</f>
        <v>5619.2322674786419</v>
      </c>
      <c r="L364" s="26">
        <f>INDEX(Comparison!$AM$3:$AS$33,P$14,$H$122)</f>
        <v>5280.3661713673137</v>
      </c>
      <c r="M364" s="26">
        <f>INDEX(Comparison!$AM$3:$AS$33,Q$14,$H$122)</f>
        <v>4925.7855811728932</v>
      </c>
      <c r="N364" s="26">
        <f>INDEX(Comparison!$AM$3:$AS$33,R$14,$H$122)</f>
        <v>4516.2157436003417</v>
      </c>
      <c r="O364" s="26">
        <f>INDEX(Comparison!$AM$3:$AS$33,S$14,$H$122)</f>
        <v>4054.7135164176284</v>
      </c>
      <c r="P364" s="26">
        <f>INDEX(Comparison!$AM$3:$AS$33,T$14,$H$122)</f>
        <v>3480.9757019740573</v>
      </c>
      <c r="Q364" s="26">
        <f>INDEX(Comparison!$AM$3:$AS$33,U$14,$H$122)</f>
        <v>2776.8290278599252</v>
      </c>
      <c r="R364" s="26">
        <f>INDEX(Comparison!$AM$3:$AS$33,V$14,$H$122)</f>
        <v>2021.5623770745678</v>
      </c>
      <c r="S364" s="26">
        <f>INDEX(Comparison!$AM$3:$AS$33,W$14,$H$122)</f>
        <v>1425.0251284859655</v>
      </c>
      <c r="T364" s="26">
        <f>INDEX(Comparison!$AM$3:$AS$33,X$14,$H$122)</f>
        <v>1000.3144588532851</v>
      </c>
      <c r="U364" s="26">
        <f>INDEX(Comparison!$AM$3:$AS$33,Y$14,$H$122)</f>
        <v>766.53007991277559</v>
      </c>
      <c r="V364" s="26">
        <f>INDEX(Comparison!$AM$3:$AS$33,Z$14,$H$122)</f>
        <v>637.70408339015069</v>
      </c>
      <c r="W364" s="26">
        <f>INDEX(Comparison!$AM$3:$AS$33,AA$14,$H$122)</f>
        <v>580.81989332695025</v>
      </c>
      <c r="X364" s="26">
        <f>INDEX(Comparison!$AM$3:$AS$33,AB$14,$H$122)</f>
        <v>540.7919524224219</v>
      </c>
      <c r="Y364" s="26">
        <f>INDEX(Comparison!$AM$3:$AS$33,AC$14,$H$122)</f>
        <v>519.88174858869183</v>
      </c>
      <c r="Z364" s="26">
        <f>INDEX(Comparison!$AM$3:$AS$33,AD$14,$H$122)</f>
        <v>509.34643430573385</v>
      </c>
      <c r="AA364" s="26">
        <f>INDEX(Comparison!$AM$3:$AS$33,AE$14,$H$122)</f>
        <v>480.55733666885891</v>
      </c>
      <c r="AB364" s="26">
        <f>INDEX(Comparison!$AM$3:$AS$33,AF$14,$H$122)</f>
        <v>471.54124630560909</v>
      </c>
      <c r="AC364" s="26">
        <f>INDEX(Comparison!$AM$3:$AS$33,AG$14,$H$122)</f>
        <v>469.40352706055</v>
      </c>
      <c r="AD364" s="26">
        <f>INDEX(Comparison!$AM$3:$AS$33,AH$14,$H$122)</f>
        <v>469.06241231883331</v>
      </c>
      <c r="AE364" s="26">
        <f>INDEX(Comparison!$AM$3:$AS$33,AI$14,$H$122)</f>
        <v>467.11183046926152</v>
      </c>
      <c r="AF364" s="26">
        <f>INDEX(Comparison!$AM$3:$AS$33,AJ$14,$H$122)</f>
        <v>466.16000667860783</v>
      </c>
      <c r="AG364" s="26"/>
      <c r="AH364" s="26"/>
    </row>
    <row r="365" spans="1:34" x14ac:dyDescent="0.25">
      <c r="A365" s="70" t="s">
        <v>22</v>
      </c>
      <c r="B365" s="27">
        <f>($C$17+SUM(B366:B396))*$B$51</f>
        <v>8426.949720485065</v>
      </c>
      <c r="C365" s="27">
        <f t="shared" ref="C365:AF365" si="368">($C$17+SUM(C366:C396))*$B$51</f>
        <v>8207.8306373820342</v>
      </c>
      <c r="D365" s="27">
        <f t="shared" si="368"/>
        <v>7884.2949199411196</v>
      </c>
      <c r="E365" s="27">
        <f t="shared" si="368"/>
        <v>7518.8118989876839</v>
      </c>
      <c r="F365" s="27">
        <f t="shared" si="368"/>
        <v>7145.2879788869923</v>
      </c>
      <c r="G365" s="27">
        <f t="shared" si="368"/>
        <v>6832.918583760912</v>
      </c>
      <c r="H365" s="27">
        <f t="shared" si="368"/>
        <v>6556.7023295230847</v>
      </c>
      <c r="I365" s="27">
        <f t="shared" si="368"/>
        <v>6267.7707457435727</v>
      </c>
      <c r="J365" s="27">
        <f t="shared" si="368"/>
        <v>5983.2039958078512</v>
      </c>
      <c r="K365" s="27">
        <f t="shared" si="368"/>
        <v>5701.4957714735838</v>
      </c>
      <c r="L365" s="27">
        <f t="shared" si="368"/>
        <v>5386.2592275280176</v>
      </c>
      <c r="M365" s="27">
        <f t="shared" si="368"/>
        <v>5017.3541479178048</v>
      </c>
      <c r="N365" s="27">
        <f t="shared" si="368"/>
        <v>4614.8932951394836</v>
      </c>
      <c r="O365" s="27">
        <f t="shared" si="368"/>
        <v>4062.0492060391089</v>
      </c>
      <c r="P365" s="27">
        <f t="shared" si="368"/>
        <v>3381.7624389535149</v>
      </c>
      <c r="Q365" s="27">
        <f t="shared" si="368"/>
        <v>2682.9654974526402</v>
      </c>
      <c r="R365" s="27">
        <f t="shared" si="368"/>
        <v>2012.4331341186228</v>
      </c>
      <c r="S365" s="27">
        <f t="shared" si="368"/>
        <v>1451.002903658647</v>
      </c>
      <c r="T365" s="27">
        <f t="shared" si="368"/>
        <v>1035.3619700024117</v>
      </c>
      <c r="U365" s="27">
        <f t="shared" si="368"/>
        <v>789.25482947788294</v>
      </c>
      <c r="V365" s="27">
        <f t="shared" si="368"/>
        <v>632.18566571555277</v>
      </c>
      <c r="W365" s="27">
        <f t="shared" si="368"/>
        <v>578.5576059504632</v>
      </c>
      <c r="X365" s="27">
        <f t="shared" si="368"/>
        <v>540.27560439547119</v>
      </c>
      <c r="Y365" s="27">
        <f t="shared" si="368"/>
        <v>517.90758230964263</v>
      </c>
      <c r="Z365" s="27">
        <f t="shared" si="368"/>
        <v>509.19502862305001</v>
      </c>
      <c r="AA365" s="27">
        <f t="shared" si="368"/>
        <v>484.41766672612204</v>
      </c>
      <c r="AB365" s="27">
        <f t="shared" si="368"/>
        <v>470.08914969892868</v>
      </c>
      <c r="AC365" s="27">
        <f t="shared" si="368"/>
        <v>468.11773279229305</v>
      </c>
      <c r="AD365" s="27">
        <f t="shared" si="368"/>
        <v>468.11773275852704</v>
      </c>
      <c r="AE365" s="27">
        <f t="shared" si="368"/>
        <v>468.11773275852704</v>
      </c>
      <c r="AF365" s="27">
        <f t="shared" si="368"/>
        <v>468.11773275852704</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3.2718340305929209E-4</v>
      </c>
      <c r="C367" s="3">
        <f t="shared" si="370"/>
        <v>4.1789866691855013E-24</v>
      </c>
      <c r="D367" s="3">
        <f t="shared" si="370"/>
        <v>4.8291221540992232E-223</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1.0048197669687208E-2</v>
      </c>
      <c r="C368" s="3">
        <f t="shared" si="371"/>
        <v>1.6125348188633361E-4</v>
      </c>
      <c r="D368" s="3">
        <f t="shared" si="371"/>
        <v>1.8269152910225259E-22</v>
      </c>
      <c r="E368" s="3">
        <f t="shared" si="371"/>
        <v>6.3651920114084903E-202</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2.8518187266866942E-2</v>
      </c>
      <c r="C369" s="3">
        <f t="shared" si="372"/>
        <v>1.9644272731346783E-2</v>
      </c>
      <c r="D369" s="3">
        <f t="shared" si="372"/>
        <v>4.724722872801009E-4</v>
      </c>
      <c r="E369" s="3">
        <f t="shared" si="372"/>
        <v>3.0604140822907628E-20</v>
      </c>
      <c r="F369" s="3">
        <f t="shared" si="372"/>
        <v>3.9794101799991333E-182</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3.4346017804171458E-2</v>
      </c>
      <c r="C370" s="3">
        <f t="shared" si="373"/>
        <v>3.3210310054167864E-2</v>
      </c>
      <c r="D370" s="3">
        <f t="shared" si="373"/>
        <v>2.3726753882623457E-2</v>
      </c>
      <c r="E370" s="3">
        <f t="shared" si="373"/>
        <v>8.2203872430433047E-4</v>
      </c>
      <c r="F370" s="3">
        <f t="shared" si="373"/>
        <v>2.0484802879382506E-18</v>
      </c>
      <c r="G370" s="3">
        <f t="shared" si="373"/>
        <v>1.8915895887628008E-164</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3.8150679300230278E-2</v>
      </c>
      <c r="C371" s="3">
        <f t="shared" si="374"/>
        <v>3.803513146205429E-2</v>
      </c>
      <c r="D371" s="3">
        <f t="shared" si="374"/>
        <v>3.6898727176695623E-2</v>
      </c>
      <c r="E371" s="3">
        <f t="shared" si="374"/>
        <v>2.7244323150930224E-2</v>
      </c>
      <c r="F371" s="3">
        <f t="shared" si="374"/>
        <v>1.3119654488023338E-3</v>
      </c>
      <c r="G371" s="3">
        <f t="shared" si="374"/>
        <v>8.7980443589036946E-17</v>
      </c>
      <c r="H371" s="3">
        <f t="shared" si="374"/>
        <v>1.6181681245900991E-148</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3.1147013299118561E-2</v>
      </c>
      <c r="C372" s="3">
        <f t="shared" si="375"/>
        <v>3.1138491689361565E-2</v>
      </c>
      <c r="D372" s="3">
        <f t="shared" si="375"/>
        <v>3.1053403716577898E-2</v>
      </c>
      <c r="E372" s="3">
        <f t="shared" si="375"/>
        <v>3.0215207693547186E-2</v>
      </c>
      <c r="F372" s="3">
        <f t="shared" si="375"/>
        <v>2.2982079759906592E-2</v>
      </c>
      <c r="G372" s="3">
        <f t="shared" si="375"/>
        <v>1.489452866138586E-3</v>
      </c>
      <c r="H372" s="3">
        <f t="shared" si="375"/>
        <v>1.9471577334966755E-15</v>
      </c>
      <c r="I372" s="3">
        <f t="shared" si="375"/>
        <v>2.8388655695269724E-134</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2.5944912952538764E-2</v>
      </c>
      <c r="C373" s="3">
        <f t="shared" si="376"/>
        <v>2.5944272542546807E-2</v>
      </c>
      <c r="D373" s="3">
        <f t="shared" si="376"/>
        <v>2.593786931197695E-2</v>
      </c>
      <c r="E373" s="3">
        <f t="shared" si="376"/>
        <v>2.5873923861903628E-2</v>
      </c>
      <c r="F373" s="3">
        <f t="shared" si="376"/>
        <v>2.5243076119571606E-2</v>
      </c>
      <c r="G373" s="3">
        <f t="shared" si="376"/>
        <v>1.9721597340322743E-2</v>
      </c>
      <c r="H373" s="3">
        <f t="shared" si="376"/>
        <v>1.6708605044594954E-3</v>
      </c>
      <c r="I373" s="3">
        <f t="shared" si="376"/>
        <v>3.1836202035763396E-14</v>
      </c>
      <c r="J373" s="3">
        <f t="shared" si="376"/>
        <v>2.0078526572404904E-121</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2.8280659343055119E-2</v>
      </c>
      <c r="C374" s="3">
        <f t="shared" si="377"/>
        <v>2.8280596371143198E-2</v>
      </c>
      <c r="D374" s="3">
        <f t="shared" si="377"/>
        <v>2.8279966659735936E-2</v>
      </c>
      <c r="E374" s="3">
        <f t="shared" si="377"/>
        <v>2.8273670316794453E-2</v>
      </c>
      <c r="F374" s="3">
        <f t="shared" si="377"/>
        <v>2.8210783936999374E-2</v>
      </c>
      <c r="G374" s="3">
        <f t="shared" si="377"/>
        <v>2.7589561998339621E-2</v>
      </c>
      <c r="H374" s="3">
        <f t="shared" si="377"/>
        <v>2.2082148024744185E-2</v>
      </c>
      <c r="I374" s="3">
        <f t="shared" si="377"/>
        <v>2.3823547211679129E-3</v>
      </c>
      <c r="J374" s="3">
        <f t="shared" si="377"/>
        <v>5.0892937842905338E-13</v>
      </c>
      <c r="K374" s="3">
        <f t="shared" si="377"/>
        <v>1.0073223616229593E-109</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2.7707300484798501E-2</v>
      </c>
      <c r="C375" s="3">
        <f t="shared" si="378"/>
        <v>2.7707294919370171E-2</v>
      </c>
      <c r="D375" s="3">
        <f t="shared" si="378"/>
        <v>2.770723926514837E-2</v>
      </c>
      <c r="E375" s="3">
        <f t="shared" si="378"/>
        <v>2.7706682729078752E-2</v>
      </c>
      <c r="F375" s="3">
        <f t="shared" si="378"/>
        <v>2.7701117983176968E-2</v>
      </c>
      <c r="G375" s="3">
        <f t="shared" si="378"/>
        <v>2.764553195793136E-2</v>
      </c>
      <c r="H375" s="3">
        <f t="shared" si="378"/>
        <v>2.709576966934938E-2</v>
      </c>
      <c r="I375" s="3">
        <f t="shared" si="378"/>
        <v>2.2164957342066464E-2</v>
      </c>
      <c r="J375" s="3">
        <f t="shared" si="378"/>
        <v>2.9738631471991029E-3</v>
      </c>
      <c r="K375" s="3">
        <f t="shared" si="378"/>
        <v>5.6216237006956881E-12</v>
      </c>
      <c r="L375" s="3">
        <f t="shared" si="378"/>
        <v>3.2754403600538904E-99</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2.6509888068005433E-2</v>
      </c>
      <c r="C376" s="3">
        <f t="shared" si="379"/>
        <v>2.6509887587654206E-2</v>
      </c>
      <c r="D376" s="3">
        <f t="shared" si="379"/>
        <v>2.6509882784142416E-2</v>
      </c>
      <c r="E376" s="3">
        <f t="shared" si="379"/>
        <v>2.6509834749072387E-2</v>
      </c>
      <c r="F376" s="3">
        <f t="shared" si="379"/>
        <v>2.6509354403159147E-2</v>
      </c>
      <c r="G376" s="3">
        <f t="shared" si="379"/>
        <v>2.6504551422701205E-2</v>
      </c>
      <c r="H376" s="3">
        <f t="shared" si="379"/>
        <v>2.6456569453492257E-2</v>
      </c>
      <c r="I376" s="3">
        <f t="shared" si="379"/>
        <v>2.5981501383078264E-2</v>
      </c>
      <c r="J376" s="3">
        <f t="shared" si="379"/>
        <v>2.1675612808173973E-2</v>
      </c>
      <c r="K376" s="3">
        <f t="shared" si="379"/>
        <v>3.5403222285689049E-3</v>
      </c>
      <c r="L376" s="3">
        <f t="shared" si="379"/>
        <v>4.783622112807122E-11</v>
      </c>
      <c r="M376" s="3">
        <f t="shared" si="379"/>
        <v>9.7028114897494816E-90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3.0096089329253263E-2</v>
      </c>
      <c r="C377" s="3">
        <f t="shared" si="380"/>
        <v>3.009608928005977E-2</v>
      </c>
      <c r="D377" s="3">
        <f t="shared" si="380"/>
        <v>3.0096088788124829E-2</v>
      </c>
      <c r="E377" s="3">
        <f t="shared" si="380"/>
        <v>3.0096083868775891E-2</v>
      </c>
      <c r="F377" s="3">
        <f t="shared" si="380"/>
        <v>3.0096034675330716E-2</v>
      </c>
      <c r="G377" s="3">
        <f t="shared" si="380"/>
        <v>3.0095542745301459E-2</v>
      </c>
      <c r="H377" s="3">
        <f t="shared" si="380"/>
        <v>3.009062388722927E-2</v>
      </c>
      <c r="I377" s="3">
        <f t="shared" si="380"/>
        <v>3.0041479501815446E-2</v>
      </c>
      <c r="J377" s="3">
        <f t="shared" si="380"/>
        <v>2.9554428566387625E-2</v>
      </c>
      <c r="K377" s="3">
        <f t="shared" si="380"/>
        <v>2.5097765722699242E-2</v>
      </c>
      <c r="L377" s="3">
        <f t="shared" si="380"/>
        <v>4.8950823714951656E-3</v>
      </c>
      <c r="M377" s="3">
        <f t="shared" si="380"/>
        <v>3.8995045954292637E-10</v>
      </c>
      <c r="N377" s="3">
        <f t="shared" si="380"/>
        <v>4.0133197175749208E-81</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3.6902665150320438E-2</v>
      </c>
      <c r="C378" s="3">
        <f t="shared" si="381"/>
        <v>3.6902665144879145E-2</v>
      </c>
      <c r="D378" s="3">
        <f t="shared" si="381"/>
        <v>3.690266509046624E-2</v>
      </c>
      <c r="E378" s="3">
        <f t="shared" si="381"/>
        <v>3.6902664546337172E-2</v>
      </c>
      <c r="F378" s="3">
        <f t="shared" si="381"/>
        <v>3.6902659105046969E-2</v>
      </c>
      <c r="G378" s="3">
        <f t="shared" si="381"/>
        <v>3.6902604692188999E-2</v>
      </c>
      <c r="H378" s="3">
        <f t="shared" si="381"/>
        <v>3.6902060568022102E-2</v>
      </c>
      <c r="I378" s="3">
        <f t="shared" si="381"/>
        <v>3.6896619767600843E-2</v>
      </c>
      <c r="J378" s="3">
        <f t="shared" si="381"/>
        <v>3.6842255864098263E-2</v>
      </c>
      <c r="K378" s="3">
        <f t="shared" si="381"/>
        <v>3.6303002934901782E-2</v>
      </c>
      <c r="L378" s="3">
        <f t="shared" si="381"/>
        <v>3.1326070072401402E-2</v>
      </c>
      <c r="M378" s="3">
        <f t="shared" si="381"/>
        <v>7.1703368397431858E-3</v>
      </c>
      <c r="N378" s="3">
        <f t="shared" si="381"/>
        <v>2.8305836035376809E-9</v>
      </c>
      <c r="O378" s="3">
        <f t="shared" si="381"/>
        <v>2.6015985016699183E-73</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3.6161796888437653E-2</v>
      </c>
      <c r="C379" s="3">
        <f t="shared" si="382"/>
        <v>3.6161796887956656E-2</v>
      </c>
      <c r="D379" s="3">
        <f t="shared" si="382"/>
        <v>3.6161796883146705E-2</v>
      </c>
      <c r="E379" s="3">
        <f t="shared" si="382"/>
        <v>3.616179683504718E-2</v>
      </c>
      <c r="F379" s="3">
        <f t="shared" si="382"/>
        <v>3.616179635405193E-2</v>
      </c>
      <c r="G379" s="3">
        <f t="shared" si="382"/>
        <v>3.6161791544099799E-2</v>
      </c>
      <c r="H379" s="3">
        <f t="shared" si="382"/>
        <v>3.6161743444613682E-2</v>
      </c>
      <c r="I379" s="3">
        <f t="shared" si="382"/>
        <v>3.6161262453271288E-2</v>
      </c>
      <c r="J379" s="3">
        <f t="shared" si="382"/>
        <v>3.6156452891707873E-2</v>
      </c>
      <c r="K379" s="3">
        <f t="shared" si="382"/>
        <v>3.6108392444813397E-2</v>
      </c>
      <c r="L379" s="3">
        <f t="shared" si="382"/>
        <v>3.563128760315401E-2</v>
      </c>
      <c r="M379" s="3">
        <f t="shared" si="382"/>
        <v>3.1193574508753135E-2</v>
      </c>
      <c r="N379" s="3">
        <f t="shared" si="382"/>
        <v>8.2490021434078586E-3</v>
      </c>
      <c r="O379" s="3">
        <f t="shared" si="382"/>
        <v>1.3796348036662848E-8</v>
      </c>
      <c r="P379" s="3">
        <f t="shared" si="382"/>
        <v>2.3626064962105053E-66</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5.7659888823692995E-2</v>
      </c>
      <c r="C380" s="3">
        <f t="shared" si="383"/>
        <v>5.7659888823623814E-2</v>
      </c>
      <c r="D380" s="3">
        <f t="shared" si="383"/>
        <v>5.7659888822931965E-2</v>
      </c>
      <c r="E380" s="3">
        <f t="shared" si="383"/>
        <v>5.7659888816013471E-2</v>
      </c>
      <c r="F380" s="3">
        <f t="shared" si="383"/>
        <v>5.7659888746828598E-2</v>
      </c>
      <c r="G380" s="3">
        <f t="shared" si="383"/>
        <v>5.7659888054979826E-2</v>
      </c>
      <c r="H380" s="3">
        <f t="shared" si="383"/>
        <v>5.7659881136492543E-2</v>
      </c>
      <c r="I380" s="3">
        <f t="shared" si="383"/>
        <v>5.7659811951665411E-2</v>
      </c>
      <c r="J380" s="3">
        <f t="shared" si="383"/>
        <v>5.7659120107959809E-2</v>
      </c>
      <c r="K380" s="3">
        <f t="shared" si="383"/>
        <v>5.7652202127455296E-2</v>
      </c>
      <c r="L380" s="3">
        <f t="shared" si="383"/>
        <v>5.7583067957303016E-2</v>
      </c>
      <c r="M380" s="3">
        <f t="shared" si="383"/>
        <v>5.6896269550078656E-2</v>
      </c>
      <c r="N380" s="3">
        <f t="shared" si="383"/>
        <v>5.0463075876078005E-2</v>
      </c>
      <c r="O380" s="3">
        <f t="shared" si="383"/>
        <v>1.520102871367769E-2</v>
      </c>
      <c r="P380" s="3">
        <f t="shared" si="383"/>
        <v>9.3511621458525165E-8</v>
      </c>
      <c r="Q380" s="3">
        <f t="shared" si="383"/>
        <v>7.257577292024776E-60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7.0138718801303082E-2</v>
      </c>
      <c r="C381" s="3">
        <f t="shared" si="384"/>
        <v>7.0138718801295491E-2</v>
      </c>
      <c r="D381" s="3">
        <f t="shared" si="384"/>
        <v>7.0138718801219566E-2</v>
      </c>
      <c r="E381" s="3">
        <f t="shared" si="384"/>
        <v>7.0138718800460395E-2</v>
      </c>
      <c r="F381" s="3">
        <f t="shared" si="384"/>
        <v>7.0138718792868648E-2</v>
      </c>
      <c r="G381" s="3">
        <f t="shared" si="384"/>
        <v>7.0138718716951168E-2</v>
      </c>
      <c r="H381" s="3">
        <f t="shared" si="384"/>
        <v>7.0138717957776348E-2</v>
      </c>
      <c r="I381" s="3">
        <f t="shared" si="384"/>
        <v>7.0138710366028617E-2</v>
      </c>
      <c r="J381" s="3">
        <f t="shared" si="384"/>
        <v>7.0138634448596457E-2</v>
      </c>
      <c r="K381" s="3">
        <f t="shared" si="384"/>
        <v>7.0137875278794226E-2</v>
      </c>
      <c r="L381" s="3">
        <f t="shared" si="384"/>
        <v>7.0130284032699886E-2</v>
      </c>
      <c r="M381" s="3">
        <f t="shared" si="384"/>
        <v>7.0054416746450229E-2</v>
      </c>
      <c r="N381" s="3">
        <f t="shared" si="384"/>
        <v>6.9300243313834817E-2</v>
      </c>
      <c r="O381" s="3">
        <f t="shared" si="384"/>
        <v>6.2190942362815187E-2</v>
      </c>
      <c r="P381" s="3">
        <f t="shared" si="384"/>
        <v>2.1069339416922163E-2</v>
      </c>
      <c r="Q381" s="3">
        <f t="shared" si="384"/>
        <v>4.196514596369661E-7</v>
      </c>
      <c r="R381" s="3">
        <f t="shared" si="384"/>
        <v>4.1235087792822787E-54</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6.7659228447697811E-2</v>
      </c>
      <c r="C382" s="3">
        <f t="shared" si="385"/>
        <v>6.7659228447697145E-2</v>
      </c>
      <c r="D382" s="3">
        <f t="shared" si="385"/>
        <v>6.7659228447690539E-2</v>
      </c>
      <c r="E382" s="3">
        <f t="shared" si="385"/>
        <v>6.7659228447624481E-2</v>
      </c>
      <c r="F382" s="3">
        <f t="shared" si="385"/>
        <v>6.7659228446963843E-2</v>
      </c>
      <c r="G382" s="3">
        <f t="shared" si="385"/>
        <v>6.7659228440357558E-2</v>
      </c>
      <c r="H382" s="3">
        <f t="shared" si="385"/>
        <v>6.7659228374294667E-2</v>
      </c>
      <c r="I382" s="3">
        <f t="shared" si="385"/>
        <v>6.7659227713665712E-2</v>
      </c>
      <c r="J382" s="3">
        <f t="shared" si="385"/>
        <v>6.7659221107376613E-2</v>
      </c>
      <c r="K382" s="3">
        <f t="shared" si="385"/>
        <v>6.7659155044521135E-2</v>
      </c>
      <c r="L382" s="3">
        <f t="shared" si="385"/>
        <v>6.7658494419513965E-2</v>
      </c>
      <c r="M382" s="3">
        <f t="shared" si="385"/>
        <v>6.7651888524201217E-2</v>
      </c>
      <c r="N382" s="3">
        <f t="shared" si="385"/>
        <v>6.7585865034160419E-2</v>
      </c>
      <c r="O382" s="3">
        <f t="shared" si="385"/>
        <v>6.6929163664040281E-2</v>
      </c>
      <c r="P382" s="3">
        <f t="shared" si="385"/>
        <v>6.0703063985412628E-2</v>
      </c>
      <c r="Q382" s="3">
        <f t="shared" si="385"/>
        <v>2.2864555206382007E-2</v>
      </c>
      <c r="R382" s="3">
        <f t="shared" si="385"/>
        <v>1.3142688174546501E-6</v>
      </c>
      <c r="S382" s="3">
        <f t="shared" si="385"/>
        <v>5.1748607729434844E-49</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6.6765944370475491E-2</v>
      </c>
      <c r="C383" s="3">
        <f t="shared" si="386"/>
        <v>6.6765944370475436E-2</v>
      </c>
      <c r="D383" s="3">
        <f t="shared" si="386"/>
        <v>6.6765944370474853E-2</v>
      </c>
      <c r="E383" s="3">
        <f t="shared" si="386"/>
        <v>6.6765944370468969E-2</v>
      </c>
      <c r="F383" s="3">
        <f t="shared" si="386"/>
        <v>6.6765944370410168E-2</v>
      </c>
      <c r="G383" s="3">
        <f t="shared" si="386"/>
        <v>6.6765944369822097E-2</v>
      </c>
      <c r="H383" s="3">
        <f t="shared" si="386"/>
        <v>6.6765944363941343E-2</v>
      </c>
      <c r="I383" s="3">
        <f t="shared" si="386"/>
        <v>6.6765944305133926E-2</v>
      </c>
      <c r="J383" s="3">
        <f t="shared" si="386"/>
        <v>6.6765943717059698E-2</v>
      </c>
      <c r="K383" s="3">
        <f t="shared" si="386"/>
        <v>6.6765937836317735E-2</v>
      </c>
      <c r="L383" s="3">
        <f t="shared" si="386"/>
        <v>6.6765879028926611E-2</v>
      </c>
      <c r="M383" s="3">
        <f t="shared" si="386"/>
        <v>6.6765290957864251E-2</v>
      </c>
      <c r="N383" s="3">
        <f t="shared" si="386"/>
        <v>6.6759410532116786E-2</v>
      </c>
      <c r="O383" s="3">
        <f t="shared" si="386"/>
        <v>6.670063475298646E-2</v>
      </c>
      <c r="P383" s="3">
        <f t="shared" si="386"/>
        <v>6.6115715536966782E-2</v>
      </c>
      <c r="Q383" s="3">
        <f t="shared" si="386"/>
        <v>6.0541344030668347E-2</v>
      </c>
      <c r="R383" s="3">
        <f t="shared" si="386"/>
        <v>2.5091441677055206E-2</v>
      </c>
      <c r="S383" s="3">
        <f t="shared" si="386"/>
        <v>3.7519858017132194E-6</v>
      </c>
      <c r="T383" s="3">
        <f t="shared" si="386"/>
        <v>2.0970891640304686E-44</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4.8603939630861931E-2</v>
      </c>
      <c r="C384" s="3">
        <f t="shared" si="387"/>
        <v>4.8603939630861924E-2</v>
      </c>
      <c r="D384" s="3">
        <f t="shared" si="387"/>
        <v>4.8603939630861889E-2</v>
      </c>
      <c r="E384" s="3">
        <f t="shared" si="387"/>
        <v>4.8603939630861501E-2</v>
      </c>
      <c r="F384" s="3">
        <f t="shared" si="387"/>
        <v>4.8603939630857643E-2</v>
      </c>
      <c r="G384" s="3">
        <f t="shared" si="387"/>
        <v>4.8603939630819021E-2</v>
      </c>
      <c r="H384" s="3">
        <f t="shared" si="387"/>
        <v>4.8603939630432837E-2</v>
      </c>
      <c r="I384" s="3">
        <f t="shared" si="387"/>
        <v>4.8603939626570988E-2</v>
      </c>
      <c r="J384" s="3">
        <f t="shared" si="387"/>
        <v>4.8603939587952505E-2</v>
      </c>
      <c r="K384" s="3">
        <f t="shared" si="387"/>
        <v>4.8603939201767671E-2</v>
      </c>
      <c r="L384" s="3">
        <f t="shared" si="387"/>
        <v>4.8603935339919524E-2</v>
      </c>
      <c r="M384" s="3">
        <f t="shared" si="387"/>
        <v>4.8603896721454876E-2</v>
      </c>
      <c r="N384" s="3">
        <f t="shared" si="387"/>
        <v>4.8603510538496084E-2</v>
      </c>
      <c r="O384" s="3">
        <f t="shared" si="387"/>
        <v>4.8599648877667309E-2</v>
      </c>
      <c r="P384" s="3">
        <f t="shared" si="387"/>
        <v>4.8561049140339436E-2</v>
      </c>
      <c r="Q384" s="3">
        <f t="shared" si="387"/>
        <v>4.8176733913756022E-2</v>
      </c>
      <c r="R384" s="3">
        <f t="shared" si="387"/>
        <v>4.449695440494679E-2</v>
      </c>
      <c r="S384" s="3">
        <f t="shared" si="387"/>
        <v>2.0102941649080934E-2</v>
      </c>
      <c r="T384" s="3">
        <f t="shared" si="387"/>
        <v>7.1211947954496724E-6</v>
      </c>
      <c r="U384" s="3">
        <f t="shared" si="387"/>
        <v>2.2155696262691504E-40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3.7549192378247005E-2</v>
      </c>
      <c r="C385" s="3">
        <f t="shared" si="388"/>
        <v>3.7549192378247005E-2</v>
      </c>
      <c r="D385" s="3">
        <f t="shared" si="388"/>
        <v>3.7549192378246998E-2</v>
      </c>
      <c r="E385" s="3">
        <f t="shared" si="388"/>
        <v>3.7549192378246977E-2</v>
      </c>
      <c r="F385" s="3">
        <f t="shared" si="388"/>
        <v>3.7549192378246707E-2</v>
      </c>
      <c r="G385" s="3">
        <f t="shared" si="388"/>
        <v>3.7549192378244015E-2</v>
      </c>
      <c r="H385" s="3">
        <f t="shared" si="388"/>
        <v>3.7549192378217106E-2</v>
      </c>
      <c r="I385" s="3">
        <f t="shared" si="388"/>
        <v>3.7549192377947967E-2</v>
      </c>
      <c r="J385" s="3">
        <f t="shared" si="388"/>
        <v>3.7549192375256613E-2</v>
      </c>
      <c r="K385" s="3">
        <f t="shared" si="388"/>
        <v>3.7549192348343065E-2</v>
      </c>
      <c r="L385" s="3">
        <f t="shared" si="388"/>
        <v>3.7549192079207601E-2</v>
      </c>
      <c r="M385" s="3">
        <f t="shared" si="388"/>
        <v>3.7549189387853045E-2</v>
      </c>
      <c r="N385" s="3">
        <f t="shared" si="388"/>
        <v>3.7549162474318158E-2</v>
      </c>
      <c r="O385" s="3">
        <f t="shared" si="388"/>
        <v>3.754889334003024E-2</v>
      </c>
      <c r="P385" s="3">
        <f t="shared" si="388"/>
        <v>3.7546202103245115E-2</v>
      </c>
      <c r="Q385" s="3">
        <f t="shared" si="388"/>
        <v>3.7519300341988984E-2</v>
      </c>
      <c r="R385" s="3">
        <f t="shared" si="388"/>
        <v>3.7251340581463115E-2</v>
      </c>
      <c r="S385" s="3">
        <f t="shared" si="388"/>
        <v>3.4674775741423781E-2</v>
      </c>
      <c r="T385" s="3">
        <f t="shared" si="388"/>
        <v>1.6932894609432692E-2</v>
      </c>
      <c r="U385" s="3">
        <f t="shared" si="388"/>
        <v>1.3058901587084625E-5</v>
      </c>
      <c r="V385" s="3">
        <f t="shared" si="388"/>
        <v>9.7198840867337886E-37</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7.8409043454057813E-3</v>
      </c>
      <c r="C386" s="3">
        <f t="shared" si="389"/>
        <v>7.8409043454057813E-3</v>
      </c>
      <c r="D386" s="3">
        <f t="shared" si="389"/>
        <v>7.8409043454057813E-3</v>
      </c>
      <c r="E386" s="3">
        <f t="shared" si="389"/>
        <v>7.8409043454057796E-3</v>
      </c>
      <c r="F386" s="3">
        <f t="shared" si="389"/>
        <v>7.8409043454057761E-3</v>
      </c>
      <c r="G386" s="3">
        <f t="shared" si="389"/>
        <v>7.8409043454057241E-3</v>
      </c>
      <c r="H386" s="3">
        <f t="shared" si="389"/>
        <v>7.8409043454052176E-3</v>
      </c>
      <c r="I386" s="3">
        <f t="shared" si="389"/>
        <v>7.8409043454001487E-3</v>
      </c>
      <c r="J386" s="3">
        <f t="shared" si="389"/>
        <v>7.8409043453494514E-3</v>
      </c>
      <c r="K386" s="3">
        <f t="shared" si="389"/>
        <v>7.8409043448424802E-3</v>
      </c>
      <c r="L386" s="3">
        <f t="shared" si="389"/>
        <v>7.8409043397727717E-3</v>
      </c>
      <c r="M386" s="3">
        <f t="shared" si="389"/>
        <v>7.8409042890756758E-3</v>
      </c>
      <c r="N386" s="3">
        <f t="shared" si="389"/>
        <v>7.8409037821047401E-3</v>
      </c>
      <c r="O386" s="3">
        <f t="shared" si="389"/>
        <v>7.840898712397187E-3</v>
      </c>
      <c r="P386" s="3">
        <f t="shared" si="389"/>
        <v>7.8408480155019531E-3</v>
      </c>
      <c r="Q386" s="3">
        <f t="shared" si="389"/>
        <v>7.8403410645777518E-3</v>
      </c>
      <c r="R386" s="3">
        <f t="shared" si="389"/>
        <v>7.8352733577194723E-3</v>
      </c>
      <c r="S386" s="3">
        <f t="shared" si="389"/>
        <v>7.784776097066474E-3</v>
      </c>
      <c r="T386" s="3">
        <f t="shared" si="389"/>
        <v>7.2973614643941738E-3</v>
      </c>
      <c r="U386" s="3">
        <f t="shared" si="389"/>
        <v>3.8226381324260382E-3</v>
      </c>
      <c r="V386" s="3">
        <f t="shared" si="389"/>
        <v>5.9475277343162146E-6</v>
      </c>
      <c r="W386" s="3">
        <f t="shared" si="389"/>
        <v>4.9438963529214227E-34</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1.487119099211914E-2</v>
      </c>
      <c r="C387" s="3">
        <f t="shared" si="390"/>
        <v>1.487119099211914E-2</v>
      </c>
      <c r="D387" s="3">
        <f t="shared" si="390"/>
        <v>1.487119099211914E-2</v>
      </c>
      <c r="E387" s="3">
        <f t="shared" si="390"/>
        <v>1.487119099211914E-2</v>
      </c>
      <c r="F387" s="3">
        <f t="shared" si="390"/>
        <v>1.4871190992119136E-2</v>
      </c>
      <c r="G387" s="3">
        <f t="shared" si="390"/>
        <v>1.487119099211911E-2</v>
      </c>
      <c r="H387" s="3">
        <f t="shared" si="390"/>
        <v>1.4871190992118845E-2</v>
      </c>
      <c r="I387" s="3">
        <f t="shared" si="390"/>
        <v>1.4871190992116184E-2</v>
      </c>
      <c r="J387" s="3">
        <f t="shared" si="390"/>
        <v>1.487119099208959E-2</v>
      </c>
      <c r="K387" s="3">
        <f t="shared" si="390"/>
        <v>1.4871190991823656E-2</v>
      </c>
      <c r="L387" s="3">
        <f t="shared" si="390"/>
        <v>1.4871190989164305E-2</v>
      </c>
      <c r="M387" s="3">
        <f t="shared" si="390"/>
        <v>1.4871190962570804E-2</v>
      </c>
      <c r="N387" s="3">
        <f t="shared" si="390"/>
        <v>1.4871190696635783E-2</v>
      </c>
      <c r="O387" s="3">
        <f t="shared" si="390"/>
        <v>1.4871188037285845E-2</v>
      </c>
      <c r="P387" s="3">
        <f t="shared" si="390"/>
        <v>1.4871161443812609E-2</v>
      </c>
      <c r="Q387" s="3">
        <f t="shared" si="390"/>
        <v>1.4870895511695811E-2</v>
      </c>
      <c r="R387" s="3">
        <f t="shared" si="390"/>
        <v>1.4868236452066603E-2</v>
      </c>
      <c r="S387" s="3">
        <f t="shared" si="390"/>
        <v>1.484167199235536E-2</v>
      </c>
      <c r="T387" s="3">
        <f t="shared" si="390"/>
        <v>1.4578623842340493E-2</v>
      </c>
      <c r="U387" s="3">
        <f t="shared" si="390"/>
        <v>1.2191398920564644E-2</v>
      </c>
      <c r="V387" s="3">
        <f t="shared" si="390"/>
        <v>2.0390302108487697E-3</v>
      </c>
      <c r="W387" s="3">
        <f t="shared" si="390"/>
        <v>3.4924069390312491E-11</v>
      </c>
      <c r="X387" s="3">
        <f t="shared" si="390"/>
        <v>7.5881631923789954E-89</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3.2949113910046581E-3</v>
      </c>
      <c r="C388" s="3">
        <f t="shared" si="391"/>
        <v>3.2949113910046581E-3</v>
      </c>
      <c r="D388" s="3">
        <f t="shared" si="391"/>
        <v>3.2949113910046581E-3</v>
      </c>
      <c r="E388" s="3">
        <f t="shared" si="391"/>
        <v>3.2949113910046581E-3</v>
      </c>
      <c r="F388" s="3">
        <f t="shared" si="391"/>
        <v>3.2949113910046581E-3</v>
      </c>
      <c r="G388" s="3">
        <f t="shared" si="391"/>
        <v>3.2949113910046572E-3</v>
      </c>
      <c r="H388" s="3">
        <f t="shared" si="391"/>
        <v>3.2949113910046516E-3</v>
      </c>
      <c r="I388" s="3">
        <f t="shared" si="391"/>
        <v>3.2949113910045926E-3</v>
      </c>
      <c r="J388" s="3">
        <f t="shared" si="391"/>
        <v>3.2949113910040032E-3</v>
      </c>
      <c r="K388" s="3">
        <f t="shared" si="391"/>
        <v>3.2949113909981113E-3</v>
      </c>
      <c r="L388" s="3">
        <f t="shared" si="391"/>
        <v>3.2949113909391896E-3</v>
      </c>
      <c r="M388" s="3">
        <f t="shared" si="391"/>
        <v>3.2949113903499752E-3</v>
      </c>
      <c r="N388" s="3">
        <f t="shared" si="391"/>
        <v>3.294911384457829E-3</v>
      </c>
      <c r="O388" s="3">
        <f t="shared" si="391"/>
        <v>3.2949113255363659E-3</v>
      </c>
      <c r="P388" s="3">
        <f t="shared" si="391"/>
        <v>3.2949107363217959E-3</v>
      </c>
      <c r="Q388" s="3">
        <f t="shared" si="391"/>
        <v>3.2949048441818902E-3</v>
      </c>
      <c r="R388" s="3">
        <f t="shared" si="391"/>
        <v>3.2948459233623447E-3</v>
      </c>
      <c r="S388" s="3">
        <f t="shared" si="391"/>
        <v>3.2942567731143058E-3</v>
      </c>
      <c r="T388" s="3">
        <f t="shared" si="391"/>
        <v>3.2883710615431989E-3</v>
      </c>
      <c r="U388" s="3">
        <f t="shared" si="391"/>
        <v>3.2300892234358143E-3</v>
      </c>
      <c r="V388" s="3">
        <f t="shared" si="391"/>
        <v>2.7011675928940637E-3</v>
      </c>
      <c r="W388" s="3">
        <f t="shared" si="391"/>
        <v>4.517744323160541E-4</v>
      </c>
      <c r="X388" s="3">
        <f t="shared" si="391"/>
        <v>7.7378949752820067E-12</v>
      </c>
      <c r="Y388" s="3">
        <f t="shared" si="391"/>
        <v>1.6812591104923332E-89</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4.0317394660720415E-3</v>
      </c>
      <c r="C389" s="3">
        <f t="shared" si="392"/>
        <v>4.0317394660720415E-3</v>
      </c>
      <c r="D389" s="3">
        <f t="shared" si="392"/>
        <v>4.0317394660720415E-3</v>
      </c>
      <c r="E389" s="3">
        <f t="shared" si="392"/>
        <v>4.0317394660720415E-3</v>
      </c>
      <c r="F389" s="3">
        <f t="shared" si="392"/>
        <v>4.0317394660720415E-3</v>
      </c>
      <c r="G389" s="3">
        <f t="shared" si="392"/>
        <v>4.0317394660720415E-3</v>
      </c>
      <c r="H389" s="3">
        <f t="shared" si="392"/>
        <v>4.0317394660720407E-3</v>
      </c>
      <c r="I389" s="3">
        <f t="shared" si="392"/>
        <v>4.0317394660720337E-3</v>
      </c>
      <c r="J389" s="3">
        <f t="shared" si="392"/>
        <v>4.0317394660719617E-3</v>
      </c>
      <c r="K389" s="3">
        <f t="shared" si="392"/>
        <v>4.0317394660712401E-3</v>
      </c>
      <c r="L389" s="3">
        <f t="shared" si="392"/>
        <v>4.0317394660640306E-3</v>
      </c>
      <c r="M389" s="3">
        <f t="shared" si="392"/>
        <v>4.0317394659919329E-3</v>
      </c>
      <c r="N389" s="3">
        <f t="shared" si="392"/>
        <v>4.031739465270954E-3</v>
      </c>
      <c r="O389" s="3">
        <f t="shared" si="392"/>
        <v>4.0317394580611709E-3</v>
      </c>
      <c r="P389" s="3">
        <f t="shared" si="392"/>
        <v>4.0317393859633328E-3</v>
      </c>
      <c r="Q389" s="3">
        <f t="shared" si="392"/>
        <v>4.0317386649850254E-3</v>
      </c>
      <c r="R389" s="3">
        <f t="shared" si="392"/>
        <v>4.0317314552090477E-3</v>
      </c>
      <c r="S389" s="3">
        <f t="shared" si="392"/>
        <v>4.0316593581583701E-3</v>
      </c>
      <c r="T389" s="3">
        <f t="shared" si="392"/>
        <v>4.0309384585575647E-3</v>
      </c>
      <c r="U389" s="3">
        <f t="shared" si="392"/>
        <v>4.0237365484570584E-3</v>
      </c>
      <c r="V389" s="3">
        <f t="shared" si="392"/>
        <v>3.9524213721235562E-3</v>
      </c>
      <c r="W389" s="3">
        <f t="shared" si="392"/>
        <v>3.305219077659384E-3</v>
      </c>
      <c r="X389" s="3">
        <f t="shared" si="392"/>
        <v>5.5280297172894527E-4</v>
      </c>
      <c r="Y389" s="3">
        <f t="shared" si="392"/>
        <v>9.4682899944852893E-12</v>
      </c>
      <c r="Z389" s="3">
        <f t="shared" si="392"/>
        <v>2.0572324727671354E-89</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2.1502645285220883E-3</v>
      </c>
      <c r="C390" s="3">
        <f t="shared" si="393"/>
        <v>2.1502645285220883E-3</v>
      </c>
      <c r="D390" s="3">
        <f t="shared" si="393"/>
        <v>2.1502645285220883E-3</v>
      </c>
      <c r="E390" s="3">
        <f t="shared" si="393"/>
        <v>2.1502645285220883E-3</v>
      </c>
      <c r="F390" s="3">
        <f t="shared" si="393"/>
        <v>2.1502645285220883E-3</v>
      </c>
      <c r="G390" s="3">
        <f t="shared" si="393"/>
        <v>2.1502645285220883E-3</v>
      </c>
      <c r="H390" s="3">
        <f t="shared" si="393"/>
        <v>2.1502645285220883E-3</v>
      </c>
      <c r="I390" s="3">
        <f t="shared" si="393"/>
        <v>2.1502645285220879E-3</v>
      </c>
      <c r="J390" s="3">
        <f t="shared" si="393"/>
        <v>2.150264528522084E-3</v>
      </c>
      <c r="K390" s="3">
        <f t="shared" si="393"/>
        <v>2.1502645285220454E-3</v>
      </c>
      <c r="L390" s="3">
        <f t="shared" si="393"/>
        <v>2.1502645285216612E-3</v>
      </c>
      <c r="M390" s="3">
        <f t="shared" si="393"/>
        <v>2.1502645285178157E-3</v>
      </c>
      <c r="N390" s="3">
        <f t="shared" si="393"/>
        <v>2.1502645284793634E-3</v>
      </c>
      <c r="O390" s="3">
        <f t="shared" si="393"/>
        <v>2.1502645280948411E-3</v>
      </c>
      <c r="P390" s="3">
        <f t="shared" si="393"/>
        <v>2.1502645242496171E-3</v>
      </c>
      <c r="Q390" s="3">
        <f t="shared" si="393"/>
        <v>2.1502644857973744E-3</v>
      </c>
      <c r="R390" s="3">
        <f t="shared" si="393"/>
        <v>2.1502641012749887E-3</v>
      </c>
      <c r="S390" s="3">
        <f t="shared" si="393"/>
        <v>2.1502602560549105E-3</v>
      </c>
      <c r="T390" s="3">
        <f t="shared" si="393"/>
        <v>2.1502218042323195E-3</v>
      </c>
      <c r="U390" s="3">
        <f t="shared" si="393"/>
        <v>2.149837323822987E-3</v>
      </c>
      <c r="V390" s="3">
        <f t="shared" si="393"/>
        <v>2.1459962988864697E-3</v>
      </c>
      <c r="W390" s="3">
        <f t="shared" si="393"/>
        <v>2.1079614766203801E-3</v>
      </c>
      <c r="X390" s="3">
        <f t="shared" si="393"/>
        <v>1.7627863609474793E-3</v>
      </c>
      <c r="Y390" s="3">
        <f t="shared" si="393"/>
        <v>2.9482872873440525E-4</v>
      </c>
      <c r="Z390" s="3">
        <f t="shared" si="393"/>
        <v>5.0497628361729379E-12</v>
      </c>
      <c r="AA390" s="3">
        <f t="shared" si="393"/>
        <v>1.0971924278194197E-89</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0</v>
      </c>
      <c r="C391" s="3">
        <f t="shared" si="394"/>
        <v>0</v>
      </c>
      <c r="D391" s="3">
        <f t="shared" si="394"/>
        <v>0</v>
      </c>
      <c r="E391" s="3">
        <f t="shared" si="394"/>
        <v>0</v>
      </c>
      <c r="F391" s="3">
        <f t="shared" si="394"/>
        <v>0</v>
      </c>
      <c r="G391" s="3">
        <f t="shared" si="394"/>
        <v>0</v>
      </c>
      <c r="H391" s="3">
        <f t="shared" si="394"/>
        <v>0</v>
      </c>
      <c r="I391" s="3">
        <f t="shared" si="394"/>
        <v>0</v>
      </c>
      <c r="J391" s="3">
        <f t="shared" si="394"/>
        <v>0</v>
      </c>
      <c r="K391" s="3">
        <f t="shared" si="394"/>
        <v>0</v>
      </c>
      <c r="L391" s="3">
        <f t="shared" si="394"/>
        <v>0</v>
      </c>
      <c r="M391" s="3">
        <f t="shared" si="394"/>
        <v>0</v>
      </c>
      <c r="N391" s="3">
        <f t="shared" si="394"/>
        <v>0</v>
      </c>
      <c r="O391" s="3">
        <f t="shared" si="394"/>
        <v>0</v>
      </c>
      <c r="P391" s="3">
        <f t="shared" si="394"/>
        <v>0</v>
      </c>
      <c r="Q391" s="3">
        <f t="shared" si="394"/>
        <v>0</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3.0564736295290245E-3</v>
      </c>
      <c r="C392" s="3">
        <f t="shared" si="395"/>
        <v>3.0564736295290245E-3</v>
      </c>
      <c r="D392" s="3">
        <f t="shared" si="395"/>
        <v>3.0564736295290245E-3</v>
      </c>
      <c r="E392" s="3">
        <f t="shared" si="395"/>
        <v>3.0564736295290245E-3</v>
      </c>
      <c r="F392" s="3">
        <f t="shared" si="395"/>
        <v>3.0564736295290245E-3</v>
      </c>
      <c r="G392" s="3">
        <f t="shared" si="395"/>
        <v>3.0564736295290245E-3</v>
      </c>
      <c r="H392" s="3">
        <f t="shared" si="395"/>
        <v>3.0564736295290245E-3</v>
      </c>
      <c r="I392" s="3">
        <f t="shared" si="395"/>
        <v>3.0564736295290245E-3</v>
      </c>
      <c r="J392" s="3">
        <f t="shared" si="395"/>
        <v>3.0564736295290245E-3</v>
      </c>
      <c r="K392" s="3">
        <f t="shared" si="395"/>
        <v>3.0564736295290236E-3</v>
      </c>
      <c r="L392" s="3">
        <f t="shared" si="395"/>
        <v>3.0564736295290184E-3</v>
      </c>
      <c r="M392" s="3">
        <f t="shared" si="395"/>
        <v>3.0564736295289638E-3</v>
      </c>
      <c r="N392" s="3">
        <f t="shared" si="395"/>
        <v>3.0564736295284169E-3</v>
      </c>
      <c r="O392" s="3">
        <f t="shared" si="395"/>
        <v>3.0564736295229512E-3</v>
      </c>
      <c r="P392" s="3">
        <f t="shared" si="395"/>
        <v>3.0564736294682936E-3</v>
      </c>
      <c r="Q392" s="3">
        <f t="shared" si="395"/>
        <v>3.0564736289217177E-3</v>
      </c>
      <c r="R392" s="3">
        <f t="shared" si="395"/>
        <v>3.0564736234559597E-3</v>
      </c>
      <c r="S392" s="3">
        <f t="shared" si="395"/>
        <v>3.0564735687983752E-3</v>
      </c>
      <c r="T392" s="3">
        <f t="shared" si="395"/>
        <v>3.0564730222225854E-3</v>
      </c>
      <c r="U392" s="3">
        <f t="shared" si="395"/>
        <v>3.0564675564700638E-3</v>
      </c>
      <c r="V392" s="3">
        <f t="shared" si="395"/>
        <v>3.0564128994824248E-3</v>
      </c>
      <c r="W392" s="3">
        <f t="shared" si="395"/>
        <v>3.0558663833600559E-3</v>
      </c>
      <c r="X392" s="3">
        <f t="shared" si="395"/>
        <v>3.0504065939838633E-3</v>
      </c>
      <c r="Y392" s="3">
        <f t="shared" si="395"/>
        <v>2.9963423476001738E-3</v>
      </c>
      <c r="Z392" s="3">
        <f t="shared" si="395"/>
        <v>2.5056963714285892E-3</v>
      </c>
      <c r="AA392" s="3">
        <f t="shared" si="395"/>
        <v>4.1908157003531156E-4</v>
      </c>
      <c r="AB392" s="3">
        <f t="shared" si="395"/>
        <v>7.1779386858725884E-12</v>
      </c>
      <c r="AC392" s="3">
        <f t="shared" si="395"/>
        <v>1.5595940302535365E-89</v>
      </c>
      <c r="AD392" s="3">
        <f t="shared" si="395"/>
        <v>0</v>
      </c>
      <c r="AE392" s="3">
        <f t="shared" si="395"/>
        <v>0</v>
      </c>
      <c r="AF392" s="3">
        <f t="shared" si="395"/>
        <v>0</v>
      </c>
      <c r="AG392" s="3"/>
      <c r="AH392" s="3"/>
    </row>
    <row r="393" spans="1:34" x14ac:dyDescent="0.25">
      <c r="B393" s="3">
        <f t="shared" ref="B393:AF393" si="396">$C45*EXP(-B$363/$A45/EXP(-$H$126))</f>
        <v>1.3352216676863077E-3</v>
      </c>
      <c r="C393" s="3">
        <f t="shared" si="396"/>
        <v>1.3352216676863077E-3</v>
      </c>
      <c r="D393" s="3">
        <f t="shared" si="396"/>
        <v>1.3352216676863077E-3</v>
      </c>
      <c r="E393" s="3">
        <f t="shared" si="396"/>
        <v>1.3352216676863077E-3</v>
      </c>
      <c r="F393" s="3">
        <f t="shared" si="396"/>
        <v>1.3352216676863077E-3</v>
      </c>
      <c r="G393" s="3">
        <f t="shared" si="396"/>
        <v>1.3352216676863077E-3</v>
      </c>
      <c r="H393" s="3">
        <f t="shared" si="396"/>
        <v>1.3352216676863077E-3</v>
      </c>
      <c r="I393" s="3">
        <f t="shared" si="396"/>
        <v>1.3352216676863077E-3</v>
      </c>
      <c r="J393" s="3">
        <f t="shared" si="396"/>
        <v>1.3352216676863077E-3</v>
      </c>
      <c r="K393" s="3">
        <f t="shared" si="396"/>
        <v>1.3352216676863077E-3</v>
      </c>
      <c r="L393" s="3">
        <f t="shared" si="396"/>
        <v>1.3352216676863074E-3</v>
      </c>
      <c r="M393" s="3">
        <f t="shared" si="396"/>
        <v>1.3352216676863051E-3</v>
      </c>
      <c r="N393" s="3">
        <f t="shared" si="396"/>
        <v>1.3352216676862812E-3</v>
      </c>
      <c r="O393" s="3">
        <f t="shared" si="396"/>
        <v>1.3352216676860422E-3</v>
      </c>
      <c r="P393" s="3">
        <f t="shared" si="396"/>
        <v>1.3352216676836546E-3</v>
      </c>
      <c r="Q393" s="3">
        <f t="shared" si="396"/>
        <v>1.3352216676597774E-3</v>
      </c>
      <c r="R393" s="3">
        <f t="shared" si="396"/>
        <v>1.3352216674210055E-3</v>
      </c>
      <c r="S393" s="3">
        <f t="shared" si="396"/>
        <v>1.3352216650332871E-3</v>
      </c>
      <c r="T393" s="3">
        <f t="shared" si="396"/>
        <v>1.3352216411561004E-3</v>
      </c>
      <c r="U393" s="3">
        <f t="shared" si="396"/>
        <v>1.3352214023842587E-3</v>
      </c>
      <c r="V393" s="3">
        <f t="shared" si="396"/>
        <v>1.3352190146681906E-3</v>
      </c>
      <c r="W393" s="3">
        <f t="shared" si="396"/>
        <v>1.3351951377423498E-3</v>
      </c>
      <c r="X393" s="3">
        <f t="shared" si="396"/>
        <v>1.3349563919664083E-3</v>
      </c>
      <c r="Y393" s="3">
        <f t="shared" si="396"/>
        <v>1.3325712809006149E-3</v>
      </c>
      <c r="Z393" s="3">
        <f t="shared" si="396"/>
        <v>1.3089532943028517E-3</v>
      </c>
      <c r="AA393" s="3">
        <f t="shared" si="396"/>
        <v>1.0946144129795575E-3</v>
      </c>
      <c r="AB393" s="3">
        <f t="shared" si="396"/>
        <v>1.8307594328087468E-4</v>
      </c>
      <c r="AC393" s="3">
        <f t="shared" si="396"/>
        <v>3.1356852452797678E-12</v>
      </c>
      <c r="AD393" s="3">
        <f t="shared" si="396"/>
        <v>6.8130924535724419E-90</v>
      </c>
      <c r="AE393" s="3">
        <f t="shared" si="396"/>
        <v>0</v>
      </c>
      <c r="AF393" s="3">
        <f t="shared" si="396"/>
        <v>0</v>
      </c>
      <c r="AG393" s="3"/>
      <c r="AH393" s="3"/>
    </row>
    <row r="394" spans="1:34" x14ac:dyDescent="0.25">
      <c r="B394" s="3">
        <f t="shared" ref="B394:AF394" si="397">$C46*EXP(-B$363/$A46/EXP(-$H$126))</f>
        <v>0</v>
      </c>
      <c r="C394" s="3">
        <f t="shared" si="397"/>
        <v>0</v>
      </c>
      <c r="D394" s="3">
        <f t="shared" si="397"/>
        <v>0</v>
      </c>
      <c r="E394" s="3">
        <f t="shared" si="397"/>
        <v>0</v>
      </c>
      <c r="F394" s="3">
        <f t="shared" si="397"/>
        <v>0</v>
      </c>
      <c r="G394" s="3">
        <f t="shared" si="397"/>
        <v>0</v>
      </c>
      <c r="H394" s="3">
        <f t="shared" si="397"/>
        <v>0</v>
      </c>
      <c r="I394" s="3">
        <f t="shared" si="397"/>
        <v>0</v>
      </c>
      <c r="J394" s="3">
        <f t="shared" si="397"/>
        <v>0</v>
      </c>
      <c r="K394" s="3">
        <f t="shared" si="397"/>
        <v>0</v>
      </c>
      <c r="L394" s="3">
        <f t="shared" si="397"/>
        <v>0</v>
      </c>
      <c r="M394" s="3">
        <f t="shared" si="397"/>
        <v>0</v>
      </c>
      <c r="N394" s="3">
        <f t="shared" si="397"/>
        <v>0</v>
      </c>
      <c r="O394" s="3">
        <f t="shared" si="397"/>
        <v>0</v>
      </c>
      <c r="P394" s="3">
        <f t="shared" si="397"/>
        <v>0</v>
      </c>
      <c r="Q394" s="3">
        <f t="shared" si="397"/>
        <v>0</v>
      </c>
      <c r="R394" s="3">
        <f t="shared" si="397"/>
        <v>0</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0</v>
      </c>
      <c r="C396" s="3">
        <f t="shared" si="399"/>
        <v>0</v>
      </c>
      <c r="D396" s="3">
        <f t="shared" si="399"/>
        <v>0</v>
      </c>
      <c r="E396" s="3">
        <f t="shared" si="399"/>
        <v>0</v>
      </c>
      <c r="F396" s="3">
        <f t="shared" si="399"/>
        <v>0</v>
      </c>
      <c r="G396" s="3">
        <f t="shared" si="399"/>
        <v>0</v>
      </c>
      <c r="H396" s="3">
        <f t="shared" si="399"/>
        <v>0</v>
      </c>
      <c r="I396" s="3">
        <f t="shared" si="399"/>
        <v>0</v>
      </c>
      <c r="J396" s="3">
        <f t="shared" si="399"/>
        <v>0</v>
      </c>
      <c r="K396" s="3">
        <f t="shared" si="399"/>
        <v>0</v>
      </c>
      <c r="L396" s="3">
        <f t="shared" si="399"/>
        <v>0</v>
      </c>
      <c r="M396" s="3">
        <f t="shared" si="399"/>
        <v>0</v>
      </c>
      <c r="N396" s="3">
        <f t="shared" si="399"/>
        <v>0</v>
      </c>
      <c r="O396" s="3">
        <f t="shared" si="399"/>
        <v>0</v>
      </c>
      <c r="P396" s="3">
        <f t="shared" si="399"/>
        <v>0</v>
      </c>
      <c r="Q396" s="3">
        <f t="shared" si="399"/>
        <v>0</v>
      </c>
      <c r="R396" s="3">
        <f t="shared" si="399"/>
        <v>0</v>
      </c>
      <c r="S396" s="3">
        <f t="shared" si="399"/>
        <v>0</v>
      </c>
      <c r="T396" s="3">
        <f t="shared" si="399"/>
        <v>0</v>
      </c>
      <c r="U396" s="3">
        <f t="shared" si="399"/>
        <v>0</v>
      </c>
      <c r="V396" s="3">
        <f t="shared" si="399"/>
        <v>0</v>
      </c>
      <c r="W396" s="3">
        <f t="shared" si="399"/>
        <v>0</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7.118983004151984E-3</v>
      </c>
      <c r="B397" s="80">
        <f>IF($A$64&lt;=B363,IF($B$64&gt;=B363,ABS((B365-B364)/B364),0),0)</f>
        <v>0</v>
      </c>
      <c r="C397" s="80">
        <f t="shared" ref="C397:AF397" si="400">IF($A$64&lt;=C363,IF($B$64&gt;=C363,ABS((C365-C364)/C364),0),0)</f>
        <v>0</v>
      </c>
      <c r="D397" s="80">
        <f t="shared" si="400"/>
        <v>0</v>
      </c>
      <c r="E397" s="80">
        <f t="shared" si="400"/>
        <v>0</v>
      </c>
      <c r="F397" s="80">
        <f t="shared" si="400"/>
        <v>0</v>
      </c>
      <c r="G397" s="80">
        <f t="shared" si="400"/>
        <v>0</v>
      </c>
      <c r="H397" s="80">
        <f t="shared" si="400"/>
        <v>0</v>
      </c>
      <c r="I397" s="80">
        <f t="shared" si="400"/>
        <v>0</v>
      </c>
      <c r="J397" s="80">
        <f t="shared" si="400"/>
        <v>0</v>
      </c>
      <c r="K397" s="80">
        <f t="shared" si="400"/>
        <v>0</v>
      </c>
      <c r="L397" s="80">
        <f t="shared" si="400"/>
        <v>2.0054112295262223E-2</v>
      </c>
      <c r="M397" s="80">
        <f t="shared" si="400"/>
        <v>1.8589637172779228E-2</v>
      </c>
      <c r="N397" s="80">
        <f t="shared" si="400"/>
        <v>2.1849609748819439E-2</v>
      </c>
      <c r="O397" s="80">
        <f t="shared" si="400"/>
        <v>1.809175812736977E-3</v>
      </c>
      <c r="P397" s="80">
        <f t="shared" si="400"/>
        <v>2.8501567237105008E-2</v>
      </c>
      <c r="Q397" s="80">
        <f t="shared" si="400"/>
        <v>3.38024161608627E-2</v>
      </c>
      <c r="R397" s="80">
        <f t="shared" si="400"/>
        <v>4.5159343384477369E-3</v>
      </c>
      <c r="S397" s="80">
        <f t="shared" si="400"/>
        <v>1.8229696202116726E-2</v>
      </c>
      <c r="T397" s="80">
        <f t="shared" si="400"/>
        <v>3.5036493613521694E-2</v>
      </c>
      <c r="U397" s="80">
        <f t="shared" si="400"/>
        <v>2.9646259371443353E-2</v>
      </c>
      <c r="V397" s="80">
        <f t="shared" si="400"/>
        <v>8.6535711756164438E-3</v>
      </c>
      <c r="W397" s="80">
        <f t="shared" si="400"/>
        <v>0</v>
      </c>
      <c r="X397" s="80">
        <f t="shared" si="400"/>
        <v>0</v>
      </c>
      <c r="Y397" s="80">
        <f t="shared" si="400"/>
        <v>0</v>
      </c>
      <c r="Z397" s="80">
        <f t="shared" si="400"/>
        <v>0</v>
      </c>
      <c r="AA397" s="80">
        <f t="shared" si="400"/>
        <v>0</v>
      </c>
      <c r="AB397" s="80">
        <f t="shared" si="400"/>
        <v>0</v>
      </c>
      <c r="AC397" s="80">
        <f t="shared" si="400"/>
        <v>0</v>
      </c>
      <c r="AD397" s="80">
        <f t="shared" si="400"/>
        <v>0</v>
      </c>
      <c r="AE397" s="80">
        <f t="shared" si="400"/>
        <v>0</v>
      </c>
      <c r="AF397" s="80">
        <f t="shared" si="400"/>
        <v>0</v>
      </c>
    </row>
    <row r="398" spans="1:34" x14ac:dyDescent="0.25">
      <c r="B398" s="21">
        <f>(B365-B364)^2</f>
        <v>0.22465360840719514</v>
      </c>
      <c r="C398" s="21">
        <f t="shared" ref="C398:AF398" si="401">(C365-C364)^2</f>
        <v>15054.106558569929</v>
      </c>
      <c r="D398" s="21">
        <f t="shared" si="401"/>
        <v>17598.164393308605</v>
      </c>
      <c r="E398" s="21">
        <f t="shared" si="401"/>
        <v>19316.887954161866</v>
      </c>
      <c r="F398" s="21">
        <f t="shared" si="401"/>
        <v>14863.956560098904</v>
      </c>
      <c r="G398" s="21">
        <f t="shared" si="401"/>
        <v>8872.3098749444198</v>
      </c>
      <c r="H398" s="21">
        <f t="shared" si="401"/>
        <v>10769.636593611249</v>
      </c>
      <c r="I398" s="21">
        <f t="shared" si="401"/>
        <v>7946.9000868406456</v>
      </c>
      <c r="J398" s="21">
        <f t="shared" si="401"/>
        <v>9074.9094877678181</v>
      </c>
      <c r="K398" s="21">
        <f t="shared" si="401"/>
        <v>6767.284089525815</v>
      </c>
      <c r="L398" s="21">
        <f t="shared" si="401"/>
        <v>11213.339343054004</v>
      </c>
      <c r="M398" s="21">
        <f t="shared" si="401"/>
        <v>8384.8024157173222</v>
      </c>
      <c r="N398" s="21">
        <f t="shared" si="401"/>
        <v>9737.2591777599973</v>
      </c>
      <c r="O398" s="21">
        <f t="shared" si="401"/>
        <v>53.812342222696273</v>
      </c>
      <c r="P398" s="21">
        <f t="shared" si="401"/>
        <v>9843.2715591833257</v>
      </c>
      <c r="Q398" s="21">
        <f t="shared" si="401"/>
        <v>8810.3623405193157</v>
      </c>
      <c r="R398" s="21">
        <f t="shared" si="401"/>
        <v>83.343076948672746</v>
      </c>
      <c r="S398" s="21">
        <f t="shared" si="401"/>
        <v>674.84480292238754</v>
      </c>
      <c r="T398" s="21">
        <f t="shared" si="401"/>
        <v>1228.3280377481487</v>
      </c>
      <c r="U398" s="21">
        <f t="shared" si="401"/>
        <v>516.41424279684645</v>
      </c>
      <c r="V398" s="21">
        <f t="shared" si="401"/>
        <v>30.452933631314636</v>
      </c>
      <c r="W398" s="21">
        <f t="shared" si="401"/>
        <v>5.1179441738126679</v>
      </c>
      <c r="X398" s="21">
        <f t="shared" si="401"/>
        <v>0.26661528493589015</v>
      </c>
      <c r="Y398" s="21">
        <f t="shared" si="401"/>
        <v>3.8973324973349639</v>
      </c>
      <c r="Z398" s="21">
        <f t="shared" si="401"/>
        <v>2.2923680748960899E-2</v>
      </c>
      <c r="AA398" s="21">
        <f t="shared" si="401"/>
        <v>14.902148151009136</v>
      </c>
      <c r="AB398" s="21">
        <f t="shared" si="401"/>
        <v>2.1085845551327718</v>
      </c>
      <c r="AC398" s="21">
        <f t="shared" si="401"/>
        <v>1.6532669002824256</v>
      </c>
      <c r="AD398" s="21">
        <f t="shared" si="401"/>
        <v>0.89241947166044699</v>
      </c>
      <c r="AE398" s="21">
        <f t="shared" si="401"/>
        <v>1.0118394155496153</v>
      </c>
      <c r="AF398" s="21">
        <f t="shared" si="401"/>
        <v>3.832691403995844</v>
      </c>
      <c r="AG398" s="3"/>
      <c r="AH398" s="3"/>
    </row>
    <row r="399" spans="1:34" x14ac:dyDescent="0.25">
      <c r="A399" s="71">
        <f>SUM(B399:AF399)</f>
        <v>50576.230272504028</v>
      </c>
      <c r="B399" s="60">
        <f>IF($A$64&lt;=B363,IF($B$64&gt;=B363,ABS(B398),0),0)</f>
        <v>0</v>
      </c>
      <c r="C399" s="60">
        <f t="shared" ref="C399" si="402">IF($A$64&lt;=C363,IF($B$64&gt;=C363,ABS(C398),0),0)</f>
        <v>0</v>
      </c>
      <c r="D399" s="60">
        <f t="shared" ref="D399" si="403">IF($A$64&lt;=D363,IF($B$64&gt;=D363,ABS(D398),0),0)</f>
        <v>0</v>
      </c>
      <c r="E399" s="60">
        <f t="shared" ref="E399" si="404">IF($A$64&lt;=E363,IF($B$64&gt;=E363,ABS(E398),0),0)</f>
        <v>0</v>
      </c>
      <c r="F399" s="60">
        <f t="shared" ref="F399" si="405">IF($A$64&lt;=F363,IF($B$64&gt;=F363,ABS(F398),0),0)</f>
        <v>0</v>
      </c>
      <c r="G399" s="60">
        <f t="shared" ref="G399" si="406">IF($A$64&lt;=G363,IF($B$64&gt;=G363,ABS(G398),0),0)</f>
        <v>0</v>
      </c>
      <c r="H399" s="60">
        <f t="shared" ref="H399" si="407">IF($A$64&lt;=H363,IF($B$64&gt;=H363,ABS(H398),0),0)</f>
        <v>0</v>
      </c>
      <c r="I399" s="60">
        <f t="shared" ref="I399" si="408">IF($A$64&lt;=I363,IF($B$64&gt;=I363,ABS(I398),0),0)</f>
        <v>0</v>
      </c>
      <c r="J399" s="60">
        <f t="shared" ref="J399" si="409">IF($A$64&lt;=J363,IF($B$64&gt;=J363,ABS(J398),0),0)</f>
        <v>0</v>
      </c>
      <c r="K399" s="60">
        <f t="shared" ref="K399" si="410">IF($A$64&lt;=K363,IF($B$64&gt;=K363,ABS(K398),0),0)</f>
        <v>0</v>
      </c>
      <c r="L399" s="60">
        <f t="shared" ref="L399" si="411">IF($A$64&lt;=L363,IF($B$64&gt;=L363,ABS(L398),0),0)</f>
        <v>11213.339343054004</v>
      </c>
      <c r="M399" s="60">
        <f t="shared" ref="M399" si="412">IF($A$64&lt;=M363,IF($B$64&gt;=M363,ABS(M398),0),0)</f>
        <v>8384.8024157173222</v>
      </c>
      <c r="N399" s="60">
        <f t="shared" ref="N399" si="413">IF($A$64&lt;=N363,IF($B$64&gt;=N363,ABS(N398),0),0)</f>
        <v>9737.2591777599973</v>
      </c>
      <c r="O399" s="60">
        <f t="shared" ref="O399" si="414">IF($A$64&lt;=O363,IF($B$64&gt;=O363,ABS(O398),0),0)</f>
        <v>53.812342222696273</v>
      </c>
      <c r="P399" s="60">
        <f t="shared" ref="P399" si="415">IF($A$64&lt;=P363,IF($B$64&gt;=P363,ABS(P398),0),0)</f>
        <v>9843.2715591833257</v>
      </c>
      <c r="Q399" s="60">
        <f t="shared" ref="Q399" si="416">IF($A$64&lt;=Q363,IF($B$64&gt;=Q363,ABS(Q398),0),0)</f>
        <v>8810.3623405193157</v>
      </c>
      <c r="R399" s="60">
        <f t="shared" ref="R399" si="417">IF($A$64&lt;=R363,IF($B$64&gt;=R363,ABS(R398),0),0)</f>
        <v>83.343076948672746</v>
      </c>
      <c r="S399" s="60">
        <f t="shared" ref="S399" si="418">IF($A$64&lt;=S363,IF($B$64&gt;=S363,ABS(S398),0),0)</f>
        <v>674.84480292238754</v>
      </c>
      <c r="T399" s="60">
        <f t="shared" ref="T399" si="419">IF($A$64&lt;=T363,IF($B$64&gt;=T363,ABS(T398),0),0)</f>
        <v>1228.3280377481487</v>
      </c>
      <c r="U399" s="60">
        <f t="shared" ref="U399" si="420">IF($A$64&lt;=U363,IF($B$64&gt;=U363,ABS(U398),0),0)</f>
        <v>516.41424279684645</v>
      </c>
      <c r="V399" s="60">
        <f t="shared" ref="V399" si="421">IF($A$64&lt;=V363,IF($B$64&gt;=V363,ABS(V398),0),0)</f>
        <v>30.452933631314636</v>
      </c>
      <c r="W399" s="60">
        <f t="shared" ref="W399" si="422">IF($A$64&lt;=W363,IF($B$64&gt;=W363,ABS(W398),0),0)</f>
        <v>0</v>
      </c>
      <c r="X399" s="60">
        <f t="shared" ref="X399" si="423">IF($A$64&lt;=X363,IF($B$64&gt;=X363,ABS(X398),0),0)</f>
        <v>0</v>
      </c>
      <c r="Y399" s="60">
        <f t="shared" ref="Y399" si="424">IF($A$64&lt;=Y363,IF($B$64&gt;=Y363,ABS(Y398),0),0)</f>
        <v>0</v>
      </c>
      <c r="Z399" s="60">
        <f t="shared" ref="Z399" si="425">IF($A$64&lt;=Z363,IF($B$64&gt;=Z363,ABS(Z398),0),0)</f>
        <v>0</v>
      </c>
      <c r="AA399" s="60">
        <f t="shared" ref="AA399" si="426">IF($A$64&lt;=AA363,IF($B$64&gt;=AA363,ABS(AA398),0),0)</f>
        <v>0</v>
      </c>
      <c r="AB399" s="60">
        <f t="shared" ref="AB399" si="427">IF($A$64&lt;=AB363,IF($B$64&gt;=AB363,ABS(AB398),0),0)</f>
        <v>0</v>
      </c>
      <c r="AC399" s="60">
        <f t="shared" ref="AC399" si="428">IF($A$64&lt;=AC363,IF($B$64&gt;=AC363,ABS(AC398),0),0)</f>
        <v>0</v>
      </c>
      <c r="AD399" s="60">
        <f t="shared" ref="AD399" si="429">IF($A$64&lt;=AD363,IF($B$64&gt;=AD363,ABS(AD398),0),0)</f>
        <v>0</v>
      </c>
      <c r="AE399" s="60">
        <f t="shared" ref="AE399" si="430">IF($A$64&lt;=AE363,IF($B$64&gt;=AE363,ABS(AE398),0),0)</f>
        <v>0</v>
      </c>
      <c r="AF399" s="60">
        <f t="shared" ref="AF399" si="431">IF($A$64&lt;=AF363,IF($B$64&gt;=AF363,ABS(AF398),0),0)</f>
        <v>0</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7" t="s">
        <v>163</v>
      </c>
      <c r="K402" s="117"/>
      <c r="L402" s="117"/>
      <c r="M402" s="117"/>
      <c r="N402" s="117"/>
      <c r="O402" s="117"/>
      <c r="P402" s="117"/>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-17.057668506080475</v>
      </c>
      <c r="C403" s="107">
        <f t="shared" ref="C403:H403" si="432">IF(C125=$B$2,0,C126)</f>
        <v>-13.801205867961423</v>
      </c>
      <c r="D403" s="107">
        <f t="shared" si="432"/>
        <v>-11.300486481572344</v>
      </c>
      <c r="E403" s="107">
        <f t="shared" si="432"/>
        <v>-8.4000955453265451</v>
      </c>
      <c r="F403" s="107">
        <f t="shared" si="432"/>
        <v>-5.4999789808794874</v>
      </c>
      <c r="G403" s="107">
        <f t="shared" si="432"/>
        <v>0</v>
      </c>
      <c r="H403" s="107">
        <f t="shared" si="432"/>
        <v>5.2917717621939255</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3.9079472567817324E-23</v>
      </c>
      <c r="C404" s="3">
        <f t="shared" ref="C404:H419" si="433">$A404/EXP(-C$403)</f>
        <v>1.0144074916780399E-21</v>
      </c>
      <c r="D404" s="3">
        <f t="shared" si="433"/>
        <v>1.2366906526016326E-20</v>
      </c>
      <c r="E404" s="3">
        <f t="shared" si="433"/>
        <v>2.2484584018329432E-19</v>
      </c>
      <c r="F404" s="3">
        <f t="shared" si="433"/>
        <v>4.0868573397082212E-18</v>
      </c>
      <c r="G404" s="3">
        <f t="shared" si="433"/>
        <v>1.0000000000000001E-15</v>
      </c>
      <c r="H404" s="3">
        <f t="shared" si="433"/>
        <v>1.9869515428989119E-13</v>
      </c>
      <c r="I404" s="109">
        <f>Comparison!AL3</f>
        <v>1.0000000000000001E-15</v>
      </c>
      <c r="J404" s="3">
        <f>Comparison!AM3</f>
        <v>10871.278895571992</v>
      </c>
      <c r="K404" s="3">
        <f>Comparison!AN3</f>
        <v>10681.367679183619</v>
      </c>
      <c r="L404" s="3">
        <f>Comparison!AO3</f>
        <v>10334.776176356636</v>
      </c>
      <c r="M404" s="3">
        <f>Comparison!AP3</f>
        <v>10108.713203034791</v>
      </c>
      <c r="N404" s="3">
        <f>Comparison!AQ3</f>
        <v>9827.0404934265953</v>
      </c>
      <c r="O404" s="3">
        <f>Comparison!AR3</f>
        <v>9149.8345482474924</v>
      </c>
      <c r="P404" s="3">
        <f>Comparison!AS3</f>
        <v>8426.4757441054771</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3.9079472567817322E-22</v>
      </c>
      <c r="C405" s="3">
        <f t="shared" si="433"/>
        <v>1.0144074916780398E-20</v>
      </c>
      <c r="D405" s="3">
        <f t="shared" si="433"/>
        <v>1.2366906526016325E-19</v>
      </c>
      <c r="E405" s="3">
        <f t="shared" si="433"/>
        <v>2.2484584018329432E-18</v>
      </c>
      <c r="F405" s="3">
        <f t="shared" si="433"/>
        <v>4.0868573397082203E-17</v>
      </c>
      <c r="G405" s="3">
        <f t="shared" si="433"/>
        <v>1E-14</v>
      </c>
      <c r="H405" s="3">
        <f t="shared" si="433"/>
        <v>1.9869515428989115E-12</v>
      </c>
      <c r="I405" s="109">
        <f>Comparison!AL4</f>
        <v>1E-14</v>
      </c>
      <c r="J405" s="3">
        <f>Comparison!AM4</f>
        <v>10785.751287884957</v>
      </c>
      <c r="K405" s="3">
        <f>Comparison!AN4</f>
        <v>10340.369878221287</v>
      </c>
      <c r="L405" s="3">
        <f>Comparison!AO4</f>
        <v>10091.776344091975</v>
      </c>
      <c r="M405" s="3">
        <f>Comparison!AP4</f>
        <v>9863.3085771990827</v>
      </c>
      <c r="N405" s="3">
        <f>Comparison!AQ4</f>
        <v>9554.6131285549327</v>
      </c>
      <c r="O405" s="3">
        <f>Comparison!AR4</f>
        <v>8820.2788795776141</v>
      </c>
      <c r="P405" s="3">
        <f>Comparison!AS4</f>
        <v>8085.1354599765227</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3.9079472567817323E-21</v>
      </c>
      <c r="C406" s="3">
        <f t="shared" si="433"/>
        <v>1.0144074916780399E-19</v>
      </c>
      <c r="D406" s="3">
        <f t="shared" si="433"/>
        <v>1.2366906526016326E-18</v>
      </c>
      <c r="E406" s="3">
        <f t="shared" si="433"/>
        <v>2.2484584018329433E-17</v>
      </c>
      <c r="F406" s="3">
        <f t="shared" si="433"/>
        <v>4.0868573397082206E-16</v>
      </c>
      <c r="G406" s="3">
        <f t="shared" si="433"/>
        <v>1E-13</v>
      </c>
      <c r="H406" s="3">
        <f t="shared" si="433"/>
        <v>1.9869515428989116E-11</v>
      </c>
      <c r="I406" s="109">
        <f>Comparison!AL5</f>
        <v>1E-13</v>
      </c>
      <c r="J406" s="3">
        <f>Comparison!AM5</f>
        <v>10484.858187200372</v>
      </c>
      <c r="K406" s="3">
        <f>Comparison!AN5</f>
        <v>10144.235493546155</v>
      </c>
      <c r="L406" s="3">
        <f>Comparison!AO5</f>
        <v>9888.29643553188</v>
      </c>
      <c r="M406" s="3">
        <f>Comparison!AP5</f>
        <v>9647.7546876992856</v>
      </c>
      <c r="N406" s="3">
        <f>Comparison!AQ5</f>
        <v>9307.5270109220583</v>
      </c>
      <c r="O406" s="3">
        <f>Comparison!AR5</f>
        <v>8533.8722605331295</v>
      </c>
      <c r="P406" s="3">
        <f>Comparison!AS5</f>
        <v>7751.6368467103184</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3.907947256781732E-20</v>
      </c>
      <c r="C407" s="3">
        <f t="shared" si="433"/>
        <v>1.0144074916780397E-18</v>
      </c>
      <c r="D407" s="3">
        <f t="shared" si="433"/>
        <v>1.2366906526016325E-17</v>
      </c>
      <c r="E407" s="3">
        <f t="shared" si="433"/>
        <v>2.248458401832943E-16</v>
      </c>
      <c r="F407" s="3">
        <f t="shared" si="433"/>
        <v>4.0868573397082209E-15</v>
      </c>
      <c r="G407" s="3">
        <f t="shared" si="433"/>
        <v>9.9999999999999998E-13</v>
      </c>
      <c r="H407" s="3">
        <f t="shared" si="433"/>
        <v>1.9869515428989116E-10</v>
      </c>
      <c r="I407" s="109">
        <f>Comparison!AL6</f>
        <v>9.9999999999999998E-13</v>
      </c>
      <c r="J407" s="3">
        <f>Comparison!AM6</f>
        <v>10280.433181032142</v>
      </c>
      <c r="K407" s="3">
        <f>Comparison!AN6</f>
        <v>9945.8458355930761</v>
      </c>
      <c r="L407" s="3">
        <f>Comparison!AO6</f>
        <v>9675.5582946416034</v>
      </c>
      <c r="M407" s="3">
        <f>Comparison!AP6</f>
        <v>9412.3170807609295</v>
      </c>
      <c r="N407" s="3">
        <f>Comparison!AQ6</f>
        <v>9052.7901664061646</v>
      </c>
      <c r="O407" s="3">
        <f>Comparison!AR6</f>
        <v>8273.7015747988644</v>
      </c>
      <c r="P407" s="3">
        <f>Comparison!AS6</f>
        <v>7379.8266913065718</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3.9079472567817321E-19</v>
      </c>
      <c r="C408" s="3">
        <f t="shared" si="433"/>
        <v>1.0144074916780397E-17</v>
      </c>
      <c r="D408" s="3">
        <f t="shared" si="433"/>
        <v>1.2366906526016324E-16</v>
      </c>
      <c r="E408" s="3">
        <f t="shared" si="433"/>
        <v>2.2484584018329429E-15</v>
      </c>
      <c r="F408" s="3">
        <f t="shared" si="433"/>
        <v>4.0868573397082204E-14</v>
      </c>
      <c r="G408" s="3">
        <f t="shared" si="433"/>
        <v>9.9999999999999994E-12</v>
      </c>
      <c r="H408" s="3">
        <f t="shared" si="433"/>
        <v>1.9869515428989114E-9</v>
      </c>
      <c r="I408" s="109">
        <f>Comparison!AL7</f>
        <v>9.9999999999999994E-12</v>
      </c>
      <c r="J408" s="3">
        <f>Comparison!AM7</f>
        <v>10088.860550656809</v>
      </c>
      <c r="K408" s="3">
        <f>Comparison!AN7</f>
        <v>9733.3402923935464</v>
      </c>
      <c r="L408" s="3">
        <f>Comparison!AO7</f>
        <v>9437.8844555939704</v>
      </c>
      <c r="M408" s="3">
        <f>Comparison!AP7</f>
        <v>9158.3278957287839</v>
      </c>
      <c r="N408" s="3">
        <f>Comparison!AQ7</f>
        <v>8765.8976127630649</v>
      </c>
      <c r="O408" s="3">
        <f>Comparison!AR7</f>
        <v>7979.0862222792848</v>
      </c>
      <c r="P408" s="3">
        <f>Comparison!AS7</f>
        <v>7023.3701518062126</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3.9079472567817327E-18</v>
      </c>
      <c r="C409" s="3">
        <f t="shared" si="433"/>
        <v>1.0144074916780399E-16</v>
      </c>
      <c r="D409" s="3">
        <f t="shared" si="433"/>
        <v>1.2366906526016326E-15</v>
      </c>
      <c r="E409" s="3">
        <f t="shared" si="433"/>
        <v>2.248458401832943E-14</v>
      </c>
      <c r="F409" s="3">
        <f t="shared" si="433"/>
        <v>4.0868573397082206E-13</v>
      </c>
      <c r="G409" s="3">
        <f t="shared" si="433"/>
        <v>1E-10</v>
      </c>
      <c r="H409" s="3">
        <f t="shared" si="433"/>
        <v>1.9869515428989117E-8</v>
      </c>
      <c r="I409" s="109">
        <f>Comparison!AL8</f>
        <v>1E-10</v>
      </c>
      <c r="J409" s="3">
        <f>Comparison!AM8</f>
        <v>9877.8461517898249</v>
      </c>
      <c r="K409" s="3">
        <f>Comparison!AN8</f>
        <v>9498.3871358707802</v>
      </c>
      <c r="L409" s="3">
        <f>Comparison!AO8</f>
        <v>9182.6179716248589</v>
      </c>
      <c r="M409" s="3">
        <f>Comparison!AP8</f>
        <v>8878.5637787646356</v>
      </c>
      <c r="N409" s="3">
        <f>Comparison!AQ8</f>
        <v>8497.5960737726527</v>
      </c>
      <c r="O409" s="3">
        <f>Comparison!AR8</f>
        <v>7625.3190133909084</v>
      </c>
      <c r="P409" s="3">
        <f>Comparison!AS8</f>
        <v>6738.7256441372629</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3.9079472567817325E-17</v>
      </c>
      <c r="C410" s="3">
        <f t="shared" si="433"/>
        <v>1.01440749167804E-15</v>
      </c>
      <c r="D410" s="3">
        <f t="shared" si="433"/>
        <v>1.2366906526016325E-14</v>
      </c>
      <c r="E410" s="3">
        <f t="shared" si="433"/>
        <v>2.2484584018329433E-13</v>
      </c>
      <c r="F410" s="3">
        <f t="shared" si="433"/>
        <v>4.0868573397082211E-12</v>
      </c>
      <c r="G410" s="3">
        <f t="shared" si="433"/>
        <v>1.0000000000000001E-9</v>
      </c>
      <c r="H410" s="3">
        <f t="shared" si="433"/>
        <v>1.9869515428989117E-7</v>
      </c>
      <c r="I410" s="109">
        <f>Comparison!AL9</f>
        <v>1.0000000000000001E-9</v>
      </c>
      <c r="J410" s="3">
        <f>Comparison!AM9</f>
        <v>9655.619688733279</v>
      </c>
      <c r="K410" s="3">
        <f>Comparison!AN9</f>
        <v>9242.4212792479666</v>
      </c>
      <c r="L410" s="3">
        <f>Comparison!AO9</f>
        <v>8899.8294294290881</v>
      </c>
      <c r="M410" s="3">
        <f>Comparison!AP9</f>
        <v>8599.940751813896</v>
      </c>
      <c r="N410" s="3">
        <f>Comparison!AQ9</f>
        <v>8229.2269119551856</v>
      </c>
      <c r="O410" s="3">
        <f>Comparison!AR9</f>
        <v>7251.0629198471606</v>
      </c>
      <c r="P410" s="3">
        <f>Comparison!AS9</f>
        <v>6452.9254698981604</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3.9079472567817324E-16</v>
      </c>
      <c r="C411" s="3">
        <f t="shared" si="433"/>
        <v>1.0144074916780398E-14</v>
      </c>
      <c r="D411" s="3">
        <f t="shared" si="433"/>
        <v>1.2366906526016325E-13</v>
      </c>
      <c r="E411" s="3">
        <f t="shared" si="433"/>
        <v>2.2484584018329432E-12</v>
      </c>
      <c r="F411" s="3">
        <f t="shared" si="433"/>
        <v>4.0868573397082205E-11</v>
      </c>
      <c r="G411" s="3">
        <f t="shared" si="433"/>
        <v>1E-8</v>
      </c>
      <c r="H411" s="3">
        <f t="shared" si="433"/>
        <v>1.9869515428989116E-6</v>
      </c>
      <c r="I411" s="109">
        <f>Comparison!AL10</f>
        <v>1E-8</v>
      </c>
      <c r="J411" s="3">
        <f>Comparison!AM10</f>
        <v>9400.3699029441887</v>
      </c>
      <c r="K411" s="3">
        <f>Comparison!AN10</f>
        <v>8962.4165772503438</v>
      </c>
      <c r="L411" s="3">
        <f>Comparison!AO10</f>
        <v>8621.6067732840511</v>
      </c>
      <c r="M411" s="3">
        <f>Comparison!AP10</f>
        <v>8334.6832742009774</v>
      </c>
      <c r="N411" s="3">
        <f>Comparison!AQ10</f>
        <v>7906.9976228628248</v>
      </c>
      <c r="O411" s="3">
        <f>Comparison!AR10</f>
        <v>6924.393407013602</v>
      </c>
      <c r="P411" s="3">
        <f>Comparison!AS10</f>
        <v>6178.6253583876323</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3.9079472567817319E-15</v>
      </c>
      <c r="C412" s="3">
        <f t="shared" si="433"/>
        <v>1.0144074916780397E-13</v>
      </c>
      <c r="D412" s="3">
        <f t="shared" si="433"/>
        <v>1.2366906526016325E-12</v>
      </c>
      <c r="E412" s="3">
        <f t="shared" si="433"/>
        <v>2.248458401832943E-11</v>
      </c>
      <c r="F412" s="3">
        <f t="shared" si="433"/>
        <v>4.0868573397082202E-10</v>
      </c>
      <c r="G412" s="3">
        <f t="shared" si="433"/>
        <v>9.9999999999999995E-8</v>
      </c>
      <c r="H412" s="3">
        <f t="shared" si="433"/>
        <v>1.9869515428989117E-5</v>
      </c>
      <c r="I412" s="109">
        <f>Comparison!AL11</f>
        <v>9.9999999999999995E-8</v>
      </c>
      <c r="J412" s="3">
        <f>Comparison!AM11</f>
        <v>9134.8429877609706</v>
      </c>
      <c r="K412" s="3">
        <f>Comparison!AN11</f>
        <v>8679.0953494242967</v>
      </c>
      <c r="L412" s="3">
        <f>Comparison!AO11</f>
        <v>8354.3796068734482</v>
      </c>
      <c r="M412" s="3">
        <f>Comparison!AP11</f>
        <v>8026.4753702879098</v>
      </c>
      <c r="N412" s="3">
        <f>Comparison!AQ11</f>
        <v>7534.9505992492377</v>
      </c>
      <c r="O412" s="3">
        <f>Comparison!AR11</f>
        <v>6643.9609995540914</v>
      </c>
      <c r="P412" s="3">
        <f>Comparison!AS11</f>
        <v>5887.9416764587622</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3.9079472567817324E-14</v>
      </c>
      <c r="C413" s="3">
        <f t="shared" si="433"/>
        <v>1.0144074916780399E-12</v>
      </c>
      <c r="D413" s="3">
        <f t="shared" si="433"/>
        <v>1.2366906526016324E-11</v>
      </c>
      <c r="E413" s="3">
        <f t="shared" si="433"/>
        <v>2.2484584018329429E-10</v>
      </c>
      <c r="F413" s="3">
        <f t="shared" si="433"/>
        <v>4.0868573397082201E-9</v>
      </c>
      <c r="G413" s="3">
        <f t="shared" si="433"/>
        <v>9.9999999999999995E-7</v>
      </c>
      <c r="H413" s="3">
        <f t="shared" si="433"/>
        <v>1.9869515428989117E-4</v>
      </c>
      <c r="I413" s="109">
        <f>Comparison!AL12</f>
        <v>9.9999999999999995E-7</v>
      </c>
      <c r="J413" s="3">
        <f>Comparison!AM12</f>
        <v>8837.1618999065868</v>
      </c>
      <c r="K413" s="3">
        <f>Comparison!AN12</f>
        <v>8412.1987380125211</v>
      </c>
      <c r="L413" s="3">
        <f>Comparison!AO12</f>
        <v>8041.7904738604348</v>
      </c>
      <c r="M413" s="3">
        <f>Comparison!AP12</f>
        <v>7661.4445647597695</v>
      </c>
      <c r="N413" s="3">
        <f>Comparison!AQ12</f>
        <v>7166.8631213057552</v>
      </c>
      <c r="O413" s="3">
        <f>Comparison!AR12</f>
        <v>6360.2369441944311</v>
      </c>
      <c r="P413" s="3">
        <f>Comparison!AS12</f>
        <v>5619.2322674786419</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3.9079472567817329E-13</v>
      </c>
      <c r="C414" s="3">
        <f t="shared" si="433"/>
        <v>1.0144074916780399E-11</v>
      </c>
      <c r="D414" s="3">
        <f t="shared" si="433"/>
        <v>1.2366906526016326E-10</v>
      </c>
      <c r="E414" s="3">
        <f t="shared" si="433"/>
        <v>2.2484584018329431E-9</v>
      </c>
      <c r="F414" s="3">
        <f t="shared" si="433"/>
        <v>4.086857339708221E-8</v>
      </c>
      <c r="G414" s="3">
        <f t="shared" si="433"/>
        <v>1.0000000000000001E-5</v>
      </c>
      <c r="H414" s="3">
        <f t="shared" si="433"/>
        <v>1.9869515428989118E-3</v>
      </c>
      <c r="I414" s="109">
        <f>Comparison!AL13</f>
        <v>1.0000000000000001E-5</v>
      </c>
      <c r="J414" s="3">
        <f>Comparison!AM13</f>
        <v>8570.3120101913646</v>
      </c>
      <c r="K414" s="3">
        <f>Comparison!AN13</f>
        <v>8104.719083836997</v>
      </c>
      <c r="L414" s="3">
        <f>Comparison!AO13</f>
        <v>7673.2145085350385</v>
      </c>
      <c r="M414" s="3">
        <f>Comparison!AP13</f>
        <v>7284.5164584803897</v>
      </c>
      <c r="N414" s="3">
        <f>Comparison!AQ13</f>
        <v>6867.7062482363972</v>
      </c>
      <c r="O414" s="3">
        <f>Comparison!AR13</f>
        <v>6077.1759886859509</v>
      </c>
      <c r="P414" s="3">
        <f>Comparison!AS13</f>
        <v>5280.3661713673137</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3.9079472567817325E-12</v>
      </c>
      <c r="C415" s="3">
        <f t="shared" si="433"/>
        <v>1.0144074916780399E-10</v>
      </c>
      <c r="D415" s="3">
        <f t="shared" si="433"/>
        <v>1.2366906526016325E-9</v>
      </c>
      <c r="E415" s="3">
        <f t="shared" si="433"/>
        <v>2.2484584018329431E-8</v>
      </c>
      <c r="F415" s="3">
        <f t="shared" si="433"/>
        <v>4.0868573397082207E-7</v>
      </c>
      <c r="G415" s="3">
        <f t="shared" si="433"/>
        <v>1E-4</v>
      </c>
      <c r="H415" s="3">
        <f t="shared" si="433"/>
        <v>1.9869515428989119E-2</v>
      </c>
      <c r="I415" s="109">
        <f>Comparison!AL14</f>
        <v>1E-4</v>
      </c>
      <c r="J415" s="3">
        <f>Comparison!AM14</f>
        <v>8285.4763038384153</v>
      </c>
      <c r="K415" s="3">
        <f>Comparison!AN14</f>
        <v>7738.4866265331348</v>
      </c>
      <c r="L415" s="3">
        <f>Comparison!AO14</f>
        <v>7295.4976540764501</v>
      </c>
      <c r="M415" s="3">
        <f>Comparison!AP14</f>
        <v>6964.8609670274845</v>
      </c>
      <c r="N415" s="3">
        <f>Comparison!AQ14</f>
        <v>6578.6198965937929</v>
      </c>
      <c r="O415" s="3">
        <f>Comparison!AR14</f>
        <v>5794.3492029841209</v>
      </c>
      <c r="P415" s="3">
        <f>Comparison!AS14</f>
        <v>4925.7855811728932</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3.9079472567817325E-11</v>
      </c>
      <c r="C416" s="3">
        <f t="shared" si="433"/>
        <v>1.0144074916780399E-9</v>
      </c>
      <c r="D416" s="3">
        <f t="shared" si="433"/>
        <v>1.2366906526016325E-8</v>
      </c>
      <c r="E416" s="3">
        <f t="shared" si="433"/>
        <v>2.2484584018329431E-7</v>
      </c>
      <c r="F416" s="3">
        <f t="shared" si="433"/>
        <v>4.0868573397082205E-6</v>
      </c>
      <c r="G416" s="3">
        <f t="shared" si="433"/>
        <v>1E-3</v>
      </c>
      <c r="H416" s="3">
        <f t="shared" si="433"/>
        <v>0.19869515428989118</v>
      </c>
      <c r="I416" s="109">
        <f>Comparison!AL15</f>
        <v>1E-3</v>
      </c>
      <c r="J416" s="3">
        <f>Comparison!AM15</f>
        <v>7936.5401145889446</v>
      </c>
      <c r="K416" s="3">
        <f>Comparison!AN15</f>
        <v>7356.7094808941847</v>
      </c>
      <c r="L416" s="3">
        <f>Comparison!AO15</f>
        <v>6977.8752509418382</v>
      </c>
      <c r="M416" s="3">
        <f>Comparison!AP15</f>
        <v>6677.7336683154199</v>
      </c>
      <c r="N416" s="3">
        <f>Comparison!AQ15</f>
        <v>6298.4876021181899</v>
      </c>
      <c r="O416" s="3">
        <f>Comparison!AR15</f>
        <v>5497.4610054881305</v>
      </c>
      <c r="P416" s="3">
        <f>Comparison!AS15</f>
        <v>4516.2157436003417</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3.9079472567817324E-10</v>
      </c>
      <c r="C417" s="3">
        <f t="shared" si="433"/>
        <v>1.0144074916780398E-8</v>
      </c>
      <c r="D417" s="3">
        <f t="shared" si="433"/>
        <v>1.2366906526016325E-7</v>
      </c>
      <c r="E417" s="3">
        <f t="shared" si="433"/>
        <v>2.2484584018329429E-6</v>
      </c>
      <c r="F417" s="3">
        <f t="shared" si="433"/>
        <v>4.0868573397082205E-5</v>
      </c>
      <c r="G417" s="3">
        <f t="shared" si="433"/>
        <v>0.01</v>
      </c>
      <c r="H417" s="3">
        <f t="shared" si="433"/>
        <v>1.9869515428989117</v>
      </c>
      <c r="I417" s="109">
        <f>Comparison!AL16</f>
        <v>0.01</v>
      </c>
      <c r="J417" s="3">
        <f>Comparison!AM16</f>
        <v>7548.1809664568409</v>
      </c>
      <c r="K417" s="3">
        <f>Comparison!AN16</f>
        <v>7029.386180221145</v>
      </c>
      <c r="L417" s="3">
        <f>Comparison!AO16</f>
        <v>6688.5988498392426</v>
      </c>
      <c r="M417" s="3">
        <f>Comparison!AP16</f>
        <v>6392.2538098508458</v>
      </c>
      <c r="N417" s="3">
        <f>Comparison!AQ16</f>
        <v>6004.311404381504</v>
      </c>
      <c r="O417" s="3">
        <f>Comparison!AR16</f>
        <v>5142.3629386905741</v>
      </c>
      <c r="P417" s="3">
        <f>Comparison!AS16</f>
        <v>4054.7135164176284</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3.9079472567817328E-9</v>
      </c>
      <c r="C418" s="3">
        <f t="shared" si="433"/>
        <v>1.0144074916780399E-7</v>
      </c>
      <c r="D418" s="3">
        <f t="shared" si="433"/>
        <v>1.2366906526016326E-6</v>
      </c>
      <c r="E418" s="3">
        <f t="shared" si="433"/>
        <v>2.2484584018329432E-5</v>
      </c>
      <c r="F418" s="3">
        <f t="shared" si="433"/>
        <v>4.086857339708221E-4</v>
      </c>
      <c r="G418" s="3">
        <f t="shared" si="433"/>
        <v>0.1</v>
      </c>
      <c r="H418" s="3">
        <f t="shared" si="433"/>
        <v>19.869515428989118</v>
      </c>
      <c r="I418" s="109">
        <f>Comparison!AL17</f>
        <v>0.1</v>
      </c>
      <c r="J418" s="3">
        <f>Comparison!AM17</f>
        <v>7185.7092224582611</v>
      </c>
      <c r="K418" s="3">
        <f>Comparison!AN17</f>
        <v>6740.4128171607354</v>
      </c>
      <c r="L418" s="3">
        <f>Comparison!AO17</f>
        <v>6402.4667189627462</v>
      </c>
      <c r="M418" s="3">
        <f>Comparison!AP17</f>
        <v>6101.0485432855839</v>
      </c>
      <c r="N418" s="3">
        <f>Comparison!AQ17</f>
        <v>5728.9563133722204</v>
      </c>
      <c r="O418" s="3">
        <f>Comparison!AR17</f>
        <v>4755.3271416437765</v>
      </c>
      <c r="P418" s="3">
        <f>Comparison!AS17</f>
        <v>3480.9757019740573</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3.9079472567817324E-8</v>
      </c>
      <c r="C419" s="3">
        <f t="shared" si="433"/>
        <v>1.0144074916780399E-6</v>
      </c>
      <c r="D419" s="3">
        <f t="shared" si="433"/>
        <v>1.2366906526016325E-5</v>
      </c>
      <c r="E419" s="3">
        <f t="shared" si="433"/>
        <v>2.248458401832943E-4</v>
      </c>
      <c r="F419" s="3">
        <f t="shared" si="433"/>
        <v>4.0868573397082209E-3</v>
      </c>
      <c r="G419" s="3">
        <f t="shared" si="433"/>
        <v>1</v>
      </c>
      <c r="H419" s="3">
        <f t="shared" si="433"/>
        <v>198.69515428989118</v>
      </c>
      <c r="I419" s="109">
        <f>Comparison!AL18</f>
        <v>1</v>
      </c>
      <c r="J419" s="3">
        <f>Comparison!AM18</f>
        <v>6895.934147375373</v>
      </c>
      <c r="K419" s="3">
        <f>Comparison!AN18</f>
        <v>6451.1295620052033</v>
      </c>
      <c r="L419" s="3">
        <f>Comparison!AO18</f>
        <v>6108.5862714487212</v>
      </c>
      <c r="M419" s="3">
        <f>Comparison!AP18</f>
        <v>5816.6056093144152</v>
      </c>
      <c r="N419" s="3">
        <f>Comparison!AQ18</f>
        <v>5384.1034806229181</v>
      </c>
      <c r="O419" s="3">
        <f>Comparison!AR18</f>
        <v>4259.9552232455089</v>
      </c>
      <c r="P419" s="3">
        <f>Comparison!AS18</f>
        <v>2776.8290278599252</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3.9079472567817323E-7</v>
      </c>
      <c r="C420" s="3">
        <f t="shared" si="434"/>
        <v>1.0144074916780399E-5</v>
      </c>
      <c r="D420" s="3">
        <f t="shared" si="434"/>
        <v>1.2366906526016324E-4</v>
      </c>
      <c r="E420" s="3">
        <f t="shared" si="434"/>
        <v>2.2484584018329428E-3</v>
      </c>
      <c r="F420" s="3">
        <f t="shared" si="434"/>
        <v>4.0868573397082206E-2</v>
      </c>
      <c r="G420" s="3">
        <f t="shared" si="434"/>
        <v>10</v>
      </c>
      <c r="H420" s="3">
        <f t="shared" si="434"/>
        <v>1986.9515428989116</v>
      </c>
      <c r="I420" s="109">
        <f>Comparison!AL19</f>
        <v>10</v>
      </c>
      <c r="J420" s="3">
        <f>Comparison!AM19</f>
        <v>6598.4326641088546</v>
      </c>
      <c r="K420" s="3">
        <f>Comparison!AN19</f>
        <v>6158.0006144488207</v>
      </c>
      <c r="L420" s="3">
        <f>Comparison!AO19</f>
        <v>5821.8385981744532</v>
      </c>
      <c r="M420" s="3">
        <f>Comparison!AP19</f>
        <v>5480.1263998982886</v>
      </c>
      <c r="N420" s="3">
        <f>Comparison!AQ19</f>
        <v>4946.9073871376504</v>
      </c>
      <c r="O420" s="3">
        <f>Comparison!AR19</f>
        <v>3608.881023132205</v>
      </c>
      <c r="P420" s="3">
        <f>Comparison!AS19</f>
        <v>2021.5623770745678</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3.9079472567817324E-6</v>
      </c>
      <c r="C421" s="3">
        <f t="shared" si="434"/>
        <v>1.0144074916780398E-4</v>
      </c>
      <c r="D421" s="3">
        <f t="shared" si="434"/>
        <v>1.2366906526016326E-3</v>
      </c>
      <c r="E421" s="3">
        <f t="shared" si="434"/>
        <v>2.248458401832943E-2</v>
      </c>
      <c r="F421" s="3">
        <f t="shared" si="434"/>
        <v>0.40868573397082208</v>
      </c>
      <c r="G421" s="3">
        <f t="shared" si="434"/>
        <v>100</v>
      </c>
      <c r="H421" s="3">
        <f t="shared" si="434"/>
        <v>19869.515428989118</v>
      </c>
      <c r="I421" s="109">
        <f>Comparison!AL20</f>
        <v>100</v>
      </c>
      <c r="J421" s="3">
        <f>Comparison!AM20</f>
        <v>6312.5025678358661</v>
      </c>
      <c r="K421" s="3">
        <f>Comparison!AN20</f>
        <v>5864.4544291342345</v>
      </c>
      <c r="L421" s="3">
        <f>Comparison!AO20</f>
        <v>5461.5612200441165</v>
      </c>
      <c r="M421" s="3">
        <f>Comparison!AP20</f>
        <v>5001.3542238279779</v>
      </c>
      <c r="N421" s="3">
        <f>Comparison!AQ20</f>
        <v>4341.3949978794144</v>
      </c>
      <c r="O421" s="3">
        <f>Comparison!AR20</f>
        <v>2894.897040918956</v>
      </c>
      <c r="P421" s="3">
        <f>Comparison!AS20</f>
        <v>1425.0251284859655</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3.9079472567817326E-5</v>
      </c>
      <c r="C422" s="3">
        <f t="shared" si="434"/>
        <v>1.0144074916780398E-3</v>
      </c>
      <c r="D422" s="3">
        <f t="shared" si="434"/>
        <v>1.2366906526016325E-2</v>
      </c>
      <c r="E422" s="3">
        <f t="shared" si="434"/>
        <v>0.22484584018329432</v>
      </c>
      <c r="F422" s="3">
        <f t="shared" si="434"/>
        <v>4.0868573397082208</v>
      </c>
      <c r="G422" s="3">
        <f t="shared" si="434"/>
        <v>1000</v>
      </c>
      <c r="H422" s="3">
        <f t="shared" si="434"/>
        <v>198695.15428989116</v>
      </c>
      <c r="I422" s="109">
        <f>Comparison!AL21</f>
        <v>1000</v>
      </c>
      <c r="J422" s="3">
        <f>Comparison!AM21</f>
        <v>6009.4653543505283</v>
      </c>
      <c r="K422" s="3">
        <f>Comparison!AN21</f>
        <v>5497.1399794237341</v>
      </c>
      <c r="L422" s="3">
        <f>Comparison!AO21</f>
        <v>4936.5934069622945</v>
      </c>
      <c r="M422" s="3">
        <f>Comparison!AP21</f>
        <v>4378.6857587374161</v>
      </c>
      <c r="N422" s="3">
        <f>Comparison!AQ21</f>
        <v>3695.6706844027317</v>
      </c>
      <c r="O422" s="3">
        <f>Comparison!AR21</f>
        <v>2208.0535004045023</v>
      </c>
      <c r="P422" s="3">
        <f>Comparison!AS21</f>
        <v>1000.3144588532851</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3.9079472567817323E-4</v>
      </c>
      <c r="C423" s="3">
        <f t="shared" si="434"/>
        <v>1.0144074916780398E-2</v>
      </c>
      <c r="D423" s="3">
        <f t="shared" si="434"/>
        <v>0.12366906526016325</v>
      </c>
      <c r="E423" s="3">
        <f t="shared" si="434"/>
        <v>2.2484584018329432</v>
      </c>
      <c r="F423" s="3">
        <f t="shared" si="434"/>
        <v>40.868573397082208</v>
      </c>
      <c r="G423" s="3">
        <f t="shared" si="434"/>
        <v>10000</v>
      </c>
      <c r="H423" s="3">
        <f t="shared" si="434"/>
        <v>1986951.5428989117</v>
      </c>
      <c r="I423" s="109">
        <f>Comparison!AL22</f>
        <v>10000</v>
      </c>
      <c r="J423" s="3">
        <f>Comparison!AM22</f>
        <v>5713.6024886963633</v>
      </c>
      <c r="K423" s="3">
        <f>Comparison!AN22</f>
        <v>4940.0481403456943</v>
      </c>
      <c r="L423" s="3">
        <f>Comparison!AO22</f>
        <v>4296.9639126238171</v>
      </c>
      <c r="M423" s="3">
        <f>Comparison!AP22</f>
        <v>3745.6038917295314</v>
      </c>
      <c r="N423" s="3">
        <f>Comparison!AQ22</f>
        <v>3068.755950536985</v>
      </c>
      <c r="O423" s="3">
        <f>Comparison!AR22</f>
        <v>1590.7510281023892</v>
      </c>
      <c r="P423" s="3">
        <f>Comparison!AS22</f>
        <v>766.53007991277559</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3.9079472567817323E-3</v>
      </c>
      <c r="C424" s="3">
        <f t="shared" si="434"/>
        <v>0.10144074916780398</v>
      </c>
      <c r="D424" s="3">
        <f t="shared" si="434"/>
        <v>1.2366906526016326</v>
      </c>
      <c r="E424" s="3">
        <f t="shared" si="434"/>
        <v>22.484584018329432</v>
      </c>
      <c r="F424" s="3">
        <f t="shared" si="434"/>
        <v>408.68573397082207</v>
      </c>
      <c r="G424" s="3">
        <f t="shared" si="434"/>
        <v>100000</v>
      </c>
      <c r="H424" s="3">
        <f t="shared" si="434"/>
        <v>19869515.428989116</v>
      </c>
      <c r="I424" s="109">
        <f>Comparison!AL23</f>
        <v>100000</v>
      </c>
      <c r="J424" s="3">
        <f>Comparison!AM23</f>
        <v>5266.353343720587</v>
      </c>
      <c r="K424" s="3">
        <f>Comparison!AN23</f>
        <v>4302.8208260658694</v>
      </c>
      <c r="L424" s="3">
        <f>Comparison!AO23</f>
        <v>3679.1110460410682</v>
      </c>
      <c r="M424" s="3">
        <f>Comparison!AP23</f>
        <v>3148.5137755573865</v>
      </c>
      <c r="N424" s="3">
        <f>Comparison!AQ23</f>
        <v>2467.1652727793789</v>
      </c>
      <c r="O424" s="3">
        <f>Comparison!AR23</f>
        <v>1134.4072038150462</v>
      </c>
      <c r="P424" s="3">
        <f>Comparison!AS23</f>
        <v>637.70408339015069</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3.9079472567817325E-2</v>
      </c>
      <c r="C425" s="3">
        <f t="shared" si="434"/>
        <v>1.0144074916780399</v>
      </c>
      <c r="D425" s="3">
        <f t="shared" si="434"/>
        <v>12.366906526016326</v>
      </c>
      <c r="E425" s="3">
        <f t="shared" si="434"/>
        <v>224.84584018329431</v>
      </c>
      <c r="F425" s="3">
        <f t="shared" si="434"/>
        <v>4086.8573397082205</v>
      </c>
      <c r="G425" s="3">
        <f t="shared" si="434"/>
        <v>1000000</v>
      </c>
      <c r="H425" s="3">
        <f t="shared" si="434"/>
        <v>198695154.28989118</v>
      </c>
      <c r="I425" s="109">
        <f>Comparison!AL24</f>
        <v>1000000</v>
      </c>
      <c r="J425" s="3">
        <f>Comparison!AM24</f>
        <v>4669.585842690939</v>
      </c>
      <c r="K425" s="3">
        <f>Comparison!AN24</f>
        <v>3694.2569609036786</v>
      </c>
      <c r="L425" s="3">
        <f>Comparison!AO24</f>
        <v>3097.6161878660678</v>
      </c>
      <c r="M425" s="3">
        <f>Comparison!AP24</f>
        <v>2567.2806883234543</v>
      </c>
      <c r="N425" s="3">
        <f>Comparison!AQ24</f>
        <v>1870.2488465480699</v>
      </c>
      <c r="O425" s="3">
        <f>Comparison!AR24</f>
        <v>828.10892034291578</v>
      </c>
      <c r="P425" s="3">
        <f>Comparison!AS24</f>
        <v>580.81989332695025</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0.39079472567817325</v>
      </c>
      <c r="C426" s="3">
        <f t="shared" si="434"/>
        <v>10.144074916780399</v>
      </c>
      <c r="D426" s="3">
        <f t="shared" si="434"/>
        <v>123.66906526016325</v>
      </c>
      <c r="E426" s="3">
        <f t="shared" si="434"/>
        <v>2248.4584018329429</v>
      </c>
      <c r="F426" s="3">
        <f t="shared" si="434"/>
        <v>40868.573397082204</v>
      </c>
      <c r="G426" s="3">
        <f t="shared" si="434"/>
        <v>10000000</v>
      </c>
      <c r="H426" s="3">
        <f t="shared" si="434"/>
        <v>1986951542.8989117</v>
      </c>
      <c r="I426" s="109">
        <f>Comparison!AL25</f>
        <v>10000000</v>
      </c>
      <c r="J426" s="3">
        <f>Comparison!AM25</f>
        <v>4015.1174909416081</v>
      </c>
      <c r="K426" s="3">
        <f>Comparison!AN25</f>
        <v>3126.9337293210729</v>
      </c>
      <c r="L426" s="3">
        <f>Comparison!AO25</f>
        <v>2528.090407055493</v>
      </c>
      <c r="M426" s="3">
        <f>Comparison!AP25</f>
        <v>1986.0678137294008</v>
      </c>
      <c r="N426" s="3">
        <f>Comparison!AQ25</f>
        <v>1361.6454434772222</v>
      </c>
      <c r="O426" s="3">
        <f>Comparison!AR25</f>
        <v>674.83435785785764</v>
      </c>
      <c r="P426" s="3">
        <f>Comparison!AS25</f>
        <v>540.7919524224219</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3.9079472567817324</v>
      </c>
      <c r="C427" s="3">
        <f t="shared" si="434"/>
        <v>101.44074916780399</v>
      </c>
      <c r="D427" s="3">
        <f t="shared" si="434"/>
        <v>1236.6906526016326</v>
      </c>
      <c r="E427" s="3">
        <f t="shared" si="434"/>
        <v>22484.584018329431</v>
      </c>
      <c r="F427" s="3">
        <f t="shared" si="434"/>
        <v>408685.73397082207</v>
      </c>
      <c r="G427" s="3">
        <f t="shared" si="434"/>
        <v>100000000</v>
      </c>
      <c r="H427" s="3">
        <f t="shared" si="434"/>
        <v>19869515428.989117</v>
      </c>
      <c r="I427" s="109">
        <f>Comparison!AL26</f>
        <v>100000000</v>
      </c>
      <c r="J427" s="3">
        <f>Comparison!AM26</f>
        <v>3410.9442700239138</v>
      </c>
      <c r="K427" s="3">
        <f>Comparison!AN26</f>
        <v>2566.4428591616524</v>
      </c>
      <c r="L427" s="3">
        <f>Comparison!AO26</f>
        <v>1953.6029786216222</v>
      </c>
      <c r="M427" s="3">
        <f>Comparison!AP26</f>
        <v>1454.0043020913115</v>
      </c>
      <c r="N427" s="3">
        <f>Comparison!AQ26</f>
        <v>978.74851186182502</v>
      </c>
      <c r="O427" s="3">
        <f>Comparison!AR26</f>
        <v>590.63358810768784</v>
      </c>
      <c r="P427" s="3">
        <f>Comparison!AS26</f>
        <v>519.88174858869183</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39.079472567817326</v>
      </c>
      <c r="C428" s="3">
        <f t="shared" si="434"/>
        <v>1014.4074916780398</v>
      </c>
      <c r="D428" s="3">
        <f t="shared" si="434"/>
        <v>12366.906526016324</v>
      </c>
      <c r="E428" s="3">
        <f t="shared" si="434"/>
        <v>224845.84018329429</v>
      </c>
      <c r="F428" s="3">
        <f t="shared" si="434"/>
        <v>4086857.3397082207</v>
      </c>
      <c r="G428" s="3">
        <f t="shared" si="434"/>
        <v>1000000000</v>
      </c>
      <c r="H428" s="3">
        <f t="shared" si="434"/>
        <v>198695154289.89117</v>
      </c>
      <c r="I428" s="109">
        <f>Comparison!AL27</f>
        <v>1000000000</v>
      </c>
      <c r="J428" s="3">
        <f>Comparison!AM27</f>
        <v>2824.662512551186</v>
      </c>
      <c r="K428" s="3">
        <f>Comparison!AN27</f>
        <v>1999.3722885012867</v>
      </c>
      <c r="L428" s="3">
        <f>Comparison!AO27</f>
        <v>1432.382407665888</v>
      </c>
      <c r="M428" s="3">
        <f>Comparison!AP27</f>
        <v>1049.180195775346</v>
      </c>
      <c r="N428" s="3">
        <f>Comparison!AQ27</f>
        <v>750.04973579798059</v>
      </c>
      <c r="O428" s="3">
        <f>Comparison!AR27</f>
        <v>552.35798150339338</v>
      </c>
      <c r="P428" s="3">
        <f>Comparison!AS27</f>
        <v>509.34643430573385</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390.79472567817322</v>
      </c>
      <c r="C429" s="3">
        <f t="shared" si="434"/>
        <v>10144.074916780399</v>
      </c>
      <c r="D429" s="3">
        <f t="shared" si="434"/>
        <v>123669.06526016325</v>
      </c>
      <c r="E429" s="3">
        <f t="shared" si="434"/>
        <v>2248458.4018329429</v>
      </c>
      <c r="F429" s="3">
        <f t="shared" si="434"/>
        <v>40868573.39708221</v>
      </c>
      <c r="G429" s="3">
        <f t="shared" si="434"/>
        <v>10000000000</v>
      </c>
      <c r="H429" s="3">
        <f t="shared" si="434"/>
        <v>1986951542898.9116</v>
      </c>
      <c r="I429" s="109">
        <f>Comparison!AL28</f>
        <v>10000000000</v>
      </c>
      <c r="J429" s="3">
        <f>Comparison!AM28</f>
        <v>2250.6025345256894</v>
      </c>
      <c r="K429" s="3">
        <f>Comparison!AN28</f>
        <v>1469.5776968625496</v>
      </c>
      <c r="L429" s="3">
        <f>Comparison!AO28</f>
        <v>1033.3489091490621</v>
      </c>
      <c r="M429" s="3">
        <f>Comparison!AP28</f>
        <v>784.12675101552475</v>
      </c>
      <c r="N429" s="3">
        <f>Comparison!AQ28</f>
        <v>627.42168862186645</v>
      </c>
      <c r="O429" s="3">
        <f>Comparison!AR28</f>
        <v>523.49731143746499</v>
      </c>
      <c r="P429" s="3">
        <f>Comparison!AS28</f>
        <v>480.55733666885891</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3907.9472567817324</v>
      </c>
      <c r="C430" s="3">
        <f t="shared" si="434"/>
        <v>101440.74916780398</v>
      </c>
      <c r="D430" s="3">
        <f t="shared" si="434"/>
        <v>1236690.6526016325</v>
      </c>
      <c r="E430" s="3">
        <f t="shared" si="434"/>
        <v>22484584.01832943</v>
      </c>
      <c r="F430" s="3">
        <f t="shared" si="434"/>
        <v>408685733.97082204</v>
      </c>
      <c r="G430" s="3">
        <f t="shared" si="434"/>
        <v>100000000000</v>
      </c>
      <c r="H430" s="3">
        <f t="shared" si="434"/>
        <v>19869515428989.117</v>
      </c>
      <c r="I430" s="109">
        <f>Comparison!AL29</f>
        <v>100000000000</v>
      </c>
      <c r="J430" s="3">
        <f>Comparison!AM29</f>
        <v>1676.0321427337321</v>
      </c>
      <c r="K430" s="3">
        <f>Comparison!AN29</f>
        <v>1062.2051299591283</v>
      </c>
      <c r="L430" s="3">
        <f>Comparison!AO29</f>
        <v>776.17019476824578</v>
      </c>
      <c r="M430" s="3">
        <f>Comparison!AP29</f>
        <v>648.62186552417882</v>
      </c>
      <c r="N430" s="3">
        <f>Comparison!AQ29</f>
        <v>570.28890979557161</v>
      </c>
      <c r="O430" s="3">
        <f>Comparison!AR29</f>
        <v>511.68260567729681</v>
      </c>
      <c r="P430" s="3">
        <f>Comparison!AS29</f>
        <v>471.54124630560909</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39079.47256781732</v>
      </c>
      <c r="C431" s="3">
        <f t="shared" si="434"/>
        <v>1014407.4916780398</v>
      </c>
      <c r="D431" s="3">
        <f t="shared" si="434"/>
        <v>12366906.526016325</v>
      </c>
      <c r="E431" s="3">
        <f t="shared" si="434"/>
        <v>224845840.1832943</v>
      </c>
      <c r="F431" s="3">
        <f t="shared" si="434"/>
        <v>4086857339.7082205</v>
      </c>
      <c r="G431" s="3">
        <f t="shared" si="434"/>
        <v>1000000000000</v>
      </c>
      <c r="H431" s="3">
        <f t="shared" si="434"/>
        <v>198695154289891.16</v>
      </c>
      <c r="I431" s="109">
        <f>Comparison!AL30</f>
        <v>1000000000000</v>
      </c>
      <c r="J431" s="3">
        <f>Comparison!AM30</f>
        <v>1219.4001972501756</v>
      </c>
      <c r="K431" s="3">
        <f>Comparison!AN30</f>
        <v>790.39019215198527</v>
      </c>
      <c r="L431" s="3">
        <f>Comparison!AO30</f>
        <v>643.6842763640858</v>
      </c>
      <c r="M431" s="3">
        <f>Comparison!AP30</f>
        <v>577.86544910218402</v>
      </c>
      <c r="N431" s="3">
        <f>Comparison!AQ30</f>
        <v>534.99091249150581</v>
      </c>
      <c r="O431" s="3">
        <f>Comparison!AR30</f>
        <v>494.48298272135173</v>
      </c>
      <c r="P431" s="3">
        <f>Comparison!AS30</f>
        <v>469.40352706055</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390794.72567817324</v>
      </c>
      <c r="C432" s="3">
        <f t="shared" si="434"/>
        <v>10144074.916780399</v>
      </c>
      <c r="D432" s="3">
        <f t="shared" si="434"/>
        <v>123669065.26016325</v>
      </c>
      <c r="E432" s="3">
        <f t="shared" si="434"/>
        <v>2248458401.832943</v>
      </c>
      <c r="F432" s="3">
        <f t="shared" si="434"/>
        <v>40868573397.082207</v>
      </c>
      <c r="G432" s="3">
        <f t="shared" si="434"/>
        <v>10000000000000</v>
      </c>
      <c r="H432" s="3">
        <f t="shared" si="434"/>
        <v>1986951542898911.7</v>
      </c>
      <c r="I432" s="109">
        <f>Comparison!AL31</f>
        <v>10000000000000</v>
      </c>
      <c r="J432" s="3">
        <f>Comparison!AM31</f>
        <v>880.27460100786607</v>
      </c>
      <c r="K432" s="3">
        <f>Comparison!AN31</f>
        <v>652.53051651246926</v>
      </c>
      <c r="L432" s="3">
        <f>Comparison!AO31</f>
        <v>575.83936179835393</v>
      </c>
      <c r="M432" s="3">
        <f>Comparison!AP31</f>
        <v>542.13014146932505</v>
      </c>
      <c r="N432" s="3">
        <f>Comparison!AQ31</f>
        <v>516.06818092277001</v>
      </c>
      <c r="O432" s="3">
        <f>Comparison!AR31</f>
        <v>471.68716650538101</v>
      </c>
      <c r="P432" s="3">
        <f>Comparison!AS31</f>
        <v>469.06241231883331</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3907947.2567817322</v>
      </c>
      <c r="C433" s="3">
        <f t="shared" si="434"/>
        <v>101440749.16780399</v>
      </c>
      <c r="D433" s="3">
        <f t="shared" si="434"/>
        <v>1236690652.6016326</v>
      </c>
      <c r="E433" s="3">
        <f t="shared" si="434"/>
        <v>22484584018.32943</v>
      </c>
      <c r="F433" s="3">
        <f t="shared" si="434"/>
        <v>408685733970.82208</v>
      </c>
      <c r="G433" s="3">
        <f t="shared" si="434"/>
        <v>100000000000000</v>
      </c>
      <c r="H433" s="3">
        <f t="shared" si="434"/>
        <v>1.9869515428989116E+16</v>
      </c>
      <c r="I433" s="109">
        <f>Comparison!AL32</f>
        <v>100000000000000</v>
      </c>
      <c r="J433" s="3">
        <f>Comparison!AM32</f>
        <v>701.49257135601476</v>
      </c>
      <c r="K433" s="3">
        <f>Comparison!AN32</f>
        <v>578.9290265565794</v>
      </c>
      <c r="L433" s="3">
        <f>Comparison!AO32</f>
        <v>540.3807046910232</v>
      </c>
      <c r="M433" s="3">
        <f>Comparison!AP32</f>
        <v>519.06435890850435</v>
      </c>
      <c r="N433" s="3">
        <f>Comparison!AQ32</f>
        <v>504.17354863560553</v>
      </c>
      <c r="O433" s="3">
        <f>Comparison!AR32</f>
        <v>468.71385881352927</v>
      </c>
      <c r="P433" s="3">
        <f>Comparison!AS32</f>
        <v>467.11183046926152</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39079472.567817323</v>
      </c>
      <c r="C434" s="3">
        <f t="shared" si="434"/>
        <v>1014407491.6780398</v>
      </c>
      <c r="D434" s="3">
        <f t="shared" si="434"/>
        <v>12366906526.016325</v>
      </c>
      <c r="E434" s="3">
        <f t="shared" si="434"/>
        <v>224845840183.29431</v>
      </c>
      <c r="F434" s="3">
        <f t="shared" si="434"/>
        <v>4086857339708.2207</v>
      </c>
      <c r="G434" s="3">
        <f t="shared" si="434"/>
        <v>1000000000000000</v>
      </c>
      <c r="H434" s="3">
        <f t="shared" si="434"/>
        <v>1.9869515428989117E+17</v>
      </c>
      <c r="I434" s="109">
        <f>Comparison!AL33</f>
        <v>1000000000000000</v>
      </c>
      <c r="J434" s="3">
        <f>Comparison!AM33</f>
        <v>599.87140608085383</v>
      </c>
      <c r="K434" s="3">
        <f>Comparison!AN33</f>
        <v>543.3455967986946</v>
      </c>
      <c r="L434" s="3">
        <f>Comparison!AO33</f>
        <v>518.13069577372926</v>
      </c>
      <c r="M434" s="3">
        <f>Comparison!AP33</f>
        <v>506.56668178937065</v>
      </c>
      <c r="N434" s="3">
        <f>Comparison!AQ33</f>
        <v>480.31847035858652</v>
      </c>
      <c r="O434" s="3">
        <f>Comparison!AR33</f>
        <v>468.47657281171303</v>
      </c>
      <c r="P434" s="3">
        <f>Comparison!AS33</f>
        <v>466.16000667860783</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15"/>
      <c r="B532" s="115"/>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15"/>
      <c r="B581" s="115"/>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15"/>
      <c r="B596" s="115"/>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15"/>
      <c r="B650" s="115"/>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-17.057668506080475</v>
      </c>
      <c r="M1" s="54">
        <v>1</v>
      </c>
      <c r="N1" s="56">
        <f>INDEX($H$217:$P$217,1,Q1)</f>
        <v>0.14537720898521089</v>
      </c>
      <c r="O1" s="11"/>
      <c r="P1" s="55">
        <v>1</v>
      </c>
      <c r="Q1" s="11">
        <v>2</v>
      </c>
    </row>
    <row r="2" spans="1:17" x14ac:dyDescent="0.25">
      <c r="A2" s="11">
        <f>'Mastercurve bestimmen'!M119</f>
        <v>0</v>
      </c>
      <c r="B2" s="11">
        <f>'Mastercurve bestimmen'!N119</f>
        <v>-13.801205867961423</v>
      </c>
      <c r="M2" s="54">
        <v>2</v>
      </c>
      <c r="N2" s="56">
        <f t="shared" ref="N2:N9" si="0">INDEX($H$217:$P$217,1,Q2)</f>
        <v>2.8972809776324254E-4</v>
      </c>
      <c r="O2" s="11"/>
      <c r="P2" s="55">
        <v>2</v>
      </c>
      <c r="Q2" s="11">
        <f>Q1+1</f>
        <v>3</v>
      </c>
    </row>
    <row r="3" spans="1:17" x14ac:dyDescent="0.25">
      <c r="A3" s="11">
        <f>'Mastercurve bestimmen'!M120</f>
        <v>25</v>
      </c>
      <c r="B3" s="11">
        <f>'Mastercurve bestimmen'!N120</f>
        <v>-11.300486481572344</v>
      </c>
      <c r="M3" s="54">
        <v>3</v>
      </c>
      <c r="N3" s="56">
        <f t="shared" si="0"/>
        <v>-1.0539903779468316E-5</v>
      </c>
      <c r="O3" s="11"/>
      <c r="P3" s="55">
        <v>3</v>
      </c>
      <c r="Q3" s="11">
        <f t="shared" ref="Q3:Q8" si="1">Q2+1</f>
        <v>4</v>
      </c>
    </row>
    <row r="4" spans="1:17" x14ac:dyDescent="0.25">
      <c r="A4" s="11">
        <f>'Mastercurve bestimmen'!M121</f>
        <v>50</v>
      </c>
      <c r="B4" s="11">
        <f>'Mastercurve bestimmen'!N121</f>
        <v>-8.4000955453265451</v>
      </c>
      <c r="M4" s="54">
        <v>4</v>
      </c>
      <c r="N4" s="56">
        <f t="shared" si="0"/>
        <v>-5.1246270575748086E-9</v>
      </c>
      <c r="O4" s="11"/>
      <c r="P4" s="55">
        <v>4</v>
      </c>
      <c r="Q4" s="11">
        <f t="shared" si="1"/>
        <v>5</v>
      </c>
    </row>
    <row r="5" spans="1:17" x14ac:dyDescent="0.25">
      <c r="A5" s="11">
        <f>'Mastercurve bestimmen'!M122</f>
        <v>80</v>
      </c>
      <c r="B5" s="11">
        <f>'Mastercurve bestimmen'!N122</f>
        <v>-5.4999789808794874</v>
      </c>
      <c r="M5" s="54">
        <v>5</v>
      </c>
      <c r="N5" s="56">
        <f t="shared" si="0"/>
        <v>4.5027362492690008E-9</v>
      </c>
      <c r="O5" s="11"/>
      <c r="P5" s="55">
        <v>5</v>
      </c>
      <c r="Q5" s="11">
        <f t="shared" si="1"/>
        <v>6</v>
      </c>
    </row>
    <row r="6" spans="1:17" x14ac:dyDescent="0.25">
      <c r="A6" s="11">
        <f>'Mastercurve bestimmen'!M123</f>
        <v>125</v>
      </c>
      <c r="B6" s="11">
        <f>'Mastercurve bestimmen'!N123</f>
        <v>0</v>
      </c>
      <c r="M6" s="54">
        <v>6</v>
      </c>
      <c r="N6" s="56">
        <f t="shared" si="0"/>
        <v>6.0145815951929299E-11</v>
      </c>
      <c r="O6" s="11"/>
      <c r="P6" s="55">
        <v>6</v>
      </c>
      <c r="Q6" s="11">
        <f t="shared" si="1"/>
        <v>7</v>
      </c>
    </row>
    <row r="7" spans="1:17" x14ac:dyDescent="0.25">
      <c r="A7" s="11">
        <f>'Mastercurve bestimmen'!M124</f>
        <v>160</v>
      </c>
      <c r="B7" s="11">
        <f>'Mastercurve bestimmen'!N124</f>
        <v>5.2917717621939255</v>
      </c>
      <c r="M7" s="54">
        <v>7</v>
      </c>
      <c r="N7" s="56">
        <f t="shared" si="0"/>
        <v>3.0162590612464004E-13</v>
      </c>
      <c r="O7" s="11"/>
      <c r="P7" s="55">
        <v>7</v>
      </c>
      <c r="Q7" s="11">
        <f t="shared" si="1"/>
        <v>8</v>
      </c>
    </row>
    <row r="8" spans="1:17" x14ac:dyDescent="0.25">
      <c r="A8" s="11"/>
      <c r="B8" s="11"/>
      <c r="M8" s="54">
        <v>8</v>
      </c>
      <c r="N8" s="56">
        <f t="shared" si="0"/>
        <v>5.4021009425421242E-16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-17.057668506080475</v>
      </c>
      <c r="E15" s="11">
        <f>A15-'Mastercurve bestimmen'!$B$2</f>
        <v>-165</v>
      </c>
      <c r="F15" s="11">
        <f>B15</f>
        <v>-17.057668506080475</v>
      </c>
      <c r="G15" s="11"/>
      <c r="H15" s="11">
        <f>IF($H$12&gt;=H$14,$E15^H$14,0)</f>
        <v>5.4937836650039066E+17</v>
      </c>
      <c r="I15" s="11">
        <f t="shared" ref="I15:O30" si="3">IF($H$12&gt;=I$14,$E15^I$14,0)</f>
        <v>-3329565857578125</v>
      </c>
      <c r="J15" s="11">
        <f t="shared" si="3"/>
        <v>20179187015625</v>
      </c>
      <c r="K15" s="11">
        <f t="shared" si="3"/>
        <v>-122298103125</v>
      </c>
      <c r="L15" s="11">
        <f t="shared" si="3"/>
        <v>741200625</v>
      </c>
      <c r="M15" s="11">
        <f t="shared" si="3"/>
        <v>-4492125</v>
      </c>
      <c r="N15" s="11">
        <f t="shared" si="3"/>
        <v>27225</v>
      </c>
      <c r="O15" s="11">
        <f t="shared" si="3"/>
        <v>-165</v>
      </c>
      <c r="P15" s="11">
        <v>0</v>
      </c>
    </row>
    <row r="16" spans="1:17" x14ac:dyDescent="0.25">
      <c r="A16" s="11">
        <f>A15+1</f>
        <v>-39</v>
      </c>
      <c r="B16" s="11">
        <v>-16.993135976116339</v>
      </c>
      <c r="E16" s="11">
        <f>A16-'Mastercurve bestimmen'!$B$2</f>
        <v>-164</v>
      </c>
      <c r="F16" s="11">
        <f t="shared" ref="F16:F79" si="4">B16</f>
        <v>-16.993135976116339</v>
      </c>
      <c r="G16" s="11"/>
      <c r="H16" s="11">
        <f t="shared" ref="H16:O47" si="5">IF($H$12&gt;=H$14,$E16^H$14,0)</f>
        <v>5.2330005981567386E+17</v>
      </c>
      <c r="I16" s="11">
        <f t="shared" si="3"/>
        <v>-3190854023266304</v>
      </c>
      <c r="J16" s="11">
        <f t="shared" si="3"/>
        <v>19456426971136</v>
      </c>
      <c r="K16" s="11">
        <f t="shared" si="3"/>
        <v>-118636749824</v>
      </c>
      <c r="L16" s="11">
        <f t="shared" si="3"/>
        <v>723394816</v>
      </c>
      <c r="M16" s="11">
        <f t="shared" si="3"/>
        <v>-4410944</v>
      </c>
      <c r="N16" s="11">
        <f t="shared" si="3"/>
        <v>26896</v>
      </c>
      <c r="O16" s="11">
        <f t="shared" si="3"/>
        <v>-164</v>
      </c>
      <c r="P16" s="11">
        <f>P15</f>
        <v>0</v>
      </c>
    </row>
    <row r="17" spans="1:16" x14ac:dyDescent="0.25">
      <c r="A17" s="11">
        <f t="shared" ref="A17:A80" si="6">A16+1</f>
        <v>-38</v>
      </c>
      <c r="B17" s="11">
        <v>-16.928540110182261</v>
      </c>
      <c r="E17" s="11">
        <f>A17-'Mastercurve bestimmen'!$B$2</f>
        <v>-163</v>
      </c>
      <c r="F17" s="11">
        <f t="shared" si="4"/>
        <v>-16.928540110182261</v>
      </c>
      <c r="G17" s="11"/>
      <c r="H17" s="11">
        <f t="shared" si="5"/>
        <v>4.9831141431812115E+17</v>
      </c>
      <c r="I17" s="11">
        <f t="shared" si="3"/>
        <v>-3057125241215467</v>
      </c>
      <c r="J17" s="11">
        <f t="shared" si="3"/>
        <v>18755369578009</v>
      </c>
      <c r="K17" s="11">
        <f t="shared" si="3"/>
        <v>-115063617043</v>
      </c>
      <c r="L17" s="11">
        <f t="shared" si="3"/>
        <v>705911761</v>
      </c>
      <c r="M17" s="11">
        <f t="shared" si="3"/>
        <v>-4330747</v>
      </c>
      <c r="N17" s="11">
        <f t="shared" si="3"/>
        <v>26569</v>
      </c>
      <c r="O17" s="11">
        <f t="shared" si="3"/>
        <v>-163</v>
      </c>
      <c r="P17" s="11">
        <f t="shared" ref="P17:P80" si="7">P16</f>
        <v>0</v>
      </c>
    </row>
    <row r="18" spans="1:16" x14ac:dyDescent="0.25">
      <c r="A18" s="11">
        <f t="shared" si="6"/>
        <v>-37</v>
      </c>
      <c r="B18" s="11">
        <v>-16.86381757230831</v>
      </c>
      <c r="E18" s="11">
        <f>A18-'Mastercurve bestimmen'!$B$2</f>
        <v>-162</v>
      </c>
      <c r="F18" s="11">
        <f t="shared" si="4"/>
        <v>-16.86381757230831</v>
      </c>
      <c r="G18" s="11"/>
      <c r="H18" s="11">
        <f t="shared" si="5"/>
        <v>4.743731683460713E+17</v>
      </c>
      <c r="I18" s="11">
        <f t="shared" si="3"/>
        <v>-2928229434235008</v>
      </c>
      <c r="J18" s="11">
        <f t="shared" si="3"/>
        <v>18075490334784</v>
      </c>
      <c r="K18" s="11">
        <f t="shared" si="3"/>
        <v>-111577100832</v>
      </c>
      <c r="L18" s="11">
        <f t="shared" si="3"/>
        <v>688747536</v>
      </c>
      <c r="M18" s="11">
        <f t="shared" si="3"/>
        <v>-4251528</v>
      </c>
      <c r="N18" s="11">
        <f t="shared" si="3"/>
        <v>26244</v>
      </c>
      <c r="O18" s="11">
        <f t="shared" si="3"/>
        <v>-162</v>
      </c>
      <c r="P18" s="11">
        <f t="shared" si="7"/>
        <v>0</v>
      </c>
    </row>
    <row r="19" spans="1:16" x14ac:dyDescent="0.25">
      <c r="A19" s="11">
        <f t="shared" si="6"/>
        <v>-36</v>
      </c>
      <c r="B19" s="11">
        <v>-16.798905026524537</v>
      </c>
      <c r="E19" s="11">
        <f>A19-'Mastercurve bestimmen'!$B$2</f>
        <v>-161</v>
      </c>
      <c r="F19" s="11">
        <f t="shared" si="4"/>
        <v>-16.798905026524537</v>
      </c>
      <c r="G19" s="11"/>
      <c r="H19" s="11">
        <f t="shared" si="5"/>
        <v>4.5144724625889408E+17</v>
      </c>
      <c r="I19" s="11">
        <f t="shared" si="3"/>
        <v>-2804020163098721</v>
      </c>
      <c r="J19" s="11">
        <f t="shared" si="3"/>
        <v>17416274304961</v>
      </c>
      <c r="K19" s="11">
        <f t="shared" si="3"/>
        <v>-108175616801</v>
      </c>
      <c r="L19" s="11">
        <f t="shared" si="3"/>
        <v>671898241</v>
      </c>
      <c r="M19" s="11">
        <f t="shared" si="3"/>
        <v>-4173281</v>
      </c>
      <c r="N19" s="11">
        <f t="shared" si="3"/>
        <v>25921</v>
      </c>
      <c r="O19" s="11">
        <f t="shared" si="3"/>
        <v>-161</v>
      </c>
      <c r="P19" s="11">
        <f t="shared" si="7"/>
        <v>0</v>
      </c>
    </row>
    <row r="20" spans="1:16" x14ac:dyDescent="0.25">
      <c r="A20" s="11">
        <f t="shared" si="6"/>
        <v>-35</v>
      </c>
      <c r="B20" s="11">
        <v>-16.733739136861008</v>
      </c>
      <c r="E20" s="11">
        <f>A20-'Mastercurve bestimmen'!$B$2</f>
        <v>-160</v>
      </c>
      <c r="F20" s="11">
        <f t="shared" si="4"/>
        <v>-16.733739136861008</v>
      </c>
      <c r="G20" s="11"/>
      <c r="H20" s="11">
        <f t="shared" si="5"/>
        <v>4.294967296E+17</v>
      </c>
      <c r="I20" s="11">
        <f t="shared" si="3"/>
        <v>-2684354560000000</v>
      </c>
      <c r="J20" s="11">
        <f t="shared" si="3"/>
        <v>16777216000000</v>
      </c>
      <c r="K20" s="11">
        <f t="shared" si="3"/>
        <v>-104857600000</v>
      </c>
      <c r="L20" s="11">
        <f t="shared" si="3"/>
        <v>655360000</v>
      </c>
      <c r="M20" s="11">
        <f t="shared" si="3"/>
        <v>-4096000</v>
      </c>
      <c r="N20" s="11">
        <f t="shared" si="3"/>
        <v>25600</v>
      </c>
      <c r="O20" s="11">
        <f t="shared" si="3"/>
        <v>-160</v>
      </c>
      <c r="P20" s="11">
        <f t="shared" si="7"/>
        <v>0</v>
      </c>
    </row>
    <row r="21" spans="1:16" x14ac:dyDescent="0.25">
      <c r="A21" s="11">
        <f t="shared" si="6"/>
        <v>-34</v>
      </c>
      <c r="B21" s="11">
        <v>-16.668256567347782</v>
      </c>
      <c r="E21" s="11">
        <f>A21-'Mastercurve bestimmen'!$B$2</f>
        <v>-159</v>
      </c>
      <c r="F21" s="11">
        <f t="shared" si="4"/>
        <v>-16.668256567347782</v>
      </c>
      <c r="G21" s="11"/>
      <c r="H21" s="11">
        <f t="shared" si="5"/>
        <v>4.0848582878893952E+17</v>
      </c>
      <c r="I21" s="11">
        <f t="shared" si="3"/>
        <v>-2569093262823519</v>
      </c>
      <c r="J21" s="11">
        <f t="shared" si="3"/>
        <v>16157819263041</v>
      </c>
      <c r="K21" s="11">
        <f t="shared" si="3"/>
        <v>-101621504799</v>
      </c>
      <c r="L21" s="11">
        <f t="shared" si="3"/>
        <v>639128961</v>
      </c>
      <c r="M21" s="11">
        <f t="shared" si="3"/>
        <v>-4019679</v>
      </c>
      <c r="N21" s="11">
        <f t="shared" si="3"/>
        <v>25281</v>
      </c>
      <c r="O21" s="11">
        <f t="shared" si="3"/>
        <v>-159</v>
      </c>
      <c r="P21" s="11">
        <f t="shared" si="7"/>
        <v>0</v>
      </c>
    </row>
    <row r="22" spans="1:16" x14ac:dyDescent="0.25">
      <c r="A22" s="11">
        <f t="shared" si="6"/>
        <v>-33</v>
      </c>
      <c r="B22">
        <v>-16.60239398201492</v>
      </c>
      <c r="E22" s="11">
        <f>A22-'Mastercurve bestimmen'!$B$2</f>
        <v>-158</v>
      </c>
      <c r="F22" s="11">
        <f t="shared" si="4"/>
        <v>-16.60239398201492</v>
      </c>
      <c r="G22" s="11"/>
      <c r="H22" s="11">
        <f t="shared" si="5"/>
        <v>3.8837985533607962E+17</v>
      </c>
      <c r="I22" s="11">
        <f t="shared" si="3"/>
        <v>-2458100350228352</v>
      </c>
      <c r="J22" s="11">
        <f t="shared" si="3"/>
        <v>15557597153344</v>
      </c>
      <c r="K22" s="11">
        <f t="shared" si="3"/>
        <v>-98465804768</v>
      </c>
      <c r="L22" s="11">
        <f t="shared" si="3"/>
        <v>623201296</v>
      </c>
      <c r="M22" s="11">
        <f t="shared" si="3"/>
        <v>-3944312</v>
      </c>
      <c r="N22" s="11">
        <f t="shared" si="3"/>
        <v>24964</v>
      </c>
      <c r="O22" s="11">
        <f t="shared" si="3"/>
        <v>-158</v>
      </c>
      <c r="P22" s="11">
        <f t="shared" si="7"/>
        <v>0</v>
      </c>
    </row>
    <row r="23" spans="1:16" x14ac:dyDescent="0.25">
      <c r="A23" s="11">
        <f t="shared" si="6"/>
        <v>-32</v>
      </c>
      <c r="B23">
        <v>-16.53608804489248</v>
      </c>
      <c r="E23" s="11">
        <f>A23-'Mastercurve bestimmen'!$B$2</f>
        <v>-157</v>
      </c>
      <c r="F23" s="11">
        <f t="shared" si="4"/>
        <v>-16.53608804489248</v>
      </c>
      <c r="G23" s="11"/>
      <c r="H23" s="11">
        <f t="shared" si="5"/>
        <v>3.6914519457338643E+17</v>
      </c>
      <c r="I23" s="11">
        <f t="shared" si="3"/>
        <v>-2351243277537493</v>
      </c>
      <c r="J23" s="11">
        <f t="shared" si="3"/>
        <v>14976071831449</v>
      </c>
      <c r="K23" s="11">
        <f t="shared" si="3"/>
        <v>-95388992557</v>
      </c>
      <c r="L23" s="11">
        <f t="shared" si="3"/>
        <v>607573201</v>
      </c>
      <c r="M23" s="11">
        <f t="shared" si="3"/>
        <v>-3869893</v>
      </c>
      <c r="N23" s="11">
        <f t="shared" si="3"/>
        <v>24649</v>
      </c>
      <c r="O23" s="11">
        <f t="shared" si="3"/>
        <v>-157</v>
      </c>
      <c r="P23" s="11">
        <f t="shared" si="7"/>
        <v>0</v>
      </c>
    </row>
    <row r="24" spans="1:16" x14ac:dyDescent="0.25">
      <c r="A24" s="11">
        <f t="shared" si="6"/>
        <v>-31</v>
      </c>
      <c r="B24">
        <v>-16.469275420010526</v>
      </c>
      <c r="E24" s="11">
        <f>A24-'Mastercurve bestimmen'!$B$2</f>
        <v>-156</v>
      </c>
      <c r="F24" s="11">
        <f t="shared" si="4"/>
        <v>-16.469275420010526</v>
      </c>
      <c r="G24" s="11"/>
      <c r="H24" s="11">
        <f t="shared" si="5"/>
        <v>3.5074927889488282E+17</v>
      </c>
      <c r="I24" s="11">
        <f t="shared" si="3"/>
        <v>-2248392813428736</v>
      </c>
      <c r="J24" s="11">
        <f t="shared" si="3"/>
        <v>14412774445056</v>
      </c>
      <c r="K24" s="11">
        <f t="shared" si="3"/>
        <v>-92389579776</v>
      </c>
      <c r="L24" s="11">
        <f t="shared" si="3"/>
        <v>592240896</v>
      </c>
      <c r="M24" s="11">
        <f t="shared" si="3"/>
        <v>-3796416</v>
      </c>
      <c r="N24" s="11">
        <f t="shared" si="3"/>
        <v>24336</v>
      </c>
      <c r="O24" s="11">
        <f t="shared" si="3"/>
        <v>-156</v>
      </c>
      <c r="P24" s="11">
        <f t="shared" si="7"/>
        <v>0</v>
      </c>
    </row>
    <row r="25" spans="1:16" x14ac:dyDescent="0.25">
      <c r="A25" s="11">
        <f t="shared" si="6"/>
        <v>-30</v>
      </c>
      <c r="B25">
        <v>-16.401892771399122</v>
      </c>
      <c r="E25" s="11">
        <f>A25-'Mastercurve bestimmen'!$B$2</f>
        <v>-155</v>
      </c>
      <c r="F25" s="11">
        <f t="shared" si="4"/>
        <v>-16.401892771399122</v>
      </c>
      <c r="G25" s="11"/>
      <c r="H25" s="11">
        <f t="shared" si="5"/>
        <v>3.3316056150039066E+17</v>
      </c>
      <c r="I25" s="11">
        <f t="shared" si="3"/>
        <v>-2149422977421875</v>
      </c>
      <c r="J25" s="11">
        <f t="shared" si="3"/>
        <v>13867245015625</v>
      </c>
      <c r="K25" s="11">
        <f t="shared" si="3"/>
        <v>-89466096875</v>
      </c>
      <c r="L25" s="11">
        <f t="shared" si="3"/>
        <v>577200625</v>
      </c>
      <c r="M25" s="11">
        <f t="shared" si="3"/>
        <v>-3723875</v>
      </c>
      <c r="N25" s="11">
        <f t="shared" si="3"/>
        <v>24025</v>
      </c>
      <c r="O25" s="11">
        <f t="shared" si="3"/>
        <v>-155</v>
      </c>
      <c r="P25" s="11">
        <f t="shared" si="7"/>
        <v>0</v>
      </c>
    </row>
    <row r="26" spans="1:16" x14ac:dyDescent="0.25">
      <c r="A26" s="11">
        <f t="shared" si="6"/>
        <v>-29</v>
      </c>
      <c r="B26">
        <v>-16.33387676308832</v>
      </c>
      <c r="E26" s="11">
        <f>A26-'Mastercurve bestimmen'!$B$2</f>
        <v>-154</v>
      </c>
      <c r="F26" s="11">
        <f t="shared" si="4"/>
        <v>-16.33387676308832</v>
      </c>
      <c r="G26" s="11"/>
      <c r="H26" s="11">
        <f t="shared" si="5"/>
        <v>3.1634849063620634E+17</v>
      </c>
      <c r="I26" s="11">
        <f t="shared" si="3"/>
        <v>-2054210978157184</v>
      </c>
      <c r="J26" s="11">
        <f t="shared" si="3"/>
        <v>13339032325696</v>
      </c>
      <c r="K26" s="11">
        <f t="shared" si="3"/>
        <v>-86617093024</v>
      </c>
      <c r="L26" s="11">
        <f t="shared" si="3"/>
        <v>562448656</v>
      </c>
      <c r="M26" s="11">
        <f t="shared" si="3"/>
        <v>-3652264</v>
      </c>
      <c r="N26" s="11">
        <f t="shared" si="3"/>
        <v>23716</v>
      </c>
      <c r="O26" s="11">
        <f t="shared" si="3"/>
        <v>-154</v>
      </c>
      <c r="P26" s="11">
        <f t="shared" si="7"/>
        <v>0</v>
      </c>
    </row>
    <row r="27" spans="1:16" x14ac:dyDescent="0.25">
      <c r="A27" s="11">
        <f t="shared" si="6"/>
        <v>-28</v>
      </c>
      <c r="B27">
        <v>-16.265164059108187</v>
      </c>
      <c r="E27" s="11">
        <f>A27-'Mastercurve bestimmen'!$B$2</f>
        <v>-153</v>
      </c>
      <c r="F27" s="11">
        <f t="shared" si="4"/>
        <v>-16.265164059108187</v>
      </c>
      <c r="G27" s="11"/>
      <c r="H27" s="11">
        <f t="shared" si="5"/>
        <v>3.0028348432640096E+17</v>
      </c>
      <c r="I27" s="11">
        <f t="shared" si="3"/>
        <v>-1962637152460137</v>
      </c>
      <c r="J27" s="11">
        <f t="shared" si="3"/>
        <v>12827693806929</v>
      </c>
      <c r="K27" s="11">
        <f t="shared" si="3"/>
        <v>-83841135993</v>
      </c>
      <c r="L27" s="11">
        <f t="shared" si="3"/>
        <v>547981281</v>
      </c>
      <c r="M27" s="11">
        <f t="shared" si="3"/>
        <v>-3581577</v>
      </c>
      <c r="N27" s="11">
        <f t="shared" si="3"/>
        <v>23409</v>
      </c>
      <c r="O27" s="11">
        <f t="shared" si="3"/>
        <v>-153</v>
      </c>
      <c r="P27" s="11">
        <f t="shared" si="7"/>
        <v>0</v>
      </c>
    </row>
    <row r="28" spans="1:16" x14ac:dyDescent="0.25">
      <c r="A28" s="11">
        <f t="shared" si="6"/>
        <v>-27</v>
      </c>
      <c r="B28">
        <v>-16.195691323488781</v>
      </c>
      <c r="E28" s="11">
        <f>A28-'Mastercurve bestimmen'!$B$2</f>
        <v>-152</v>
      </c>
      <c r="F28" s="11">
        <f t="shared" si="4"/>
        <v>-16.195691323488781</v>
      </c>
      <c r="G28" s="11"/>
      <c r="H28" s="11">
        <f t="shared" si="5"/>
        <v>2.8493690558847386E+17</v>
      </c>
      <c r="I28" s="11">
        <f t="shared" si="3"/>
        <v>-1874584905187328</v>
      </c>
      <c r="J28" s="11">
        <f t="shared" si="3"/>
        <v>12332795428864</v>
      </c>
      <c r="K28" s="11">
        <f t="shared" si="3"/>
        <v>-81136812032</v>
      </c>
      <c r="L28" s="11">
        <f t="shared" si="3"/>
        <v>533794816</v>
      </c>
      <c r="M28" s="11">
        <f t="shared" si="3"/>
        <v>-3511808</v>
      </c>
      <c r="N28" s="11">
        <f t="shared" si="3"/>
        <v>23104</v>
      </c>
      <c r="O28" s="11">
        <f t="shared" si="3"/>
        <v>-152</v>
      </c>
      <c r="P28" s="11">
        <f t="shared" si="7"/>
        <v>0</v>
      </c>
    </row>
    <row r="29" spans="1:16" x14ac:dyDescent="0.25">
      <c r="A29" s="11">
        <f t="shared" si="6"/>
        <v>-26</v>
      </c>
      <c r="B29">
        <v>-16.12539522026016</v>
      </c>
      <c r="E29" s="11">
        <f>A29-'Mastercurve bestimmen'!$B$2</f>
        <v>-151</v>
      </c>
      <c r="F29" s="11">
        <f t="shared" si="4"/>
        <v>-16.12539522026016</v>
      </c>
      <c r="G29" s="11"/>
      <c r="H29" s="11">
        <f t="shared" si="5"/>
        <v>2.702810381271312E+17</v>
      </c>
      <c r="I29" s="11">
        <f t="shared" si="3"/>
        <v>-1789940649848551</v>
      </c>
      <c r="J29" s="11">
        <f t="shared" si="3"/>
        <v>11853911588401</v>
      </c>
      <c r="K29" s="11">
        <f t="shared" si="3"/>
        <v>-78502725751</v>
      </c>
      <c r="L29" s="11">
        <f t="shared" si="3"/>
        <v>519885601</v>
      </c>
      <c r="M29" s="11">
        <f t="shared" si="3"/>
        <v>-3442951</v>
      </c>
      <c r="N29" s="11">
        <f t="shared" si="3"/>
        <v>22801</v>
      </c>
      <c r="O29" s="11">
        <f t="shared" si="3"/>
        <v>-151</v>
      </c>
      <c r="P29" s="11">
        <f t="shared" si="7"/>
        <v>0</v>
      </c>
    </row>
    <row r="30" spans="1:16" x14ac:dyDescent="0.25">
      <c r="A30" s="11">
        <f t="shared" si="6"/>
        <v>-25</v>
      </c>
      <c r="B30">
        <v>-16.05421241345239</v>
      </c>
      <c r="E30" s="11">
        <f>A30-'Mastercurve bestimmen'!$B$2</f>
        <v>-150</v>
      </c>
      <c r="F30" s="11">
        <f t="shared" si="4"/>
        <v>-16.05421241345239</v>
      </c>
      <c r="G30" s="11"/>
      <c r="H30" s="11">
        <f t="shared" si="5"/>
        <v>2.562890625E+17</v>
      </c>
      <c r="I30" s="11">
        <f t="shared" si="3"/>
        <v>-1708593750000000</v>
      </c>
      <c r="J30" s="11">
        <f t="shared" si="3"/>
        <v>11390625000000</v>
      </c>
      <c r="K30" s="11">
        <f t="shared" si="3"/>
        <v>-75937500000</v>
      </c>
      <c r="L30" s="11">
        <f t="shared" si="3"/>
        <v>506250000</v>
      </c>
      <c r="M30" s="11">
        <f t="shared" si="3"/>
        <v>-3375000</v>
      </c>
      <c r="N30" s="11">
        <f t="shared" si="3"/>
        <v>22500</v>
      </c>
      <c r="O30" s="11">
        <f t="shared" si="3"/>
        <v>-150</v>
      </c>
      <c r="P30" s="11">
        <f t="shared" si="7"/>
        <v>0</v>
      </c>
    </row>
    <row r="31" spans="1:16" x14ac:dyDescent="0.25">
      <c r="A31" s="11">
        <f t="shared" si="6"/>
        <v>-24</v>
      </c>
      <c r="B31">
        <v>-15.982079567095532</v>
      </c>
      <c r="E31" s="11">
        <f>A31-'Mastercurve bestimmen'!$B$2</f>
        <v>-149</v>
      </c>
      <c r="F31" s="11">
        <f t="shared" si="4"/>
        <v>-15.982079567095532</v>
      </c>
      <c r="G31" s="11"/>
      <c r="H31" s="11">
        <f t="shared" si="5"/>
        <v>2.429350327491288E+17</v>
      </c>
      <c r="I31" s="11">
        <f t="shared" si="5"/>
        <v>-1630436461403549</v>
      </c>
      <c r="J31" s="11">
        <f t="shared" si="5"/>
        <v>10942526586601</v>
      </c>
      <c r="K31" s="11">
        <f t="shared" si="5"/>
        <v>-73439775749</v>
      </c>
      <c r="L31" s="11">
        <f t="shared" si="5"/>
        <v>492884401</v>
      </c>
      <c r="M31" s="11">
        <f t="shared" si="5"/>
        <v>-3307949</v>
      </c>
      <c r="N31" s="11">
        <f t="shared" si="5"/>
        <v>22201</v>
      </c>
      <c r="O31" s="11">
        <f t="shared" si="5"/>
        <v>-149</v>
      </c>
      <c r="P31" s="11">
        <f t="shared" si="7"/>
        <v>0</v>
      </c>
    </row>
    <row r="32" spans="1:16" x14ac:dyDescent="0.25">
      <c r="A32" s="11">
        <f t="shared" si="6"/>
        <v>-23</v>
      </c>
      <c r="B32">
        <v>-15.908933345219644</v>
      </c>
      <c r="E32" s="11">
        <f>A32-'Mastercurve bestimmen'!$B$2</f>
        <v>-148</v>
      </c>
      <c r="F32" s="11">
        <f t="shared" si="4"/>
        <v>-15.908933345219644</v>
      </c>
      <c r="G32" s="11"/>
      <c r="H32" s="11">
        <f t="shared" si="5"/>
        <v>2.3019385349216666E+17</v>
      </c>
      <c r="I32" s="11">
        <f t="shared" si="5"/>
        <v>-1555363874947072</v>
      </c>
      <c r="J32" s="11">
        <f t="shared" si="5"/>
        <v>10509215371264</v>
      </c>
      <c r="K32" s="11">
        <f t="shared" si="5"/>
        <v>-71008211968</v>
      </c>
      <c r="L32" s="11">
        <f t="shared" si="5"/>
        <v>479785216</v>
      </c>
      <c r="M32" s="11">
        <f t="shared" si="5"/>
        <v>-3241792</v>
      </c>
      <c r="N32" s="11">
        <f t="shared" si="5"/>
        <v>21904</v>
      </c>
      <c r="O32" s="11">
        <f t="shared" si="5"/>
        <v>-148</v>
      </c>
      <c r="P32" s="11">
        <f t="shared" si="7"/>
        <v>0</v>
      </c>
    </row>
    <row r="33" spans="1:16" x14ac:dyDescent="0.25">
      <c r="A33" s="11">
        <f t="shared" si="6"/>
        <v>-22</v>
      </c>
      <c r="B33">
        <v>-15.834710411854786</v>
      </c>
      <c r="E33" s="11">
        <f>A33-'Mastercurve bestimmen'!$B$2</f>
        <v>-147</v>
      </c>
      <c r="F33" s="11">
        <f t="shared" si="4"/>
        <v>-15.834710411854786</v>
      </c>
      <c r="G33" s="11"/>
      <c r="H33" s="11">
        <f t="shared" si="5"/>
        <v>2.1804125746715216E+17</v>
      </c>
      <c r="I33" s="11">
        <f t="shared" si="5"/>
        <v>-1483273860320763</v>
      </c>
      <c r="J33" s="11">
        <f t="shared" si="5"/>
        <v>10090298369529</v>
      </c>
      <c r="K33" s="11">
        <f t="shared" si="5"/>
        <v>-68641485507</v>
      </c>
      <c r="L33" s="11">
        <f t="shared" si="5"/>
        <v>466948881</v>
      </c>
      <c r="M33" s="11">
        <f t="shared" si="5"/>
        <v>-3176523</v>
      </c>
      <c r="N33" s="11">
        <f t="shared" si="5"/>
        <v>21609</v>
      </c>
      <c r="O33" s="11">
        <f t="shared" si="5"/>
        <v>-147</v>
      </c>
      <c r="P33" s="11">
        <f t="shared" si="7"/>
        <v>0</v>
      </c>
    </row>
    <row r="34" spans="1:16" x14ac:dyDescent="0.25">
      <c r="A34" s="11">
        <f t="shared" si="6"/>
        <v>-21</v>
      </c>
      <c r="B34">
        <v>-15.759347431031017</v>
      </c>
      <c r="E34" s="11">
        <f>A34-'Mastercurve bestimmen'!$B$2</f>
        <v>-146</v>
      </c>
      <c r="F34" s="11">
        <f t="shared" si="4"/>
        <v>-15.759347431031017</v>
      </c>
      <c r="G34" s="11"/>
      <c r="H34" s="11">
        <f t="shared" si="5"/>
        <v>2.0645378352488474E+17</v>
      </c>
      <c r="I34" s="11">
        <f t="shared" si="5"/>
        <v>-1414067010444416</v>
      </c>
      <c r="J34" s="11">
        <f t="shared" si="5"/>
        <v>9685390482496</v>
      </c>
      <c r="K34" s="11">
        <f t="shared" si="5"/>
        <v>-66338290976</v>
      </c>
      <c r="L34" s="11">
        <f t="shared" si="5"/>
        <v>454371856</v>
      </c>
      <c r="M34" s="11">
        <f t="shared" si="5"/>
        <v>-3112136</v>
      </c>
      <c r="N34" s="11">
        <f t="shared" si="5"/>
        <v>21316</v>
      </c>
      <c r="O34" s="11">
        <f t="shared" si="5"/>
        <v>-146</v>
      </c>
      <c r="P34" s="11">
        <f t="shared" si="7"/>
        <v>0</v>
      </c>
    </row>
    <row r="35" spans="1:16" x14ac:dyDescent="0.25">
      <c r="A35" s="11">
        <f t="shared" si="6"/>
        <v>-20</v>
      </c>
      <c r="B35">
        <v>-15.682781066778404</v>
      </c>
      <c r="E35" s="11">
        <f>A35-'Mastercurve bestimmen'!$B$2</f>
        <v>-145</v>
      </c>
      <c r="F35" s="11">
        <f t="shared" si="4"/>
        <v>-15.682781066778404</v>
      </c>
      <c r="G35" s="11"/>
      <c r="H35" s="11">
        <f t="shared" si="5"/>
        <v>1.9540875506289062E+17</v>
      </c>
      <c r="I35" s="11">
        <f t="shared" si="5"/>
        <v>-1347646586640625</v>
      </c>
      <c r="J35" s="11">
        <f t="shared" si="5"/>
        <v>9294114390625</v>
      </c>
      <c r="K35" s="11">
        <f t="shared" si="5"/>
        <v>-64097340625</v>
      </c>
      <c r="L35" s="11">
        <f t="shared" si="5"/>
        <v>442050625</v>
      </c>
      <c r="M35" s="11">
        <f t="shared" si="5"/>
        <v>-3048625</v>
      </c>
      <c r="N35" s="11">
        <f t="shared" si="5"/>
        <v>21025</v>
      </c>
      <c r="O35" s="11">
        <f t="shared" si="5"/>
        <v>-145</v>
      </c>
      <c r="P35" s="11">
        <f t="shared" si="7"/>
        <v>0</v>
      </c>
    </row>
    <row r="36" spans="1:16" x14ac:dyDescent="0.25">
      <c r="A36" s="11">
        <f t="shared" si="6"/>
        <v>-19</v>
      </c>
      <c r="B36">
        <v>-15.604947983127001</v>
      </c>
      <c r="E36" s="11">
        <f>A36-'Mastercurve bestimmen'!$B$2</f>
        <v>-144</v>
      </c>
      <c r="F36" s="11">
        <f t="shared" si="4"/>
        <v>-15.604947983127001</v>
      </c>
      <c r="G36" s="11"/>
      <c r="H36" s="11">
        <f t="shared" si="5"/>
        <v>1.8488425889503642E+17</v>
      </c>
      <c r="I36" s="11">
        <f t="shared" si="5"/>
        <v>-1283918464548864</v>
      </c>
      <c r="J36" s="11">
        <f t="shared" si="5"/>
        <v>8916100448256</v>
      </c>
      <c r="K36" s="11">
        <f t="shared" si="5"/>
        <v>-61917364224</v>
      </c>
      <c r="L36" s="11">
        <f t="shared" si="5"/>
        <v>429981696</v>
      </c>
      <c r="M36" s="11">
        <f t="shared" si="5"/>
        <v>-2985984</v>
      </c>
      <c r="N36" s="11">
        <f t="shared" si="5"/>
        <v>20736</v>
      </c>
      <c r="O36" s="11">
        <f t="shared" si="5"/>
        <v>-144</v>
      </c>
      <c r="P36" s="11">
        <f t="shared" si="7"/>
        <v>0</v>
      </c>
    </row>
    <row r="37" spans="1:16" x14ac:dyDescent="0.25">
      <c r="A37" s="11">
        <f t="shared" si="6"/>
        <v>-18</v>
      </c>
      <c r="B37">
        <v>-15.525784844106871</v>
      </c>
      <c r="E37" s="11">
        <f>A37-'Mastercurve bestimmen'!$B$2</f>
        <v>-143</v>
      </c>
      <c r="F37" s="11">
        <f t="shared" si="4"/>
        <v>-15.525784844106871</v>
      </c>
      <c r="G37" s="11"/>
      <c r="H37" s="11">
        <f t="shared" si="5"/>
        <v>1.748591245508832E+17</v>
      </c>
      <c r="I37" s="11">
        <f t="shared" si="5"/>
        <v>-1222791080775407</v>
      </c>
      <c r="J37" s="11">
        <f t="shared" si="5"/>
        <v>8550986578849</v>
      </c>
      <c r="K37" s="11">
        <f t="shared" si="5"/>
        <v>-59797108943</v>
      </c>
      <c r="L37" s="11">
        <f t="shared" si="5"/>
        <v>418161601</v>
      </c>
      <c r="M37" s="11">
        <f t="shared" si="5"/>
        <v>-2924207</v>
      </c>
      <c r="N37" s="11">
        <f t="shared" si="5"/>
        <v>20449</v>
      </c>
      <c r="O37" s="11">
        <f t="shared" si="5"/>
        <v>-143</v>
      </c>
      <c r="P37" s="11">
        <f t="shared" si="7"/>
        <v>0</v>
      </c>
    </row>
    <row r="38" spans="1:16" x14ac:dyDescent="0.25">
      <c r="A38" s="11">
        <f t="shared" si="6"/>
        <v>-17</v>
      </c>
      <c r="B38">
        <v>-15.445228313748077</v>
      </c>
      <c r="E38" s="11">
        <f>A38-'Mastercurve bestimmen'!$B$2</f>
        <v>-142</v>
      </c>
      <c r="F38" s="11">
        <f t="shared" si="4"/>
        <v>-15.445228313748077</v>
      </c>
      <c r="G38" s="11"/>
      <c r="H38" s="11">
        <f t="shared" si="5"/>
        <v>1.6531290399891482E+17</v>
      </c>
      <c r="I38" s="11">
        <f t="shared" si="5"/>
        <v>-1164175380274048</v>
      </c>
      <c r="J38" s="11">
        <f t="shared" si="5"/>
        <v>8198418170944</v>
      </c>
      <c r="K38" s="11">
        <f t="shared" si="5"/>
        <v>-57735339232</v>
      </c>
      <c r="L38" s="11">
        <f t="shared" si="5"/>
        <v>406586896</v>
      </c>
      <c r="M38" s="11">
        <f t="shared" si="5"/>
        <v>-2863288</v>
      </c>
      <c r="N38" s="11">
        <f t="shared" si="5"/>
        <v>20164</v>
      </c>
      <c r="O38" s="11">
        <f t="shared" si="5"/>
        <v>-142</v>
      </c>
      <c r="P38" s="11">
        <f t="shared" si="7"/>
        <v>0</v>
      </c>
    </row>
    <row r="39" spans="1:16" x14ac:dyDescent="0.25">
      <c r="A39" s="11">
        <f t="shared" si="6"/>
        <v>-16</v>
      </c>
      <c r="B39">
        <v>-15.363215056080676</v>
      </c>
      <c r="E39" s="11">
        <f>A39-'Mastercurve bestimmen'!$B$2</f>
        <v>-141</v>
      </c>
      <c r="F39" s="11">
        <f t="shared" si="4"/>
        <v>-15.363215056080676</v>
      </c>
      <c r="G39" s="11"/>
      <c r="H39" s="11">
        <f t="shared" si="5"/>
        <v>1.5622585178781392E+17</v>
      </c>
      <c r="I39" s="11">
        <f t="shared" si="5"/>
        <v>-1107984764452581</v>
      </c>
      <c r="J39" s="11">
        <f t="shared" si="5"/>
        <v>7858047974841</v>
      </c>
      <c r="K39" s="11">
        <f t="shared" si="5"/>
        <v>-55730836701</v>
      </c>
      <c r="L39" s="11">
        <f t="shared" si="5"/>
        <v>395254161</v>
      </c>
      <c r="M39" s="11">
        <f t="shared" si="5"/>
        <v>-2803221</v>
      </c>
      <c r="N39" s="11">
        <f t="shared" si="5"/>
        <v>19881</v>
      </c>
      <c r="O39" s="11">
        <f t="shared" si="5"/>
        <v>-141</v>
      </c>
      <c r="P39" s="11">
        <f t="shared" si="7"/>
        <v>0</v>
      </c>
    </row>
    <row r="40" spans="1:16" x14ac:dyDescent="0.25">
      <c r="A40" s="11">
        <f t="shared" si="6"/>
        <v>-15</v>
      </c>
      <c r="B40">
        <v>-15.279681735134734</v>
      </c>
      <c r="E40" s="11">
        <f>A40-'Mastercurve bestimmen'!$B$2</f>
        <v>-140</v>
      </c>
      <c r="F40" s="11">
        <f t="shared" si="4"/>
        <v>-15.279681735134734</v>
      </c>
      <c r="G40" s="11"/>
      <c r="H40" s="11">
        <f t="shared" si="5"/>
        <v>1.475789056E+17</v>
      </c>
      <c r="I40" s="11">
        <f t="shared" si="5"/>
        <v>-1054135040000000</v>
      </c>
      <c r="J40" s="11">
        <f t="shared" si="5"/>
        <v>7529536000000</v>
      </c>
      <c r="K40" s="11">
        <f t="shared" si="5"/>
        <v>-53782400000</v>
      </c>
      <c r="L40" s="11">
        <f t="shared" si="5"/>
        <v>384160000</v>
      </c>
      <c r="M40" s="11">
        <f t="shared" si="5"/>
        <v>-2744000</v>
      </c>
      <c r="N40" s="11">
        <f t="shared" si="5"/>
        <v>19600</v>
      </c>
      <c r="O40" s="11">
        <f t="shared" si="5"/>
        <v>-140</v>
      </c>
      <c r="P40" s="11">
        <f t="shared" si="7"/>
        <v>0</v>
      </c>
    </row>
    <row r="41" spans="1:16" x14ac:dyDescent="0.25">
      <c r="A41" s="11">
        <f t="shared" si="6"/>
        <v>-14</v>
      </c>
      <c r="B41">
        <v>-15.194565014940304</v>
      </c>
      <c r="E41" s="11">
        <f>A41-'Mastercurve bestimmen'!$B$2</f>
        <v>-139</v>
      </c>
      <c r="F41" s="11">
        <f t="shared" si="4"/>
        <v>-15.194565014940304</v>
      </c>
      <c r="G41" s="11"/>
      <c r="H41" s="11">
        <f t="shared" si="5"/>
        <v>1.3935366721168368E+17</v>
      </c>
      <c r="I41" s="11">
        <f t="shared" si="5"/>
        <v>-1002544368429379</v>
      </c>
      <c r="J41" s="11">
        <f t="shared" si="5"/>
        <v>7212549413161</v>
      </c>
      <c r="K41" s="11">
        <f t="shared" si="5"/>
        <v>-51888844699</v>
      </c>
      <c r="L41" s="11">
        <f t="shared" si="5"/>
        <v>373301041</v>
      </c>
      <c r="M41" s="11">
        <f t="shared" si="5"/>
        <v>-2685619</v>
      </c>
      <c r="N41" s="11">
        <f t="shared" si="5"/>
        <v>19321</v>
      </c>
      <c r="O41" s="11">
        <f t="shared" si="5"/>
        <v>-139</v>
      </c>
      <c r="P41" s="11">
        <f t="shared" si="7"/>
        <v>0</v>
      </c>
    </row>
    <row r="42" spans="1:16" x14ac:dyDescent="0.25">
      <c r="A42" s="11">
        <f t="shared" si="6"/>
        <v>-13</v>
      </c>
      <c r="B42">
        <v>-15.107801559527449</v>
      </c>
      <c r="E42" s="11">
        <f>A42-'Mastercurve bestimmen'!$B$2</f>
        <v>-138</v>
      </c>
      <c r="F42" s="11">
        <f t="shared" si="4"/>
        <v>-15.107801559527449</v>
      </c>
      <c r="G42" s="11"/>
      <c r="H42" s="11">
        <f t="shared" si="5"/>
        <v>1.315323838537321E+17</v>
      </c>
      <c r="I42" s="11">
        <f t="shared" si="5"/>
        <v>-953133216331392</v>
      </c>
      <c r="J42" s="11">
        <f t="shared" si="5"/>
        <v>6906762437184</v>
      </c>
      <c r="K42" s="11">
        <f t="shared" si="5"/>
        <v>-50049003168</v>
      </c>
      <c r="L42" s="11">
        <f t="shared" si="5"/>
        <v>362673936</v>
      </c>
      <c r="M42" s="11">
        <f t="shared" si="5"/>
        <v>-2628072</v>
      </c>
      <c r="N42" s="11">
        <f t="shared" si="5"/>
        <v>19044</v>
      </c>
      <c r="O42" s="11">
        <f t="shared" si="5"/>
        <v>-138</v>
      </c>
      <c r="P42" s="11">
        <f t="shared" si="7"/>
        <v>0</v>
      </c>
    </row>
    <row r="43" spans="1:16" x14ac:dyDescent="0.25">
      <c r="A43" s="11">
        <f t="shared" si="6"/>
        <v>-12</v>
      </c>
      <c r="B43">
        <v>-15.019328032926236</v>
      </c>
      <c r="E43" s="11">
        <f>A43-'Mastercurve bestimmen'!$B$2</f>
        <v>-137</v>
      </c>
      <c r="F43" s="11">
        <f t="shared" si="4"/>
        <v>-15.019328032926236</v>
      </c>
      <c r="G43" s="11"/>
      <c r="H43" s="11">
        <f t="shared" si="5"/>
        <v>1.2409792996768032E+17</v>
      </c>
      <c r="I43" s="11">
        <f t="shared" si="5"/>
        <v>-905824306333433</v>
      </c>
      <c r="J43" s="11">
        <f t="shared" si="5"/>
        <v>6611856250609</v>
      </c>
      <c r="K43" s="11">
        <f t="shared" si="5"/>
        <v>-48261724457</v>
      </c>
      <c r="L43" s="11">
        <f t="shared" si="5"/>
        <v>352275361</v>
      </c>
      <c r="M43" s="11">
        <f t="shared" si="5"/>
        <v>-2571353</v>
      </c>
      <c r="N43" s="11">
        <f t="shared" si="5"/>
        <v>18769</v>
      </c>
      <c r="O43" s="11">
        <f t="shared" si="5"/>
        <v>-137</v>
      </c>
      <c r="P43" s="11">
        <f t="shared" si="7"/>
        <v>0</v>
      </c>
    </row>
    <row r="44" spans="1:16" x14ac:dyDescent="0.25">
      <c r="A44" s="11">
        <f t="shared" si="6"/>
        <v>-11</v>
      </c>
      <c r="B44">
        <v>-14.929081099166718</v>
      </c>
      <c r="E44" s="11">
        <f>A44-'Mastercurve bestimmen'!$B$2</f>
        <v>-136</v>
      </c>
      <c r="F44" s="11">
        <f t="shared" si="4"/>
        <v>-14.929081099166718</v>
      </c>
      <c r="G44" s="11"/>
      <c r="H44" s="11">
        <f t="shared" si="5"/>
        <v>1.1703378935126426E+17</v>
      </c>
      <c r="I44" s="11">
        <f t="shared" si="5"/>
        <v>-860542568759296</v>
      </c>
      <c r="J44" s="11">
        <f t="shared" si="5"/>
        <v>6327518887936</v>
      </c>
      <c r="K44" s="11">
        <f t="shared" si="5"/>
        <v>-46525874176</v>
      </c>
      <c r="L44" s="11">
        <f t="shared" si="5"/>
        <v>342102016</v>
      </c>
      <c r="M44" s="11">
        <f t="shared" si="5"/>
        <v>-2515456</v>
      </c>
      <c r="N44" s="11">
        <f t="shared" si="5"/>
        <v>18496</v>
      </c>
      <c r="O44" s="11">
        <f t="shared" si="5"/>
        <v>-136</v>
      </c>
      <c r="P44" s="11">
        <f t="shared" si="7"/>
        <v>0</v>
      </c>
    </row>
    <row r="45" spans="1:16" x14ac:dyDescent="0.25">
      <c r="A45" s="11">
        <f t="shared" si="6"/>
        <v>-10</v>
      </c>
      <c r="B45">
        <v>-14.836997422278959</v>
      </c>
      <c r="E45" s="11">
        <f>A45-'Mastercurve bestimmen'!$B$2</f>
        <v>-135</v>
      </c>
      <c r="F45" s="11">
        <f t="shared" si="4"/>
        <v>-14.836997422278959</v>
      </c>
      <c r="G45" s="11"/>
      <c r="H45" s="11">
        <f t="shared" si="5"/>
        <v>1.1032403768789062E+17</v>
      </c>
      <c r="I45" s="11">
        <f t="shared" si="5"/>
        <v>-817215093984375</v>
      </c>
      <c r="J45" s="11">
        <f t="shared" si="5"/>
        <v>6053445140625</v>
      </c>
      <c r="K45" s="11">
        <f t="shared" si="5"/>
        <v>-44840334375</v>
      </c>
      <c r="L45" s="11">
        <f t="shared" si="5"/>
        <v>332150625</v>
      </c>
      <c r="M45" s="11">
        <f t="shared" si="5"/>
        <v>-2460375</v>
      </c>
      <c r="N45" s="11">
        <f t="shared" si="5"/>
        <v>18225</v>
      </c>
      <c r="O45" s="11">
        <f t="shared" si="5"/>
        <v>-135</v>
      </c>
      <c r="P45" s="11">
        <f t="shared" si="7"/>
        <v>0</v>
      </c>
    </row>
    <row r="46" spans="1:16" x14ac:dyDescent="0.25">
      <c r="A46" s="11">
        <f t="shared" si="6"/>
        <v>-9</v>
      </c>
      <c r="B46">
        <v>-14.743013666293018</v>
      </c>
      <c r="E46" s="11">
        <f>A46-'Mastercurve bestimmen'!$B$2</f>
        <v>-134</v>
      </c>
      <c r="F46" s="11">
        <f t="shared" si="4"/>
        <v>-14.743013666293018</v>
      </c>
      <c r="G46" s="11"/>
      <c r="H46" s="11">
        <f t="shared" si="5"/>
        <v>1.039533254545001E+17</v>
      </c>
      <c r="I46" s="11">
        <f t="shared" si="5"/>
        <v>-775771085481344</v>
      </c>
      <c r="J46" s="11">
        <f t="shared" si="5"/>
        <v>5789336458816</v>
      </c>
      <c r="K46" s="11">
        <f t="shared" si="5"/>
        <v>-43204003424</v>
      </c>
      <c r="L46" s="11">
        <f t="shared" si="5"/>
        <v>322417936</v>
      </c>
      <c r="M46" s="11">
        <f t="shared" si="5"/>
        <v>-2406104</v>
      </c>
      <c r="N46" s="11">
        <f t="shared" si="5"/>
        <v>17956</v>
      </c>
      <c r="O46" s="11">
        <f t="shared" si="5"/>
        <v>-134</v>
      </c>
      <c r="P46" s="11">
        <f t="shared" si="7"/>
        <v>0</v>
      </c>
    </row>
    <row r="47" spans="1:16" x14ac:dyDescent="0.25">
      <c r="A47" s="11">
        <f t="shared" si="6"/>
        <v>-8</v>
      </c>
      <c r="B47">
        <v>-14.647066495238958</v>
      </c>
      <c r="E47" s="11">
        <f>A47-'Mastercurve bestimmen'!$B$2</f>
        <v>-133</v>
      </c>
      <c r="F47" s="11">
        <f t="shared" si="4"/>
        <v>-14.647066495238958</v>
      </c>
      <c r="G47" s="11"/>
      <c r="H47" s="11">
        <f t="shared" si="5"/>
        <v>9.790686120231984E+16</v>
      </c>
      <c r="I47" s="11">
        <f t="shared" si="5"/>
        <v>-736141813551277</v>
      </c>
      <c r="J47" s="11">
        <f t="shared" si="5"/>
        <v>5534900853769</v>
      </c>
      <c r="K47" s="11">
        <f t="shared" si="5"/>
        <v>-41615795893</v>
      </c>
      <c r="L47" s="11">
        <f t="shared" si="5"/>
        <v>312900721</v>
      </c>
      <c r="M47" s="11">
        <f t="shared" si="5"/>
        <v>-2352637</v>
      </c>
      <c r="N47" s="11">
        <f t="shared" si="5"/>
        <v>17689</v>
      </c>
      <c r="O47" s="11">
        <f t="shared" si="5"/>
        <v>-133</v>
      </c>
      <c r="P47" s="11">
        <f t="shared" si="7"/>
        <v>0</v>
      </c>
    </row>
    <row r="48" spans="1:16" x14ac:dyDescent="0.25">
      <c r="A48" s="11">
        <f t="shared" si="6"/>
        <v>-7</v>
      </c>
      <c r="B48">
        <v>-14.54909257314684</v>
      </c>
      <c r="E48" s="11">
        <f>A48-'Mastercurve bestimmen'!$B$2</f>
        <v>-132</v>
      </c>
      <c r="F48" s="11">
        <f t="shared" si="4"/>
        <v>-14.54909257314684</v>
      </c>
      <c r="G48" s="11"/>
      <c r="H48" s="11">
        <f t="shared" ref="H48:O79" si="8">IF($H$12&gt;=H$14,$E48^H$14,0)</f>
        <v>9.2170395205042176E+16</v>
      </c>
      <c r="I48" s="11">
        <f t="shared" si="8"/>
        <v>-698260569735168</v>
      </c>
      <c r="J48" s="11">
        <f t="shared" si="8"/>
        <v>5289852801024</v>
      </c>
      <c r="K48" s="11">
        <f t="shared" si="8"/>
        <v>-40074642432</v>
      </c>
      <c r="L48" s="11">
        <f t="shared" si="8"/>
        <v>303595776</v>
      </c>
      <c r="M48" s="11">
        <f t="shared" si="8"/>
        <v>-2299968</v>
      </c>
      <c r="N48" s="11">
        <f t="shared" si="8"/>
        <v>17424</v>
      </c>
      <c r="O48" s="11">
        <f t="shared" si="8"/>
        <v>-132</v>
      </c>
      <c r="P48" s="11">
        <f t="shared" si="7"/>
        <v>0</v>
      </c>
    </row>
    <row r="49" spans="1:16" x14ac:dyDescent="0.25">
      <c r="A49" s="11">
        <f t="shared" si="6"/>
        <v>-6</v>
      </c>
      <c r="B49">
        <v>-14.449028564046721</v>
      </c>
      <c r="E49" s="11">
        <f>A49-'Mastercurve bestimmen'!$B$2</f>
        <v>-131</v>
      </c>
      <c r="F49" s="11">
        <f t="shared" si="4"/>
        <v>-14.449028564046721</v>
      </c>
      <c r="G49" s="11"/>
      <c r="H49" s="11">
        <f t="shared" si="8"/>
        <v>8.673020346900624E+16</v>
      </c>
      <c r="I49" s="11">
        <f t="shared" si="8"/>
        <v>-662062621900811</v>
      </c>
      <c r="J49" s="11">
        <f t="shared" si="8"/>
        <v>5053913144281</v>
      </c>
      <c r="K49" s="11">
        <f t="shared" si="8"/>
        <v>-38579489651</v>
      </c>
      <c r="L49" s="11">
        <f t="shared" si="8"/>
        <v>294499921</v>
      </c>
      <c r="M49" s="11">
        <f t="shared" si="8"/>
        <v>-2248091</v>
      </c>
      <c r="N49" s="11">
        <f t="shared" si="8"/>
        <v>17161</v>
      </c>
      <c r="O49" s="11">
        <f t="shared" si="8"/>
        <v>-131</v>
      </c>
      <c r="P49" s="11">
        <f t="shared" si="7"/>
        <v>0</v>
      </c>
    </row>
    <row r="50" spans="1:16" x14ac:dyDescent="0.25">
      <c r="A50" s="11">
        <f t="shared" si="6"/>
        <v>-5</v>
      </c>
      <c r="B50">
        <v>-14.346811131968662</v>
      </c>
      <c r="E50" s="11">
        <f>A50-'Mastercurve bestimmen'!$B$2</f>
        <v>-130</v>
      </c>
      <c r="F50" s="11">
        <f t="shared" si="4"/>
        <v>-14.346811131968662</v>
      </c>
      <c r="G50" s="11"/>
      <c r="H50" s="11">
        <f t="shared" si="8"/>
        <v>8.15730721E+16</v>
      </c>
      <c r="I50" s="11">
        <f t="shared" si="8"/>
        <v>-627485170000000</v>
      </c>
      <c r="J50" s="11">
        <f t="shared" si="8"/>
        <v>4826809000000</v>
      </c>
      <c r="K50" s="11">
        <f t="shared" si="8"/>
        <v>-37129300000</v>
      </c>
      <c r="L50" s="11">
        <f t="shared" si="8"/>
        <v>285610000</v>
      </c>
      <c r="M50" s="11">
        <f t="shared" si="8"/>
        <v>-2197000</v>
      </c>
      <c r="N50" s="11">
        <f t="shared" si="8"/>
        <v>16900</v>
      </c>
      <c r="O50" s="11">
        <f t="shared" si="8"/>
        <v>-130</v>
      </c>
      <c r="P50" s="11">
        <f t="shared" si="7"/>
        <v>0</v>
      </c>
    </row>
    <row r="51" spans="1:16" x14ac:dyDescent="0.25">
      <c r="A51" s="11">
        <f t="shared" si="6"/>
        <v>-4</v>
      </c>
      <c r="B51">
        <v>-14.242376940942728</v>
      </c>
      <c r="E51" s="11">
        <f>A51-'Mastercurve bestimmen'!$B$2</f>
        <v>-129</v>
      </c>
      <c r="F51" s="11">
        <f t="shared" si="4"/>
        <v>-14.242376940942728</v>
      </c>
      <c r="G51" s="11"/>
      <c r="H51" s="11">
        <f t="shared" si="8"/>
        <v>7.668628202134016E+16</v>
      </c>
      <c r="I51" s="11">
        <f t="shared" si="8"/>
        <v>-594467302491009</v>
      </c>
      <c r="J51" s="11">
        <f t="shared" si="8"/>
        <v>4608273662721</v>
      </c>
      <c r="K51" s="11">
        <f t="shared" si="8"/>
        <v>-35723051649</v>
      </c>
      <c r="L51" s="11">
        <f t="shared" si="8"/>
        <v>276922881</v>
      </c>
      <c r="M51" s="11">
        <f t="shared" si="8"/>
        <v>-2146689</v>
      </c>
      <c r="N51" s="11">
        <f t="shared" si="8"/>
        <v>16641</v>
      </c>
      <c r="O51" s="11">
        <f t="shared" si="8"/>
        <v>-129</v>
      </c>
      <c r="P51" s="11">
        <f t="shared" si="7"/>
        <v>0</v>
      </c>
    </row>
    <row r="52" spans="1:16" x14ac:dyDescent="0.25">
      <c r="A52" s="11">
        <f t="shared" si="6"/>
        <v>-3</v>
      </c>
      <c r="B52">
        <v>-14.135662654998976</v>
      </c>
      <c r="E52" s="11">
        <f>A52-'Mastercurve bestimmen'!$B$2</f>
        <v>-128</v>
      </c>
      <c r="F52" s="11">
        <f t="shared" si="4"/>
        <v>-14.135662654998976</v>
      </c>
      <c r="G52" s="11"/>
      <c r="H52" s="11">
        <f t="shared" si="8"/>
        <v>7.2057594037927936E+16</v>
      </c>
      <c r="I52" s="11">
        <f t="shared" si="8"/>
        <v>-562949953421312</v>
      </c>
      <c r="J52" s="11">
        <f t="shared" si="8"/>
        <v>4398046511104</v>
      </c>
      <c r="K52" s="11">
        <f t="shared" si="8"/>
        <v>-34359738368</v>
      </c>
      <c r="L52" s="11">
        <f t="shared" si="8"/>
        <v>268435456</v>
      </c>
      <c r="M52" s="11">
        <f t="shared" si="8"/>
        <v>-2097152</v>
      </c>
      <c r="N52" s="11">
        <f t="shared" si="8"/>
        <v>16384</v>
      </c>
      <c r="O52" s="11">
        <f t="shared" si="8"/>
        <v>-128</v>
      </c>
      <c r="P52" s="11">
        <f t="shared" si="7"/>
        <v>0</v>
      </c>
    </row>
    <row r="53" spans="1:16" x14ac:dyDescent="0.25">
      <c r="A53" s="11">
        <f t="shared" si="6"/>
        <v>-2</v>
      </c>
      <c r="B53">
        <v>-14.026604938167466</v>
      </c>
      <c r="E53" s="11">
        <f>A53-'Mastercurve bestimmen'!$B$2</f>
        <v>-127</v>
      </c>
      <c r="F53" s="11">
        <f t="shared" si="4"/>
        <v>-14.026604938167466</v>
      </c>
      <c r="G53" s="11"/>
      <c r="H53" s="11">
        <f t="shared" si="8"/>
        <v>6.767523424101888E+16</v>
      </c>
      <c r="I53" s="11">
        <f t="shared" si="8"/>
        <v>-532875860165503</v>
      </c>
      <c r="J53" s="11">
        <f t="shared" si="8"/>
        <v>4195872914689</v>
      </c>
      <c r="K53" s="11">
        <f t="shared" si="8"/>
        <v>-33038369407</v>
      </c>
      <c r="L53" s="11">
        <f t="shared" si="8"/>
        <v>260144641</v>
      </c>
      <c r="M53" s="11">
        <f t="shared" si="8"/>
        <v>-2048383</v>
      </c>
      <c r="N53" s="11">
        <f t="shared" si="8"/>
        <v>16129</v>
      </c>
      <c r="O53" s="11">
        <f t="shared" si="8"/>
        <v>-127</v>
      </c>
      <c r="P53" s="11">
        <f t="shared" si="7"/>
        <v>0</v>
      </c>
    </row>
    <row r="54" spans="1:16" x14ac:dyDescent="0.25">
      <c r="A54" s="11">
        <f t="shared" si="6"/>
        <v>-1</v>
      </c>
      <c r="B54">
        <v>-13.915140454478262</v>
      </c>
      <c r="E54" s="11">
        <f>A54-'Mastercurve bestimmen'!$B$2</f>
        <v>-126</v>
      </c>
      <c r="F54" s="11">
        <f t="shared" si="4"/>
        <v>-13.915140454478262</v>
      </c>
      <c r="G54" s="11"/>
      <c r="H54" s="11">
        <f t="shared" si="8"/>
        <v>6.3527879748485376E+16</v>
      </c>
      <c r="I54" s="11">
        <f t="shared" si="8"/>
        <v>-504189521813376</v>
      </c>
      <c r="J54" s="11">
        <f t="shared" si="8"/>
        <v>4001504141376</v>
      </c>
      <c r="K54" s="11">
        <f t="shared" si="8"/>
        <v>-31757969376</v>
      </c>
      <c r="L54" s="11">
        <f t="shared" si="8"/>
        <v>252047376</v>
      </c>
      <c r="M54" s="11">
        <f t="shared" si="8"/>
        <v>-2000376</v>
      </c>
      <c r="N54" s="11">
        <f t="shared" si="8"/>
        <v>15876</v>
      </c>
      <c r="O54" s="11">
        <f t="shared" si="8"/>
        <v>-126</v>
      </c>
      <c r="P54" s="11">
        <f t="shared" si="7"/>
        <v>0</v>
      </c>
    </row>
    <row r="55" spans="1:16" x14ac:dyDescent="0.25">
      <c r="A55" s="11">
        <f t="shared" si="6"/>
        <v>0</v>
      </c>
      <c r="B55">
        <v>-13.801205867961423</v>
      </c>
      <c r="E55" s="11">
        <f>A55-'Mastercurve bestimmen'!$B$2</f>
        <v>-125</v>
      </c>
      <c r="F55" s="11">
        <f t="shared" si="4"/>
        <v>-13.801205867961423</v>
      </c>
      <c r="G55" s="11"/>
      <c r="H55" s="11">
        <f t="shared" si="8"/>
        <v>5.9604644775390624E+16</v>
      </c>
      <c r="I55" s="11">
        <f t="shared" si="8"/>
        <v>-476837158203125</v>
      </c>
      <c r="J55" s="11">
        <f t="shared" si="8"/>
        <v>3814697265625</v>
      </c>
      <c r="K55" s="11">
        <f t="shared" si="8"/>
        <v>-30517578125</v>
      </c>
      <c r="L55" s="11">
        <f t="shared" si="8"/>
        <v>244140625</v>
      </c>
      <c r="M55" s="11">
        <f t="shared" si="8"/>
        <v>-1953125</v>
      </c>
      <c r="N55" s="11">
        <f t="shared" si="8"/>
        <v>15625</v>
      </c>
      <c r="O55" s="11">
        <f t="shared" si="8"/>
        <v>-125</v>
      </c>
      <c r="P55" s="11">
        <f t="shared" si="7"/>
        <v>0</v>
      </c>
    </row>
    <row r="56" spans="1:16" x14ac:dyDescent="0.25">
      <c r="A56" s="11">
        <f t="shared" si="6"/>
        <v>1</v>
      </c>
      <c r="B56">
        <v>-13.723967947992357</v>
      </c>
      <c r="E56" s="11">
        <f>A56-'Mastercurve bestimmen'!$B$2</f>
        <v>-124</v>
      </c>
      <c r="F56" s="11">
        <f t="shared" si="4"/>
        <v>-13.723967947992357</v>
      </c>
      <c r="G56" s="11"/>
      <c r="H56" s="11">
        <f t="shared" si="8"/>
        <v>5.5895067029733376E+16</v>
      </c>
      <c r="I56" s="11">
        <f t="shared" si="8"/>
        <v>-450766669594624</v>
      </c>
      <c r="J56" s="11">
        <f t="shared" si="8"/>
        <v>3635215077376</v>
      </c>
      <c r="K56" s="11">
        <f t="shared" si="8"/>
        <v>-29316250624</v>
      </c>
      <c r="L56" s="11">
        <f t="shared" si="8"/>
        <v>236421376</v>
      </c>
      <c r="M56" s="11">
        <f t="shared" si="8"/>
        <v>-1906624</v>
      </c>
      <c r="N56" s="11">
        <f t="shared" si="8"/>
        <v>15376</v>
      </c>
      <c r="O56" s="11">
        <f t="shared" si="8"/>
        <v>-124</v>
      </c>
      <c r="P56" s="11">
        <f t="shared" si="7"/>
        <v>0</v>
      </c>
    </row>
    <row r="57" spans="1:16" x14ac:dyDescent="0.25">
      <c r="A57" s="11">
        <f t="shared" si="6"/>
        <v>2</v>
      </c>
      <c r="B57">
        <v>-13.644269766245761</v>
      </c>
      <c r="E57" s="11">
        <f>A57-'Mastercurve bestimmen'!$B$2</f>
        <v>-123</v>
      </c>
      <c r="F57" s="11">
        <f t="shared" si="4"/>
        <v>-13.644269766245761</v>
      </c>
      <c r="G57" s="11"/>
      <c r="H57" s="11">
        <f t="shared" si="8"/>
        <v>5.238909442826288E+16</v>
      </c>
      <c r="I57" s="11">
        <f t="shared" si="8"/>
        <v>-425927596977747</v>
      </c>
      <c r="J57" s="11">
        <f t="shared" si="8"/>
        <v>3462825991689</v>
      </c>
      <c r="K57" s="11">
        <f t="shared" si="8"/>
        <v>-28153056843</v>
      </c>
      <c r="L57" s="11">
        <f t="shared" si="8"/>
        <v>228886641</v>
      </c>
      <c r="M57" s="11">
        <f t="shared" si="8"/>
        <v>-1860867</v>
      </c>
      <c r="N57" s="11">
        <f t="shared" si="8"/>
        <v>15129</v>
      </c>
      <c r="O57" s="11">
        <f t="shared" si="8"/>
        <v>-123</v>
      </c>
      <c r="P57" s="11">
        <f t="shared" si="7"/>
        <v>0</v>
      </c>
    </row>
    <row r="58" spans="1:16" x14ac:dyDescent="0.25">
      <c r="A58" s="11">
        <f t="shared" si="6"/>
        <v>3</v>
      </c>
      <c r="B58">
        <v>-13.562184499741676</v>
      </c>
      <c r="E58" s="11">
        <f>A58-'Mastercurve bestimmen'!$B$2</f>
        <v>-122</v>
      </c>
      <c r="F58" s="11">
        <f t="shared" si="4"/>
        <v>-13.562184499741676</v>
      </c>
      <c r="G58" s="11"/>
      <c r="H58" s="11">
        <f t="shared" si="8"/>
        <v>4.9077072127303936E+16</v>
      </c>
      <c r="I58" s="11">
        <f t="shared" si="8"/>
        <v>-402271083010688</v>
      </c>
      <c r="J58" s="11">
        <f t="shared" si="8"/>
        <v>3297303959104</v>
      </c>
      <c r="K58" s="11">
        <f t="shared" si="8"/>
        <v>-27027081632</v>
      </c>
      <c r="L58" s="11">
        <f t="shared" si="8"/>
        <v>221533456</v>
      </c>
      <c r="M58" s="11">
        <f t="shared" si="8"/>
        <v>-1815848</v>
      </c>
      <c r="N58" s="11">
        <f t="shared" si="8"/>
        <v>14884</v>
      </c>
      <c r="O58" s="11">
        <f t="shared" si="8"/>
        <v>-122</v>
      </c>
      <c r="P58" s="11">
        <f t="shared" si="7"/>
        <v>0</v>
      </c>
    </row>
    <row r="59" spans="1:16" x14ac:dyDescent="0.25">
      <c r="A59" s="11">
        <f t="shared" si="6"/>
        <v>4</v>
      </c>
      <c r="B59">
        <v>-13.477785325500143</v>
      </c>
      <c r="E59" s="11">
        <f>A59-'Mastercurve bestimmen'!$B$2</f>
        <v>-121</v>
      </c>
      <c r="F59" s="11">
        <f t="shared" si="4"/>
        <v>-13.477785325500143</v>
      </c>
      <c r="G59" s="11"/>
      <c r="H59" s="11">
        <f t="shared" si="8"/>
        <v>4.594972986357216E+16</v>
      </c>
      <c r="I59" s="11">
        <f t="shared" si="8"/>
        <v>-379749833583241</v>
      </c>
      <c r="J59" s="11">
        <f t="shared" si="8"/>
        <v>3138428376721</v>
      </c>
      <c r="K59" s="11">
        <f t="shared" si="8"/>
        <v>-25937424601</v>
      </c>
      <c r="L59" s="11">
        <f t="shared" si="8"/>
        <v>214358881</v>
      </c>
      <c r="M59" s="11">
        <f t="shared" si="8"/>
        <v>-1771561</v>
      </c>
      <c r="N59" s="11">
        <f t="shared" si="8"/>
        <v>14641</v>
      </c>
      <c r="O59" s="11">
        <f t="shared" si="8"/>
        <v>-121</v>
      </c>
      <c r="P59" s="11">
        <f t="shared" si="7"/>
        <v>0</v>
      </c>
    </row>
    <row r="60" spans="1:16" x14ac:dyDescent="0.25">
      <c r="A60" s="11">
        <f t="shared" si="6"/>
        <v>5</v>
      </c>
      <c r="B60">
        <v>-13.391145420541203</v>
      </c>
      <c r="E60" s="11">
        <f>A60-'Mastercurve bestimmen'!$B$2</f>
        <v>-120</v>
      </c>
      <c r="F60" s="11">
        <f t="shared" si="4"/>
        <v>-13.391145420541203</v>
      </c>
      <c r="G60" s="11"/>
      <c r="H60" s="11">
        <f t="shared" si="8"/>
        <v>4.29981696E+16</v>
      </c>
      <c r="I60" s="11">
        <f t="shared" si="8"/>
        <v>-358318080000000</v>
      </c>
      <c r="J60" s="11">
        <f t="shared" si="8"/>
        <v>2985984000000</v>
      </c>
      <c r="K60" s="11">
        <f t="shared" si="8"/>
        <v>-24883200000</v>
      </c>
      <c r="L60" s="11">
        <f t="shared" si="8"/>
        <v>207360000</v>
      </c>
      <c r="M60" s="11">
        <f t="shared" si="8"/>
        <v>-1728000</v>
      </c>
      <c r="N60" s="11">
        <f t="shared" si="8"/>
        <v>14400</v>
      </c>
      <c r="O60" s="11">
        <f t="shared" si="8"/>
        <v>-120</v>
      </c>
      <c r="P60" s="11">
        <f t="shared" si="7"/>
        <v>0</v>
      </c>
    </row>
    <row r="61" spans="1:16" x14ac:dyDescent="0.25">
      <c r="A61" s="11">
        <f t="shared" si="6"/>
        <v>6</v>
      </c>
      <c r="B61">
        <v>-13.3023379618849</v>
      </c>
      <c r="E61" s="11">
        <f>A61-'Mastercurve bestimmen'!$B$2</f>
        <v>-119</v>
      </c>
      <c r="F61" s="11">
        <f t="shared" si="4"/>
        <v>-13.3023379618849</v>
      </c>
      <c r="G61" s="11"/>
      <c r="H61" s="11">
        <f t="shared" si="8"/>
        <v>4.021385347163424E+16</v>
      </c>
      <c r="I61" s="11">
        <f t="shared" si="8"/>
        <v>-337931541778439</v>
      </c>
      <c r="J61" s="11">
        <f t="shared" si="8"/>
        <v>2839760855281</v>
      </c>
      <c r="K61" s="11">
        <f t="shared" si="8"/>
        <v>-23863536599</v>
      </c>
      <c r="L61" s="11">
        <f t="shared" si="8"/>
        <v>200533921</v>
      </c>
      <c r="M61" s="11">
        <f t="shared" si="8"/>
        <v>-1685159</v>
      </c>
      <c r="N61" s="11">
        <f t="shared" si="8"/>
        <v>14161</v>
      </c>
      <c r="O61" s="11">
        <f t="shared" si="8"/>
        <v>-119</v>
      </c>
      <c r="P61" s="11">
        <f t="shared" si="7"/>
        <v>0</v>
      </c>
    </row>
    <row r="62" spans="1:16" x14ac:dyDescent="0.25">
      <c r="A62" s="11">
        <f t="shared" si="6"/>
        <v>7</v>
      </c>
      <c r="B62">
        <v>-13.211436126551277</v>
      </c>
      <c r="E62" s="11">
        <f>A62-'Mastercurve bestimmen'!$B$2</f>
        <v>-118</v>
      </c>
      <c r="F62" s="11">
        <f t="shared" si="4"/>
        <v>-13.211436126551277</v>
      </c>
      <c r="G62" s="11"/>
      <c r="H62" s="11">
        <f t="shared" si="8"/>
        <v>3.7588592026706176E+16</v>
      </c>
      <c r="I62" s="11">
        <f t="shared" si="8"/>
        <v>-318547390056832</v>
      </c>
      <c r="J62" s="11">
        <f t="shared" si="8"/>
        <v>2699554153024</v>
      </c>
      <c r="K62" s="11">
        <f t="shared" si="8"/>
        <v>-22877577568</v>
      </c>
      <c r="L62" s="11">
        <f t="shared" si="8"/>
        <v>193877776</v>
      </c>
      <c r="M62" s="11">
        <f t="shared" si="8"/>
        <v>-1643032</v>
      </c>
      <c r="N62" s="11">
        <f t="shared" si="8"/>
        <v>13924</v>
      </c>
      <c r="O62" s="11">
        <f t="shared" si="8"/>
        <v>-118</v>
      </c>
      <c r="P62" s="11">
        <f t="shared" si="7"/>
        <v>0</v>
      </c>
    </row>
    <row r="63" spans="1:16" x14ac:dyDescent="0.25">
      <c r="A63" s="11">
        <f t="shared" si="6"/>
        <v>8</v>
      </c>
      <c r="B63">
        <v>-13.118513091560374</v>
      </c>
      <c r="E63" s="11">
        <f>A63-'Mastercurve bestimmen'!$B$2</f>
        <v>-117</v>
      </c>
      <c r="F63" s="11">
        <f t="shared" si="4"/>
        <v>-13.118513091560374</v>
      </c>
      <c r="G63" s="11"/>
      <c r="H63" s="11">
        <f t="shared" si="8"/>
        <v>3.511453275801584E+16</v>
      </c>
      <c r="I63" s="11">
        <f t="shared" si="8"/>
        <v>-300124211606973</v>
      </c>
      <c r="J63" s="11">
        <f t="shared" si="8"/>
        <v>2565164201769</v>
      </c>
      <c r="K63" s="11">
        <f t="shared" si="8"/>
        <v>-21924480357</v>
      </c>
      <c r="L63" s="11">
        <f t="shared" si="8"/>
        <v>187388721</v>
      </c>
      <c r="M63" s="11">
        <f t="shared" si="8"/>
        <v>-1601613</v>
      </c>
      <c r="N63" s="11">
        <f t="shared" si="8"/>
        <v>13689</v>
      </c>
      <c r="O63" s="11">
        <f t="shared" si="8"/>
        <v>-117</v>
      </c>
      <c r="P63" s="11">
        <f t="shared" si="7"/>
        <v>0</v>
      </c>
    </row>
    <row r="64" spans="1:16" x14ac:dyDescent="0.25">
      <c r="A64" s="11">
        <f t="shared" si="6"/>
        <v>9</v>
      </c>
      <c r="B64">
        <v>-13.023642033932237</v>
      </c>
      <c r="E64" s="11">
        <f>A64-'Mastercurve bestimmen'!$B$2</f>
        <v>-116</v>
      </c>
      <c r="F64" s="11">
        <f t="shared" si="4"/>
        <v>-13.023642033932237</v>
      </c>
      <c r="G64" s="11"/>
      <c r="H64" s="11">
        <f t="shared" si="8"/>
        <v>3.2784148919812096E+16</v>
      </c>
      <c r="I64" s="11">
        <f t="shared" si="8"/>
        <v>-282621973446656</v>
      </c>
      <c r="J64" s="11">
        <f t="shared" si="8"/>
        <v>2436396322816</v>
      </c>
      <c r="K64" s="11">
        <f t="shared" si="8"/>
        <v>-21003416576</v>
      </c>
      <c r="L64" s="11">
        <f t="shared" si="8"/>
        <v>181063936</v>
      </c>
      <c r="M64" s="11">
        <f t="shared" si="8"/>
        <v>-1560896</v>
      </c>
      <c r="N64" s="11">
        <f t="shared" si="8"/>
        <v>13456</v>
      </c>
      <c r="O64" s="11">
        <f t="shared" si="8"/>
        <v>-116</v>
      </c>
      <c r="P64" s="11">
        <f t="shared" si="7"/>
        <v>0</v>
      </c>
    </row>
    <row r="65" spans="1:16" x14ac:dyDescent="0.25">
      <c r="A65" s="11">
        <f t="shared" si="6"/>
        <v>10</v>
      </c>
      <c r="B65">
        <v>-12.926896130686904</v>
      </c>
      <c r="E65" s="11">
        <f>A65-'Mastercurve bestimmen'!$B$2</f>
        <v>-115</v>
      </c>
      <c r="F65" s="11">
        <f t="shared" si="4"/>
        <v>-12.926896130686904</v>
      </c>
      <c r="G65" s="11"/>
      <c r="H65" s="11">
        <f t="shared" si="8"/>
        <v>3.0590228625390624E+16</v>
      </c>
      <c r="I65" s="11">
        <f t="shared" si="8"/>
        <v>-266001988046875</v>
      </c>
      <c r="J65" s="11">
        <f t="shared" si="8"/>
        <v>2313060765625</v>
      </c>
      <c r="K65" s="11">
        <f t="shared" si="8"/>
        <v>-20113571875</v>
      </c>
      <c r="L65" s="11">
        <f t="shared" si="8"/>
        <v>174900625</v>
      </c>
      <c r="M65" s="11">
        <f t="shared" si="8"/>
        <v>-1520875</v>
      </c>
      <c r="N65" s="11">
        <f t="shared" si="8"/>
        <v>13225</v>
      </c>
      <c r="O65" s="11">
        <f t="shared" si="8"/>
        <v>-115</v>
      </c>
      <c r="P65" s="11">
        <f t="shared" si="7"/>
        <v>0</v>
      </c>
    </row>
    <row r="66" spans="1:16" x14ac:dyDescent="0.25">
      <c r="A66" s="11">
        <f t="shared" si="6"/>
        <v>11</v>
      </c>
      <c r="B66">
        <v>-12.828348558844418</v>
      </c>
      <c r="E66" s="11">
        <f>A66-'Mastercurve bestimmen'!$B$2</f>
        <v>-114</v>
      </c>
      <c r="F66" s="11">
        <f t="shared" si="4"/>
        <v>-12.828348558844418</v>
      </c>
      <c r="G66" s="11"/>
      <c r="H66" s="11">
        <f t="shared" si="8"/>
        <v>2.8525864220672256E+16</v>
      </c>
      <c r="I66" s="11">
        <f t="shared" si="8"/>
        <v>-250226879128704</v>
      </c>
      <c r="J66" s="11">
        <f t="shared" si="8"/>
        <v>2194972623936</v>
      </c>
      <c r="K66" s="11">
        <f t="shared" si="8"/>
        <v>-19254145824</v>
      </c>
      <c r="L66" s="11">
        <f t="shared" si="8"/>
        <v>168896016</v>
      </c>
      <c r="M66" s="11">
        <f t="shared" si="8"/>
        <v>-1481544</v>
      </c>
      <c r="N66" s="11">
        <f t="shared" si="8"/>
        <v>12996</v>
      </c>
      <c r="O66" s="11">
        <f t="shared" si="8"/>
        <v>-114</v>
      </c>
      <c r="P66" s="11">
        <f t="shared" si="7"/>
        <v>0</v>
      </c>
    </row>
    <row r="67" spans="1:16" x14ac:dyDescent="0.25">
      <c r="A67" s="11">
        <f t="shared" si="6"/>
        <v>12</v>
      </c>
      <c r="B67">
        <v>-12.728072495424824</v>
      </c>
      <c r="E67" s="11">
        <f>A67-'Mastercurve bestimmen'!$B$2</f>
        <v>-113</v>
      </c>
      <c r="F67" s="11">
        <f t="shared" si="4"/>
        <v>-12.728072495424824</v>
      </c>
      <c r="G67" s="11"/>
      <c r="H67" s="11">
        <f t="shared" si="8"/>
        <v>2.658444192906432E+16</v>
      </c>
      <c r="I67" s="11">
        <f t="shared" si="8"/>
        <v>-235260548044817</v>
      </c>
      <c r="J67" s="11">
        <f t="shared" si="8"/>
        <v>2081951752609</v>
      </c>
      <c r="K67" s="11">
        <f t="shared" si="8"/>
        <v>-18424351793</v>
      </c>
      <c r="L67" s="11">
        <f t="shared" si="8"/>
        <v>163047361</v>
      </c>
      <c r="M67" s="11">
        <f t="shared" si="8"/>
        <v>-1442897</v>
      </c>
      <c r="N67" s="11">
        <f t="shared" si="8"/>
        <v>12769</v>
      </c>
      <c r="O67" s="11">
        <f t="shared" si="8"/>
        <v>-113</v>
      </c>
      <c r="P67" s="11">
        <f t="shared" si="7"/>
        <v>0</v>
      </c>
    </row>
    <row r="68" spans="1:16" x14ac:dyDescent="0.25">
      <c r="A68" s="11">
        <f t="shared" si="6"/>
        <v>13</v>
      </c>
      <c r="B68">
        <v>-12.626141117448162</v>
      </c>
      <c r="E68" s="11">
        <f>A68-'Mastercurve bestimmen'!$B$2</f>
        <v>-112</v>
      </c>
      <c r="F68" s="11">
        <f t="shared" si="4"/>
        <v>-12.626141117448162</v>
      </c>
      <c r="G68" s="11"/>
      <c r="H68" s="11">
        <f t="shared" si="8"/>
        <v>2.4759631762948096E+16</v>
      </c>
      <c r="I68" s="11">
        <f t="shared" si="8"/>
        <v>-221068140740608</v>
      </c>
      <c r="J68" s="11">
        <f t="shared" si="8"/>
        <v>1973822685184</v>
      </c>
      <c r="K68" s="11">
        <f t="shared" si="8"/>
        <v>-17623416832</v>
      </c>
      <c r="L68" s="11">
        <f t="shared" si="8"/>
        <v>157351936</v>
      </c>
      <c r="M68" s="11">
        <f t="shared" si="8"/>
        <v>-1404928</v>
      </c>
      <c r="N68" s="11">
        <f t="shared" si="8"/>
        <v>12544</v>
      </c>
      <c r="O68" s="11">
        <f t="shared" si="8"/>
        <v>-112</v>
      </c>
      <c r="P68" s="11">
        <f t="shared" si="7"/>
        <v>0</v>
      </c>
    </row>
    <row r="69" spans="1:16" x14ac:dyDescent="0.25">
      <c r="A69" s="11">
        <f t="shared" si="6"/>
        <v>14</v>
      </c>
      <c r="B69">
        <v>-12.522627601934474</v>
      </c>
      <c r="E69" s="11">
        <f>A69-'Mastercurve bestimmen'!$B$2</f>
        <v>-111</v>
      </c>
      <c r="F69" s="11">
        <f t="shared" si="4"/>
        <v>-12.522627601934474</v>
      </c>
      <c r="G69" s="11"/>
      <c r="H69" s="11">
        <f t="shared" si="8"/>
        <v>2.304537769717568E+16</v>
      </c>
      <c r="I69" s="11">
        <f t="shared" si="8"/>
        <v>-207616015289871</v>
      </c>
      <c r="J69" s="11">
        <f t="shared" si="8"/>
        <v>1870414552161</v>
      </c>
      <c r="K69" s="11">
        <f t="shared" si="8"/>
        <v>-16850581551</v>
      </c>
      <c r="L69" s="11">
        <f t="shared" si="8"/>
        <v>151807041</v>
      </c>
      <c r="M69" s="11">
        <f t="shared" si="8"/>
        <v>-1367631</v>
      </c>
      <c r="N69" s="11">
        <f t="shared" si="8"/>
        <v>12321</v>
      </c>
      <c r="O69" s="11">
        <f t="shared" si="8"/>
        <v>-111</v>
      </c>
      <c r="P69" s="11">
        <f t="shared" si="7"/>
        <v>0</v>
      </c>
    </row>
    <row r="70" spans="1:16" x14ac:dyDescent="0.25">
      <c r="A70" s="11">
        <f t="shared" si="6"/>
        <v>15</v>
      </c>
      <c r="B70">
        <v>-12.417605125903805</v>
      </c>
      <c r="E70" s="11">
        <f>A70-'Mastercurve bestimmen'!$B$2</f>
        <v>-110</v>
      </c>
      <c r="F70" s="11">
        <f t="shared" si="4"/>
        <v>-12.417605125903805</v>
      </c>
      <c r="G70" s="11"/>
      <c r="H70" s="11">
        <f t="shared" si="8"/>
        <v>2.14358881E+16</v>
      </c>
      <c r="I70" s="11">
        <f t="shared" si="8"/>
        <v>-194871710000000</v>
      </c>
      <c r="J70" s="11">
        <f t="shared" si="8"/>
        <v>1771561000000</v>
      </c>
      <c r="K70" s="11">
        <f t="shared" si="8"/>
        <v>-16105100000</v>
      </c>
      <c r="L70" s="11">
        <f t="shared" si="8"/>
        <v>146410000</v>
      </c>
      <c r="M70" s="11">
        <f t="shared" si="8"/>
        <v>-1331000</v>
      </c>
      <c r="N70" s="11">
        <f t="shared" si="8"/>
        <v>12100</v>
      </c>
      <c r="O70" s="11">
        <f t="shared" si="8"/>
        <v>-110</v>
      </c>
      <c r="P70" s="11">
        <f t="shared" si="7"/>
        <v>0</v>
      </c>
    </row>
    <row r="71" spans="1:16" x14ac:dyDescent="0.25">
      <c r="A71" s="11">
        <f t="shared" si="6"/>
        <v>16</v>
      </c>
      <c r="B71">
        <v>-12.311146866376195</v>
      </c>
      <c r="E71" s="11">
        <f>A71-'Mastercurve bestimmen'!$B$2</f>
        <v>-109</v>
      </c>
      <c r="F71" s="11">
        <f t="shared" si="4"/>
        <v>-12.311146866376195</v>
      </c>
      <c r="G71" s="11"/>
      <c r="H71" s="11">
        <f t="shared" si="8"/>
        <v>1.992562641690192E+16</v>
      </c>
      <c r="I71" s="11">
        <f t="shared" si="8"/>
        <v>-182803912081669</v>
      </c>
      <c r="J71" s="11">
        <f t="shared" si="8"/>
        <v>1677100110841</v>
      </c>
      <c r="K71" s="11">
        <f t="shared" si="8"/>
        <v>-15386239549</v>
      </c>
      <c r="L71" s="11">
        <f t="shared" si="8"/>
        <v>141158161</v>
      </c>
      <c r="M71" s="11">
        <f t="shared" si="8"/>
        <v>-1295029</v>
      </c>
      <c r="N71" s="11">
        <f t="shared" si="8"/>
        <v>11881</v>
      </c>
      <c r="O71" s="11">
        <f t="shared" si="8"/>
        <v>-109</v>
      </c>
      <c r="P71" s="11">
        <f t="shared" si="7"/>
        <v>0</v>
      </c>
    </row>
    <row r="72" spans="1:16" x14ac:dyDescent="0.25">
      <c r="A72" s="11">
        <f t="shared" si="6"/>
        <v>17</v>
      </c>
      <c r="B72">
        <v>-12.203326000371685</v>
      </c>
      <c r="E72" s="11">
        <f>A72-'Mastercurve bestimmen'!$B$2</f>
        <v>-108</v>
      </c>
      <c r="F72" s="11">
        <f t="shared" si="4"/>
        <v>-12.203326000371685</v>
      </c>
      <c r="G72" s="11"/>
      <c r="H72" s="11">
        <f t="shared" si="8"/>
        <v>1.8509302102818816E+16</v>
      </c>
      <c r="I72" s="11">
        <f t="shared" si="8"/>
        <v>-171382426877952</v>
      </c>
      <c r="J72" s="11">
        <f t="shared" si="8"/>
        <v>1586874322944</v>
      </c>
      <c r="K72" s="11">
        <f t="shared" si="8"/>
        <v>-14693280768</v>
      </c>
      <c r="L72" s="11">
        <f t="shared" si="8"/>
        <v>136048896</v>
      </c>
      <c r="M72" s="11">
        <f t="shared" si="8"/>
        <v>-1259712</v>
      </c>
      <c r="N72" s="11">
        <f t="shared" si="8"/>
        <v>11664</v>
      </c>
      <c r="O72" s="11">
        <f t="shared" si="8"/>
        <v>-108</v>
      </c>
      <c r="P72" s="11">
        <f t="shared" si="7"/>
        <v>0</v>
      </c>
    </row>
    <row r="73" spans="1:16" x14ac:dyDescent="0.25">
      <c r="A73" s="11">
        <f t="shared" si="6"/>
        <v>18</v>
      </c>
      <c r="B73">
        <v>-12.09421570491032</v>
      </c>
      <c r="E73" s="11">
        <f>A73-'Mastercurve bestimmen'!$B$2</f>
        <v>-107</v>
      </c>
      <c r="F73" s="11">
        <f t="shared" si="4"/>
        <v>-12.09421570491032</v>
      </c>
      <c r="G73" s="11"/>
      <c r="H73" s="11">
        <f t="shared" si="8"/>
        <v>1.71818617983192E+16</v>
      </c>
      <c r="I73" s="11">
        <f t="shared" si="8"/>
        <v>-160578147647843</v>
      </c>
      <c r="J73" s="11">
        <f t="shared" si="8"/>
        <v>1500730351849</v>
      </c>
      <c r="K73" s="11">
        <f t="shared" si="8"/>
        <v>-14025517307</v>
      </c>
      <c r="L73" s="11">
        <f t="shared" si="8"/>
        <v>131079601</v>
      </c>
      <c r="M73" s="11">
        <f t="shared" si="8"/>
        <v>-1225043</v>
      </c>
      <c r="N73" s="11">
        <f t="shared" si="8"/>
        <v>11449</v>
      </c>
      <c r="O73" s="11">
        <f t="shared" si="8"/>
        <v>-107</v>
      </c>
      <c r="P73" s="11">
        <f t="shared" si="7"/>
        <v>0</v>
      </c>
    </row>
    <row r="74" spans="1:16" x14ac:dyDescent="0.25">
      <c r="A74" s="11">
        <f t="shared" si="6"/>
        <v>19</v>
      </c>
      <c r="B74">
        <v>-11.983889157012142</v>
      </c>
      <c r="E74" s="11">
        <f>A74-'Mastercurve bestimmen'!$B$2</f>
        <v>-106</v>
      </c>
      <c r="F74" s="11">
        <f t="shared" si="4"/>
        <v>-11.983889157012142</v>
      </c>
      <c r="G74" s="11"/>
      <c r="H74" s="11">
        <f t="shared" si="8"/>
        <v>1.5938480745308416E+16</v>
      </c>
      <c r="I74" s="11">
        <f t="shared" si="8"/>
        <v>-150363025899136</v>
      </c>
      <c r="J74" s="11">
        <f t="shared" si="8"/>
        <v>1418519112256</v>
      </c>
      <c r="K74" s="11">
        <f t="shared" si="8"/>
        <v>-13382255776</v>
      </c>
      <c r="L74" s="11">
        <f t="shared" si="8"/>
        <v>126247696</v>
      </c>
      <c r="M74" s="11">
        <f t="shared" si="8"/>
        <v>-1191016</v>
      </c>
      <c r="N74" s="11">
        <f t="shared" si="8"/>
        <v>11236</v>
      </c>
      <c r="O74" s="11">
        <f t="shared" si="8"/>
        <v>-106</v>
      </c>
      <c r="P74" s="11">
        <f t="shared" si="7"/>
        <v>0</v>
      </c>
    </row>
    <row r="75" spans="1:16" x14ac:dyDescent="0.25">
      <c r="A75" s="11">
        <f t="shared" si="6"/>
        <v>20</v>
      </c>
      <c r="B75">
        <v>-11.872419533697192</v>
      </c>
      <c r="E75" s="11">
        <f>A75-'Mastercurve bestimmen'!$B$2</f>
        <v>-105</v>
      </c>
      <c r="F75" s="11">
        <f t="shared" si="4"/>
        <v>-11.872419533697192</v>
      </c>
      <c r="G75" s="11"/>
      <c r="H75" s="11">
        <f t="shared" si="8"/>
        <v>1.4774554437890624E+16</v>
      </c>
      <c r="I75" s="11">
        <f t="shared" si="8"/>
        <v>-140710042265625</v>
      </c>
      <c r="J75" s="11">
        <f t="shared" si="8"/>
        <v>1340095640625</v>
      </c>
      <c r="K75" s="11">
        <f t="shared" si="8"/>
        <v>-12762815625</v>
      </c>
      <c r="L75" s="11">
        <f t="shared" si="8"/>
        <v>121550625</v>
      </c>
      <c r="M75" s="11">
        <f t="shared" si="8"/>
        <v>-1157625</v>
      </c>
      <c r="N75" s="11">
        <f t="shared" si="8"/>
        <v>11025</v>
      </c>
      <c r="O75" s="11">
        <f t="shared" si="8"/>
        <v>-105</v>
      </c>
      <c r="P75" s="11">
        <f t="shared" si="7"/>
        <v>0</v>
      </c>
    </row>
    <row r="76" spans="1:16" x14ac:dyDescent="0.25">
      <c r="A76" s="11">
        <f t="shared" si="6"/>
        <v>21</v>
      </c>
      <c r="B76">
        <v>-11.759880011985512</v>
      </c>
      <c r="E76" s="11">
        <f>A76-'Mastercurve bestimmen'!$B$2</f>
        <v>-104</v>
      </c>
      <c r="F76" s="11">
        <f t="shared" si="4"/>
        <v>-11.759880011985512</v>
      </c>
      <c r="G76" s="11"/>
      <c r="H76" s="11">
        <f t="shared" si="8"/>
        <v>1.3685690504052736E+16</v>
      </c>
      <c r="I76" s="11">
        <f t="shared" si="8"/>
        <v>-131593177923584</v>
      </c>
      <c r="J76" s="11">
        <f t="shared" si="8"/>
        <v>1265319018496</v>
      </c>
      <c r="K76" s="11">
        <f t="shared" si="8"/>
        <v>-12166529024</v>
      </c>
      <c r="L76" s="11">
        <f t="shared" si="8"/>
        <v>116985856</v>
      </c>
      <c r="M76" s="11">
        <f t="shared" si="8"/>
        <v>-1124864</v>
      </c>
      <c r="N76" s="11">
        <f t="shared" si="8"/>
        <v>10816</v>
      </c>
      <c r="O76" s="11">
        <f t="shared" si="8"/>
        <v>-104</v>
      </c>
      <c r="P76" s="11">
        <f t="shared" si="7"/>
        <v>0</v>
      </c>
    </row>
    <row r="77" spans="1:16" x14ac:dyDescent="0.25">
      <c r="A77" s="11">
        <f t="shared" si="6"/>
        <v>22</v>
      </c>
      <c r="B77">
        <v>-11.646343768897145</v>
      </c>
      <c r="E77" s="11">
        <f>A77-'Mastercurve bestimmen'!$B$2</f>
        <v>-103</v>
      </c>
      <c r="F77" s="11">
        <f t="shared" si="4"/>
        <v>-11.646343768897145</v>
      </c>
      <c r="G77" s="11"/>
      <c r="H77" s="11">
        <f t="shared" si="8"/>
        <v>1.266770081387616E+16</v>
      </c>
      <c r="I77" s="11">
        <f t="shared" si="8"/>
        <v>-122987386542487</v>
      </c>
      <c r="J77" s="11">
        <f t="shared" si="8"/>
        <v>1194052296529</v>
      </c>
      <c r="K77" s="11">
        <f t="shared" si="8"/>
        <v>-11592740743</v>
      </c>
      <c r="L77" s="11">
        <f t="shared" si="8"/>
        <v>112550881</v>
      </c>
      <c r="M77" s="11">
        <f t="shared" si="8"/>
        <v>-1092727</v>
      </c>
      <c r="N77" s="11">
        <f t="shared" si="8"/>
        <v>10609</v>
      </c>
      <c r="O77" s="11">
        <f t="shared" si="8"/>
        <v>-103</v>
      </c>
      <c r="P77" s="11">
        <f t="shared" si="7"/>
        <v>0</v>
      </c>
    </row>
    <row r="78" spans="1:16" x14ac:dyDescent="0.25">
      <c r="A78" s="11">
        <f t="shared" si="6"/>
        <v>23</v>
      </c>
      <c r="B78">
        <v>-11.531883981452134</v>
      </c>
      <c r="E78" s="11">
        <f>A78-'Mastercurve bestimmen'!$B$2</f>
        <v>-102</v>
      </c>
      <c r="F78" s="11">
        <f t="shared" si="4"/>
        <v>-11.531883981452134</v>
      </c>
      <c r="G78" s="11"/>
      <c r="H78" s="11">
        <f t="shared" si="8"/>
        <v>1.1716593810022656E+16</v>
      </c>
      <c r="I78" s="11">
        <f t="shared" si="8"/>
        <v>-114868566764928</v>
      </c>
      <c r="J78" s="11">
        <f t="shared" si="8"/>
        <v>1126162419264</v>
      </c>
      <c r="K78" s="11">
        <f t="shared" si="8"/>
        <v>-11040808032</v>
      </c>
      <c r="L78" s="11">
        <f t="shared" si="8"/>
        <v>108243216</v>
      </c>
      <c r="M78" s="11">
        <f t="shared" si="8"/>
        <v>-1061208</v>
      </c>
      <c r="N78" s="11">
        <f t="shared" si="8"/>
        <v>10404</v>
      </c>
      <c r="O78" s="11">
        <f t="shared" si="8"/>
        <v>-102</v>
      </c>
      <c r="P78" s="11">
        <f t="shared" si="7"/>
        <v>0</v>
      </c>
    </row>
    <row r="79" spans="1:16" x14ac:dyDescent="0.25">
      <c r="A79" s="11">
        <f t="shared" si="6"/>
        <v>24</v>
      </c>
      <c r="B79">
        <v>-11.416573826670518</v>
      </c>
      <c r="E79" s="11">
        <f>A79-'Mastercurve bestimmen'!$B$2</f>
        <v>-101</v>
      </c>
      <c r="F79" s="11">
        <f t="shared" si="4"/>
        <v>-11.416573826670518</v>
      </c>
      <c r="G79" s="11"/>
      <c r="H79" s="11">
        <f t="shared" si="8"/>
        <v>1.08285670562808E+16</v>
      </c>
      <c r="I79" s="11">
        <f t="shared" si="8"/>
        <v>-107213535210701</v>
      </c>
      <c r="J79" s="11">
        <f t="shared" si="8"/>
        <v>1061520150601</v>
      </c>
      <c r="K79" s="11">
        <f t="shared" si="8"/>
        <v>-10510100501</v>
      </c>
      <c r="L79" s="11">
        <f t="shared" si="8"/>
        <v>104060401</v>
      </c>
      <c r="M79" s="11">
        <f t="shared" si="8"/>
        <v>-1030301</v>
      </c>
      <c r="N79" s="11">
        <f t="shared" si="8"/>
        <v>10201</v>
      </c>
      <c r="O79" s="11">
        <f t="shared" ref="I79:O116" si="9">IF($H$12&gt;=O$14,$E79^O$14,0)</f>
        <v>-101</v>
      </c>
      <c r="P79" s="11">
        <f t="shared" si="7"/>
        <v>0</v>
      </c>
    </row>
    <row r="80" spans="1:16" x14ac:dyDescent="0.25">
      <c r="A80" s="11">
        <f t="shared" si="6"/>
        <v>25</v>
      </c>
      <c r="B80">
        <v>-11.300486481572344</v>
      </c>
      <c r="E80" s="11">
        <f>A80-'Mastercurve bestimmen'!$B$2</f>
        <v>-100</v>
      </c>
      <c r="F80" s="11">
        <f t="shared" ref="F80:F143" si="10">B80</f>
        <v>-11.300486481572344</v>
      </c>
      <c r="G80" s="11"/>
      <c r="H80" s="11">
        <f t="shared" ref="H80:H143" si="11">IF($H$12&gt;=H$14,$E80^H$14,0)</f>
        <v>1E+16</v>
      </c>
      <c r="I80" s="11">
        <f t="shared" si="9"/>
        <v>-100000000000000</v>
      </c>
      <c r="J80" s="11">
        <f t="shared" si="9"/>
        <v>1000000000000</v>
      </c>
      <c r="K80" s="11">
        <f t="shared" si="9"/>
        <v>-10000000000</v>
      </c>
      <c r="L80" s="11">
        <f t="shared" si="9"/>
        <v>100000000</v>
      </c>
      <c r="M80" s="11">
        <f t="shared" si="9"/>
        <v>-1000000</v>
      </c>
      <c r="N80" s="11">
        <f t="shared" si="9"/>
        <v>10000</v>
      </c>
      <c r="O80" s="11">
        <f t="shared" si="9"/>
        <v>-100</v>
      </c>
      <c r="P80" s="11">
        <f t="shared" si="7"/>
        <v>0</v>
      </c>
    </row>
    <row r="81" spans="1:16" x14ac:dyDescent="0.25">
      <c r="A81" s="11">
        <f t="shared" ref="A81:A144" si="12">A80+1</f>
        <v>26</v>
      </c>
      <c r="B81">
        <v>-11.183697704730321</v>
      </c>
      <c r="E81" s="11">
        <f>A81-'Mastercurve bestimmen'!$B$2</f>
        <v>-99</v>
      </c>
      <c r="F81" s="11">
        <f t="shared" si="10"/>
        <v>-11.183697704730321</v>
      </c>
      <c r="G81" s="11"/>
      <c r="H81" s="11">
        <f t="shared" si="11"/>
        <v>9227446944279200</v>
      </c>
      <c r="I81" s="11">
        <f t="shared" si="9"/>
        <v>-93206534790699</v>
      </c>
      <c r="J81" s="11">
        <f t="shared" si="9"/>
        <v>941480149401</v>
      </c>
      <c r="K81" s="11">
        <f t="shared" si="9"/>
        <v>-9509900499</v>
      </c>
      <c r="L81" s="11">
        <f t="shared" si="9"/>
        <v>96059601</v>
      </c>
      <c r="M81" s="11">
        <f t="shared" si="9"/>
        <v>-970299</v>
      </c>
      <c r="N81" s="11">
        <f t="shared" si="9"/>
        <v>9801</v>
      </c>
      <c r="O81" s="11">
        <f t="shared" si="9"/>
        <v>-99</v>
      </c>
      <c r="P81" s="11">
        <f t="shared" ref="P81:P144" si="13">P80</f>
        <v>0</v>
      </c>
    </row>
    <row r="82" spans="1:16" x14ac:dyDescent="0.25">
      <c r="A82" s="11">
        <f t="shared" si="12"/>
        <v>27</v>
      </c>
      <c r="B82">
        <v>-11.066293580927844</v>
      </c>
      <c r="E82" s="11">
        <f>A82-'Mastercurve bestimmen'!$B$2</f>
        <v>-98</v>
      </c>
      <c r="F82" s="11">
        <f t="shared" si="10"/>
        <v>-11.066293580927844</v>
      </c>
      <c r="G82" s="11"/>
      <c r="H82" s="11">
        <f t="shared" si="11"/>
        <v>8507630225817856</v>
      </c>
      <c r="I82" s="11">
        <f t="shared" si="9"/>
        <v>-86812553324672</v>
      </c>
      <c r="J82" s="11">
        <f t="shared" si="9"/>
        <v>885842380864</v>
      </c>
      <c r="K82" s="11">
        <f t="shared" si="9"/>
        <v>-9039207968</v>
      </c>
      <c r="L82" s="11">
        <f t="shared" si="9"/>
        <v>92236816</v>
      </c>
      <c r="M82" s="11">
        <f t="shared" si="9"/>
        <v>-941192</v>
      </c>
      <c r="N82" s="11">
        <f t="shared" si="9"/>
        <v>9604</v>
      </c>
      <c r="O82" s="11">
        <f t="shared" si="9"/>
        <v>-98</v>
      </c>
      <c r="P82" s="11">
        <f t="shared" si="13"/>
        <v>0</v>
      </c>
    </row>
    <row r="83" spans="1:16" x14ac:dyDescent="0.25">
      <c r="A83" s="11">
        <f t="shared" si="12"/>
        <v>28</v>
      </c>
      <c r="B83">
        <v>-10.948362776500968</v>
      </c>
      <c r="E83" s="11">
        <f>A83-'Mastercurve bestimmen'!$B$2</f>
        <v>-97</v>
      </c>
      <c r="F83" s="11">
        <f t="shared" si="10"/>
        <v>-10.948362776500968</v>
      </c>
      <c r="G83" s="11"/>
      <c r="H83" s="11">
        <f t="shared" si="11"/>
        <v>7837433594376961</v>
      </c>
      <c r="I83" s="11">
        <f t="shared" si="9"/>
        <v>-80798284478113</v>
      </c>
      <c r="J83" s="11">
        <f t="shared" si="9"/>
        <v>832972004929</v>
      </c>
      <c r="K83" s="11">
        <f t="shared" si="9"/>
        <v>-8587340257</v>
      </c>
      <c r="L83" s="11">
        <f t="shared" si="9"/>
        <v>88529281</v>
      </c>
      <c r="M83" s="11">
        <f t="shared" si="9"/>
        <v>-912673</v>
      </c>
      <c r="N83" s="11">
        <f t="shared" si="9"/>
        <v>9409</v>
      </c>
      <c r="O83" s="11">
        <f t="shared" si="9"/>
        <v>-97</v>
      </c>
      <c r="P83" s="11">
        <f t="shared" si="13"/>
        <v>0</v>
      </c>
    </row>
    <row r="84" spans="1:16" x14ac:dyDescent="0.25">
      <c r="A84" s="11">
        <f t="shared" si="12"/>
        <v>29</v>
      </c>
      <c r="B84">
        <v>-10.829993957785762</v>
      </c>
      <c r="E84" s="11">
        <f>A84-'Mastercurve bestimmen'!$B$2</f>
        <v>-96</v>
      </c>
      <c r="F84" s="11">
        <f t="shared" si="10"/>
        <v>-10.829993957785762</v>
      </c>
      <c r="G84" s="11"/>
      <c r="H84" s="11">
        <f t="shared" si="11"/>
        <v>7213895789838336</v>
      </c>
      <c r="I84" s="11">
        <f t="shared" si="9"/>
        <v>-75144747810816</v>
      </c>
      <c r="J84" s="11">
        <f t="shared" si="9"/>
        <v>782757789696</v>
      </c>
      <c r="K84" s="11">
        <f t="shared" si="9"/>
        <v>-8153726976</v>
      </c>
      <c r="L84" s="11">
        <f t="shared" si="9"/>
        <v>84934656</v>
      </c>
      <c r="M84" s="11">
        <f t="shared" si="9"/>
        <v>-884736</v>
      </c>
      <c r="N84" s="11">
        <f t="shared" si="9"/>
        <v>9216</v>
      </c>
      <c r="O84" s="11">
        <f t="shared" si="9"/>
        <v>-96</v>
      </c>
      <c r="P84" s="11">
        <f t="shared" si="13"/>
        <v>0</v>
      </c>
    </row>
    <row r="85" spans="1:16" x14ac:dyDescent="0.25">
      <c r="A85" s="11">
        <f t="shared" si="12"/>
        <v>30</v>
      </c>
      <c r="B85">
        <v>-10.711275791118284</v>
      </c>
      <c r="E85" s="11">
        <f>A85-'Mastercurve bestimmen'!$B$2</f>
        <v>-95</v>
      </c>
      <c r="F85" s="11">
        <f t="shared" si="10"/>
        <v>-10.711275791118284</v>
      </c>
      <c r="G85" s="11"/>
      <c r="H85" s="11">
        <f t="shared" si="11"/>
        <v>6634204312890625</v>
      </c>
      <c r="I85" s="11">
        <f t="shared" si="9"/>
        <v>-69833729609375</v>
      </c>
      <c r="J85" s="11">
        <f t="shared" si="9"/>
        <v>735091890625</v>
      </c>
      <c r="K85" s="11">
        <f t="shared" si="9"/>
        <v>-7737809375</v>
      </c>
      <c r="L85" s="11">
        <f t="shared" si="9"/>
        <v>81450625</v>
      </c>
      <c r="M85" s="11">
        <f t="shared" si="9"/>
        <v>-857375</v>
      </c>
      <c r="N85" s="11">
        <f t="shared" si="9"/>
        <v>9025</v>
      </c>
      <c r="O85" s="11">
        <f t="shared" si="9"/>
        <v>-95</v>
      </c>
      <c r="P85" s="11">
        <f t="shared" si="13"/>
        <v>0</v>
      </c>
    </row>
    <row r="86" spans="1:16" x14ac:dyDescent="0.25">
      <c r="A86" s="11">
        <f t="shared" si="12"/>
        <v>31</v>
      </c>
      <c r="B86">
        <v>-10.592296942834594</v>
      </c>
      <c r="E86" s="11">
        <f>A86-'Mastercurve bestimmen'!$B$2</f>
        <v>-94</v>
      </c>
      <c r="F86" s="11">
        <f t="shared" si="10"/>
        <v>-10.592296942834594</v>
      </c>
      <c r="G86" s="11"/>
      <c r="H86" s="11">
        <f t="shared" si="11"/>
        <v>6095689385410816</v>
      </c>
      <c r="I86" s="11">
        <f t="shared" si="9"/>
        <v>-64847759419264</v>
      </c>
      <c r="J86" s="11">
        <f t="shared" si="9"/>
        <v>689869781056</v>
      </c>
      <c r="K86" s="11">
        <f t="shared" si="9"/>
        <v>-7339040224</v>
      </c>
      <c r="L86" s="11">
        <f t="shared" si="9"/>
        <v>78074896</v>
      </c>
      <c r="M86" s="11">
        <f t="shared" si="9"/>
        <v>-830584</v>
      </c>
      <c r="N86" s="11">
        <f t="shared" si="9"/>
        <v>8836</v>
      </c>
      <c r="O86" s="11">
        <f t="shared" si="9"/>
        <v>-94</v>
      </c>
      <c r="P86" s="11">
        <f t="shared" si="13"/>
        <v>0</v>
      </c>
    </row>
    <row r="87" spans="1:16" x14ac:dyDescent="0.25">
      <c r="A87" s="11">
        <f t="shared" si="12"/>
        <v>32</v>
      </c>
      <c r="B87">
        <v>-10.473146079270759</v>
      </c>
      <c r="E87" s="11">
        <f>A87-'Mastercurve bestimmen'!$B$2</f>
        <v>-93</v>
      </c>
      <c r="F87" s="11">
        <f t="shared" si="10"/>
        <v>-10.473146079270759</v>
      </c>
      <c r="G87" s="11"/>
      <c r="H87" s="11">
        <f t="shared" si="11"/>
        <v>5595818096650401</v>
      </c>
      <c r="I87" s="11">
        <f t="shared" si="9"/>
        <v>-60170087060757</v>
      </c>
      <c r="J87" s="11">
        <f t="shared" si="9"/>
        <v>646990183449</v>
      </c>
      <c r="K87" s="11">
        <f t="shared" si="9"/>
        <v>-6956883693</v>
      </c>
      <c r="L87" s="11">
        <f t="shared" si="9"/>
        <v>74805201</v>
      </c>
      <c r="M87" s="11">
        <f t="shared" si="9"/>
        <v>-804357</v>
      </c>
      <c r="N87" s="11">
        <f t="shared" si="9"/>
        <v>8649</v>
      </c>
      <c r="O87" s="11">
        <f t="shared" si="9"/>
        <v>-93</v>
      </c>
      <c r="P87" s="11">
        <f t="shared" si="13"/>
        <v>0</v>
      </c>
    </row>
    <row r="88" spans="1:16" x14ac:dyDescent="0.25">
      <c r="A88" s="11">
        <f t="shared" si="12"/>
        <v>33</v>
      </c>
      <c r="B88">
        <v>-10.353911866762834</v>
      </c>
      <c r="E88" s="11">
        <f>A88-'Mastercurve bestimmen'!$B$2</f>
        <v>-92</v>
      </c>
      <c r="F88" s="11">
        <f t="shared" si="10"/>
        <v>-10.353911866762834</v>
      </c>
      <c r="G88" s="11"/>
      <c r="H88" s="11">
        <f t="shared" si="11"/>
        <v>5132188731375616</v>
      </c>
      <c r="I88" s="11">
        <f t="shared" si="9"/>
        <v>-55784660123648</v>
      </c>
      <c r="J88" s="11">
        <f t="shared" si="9"/>
        <v>606355001344</v>
      </c>
      <c r="K88" s="11">
        <f t="shared" si="9"/>
        <v>-6590815232</v>
      </c>
      <c r="L88" s="11">
        <f t="shared" si="9"/>
        <v>71639296</v>
      </c>
      <c r="M88" s="11">
        <f t="shared" si="9"/>
        <v>-778688</v>
      </c>
      <c r="N88" s="11">
        <f t="shared" si="9"/>
        <v>8464</v>
      </c>
      <c r="O88" s="11">
        <f t="shared" si="9"/>
        <v>-92</v>
      </c>
      <c r="P88" s="11">
        <f t="shared" si="13"/>
        <v>0</v>
      </c>
    </row>
    <row r="89" spans="1:16" x14ac:dyDescent="0.25">
      <c r="A89" s="11">
        <f t="shared" si="12"/>
        <v>34</v>
      </c>
      <c r="B89">
        <v>-10.234682971646885</v>
      </c>
      <c r="E89" s="11">
        <f>A89-'Mastercurve bestimmen'!$B$2</f>
        <v>-91</v>
      </c>
      <c r="F89" s="11">
        <f t="shared" si="10"/>
        <v>-10.234682971646885</v>
      </c>
      <c r="G89" s="11"/>
      <c r="H89" s="11">
        <f t="shared" si="11"/>
        <v>4702525276151521</v>
      </c>
      <c r="I89" s="11">
        <f t="shared" si="9"/>
        <v>-51676101935731</v>
      </c>
      <c r="J89" s="11">
        <f t="shared" si="9"/>
        <v>567869252041</v>
      </c>
      <c r="K89" s="11">
        <f t="shared" si="9"/>
        <v>-6240321451</v>
      </c>
      <c r="L89" s="11">
        <f t="shared" si="9"/>
        <v>68574961</v>
      </c>
      <c r="M89" s="11">
        <f t="shared" si="9"/>
        <v>-753571</v>
      </c>
      <c r="N89" s="11">
        <f t="shared" si="9"/>
        <v>8281</v>
      </c>
      <c r="O89" s="11">
        <f t="shared" si="9"/>
        <v>-91</v>
      </c>
      <c r="P89" s="11">
        <f t="shared" si="13"/>
        <v>0</v>
      </c>
    </row>
    <row r="90" spans="1:16" x14ac:dyDescent="0.25">
      <c r="A90" s="11">
        <f t="shared" si="12"/>
        <v>35</v>
      </c>
      <c r="B90">
        <v>-10.115548060258972</v>
      </c>
      <c r="E90" s="11">
        <f>A90-'Mastercurve bestimmen'!$B$2</f>
        <v>-90</v>
      </c>
      <c r="F90" s="11">
        <f t="shared" si="10"/>
        <v>-10.115548060258972</v>
      </c>
      <c r="G90" s="11"/>
      <c r="H90" s="11">
        <f t="shared" si="11"/>
        <v>4304672100000000</v>
      </c>
      <c r="I90" s="11">
        <f t="shared" si="9"/>
        <v>-47829690000000</v>
      </c>
      <c r="J90" s="11">
        <f t="shared" si="9"/>
        <v>531441000000</v>
      </c>
      <c r="K90" s="11">
        <f t="shared" si="9"/>
        <v>-5904900000</v>
      </c>
      <c r="L90" s="11">
        <f t="shared" si="9"/>
        <v>65610000</v>
      </c>
      <c r="M90" s="11">
        <f t="shared" si="9"/>
        <v>-729000</v>
      </c>
      <c r="N90" s="11">
        <f t="shared" si="9"/>
        <v>8100</v>
      </c>
      <c r="O90" s="11">
        <f t="shared" si="9"/>
        <v>-90</v>
      </c>
      <c r="P90" s="11">
        <f t="shared" si="13"/>
        <v>0</v>
      </c>
    </row>
    <row r="91" spans="1:16" x14ac:dyDescent="0.25">
      <c r="A91" s="11">
        <f t="shared" si="12"/>
        <v>36</v>
      </c>
      <c r="B91">
        <v>-9.9965957989351573</v>
      </c>
      <c r="E91" s="11">
        <f>A91-'Mastercurve bestimmen'!$B$2</f>
        <v>-89</v>
      </c>
      <c r="F91" s="11">
        <f t="shared" si="10"/>
        <v>-9.9965957989351573</v>
      </c>
      <c r="G91" s="11"/>
      <c r="H91" s="11">
        <f t="shared" si="11"/>
        <v>3936588805702081</v>
      </c>
      <c r="I91" s="11">
        <f t="shared" si="9"/>
        <v>-44231334895529</v>
      </c>
      <c r="J91" s="11">
        <f t="shared" si="9"/>
        <v>496981290961</v>
      </c>
      <c r="K91" s="11">
        <f t="shared" si="9"/>
        <v>-5584059449</v>
      </c>
      <c r="L91" s="11">
        <f t="shared" si="9"/>
        <v>62742241</v>
      </c>
      <c r="M91" s="11">
        <f t="shared" si="9"/>
        <v>-704969</v>
      </c>
      <c r="N91" s="11">
        <f t="shared" si="9"/>
        <v>7921</v>
      </c>
      <c r="O91" s="11">
        <f t="shared" si="9"/>
        <v>-89</v>
      </c>
      <c r="P91" s="11">
        <f t="shared" si="13"/>
        <v>0</v>
      </c>
    </row>
    <row r="92" spans="1:16" x14ac:dyDescent="0.25">
      <c r="A92" s="11">
        <f t="shared" si="12"/>
        <v>37</v>
      </c>
      <c r="B92">
        <v>-9.8779148540115038</v>
      </c>
      <c r="E92" s="11">
        <f>A92-'Mastercurve bestimmen'!$B$2</f>
        <v>-88</v>
      </c>
      <c r="F92" s="11">
        <f t="shared" si="10"/>
        <v>-9.8779148540115038</v>
      </c>
      <c r="G92" s="11"/>
      <c r="H92" s="11">
        <f t="shared" si="11"/>
        <v>3596345248055296</v>
      </c>
      <c r="I92" s="11">
        <f t="shared" si="9"/>
        <v>-40867559636992</v>
      </c>
      <c r="J92" s="11">
        <f t="shared" si="9"/>
        <v>464404086784</v>
      </c>
      <c r="K92" s="11">
        <f t="shared" si="9"/>
        <v>-5277319168</v>
      </c>
      <c r="L92" s="11">
        <f t="shared" si="9"/>
        <v>59969536</v>
      </c>
      <c r="M92" s="11">
        <f t="shared" si="9"/>
        <v>-681472</v>
      </c>
      <c r="N92" s="11">
        <f t="shared" si="9"/>
        <v>7744</v>
      </c>
      <c r="O92" s="11">
        <f t="shared" si="9"/>
        <v>-88</v>
      </c>
      <c r="P92" s="11">
        <f t="shared" si="13"/>
        <v>0</v>
      </c>
    </row>
    <row r="93" spans="1:16" x14ac:dyDescent="0.25">
      <c r="A93" s="11">
        <f t="shared" si="12"/>
        <v>38</v>
      </c>
      <c r="B93">
        <v>-9.7595938918240677</v>
      </c>
      <c r="E93" s="11">
        <f>A93-'Mastercurve bestimmen'!$B$2</f>
        <v>-87</v>
      </c>
      <c r="F93" s="11">
        <f t="shared" si="10"/>
        <v>-9.7595938918240677</v>
      </c>
      <c r="G93" s="11"/>
      <c r="H93" s="11">
        <f t="shared" si="11"/>
        <v>3282116715437121</v>
      </c>
      <c r="I93" s="11">
        <f t="shared" si="9"/>
        <v>-37725479487783</v>
      </c>
      <c r="J93" s="11">
        <f t="shared" si="9"/>
        <v>433626201009</v>
      </c>
      <c r="K93" s="11">
        <f t="shared" si="9"/>
        <v>-4984209207</v>
      </c>
      <c r="L93" s="11">
        <f t="shared" si="9"/>
        <v>57289761</v>
      </c>
      <c r="M93" s="11">
        <f t="shared" si="9"/>
        <v>-658503</v>
      </c>
      <c r="N93" s="11">
        <f t="shared" si="9"/>
        <v>7569</v>
      </c>
      <c r="O93" s="11">
        <f t="shared" si="9"/>
        <v>-87</v>
      </c>
      <c r="P93" s="11">
        <f t="shared" si="13"/>
        <v>0</v>
      </c>
    </row>
    <row r="94" spans="1:16" x14ac:dyDescent="0.25">
      <c r="A94" s="11">
        <f t="shared" si="12"/>
        <v>39</v>
      </c>
      <c r="B94">
        <v>-9.6417215787089177</v>
      </c>
      <c r="E94" s="11">
        <f>A94-'Mastercurve bestimmen'!$B$2</f>
        <v>-86</v>
      </c>
      <c r="F94" s="11">
        <f t="shared" si="10"/>
        <v>-9.6417215787089177</v>
      </c>
      <c r="G94" s="11"/>
      <c r="H94" s="11">
        <f t="shared" si="11"/>
        <v>2992179271065856</v>
      </c>
      <c r="I94" s="11">
        <f t="shared" si="9"/>
        <v>-34792782221696</v>
      </c>
      <c r="J94" s="11">
        <f t="shared" si="9"/>
        <v>404567235136</v>
      </c>
      <c r="K94" s="11">
        <f t="shared" si="9"/>
        <v>-4704270176</v>
      </c>
      <c r="L94" s="11">
        <f t="shared" si="9"/>
        <v>54700816</v>
      </c>
      <c r="M94" s="11">
        <f t="shared" si="9"/>
        <v>-636056</v>
      </c>
      <c r="N94" s="11">
        <f t="shared" si="9"/>
        <v>7396</v>
      </c>
      <c r="O94" s="11">
        <f t="shared" si="9"/>
        <v>-86</v>
      </c>
      <c r="P94" s="11">
        <f t="shared" si="13"/>
        <v>0</v>
      </c>
    </row>
    <row r="95" spans="1:16" x14ac:dyDescent="0.25">
      <c r="A95" s="11">
        <f t="shared" si="12"/>
        <v>40</v>
      </c>
      <c r="B95">
        <v>-9.524386581002112</v>
      </c>
      <c r="E95" s="11">
        <f>A95-'Mastercurve bestimmen'!$B$2</f>
        <v>-85</v>
      </c>
      <c r="F95" s="11">
        <f t="shared" si="10"/>
        <v>-9.524386581002112</v>
      </c>
      <c r="G95" s="11"/>
      <c r="H95" s="11">
        <f t="shared" si="11"/>
        <v>2724905250390625</v>
      </c>
      <c r="I95" s="11">
        <f t="shared" si="9"/>
        <v>-32057708828125</v>
      </c>
      <c r="J95" s="11">
        <f t="shared" si="9"/>
        <v>377149515625</v>
      </c>
      <c r="K95" s="11">
        <f t="shared" si="9"/>
        <v>-4437053125</v>
      </c>
      <c r="L95" s="11">
        <f t="shared" si="9"/>
        <v>52200625</v>
      </c>
      <c r="M95" s="11">
        <f t="shared" si="9"/>
        <v>-614125</v>
      </c>
      <c r="N95" s="11">
        <f t="shared" si="9"/>
        <v>7225</v>
      </c>
      <c r="O95" s="11">
        <f t="shared" si="9"/>
        <v>-85</v>
      </c>
      <c r="P95" s="11">
        <f t="shared" si="13"/>
        <v>0</v>
      </c>
    </row>
    <row r="96" spans="1:16" x14ac:dyDescent="0.25">
      <c r="A96" s="11">
        <f t="shared" si="12"/>
        <v>41</v>
      </c>
      <c r="B96">
        <v>-9.4076775650397124</v>
      </c>
      <c r="E96" s="11">
        <f>A96-'Mastercurve bestimmen'!$B$2</f>
        <v>-84</v>
      </c>
      <c r="F96" s="11">
        <f t="shared" si="10"/>
        <v>-9.4076775650397124</v>
      </c>
      <c r="G96" s="11"/>
      <c r="H96" s="11">
        <f t="shared" si="11"/>
        <v>2478758911082496</v>
      </c>
      <c r="I96" s="11">
        <f t="shared" si="9"/>
        <v>-29509034655744</v>
      </c>
      <c r="J96" s="11">
        <f t="shared" si="9"/>
        <v>351298031616</v>
      </c>
      <c r="K96" s="11">
        <f t="shared" si="9"/>
        <v>-4182119424</v>
      </c>
      <c r="L96" s="11">
        <f t="shared" si="9"/>
        <v>49787136</v>
      </c>
      <c r="M96" s="11">
        <f t="shared" si="9"/>
        <v>-592704</v>
      </c>
      <c r="N96" s="11">
        <f t="shared" si="9"/>
        <v>7056</v>
      </c>
      <c r="O96" s="11">
        <f t="shared" si="9"/>
        <v>-84</v>
      </c>
      <c r="P96" s="11">
        <f t="shared" si="13"/>
        <v>0</v>
      </c>
    </row>
    <row r="97" spans="1:16" x14ac:dyDescent="0.25">
      <c r="A97" s="11">
        <f t="shared" si="12"/>
        <v>42</v>
      </c>
      <c r="B97">
        <v>-9.2916831971577789</v>
      </c>
      <c r="E97" s="11">
        <f>A97-'Mastercurve bestimmen'!$B$2</f>
        <v>-83</v>
      </c>
      <c r="F97" s="11">
        <f t="shared" si="10"/>
        <v>-9.2916831971577789</v>
      </c>
      <c r="G97" s="11"/>
      <c r="H97" s="11">
        <f t="shared" si="11"/>
        <v>2252292232139041</v>
      </c>
      <c r="I97" s="11">
        <f t="shared" si="9"/>
        <v>-27136050989627</v>
      </c>
      <c r="J97" s="11">
        <f t="shared" si="9"/>
        <v>326940373369</v>
      </c>
      <c r="K97" s="11">
        <f t="shared" si="9"/>
        <v>-3939040643</v>
      </c>
      <c r="L97" s="11">
        <f t="shared" si="9"/>
        <v>47458321</v>
      </c>
      <c r="M97" s="11">
        <f t="shared" si="9"/>
        <v>-571787</v>
      </c>
      <c r="N97" s="11">
        <f t="shared" si="9"/>
        <v>6889</v>
      </c>
      <c r="O97" s="11">
        <f t="shared" si="9"/>
        <v>-83</v>
      </c>
      <c r="P97" s="11">
        <f t="shared" si="13"/>
        <v>0</v>
      </c>
    </row>
    <row r="98" spans="1:16" x14ac:dyDescent="0.25">
      <c r="A98" s="11">
        <f t="shared" si="12"/>
        <v>43</v>
      </c>
      <c r="B98">
        <v>-9.176492143692375</v>
      </c>
      <c r="E98" s="11">
        <f>A98-'Mastercurve bestimmen'!$B$2</f>
        <v>-82</v>
      </c>
      <c r="F98" s="11">
        <f t="shared" si="10"/>
        <v>-9.176492143692375</v>
      </c>
      <c r="G98" s="11"/>
      <c r="H98" s="11">
        <f t="shared" si="11"/>
        <v>2044140858654976</v>
      </c>
      <c r="I98" s="11">
        <f t="shared" si="9"/>
        <v>-24928547056768</v>
      </c>
      <c r="J98" s="11">
        <f t="shared" si="9"/>
        <v>304006671424</v>
      </c>
      <c r="K98" s="11">
        <f t="shared" si="9"/>
        <v>-3707398432</v>
      </c>
      <c r="L98" s="11">
        <f t="shared" si="9"/>
        <v>45212176</v>
      </c>
      <c r="M98" s="11">
        <f t="shared" si="9"/>
        <v>-551368</v>
      </c>
      <c r="N98" s="11">
        <f t="shared" si="9"/>
        <v>6724</v>
      </c>
      <c r="O98" s="11">
        <f t="shared" si="9"/>
        <v>-82</v>
      </c>
      <c r="P98" s="11">
        <f t="shared" si="13"/>
        <v>0</v>
      </c>
    </row>
    <row r="99" spans="1:16" x14ac:dyDescent="0.25">
      <c r="A99" s="11">
        <f t="shared" si="12"/>
        <v>44</v>
      </c>
      <c r="B99">
        <v>-9.0621930709795624</v>
      </c>
      <c r="E99" s="11">
        <f>A99-'Mastercurve bestimmen'!$B$2</f>
        <v>-81</v>
      </c>
      <c r="F99" s="11">
        <f t="shared" si="10"/>
        <v>-9.0621930709795624</v>
      </c>
      <c r="G99" s="11"/>
      <c r="H99" s="11">
        <f t="shared" si="11"/>
        <v>1853020188851841</v>
      </c>
      <c r="I99" s="11">
        <f t="shared" si="9"/>
        <v>-22876792454961</v>
      </c>
      <c r="J99" s="11">
        <f t="shared" si="9"/>
        <v>282429536481</v>
      </c>
      <c r="K99" s="11">
        <f t="shared" si="9"/>
        <v>-3486784401</v>
      </c>
      <c r="L99" s="11">
        <f t="shared" si="9"/>
        <v>43046721</v>
      </c>
      <c r="M99" s="11">
        <f t="shared" si="9"/>
        <v>-531441</v>
      </c>
      <c r="N99" s="11">
        <f t="shared" si="9"/>
        <v>6561</v>
      </c>
      <c r="O99" s="11">
        <f t="shared" si="9"/>
        <v>-81</v>
      </c>
      <c r="P99" s="11">
        <f t="shared" si="13"/>
        <v>0</v>
      </c>
    </row>
    <row r="100" spans="1:16" x14ac:dyDescent="0.25">
      <c r="A100" s="11">
        <f t="shared" si="12"/>
        <v>45</v>
      </c>
      <c r="B100">
        <v>-8.9488746453554029</v>
      </c>
      <c r="E100" s="11">
        <f>A100-'Mastercurve bestimmen'!$B$2</f>
        <v>-80</v>
      </c>
      <c r="F100" s="11">
        <f t="shared" si="10"/>
        <v>-8.9488746453554029</v>
      </c>
      <c r="G100" s="11"/>
      <c r="H100" s="11">
        <f t="shared" si="11"/>
        <v>1677721600000000</v>
      </c>
      <c r="I100" s="11">
        <f t="shared" si="9"/>
        <v>-20971520000000</v>
      </c>
      <c r="J100" s="11">
        <f t="shared" si="9"/>
        <v>262144000000</v>
      </c>
      <c r="K100" s="11">
        <f t="shared" si="9"/>
        <v>-3276800000</v>
      </c>
      <c r="L100" s="11">
        <f t="shared" si="9"/>
        <v>40960000</v>
      </c>
      <c r="M100" s="11">
        <f t="shared" si="9"/>
        <v>-512000</v>
      </c>
      <c r="N100" s="11">
        <f t="shared" si="9"/>
        <v>6400</v>
      </c>
      <c r="O100" s="11">
        <f t="shared" si="9"/>
        <v>-80</v>
      </c>
      <c r="P100" s="11">
        <f t="shared" si="13"/>
        <v>0</v>
      </c>
    </row>
    <row r="101" spans="1:16" x14ac:dyDescent="0.25">
      <c r="A101" s="11">
        <f t="shared" si="12"/>
        <v>46</v>
      </c>
      <c r="B101">
        <v>-8.8366255331559564</v>
      </c>
      <c r="E101" s="11">
        <f>A101-'Mastercurve bestimmen'!$B$2</f>
        <v>-79</v>
      </c>
      <c r="F101" s="11">
        <f t="shared" si="10"/>
        <v>-8.8366255331559564</v>
      </c>
      <c r="G101" s="11"/>
      <c r="H101" s="11">
        <f t="shared" si="11"/>
        <v>1517108809906561</v>
      </c>
      <c r="I101" s="11">
        <f t="shared" si="9"/>
        <v>-19203908986159</v>
      </c>
      <c r="J101" s="11">
        <f t="shared" si="9"/>
        <v>243087455521</v>
      </c>
      <c r="K101" s="11">
        <f t="shared" si="9"/>
        <v>-3077056399</v>
      </c>
      <c r="L101" s="11">
        <f t="shared" si="9"/>
        <v>38950081</v>
      </c>
      <c r="M101" s="11">
        <f t="shared" si="9"/>
        <v>-493039</v>
      </c>
      <c r="N101" s="11">
        <f t="shared" si="9"/>
        <v>6241</v>
      </c>
      <c r="O101" s="11">
        <f t="shared" si="9"/>
        <v>-79</v>
      </c>
      <c r="P101" s="11">
        <f t="shared" si="13"/>
        <v>0</v>
      </c>
    </row>
    <row r="102" spans="1:16" x14ac:dyDescent="0.25">
      <c r="A102" s="11">
        <f t="shared" si="12"/>
        <v>47</v>
      </c>
      <c r="B102">
        <v>-8.7255344007172866</v>
      </c>
      <c r="E102" s="11">
        <f>A102-'Mastercurve bestimmen'!$B$2</f>
        <v>-78</v>
      </c>
      <c r="F102" s="11">
        <f t="shared" si="10"/>
        <v>-8.7255344007172866</v>
      </c>
      <c r="G102" s="11"/>
      <c r="H102" s="11">
        <f t="shared" si="11"/>
        <v>1370114370683136</v>
      </c>
      <c r="I102" s="11">
        <f t="shared" si="9"/>
        <v>-17565568854912</v>
      </c>
      <c r="J102" s="11">
        <f t="shared" si="9"/>
        <v>225199600704</v>
      </c>
      <c r="K102" s="11">
        <f t="shared" si="9"/>
        <v>-2887174368</v>
      </c>
      <c r="L102" s="11">
        <f t="shared" si="9"/>
        <v>37015056</v>
      </c>
      <c r="M102" s="11">
        <f t="shared" si="9"/>
        <v>-474552</v>
      </c>
      <c r="N102" s="11">
        <f t="shared" si="9"/>
        <v>6084</v>
      </c>
      <c r="O102" s="11">
        <f t="shared" si="9"/>
        <v>-78</v>
      </c>
      <c r="P102" s="11">
        <f t="shared" si="13"/>
        <v>0</v>
      </c>
    </row>
    <row r="103" spans="1:16" x14ac:dyDescent="0.25">
      <c r="A103" s="11">
        <f t="shared" si="12"/>
        <v>48</v>
      </c>
      <c r="B103">
        <v>-8.6156899143754533</v>
      </c>
      <c r="E103" s="11">
        <f>A103-'Mastercurve bestimmen'!$B$2</f>
        <v>-77</v>
      </c>
      <c r="F103" s="11">
        <f t="shared" si="10"/>
        <v>-8.6156899143754533</v>
      </c>
      <c r="G103" s="11"/>
      <c r="H103" s="11">
        <f t="shared" si="11"/>
        <v>1235736291547681</v>
      </c>
      <c r="I103" s="11">
        <f t="shared" si="9"/>
        <v>-16048523266853</v>
      </c>
      <c r="J103" s="11">
        <f t="shared" si="9"/>
        <v>208422380089</v>
      </c>
      <c r="K103" s="11">
        <f t="shared" si="9"/>
        <v>-2706784157</v>
      </c>
      <c r="L103" s="11">
        <f t="shared" si="9"/>
        <v>35153041</v>
      </c>
      <c r="M103" s="11">
        <f t="shared" si="9"/>
        <v>-456533</v>
      </c>
      <c r="N103" s="11">
        <f t="shared" si="9"/>
        <v>5929</v>
      </c>
      <c r="O103" s="11">
        <f t="shared" si="9"/>
        <v>-77</v>
      </c>
      <c r="P103" s="11">
        <f t="shared" si="13"/>
        <v>0</v>
      </c>
    </row>
    <row r="104" spans="1:16" x14ac:dyDescent="0.25">
      <c r="A104" s="11">
        <f t="shared" si="12"/>
        <v>49</v>
      </c>
      <c r="B104">
        <v>-8.5071807404665201</v>
      </c>
      <c r="E104" s="11">
        <f>A104-'Mastercurve bestimmen'!$B$2</f>
        <v>-76</v>
      </c>
      <c r="F104" s="11">
        <f t="shared" si="10"/>
        <v>-8.5071807404665201</v>
      </c>
      <c r="G104" s="11"/>
      <c r="H104" s="11">
        <f t="shared" si="11"/>
        <v>1113034787454976</v>
      </c>
      <c r="I104" s="11">
        <f t="shared" si="9"/>
        <v>-14645194571776</v>
      </c>
      <c r="J104" s="11">
        <f t="shared" si="9"/>
        <v>192699928576</v>
      </c>
      <c r="K104" s="11">
        <f t="shared" si="9"/>
        <v>-2535525376</v>
      </c>
      <c r="L104" s="11">
        <f t="shared" si="9"/>
        <v>33362176</v>
      </c>
      <c r="M104" s="11">
        <f t="shared" si="9"/>
        <v>-438976</v>
      </c>
      <c r="N104" s="11">
        <f t="shared" si="9"/>
        <v>5776</v>
      </c>
      <c r="O104" s="11">
        <f t="shared" si="9"/>
        <v>-76</v>
      </c>
      <c r="P104" s="11">
        <f t="shared" si="13"/>
        <v>0</v>
      </c>
    </row>
    <row r="105" spans="1:16" x14ac:dyDescent="0.25">
      <c r="A105" s="11">
        <f t="shared" si="12"/>
        <v>50</v>
      </c>
      <c r="B105">
        <v>-8.4000955453265451</v>
      </c>
      <c r="E105" s="11">
        <f>A105-'Mastercurve bestimmen'!$B$2</f>
        <v>-75</v>
      </c>
      <c r="F105" s="11">
        <f t="shared" si="10"/>
        <v>-8.4000955453265451</v>
      </c>
      <c r="G105" s="11"/>
      <c r="H105" s="11">
        <f t="shared" si="11"/>
        <v>1001129150390625</v>
      </c>
      <c r="I105" s="11">
        <f t="shared" si="9"/>
        <v>-13348388671875</v>
      </c>
      <c r="J105" s="11">
        <f t="shared" si="9"/>
        <v>177978515625</v>
      </c>
      <c r="K105" s="11">
        <f t="shared" si="9"/>
        <v>-2373046875</v>
      </c>
      <c r="L105" s="11">
        <f t="shared" si="9"/>
        <v>31640625</v>
      </c>
      <c r="M105" s="11">
        <f t="shared" si="9"/>
        <v>-421875</v>
      </c>
      <c r="N105" s="11">
        <f t="shared" si="9"/>
        <v>5625</v>
      </c>
      <c r="O105" s="11">
        <f t="shared" si="9"/>
        <v>-75</v>
      </c>
      <c r="P105" s="11">
        <f t="shared" si="13"/>
        <v>0</v>
      </c>
    </row>
    <row r="106" spans="1:16" x14ac:dyDescent="0.25">
      <c r="A106" s="11">
        <f t="shared" si="12"/>
        <v>51</v>
      </c>
      <c r="B106">
        <v>-8.2944937547040123</v>
      </c>
      <c r="E106" s="11">
        <f>A106-'Mastercurve bestimmen'!$B$2</f>
        <v>-74</v>
      </c>
      <c r="F106" s="11">
        <f t="shared" si="10"/>
        <v>-8.2944937547040123</v>
      </c>
      <c r="G106" s="11"/>
      <c r="H106" s="11">
        <f t="shared" si="11"/>
        <v>899194740203776</v>
      </c>
      <c r="I106" s="11">
        <f t="shared" si="9"/>
        <v>-12151280273024</v>
      </c>
      <c r="J106" s="11">
        <f t="shared" si="9"/>
        <v>164206490176</v>
      </c>
      <c r="K106" s="11">
        <f t="shared" si="9"/>
        <v>-2219006624</v>
      </c>
      <c r="L106" s="11">
        <f t="shared" si="9"/>
        <v>29986576</v>
      </c>
      <c r="M106" s="11">
        <f t="shared" si="9"/>
        <v>-405224</v>
      </c>
      <c r="N106" s="11">
        <f t="shared" si="9"/>
        <v>5476</v>
      </c>
      <c r="O106" s="11">
        <f t="shared" si="9"/>
        <v>-74</v>
      </c>
      <c r="P106" s="11">
        <f t="shared" si="13"/>
        <v>0</v>
      </c>
    </row>
    <row r="107" spans="1:16" x14ac:dyDescent="0.25">
      <c r="A107" s="11">
        <f t="shared" si="12"/>
        <v>52</v>
      </c>
      <c r="B107">
        <v>-8.1903178319970795</v>
      </c>
      <c r="E107" s="11">
        <f>A107-'Mastercurve bestimmen'!$B$2</f>
        <v>-73</v>
      </c>
      <c r="F107" s="11">
        <f t="shared" si="10"/>
        <v>-8.1903178319970795</v>
      </c>
      <c r="G107" s="11"/>
      <c r="H107" s="11">
        <f t="shared" si="11"/>
        <v>806460091894081</v>
      </c>
      <c r="I107" s="11">
        <f t="shared" si="9"/>
        <v>-11047398519097</v>
      </c>
      <c r="J107" s="11">
        <f t="shared" si="9"/>
        <v>151334226289</v>
      </c>
      <c r="K107" s="11">
        <f t="shared" si="9"/>
        <v>-2073071593</v>
      </c>
      <c r="L107" s="11">
        <f t="shared" si="9"/>
        <v>28398241</v>
      </c>
      <c r="M107" s="11">
        <f t="shared" si="9"/>
        <v>-389017</v>
      </c>
      <c r="N107" s="11">
        <f t="shared" si="9"/>
        <v>5329</v>
      </c>
      <c r="O107" s="11">
        <f t="shared" si="9"/>
        <v>-73</v>
      </c>
      <c r="P107" s="11">
        <f t="shared" si="13"/>
        <v>0</v>
      </c>
    </row>
    <row r="108" spans="1:16" x14ac:dyDescent="0.25">
      <c r="A108" s="11">
        <f t="shared" si="12"/>
        <v>53</v>
      </c>
      <c r="B108">
        <v>-8.0874810000163233</v>
      </c>
      <c r="E108" s="11">
        <f>A108-'Mastercurve bestimmen'!$B$2</f>
        <v>-72</v>
      </c>
      <c r="F108" s="11">
        <f t="shared" si="10"/>
        <v>-8.0874810000163233</v>
      </c>
      <c r="G108" s="11"/>
      <c r="H108" s="11">
        <f t="shared" si="11"/>
        <v>722204136308736</v>
      </c>
      <c r="I108" s="11">
        <f t="shared" si="9"/>
        <v>-10030613004288</v>
      </c>
      <c r="J108" s="11">
        <f t="shared" si="9"/>
        <v>139314069504</v>
      </c>
      <c r="K108" s="11">
        <f t="shared" si="9"/>
        <v>-1934917632</v>
      </c>
      <c r="L108" s="11">
        <f t="shared" si="9"/>
        <v>26873856</v>
      </c>
      <c r="M108" s="11">
        <f t="shared" si="9"/>
        <v>-373248</v>
      </c>
      <c r="N108" s="11">
        <f t="shared" si="9"/>
        <v>5184</v>
      </c>
      <c r="O108" s="11">
        <f t="shared" si="9"/>
        <v>-72</v>
      </c>
      <c r="P108" s="11">
        <f t="shared" si="13"/>
        <v>0</v>
      </c>
    </row>
    <row r="109" spans="1:16" x14ac:dyDescent="0.25">
      <c r="A109" s="11">
        <f t="shared" si="12"/>
        <v>54</v>
      </c>
      <c r="B109">
        <v>-7.9858964815723201</v>
      </c>
      <c r="E109" s="11">
        <f>A109-'Mastercurve bestimmen'!$B$2</f>
        <v>-71</v>
      </c>
      <c r="F109" s="11">
        <f t="shared" si="10"/>
        <v>-7.9858964815723201</v>
      </c>
      <c r="G109" s="11"/>
      <c r="H109" s="11">
        <f t="shared" si="11"/>
        <v>645753531245761</v>
      </c>
      <c r="I109" s="11">
        <f t="shared" si="9"/>
        <v>-9095120158391</v>
      </c>
      <c r="J109" s="11">
        <f t="shared" si="9"/>
        <v>128100283921</v>
      </c>
      <c r="K109" s="11">
        <f t="shared" si="9"/>
        <v>-1804229351</v>
      </c>
      <c r="L109" s="11">
        <f t="shared" si="9"/>
        <v>25411681</v>
      </c>
      <c r="M109" s="11">
        <f t="shared" si="9"/>
        <v>-357911</v>
      </c>
      <c r="N109" s="11">
        <f t="shared" si="9"/>
        <v>5041</v>
      </c>
      <c r="O109" s="11">
        <f t="shared" si="9"/>
        <v>-71</v>
      </c>
      <c r="P109" s="11">
        <f t="shared" si="13"/>
        <v>0</v>
      </c>
    </row>
    <row r="110" spans="1:16" x14ac:dyDescent="0.25">
      <c r="A110" s="11">
        <f t="shared" si="12"/>
        <v>55</v>
      </c>
      <c r="B110">
        <v>-7.8854774994756482</v>
      </c>
      <c r="E110" s="11">
        <f>A110-'Mastercurve bestimmen'!$B$2</f>
        <v>-70</v>
      </c>
      <c r="F110" s="11">
        <f t="shared" si="10"/>
        <v>-7.8854774994756482</v>
      </c>
      <c r="G110" s="11"/>
      <c r="H110" s="11">
        <f t="shared" si="11"/>
        <v>576480100000000</v>
      </c>
      <c r="I110" s="11">
        <f t="shared" si="9"/>
        <v>-8235430000000</v>
      </c>
      <c r="J110" s="11">
        <f t="shared" si="9"/>
        <v>117649000000</v>
      </c>
      <c r="K110" s="11">
        <f t="shared" si="9"/>
        <v>-1680700000</v>
      </c>
      <c r="L110" s="11">
        <f t="shared" si="9"/>
        <v>24010000</v>
      </c>
      <c r="M110" s="11">
        <f t="shared" si="9"/>
        <v>-343000</v>
      </c>
      <c r="N110" s="11">
        <f t="shared" si="9"/>
        <v>4900</v>
      </c>
      <c r="O110" s="11">
        <f t="shared" si="9"/>
        <v>-70</v>
      </c>
      <c r="P110" s="11">
        <f t="shared" si="13"/>
        <v>0</v>
      </c>
    </row>
    <row r="111" spans="1:16" x14ac:dyDescent="0.25">
      <c r="A111" s="11">
        <f t="shared" si="12"/>
        <v>56</v>
      </c>
      <c r="B111">
        <v>-7.7861372765368833</v>
      </c>
      <c r="E111" s="11">
        <f>A111-'Mastercurve bestimmen'!$B$2</f>
        <v>-69</v>
      </c>
      <c r="F111" s="11">
        <f t="shared" si="10"/>
        <v>-7.7861372765368833</v>
      </c>
      <c r="G111" s="11"/>
      <c r="H111" s="11">
        <f t="shared" si="11"/>
        <v>513798374428641</v>
      </c>
      <c r="I111" s="11">
        <f t="shared" si="9"/>
        <v>-7446353252589</v>
      </c>
      <c r="J111" s="11">
        <f t="shared" si="9"/>
        <v>107918163081</v>
      </c>
      <c r="K111" s="11">
        <f t="shared" si="9"/>
        <v>-1564031349</v>
      </c>
      <c r="L111" s="11">
        <f t="shared" si="9"/>
        <v>22667121</v>
      </c>
      <c r="M111" s="11">
        <f t="shared" si="9"/>
        <v>-328509</v>
      </c>
      <c r="N111" s="11">
        <f t="shared" si="9"/>
        <v>4761</v>
      </c>
      <c r="O111" s="11">
        <f t="shared" si="9"/>
        <v>-69</v>
      </c>
      <c r="P111" s="11">
        <f t="shared" si="13"/>
        <v>0</v>
      </c>
    </row>
    <row r="112" spans="1:16" x14ac:dyDescent="0.25">
      <c r="A112" s="11">
        <f t="shared" si="12"/>
        <v>57</v>
      </c>
      <c r="B112">
        <v>-7.6877890355666034</v>
      </c>
      <c r="E112" s="11">
        <f>A112-'Mastercurve bestimmen'!$B$2</f>
        <v>-68</v>
      </c>
      <c r="F112" s="11">
        <f t="shared" si="10"/>
        <v>-7.6877890355666034</v>
      </c>
      <c r="G112" s="11"/>
      <c r="H112" s="11">
        <f t="shared" si="11"/>
        <v>457163239653376</v>
      </c>
      <c r="I112" s="11">
        <f t="shared" si="9"/>
        <v>-6722988818432</v>
      </c>
      <c r="J112" s="11">
        <f t="shared" si="9"/>
        <v>98867482624</v>
      </c>
      <c r="K112" s="11">
        <f t="shared" si="9"/>
        <v>-1453933568</v>
      </c>
      <c r="L112" s="11">
        <f t="shared" si="9"/>
        <v>21381376</v>
      </c>
      <c r="M112" s="11">
        <f t="shared" si="9"/>
        <v>-314432</v>
      </c>
      <c r="N112" s="11">
        <f t="shared" si="9"/>
        <v>4624</v>
      </c>
      <c r="O112" s="11">
        <f t="shared" si="9"/>
        <v>-68</v>
      </c>
      <c r="P112" s="11">
        <f t="shared" si="13"/>
        <v>0</v>
      </c>
    </row>
    <row r="113" spans="1:16" x14ac:dyDescent="0.25">
      <c r="A113" s="11">
        <f t="shared" si="12"/>
        <v>58</v>
      </c>
      <c r="B113">
        <v>-7.590345999375387</v>
      </c>
      <c r="E113" s="11">
        <f>A113-'Mastercurve bestimmen'!$B$2</f>
        <v>-67</v>
      </c>
      <c r="F113" s="11">
        <f t="shared" si="10"/>
        <v>-7.590345999375387</v>
      </c>
      <c r="G113" s="11"/>
      <c r="H113" s="11">
        <f t="shared" si="11"/>
        <v>406067677556641</v>
      </c>
      <c r="I113" s="11">
        <f t="shared" si="9"/>
        <v>-6060711605323</v>
      </c>
      <c r="J113" s="11">
        <f t="shared" si="9"/>
        <v>90458382169</v>
      </c>
      <c r="K113" s="11">
        <f t="shared" si="9"/>
        <v>-1350125107</v>
      </c>
      <c r="L113" s="11">
        <f t="shared" si="9"/>
        <v>20151121</v>
      </c>
      <c r="M113" s="11">
        <f t="shared" si="9"/>
        <v>-300763</v>
      </c>
      <c r="N113" s="11">
        <f t="shared" si="9"/>
        <v>4489</v>
      </c>
      <c r="O113" s="11">
        <f t="shared" si="9"/>
        <v>-67</v>
      </c>
      <c r="P113" s="11">
        <f t="shared" si="13"/>
        <v>0</v>
      </c>
    </row>
    <row r="114" spans="1:16" x14ac:dyDescent="0.25">
      <c r="A114" s="11">
        <f t="shared" si="12"/>
        <v>59</v>
      </c>
      <c r="B114">
        <v>-7.4937213907738096</v>
      </c>
      <c r="E114" s="11">
        <f>A114-'Mastercurve bestimmen'!$B$2</f>
        <v>-66</v>
      </c>
      <c r="F114" s="11">
        <f t="shared" si="10"/>
        <v>-7.4937213907738096</v>
      </c>
      <c r="G114" s="11"/>
      <c r="H114" s="11">
        <f t="shared" si="11"/>
        <v>360040606269696</v>
      </c>
      <c r="I114" s="11">
        <f t="shared" si="9"/>
        <v>-5455160701056</v>
      </c>
      <c r="J114" s="11">
        <f t="shared" si="9"/>
        <v>82653950016</v>
      </c>
      <c r="K114" s="11">
        <f t="shared" si="9"/>
        <v>-1252332576</v>
      </c>
      <c r="L114" s="11">
        <f t="shared" si="9"/>
        <v>18974736</v>
      </c>
      <c r="M114" s="11">
        <f t="shared" si="9"/>
        <v>-287496</v>
      </c>
      <c r="N114" s="11">
        <f t="shared" si="9"/>
        <v>4356</v>
      </c>
      <c r="O114" s="11">
        <f t="shared" si="9"/>
        <v>-66</v>
      </c>
      <c r="P114" s="11">
        <f t="shared" si="13"/>
        <v>0</v>
      </c>
    </row>
    <row r="115" spans="1:16" x14ac:dyDescent="0.25">
      <c r="A115" s="11">
        <f t="shared" si="12"/>
        <v>60</v>
      </c>
      <c r="B115">
        <v>-7.3978284325724477</v>
      </c>
      <c r="E115" s="11">
        <f>A115-'Mastercurve bestimmen'!$B$2</f>
        <v>-65</v>
      </c>
      <c r="F115" s="11">
        <f t="shared" si="10"/>
        <v>-7.3978284325724477</v>
      </c>
      <c r="G115" s="11"/>
      <c r="H115" s="11">
        <f t="shared" si="11"/>
        <v>318644812890625</v>
      </c>
      <c r="I115" s="11">
        <f t="shared" si="9"/>
        <v>-4902227890625</v>
      </c>
      <c r="J115" s="11">
        <f t="shared" si="9"/>
        <v>75418890625</v>
      </c>
      <c r="K115" s="11">
        <f t="shared" si="9"/>
        <v>-1160290625</v>
      </c>
      <c r="L115" s="11">
        <f t="shared" si="9"/>
        <v>17850625</v>
      </c>
      <c r="M115" s="11">
        <f t="shared" si="9"/>
        <v>-274625</v>
      </c>
      <c r="N115" s="11">
        <f t="shared" si="9"/>
        <v>4225</v>
      </c>
      <c r="O115" s="11">
        <f t="shared" si="9"/>
        <v>-65</v>
      </c>
      <c r="P115" s="11">
        <f t="shared" si="13"/>
        <v>0</v>
      </c>
    </row>
    <row r="116" spans="1:16" x14ac:dyDescent="0.25">
      <c r="A116" s="11">
        <f t="shared" si="12"/>
        <v>61</v>
      </c>
      <c r="B116">
        <v>-7.3025803475818796</v>
      </c>
      <c r="E116" s="11">
        <f>A116-'Mastercurve bestimmen'!$B$2</f>
        <v>-64</v>
      </c>
      <c r="F116" s="11">
        <f t="shared" si="10"/>
        <v>-7.3025803475818796</v>
      </c>
      <c r="G116" s="11"/>
      <c r="H116" s="11">
        <f t="shared" si="11"/>
        <v>281474976710656</v>
      </c>
      <c r="I116" s="11">
        <f t="shared" si="9"/>
        <v>-4398046511104</v>
      </c>
      <c r="J116" s="11">
        <f t="shared" si="9"/>
        <v>68719476736</v>
      </c>
      <c r="K116" s="11">
        <f t="shared" ref="I116:O152" si="14">IF($H$12&gt;=K$14,$E116^K$14,0)</f>
        <v>-1073741824</v>
      </c>
      <c r="L116" s="11">
        <f t="shared" si="14"/>
        <v>16777216</v>
      </c>
      <c r="M116" s="11">
        <f t="shared" si="14"/>
        <v>-262144</v>
      </c>
      <c r="N116" s="11">
        <f t="shared" si="14"/>
        <v>4096</v>
      </c>
      <c r="O116" s="11">
        <f t="shared" si="14"/>
        <v>-64</v>
      </c>
      <c r="P116" s="11">
        <f t="shared" si="13"/>
        <v>0</v>
      </c>
    </row>
    <row r="117" spans="1:16" x14ac:dyDescent="0.25">
      <c r="A117" s="11">
        <f t="shared" si="12"/>
        <v>62</v>
      </c>
      <c r="B117">
        <v>-7.2078903586126826</v>
      </c>
      <c r="E117" s="11">
        <f>A117-'Mastercurve bestimmen'!$B$2</f>
        <v>-63</v>
      </c>
      <c r="F117" s="11">
        <f t="shared" si="10"/>
        <v>-7.2078903586126826</v>
      </c>
      <c r="G117" s="11"/>
      <c r="H117" s="11">
        <f t="shared" si="11"/>
        <v>248155780267521</v>
      </c>
      <c r="I117" s="11">
        <f t="shared" si="14"/>
        <v>-3938980639167</v>
      </c>
      <c r="J117" s="11">
        <f t="shared" si="14"/>
        <v>62523502209</v>
      </c>
      <c r="K117" s="11">
        <f t="shared" si="14"/>
        <v>-992436543</v>
      </c>
      <c r="L117" s="11">
        <f t="shared" si="14"/>
        <v>15752961</v>
      </c>
      <c r="M117" s="11">
        <f t="shared" si="14"/>
        <v>-250047</v>
      </c>
      <c r="N117" s="11">
        <f t="shared" si="14"/>
        <v>3969</v>
      </c>
      <c r="O117" s="11">
        <f t="shared" si="14"/>
        <v>-63</v>
      </c>
      <c r="P117" s="11">
        <f t="shared" si="13"/>
        <v>0</v>
      </c>
    </row>
    <row r="118" spans="1:16" x14ac:dyDescent="0.25">
      <c r="A118" s="11">
        <f t="shared" si="12"/>
        <v>63</v>
      </c>
      <c r="B118">
        <v>-7.113671688475435</v>
      </c>
      <c r="E118" s="11">
        <f>A118-'Mastercurve bestimmen'!$B$2</f>
        <v>-62</v>
      </c>
      <c r="F118" s="11">
        <f t="shared" si="10"/>
        <v>-7.113671688475435</v>
      </c>
      <c r="G118" s="11"/>
      <c r="H118" s="11">
        <f t="shared" si="11"/>
        <v>218340105584896</v>
      </c>
      <c r="I118" s="11">
        <f t="shared" si="14"/>
        <v>-3521614606208</v>
      </c>
      <c r="J118" s="11">
        <f t="shared" si="14"/>
        <v>56800235584</v>
      </c>
      <c r="K118" s="11">
        <f t="shared" si="14"/>
        <v>-916132832</v>
      </c>
      <c r="L118" s="11">
        <f t="shared" si="14"/>
        <v>14776336</v>
      </c>
      <c r="M118" s="11">
        <f t="shared" si="14"/>
        <v>-238328</v>
      </c>
      <c r="N118" s="11">
        <f t="shared" si="14"/>
        <v>3844</v>
      </c>
      <c r="O118" s="11">
        <f t="shared" si="14"/>
        <v>-62</v>
      </c>
      <c r="P118" s="11">
        <f t="shared" si="13"/>
        <v>0</v>
      </c>
    </row>
    <row r="119" spans="1:16" x14ac:dyDescent="0.25">
      <c r="A119" s="11">
        <f t="shared" si="12"/>
        <v>64</v>
      </c>
      <c r="B119">
        <v>-7.0198375599807097</v>
      </c>
      <c r="E119" s="11">
        <f>A119-'Mastercurve bestimmen'!$B$2</f>
        <v>-61</v>
      </c>
      <c r="F119" s="11">
        <f t="shared" si="10"/>
        <v>-7.0198375599807097</v>
      </c>
      <c r="G119" s="11"/>
      <c r="H119" s="11">
        <f t="shared" si="11"/>
        <v>191707312997281</v>
      </c>
      <c r="I119" s="11">
        <f t="shared" si="14"/>
        <v>-3142742836021</v>
      </c>
      <c r="J119" s="11">
        <f t="shared" si="14"/>
        <v>51520374361</v>
      </c>
      <c r="K119" s="11">
        <f t="shared" si="14"/>
        <v>-844596301</v>
      </c>
      <c r="L119" s="11">
        <f t="shared" si="14"/>
        <v>13845841</v>
      </c>
      <c r="M119" s="11">
        <f t="shared" si="14"/>
        <v>-226981</v>
      </c>
      <c r="N119" s="11">
        <f t="shared" si="14"/>
        <v>3721</v>
      </c>
      <c r="O119" s="11">
        <f t="shared" si="14"/>
        <v>-61</v>
      </c>
      <c r="P119" s="11">
        <f t="shared" si="13"/>
        <v>0</v>
      </c>
    </row>
    <row r="120" spans="1:16" x14ac:dyDescent="0.25">
      <c r="A120" s="11">
        <f t="shared" si="12"/>
        <v>65</v>
      </c>
      <c r="B120">
        <v>-6.9263011959390877</v>
      </c>
      <c r="E120" s="11">
        <f>A120-'Mastercurve bestimmen'!$B$2</f>
        <v>-60</v>
      </c>
      <c r="F120" s="11">
        <f t="shared" si="10"/>
        <v>-6.9263011959390877</v>
      </c>
      <c r="G120" s="11"/>
      <c r="H120" s="11">
        <f t="shared" si="11"/>
        <v>167961600000000</v>
      </c>
      <c r="I120" s="11">
        <f t="shared" si="14"/>
        <v>-2799360000000</v>
      </c>
      <c r="J120" s="11">
        <f t="shared" si="14"/>
        <v>46656000000</v>
      </c>
      <c r="K120" s="11">
        <f t="shared" si="14"/>
        <v>-777600000</v>
      </c>
      <c r="L120" s="11">
        <f t="shared" si="14"/>
        <v>12960000</v>
      </c>
      <c r="M120" s="11">
        <f t="shared" si="14"/>
        <v>-216000</v>
      </c>
      <c r="N120" s="11">
        <f t="shared" si="14"/>
        <v>3600</v>
      </c>
      <c r="O120" s="11">
        <f t="shared" si="14"/>
        <v>-60</v>
      </c>
      <c r="P120" s="11">
        <f t="shared" si="13"/>
        <v>0</v>
      </c>
    </row>
    <row r="121" spans="1:16" x14ac:dyDescent="0.25">
      <c r="A121" s="11">
        <f t="shared" si="12"/>
        <v>66</v>
      </c>
      <c r="B121">
        <v>-6.8329758191611454</v>
      </c>
      <c r="E121" s="11">
        <f>A121-'Mastercurve bestimmen'!$B$2</f>
        <v>-59</v>
      </c>
      <c r="F121" s="11">
        <f t="shared" si="10"/>
        <v>-6.8329758191611454</v>
      </c>
      <c r="G121" s="11"/>
      <c r="H121" s="11">
        <f t="shared" si="11"/>
        <v>146830437604321</v>
      </c>
      <c r="I121" s="11">
        <f t="shared" si="14"/>
        <v>-2488651484819</v>
      </c>
      <c r="J121" s="11">
        <f t="shared" si="14"/>
        <v>42180533641</v>
      </c>
      <c r="K121" s="11">
        <f t="shared" si="14"/>
        <v>-714924299</v>
      </c>
      <c r="L121" s="11">
        <f t="shared" si="14"/>
        <v>12117361</v>
      </c>
      <c r="M121" s="11">
        <f t="shared" si="14"/>
        <v>-205379</v>
      </c>
      <c r="N121" s="11">
        <f t="shared" si="14"/>
        <v>3481</v>
      </c>
      <c r="O121" s="11">
        <f t="shared" si="14"/>
        <v>-59</v>
      </c>
      <c r="P121" s="11">
        <f t="shared" si="13"/>
        <v>0</v>
      </c>
    </row>
    <row r="122" spans="1:16" x14ac:dyDescent="0.25">
      <c r="A122" s="11">
        <f t="shared" si="12"/>
        <v>67</v>
      </c>
      <c r="B122">
        <v>-6.7397746524574593</v>
      </c>
      <c r="E122" s="11">
        <f>A122-'Mastercurve bestimmen'!$B$2</f>
        <v>-58</v>
      </c>
      <c r="F122" s="11">
        <f t="shared" si="10"/>
        <v>-6.7397746524574593</v>
      </c>
      <c r="G122" s="11"/>
      <c r="H122" s="11">
        <f t="shared" si="11"/>
        <v>128063081718016</v>
      </c>
      <c r="I122" s="11">
        <f t="shared" si="14"/>
        <v>-2207984167552</v>
      </c>
      <c r="J122" s="11">
        <f t="shared" si="14"/>
        <v>38068692544</v>
      </c>
      <c r="K122" s="11">
        <f t="shared" si="14"/>
        <v>-656356768</v>
      </c>
      <c r="L122" s="11">
        <f t="shared" si="14"/>
        <v>11316496</v>
      </c>
      <c r="M122" s="11">
        <f t="shared" si="14"/>
        <v>-195112</v>
      </c>
      <c r="N122" s="11">
        <f t="shared" si="14"/>
        <v>3364</v>
      </c>
      <c r="O122" s="11">
        <f t="shared" si="14"/>
        <v>-58</v>
      </c>
      <c r="P122" s="11">
        <f t="shared" si="13"/>
        <v>0</v>
      </c>
    </row>
    <row r="123" spans="1:16" x14ac:dyDescent="0.25">
      <c r="A123" s="11">
        <f t="shared" si="12"/>
        <v>68</v>
      </c>
      <c r="B123">
        <v>-6.6466109186386078</v>
      </c>
      <c r="E123" s="11">
        <f>A123-'Mastercurve bestimmen'!$B$2</f>
        <v>-57</v>
      </c>
      <c r="F123" s="11">
        <f t="shared" si="10"/>
        <v>-6.6466109186386078</v>
      </c>
      <c r="G123" s="11"/>
      <c r="H123" s="11">
        <f t="shared" si="11"/>
        <v>111429157112001</v>
      </c>
      <c r="I123" s="11">
        <f t="shared" si="14"/>
        <v>-1954897493193</v>
      </c>
      <c r="J123" s="11">
        <f t="shared" si="14"/>
        <v>34296447249</v>
      </c>
      <c r="K123" s="11">
        <f t="shared" si="14"/>
        <v>-601692057</v>
      </c>
      <c r="L123" s="11">
        <f t="shared" si="14"/>
        <v>10556001</v>
      </c>
      <c r="M123" s="11">
        <f t="shared" si="14"/>
        <v>-185193</v>
      </c>
      <c r="N123" s="11">
        <f t="shared" si="14"/>
        <v>3249</v>
      </c>
      <c r="O123" s="11">
        <f t="shared" si="14"/>
        <v>-57</v>
      </c>
      <c r="P123" s="11">
        <f t="shared" si="13"/>
        <v>0</v>
      </c>
    </row>
    <row r="124" spans="1:16" x14ac:dyDescent="0.25">
      <c r="A124" s="11">
        <f t="shared" si="12"/>
        <v>69</v>
      </c>
      <c r="B124">
        <v>-6.5533978405151654</v>
      </c>
      <c r="E124" s="11">
        <f>A124-'Mastercurve bestimmen'!$B$2</f>
        <v>-56</v>
      </c>
      <c r="F124" s="11">
        <f t="shared" si="10"/>
        <v>-6.5533978405151654</v>
      </c>
      <c r="G124" s="11"/>
      <c r="H124" s="11">
        <f t="shared" si="11"/>
        <v>96717311574016</v>
      </c>
      <c r="I124" s="11">
        <f t="shared" si="14"/>
        <v>-1727094849536</v>
      </c>
      <c r="J124" s="11">
        <f t="shared" si="14"/>
        <v>30840979456</v>
      </c>
      <c r="K124" s="11">
        <f t="shared" si="14"/>
        <v>-550731776</v>
      </c>
      <c r="L124" s="11">
        <f t="shared" si="14"/>
        <v>9834496</v>
      </c>
      <c r="M124" s="11">
        <f t="shared" si="14"/>
        <v>-175616</v>
      </c>
      <c r="N124" s="11">
        <f t="shared" si="14"/>
        <v>3136</v>
      </c>
      <c r="O124" s="11">
        <f t="shared" si="14"/>
        <v>-56</v>
      </c>
      <c r="P124" s="11">
        <f t="shared" si="13"/>
        <v>0</v>
      </c>
    </row>
    <row r="125" spans="1:16" x14ac:dyDescent="0.25">
      <c r="A125" s="11">
        <f t="shared" si="12"/>
        <v>70</v>
      </c>
      <c r="B125">
        <v>-6.4600486408977122</v>
      </c>
      <c r="E125" s="11">
        <f>A125-'Mastercurve bestimmen'!$B$2</f>
        <v>-55</v>
      </c>
      <c r="F125" s="11">
        <f t="shared" si="10"/>
        <v>-6.4600486408977122</v>
      </c>
      <c r="G125" s="11"/>
      <c r="H125" s="11">
        <f t="shared" si="11"/>
        <v>83733937890625</v>
      </c>
      <c r="I125" s="11">
        <f t="shared" si="14"/>
        <v>-1522435234375</v>
      </c>
      <c r="J125" s="11">
        <f t="shared" si="14"/>
        <v>27680640625</v>
      </c>
      <c r="K125" s="11">
        <f t="shared" si="14"/>
        <v>-503284375</v>
      </c>
      <c r="L125" s="11">
        <f t="shared" si="14"/>
        <v>9150625</v>
      </c>
      <c r="M125" s="11">
        <f t="shared" si="14"/>
        <v>-166375</v>
      </c>
      <c r="N125" s="11">
        <f t="shared" si="14"/>
        <v>3025</v>
      </c>
      <c r="O125" s="11">
        <f t="shared" si="14"/>
        <v>-55</v>
      </c>
      <c r="P125" s="11">
        <f t="shared" si="13"/>
        <v>0</v>
      </c>
    </row>
    <row r="126" spans="1:16" x14ac:dyDescent="0.25">
      <c r="A126" s="11">
        <f t="shared" si="12"/>
        <v>71</v>
      </c>
      <c r="B126">
        <v>-6.3664765425968231</v>
      </c>
      <c r="E126" s="11">
        <f>A126-'Mastercurve bestimmen'!$B$2</f>
        <v>-54</v>
      </c>
      <c r="F126" s="11">
        <f t="shared" si="10"/>
        <v>-6.3664765425968231</v>
      </c>
      <c r="G126" s="11"/>
      <c r="H126" s="11">
        <f t="shared" si="11"/>
        <v>72301961339136</v>
      </c>
      <c r="I126" s="11">
        <f t="shared" si="14"/>
        <v>-1338925209984</v>
      </c>
      <c r="J126" s="11">
        <f t="shared" si="14"/>
        <v>24794911296</v>
      </c>
      <c r="K126" s="11">
        <f t="shared" si="14"/>
        <v>-459165024</v>
      </c>
      <c r="L126" s="11">
        <f t="shared" si="14"/>
        <v>8503056</v>
      </c>
      <c r="M126" s="11">
        <f t="shared" si="14"/>
        <v>-157464</v>
      </c>
      <c r="N126" s="11">
        <f t="shared" si="14"/>
        <v>2916</v>
      </c>
      <c r="O126" s="11">
        <f t="shared" si="14"/>
        <v>-54</v>
      </c>
      <c r="P126" s="11">
        <f t="shared" si="13"/>
        <v>0</v>
      </c>
    </row>
    <row r="127" spans="1:16" x14ac:dyDescent="0.25">
      <c r="A127" s="11">
        <f t="shared" si="12"/>
        <v>72</v>
      </c>
      <c r="B127">
        <v>-6.2725947684230769</v>
      </c>
      <c r="E127" s="11">
        <f>A127-'Mastercurve bestimmen'!$B$2</f>
        <v>-53</v>
      </c>
      <c r="F127" s="11">
        <f t="shared" si="10"/>
        <v>-6.2725947684230769</v>
      </c>
      <c r="G127" s="11"/>
      <c r="H127" s="11">
        <f t="shared" si="11"/>
        <v>62259690411361</v>
      </c>
      <c r="I127" s="11">
        <f t="shared" si="14"/>
        <v>-1174711139837</v>
      </c>
      <c r="J127" s="11">
        <f t="shared" si="14"/>
        <v>22164361129</v>
      </c>
      <c r="K127" s="11">
        <f t="shared" si="14"/>
        <v>-418195493</v>
      </c>
      <c r="L127" s="11">
        <f t="shared" si="14"/>
        <v>7890481</v>
      </c>
      <c r="M127" s="11">
        <f t="shared" si="14"/>
        <v>-148877</v>
      </c>
      <c r="N127" s="11">
        <f t="shared" si="14"/>
        <v>2809</v>
      </c>
      <c r="O127" s="11">
        <f t="shared" si="14"/>
        <v>-53</v>
      </c>
      <c r="P127" s="11">
        <f t="shared" si="13"/>
        <v>0</v>
      </c>
    </row>
    <row r="128" spans="1:16" x14ac:dyDescent="0.25">
      <c r="A128" s="11">
        <f t="shared" si="12"/>
        <v>73</v>
      </c>
      <c r="B128">
        <v>-6.1783165411870504</v>
      </c>
      <c r="E128" s="11">
        <f>A128-'Mastercurve bestimmen'!$B$2</f>
        <v>-52</v>
      </c>
      <c r="F128" s="11">
        <f t="shared" si="10"/>
        <v>-6.1783165411870504</v>
      </c>
      <c r="G128" s="11"/>
      <c r="H128" s="11">
        <f t="shared" si="11"/>
        <v>53459728531456</v>
      </c>
      <c r="I128" s="11">
        <f t="shared" si="14"/>
        <v>-1028071702528</v>
      </c>
      <c r="J128" s="11">
        <f t="shared" si="14"/>
        <v>19770609664</v>
      </c>
      <c r="K128" s="11">
        <f t="shared" si="14"/>
        <v>-380204032</v>
      </c>
      <c r="L128" s="11">
        <f t="shared" si="14"/>
        <v>7311616</v>
      </c>
      <c r="M128" s="11">
        <f t="shared" si="14"/>
        <v>-140608</v>
      </c>
      <c r="N128" s="11">
        <f t="shared" si="14"/>
        <v>2704</v>
      </c>
      <c r="O128" s="11">
        <f t="shared" si="14"/>
        <v>-52</v>
      </c>
      <c r="P128" s="11">
        <f t="shared" si="13"/>
        <v>0</v>
      </c>
    </row>
    <row r="129" spans="1:16" x14ac:dyDescent="0.25">
      <c r="A129" s="11">
        <f t="shared" si="12"/>
        <v>74</v>
      </c>
      <c r="B129">
        <v>-6.08355508369932</v>
      </c>
      <c r="E129" s="11">
        <f>A129-'Mastercurve bestimmen'!$B$2</f>
        <v>-51</v>
      </c>
      <c r="F129" s="11">
        <f t="shared" si="10"/>
        <v>-6.08355508369932</v>
      </c>
      <c r="G129" s="11"/>
      <c r="H129" s="11">
        <f t="shared" si="11"/>
        <v>45767944570401</v>
      </c>
      <c r="I129" s="11">
        <f t="shared" si="14"/>
        <v>-897410677851</v>
      </c>
      <c r="J129" s="11">
        <f t="shared" si="14"/>
        <v>17596287801</v>
      </c>
      <c r="K129" s="11">
        <f t="shared" si="14"/>
        <v>-345025251</v>
      </c>
      <c r="L129" s="11">
        <f t="shared" si="14"/>
        <v>6765201</v>
      </c>
      <c r="M129" s="11">
        <f t="shared" si="14"/>
        <v>-132651</v>
      </c>
      <c r="N129" s="11">
        <f t="shared" si="14"/>
        <v>2601</v>
      </c>
      <c r="O129" s="11">
        <f t="shared" si="14"/>
        <v>-51</v>
      </c>
      <c r="P129" s="11">
        <f t="shared" si="13"/>
        <v>0</v>
      </c>
    </row>
    <row r="130" spans="1:16" x14ac:dyDescent="0.25">
      <c r="A130" s="11">
        <f t="shared" si="12"/>
        <v>75</v>
      </c>
      <c r="B130">
        <v>-5.9882236187704638</v>
      </c>
      <c r="E130" s="11">
        <f>A130-'Mastercurve bestimmen'!$B$2</f>
        <v>-50</v>
      </c>
      <c r="F130" s="11">
        <f t="shared" si="10"/>
        <v>-5.9882236187704638</v>
      </c>
      <c r="G130" s="11"/>
      <c r="H130" s="11">
        <f t="shared" si="11"/>
        <v>39062500000000</v>
      </c>
      <c r="I130" s="11">
        <f t="shared" si="14"/>
        <v>-781250000000</v>
      </c>
      <c r="J130" s="11">
        <f t="shared" si="14"/>
        <v>15625000000</v>
      </c>
      <c r="K130" s="11">
        <f t="shared" si="14"/>
        <v>-312500000</v>
      </c>
      <c r="L130" s="11">
        <f t="shared" si="14"/>
        <v>6250000</v>
      </c>
      <c r="M130" s="11">
        <f t="shared" si="14"/>
        <v>-125000</v>
      </c>
      <c r="N130" s="11">
        <f t="shared" si="14"/>
        <v>2500</v>
      </c>
      <c r="O130" s="11">
        <f t="shared" si="14"/>
        <v>-50</v>
      </c>
      <c r="P130" s="11">
        <f t="shared" si="13"/>
        <v>0</v>
      </c>
    </row>
    <row r="131" spans="1:16" x14ac:dyDescent="0.25">
      <c r="A131" s="11">
        <f t="shared" si="12"/>
        <v>76</v>
      </c>
      <c r="B131">
        <v>-5.8922353692110576</v>
      </c>
      <c r="E131" s="11">
        <f>A131-'Mastercurve bestimmen'!$B$2</f>
        <v>-49</v>
      </c>
      <c r="F131" s="11">
        <f t="shared" si="10"/>
        <v>-5.8922353692110576</v>
      </c>
      <c r="G131" s="11"/>
      <c r="H131" s="11">
        <f t="shared" si="11"/>
        <v>33232930569601</v>
      </c>
      <c r="I131" s="11">
        <f t="shared" si="14"/>
        <v>-678223072849</v>
      </c>
      <c r="J131" s="11">
        <f t="shared" si="14"/>
        <v>13841287201</v>
      </c>
      <c r="K131" s="11">
        <f t="shared" si="14"/>
        <v>-282475249</v>
      </c>
      <c r="L131" s="11">
        <f t="shared" si="14"/>
        <v>5764801</v>
      </c>
      <c r="M131" s="11">
        <f t="shared" si="14"/>
        <v>-117649</v>
      </c>
      <c r="N131" s="11">
        <f t="shared" si="14"/>
        <v>2401</v>
      </c>
      <c r="O131" s="11">
        <f t="shared" si="14"/>
        <v>-49</v>
      </c>
      <c r="P131" s="11">
        <f t="shared" si="13"/>
        <v>0</v>
      </c>
    </row>
    <row r="132" spans="1:16" x14ac:dyDescent="0.25">
      <c r="A132" s="11">
        <f t="shared" si="12"/>
        <v>77</v>
      </c>
      <c r="B132">
        <v>-5.7955035578316805</v>
      </c>
      <c r="E132" s="11">
        <f>A132-'Mastercurve bestimmen'!$B$2</f>
        <v>-48</v>
      </c>
      <c r="F132" s="11">
        <f t="shared" si="10"/>
        <v>-5.7955035578316805</v>
      </c>
      <c r="G132" s="11"/>
      <c r="H132" s="11">
        <f t="shared" si="11"/>
        <v>28179280429056</v>
      </c>
      <c r="I132" s="11">
        <f t="shared" si="14"/>
        <v>-587068342272</v>
      </c>
      <c r="J132" s="11">
        <f t="shared" si="14"/>
        <v>12230590464</v>
      </c>
      <c r="K132" s="11">
        <f t="shared" si="14"/>
        <v>-254803968</v>
      </c>
      <c r="L132" s="11">
        <f t="shared" si="14"/>
        <v>5308416</v>
      </c>
      <c r="M132" s="11">
        <f t="shared" si="14"/>
        <v>-110592</v>
      </c>
      <c r="N132" s="11">
        <f t="shared" si="14"/>
        <v>2304</v>
      </c>
      <c r="O132" s="11">
        <f t="shared" si="14"/>
        <v>-48</v>
      </c>
      <c r="P132" s="11">
        <f t="shared" si="13"/>
        <v>0</v>
      </c>
    </row>
    <row r="133" spans="1:16" x14ac:dyDescent="0.25">
      <c r="A133" s="11">
        <f t="shared" si="12"/>
        <v>78</v>
      </c>
      <c r="B133">
        <v>-5.697941407442908</v>
      </c>
      <c r="E133" s="11">
        <f>A133-'Mastercurve bestimmen'!$B$2</f>
        <v>-47</v>
      </c>
      <c r="F133" s="11">
        <f t="shared" si="10"/>
        <v>-5.697941407442908</v>
      </c>
      <c r="G133" s="11"/>
      <c r="H133" s="11">
        <f t="shared" si="11"/>
        <v>23811286661761</v>
      </c>
      <c r="I133" s="11">
        <f t="shared" si="14"/>
        <v>-506623120463</v>
      </c>
      <c r="J133" s="11">
        <f t="shared" si="14"/>
        <v>10779215329</v>
      </c>
      <c r="K133" s="11">
        <f t="shared" si="14"/>
        <v>-229345007</v>
      </c>
      <c r="L133" s="11">
        <f t="shared" si="14"/>
        <v>4879681</v>
      </c>
      <c r="M133" s="11">
        <f t="shared" si="14"/>
        <v>-103823</v>
      </c>
      <c r="N133" s="11">
        <f t="shared" si="14"/>
        <v>2209</v>
      </c>
      <c r="O133" s="11">
        <f t="shared" si="14"/>
        <v>-47</v>
      </c>
      <c r="P133" s="11">
        <f t="shared" si="13"/>
        <v>0</v>
      </c>
    </row>
    <row r="134" spans="1:16" x14ac:dyDescent="0.25">
      <c r="A134" s="11">
        <f t="shared" si="12"/>
        <v>79</v>
      </c>
      <c r="B134">
        <v>-5.5994621408553176</v>
      </c>
      <c r="E134" s="11">
        <f>A134-'Mastercurve bestimmen'!$B$2</f>
        <v>-46</v>
      </c>
      <c r="F134" s="11">
        <f t="shared" si="10"/>
        <v>-5.5994621408553176</v>
      </c>
      <c r="G134" s="11"/>
      <c r="H134" s="11">
        <f t="shared" si="11"/>
        <v>20047612231936</v>
      </c>
      <c r="I134" s="11">
        <f t="shared" si="14"/>
        <v>-435817657216</v>
      </c>
      <c r="J134" s="11">
        <f t="shared" si="14"/>
        <v>9474296896</v>
      </c>
      <c r="K134" s="11">
        <f t="shared" si="14"/>
        <v>-205962976</v>
      </c>
      <c r="L134" s="11">
        <f t="shared" si="14"/>
        <v>4477456</v>
      </c>
      <c r="M134" s="11">
        <f t="shared" si="14"/>
        <v>-97336</v>
      </c>
      <c r="N134" s="11">
        <f t="shared" si="14"/>
        <v>2116</v>
      </c>
      <c r="O134" s="11">
        <f t="shared" si="14"/>
        <v>-46</v>
      </c>
      <c r="P134" s="11">
        <f t="shared" si="13"/>
        <v>0</v>
      </c>
    </row>
    <row r="135" spans="1:16" x14ac:dyDescent="0.25">
      <c r="A135" s="11">
        <f t="shared" si="12"/>
        <v>80</v>
      </c>
      <c r="B135">
        <v>-5.4999789808794874</v>
      </c>
      <c r="E135" s="11">
        <f>A135-'Mastercurve bestimmen'!$B$2</f>
        <v>-45</v>
      </c>
      <c r="F135" s="11">
        <f t="shared" si="10"/>
        <v>-5.4999789808794874</v>
      </c>
      <c r="G135" s="11"/>
      <c r="H135" s="11">
        <f t="shared" si="11"/>
        <v>16815125390625</v>
      </c>
      <c r="I135" s="11">
        <f t="shared" si="14"/>
        <v>-373669453125</v>
      </c>
      <c r="J135" s="11">
        <f t="shared" si="14"/>
        <v>8303765625</v>
      </c>
      <c r="K135" s="11">
        <f t="shared" si="14"/>
        <v>-184528125</v>
      </c>
      <c r="L135" s="11">
        <f t="shared" si="14"/>
        <v>4100625</v>
      </c>
      <c r="M135" s="11">
        <f t="shared" si="14"/>
        <v>-91125</v>
      </c>
      <c r="N135" s="11">
        <f t="shared" si="14"/>
        <v>2025</v>
      </c>
      <c r="O135" s="11">
        <f t="shared" si="14"/>
        <v>-45</v>
      </c>
      <c r="P135" s="11">
        <f t="shared" si="13"/>
        <v>0</v>
      </c>
    </row>
    <row r="136" spans="1:16" x14ac:dyDescent="0.25">
      <c r="A136" s="11">
        <f t="shared" si="12"/>
        <v>81</v>
      </c>
      <c r="B136">
        <v>-5.3994207649762131</v>
      </c>
      <c r="E136" s="11">
        <f>A136-'Mastercurve bestimmen'!$B$2</f>
        <v>-44</v>
      </c>
      <c r="F136" s="11">
        <f t="shared" si="10"/>
        <v>-5.3994207649762131</v>
      </c>
      <c r="G136" s="11"/>
      <c r="H136" s="11">
        <f t="shared" si="11"/>
        <v>14048223625216</v>
      </c>
      <c r="I136" s="11">
        <f t="shared" si="14"/>
        <v>-319277809664</v>
      </c>
      <c r="J136" s="11">
        <f t="shared" si="14"/>
        <v>7256313856</v>
      </c>
      <c r="K136" s="11">
        <f t="shared" si="14"/>
        <v>-164916224</v>
      </c>
      <c r="L136" s="11">
        <f t="shared" si="14"/>
        <v>3748096</v>
      </c>
      <c r="M136" s="11">
        <f t="shared" si="14"/>
        <v>-85184</v>
      </c>
      <c r="N136" s="11">
        <f t="shared" si="14"/>
        <v>1936</v>
      </c>
      <c r="O136" s="11">
        <f t="shared" si="14"/>
        <v>-44</v>
      </c>
      <c r="P136" s="11">
        <f t="shared" si="13"/>
        <v>0</v>
      </c>
    </row>
    <row r="137" spans="1:16" x14ac:dyDescent="0.25">
      <c r="A137" s="11">
        <f t="shared" si="12"/>
        <v>82</v>
      </c>
      <c r="B137">
        <v>-5.297778789207177</v>
      </c>
      <c r="E137" s="11">
        <f>A137-'Mastercurve bestimmen'!$B$2</f>
        <v>-43</v>
      </c>
      <c r="F137" s="11">
        <f t="shared" si="10"/>
        <v>-5.297778789207177</v>
      </c>
      <c r="G137" s="11"/>
      <c r="H137" s="11">
        <f t="shared" si="11"/>
        <v>11688200277601</v>
      </c>
      <c r="I137" s="11">
        <f t="shared" si="14"/>
        <v>-271818611107</v>
      </c>
      <c r="J137" s="11">
        <f t="shared" si="14"/>
        <v>6321363049</v>
      </c>
      <c r="K137" s="11">
        <f t="shared" si="14"/>
        <v>-147008443</v>
      </c>
      <c r="L137" s="11">
        <f t="shared" si="14"/>
        <v>3418801</v>
      </c>
      <c r="M137" s="11">
        <f t="shared" si="14"/>
        <v>-79507</v>
      </c>
      <c r="N137" s="11">
        <f t="shared" si="14"/>
        <v>1849</v>
      </c>
      <c r="O137" s="11">
        <f t="shared" si="14"/>
        <v>-43</v>
      </c>
      <c r="P137" s="11">
        <f t="shared" si="13"/>
        <v>0</v>
      </c>
    </row>
    <row r="138" spans="1:16" x14ac:dyDescent="0.25">
      <c r="A138" s="11">
        <f t="shared" si="12"/>
        <v>83</v>
      </c>
      <c r="B138">
        <v>-5.1950599642842796</v>
      </c>
      <c r="E138" s="11">
        <f>A138-'Mastercurve bestimmen'!$B$2</f>
        <v>-42</v>
      </c>
      <c r="F138" s="11">
        <f t="shared" si="10"/>
        <v>-5.1950599642842796</v>
      </c>
      <c r="G138" s="11"/>
      <c r="H138" s="11">
        <f t="shared" si="11"/>
        <v>9682651996416</v>
      </c>
      <c r="I138" s="11">
        <f t="shared" si="14"/>
        <v>-230539333248</v>
      </c>
      <c r="J138" s="11">
        <f t="shared" si="14"/>
        <v>5489031744</v>
      </c>
      <c r="K138" s="11">
        <f t="shared" si="14"/>
        <v>-130691232</v>
      </c>
      <c r="L138" s="11">
        <f t="shared" si="14"/>
        <v>3111696</v>
      </c>
      <c r="M138" s="11">
        <f t="shared" si="14"/>
        <v>-74088</v>
      </c>
      <c r="N138" s="11">
        <f t="shared" si="14"/>
        <v>1764</v>
      </c>
      <c r="O138" s="11">
        <f t="shared" si="14"/>
        <v>-42</v>
      </c>
      <c r="P138" s="11">
        <f t="shared" si="13"/>
        <v>0</v>
      </c>
    </row>
    <row r="139" spans="1:16" x14ac:dyDescent="0.25">
      <c r="A139" s="11">
        <f t="shared" si="12"/>
        <v>84</v>
      </c>
      <c r="B139">
        <v>-5.0912712009194214</v>
      </c>
      <c r="E139" s="11">
        <f>A139-'Mastercurve bestimmen'!$B$2</f>
        <v>-41</v>
      </c>
      <c r="F139" s="11">
        <f t="shared" si="10"/>
        <v>-5.0912712009194214</v>
      </c>
      <c r="G139" s="11"/>
      <c r="H139" s="11">
        <f t="shared" si="11"/>
        <v>7984925229121</v>
      </c>
      <c r="I139" s="11">
        <f t="shared" si="14"/>
        <v>-194754273881</v>
      </c>
      <c r="J139" s="11">
        <f t="shared" si="14"/>
        <v>4750104241</v>
      </c>
      <c r="K139" s="11">
        <f t="shared" si="14"/>
        <v>-115856201</v>
      </c>
      <c r="L139" s="11">
        <f t="shared" si="14"/>
        <v>2825761</v>
      </c>
      <c r="M139" s="11">
        <f t="shared" si="14"/>
        <v>-68921</v>
      </c>
      <c r="N139" s="11">
        <f t="shared" si="14"/>
        <v>1681</v>
      </c>
      <c r="O139" s="11">
        <f t="shared" si="14"/>
        <v>-41</v>
      </c>
      <c r="P139" s="11">
        <f t="shared" si="13"/>
        <v>0</v>
      </c>
    </row>
    <row r="140" spans="1:16" x14ac:dyDescent="0.25">
      <c r="A140" s="11">
        <f t="shared" si="12"/>
        <v>85</v>
      </c>
      <c r="B140">
        <v>-4.986419409824502</v>
      </c>
      <c r="E140" s="11">
        <f>A140-'Mastercurve bestimmen'!$B$2</f>
        <v>-40</v>
      </c>
      <c r="F140" s="11">
        <f t="shared" si="10"/>
        <v>-4.986419409824502</v>
      </c>
      <c r="G140" s="11"/>
      <c r="H140" s="11">
        <f t="shared" si="11"/>
        <v>6553600000000</v>
      </c>
      <c r="I140" s="11">
        <f t="shared" si="14"/>
        <v>-163840000000</v>
      </c>
      <c r="J140" s="11">
        <f t="shared" si="14"/>
        <v>4096000000</v>
      </c>
      <c r="K140" s="11">
        <f t="shared" si="14"/>
        <v>-102400000</v>
      </c>
      <c r="L140" s="11">
        <f t="shared" si="14"/>
        <v>2560000</v>
      </c>
      <c r="M140" s="11">
        <f t="shared" si="14"/>
        <v>-64000</v>
      </c>
      <c r="N140" s="11">
        <f t="shared" si="14"/>
        <v>1600</v>
      </c>
      <c r="O140" s="11">
        <f t="shared" si="14"/>
        <v>-40</v>
      </c>
      <c r="P140" s="11">
        <f t="shared" si="13"/>
        <v>0</v>
      </c>
    </row>
    <row r="141" spans="1:16" x14ac:dyDescent="0.25">
      <c r="A141" s="11">
        <f t="shared" si="12"/>
        <v>86</v>
      </c>
      <c r="B141">
        <v>-4.8805115017114238</v>
      </c>
      <c r="E141" s="11">
        <f>A141-'Mastercurve bestimmen'!$B$2</f>
        <v>-39</v>
      </c>
      <c r="F141" s="11">
        <f t="shared" si="10"/>
        <v>-4.8805115017114238</v>
      </c>
      <c r="G141" s="11"/>
      <c r="H141" s="11">
        <f t="shared" si="11"/>
        <v>5352009260481</v>
      </c>
      <c r="I141" s="11">
        <f t="shared" si="14"/>
        <v>-137231006679</v>
      </c>
      <c r="J141" s="11">
        <f t="shared" si="14"/>
        <v>3518743761</v>
      </c>
      <c r="K141" s="11">
        <f t="shared" si="14"/>
        <v>-90224199</v>
      </c>
      <c r="L141" s="11">
        <f t="shared" si="14"/>
        <v>2313441</v>
      </c>
      <c r="M141" s="11">
        <f t="shared" si="14"/>
        <v>-59319</v>
      </c>
      <c r="N141" s="11">
        <f t="shared" si="14"/>
        <v>1521</v>
      </c>
      <c r="O141" s="11">
        <f t="shared" si="14"/>
        <v>-39</v>
      </c>
      <c r="P141" s="11">
        <f t="shared" si="13"/>
        <v>0</v>
      </c>
    </row>
    <row r="142" spans="1:16" x14ac:dyDescent="0.25">
      <c r="A142" s="11">
        <f t="shared" si="12"/>
        <v>87</v>
      </c>
      <c r="B142">
        <v>-4.7735543872920871</v>
      </c>
      <c r="E142" s="11">
        <f>A142-'Mastercurve bestimmen'!$B$2</f>
        <v>-38</v>
      </c>
      <c r="F142" s="11">
        <f t="shared" si="10"/>
        <v>-4.7735543872920871</v>
      </c>
      <c r="G142" s="11"/>
      <c r="H142" s="11">
        <f t="shared" si="11"/>
        <v>4347792138496</v>
      </c>
      <c r="I142" s="11">
        <f t="shared" si="14"/>
        <v>-114415582592</v>
      </c>
      <c r="J142" s="11">
        <f t="shared" si="14"/>
        <v>3010936384</v>
      </c>
      <c r="K142" s="11">
        <f t="shared" si="14"/>
        <v>-79235168</v>
      </c>
      <c r="L142" s="11">
        <f t="shared" si="14"/>
        <v>2085136</v>
      </c>
      <c r="M142" s="11">
        <f t="shared" si="14"/>
        <v>-54872</v>
      </c>
      <c r="N142" s="11">
        <f t="shared" si="14"/>
        <v>1444</v>
      </c>
      <c r="O142" s="11">
        <f t="shared" si="14"/>
        <v>-38</v>
      </c>
      <c r="P142" s="11">
        <f t="shared" si="13"/>
        <v>0</v>
      </c>
    </row>
    <row r="143" spans="1:16" x14ac:dyDescent="0.25">
      <c r="A143" s="11">
        <f t="shared" si="12"/>
        <v>88</v>
      </c>
      <c r="B143">
        <v>-4.6655549772783926</v>
      </c>
      <c r="E143" s="11">
        <f>A143-'Mastercurve bestimmen'!$B$2</f>
        <v>-37</v>
      </c>
      <c r="F143" s="11">
        <f t="shared" si="10"/>
        <v>-4.6655549772783926</v>
      </c>
      <c r="G143" s="11"/>
      <c r="H143" s="11">
        <f t="shared" si="11"/>
        <v>3512479453921</v>
      </c>
      <c r="I143" s="11">
        <f t="shared" si="14"/>
        <v>-94931877133</v>
      </c>
      <c r="J143" s="11">
        <f t="shared" si="14"/>
        <v>2565726409</v>
      </c>
      <c r="K143" s="11">
        <f t="shared" si="14"/>
        <v>-69343957</v>
      </c>
      <c r="L143" s="11">
        <f t="shared" si="14"/>
        <v>1874161</v>
      </c>
      <c r="M143" s="11">
        <f t="shared" si="14"/>
        <v>-50653</v>
      </c>
      <c r="N143" s="11">
        <f t="shared" si="14"/>
        <v>1369</v>
      </c>
      <c r="O143" s="11">
        <f t="shared" si="14"/>
        <v>-37</v>
      </c>
      <c r="P143" s="11">
        <f t="shared" si="13"/>
        <v>0</v>
      </c>
    </row>
    <row r="144" spans="1:16" x14ac:dyDescent="0.25">
      <c r="A144" s="11">
        <f t="shared" si="12"/>
        <v>89</v>
      </c>
      <c r="B144">
        <v>-4.5565201823822425</v>
      </c>
      <c r="E144" s="11">
        <f>A144-'Mastercurve bestimmen'!$B$2</f>
        <v>-36</v>
      </c>
      <c r="F144" s="11">
        <f t="shared" ref="F144:F207" si="15">B144</f>
        <v>-4.5565201823822425</v>
      </c>
      <c r="G144" s="11"/>
      <c r="H144" s="11">
        <f t="shared" ref="H144:H207" si="16">IF($H$12&gt;=H$14,$E144^H$14,0)</f>
        <v>2821109907456</v>
      </c>
      <c r="I144" s="11">
        <f t="shared" si="14"/>
        <v>-78364164096</v>
      </c>
      <c r="J144" s="11">
        <f t="shared" si="14"/>
        <v>2176782336</v>
      </c>
      <c r="K144" s="11">
        <f t="shared" si="14"/>
        <v>-60466176</v>
      </c>
      <c r="L144" s="11">
        <f t="shared" si="14"/>
        <v>1679616</v>
      </c>
      <c r="M144" s="11">
        <f t="shared" si="14"/>
        <v>-46656</v>
      </c>
      <c r="N144" s="11">
        <f t="shared" si="14"/>
        <v>1296</v>
      </c>
      <c r="O144" s="11">
        <f t="shared" si="14"/>
        <v>-36</v>
      </c>
      <c r="P144" s="11">
        <f t="shared" si="13"/>
        <v>0</v>
      </c>
    </row>
    <row r="145" spans="1:16" x14ac:dyDescent="0.25">
      <c r="A145" s="11">
        <f t="shared" ref="A145:A208" si="17">A144+1</f>
        <v>90</v>
      </c>
      <c r="B145">
        <v>-4.4464569133155365</v>
      </c>
      <c r="E145" s="11">
        <f>A145-'Mastercurve bestimmen'!$B$2</f>
        <v>-35</v>
      </c>
      <c r="F145" s="11">
        <f t="shared" si="15"/>
        <v>-4.4464569133155365</v>
      </c>
      <c r="G145" s="11"/>
      <c r="H145" s="11">
        <f t="shared" si="16"/>
        <v>2251875390625</v>
      </c>
      <c r="I145" s="11">
        <f t="shared" si="14"/>
        <v>-64339296875</v>
      </c>
      <c r="J145" s="11">
        <f t="shared" si="14"/>
        <v>1838265625</v>
      </c>
      <c r="K145" s="11">
        <f t="shared" si="14"/>
        <v>-52521875</v>
      </c>
      <c r="L145" s="11">
        <f t="shared" si="14"/>
        <v>1500625</v>
      </c>
      <c r="M145" s="11">
        <f t="shared" si="14"/>
        <v>-42875</v>
      </c>
      <c r="N145" s="11">
        <f t="shared" si="14"/>
        <v>1225</v>
      </c>
      <c r="O145" s="11">
        <f t="shared" si="14"/>
        <v>-35</v>
      </c>
      <c r="P145" s="11">
        <f t="shared" ref="P145:P208" si="18">P144</f>
        <v>0</v>
      </c>
    </row>
    <row r="146" spans="1:16" x14ac:dyDescent="0.25">
      <c r="A146" s="11">
        <f t="shared" si="17"/>
        <v>91</v>
      </c>
      <c r="B146">
        <v>-4.3353720807901741</v>
      </c>
      <c r="E146" s="11">
        <f>A146-'Mastercurve bestimmen'!$B$2</f>
        <v>-34</v>
      </c>
      <c r="F146" s="11">
        <f t="shared" si="15"/>
        <v>-4.3353720807901741</v>
      </c>
      <c r="G146" s="11"/>
      <c r="H146" s="11">
        <f t="shared" si="16"/>
        <v>1785793904896</v>
      </c>
      <c r="I146" s="11">
        <f t="shared" si="14"/>
        <v>-52523350144</v>
      </c>
      <c r="J146" s="11">
        <f t="shared" si="14"/>
        <v>1544804416</v>
      </c>
      <c r="K146" s="11">
        <f t="shared" si="14"/>
        <v>-45435424</v>
      </c>
      <c r="L146" s="11">
        <f t="shared" si="14"/>
        <v>1336336</v>
      </c>
      <c r="M146" s="11">
        <f t="shared" si="14"/>
        <v>-39304</v>
      </c>
      <c r="N146" s="11">
        <f t="shared" si="14"/>
        <v>1156</v>
      </c>
      <c r="O146" s="11">
        <f t="shared" si="14"/>
        <v>-34</v>
      </c>
      <c r="P146" s="11">
        <f t="shared" si="18"/>
        <v>0</v>
      </c>
    </row>
    <row r="147" spans="1:16" x14ac:dyDescent="0.25">
      <c r="A147" s="11">
        <f t="shared" si="17"/>
        <v>92</v>
      </c>
      <c r="B147">
        <v>-4.2232725955180577</v>
      </c>
      <c r="E147" s="11">
        <f>A147-'Mastercurve bestimmen'!$B$2</f>
        <v>-33</v>
      </c>
      <c r="F147" s="11">
        <f t="shared" si="15"/>
        <v>-4.2232725955180577</v>
      </c>
      <c r="G147" s="11"/>
      <c r="H147" s="11">
        <f t="shared" si="16"/>
        <v>1406408618241</v>
      </c>
      <c r="I147" s="11">
        <f t="shared" si="14"/>
        <v>-42618442977</v>
      </c>
      <c r="J147" s="11">
        <f t="shared" si="14"/>
        <v>1291467969</v>
      </c>
      <c r="K147" s="11">
        <f t="shared" si="14"/>
        <v>-39135393</v>
      </c>
      <c r="L147" s="11">
        <f t="shared" si="14"/>
        <v>1185921</v>
      </c>
      <c r="M147" s="11">
        <f t="shared" si="14"/>
        <v>-35937</v>
      </c>
      <c r="N147" s="11">
        <f t="shared" si="14"/>
        <v>1089</v>
      </c>
      <c r="O147" s="11">
        <f t="shared" si="14"/>
        <v>-33</v>
      </c>
      <c r="P147" s="11">
        <f t="shared" si="18"/>
        <v>0</v>
      </c>
    </row>
    <row r="148" spans="1:16" x14ac:dyDescent="0.25">
      <c r="A148" s="11">
        <f t="shared" si="17"/>
        <v>93</v>
      </c>
      <c r="B148">
        <v>-4.1101653682110877</v>
      </c>
      <c r="E148" s="11">
        <f>A148-'Mastercurve bestimmen'!$B$2</f>
        <v>-32</v>
      </c>
      <c r="F148" s="11">
        <f t="shared" si="15"/>
        <v>-4.1101653682110877</v>
      </c>
      <c r="G148" s="11"/>
      <c r="H148" s="11">
        <f t="shared" si="16"/>
        <v>1099511627776</v>
      </c>
      <c r="I148" s="11">
        <f t="shared" si="14"/>
        <v>-34359738368</v>
      </c>
      <c r="J148" s="11">
        <f t="shared" si="14"/>
        <v>1073741824</v>
      </c>
      <c r="K148" s="11">
        <f t="shared" si="14"/>
        <v>-33554432</v>
      </c>
      <c r="L148" s="11">
        <f t="shared" si="14"/>
        <v>1048576</v>
      </c>
      <c r="M148" s="11">
        <f t="shared" si="14"/>
        <v>-32768</v>
      </c>
      <c r="N148" s="11">
        <f t="shared" si="14"/>
        <v>1024</v>
      </c>
      <c r="O148" s="11">
        <f t="shared" si="14"/>
        <v>-32</v>
      </c>
      <c r="P148" s="11">
        <f t="shared" si="18"/>
        <v>0</v>
      </c>
    </row>
    <row r="149" spans="1:16" x14ac:dyDescent="0.25">
      <c r="A149" s="11">
        <f t="shared" si="17"/>
        <v>94</v>
      </c>
      <c r="B149">
        <v>-3.9960573095811656</v>
      </c>
      <c r="E149" s="11">
        <f>A149-'Mastercurve bestimmen'!$B$2</f>
        <v>-31</v>
      </c>
      <c r="F149" s="11">
        <f t="shared" si="15"/>
        <v>-3.9960573095811656</v>
      </c>
      <c r="G149" s="11"/>
      <c r="H149" s="11">
        <f t="shared" si="16"/>
        <v>852891037441</v>
      </c>
      <c r="I149" s="11">
        <f t="shared" si="14"/>
        <v>-27512614111</v>
      </c>
      <c r="J149" s="11">
        <f t="shared" si="14"/>
        <v>887503681</v>
      </c>
      <c r="K149" s="11">
        <f t="shared" si="14"/>
        <v>-28629151</v>
      </c>
      <c r="L149" s="11">
        <f t="shared" si="14"/>
        <v>923521</v>
      </c>
      <c r="M149" s="11">
        <f t="shared" si="14"/>
        <v>-29791</v>
      </c>
      <c r="N149" s="11">
        <f t="shared" si="14"/>
        <v>961</v>
      </c>
      <c r="O149" s="11">
        <f t="shared" si="14"/>
        <v>-31</v>
      </c>
      <c r="P149" s="11">
        <f t="shared" si="18"/>
        <v>0</v>
      </c>
    </row>
    <row r="150" spans="1:16" x14ac:dyDescent="0.25">
      <c r="A150" s="11">
        <f t="shared" si="17"/>
        <v>95</v>
      </c>
      <c r="B150">
        <v>-3.8809553303401922</v>
      </c>
      <c r="E150" s="11">
        <f>A150-'Mastercurve bestimmen'!$B$2</f>
        <v>-30</v>
      </c>
      <c r="F150" s="11">
        <f t="shared" si="15"/>
        <v>-3.8809553303401922</v>
      </c>
      <c r="G150" s="11"/>
      <c r="H150" s="11">
        <f t="shared" si="16"/>
        <v>656100000000</v>
      </c>
      <c r="I150" s="11">
        <f t="shared" si="14"/>
        <v>-21870000000</v>
      </c>
      <c r="J150" s="11">
        <f t="shared" si="14"/>
        <v>729000000</v>
      </c>
      <c r="K150" s="11">
        <f t="shared" si="14"/>
        <v>-24300000</v>
      </c>
      <c r="L150" s="11">
        <f t="shared" si="14"/>
        <v>810000</v>
      </c>
      <c r="M150" s="11">
        <f t="shared" si="14"/>
        <v>-27000</v>
      </c>
      <c r="N150" s="11">
        <f t="shared" si="14"/>
        <v>900</v>
      </c>
      <c r="O150" s="11">
        <f t="shared" si="14"/>
        <v>-30</v>
      </c>
      <c r="P150" s="11">
        <f t="shared" si="18"/>
        <v>0</v>
      </c>
    </row>
    <row r="151" spans="1:16" x14ac:dyDescent="0.25">
      <c r="A151" s="11">
        <f t="shared" si="17"/>
        <v>96</v>
      </c>
      <c r="B151">
        <v>-3.7648663412000669</v>
      </c>
      <c r="E151" s="11">
        <f>A151-'Mastercurve bestimmen'!$B$2</f>
        <v>-29</v>
      </c>
      <c r="F151" s="11">
        <f t="shared" si="15"/>
        <v>-3.7648663412000669</v>
      </c>
      <c r="G151" s="11"/>
      <c r="H151" s="11">
        <f t="shared" si="16"/>
        <v>500246412961</v>
      </c>
      <c r="I151" s="11">
        <f t="shared" si="14"/>
        <v>-17249876309</v>
      </c>
      <c r="J151" s="11">
        <f t="shared" si="14"/>
        <v>594823321</v>
      </c>
      <c r="K151" s="11">
        <f t="shared" si="14"/>
        <v>-20511149</v>
      </c>
      <c r="L151" s="11">
        <f t="shared" si="14"/>
        <v>707281</v>
      </c>
      <c r="M151" s="11">
        <f t="shared" si="14"/>
        <v>-24389</v>
      </c>
      <c r="N151" s="11">
        <f t="shared" si="14"/>
        <v>841</v>
      </c>
      <c r="O151" s="11">
        <f t="shared" si="14"/>
        <v>-29</v>
      </c>
      <c r="P151" s="11">
        <f t="shared" si="18"/>
        <v>0</v>
      </c>
    </row>
    <row r="152" spans="1:16" x14ac:dyDescent="0.25">
      <c r="A152" s="11">
        <f t="shared" si="17"/>
        <v>97</v>
      </c>
      <c r="B152">
        <v>-3.6477972528726914</v>
      </c>
      <c r="E152" s="11">
        <f>A152-'Mastercurve bestimmen'!$B$2</f>
        <v>-28</v>
      </c>
      <c r="F152" s="11">
        <f t="shared" si="15"/>
        <v>-3.6477972528726914</v>
      </c>
      <c r="G152" s="11"/>
      <c r="H152" s="11">
        <f t="shared" si="16"/>
        <v>377801998336</v>
      </c>
      <c r="I152" s="11">
        <f t="shared" si="14"/>
        <v>-13492928512</v>
      </c>
      <c r="J152" s="11">
        <f t="shared" si="14"/>
        <v>481890304</v>
      </c>
      <c r="K152" s="11">
        <f t="shared" si="14"/>
        <v>-17210368</v>
      </c>
      <c r="L152" s="11">
        <f t="shared" si="14"/>
        <v>614656</v>
      </c>
      <c r="M152" s="11">
        <f t="shared" si="14"/>
        <v>-21952</v>
      </c>
      <c r="N152" s="11">
        <f t="shared" ref="I152:O189" si="19">IF($H$12&gt;=N$14,$E152^N$14,0)</f>
        <v>784</v>
      </c>
      <c r="O152" s="11">
        <f t="shared" si="19"/>
        <v>-28</v>
      </c>
      <c r="P152" s="11">
        <f t="shared" si="18"/>
        <v>0</v>
      </c>
    </row>
    <row r="153" spans="1:16" x14ac:dyDescent="0.25">
      <c r="A153" s="11">
        <f t="shared" si="17"/>
        <v>98</v>
      </c>
      <c r="B153">
        <v>-3.5297549760699676</v>
      </c>
      <c r="E153" s="11">
        <f>A153-'Mastercurve bestimmen'!$B$2</f>
        <v>-27</v>
      </c>
      <c r="F153" s="11">
        <f t="shared" si="15"/>
        <v>-3.5297549760699676</v>
      </c>
      <c r="G153" s="11"/>
      <c r="H153" s="11">
        <f t="shared" si="16"/>
        <v>282429536481</v>
      </c>
      <c r="I153" s="11">
        <f t="shared" si="19"/>
        <v>-10460353203</v>
      </c>
      <c r="J153" s="11">
        <f t="shared" si="19"/>
        <v>387420489</v>
      </c>
      <c r="K153" s="11">
        <f t="shared" si="19"/>
        <v>-14348907</v>
      </c>
      <c r="L153" s="11">
        <f t="shared" si="19"/>
        <v>531441</v>
      </c>
      <c r="M153" s="11">
        <f t="shared" si="19"/>
        <v>-19683</v>
      </c>
      <c r="N153" s="11">
        <f t="shared" si="19"/>
        <v>729</v>
      </c>
      <c r="O153" s="11">
        <f t="shared" si="19"/>
        <v>-27</v>
      </c>
      <c r="P153" s="11">
        <f t="shared" si="18"/>
        <v>0</v>
      </c>
    </row>
    <row r="154" spans="1:16" x14ac:dyDescent="0.25">
      <c r="A154" s="11">
        <f t="shared" si="17"/>
        <v>99</v>
      </c>
      <c r="B154">
        <v>-3.4107464215037941</v>
      </c>
      <c r="E154" s="11">
        <f>A154-'Mastercurve bestimmen'!$B$2</f>
        <v>-26</v>
      </c>
      <c r="F154" s="11">
        <f t="shared" si="15"/>
        <v>-3.4107464215037941</v>
      </c>
      <c r="G154" s="11"/>
      <c r="H154" s="11">
        <f t="shared" si="16"/>
        <v>208827064576</v>
      </c>
      <c r="I154" s="11">
        <f t="shared" si="19"/>
        <v>-8031810176</v>
      </c>
      <c r="J154" s="11">
        <f t="shared" si="19"/>
        <v>308915776</v>
      </c>
      <c r="K154" s="11">
        <f t="shared" si="19"/>
        <v>-11881376</v>
      </c>
      <c r="L154" s="11">
        <f t="shared" si="19"/>
        <v>456976</v>
      </c>
      <c r="M154" s="11">
        <f t="shared" si="19"/>
        <v>-17576</v>
      </c>
      <c r="N154" s="11">
        <f t="shared" si="19"/>
        <v>676</v>
      </c>
      <c r="O154" s="11">
        <f t="shared" si="19"/>
        <v>-26</v>
      </c>
      <c r="P154" s="11">
        <f t="shared" si="18"/>
        <v>0</v>
      </c>
    </row>
    <row r="155" spans="1:16" x14ac:dyDescent="0.25">
      <c r="A155" s="11">
        <f t="shared" si="17"/>
        <v>100</v>
      </c>
      <c r="B155">
        <v>-3.2907784998860734</v>
      </c>
      <c r="E155" s="11">
        <f>A155-'Mastercurve bestimmen'!$B$2</f>
        <v>-25</v>
      </c>
      <c r="F155" s="11">
        <f t="shared" si="15"/>
        <v>-3.2907784998860734</v>
      </c>
      <c r="G155" s="11"/>
      <c r="H155" s="11">
        <f t="shared" si="16"/>
        <v>152587890625</v>
      </c>
      <c r="I155" s="11">
        <f t="shared" si="19"/>
        <v>-6103515625</v>
      </c>
      <c r="J155" s="11">
        <f t="shared" si="19"/>
        <v>244140625</v>
      </c>
      <c r="K155" s="11">
        <f t="shared" si="19"/>
        <v>-9765625</v>
      </c>
      <c r="L155" s="11">
        <f t="shared" si="19"/>
        <v>390625</v>
      </c>
      <c r="M155" s="11">
        <f t="shared" si="19"/>
        <v>-15625</v>
      </c>
      <c r="N155" s="11">
        <f t="shared" si="19"/>
        <v>625</v>
      </c>
      <c r="O155" s="11">
        <f t="shared" si="19"/>
        <v>-25</v>
      </c>
      <c r="P155" s="11">
        <f t="shared" si="18"/>
        <v>0</v>
      </c>
    </row>
    <row r="156" spans="1:16" x14ac:dyDescent="0.25">
      <c r="A156" s="11">
        <f t="shared" si="17"/>
        <v>101</v>
      </c>
      <c r="B156">
        <v>-3.1698581219287059</v>
      </c>
      <c r="E156" s="11">
        <f>A156-'Mastercurve bestimmen'!$B$2</f>
        <v>-24</v>
      </c>
      <c r="F156" s="11">
        <f t="shared" si="15"/>
        <v>-3.1698581219287059</v>
      </c>
      <c r="G156" s="11"/>
      <c r="H156" s="11">
        <f t="shared" si="16"/>
        <v>110075314176</v>
      </c>
      <c r="I156" s="11">
        <f t="shared" si="19"/>
        <v>-4586471424</v>
      </c>
      <c r="J156" s="11">
        <f t="shared" si="19"/>
        <v>191102976</v>
      </c>
      <c r="K156" s="11">
        <f t="shared" si="19"/>
        <v>-7962624</v>
      </c>
      <c r="L156" s="11">
        <f t="shared" si="19"/>
        <v>331776</v>
      </c>
      <c r="M156" s="11">
        <f t="shared" si="19"/>
        <v>-13824</v>
      </c>
      <c r="N156" s="11">
        <f t="shared" si="19"/>
        <v>576</v>
      </c>
      <c r="O156" s="11">
        <f t="shared" si="19"/>
        <v>-24</v>
      </c>
      <c r="P156" s="11">
        <f t="shared" si="18"/>
        <v>0</v>
      </c>
    </row>
    <row r="157" spans="1:16" x14ac:dyDescent="0.25">
      <c r="A157" s="11">
        <f t="shared" si="17"/>
        <v>102</v>
      </c>
      <c r="B157">
        <v>-3.0479921983435929</v>
      </c>
      <c r="E157" s="11">
        <f>A157-'Mastercurve bestimmen'!$B$2</f>
        <v>-23</v>
      </c>
      <c r="F157" s="11">
        <f t="shared" si="15"/>
        <v>-3.0479921983435929</v>
      </c>
      <c r="G157" s="11"/>
      <c r="H157" s="11">
        <f t="shared" si="16"/>
        <v>78310985281</v>
      </c>
      <c r="I157" s="11">
        <f t="shared" si="19"/>
        <v>-3404825447</v>
      </c>
      <c r="J157" s="11">
        <f t="shared" si="19"/>
        <v>148035889</v>
      </c>
      <c r="K157" s="11">
        <f t="shared" si="19"/>
        <v>-6436343</v>
      </c>
      <c r="L157" s="11">
        <f t="shared" si="19"/>
        <v>279841</v>
      </c>
      <c r="M157" s="11">
        <f t="shared" si="19"/>
        <v>-12167</v>
      </c>
      <c r="N157" s="11">
        <f t="shared" si="19"/>
        <v>529</v>
      </c>
      <c r="O157" s="11">
        <f t="shared" si="19"/>
        <v>-23</v>
      </c>
      <c r="P157" s="11">
        <f t="shared" si="18"/>
        <v>0</v>
      </c>
    </row>
    <row r="158" spans="1:16" x14ac:dyDescent="0.25">
      <c r="A158" s="11">
        <f t="shared" si="17"/>
        <v>103</v>
      </c>
      <c r="B158">
        <v>-2.9251876398426342</v>
      </c>
      <c r="E158" s="11">
        <f>A158-'Mastercurve bestimmen'!$B$2</f>
        <v>-22</v>
      </c>
      <c r="F158" s="11">
        <f t="shared" si="15"/>
        <v>-2.9251876398426342</v>
      </c>
      <c r="G158" s="11"/>
      <c r="H158" s="11">
        <f t="shared" si="16"/>
        <v>54875873536</v>
      </c>
      <c r="I158" s="11">
        <f t="shared" si="19"/>
        <v>-2494357888</v>
      </c>
      <c r="J158" s="11">
        <f t="shared" si="19"/>
        <v>113379904</v>
      </c>
      <c r="K158" s="11">
        <f t="shared" si="19"/>
        <v>-5153632</v>
      </c>
      <c r="L158" s="11">
        <f t="shared" si="19"/>
        <v>234256</v>
      </c>
      <c r="M158" s="11">
        <f t="shared" si="19"/>
        <v>-10648</v>
      </c>
      <c r="N158" s="11">
        <f t="shared" si="19"/>
        <v>484</v>
      </c>
      <c r="O158" s="11">
        <f t="shared" si="19"/>
        <v>-22</v>
      </c>
      <c r="P158" s="11">
        <f t="shared" si="18"/>
        <v>0</v>
      </c>
    </row>
    <row r="159" spans="1:16" x14ac:dyDescent="0.25">
      <c r="A159" s="11">
        <f t="shared" si="17"/>
        <v>104</v>
      </c>
      <c r="B159">
        <v>-2.8014513571377315</v>
      </c>
      <c r="E159" s="11">
        <f>A159-'Mastercurve bestimmen'!$B$2</f>
        <v>-21</v>
      </c>
      <c r="F159" s="11">
        <f t="shared" si="15"/>
        <v>-2.8014513571377315</v>
      </c>
      <c r="G159" s="11"/>
      <c r="H159" s="11">
        <f t="shared" si="16"/>
        <v>37822859361</v>
      </c>
      <c r="I159" s="11">
        <f t="shared" si="19"/>
        <v>-1801088541</v>
      </c>
      <c r="J159" s="11">
        <f t="shared" si="19"/>
        <v>85766121</v>
      </c>
      <c r="K159" s="11">
        <f t="shared" si="19"/>
        <v>-4084101</v>
      </c>
      <c r="L159" s="11">
        <f t="shared" si="19"/>
        <v>194481</v>
      </c>
      <c r="M159" s="11">
        <f t="shared" si="19"/>
        <v>-9261</v>
      </c>
      <c r="N159" s="11">
        <f t="shared" si="19"/>
        <v>441</v>
      </c>
      <c r="O159" s="11">
        <f t="shared" si="19"/>
        <v>-21</v>
      </c>
      <c r="P159" s="11">
        <f t="shared" si="18"/>
        <v>0</v>
      </c>
    </row>
    <row r="160" spans="1:16" x14ac:dyDescent="0.25">
      <c r="A160" s="11">
        <f t="shared" si="17"/>
        <v>105</v>
      </c>
      <c r="B160">
        <v>-2.676790260940785</v>
      </c>
      <c r="E160" s="11">
        <f>A160-'Mastercurve bestimmen'!$B$2</f>
        <v>-20</v>
      </c>
      <c r="F160" s="11">
        <f t="shared" si="15"/>
        <v>-2.676790260940785</v>
      </c>
      <c r="G160" s="11"/>
      <c r="H160" s="11">
        <f t="shared" si="16"/>
        <v>25600000000</v>
      </c>
      <c r="I160" s="11">
        <f t="shared" si="19"/>
        <v>-1280000000</v>
      </c>
      <c r="J160" s="11">
        <f t="shared" si="19"/>
        <v>64000000</v>
      </c>
      <c r="K160" s="11">
        <f t="shared" si="19"/>
        <v>-3200000</v>
      </c>
      <c r="L160" s="11">
        <f t="shared" si="19"/>
        <v>160000</v>
      </c>
      <c r="M160" s="11">
        <f t="shared" si="19"/>
        <v>-8000</v>
      </c>
      <c r="N160" s="11">
        <f t="shared" si="19"/>
        <v>400</v>
      </c>
      <c r="O160" s="11">
        <f t="shared" si="19"/>
        <v>-20</v>
      </c>
      <c r="P160" s="11">
        <f t="shared" si="18"/>
        <v>0</v>
      </c>
    </row>
    <row r="161" spans="1:16" x14ac:dyDescent="0.25">
      <c r="A161" s="11">
        <f t="shared" si="17"/>
        <v>106</v>
      </c>
      <c r="B161">
        <v>-2.5512112619636964</v>
      </c>
      <c r="E161" s="11">
        <f>A161-'Mastercurve bestimmen'!$B$2</f>
        <v>-19</v>
      </c>
      <c r="F161" s="11">
        <f t="shared" si="15"/>
        <v>-2.5512112619636964</v>
      </c>
      <c r="G161" s="11"/>
      <c r="H161" s="11">
        <f t="shared" si="16"/>
        <v>16983563041</v>
      </c>
      <c r="I161" s="11">
        <f t="shared" si="19"/>
        <v>-893871739</v>
      </c>
      <c r="J161" s="11">
        <f t="shared" si="19"/>
        <v>47045881</v>
      </c>
      <c r="K161" s="11">
        <f t="shared" si="19"/>
        <v>-2476099</v>
      </c>
      <c r="L161" s="11">
        <f t="shared" si="19"/>
        <v>130321</v>
      </c>
      <c r="M161" s="11">
        <f t="shared" si="19"/>
        <v>-6859</v>
      </c>
      <c r="N161" s="11">
        <f t="shared" si="19"/>
        <v>361</v>
      </c>
      <c r="O161" s="11">
        <f t="shared" si="19"/>
        <v>-19</v>
      </c>
      <c r="P161" s="11">
        <f t="shared" si="18"/>
        <v>0</v>
      </c>
    </row>
    <row r="162" spans="1:16" x14ac:dyDescent="0.25">
      <c r="A162" s="11">
        <f t="shared" si="17"/>
        <v>107</v>
      </c>
      <c r="B162">
        <v>-2.424721270918365</v>
      </c>
      <c r="E162" s="11">
        <f>A162-'Mastercurve bestimmen'!$B$2</f>
        <v>-18</v>
      </c>
      <c r="F162" s="11">
        <f t="shared" si="15"/>
        <v>-2.424721270918365</v>
      </c>
      <c r="G162" s="11"/>
      <c r="H162" s="11">
        <f t="shared" si="16"/>
        <v>11019960576</v>
      </c>
      <c r="I162" s="11">
        <f t="shared" si="19"/>
        <v>-612220032</v>
      </c>
      <c r="J162" s="11">
        <f t="shared" si="19"/>
        <v>34012224</v>
      </c>
      <c r="K162" s="11">
        <f t="shared" si="19"/>
        <v>-1889568</v>
      </c>
      <c r="L162" s="11">
        <f t="shared" si="19"/>
        <v>104976</v>
      </c>
      <c r="M162" s="11">
        <f t="shared" si="19"/>
        <v>-5832</v>
      </c>
      <c r="N162" s="11">
        <f t="shared" si="19"/>
        <v>324</v>
      </c>
      <c r="O162" s="11">
        <f t="shared" si="19"/>
        <v>-18</v>
      </c>
      <c r="P162" s="11">
        <f t="shared" si="18"/>
        <v>0</v>
      </c>
    </row>
    <row r="163" spans="1:16" x14ac:dyDescent="0.25">
      <c r="A163" s="11">
        <f t="shared" si="17"/>
        <v>108</v>
      </c>
      <c r="B163">
        <v>-2.2973271985166934</v>
      </c>
      <c r="E163" s="11">
        <f>A163-'Mastercurve bestimmen'!$B$2</f>
        <v>-17</v>
      </c>
      <c r="F163" s="11">
        <f t="shared" si="15"/>
        <v>-2.2973271985166934</v>
      </c>
      <c r="G163" s="11"/>
      <c r="H163" s="11">
        <f t="shared" si="16"/>
        <v>6975757441</v>
      </c>
      <c r="I163" s="11">
        <f t="shared" si="19"/>
        <v>-410338673</v>
      </c>
      <c r="J163" s="11">
        <f t="shared" si="19"/>
        <v>24137569</v>
      </c>
      <c r="K163" s="11">
        <f t="shared" si="19"/>
        <v>-1419857</v>
      </c>
      <c r="L163" s="11">
        <f t="shared" si="19"/>
        <v>83521</v>
      </c>
      <c r="M163" s="11">
        <f t="shared" si="19"/>
        <v>-4913</v>
      </c>
      <c r="N163" s="11">
        <f t="shared" si="19"/>
        <v>289</v>
      </c>
      <c r="O163" s="11">
        <f t="shared" si="19"/>
        <v>-17</v>
      </c>
      <c r="P163" s="11">
        <f t="shared" si="18"/>
        <v>0</v>
      </c>
    </row>
    <row r="164" spans="1:16" x14ac:dyDescent="0.25">
      <c r="A164" s="11">
        <f t="shared" si="17"/>
        <v>109</v>
      </c>
      <c r="B164">
        <v>-2.1690359554705814</v>
      </c>
      <c r="E164" s="11">
        <f>A164-'Mastercurve bestimmen'!$B$2</f>
        <v>-16</v>
      </c>
      <c r="F164" s="11">
        <f t="shared" si="15"/>
        <v>-2.1690359554705814</v>
      </c>
      <c r="G164" s="11"/>
      <c r="H164" s="11">
        <f t="shared" si="16"/>
        <v>4294967296</v>
      </c>
      <c r="I164" s="11">
        <f t="shared" si="19"/>
        <v>-268435456</v>
      </c>
      <c r="J164" s="11">
        <f t="shared" si="19"/>
        <v>16777216</v>
      </c>
      <c r="K164" s="11">
        <f t="shared" si="19"/>
        <v>-1048576</v>
      </c>
      <c r="L164" s="11">
        <f t="shared" si="19"/>
        <v>65536</v>
      </c>
      <c r="M164" s="11">
        <f t="shared" si="19"/>
        <v>-4096</v>
      </c>
      <c r="N164" s="11">
        <f t="shared" si="19"/>
        <v>256</v>
      </c>
      <c r="O164" s="11">
        <f t="shared" si="19"/>
        <v>-16</v>
      </c>
      <c r="P164" s="11">
        <f t="shared" si="18"/>
        <v>0</v>
      </c>
    </row>
    <row r="165" spans="1:16" x14ac:dyDescent="0.25">
      <c r="A165" s="11">
        <f t="shared" si="17"/>
        <v>110</v>
      </c>
      <c r="B165">
        <v>-2.0398544524919302</v>
      </c>
      <c r="E165" s="11">
        <f>A165-'Mastercurve bestimmen'!$B$2</f>
        <v>-15</v>
      </c>
      <c r="F165" s="11">
        <f t="shared" si="15"/>
        <v>-2.0398544524919302</v>
      </c>
      <c r="G165" s="11"/>
      <c r="H165" s="11">
        <f t="shared" si="16"/>
        <v>2562890625</v>
      </c>
      <c r="I165" s="11">
        <f t="shared" si="19"/>
        <v>-170859375</v>
      </c>
      <c r="J165" s="11">
        <f t="shared" si="19"/>
        <v>11390625</v>
      </c>
      <c r="K165" s="11">
        <f t="shared" si="19"/>
        <v>-759375</v>
      </c>
      <c r="L165" s="11">
        <f t="shared" si="19"/>
        <v>50625</v>
      </c>
      <c r="M165" s="11">
        <f t="shared" si="19"/>
        <v>-3375</v>
      </c>
      <c r="N165" s="11">
        <f t="shared" si="19"/>
        <v>225</v>
      </c>
      <c r="O165" s="11">
        <f t="shared" si="19"/>
        <v>-15</v>
      </c>
      <c r="P165" s="11">
        <f t="shared" si="18"/>
        <v>0</v>
      </c>
    </row>
    <row r="166" spans="1:16" x14ac:dyDescent="0.25">
      <c r="A166" s="11">
        <f t="shared" si="17"/>
        <v>111</v>
      </c>
      <c r="B166">
        <v>-1.9097896002926398</v>
      </c>
      <c r="E166" s="11">
        <f>A166-'Mastercurve bestimmen'!$B$2</f>
        <v>-14</v>
      </c>
      <c r="F166" s="11">
        <f t="shared" si="15"/>
        <v>-1.9097896002926398</v>
      </c>
      <c r="G166" s="11"/>
      <c r="H166" s="11">
        <f t="shared" si="16"/>
        <v>1475789056</v>
      </c>
      <c r="I166" s="11">
        <f t="shared" si="19"/>
        <v>-105413504</v>
      </c>
      <c r="J166" s="11">
        <f t="shared" si="19"/>
        <v>7529536</v>
      </c>
      <c r="K166" s="11">
        <f t="shared" si="19"/>
        <v>-537824</v>
      </c>
      <c r="L166" s="11">
        <f t="shared" si="19"/>
        <v>38416</v>
      </c>
      <c r="M166" s="11">
        <f t="shared" si="19"/>
        <v>-2744</v>
      </c>
      <c r="N166" s="11">
        <f t="shared" si="19"/>
        <v>196</v>
      </c>
      <c r="O166" s="11">
        <f t="shared" si="19"/>
        <v>-14</v>
      </c>
      <c r="P166" s="11">
        <f t="shared" si="18"/>
        <v>0</v>
      </c>
    </row>
    <row r="167" spans="1:16" x14ac:dyDescent="0.25">
      <c r="A167" s="11">
        <f t="shared" si="17"/>
        <v>112</v>
      </c>
      <c r="B167">
        <v>-1.7788483095846124</v>
      </c>
      <c r="E167" s="11">
        <f>A167-'Mastercurve bestimmen'!$B$2</f>
        <v>-13</v>
      </c>
      <c r="F167" s="11">
        <f t="shared" si="15"/>
        <v>-1.7788483095846124</v>
      </c>
      <c r="G167" s="11"/>
      <c r="H167" s="11">
        <f t="shared" si="16"/>
        <v>815730721</v>
      </c>
      <c r="I167" s="11">
        <f t="shared" si="19"/>
        <v>-62748517</v>
      </c>
      <c r="J167" s="11">
        <f t="shared" si="19"/>
        <v>4826809</v>
      </c>
      <c r="K167" s="11">
        <f t="shared" si="19"/>
        <v>-371293</v>
      </c>
      <c r="L167" s="11">
        <f t="shared" si="19"/>
        <v>28561</v>
      </c>
      <c r="M167" s="11">
        <f t="shared" si="19"/>
        <v>-2197</v>
      </c>
      <c r="N167" s="11">
        <f t="shared" si="19"/>
        <v>169</v>
      </c>
      <c r="O167" s="11">
        <f t="shared" si="19"/>
        <v>-13</v>
      </c>
      <c r="P167" s="11">
        <f t="shared" si="18"/>
        <v>0</v>
      </c>
    </row>
    <row r="168" spans="1:16" x14ac:dyDescent="0.25">
      <c r="A168" s="11">
        <f t="shared" si="17"/>
        <v>113</v>
      </c>
      <c r="B168">
        <v>-1.6470374910797476</v>
      </c>
      <c r="E168" s="11">
        <f>A168-'Mastercurve bestimmen'!$B$2</f>
        <v>-12</v>
      </c>
      <c r="F168" s="11">
        <f t="shared" si="15"/>
        <v>-1.6470374910797476</v>
      </c>
      <c r="G168" s="11"/>
      <c r="H168" s="11">
        <f t="shared" si="16"/>
        <v>429981696</v>
      </c>
      <c r="I168" s="11">
        <f t="shared" si="19"/>
        <v>-35831808</v>
      </c>
      <c r="J168" s="11">
        <f t="shared" si="19"/>
        <v>2985984</v>
      </c>
      <c r="K168" s="11">
        <f t="shared" si="19"/>
        <v>-248832</v>
      </c>
      <c r="L168" s="11">
        <f t="shared" si="19"/>
        <v>20736</v>
      </c>
      <c r="M168" s="11">
        <f t="shared" si="19"/>
        <v>-1728</v>
      </c>
      <c r="N168" s="11">
        <f t="shared" si="19"/>
        <v>144</v>
      </c>
      <c r="O168" s="11">
        <f t="shared" si="19"/>
        <v>-12</v>
      </c>
      <c r="P168" s="11">
        <f t="shared" si="18"/>
        <v>0</v>
      </c>
    </row>
    <row r="169" spans="1:16" x14ac:dyDescent="0.25">
      <c r="A169" s="11">
        <f t="shared" si="17"/>
        <v>114</v>
      </c>
      <c r="B169">
        <v>-1.5143640554899471</v>
      </c>
      <c r="E169" s="11">
        <f>A169-'Mastercurve bestimmen'!$B$2</f>
        <v>-11</v>
      </c>
      <c r="F169" s="11">
        <f t="shared" si="15"/>
        <v>-1.5143640554899471</v>
      </c>
      <c r="G169" s="11"/>
      <c r="H169" s="11">
        <f t="shared" si="16"/>
        <v>214358881</v>
      </c>
      <c r="I169" s="11">
        <f t="shared" si="19"/>
        <v>-19487171</v>
      </c>
      <c r="J169" s="11">
        <f t="shared" si="19"/>
        <v>1771561</v>
      </c>
      <c r="K169" s="11">
        <f t="shared" si="19"/>
        <v>-161051</v>
      </c>
      <c r="L169" s="11">
        <f t="shared" si="19"/>
        <v>14641</v>
      </c>
      <c r="M169" s="11">
        <f t="shared" si="19"/>
        <v>-1331</v>
      </c>
      <c r="N169" s="11">
        <f t="shared" si="19"/>
        <v>121</v>
      </c>
      <c r="O169" s="11">
        <f t="shared" si="19"/>
        <v>-11</v>
      </c>
      <c r="P169" s="11">
        <f t="shared" si="18"/>
        <v>0</v>
      </c>
    </row>
    <row r="170" spans="1:16" x14ac:dyDescent="0.25">
      <c r="A170" s="11">
        <f t="shared" si="17"/>
        <v>115</v>
      </c>
      <c r="B170">
        <v>-1.3808349135271116</v>
      </c>
      <c r="E170" s="11">
        <f>A170-'Mastercurve bestimmen'!$B$2</f>
        <v>-10</v>
      </c>
      <c r="F170" s="11">
        <f t="shared" si="15"/>
        <v>-1.3808349135271116</v>
      </c>
      <c r="G170" s="11"/>
      <c r="H170" s="11">
        <f t="shared" si="16"/>
        <v>100000000</v>
      </c>
      <c r="I170" s="11">
        <f t="shared" si="19"/>
        <v>-10000000</v>
      </c>
      <c r="J170" s="11">
        <f t="shared" si="19"/>
        <v>1000000</v>
      </c>
      <c r="K170" s="11">
        <f t="shared" si="19"/>
        <v>-100000</v>
      </c>
      <c r="L170" s="11">
        <f t="shared" si="19"/>
        <v>10000</v>
      </c>
      <c r="M170" s="11">
        <f t="shared" si="19"/>
        <v>-1000</v>
      </c>
      <c r="N170" s="11">
        <f t="shared" si="19"/>
        <v>100</v>
      </c>
      <c r="O170" s="11">
        <f t="shared" si="19"/>
        <v>-10</v>
      </c>
      <c r="P170" s="11">
        <f t="shared" si="18"/>
        <v>0</v>
      </c>
    </row>
    <row r="171" spans="1:16" x14ac:dyDescent="0.25">
      <c r="A171" s="11">
        <f t="shared" si="17"/>
        <v>116</v>
      </c>
      <c r="B171">
        <v>-1.2464569759031414</v>
      </c>
      <c r="E171" s="11">
        <f>A171-'Mastercurve bestimmen'!$B$2</f>
        <v>-9</v>
      </c>
      <c r="F171" s="11">
        <f t="shared" si="15"/>
        <v>-1.2464569759031414</v>
      </c>
      <c r="G171" s="11"/>
      <c r="H171" s="11">
        <f t="shared" si="16"/>
        <v>43046721</v>
      </c>
      <c r="I171" s="11">
        <f t="shared" si="19"/>
        <v>-4782969</v>
      </c>
      <c r="J171" s="11">
        <f t="shared" si="19"/>
        <v>531441</v>
      </c>
      <c r="K171" s="11">
        <f t="shared" si="19"/>
        <v>-59049</v>
      </c>
      <c r="L171" s="11">
        <f t="shared" si="19"/>
        <v>6561</v>
      </c>
      <c r="M171" s="11">
        <f t="shared" si="19"/>
        <v>-729</v>
      </c>
      <c r="N171" s="11">
        <f t="shared" si="19"/>
        <v>81</v>
      </c>
      <c r="O171" s="11">
        <f t="shared" si="19"/>
        <v>-9</v>
      </c>
      <c r="P171" s="11">
        <f t="shared" si="18"/>
        <v>0</v>
      </c>
    </row>
    <row r="172" spans="1:16" x14ac:dyDescent="0.25">
      <c r="A172" s="11">
        <f t="shared" si="17"/>
        <v>117</v>
      </c>
      <c r="B172">
        <v>-1.1112371533299377</v>
      </c>
      <c r="E172" s="11">
        <f>A172-'Mastercurve bestimmen'!$B$2</f>
        <v>-8</v>
      </c>
      <c r="F172" s="11">
        <f t="shared" si="15"/>
        <v>-1.1112371533299377</v>
      </c>
      <c r="G172" s="11"/>
      <c r="H172" s="11">
        <f t="shared" si="16"/>
        <v>16777216</v>
      </c>
      <c r="I172" s="11">
        <f t="shared" si="19"/>
        <v>-2097152</v>
      </c>
      <c r="J172" s="11">
        <f t="shared" si="19"/>
        <v>262144</v>
      </c>
      <c r="K172" s="11">
        <f t="shared" si="19"/>
        <v>-32768</v>
      </c>
      <c r="L172" s="11">
        <f t="shared" si="19"/>
        <v>4096</v>
      </c>
      <c r="M172" s="11">
        <f t="shared" si="19"/>
        <v>-512</v>
      </c>
      <c r="N172" s="11">
        <f t="shared" si="19"/>
        <v>64</v>
      </c>
      <c r="O172" s="11">
        <f t="shared" si="19"/>
        <v>-8</v>
      </c>
      <c r="P172" s="11">
        <f t="shared" si="18"/>
        <v>0</v>
      </c>
    </row>
    <row r="173" spans="1:16" x14ac:dyDescent="0.25">
      <c r="A173" s="11">
        <f t="shared" si="17"/>
        <v>118</v>
      </c>
      <c r="B173">
        <v>-0.97518235651940133</v>
      </c>
      <c r="E173" s="11">
        <f>A173-'Mastercurve bestimmen'!$B$2</f>
        <v>-7</v>
      </c>
      <c r="F173" s="11">
        <f t="shared" si="15"/>
        <v>-0.97518235651940133</v>
      </c>
      <c r="G173" s="11"/>
      <c r="H173" s="11">
        <f t="shared" si="16"/>
        <v>5764801</v>
      </c>
      <c r="I173" s="11">
        <f t="shared" si="19"/>
        <v>-823543</v>
      </c>
      <c r="J173" s="11">
        <f t="shared" si="19"/>
        <v>117649</v>
      </c>
      <c r="K173" s="11">
        <f t="shared" si="19"/>
        <v>-16807</v>
      </c>
      <c r="L173" s="11">
        <f t="shared" si="19"/>
        <v>2401</v>
      </c>
      <c r="M173" s="11">
        <f t="shared" si="19"/>
        <v>-343</v>
      </c>
      <c r="N173" s="11">
        <f t="shared" si="19"/>
        <v>49</v>
      </c>
      <c r="O173" s="11">
        <f t="shared" si="19"/>
        <v>-7</v>
      </c>
      <c r="P173" s="11">
        <f t="shared" si="18"/>
        <v>0</v>
      </c>
    </row>
    <row r="174" spans="1:16" x14ac:dyDescent="0.25">
      <c r="A174" s="11">
        <f t="shared" si="17"/>
        <v>119</v>
      </c>
      <c r="B174">
        <v>-0.83829949618343291</v>
      </c>
      <c r="E174" s="11">
        <f>A174-'Mastercurve bestimmen'!$B$2</f>
        <v>-6</v>
      </c>
      <c r="F174" s="11">
        <f t="shared" si="15"/>
        <v>-0.83829949618343291</v>
      </c>
      <c r="G174" s="11"/>
      <c r="H174" s="11">
        <f t="shared" si="16"/>
        <v>1679616</v>
      </c>
      <c r="I174" s="11">
        <f t="shared" si="19"/>
        <v>-279936</v>
      </c>
      <c r="J174" s="11">
        <f t="shared" si="19"/>
        <v>46656</v>
      </c>
      <c r="K174" s="11">
        <f t="shared" si="19"/>
        <v>-7776</v>
      </c>
      <c r="L174" s="11">
        <f t="shared" si="19"/>
        <v>1296</v>
      </c>
      <c r="M174" s="11">
        <f t="shared" si="19"/>
        <v>-216</v>
      </c>
      <c r="N174" s="11">
        <f t="shared" si="19"/>
        <v>36</v>
      </c>
      <c r="O174" s="11">
        <f t="shared" si="19"/>
        <v>-6</v>
      </c>
      <c r="P174" s="11">
        <f t="shared" si="18"/>
        <v>0</v>
      </c>
    </row>
    <row r="175" spans="1:16" x14ac:dyDescent="0.25">
      <c r="A175" s="11">
        <f t="shared" si="17"/>
        <v>120</v>
      </c>
      <c r="B175">
        <v>-0.70059548303393371</v>
      </c>
      <c r="E175" s="11">
        <f>A175-'Mastercurve bestimmen'!$B$2</f>
        <v>-5</v>
      </c>
      <c r="F175" s="11">
        <f t="shared" si="15"/>
        <v>-0.70059548303393371</v>
      </c>
      <c r="G175" s="11"/>
      <c r="H175" s="11">
        <f t="shared" si="16"/>
        <v>390625</v>
      </c>
      <c r="I175" s="11">
        <f t="shared" si="19"/>
        <v>-78125</v>
      </c>
      <c r="J175" s="11">
        <f t="shared" si="19"/>
        <v>15625</v>
      </c>
      <c r="K175" s="11">
        <f t="shared" si="19"/>
        <v>-3125</v>
      </c>
      <c r="L175" s="11">
        <f t="shared" si="19"/>
        <v>625</v>
      </c>
      <c r="M175" s="11">
        <f t="shared" si="19"/>
        <v>-125</v>
      </c>
      <c r="N175" s="11">
        <f t="shared" si="19"/>
        <v>25</v>
      </c>
      <c r="O175" s="11">
        <f t="shared" si="19"/>
        <v>-5</v>
      </c>
      <c r="P175" s="11">
        <f t="shared" si="18"/>
        <v>0</v>
      </c>
    </row>
    <row r="176" spans="1:16" x14ac:dyDescent="0.25">
      <c r="A176" s="11">
        <f t="shared" si="17"/>
        <v>121</v>
      </c>
      <c r="B176">
        <v>-0.56207722778280411</v>
      </c>
      <c r="E176" s="11">
        <f>A176-'Mastercurve bestimmen'!$B$2</f>
        <v>-4</v>
      </c>
      <c r="F176" s="11">
        <f t="shared" si="15"/>
        <v>-0.56207722778280411</v>
      </c>
      <c r="G176" s="11"/>
      <c r="H176" s="11">
        <f t="shared" si="16"/>
        <v>65536</v>
      </c>
      <c r="I176" s="11">
        <f t="shared" si="19"/>
        <v>-16384</v>
      </c>
      <c r="J176" s="11">
        <f t="shared" si="19"/>
        <v>4096</v>
      </c>
      <c r="K176" s="11">
        <f t="shared" si="19"/>
        <v>-1024</v>
      </c>
      <c r="L176" s="11">
        <f t="shared" si="19"/>
        <v>256</v>
      </c>
      <c r="M176" s="11">
        <f t="shared" si="19"/>
        <v>-64</v>
      </c>
      <c r="N176" s="11">
        <f t="shared" si="19"/>
        <v>16</v>
      </c>
      <c r="O176" s="11">
        <f t="shared" si="19"/>
        <v>-4</v>
      </c>
      <c r="P176" s="11">
        <f t="shared" si="18"/>
        <v>0</v>
      </c>
    </row>
    <row r="177" spans="1:16" x14ac:dyDescent="0.25">
      <c r="A177" s="11">
        <f t="shared" si="17"/>
        <v>122</v>
      </c>
      <c r="B177">
        <v>-0.42275164114194508</v>
      </c>
      <c r="E177" s="11">
        <f>A177-'Mastercurve bestimmen'!$B$2</f>
        <v>-3</v>
      </c>
      <c r="F177" s="11">
        <f t="shared" si="15"/>
        <v>-0.42275164114194508</v>
      </c>
      <c r="G177" s="11"/>
      <c r="H177" s="11">
        <f t="shared" si="16"/>
        <v>6561</v>
      </c>
      <c r="I177" s="11">
        <f t="shared" si="19"/>
        <v>-2187</v>
      </c>
      <c r="J177" s="11">
        <f t="shared" si="19"/>
        <v>729</v>
      </c>
      <c r="K177" s="11">
        <f t="shared" si="19"/>
        <v>-243</v>
      </c>
      <c r="L177" s="11">
        <f t="shared" si="19"/>
        <v>81</v>
      </c>
      <c r="M177" s="11">
        <f t="shared" si="19"/>
        <v>-27</v>
      </c>
      <c r="N177" s="11">
        <f t="shared" si="19"/>
        <v>9</v>
      </c>
      <c r="O177" s="11">
        <f t="shared" si="19"/>
        <v>-3</v>
      </c>
      <c r="P177" s="11">
        <f t="shared" si="18"/>
        <v>0</v>
      </c>
    </row>
    <row r="178" spans="1:16" x14ac:dyDescent="0.25">
      <c r="A178" s="11">
        <f t="shared" si="17"/>
        <v>123</v>
      </c>
      <c r="B178">
        <v>-0.2826256338232575</v>
      </c>
      <c r="E178" s="11">
        <f>A178-'Mastercurve bestimmen'!$B$2</f>
        <v>-2</v>
      </c>
      <c r="F178" s="11">
        <f t="shared" si="15"/>
        <v>-0.2826256338232575</v>
      </c>
      <c r="G178" s="11"/>
      <c r="H178" s="11">
        <f t="shared" si="16"/>
        <v>256</v>
      </c>
      <c r="I178" s="11">
        <f t="shared" si="19"/>
        <v>-128</v>
      </c>
      <c r="J178" s="11">
        <f t="shared" si="19"/>
        <v>64</v>
      </c>
      <c r="K178" s="11">
        <f t="shared" si="19"/>
        <v>-32</v>
      </c>
      <c r="L178" s="11">
        <f t="shared" si="19"/>
        <v>16</v>
      </c>
      <c r="M178" s="11">
        <f t="shared" si="19"/>
        <v>-8</v>
      </c>
      <c r="N178" s="11">
        <f t="shared" si="19"/>
        <v>4</v>
      </c>
      <c r="O178" s="11">
        <f t="shared" si="19"/>
        <v>-2</v>
      </c>
      <c r="P178" s="11">
        <f t="shared" si="18"/>
        <v>0</v>
      </c>
    </row>
    <row r="179" spans="1:16" x14ac:dyDescent="0.25">
      <c r="A179" s="11">
        <f t="shared" si="17"/>
        <v>124</v>
      </c>
      <c r="B179">
        <v>-0.14170611653864224</v>
      </c>
      <c r="E179" s="11">
        <f>A179-'Mastercurve bestimmen'!$B$2</f>
        <v>-1</v>
      </c>
      <c r="F179" s="11">
        <f t="shared" si="15"/>
        <v>-0.14170611653864224</v>
      </c>
      <c r="G179" s="11"/>
      <c r="H179" s="11">
        <f t="shared" si="16"/>
        <v>1</v>
      </c>
      <c r="I179" s="11">
        <f t="shared" si="19"/>
        <v>-1</v>
      </c>
      <c r="J179" s="11">
        <f t="shared" si="19"/>
        <v>1</v>
      </c>
      <c r="K179" s="11">
        <f t="shared" si="19"/>
        <v>-1</v>
      </c>
      <c r="L179" s="11">
        <f t="shared" si="19"/>
        <v>1</v>
      </c>
      <c r="M179" s="11">
        <f t="shared" si="19"/>
        <v>-1</v>
      </c>
      <c r="N179" s="11">
        <f t="shared" si="19"/>
        <v>1</v>
      </c>
      <c r="O179" s="11">
        <f t="shared" si="19"/>
        <v>-1</v>
      </c>
      <c r="P179" s="11">
        <f t="shared" si="18"/>
        <v>0</v>
      </c>
    </row>
    <row r="180" spans="1:16" x14ac:dyDescent="0.25">
      <c r="A180" s="11">
        <f t="shared" si="17"/>
        <v>125</v>
      </c>
      <c r="B180">
        <v>0</v>
      </c>
      <c r="E180" s="11">
        <f>A180-'Mastercurve bestimmen'!$B$2</f>
        <v>0</v>
      </c>
      <c r="F180" s="11">
        <f t="shared" si="15"/>
        <v>0</v>
      </c>
      <c r="G180" s="11"/>
      <c r="H180" s="11">
        <f t="shared" si="16"/>
        <v>0</v>
      </c>
      <c r="I180" s="11">
        <f t="shared" si="19"/>
        <v>0</v>
      </c>
      <c r="J180" s="11">
        <f t="shared" si="19"/>
        <v>0</v>
      </c>
      <c r="K180" s="11">
        <f t="shared" si="19"/>
        <v>0</v>
      </c>
      <c r="L180" s="11">
        <f t="shared" si="19"/>
        <v>0</v>
      </c>
      <c r="M180" s="11">
        <f t="shared" si="19"/>
        <v>0</v>
      </c>
      <c r="N180" s="11">
        <f t="shared" si="19"/>
        <v>0</v>
      </c>
      <c r="O180" s="11">
        <f t="shared" si="19"/>
        <v>0</v>
      </c>
      <c r="P180" s="11">
        <f t="shared" si="18"/>
        <v>0</v>
      </c>
    </row>
    <row r="181" spans="1:16" x14ac:dyDescent="0.25">
      <c r="A181" s="11">
        <f t="shared" si="17"/>
        <v>126</v>
      </c>
      <c r="B181">
        <v>0.14248324406350357</v>
      </c>
      <c r="E181" s="11">
        <f>A181-'Mastercurve bestimmen'!$B$2</f>
        <v>1</v>
      </c>
      <c r="F181" s="11">
        <f t="shared" si="15"/>
        <v>0.14248324406350357</v>
      </c>
      <c r="G181" s="11"/>
      <c r="H181" s="11">
        <f t="shared" si="16"/>
        <v>1</v>
      </c>
      <c r="I181" s="11">
        <f t="shared" si="19"/>
        <v>1</v>
      </c>
      <c r="J181" s="11">
        <f t="shared" si="19"/>
        <v>1</v>
      </c>
      <c r="K181" s="11">
        <f t="shared" si="19"/>
        <v>1</v>
      </c>
      <c r="L181" s="11">
        <f t="shared" si="19"/>
        <v>1</v>
      </c>
      <c r="M181" s="11">
        <f t="shared" si="19"/>
        <v>1</v>
      </c>
      <c r="N181" s="11">
        <f t="shared" si="19"/>
        <v>1</v>
      </c>
      <c r="O181" s="11">
        <f t="shared" si="19"/>
        <v>1</v>
      </c>
      <c r="P181" s="11">
        <f t="shared" si="18"/>
        <v>0</v>
      </c>
    </row>
    <row r="182" spans="1:16" x14ac:dyDescent="0.25">
      <c r="A182" s="11">
        <f t="shared" si="17"/>
        <v>127</v>
      </c>
      <c r="B182">
        <v>0.28572389985364394</v>
      </c>
      <c r="E182" s="11">
        <f>A182-'Mastercurve bestimmen'!$B$2</f>
        <v>2</v>
      </c>
      <c r="F182" s="11">
        <f t="shared" si="15"/>
        <v>0.28572389985364394</v>
      </c>
      <c r="G182" s="11"/>
      <c r="H182" s="11">
        <f t="shared" si="16"/>
        <v>256</v>
      </c>
      <c r="I182" s="11">
        <f t="shared" si="19"/>
        <v>128</v>
      </c>
      <c r="J182" s="11">
        <f t="shared" si="19"/>
        <v>64</v>
      </c>
      <c r="K182" s="11">
        <f t="shared" si="19"/>
        <v>32</v>
      </c>
      <c r="L182" s="11">
        <f t="shared" si="19"/>
        <v>16</v>
      </c>
      <c r="M182" s="11">
        <f t="shared" si="19"/>
        <v>8</v>
      </c>
      <c r="N182" s="11">
        <f t="shared" si="19"/>
        <v>4</v>
      </c>
      <c r="O182" s="11">
        <f t="shared" si="19"/>
        <v>2</v>
      </c>
      <c r="P182" s="11">
        <f t="shared" si="18"/>
        <v>0</v>
      </c>
    </row>
    <row r="183" spans="1:16" x14ac:dyDescent="0.25">
      <c r="A183" s="11">
        <f t="shared" si="17"/>
        <v>128</v>
      </c>
      <c r="B183">
        <v>0.42969969055493173</v>
      </c>
      <c r="E183" s="11">
        <f>A183-'Mastercurve bestimmen'!$B$2</f>
        <v>3</v>
      </c>
      <c r="F183" s="11">
        <f t="shared" si="15"/>
        <v>0.42969969055493173</v>
      </c>
      <c r="G183" s="11"/>
      <c r="H183" s="11">
        <f t="shared" si="16"/>
        <v>6561</v>
      </c>
      <c r="I183" s="11">
        <f t="shared" si="19"/>
        <v>2187</v>
      </c>
      <c r="J183" s="11">
        <f t="shared" si="19"/>
        <v>729</v>
      </c>
      <c r="K183" s="11">
        <f t="shared" si="19"/>
        <v>243</v>
      </c>
      <c r="L183" s="11">
        <f t="shared" si="19"/>
        <v>81</v>
      </c>
      <c r="M183" s="11">
        <f t="shared" si="19"/>
        <v>27</v>
      </c>
      <c r="N183" s="11">
        <f t="shared" si="19"/>
        <v>9</v>
      </c>
      <c r="O183" s="11">
        <f t="shared" si="19"/>
        <v>3</v>
      </c>
      <c r="P183" s="11">
        <f t="shared" si="18"/>
        <v>0</v>
      </c>
    </row>
    <row r="184" spans="1:16" x14ac:dyDescent="0.25">
      <c r="A184" s="11">
        <f t="shared" si="17"/>
        <v>129</v>
      </c>
      <c r="B184">
        <v>0.57438833935187772</v>
      </c>
      <c r="E184" s="11">
        <f>A184-'Mastercurve bestimmen'!$B$2</f>
        <v>4</v>
      </c>
      <c r="F184" s="11">
        <f t="shared" si="15"/>
        <v>0.57438833935187772</v>
      </c>
      <c r="G184" s="11"/>
      <c r="H184" s="11">
        <f t="shared" si="16"/>
        <v>65536</v>
      </c>
      <c r="I184" s="11">
        <f t="shared" si="19"/>
        <v>16384</v>
      </c>
      <c r="J184" s="11">
        <f t="shared" si="19"/>
        <v>4096</v>
      </c>
      <c r="K184" s="11">
        <f t="shared" si="19"/>
        <v>1024</v>
      </c>
      <c r="L184" s="11">
        <f t="shared" si="19"/>
        <v>256</v>
      </c>
      <c r="M184" s="11">
        <f t="shared" si="19"/>
        <v>64</v>
      </c>
      <c r="N184" s="11">
        <f t="shared" si="19"/>
        <v>16</v>
      </c>
      <c r="O184" s="11">
        <f t="shared" si="19"/>
        <v>4</v>
      </c>
      <c r="P184" s="11">
        <f t="shared" si="18"/>
        <v>0</v>
      </c>
    </row>
    <row r="185" spans="1:16" x14ac:dyDescent="0.25">
      <c r="A185" s="11">
        <f t="shared" si="17"/>
        <v>130</v>
      </c>
      <c r="B185">
        <v>0.71976756942899245</v>
      </c>
      <c r="E185" s="11">
        <f>A185-'Mastercurve bestimmen'!$B$2</f>
        <v>5</v>
      </c>
      <c r="F185" s="11">
        <f t="shared" si="15"/>
        <v>0.71976756942899245</v>
      </c>
      <c r="G185" s="11"/>
      <c r="H185" s="11">
        <f t="shared" si="16"/>
        <v>390625</v>
      </c>
      <c r="I185" s="11">
        <f t="shared" si="19"/>
        <v>78125</v>
      </c>
      <c r="J185" s="11">
        <f t="shared" si="19"/>
        <v>15625</v>
      </c>
      <c r="K185" s="11">
        <f t="shared" si="19"/>
        <v>3125</v>
      </c>
      <c r="L185" s="11">
        <f t="shared" si="19"/>
        <v>625</v>
      </c>
      <c r="M185" s="11">
        <f t="shared" si="19"/>
        <v>125</v>
      </c>
      <c r="N185" s="11">
        <f t="shared" si="19"/>
        <v>25</v>
      </c>
      <c r="O185" s="11">
        <f t="shared" si="19"/>
        <v>5</v>
      </c>
      <c r="P185" s="11">
        <f t="shared" si="18"/>
        <v>0</v>
      </c>
    </row>
    <row r="186" spans="1:16" x14ac:dyDescent="0.25">
      <c r="A186" s="11">
        <f t="shared" si="17"/>
        <v>131</v>
      </c>
      <c r="B186">
        <v>0.86581510397078665</v>
      </c>
      <c r="E186" s="11">
        <f>A186-'Mastercurve bestimmen'!$B$2</f>
        <v>6</v>
      </c>
      <c r="F186" s="11">
        <f t="shared" si="15"/>
        <v>0.86581510397078665</v>
      </c>
      <c r="G186" s="11"/>
      <c r="H186" s="11">
        <f t="shared" si="16"/>
        <v>1679616</v>
      </c>
      <c r="I186" s="11">
        <f t="shared" si="19"/>
        <v>279936</v>
      </c>
      <c r="J186" s="11">
        <f t="shared" si="19"/>
        <v>46656</v>
      </c>
      <c r="K186" s="11">
        <f t="shared" si="19"/>
        <v>7776</v>
      </c>
      <c r="L186" s="11">
        <f t="shared" si="19"/>
        <v>1296</v>
      </c>
      <c r="M186" s="11">
        <f t="shared" si="19"/>
        <v>216</v>
      </c>
      <c r="N186" s="11">
        <f t="shared" si="19"/>
        <v>36</v>
      </c>
      <c r="O186" s="11">
        <f t="shared" si="19"/>
        <v>6</v>
      </c>
      <c r="P186" s="11">
        <f t="shared" si="18"/>
        <v>0</v>
      </c>
    </row>
    <row r="187" spans="1:16" x14ac:dyDescent="0.25">
      <c r="A187" s="11">
        <f t="shared" si="17"/>
        <v>132</v>
      </c>
      <c r="B187">
        <v>1.0125086661617713</v>
      </c>
      <c r="E187" s="11">
        <f>A187-'Mastercurve bestimmen'!$B$2</f>
        <v>7</v>
      </c>
      <c r="F187" s="11">
        <f t="shared" si="15"/>
        <v>1.0125086661617713</v>
      </c>
      <c r="G187" s="11"/>
      <c r="H187" s="11">
        <f t="shared" si="16"/>
        <v>5764801</v>
      </c>
      <c r="I187" s="11">
        <f t="shared" si="19"/>
        <v>823543</v>
      </c>
      <c r="J187" s="11">
        <f t="shared" si="19"/>
        <v>117649</v>
      </c>
      <c r="K187" s="11">
        <f t="shared" si="19"/>
        <v>16807</v>
      </c>
      <c r="L187" s="11">
        <f t="shared" si="19"/>
        <v>2401</v>
      </c>
      <c r="M187" s="11">
        <f t="shared" si="19"/>
        <v>343</v>
      </c>
      <c r="N187" s="11">
        <f t="shared" si="19"/>
        <v>49</v>
      </c>
      <c r="O187" s="11">
        <f t="shared" si="19"/>
        <v>7</v>
      </c>
      <c r="P187" s="11">
        <f t="shared" si="18"/>
        <v>0</v>
      </c>
    </row>
    <row r="188" spans="1:16" x14ac:dyDescent="0.25">
      <c r="A188" s="11">
        <f t="shared" si="17"/>
        <v>133</v>
      </c>
      <c r="B188">
        <v>1.1598259791864565</v>
      </c>
      <c r="E188" s="11">
        <f>A188-'Mastercurve bestimmen'!$B$2</f>
        <v>8</v>
      </c>
      <c r="F188" s="11">
        <f t="shared" si="15"/>
        <v>1.1598259791864565</v>
      </c>
      <c r="G188" s="11"/>
      <c r="H188" s="11">
        <f t="shared" si="16"/>
        <v>16777216</v>
      </c>
      <c r="I188" s="11">
        <f t="shared" si="19"/>
        <v>2097152</v>
      </c>
      <c r="J188" s="11">
        <f t="shared" si="19"/>
        <v>262144</v>
      </c>
      <c r="K188" s="11">
        <f t="shared" si="19"/>
        <v>32768</v>
      </c>
      <c r="L188" s="11">
        <f t="shared" si="19"/>
        <v>4096</v>
      </c>
      <c r="M188" s="11">
        <f t="shared" si="19"/>
        <v>512</v>
      </c>
      <c r="N188" s="11">
        <f t="shared" si="19"/>
        <v>64</v>
      </c>
      <c r="O188" s="11">
        <f t="shared" si="19"/>
        <v>8</v>
      </c>
      <c r="P188" s="11">
        <f t="shared" si="18"/>
        <v>0</v>
      </c>
    </row>
    <row r="189" spans="1:16" x14ac:dyDescent="0.25">
      <c r="A189" s="11">
        <f t="shared" si="17"/>
        <v>134</v>
      </c>
      <c r="B189">
        <v>1.3077447662293533</v>
      </c>
      <c r="E189" s="11">
        <f>A189-'Mastercurve bestimmen'!$B$2</f>
        <v>9</v>
      </c>
      <c r="F189" s="11">
        <f t="shared" si="15"/>
        <v>1.3077447662293533</v>
      </c>
      <c r="G189" s="11"/>
      <c r="H189" s="11">
        <f t="shared" si="16"/>
        <v>43046721</v>
      </c>
      <c r="I189" s="11">
        <f t="shared" si="19"/>
        <v>4782969</v>
      </c>
      <c r="J189" s="11">
        <f t="shared" ref="I189:O215" si="20">IF($H$12&gt;=J$14,$E189^J$14,0)</f>
        <v>531441</v>
      </c>
      <c r="K189" s="11">
        <f t="shared" si="20"/>
        <v>59049</v>
      </c>
      <c r="L189" s="11">
        <f t="shared" si="20"/>
        <v>6561</v>
      </c>
      <c r="M189" s="11">
        <f t="shared" si="20"/>
        <v>729</v>
      </c>
      <c r="N189" s="11">
        <f t="shared" si="20"/>
        <v>81</v>
      </c>
      <c r="O189" s="11">
        <f t="shared" si="20"/>
        <v>9</v>
      </c>
      <c r="P189" s="11">
        <f t="shared" si="18"/>
        <v>0</v>
      </c>
    </row>
    <row r="190" spans="1:16" x14ac:dyDescent="0.25">
      <c r="A190" s="11">
        <f t="shared" si="17"/>
        <v>135</v>
      </c>
      <c r="B190">
        <v>1.4562427504749726</v>
      </c>
      <c r="E190" s="11">
        <f>A190-'Mastercurve bestimmen'!$B$2</f>
        <v>10</v>
      </c>
      <c r="F190" s="11">
        <f t="shared" si="15"/>
        <v>1.4562427504749726</v>
      </c>
      <c r="G190" s="11"/>
      <c r="H190" s="11">
        <f t="shared" si="16"/>
        <v>100000000</v>
      </c>
      <c r="I190" s="11">
        <f t="shared" si="20"/>
        <v>10000000</v>
      </c>
      <c r="J190" s="11">
        <f t="shared" si="20"/>
        <v>1000000</v>
      </c>
      <c r="K190" s="11">
        <f t="shared" si="20"/>
        <v>100000</v>
      </c>
      <c r="L190" s="11">
        <f t="shared" si="20"/>
        <v>10000</v>
      </c>
      <c r="M190" s="11">
        <f t="shared" si="20"/>
        <v>1000</v>
      </c>
      <c r="N190" s="11">
        <f t="shared" si="20"/>
        <v>100</v>
      </c>
      <c r="O190" s="11">
        <f t="shared" si="20"/>
        <v>10</v>
      </c>
      <c r="P190" s="11">
        <f t="shared" si="18"/>
        <v>0</v>
      </c>
    </row>
    <row r="191" spans="1:16" x14ac:dyDescent="0.25">
      <c r="A191" s="11">
        <f t="shared" si="17"/>
        <v>136</v>
      </c>
      <c r="B191">
        <v>1.6052976551078246</v>
      </c>
      <c r="E191" s="11">
        <f>A191-'Mastercurve bestimmen'!$B$2</f>
        <v>11</v>
      </c>
      <c r="F191" s="11">
        <f t="shared" si="15"/>
        <v>1.6052976551078246</v>
      </c>
      <c r="G191" s="11"/>
      <c r="H191" s="11">
        <f t="shared" si="16"/>
        <v>214358881</v>
      </c>
      <c r="I191" s="11">
        <f t="shared" si="20"/>
        <v>19487171</v>
      </c>
      <c r="J191" s="11">
        <f t="shared" si="20"/>
        <v>1771561</v>
      </c>
      <c r="K191" s="11">
        <f t="shared" si="20"/>
        <v>161051</v>
      </c>
      <c r="L191" s="11">
        <f t="shared" si="20"/>
        <v>14641</v>
      </c>
      <c r="M191" s="11">
        <f t="shared" si="20"/>
        <v>1331</v>
      </c>
      <c r="N191" s="11">
        <f t="shared" si="20"/>
        <v>121</v>
      </c>
      <c r="O191" s="11">
        <f t="shared" si="20"/>
        <v>11</v>
      </c>
      <c r="P191" s="11">
        <f t="shared" si="18"/>
        <v>0</v>
      </c>
    </row>
    <row r="192" spans="1:16" x14ac:dyDescent="0.25">
      <c r="A192" s="11">
        <f t="shared" si="17"/>
        <v>137</v>
      </c>
      <c r="B192">
        <v>1.7548872033124201</v>
      </c>
      <c r="E192" s="11">
        <f>A192-'Mastercurve bestimmen'!$B$2</f>
        <v>12</v>
      </c>
      <c r="F192" s="11">
        <f t="shared" si="15"/>
        <v>1.7548872033124201</v>
      </c>
      <c r="G192" s="11"/>
      <c r="H192" s="11">
        <f t="shared" si="16"/>
        <v>429981696</v>
      </c>
      <c r="I192" s="11">
        <f t="shared" si="20"/>
        <v>35831808</v>
      </c>
      <c r="J192" s="11">
        <f t="shared" si="20"/>
        <v>2985984</v>
      </c>
      <c r="K192" s="11">
        <f t="shared" si="20"/>
        <v>248832</v>
      </c>
      <c r="L192" s="11">
        <f t="shared" si="20"/>
        <v>20736</v>
      </c>
      <c r="M192" s="11">
        <f t="shared" si="20"/>
        <v>1728</v>
      </c>
      <c r="N192" s="11">
        <f t="shared" si="20"/>
        <v>144</v>
      </c>
      <c r="O192" s="11">
        <f t="shared" si="20"/>
        <v>12</v>
      </c>
      <c r="P192" s="11">
        <f t="shared" si="18"/>
        <v>0</v>
      </c>
    </row>
    <row r="193" spans="1:16" x14ac:dyDescent="0.25">
      <c r="A193" s="11">
        <f t="shared" si="17"/>
        <v>138</v>
      </c>
      <c r="B193">
        <v>1.9049891182732701</v>
      </c>
      <c r="E193" s="11">
        <f>A193-'Mastercurve bestimmen'!$B$2</f>
        <v>13</v>
      </c>
      <c r="F193" s="11">
        <f t="shared" si="15"/>
        <v>1.9049891182732701</v>
      </c>
      <c r="G193" s="11"/>
      <c r="H193" s="11">
        <f t="shared" si="16"/>
        <v>815730721</v>
      </c>
      <c r="I193" s="11">
        <f t="shared" si="20"/>
        <v>62748517</v>
      </c>
      <c r="J193" s="11">
        <f t="shared" si="20"/>
        <v>4826809</v>
      </c>
      <c r="K193" s="11">
        <f t="shared" si="20"/>
        <v>371293</v>
      </c>
      <c r="L193" s="11">
        <f t="shared" si="20"/>
        <v>28561</v>
      </c>
      <c r="M193" s="11">
        <f t="shared" si="20"/>
        <v>2197</v>
      </c>
      <c r="N193" s="11">
        <f t="shared" si="20"/>
        <v>169</v>
      </c>
      <c r="O193" s="11">
        <f t="shared" si="20"/>
        <v>13</v>
      </c>
      <c r="P193" s="11">
        <f t="shared" si="18"/>
        <v>0</v>
      </c>
    </row>
    <row r="194" spans="1:16" x14ac:dyDescent="0.25">
      <c r="A194" s="11">
        <f t="shared" si="17"/>
        <v>139</v>
      </c>
      <c r="B194">
        <v>2.0555811231748851</v>
      </c>
      <c r="E194" s="11">
        <f>A194-'Mastercurve bestimmen'!$B$2</f>
        <v>14</v>
      </c>
      <c r="F194" s="11">
        <f t="shared" si="15"/>
        <v>2.0555811231748851</v>
      </c>
      <c r="G194" s="11"/>
      <c r="H194" s="11">
        <f t="shared" si="16"/>
        <v>1475789056</v>
      </c>
      <c r="I194" s="11">
        <f t="shared" si="20"/>
        <v>105413504</v>
      </c>
      <c r="J194" s="11">
        <f t="shared" si="20"/>
        <v>7529536</v>
      </c>
      <c r="K194" s="11">
        <f t="shared" si="20"/>
        <v>537824</v>
      </c>
      <c r="L194" s="11">
        <f t="shared" si="20"/>
        <v>38416</v>
      </c>
      <c r="M194" s="11">
        <f t="shared" si="20"/>
        <v>2744</v>
      </c>
      <c r="N194" s="11">
        <f t="shared" si="20"/>
        <v>196</v>
      </c>
      <c r="O194" s="11">
        <f t="shared" si="20"/>
        <v>14</v>
      </c>
      <c r="P194" s="11">
        <f t="shared" si="18"/>
        <v>0</v>
      </c>
    </row>
    <row r="195" spans="1:16" x14ac:dyDescent="0.25">
      <c r="A195" s="11">
        <f t="shared" si="17"/>
        <v>140</v>
      </c>
      <c r="B195">
        <v>2.2066409412017753</v>
      </c>
      <c r="E195" s="11">
        <f>A195-'Mastercurve bestimmen'!$B$2</f>
        <v>15</v>
      </c>
      <c r="F195" s="11">
        <f t="shared" si="15"/>
        <v>2.2066409412017753</v>
      </c>
      <c r="G195" s="11"/>
      <c r="H195" s="11">
        <f t="shared" si="16"/>
        <v>2562890625</v>
      </c>
      <c r="I195" s="11">
        <f t="shared" si="20"/>
        <v>170859375</v>
      </c>
      <c r="J195" s="11">
        <f t="shared" si="20"/>
        <v>11390625</v>
      </c>
      <c r="K195" s="11">
        <f t="shared" si="20"/>
        <v>759375</v>
      </c>
      <c r="L195" s="11">
        <f t="shared" si="20"/>
        <v>50625</v>
      </c>
      <c r="M195" s="11">
        <f t="shared" si="20"/>
        <v>3375</v>
      </c>
      <c r="N195" s="11">
        <f t="shared" si="20"/>
        <v>225</v>
      </c>
      <c r="O195" s="11">
        <f t="shared" si="20"/>
        <v>15</v>
      </c>
      <c r="P195" s="11">
        <f t="shared" si="18"/>
        <v>0</v>
      </c>
    </row>
    <row r="196" spans="1:16" x14ac:dyDescent="0.25">
      <c r="A196" s="11">
        <f t="shared" si="17"/>
        <v>141</v>
      </c>
      <c r="B196">
        <v>2.3581462955384525</v>
      </c>
      <c r="E196" s="11">
        <f>A196-'Mastercurve bestimmen'!$B$2</f>
        <v>16</v>
      </c>
      <c r="F196" s="11">
        <f t="shared" si="15"/>
        <v>2.3581462955384525</v>
      </c>
      <c r="G196" s="11"/>
      <c r="H196" s="11">
        <f t="shared" si="16"/>
        <v>4294967296</v>
      </c>
      <c r="I196" s="11">
        <f t="shared" si="20"/>
        <v>268435456</v>
      </c>
      <c r="J196" s="11">
        <f t="shared" si="20"/>
        <v>16777216</v>
      </c>
      <c r="K196" s="11">
        <f t="shared" si="20"/>
        <v>1048576</v>
      </c>
      <c r="L196" s="11">
        <f t="shared" si="20"/>
        <v>65536</v>
      </c>
      <c r="M196" s="11">
        <f t="shared" si="20"/>
        <v>4096</v>
      </c>
      <c r="N196" s="11">
        <f t="shared" si="20"/>
        <v>256</v>
      </c>
      <c r="O196" s="11">
        <f t="shared" si="20"/>
        <v>16</v>
      </c>
      <c r="P196" s="11">
        <f t="shared" si="18"/>
        <v>0</v>
      </c>
    </row>
    <row r="197" spans="1:16" x14ac:dyDescent="0.25">
      <c r="A197" s="11">
        <f t="shared" si="17"/>
        <v>142</v>
      </c>
      <c r="B197">
        <v>2.5100749093694263</v>
      </c>
      <c r="E197" s="11">
        <f>A197-'Mastercurve bestimmen'!$B$2</f>
        <v>17</v>
      </c>
      <c r="F197" s="11">
        <f t="shared" si="15"/>
        <v>2.5100749093694263</v>
      </c>
      <c r="G197" s="11"/>
      <c r="H197" s="11">
        <f t="shared" si="16"/>
        <v>6975757441</v>
      </c>
      <c r="I197" s="11">
        <f t="shared" si="20"/>
        <v>410338673</v>
      </c>
      <c r="J197" s="11">
        <f t="shared" si="20"/>
        <v>24137569</v>
      </c>
      <c r="K197" s="11">
        <f t="shared" si="20"/>
        <v>1419857</v>
      </c>
      <c r="L197" s="11">
        <f t="shared" si="20"/>
        <v>83521</v>
      </c>
      <c r="M197" s="11">
        <f t="shared" si="20"/>
        <v>4913</v>
      </c>
      <c r="N197" s="11">
        <f t="shared" si="20"/>
        <v>289</v>
      </c>
      <c r="O197" s="11">
        <f t="shared" si="20"/>
        <v>17</v>
      </c>
      <c r="P197" s="11">
        <f t="shared" si="18"/>
        <v>0</v>
      </c>
    </row>
    <row r="198" spans="1:16" x14ac:dyDescent="0.25">
      <c r="A198" s="11">
        <f t="shared" si="17"/>
        <v>143</v>
      </c>
      <c r="B198">
        <v>2.6624045058792078</v>
      </c>
      <c r="E198" s="11">
        <f>A198-'Mastercurve bestimmen'!$B$2</f>
        <v>18</v>
      </c>
      <c r="F198" s="11">
        <f t="shared" si="15"/>
        <v>2.6624045058792078</v>
      </c>
      <c r="G198" s="11"/>
      <c r="H198" s="11">
        <f t="shared" si="16"/>
        <v>11019960576</v>
      </c>
      <c r="I198" s="11">
        <f t="shared" si="20"/>
        <v>612220032</v>
      </c>
      <c r="J198" s="11">
        <f t="shared" si="20"/>
        <v>34012224</v>
      </c>
      <c r="K198" s="11">
        <f t="shared" si="20"/>
        <v>1889568</v>
      </c>
      <c r="L198" s="11">
        <f t="shared" si="20"/>
        <v>104976</v>
      </c>
      <c r="M198" s="11">
        <f t="shared" si="20"/>
        <v>5832</v>
      </c>
      <c r="N198" s="11">
        <f t="shared" si="20"/>
        <v>324</v>
      </c>
      <c r="O198" s="11">
        <f t="shared" si="20"/>
        <v>18</v>
      </c>
      <c r="P198" s="11">
        <f t="shared" si="18"/>
        <v>0</v>
      </c>
    </row>
    <row r="199" spans="1:16" x14ac:dyDescent="0.25">
      <c r="A199" s="11">
        <f t="shared" si="17"/>
        <v>144</v>
      </c>
      <c r="B199">
        <v>2.8151128082523078</v>
      </c>
      <c r="E199" s="11">
        <f>A199-'Mastercurve bestimmen'!$B$2</f>
        <v>19</v>
      </c>
      <c r="F199" s="11">
        <f t="shared" si="15"/>
        <v>2.8151128082523078</v>
      </c>
      <c r="G199" s="11"/>
      <c r="H199" s="11">
        <f t="shared" si="16"/>
        <v>16983563041</v>
      </c>
      <c r="I199" s="11">
        <f t="shared" si="20"/>
        <v>893871739</v>
      </c>
      <c r="J199" s="11">
        <f t="shared" si="20"/>
        <v>47045881</v>
      </c>
      <c r="K199" s="11">
        <f t="shared" si="20"/>
        <v>2476099</v>
      </c>
      <c r="L199" s="11">
        <f t="shared" si="20"/>
        <v>130321</v>
      </c>
      <c r="M199" s="11">
        <f t="shared" si="20"/>
        <v>6859</v>
      </c>
      <c r="N199" s="11">
        <f t="shared" si="20"/>
        <v>361</v>
      </c>
      <c r="O199" s="11">
        <f t="shared" si="20"/>
        <v>19</v>
      </c>
      <c r="P199" s="11">
        <f t="shared" si="18"/>
        <v>0</v>
      </c>
    </row>
    <row r="200" spans="1:16" x14ac:dyDescent="0.25">
      <c r="A200" s="11">
        <f t="shared" si="17"/>
        <v>145</v>
      </c>
      <c r="B200">
        <v>2.9681775396732371</v>
      </c>
      <c r="E200" s="11">
        <f>A200-'Mastercurve bestimmen'!$B$2</f>
        <v>20</v>
      </c>
      <c r="F200" s="11">
        <f t="shared" si="15"/>
        <v>2.9681775396732371</v>
      </c>
      <c r="G200" s="11"/>
      <c r="H200" s="11">
        <f t="shared" si="16"/>
        <v>25600000000</v>
      </c>
      <c r="I200" s="11">
        <f t="shared" si="20"/>
        <v>1280000000</v>
      </c>
      <c r="J200" s="11">
        <f t="shared" si="20"/>
        <v>64000000</v>
      </c>
      <c r="K200" s="11">
        <f t="shared" si="20"/>
        <v>3200000</v>
      </c>
      <c r="L200" s="11">
        <f t="shared" si="20"/>
        <v>160000</v>
      </c>
      <c r="M200" s="11">
        <f t="shared" si="20"/>
        <v>8000</v>
      </c>
      <c r="N200" s="11">
        <f t="shared" si="20"/>
        <v>400</v>
      </c>
      <c r="O200" s="11">
        <f t="shared" si="20"/>
        <v>20</v>
      </c>
      <c r="P200" s="11">
        <f t="shared" si="18"/>
        <v>0</v>
      </c>
    </row>
    <row r="201" spans="1:16" x14ac:dyDescent="0.25">
      <c r="A201" s="11">
        <f t="shared" si="17"/>
        <v>146</v>
      </c>
      <c r="B201">
        <v>3.1215764233265055</v>
      </c>
      <c r="E201" s="11">
        <f>A201-'Mastercurve bestimmen'!$B$2</f>
        <v>21</v>
      </c>
      <c r="F201" s="11">
        <f t="shared" si="15"/>
        <v>3.1215764233265055</v>
      </c>
      <c r="G201" s="11"/>
      <c r="H201" s="11">
        <f t="shared" si="16"/>
        <v>37822859361</v>
      </c>
      <c r="I201" s="11">
        <f t="shared" si="20"/>
        <v>1801088541</v>
      </c>
      <c r="J201" s="11">
        <f t="shared" si="20"/>
        <v>85766121</v>
      </c>
      <c r="K201" s="11">
        <f t="shared" si="20"/>
        <v>4084101</v>
      </c>
      <c r="L201" s="11">
        <f t="shared" si="20"/>
        <v>194481</v>
      </c>
      <c r="M201" s="11">
        <f t="shared" si="20"/>
        <v>9261</v>
      </c>
      <c r="N201" s="11">
        <f t="shared" si="20"/>
        <v>441</v>
      </c>
      <c r="O201" s="11">
        <f t="shared" si="20"/>
        <v>21</v>
      </c>
      <c r="P201" s="11">
        <f t="shared" si="18"/>
        <v>0</v>
      </c>
    </row>
    <row r="202" spans="1:16" x14ac:dyDescent="0.25">
      <c r="A202" s="11">
        <f t="shared" si="17"/>
        <v>147</v>
      </c>
      <c r="B202">
        <v>3.275287182396625</v>
      </c>
      <c r="E202" s="11">
        <f>A202-'Mastercurve bestimmen'!$B$2</f>
        <v>22</v>
      </c>
      <c r="F202" s="11">
        <f t="shared" si="15"/>
        <v>3.275287182396625</v>
      </c>
      <c r="G202" s="11"/>
      <c r="H202" s="11">
        <f t="shared" si="16"/>
        <v>54875873536</v>
      </c>
      <c r="I202" s="11">
        <f t="shared" si="20"/>
        <v>2494357888</v>
      </c>
      <c r="J202" s="11">
        <f t="shared" si="20"/>
        <v>113379904</v>
      </c>
      <c r="K202" s="11">
        <f t="shared" si="20"/>
        <v>5153632</v>
      </c>
      <c r="L202" s="11">
        <f t="shared" si="20"/>
        <v>234256</v>
      </c>
      <c r="M202" s="11">
        <f t="shared" si="20"/>
        <v>10648</v>
      </c>
      <c r="N202" s="11">
        <f t="shared" si="20"/>
        <v>484</v>
      </c>
      <c r="O202" s="11">
        <f t="shared" si="20"/>
        <v>22</v>
      </c>
      <c r="P202" s="11">
        <f t="shared" si="18"/>
        <v>0</v>
      </c>
    </row>
    <row r="203" spans="1:16" x14ac:dyDescent="0.25">
      <c r="A203" s="11">
        <f t="shared" si="17"/>
        <v>148</v>
      </c>
      <c r="B203">
        <v>3.4292875400681058</v>
      </c>
      <c r="E203" s="11">
        <f>A203-'Mastercurve bestimmen'!$B$2</f>
        <v>23</v>
      </c>
      <c r="F203" s="11">
        <f t="shared" si="15"/>
        <v>3.4292875400681058</v>
      </c>
      <c r="G203" s="11"/>
      <c r="H203" s="11">
        <f t="shared" si="16"/>
        <v>78310985281</v>
      </c>
      <c r="I203" s="11">
        <f t="shared" si="20"/>
        <v>3404825447</v>
      </c>
      <c r="J203" s="11">
        <f t="shared" si="20"/>
        <v>148035889</v>
      </c>
      <c r="K203" s="11">
        <f t="shared" si="20"/>
        <v>6436343</v>
      </c>
      <c r="L203" s="11">
        <f t="shared" si="20"/>
        <v>279841</v>
      </c>
      <c r="M203" s="11">
        <f t="shared" si="20"/>
        <v>12167</v>
      </c>
      <c r="N203" s="11">
        <f t="shared" si="20"/>
        <v>529</v>
      </c>
      <c r="O203" s="11">
        <f t="shared" si="20"/>
        <v>23</v>
      </c>
      <c r="P203" s="11">
        <f t="shared" si="18"/>
        <v>0</v>
      </c>
    </row>
    <row r="204" spans="1:16" x14ac:dyDescent="0.25">
      <c r="A204" s="11">
        <f t="shared" si="17"/>
        <v>149</v>
      </c>
      <c r="B204">
        <v>3.5835552195254574</v>
      </c>
      <c r="E204" s="11">
        <f>A204-'Mastercurve bestimmen'!$B$2</f>
        <v>24</v>
      </c>
      <c r="F204" s="11">
        <f t="shared" si="15"/>
        <v>3.5835552195254574</v>
      </c>
      <c r="G204" s="11"/>
      <c r="H204" s="11">
        <f t="shared" si="16"/>
        <v>110075314176</v>
      </c>
      <c r="I204" s="11">
        <f t="shared" si="20"/>
        <v>4586471424</v>
      </c>
      <c r="J204" s="11">
        <f t="shared" si="20"/>
        <v>191102976</v>
      </c>
      <c r="K204" s="11">
        <f t="shared" si="20"/>
        <v>7962624</v>
      </c>
      <c r="L204" s="11">
        <f t="shared" si="20"/>
        <v>331776</v>
      </c>
      <c r="M204" s="11">
        <f t="shared" si="20"/>
        <v>13824</v>
      </c>
      <c r="N204" s="11">
        <f t="shared" si="20"/>
        <v>576</v>
      </c>
      <c r="O204" s="11">
        <f t="shared" si="20"/>
        <v>24</v>
      </c>
      <c r="P204" s="11">
        <f t="shared" si="18"/>
        <v>0</v>
      </c>
    </row>
    <row r="205" spans="1:16" x14ac:dyDescent="0.25">
      <c r="A205" s="11">
        <f t="shared" si="17"/>
        <v>150</v>
      </c>
      <c r="B205">
        <v>3.7380679439531921</v>
      </c>
      <c r="E205" s="11">
        <f>A205-'Mastercurve bestimmen'!$B$2</f>
        <v>25</v>
      </c>
      <c r="F205" s="11">
        <f t="shared" si="15"/>
        <v>3.7380679439531921</v>
      </c>
      <c r="G205" s="11"/>
      <c r="H205" s="11">
        <f t="shared" si="16"/>
        <v>152587890625</v>
      </c>
      <c r="I205" s="11">
        <f t="shared" si="20"/>
        <v>6103515625</v>
      </c>
      <c r="J205" s="11">
        <f t="shared" si="20"/>
        <v>244140625</v>
      </c>
      <c r="K205" s="11">
        <f t="shared" si="20"/>
        <v>9765625</v>
      </c>
      <c r="L205" s="11">
        <f t="shared" si="20"/>
        <v>390625</v>
      </c>
      <c r="M205" s="11">
        <f t="shared" si="20"/>
        <v>15625</v>
      </c>
      <c r="N205" s="11">
        <f t="shared" si="20"/>
        <v>625</v>
      </c>
      <c r="O205" s="11">
        <f t="shared" si="20"/>
        <v>25</v>
      </c>
      <c r="P205" s="11">
        <f t="shared" si="18"/>
        <v>0</v>
      </c>
    </row>
    <row r="206" spans="1:16" x14ac:dyDescent="0.25">
      <c r="A206" s="11">
        <f t="shared" si="17"/>
        <v>151</v>
      </c>
      <c r="B206">
        <v>3.8928034365358202</v>
      </c>
      <c r="E206" s="11">
        <f>A206-'Mastercurve bestimmen'!$B$2</f>
        <v>26</v>
      </c>
      <c r="F206" s="11">
        <f t="shared" si="15"/>
        <v>3.8928034365358202</v>
      </c>
      <c r="G206" s="11"/>
      <c r="H206" s="11">
        <f t="shared" si="16"/>
        <v>208827064576</v>
      </c>
      <c r="I206" s="11">
        <f t="shared" si="20"/>
        <v>8031810176</v>
      </c>
      <c r="J206" s="11">
        <f t="shared" si="20"/>
        <v>308915776</v>
      </c>
      <c r="K206" s="11">
        <f t="shared" si="20"/>
        <v>11881376</v>
      </c>
      <c r="L206" s="11">
        <f t="shared" si="20"/>
        <v>456976</v>
      </c>
      <c r="M206" s="11">
        <f t="shared" si="20"/>
        <v>17576</v>
      </c>
      <c r="N206" s="11">
        <f t="shared" si="20"/>
        <v>676</v>
      </c>
      <c r="O206" s="11">
        <f t="shared" si="20"/>
        <v>26</v>
      </c>
      <c r="P206" s="11">
        <f t="shared" si="18"/>
        <v>0</v>
      </c>
    </row>
    <row r="207" spans="1:16" x14ac:dyDescent="0.25">
      <c r="A207" s="11">
        <f t="shared" si="17"/>
        <v>152</v>
      </c>
      <c r="B207">
        <v>4.0477394204578525</v>
      </c>
      <c r="E207" s="11">
        <f>A207-'Mastercurve bestimmen'!$B$2</f>
        <v>27</v>
      </c>
      <c r="F207" s="11">
        <f t="shared" si="15"/>
        <v>4.0477394204578525</v>
      </c>
      <c r="G207" s="11"/>
      <c r="H207" s="11">
        <f t="shared" si="16"/>
        <v>282429536481</v>
      </c>
      <c r="I207" s="11">
        <f t="shared" si="20"/>
        <v>10460353203</v>
      </c>
      <c r="J207" s="11">
        <f t="shared" si="20"/>
        <v>387420489</v>
      </c>
      <c r="K207" s="11">
        <f t="shared" si="20"/>
        <v>14348907</v>
      </c>
      <c r="L207" s="11">
        <f t="shared" si="20"/>
        <v>531441</v>
      </c>
      <c r="M207" s="11">
        <f t="shared" si="20"/>
        <v>19683</v>
      </c>
      <c r="N207" s="11">
        <f t="shared" si="20"/>
        <v>729</v>
      </c>
      <c r="O207" s="11">
        <f t="shared" si="20"/>
        <v>27</v>
      </c>
      <c r="P207" s="11">
        <f t="shared" si="18"/>
        <v>0</v>
      </c>
    </row>
    <row r="208" spans="1:16" x14ac:dyDescent="0.25">
      <c r="A208" s="11">
        <f t="shared" si="17"/>
        <v>153</v>
      </c>
      <c r="B208">
        <v>4.2028536189037986</v>
      </c>
      <c r="E208" s="11">
        <f>A208-'Mastercurve bestimmen'!$B$2</f>
        <v>28</v>
      </c>
      <c r="F208" s="11">
        <f t="shared" ref="F208:F215" si="21">B208</f>
        <v>4.2028536189037986</v>
      </c>
      <c r="G208" s="11"/>
      <c r="H208" s="11">
        <f t="shared" ref="H208:H215" si="22">IF($H$12&gt;=H$14,$E208^H$14,0)</f>
        <v>377801998336</v>
      </c>
      <c r="I208" s="11">
        <f t="shared" si="20"/>
        <v>13492928512</v>
      </c>
      <c r="J208" s="11">
        <f t="shared" si="20"/>
        <v>481890304</v>
      </c>
      <c r="K208" s="11">
        <f t="shared" si="20"/>
        <v>17210368</v>
      </c>
      <c r="L208" s="11">
        <f t="shared" si="20"/>
        <v>614656</v>
      </c>
      <c r="M208" s="11">
        <f t="shared" si="20"/>
        <v>21952</v>
      </c>
      <c r="N208" s="11">
        <f t="shared" si="20"/>
        <v>784</v>
      </c>
      <c r="O208" s="11">
        <f t="shared" si="20"/>
        <v>28</v>
      </c>
      <c r="P208" s="11">
        <f t="shared" si="18"/>
        <v>0</v>
      </c>
    </row>
    <row r="209" spans="1:16" x14ac:dyDescent="0.25">
      <c r="A209" s="11">
        <f t="shared" ref="A209:A215" si="23">A208+1</f>
        <v>154</v>
      </c>
      <c r="B209">
        <v>4.3581237550581688</v>
      </c>
      <c r="E209" s="11">
        <f>A209-'Mastercurve bestimmen'!$B$2</f>
        <v>29</v>
      </c>
      <c r="F209" s="11">
        <f t="shared" si="21"/>
        <v>4.3581237550581688</v>
      </c>
      <c r="G209" s="11"/>
      <c r="H209" s="11">
        <f t="shared" si="22"/>
        <v>500246412961</v>
      </c>
      <c r="I209" s="11">
        <f t="shared" si="20"/>
        <v>17249876309</v>
      </c>
      <c r="J209" s="11">
        <f t="shared" si="20"/>
        <v>594823321</v>
      </c>
      <c r="K209" s="11">
        <f t="shared" si="20"/>
        <v>20511149</v>
      </c>
      <c r="L209" s="11">
        <f t="shared" si="20"/>
        <v>707281</v>
      </c>
      <c r="M209" s="11">
        <f t="shared" si="20"/>
        <v>24389</v>
      </c>
      <c r="N209" s="11">
        <f t="shared" si="20"/>
        <v>841</v>
      </c>
      <c r="O209" s="11">
        <f t="shared" si="20"/>
        <v>29</v>
      </c>
      <c r="P209" s="11">
        <f t="shared" ref="P209:P215" si="24">P208</f>
        <v>0</v>
      </c>
    </row>
    <row r="210" spans="1:16" x14ac:dyDescent="0.25">
      <c r="A210" s="11">
        <f t="shared" si="23"/>
        <v>155</v>
      </c>
      <c r="B210">
        <v>4.5135275521054767</v>
      </c>
      <c r="E210" s="11">
        <f>A210-'Mastercurve bestimmen'!$B$2</f>
        <v>30</v>
      </c>
      <c r="F210" s="11">
        <f t="shared" si="21"/>
        <v>4.5135275521054767</v>
      </c>
      <c r="G210" s="11"/>
      <c r="H210" s="11">
        <f t="shared" si="22"/>
        <v>656100000000</v>
      </c>
      <c r="I210" s="11">
        <f t="shared" si="20"/>
        <v>21870000000</v>
      </c>
      <c r="J210" s="11">
        <f t="shared" si="20"/>
        <v>729000000</v>
      </c>
      <c r="K210" s="11">
        <f t="shared" si="20"/>
        <v>24300000</v>
      </c>
      <c r="L210" s="11">
        <f t="shared" si="20"/>
        <v>810000</v>
      </c>
      <c r="M210" s="11">
        <f t="shared" si="20"/>
        <v>27000</v>
      </c>
      <c r="N210" s="11">
        <f t="shared" si="20"/>
        <v>900</v>
      </c>
      <c r="O210" s="11">
        <f t="shared" si="20"/>
        <v>30</v>
      </c>
      <c r="P210" s="11">
        <f t="shared" si="24"/>
        <v>0</v>
      </c>
    </row>
    <row r="211" spans="1:16" x14ac:dyDescent="0.25">
      <c r="A211" s="11">
        <f t="shared" si="23"/>
        <v>156</v>
      </c>
      <c r="B211">
        <v>4.6690427332302304</v>
      </c>
      <c r="E211" s="11">
        <f>A211-'Mastercurve bestimmen'!$B$2</f>
        <v>31</v>
      </c>
      <c r="F211" s="11">
        <f t="shared" si="21"/>
        <v>4.6690427332302304</v>
      </c>
      <c r="G211" s="11"/>
      <c r="H211" s="11">
        <f t="shared" si="22"/>
        <v>852891037441</v>
      </c>
      <c r="I211" s="11">
        <f t="shared" si="20"/>
        <v>27512614111</v>
      </c>
      <c r="J211" s="11">
        <f t="shared" si="20"/>
        <v>887503681</v>
      </c>
      <c r="K211" s="11">
        <f t="shared" si="20"/>
        <v>28629151</v>
      </c>
      <c r="L211" s="11">
        <f t="shared" si="20"/>
        <v>923521</v>
      </c>
      <c r="M211" s="11">
        <f t="shared" si="20"/>
        <v>29791</v>
      </c>
      <c r="N211" s="11">
        <f t="shared" si="20"/>
        <v>961</v>
      </c>
      <c r="O211" s="11">
        <f t="shared" si="20"/>
        <v>31</v>
      </c>
      <c r="P211" s="11">
        <f t="shared" si="24"/>
        <v>0</v>
      </c>
    </row>
    <row r="212" spans="1:16" x14ac:dyDescent="0.25">
      <c r="A212" s="11">
        <f t="shared" si="23"/>
        <v>157</v>
      </c>
      <c r="B212">
        <v>4.8246470216169417</v>
      </c>
      <c r="E212" s="11">
        <f>A212-'Mastercurve bestimmen'!$B$2</f>
        <v>32</v>
      </c>
      <c r="F212" s="11">
        <f t="shared" si="21"/>
        <v>4.8246470216169417</v>
      </c>
      <c r="G212" s="11"/>
      <c r="H212" s="11">
        <f t="shared" si="22"/>
        <v>1099511627776</v>
      </c>
      <c r="I212" s="11">
        <f t="shared" si="20"/>
        <v>34359738368</v>
      </c>
      <c r="J212" s="11">
        <f t="shared" si="20"/>
        <v>1073741824</v>
      </c>
      <c r="K212" s="11">
        <f t="shared" si="20"/>
        <v>33554432</v>
      </c>
      <c r="L212" s="11">
        <f t="shared" si="20"/>
        <v>1048576</v>
      </c>
      <c r="M212" s="11">
        <f t="shared" si="20"/>
        <v>32768</v>
      </c>
      <c r="N212" s="11">
        <f t="shared" si="20"/>
        <v>1024</v>
      </c>
      <c r="O212" s="11">
        <f t="shared" si="20"/>
        <v>32</v>
      </c>
      <c r="P212" s="11">
        <f t="shared" si="24"/>
        <v>0</v>
      </c>
    </row>
    <row r="213" spans="1:16" x14ac:dyDescent="0.25">
      <c r="A213" s="11">
        <f t="shared" si="23"/>
        <v>158</v>
      </c>
      <c r="B213">
        <v>4.9803181404501213</v>
      </c>
      <c r="E213" s="11">
        <f>A213-'Mastercurve bestimmen'!$B$2</f>
        <v>33</v>
      </c>
      <c r="F213" s="11">
        <f t="shared" si="21"/>
        <v>4.9803181404501213</v>
      </c>
      <c r="G213" s="11"/>
      <c r="H213" s="11">
        <f t="shared" si="22"/>
        <v>1406408618241</v>
      </c>
      <c r="I213" s="11">
        <f t="shared" si="20"/>
        <v>42618442977</v>
      </c>
      <c r="J213" s="11">
        <f t="shared" si="20"/>
        <v>1291467969</v>
      </c>
      <c r="K213" s="11">
        <f t="shared" si="20"/>
        <v>39135393</v>
      </c>
      <c r="L213" s="11">
        <f t="shared" si="20"/>
        <v>1185921</v>
      </c>
      <c r="M213" s="11">
        <f t="shared" si="20"/>
        <v>35937</v>
      </c>
      <c r="N213" s="11">
        <f t="shared" si="20"/>
        <v>1089</v>
      </c>
      <c r="O213" s="11">
        <f t="shared" si="20"/>
        <v>33</v>
      </c>
      <c r="P213" s="11">
        <f t="shared" si="24"/>
        <v>0</v>
      </c>
    </row>
    <row r="214" spans="1:16" x14ac:dyDescent="0.25">
      <c r="A214" s="11">
        <f t="shared" si="23"/>
        <v>159</v>
      </c>
      <c r="B214">
        <v>5.1360338129142793</v>
      </c>
      <c r="E214" s="11">
        <f>A214-'Mastercurve bestimmen'!$B$2</f>
        <v>34</v>
      </c>
      <c r="F214" s="11">
        <f t="shared" si="21"/>
        <v>5.1360338129142793</v>
      </c>
      <c r="G214" s="11"/>
      <c r="H214" s="11">
        <f t="shared" si="22"/>
        <v>1785793904896</v>
      </c>
      <c r="I214" s="11">
        <f t="shared" si="20"/>
        <v>52523350144</v>
      </c>
      <c r="J214" s="11">
        <f t="shared" si="20"/>
        <v>1544804416</v>
      </c>
      <c r="K214" s="11">
        <f t="shared" si="20"/>
        <v>45435424</v>
      </c>
      <c r="L214" s="11">
        <f t="shared" si="20"/>
        <v>1336336</v>
      </c>
      <c r="M214" s="11">
        <f t="shared" si="20"/>
        <v>39304</v>
      </c>
      <c r="N214" s="11">
        <f t="shared" si="20"/>
        <v>1156</v>
      </c>
      <c r="O214" s="11">
        <f t="shared" si="20"/>
        <v>34</v>
      </c>
      <c r="P214" s="11">
        <f t="shared" si="24"/>
        <v>0</v>
      </c>
    </row>
    <row r="215" spans="1:16" x14ac:dyDescent="0.25">
      <c r="A215" s="11">
        <f t="shared" si="23"/>
        <v>160</v>
      </c>
      <c r="B215">
        <v>5.2917717621939264</v>
      </c>
      <c r="E215" s="11">
        <f>A215-'Mastercurve bestimmen'!$B$2</f>
        <v>35</v>
      </c>
      <c r="F215" s="11">
        <f t="shared" si="21"/>
        <v>5.2917717621939264</v>
      </c>
      <c r="G215" s="11"/>
      <c r="H215" s="11">
        <f t="shared" si="22"/>
        <v>2251875390625</v>
      </c>
      <c r="I215" s="11">
        <f t="shared" si="20"/>
        <v>64339296875</v>
      </c>
      <c r="J215" s="11">
        <f t="shared" si="20"/>
        <v>1838265625</v>
      </c>
      <c r="K215" s="11">
        <f t="shared" si="20"/>
        <v>52521875</v>
      </c>
      <c r="L215" s="11">
        <f t="shared" si="20"/>
        <v>1500625</v>
      </c>
      <c r="M215" s="11">
        <f t="shared" si="20"/>
        <v>42875</v>
      </c>
      <c r="N215" s="11">
        <f t="shared" si="20"/>
        <v>1225</v>
      </c>
      <c r="O215" s="11">
        <f t="shared" si="20"/>
        <v>35</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0.14537720898521089</v>
      </c>
      <c r="J217" s="98">
        <v>2.8972809776324254E-4</v>
      </c>
      <c r="K217" s="98">
        <v>-1.0539903779468316E-5</v>
      </c>
      <c r="L217" s="98">
        <v>-5.1246270575748086E-9</v>
      </c>
      <c r="M217" s="98">
        <v>4.5027362492690008E-9</v>
      </c>
      <c r="N217" s="98">
        <v>6.0145815951929299E-11</v>
      </c>
      <c r="O217" s="98">
        <v>3.0162590612464004E-13</v>
      </c>
      <c r="P217" s="98">
        <v>5.4021009425421242E-16</v>
      </c>
    </row>
    <row r="218" spans="1:16" x14ac:dyDescent="0.25">
      <c r="G218" s="11"/>
      <c r="H218" s="11">
        <v>0</v>
      </c>
      <c r="I218" s="11">
        <v>4.0186821372313196E-4</v>
      </c>
      <c r="J218" s="11">
        <v>1.6323737636334259E-5</v>
      </c>
      <c r="K218" s="3">
        <v>5.0312768870410001E-7</v>
      </c>
      <c r="L218" s="3">
        <v>1.2929100084602142E-8</v>
      </c>
      <c r="M218" s="3">
        <v>3.600929249435672E-10</v>
      </c>
      <c r="N218" s="3">
        <v>4.2709039679668453E-12</v>
      </c>
      <c r="O218" s="11">
        <v>2.2440501815282903E-14</v>
      </c>
      <c r="P218" s="11">
        <v>4.3808742951239773E-17</v>
      </c>
    </row>
    <row r="219" spans="1:16" x14ac:dyDescent="0.25">
      <c r="G219" s="11"/>
      <c r="H219" s="11">
        <v>0.99998770605738929</v>
      </c>
      <c r="I219" s="11">
        <v>3.4548715304925572E-2</v>
      </c>
      <c r="J219" s="11" t="e">
        <v>#N/A</v>
      </c>
      <c r="K219" s="11" t="e">
        <v>#N/A</v>
      </c>
      <c r="L219" s="11" t="e">
        <v>#N/A</v>
      </c>
      <c r="M219" s="11" t="e">
        <v>#N/A</v>
      </c>
      <c r="N219" s="11" t="e">
        <v>#N/A</v>
      </c>
      <c r="O219" s="11" t="e">
        <v>#N/A</v>
      </c>
      <c r="P219" s="11" t="e">
        <v>#N/A</v>
      </c>
    </row>
    <row r="222" spans="1:16" x14ac:dyDescent="0.25">
      <c r="E222">
        <f>E15</f>
        <v>-165</v>
      </c>
      <c r="F222">
        <f>$H$217*0+E222*$I$217+E222^2*$J$217+E222^3*$K$217+E222^4*$L$217+E222^5*$M$217+E222^6*$N$217+E222^7*$O$217+E222^8*$P$217</f>
        <v>-17.03721703527583</v>
      </c>
      <c r="G222">
        <f>F15</f>
        <v>-17.057668506080475</v>
      </c>
    </row>
    <row r="223" spans="1:16" x14ac:dyDescent="0.25">
      <c r="E223" s="11">
        <f t="shared" ref="E223:E286" si="25">E16</f>
        <v>-164</v>
      </c>
      <c r="F223" s="11">
        <f t="shared" ref="F223:F286" si="26">$H$217*0+E223*$I$217+E223^2*$J$217+E223^3*$K$217+E223^4*$L$217+E223^5*$M$217+E223^6*$N$217+E223^7*$O$217+E223^8*$P$217</f>
        <v>-16.985118349669733</v>
      </c>
      <c r="G223" s="11">
        <f t="shared" ref="G223:G286" si="27">F16</f>
        <v>-16.993135976116339</v>
      </c>
    </row>
    <row r="224" spans="1:16" x14ac:dyDescent="0.25">
      <c r="E224" s="11">
        <f t="shared" si="25"/>
        <v>-163</v>
      </c>
      <c r="F224" s="11">
        <f t="shared" si="26"/>
        <v>-16.930004676138935</v>
      </c>
      <c r="G224" s="11">
        <f t="shared" si="27"/>
        <v>-16.928540110182261</v>
      </c>
    </row>
    <row r="225" spans="5:7" x14ac:dyDescent="0.25">
      <c r="E225" s="11">
        <f t="shared" si="25"/>
        <v>-162</v>
      </c>
      <c r="F225" s="11">
        <f t="shared" si="26"/>
        <v>-16.872185926883049</v>
      </c>
      <c r="G225" s="11">
        <f t="shared" si="27"/>
        <v>-16.86381757230831</v>
      </c>
    </row>
    <row r="226" spans="5:7" x14ac:dyDescent="0.25">
      <c r="E226" s="11">
        <f t="shared" si="25"/>
        <v>-161</v>
      </c>
      <c r="F226" s="11">
        <f t="shared" si="26"/>
        <v>-16.811941522066832</v>
      </c>
      <c r="G226" s="11">
        <f t="shared" si="27"/>
        <v>-16.798905026524537</v>
      </c>
    </row>
    <row r="227" spans="5:7" x14ac:dyDescent="0.25">
      <c r="E227" s="11">
        <f t="shared" si="25"/>
        <v>-160</v>
      </c>
      <c r="F227" s="11">
        <f t="shared" si="26"/>
        <v>-16.749522392947853</v>
      </c>
      <c r="G227" s="11">
        <f t="shared" si="27"/>
        <v>-16.733739136861008</v>
      </c>
    </row>
    <row r="228" spans="5:7" x14ac:dyDescent="0.25">
      <c r="E228" s="11">
        <f t="shared" si="25"/>
        <v>-159</v>
      </c>
      <c r="F228" s="11">
        <f t="shared" si="26"/>
        <v>-16.68515290215484</v>
      </c>
      <c r="G228" s="11">
        <f t="shared" si="27"/>
        <v>-16.668256567347782</v>
      </c>
    </row>
    <row r="229" spans="5:7" x14ac:dyDescent="0.25">
      <c r="E229" s="11">
        <f t="shared" si="25"/>
        <v>-158</v>
      </c>
      <c r="F229" s="11">
        <f t="shared" si="26"/>
        <v>-16.619032683108031</v>
      </c>
      <c r="G229" s="11">
        <f t="shared" si="27"/>
        <v>-16.60239398201492</v>
      </c>
    </row>
    <row r="230" spans="5:7" x14ac:dyDescent="0.25">
      <c r="E230" s="11">
        <f t="shared" si="25"/>
        <v>-157</v>
      </c>
      <c r="F230" s="11">
        <f t="shared" si="26"/>
        <v>-16.551338400562656</v>
      </c>
      <c r="G230" s="11">
        <f t="shared" si="27"/>
        <v>-16.53608804489248</v>
      </c>
    </row>
    <row r="231" spans="5:7" x14ac:dyDescent="0.25">
      <c r="E231" s="11">
        <f t="shared" si="25"/>
        <v>-156</v>
      </c>
      <c r="F231" s="11">
        <f t="shared" si="26"/>
        <v>-16.48222543422338</v>
      </c>
      <c r="G231" s="11">
        <f t="shared" si="27"/>
        <v>-16.469275420010526</v>
      </c>
    </row>
    <row r="232" spans="5:7" x14ac:dyDescent="0.25">
      <c r="E232" s="11">
        <f t="shared" si="25"/>
        <v>-155</v>
      </c>
      <c r="F232" s="11">
        <f t="shared" si="26"/>
        <v>-16.411829487369062</v>
      </c>
      <c r="G232" s="11">
        <f t="shared" si="27"/>
        <v>-16.401892771399122</v>
      </c>
    </row>
    <row r="233" spans="5:7" x14ac:dyDescent="0.25">
      <c r="E233" s="11">
        <f t="shared" si="25"/>
        <v>-154</v>
      </c>
      <c r="F233" s="11">
        <f t="shared" si="26"/>
        <v>-16.340268122391279</v>
      </c>
      <c r="G233" s="11">
        <f t="shared" si="27"/>
        <v>-16.33387676308832</v>
      </c>
    </row>
    <row r="234" spans="5:7" x14ac:dyDescent="0.25">
      <c r="E234" s="11">
        <f t="shared" si="25"/>
        <v>-153</v>
      </c>
      <c r="F234" s="11">
        <f t="shared" si="26"/>
        <v>-16.267642225139667</v>
      </c>
      <c r="G234" s="11">
        <f t="shared" si="27"/>
        <v>-16.265164059108187</v>
      </c>
    </row>
    <row r="235" spans="5:7" x14ac:dyDescent="0.25">
      <c r="E235" s="11">
        <f t="shared" si="25"/>
        <v>-152</v>
      </c>
      <c r="F235" s="11">
        <f t="shared" si="26"/>
        <v>-16.194037399939475</v>
      </c>
      <c r="G235" s="11">
        <f t="shared" si="27"/>
        <v>-16.195691323488781</v>
      </c>
    </row>
    <row r="236" spans="5:7" x14ac:dyDescent="0.25">
      <c r="E236" s="11">
        <f t="shared" si="25"/>
        <v>-151</v>
      </c>
      <c r="F236" s="11">
        <f t="shared" si="26"/>
        <v>-16.119525297125591</v>
      </c>
      <c r="G236" s="11">
        <f t="shared" si="27"/>
        <v>-16.12539522026016</v>
      </c>
    </row>
    <row r="237" spans="5:7" x14ac:dyDescent="0.25">
      <c r="E237" s="11">
        <f t="shared" si="25"/>
        <v>-150</v>
      </c>
      <c r="F237" s="11">
        <f t="shared" si="26"/>
        <v>-16.044164874918351</v>
      </c>
      <c r="G237" s="11">
        <f t="shared" si="27"/>
        <v>-16.05421241345239</v>
      </c>
    </row>
    <row r="238" spans="5:7" x14ac:dyDescent="0.25">
      <c r="E238" s="11">
        <f t="shared" si="25"/>
        <v>-149</v>
      </c>
      <c r="F238" s="11">
        <f t="shared" si="26"/>
        <v>-15.968003597439377</v>
      </c>
      <c r="G238" s="11">
        <f t="shared" si="27"/>
        <v>-15.982079567095532</v>
      </c>
    </row>
    <row r="239" spans="5:7" x14ac:dyDescent="0.25">
      <c r="E239" s="11">
        <f t="shared" si="25"/>
        <v>-148</v>
      </c>
      <c r="F239" s="11">
        <f t="shared" si="26"/>
        <v>-15.891078570650819</v>
      </c>
      <c r="G239" s="11">
        <f t="shared" si="27"/>
        <v>-15.908933345219644</v>
      </c>
    </row>
    <row r="240" spans="5:7" x14ac:dyDescent="0.25">
      <c r="E240" s="11">
        <f t="shared" si="25"/>
        <v>-147</v>
      </c>
      <c r="F240" s="11">
        <f t="shared" si="26"/>
        <v>-15.813417617972704</v>
      </c>
      <c r="G240" s="11">
        <f t="shared" si="27"/>
        <v>-15.834710411854786</v>
      </c>
    </row>
    <row r="241" spans="5:7" x14ac:dyDescent="0.25">
      <c r="E241" s="11">
        <f t="shared" si="25"/>
        <v>-146</v>
      </c>
      <c r="F241" s="11">
        <f t="shared" si="26"/>
        <v>-15.735040297316942</v>
      </c>
      <c r="G241" s="11">
        <f t="shared" si="27"/>
        <v>-15.759347431031017</v>
      </c>
    </row>
    <row r="242" spans="5:7" x14ac:dyDescent="0.25">
      <c r="E242" s="11">
        <f t="shared" si="25"/>
        <v>-145</v>
      </c>
      <c r="F242" s="11">
        <f t="shared" si="26"/>
        <v>-15.655958861250241</v>
      </c>
      <c r="G242" s="11">
        <f t="shared" si="27"/>
        <v>-15.682781066778404</v>
      </c>
    </row>
    <row r="243" spans="5:7" x14ac:dyDescent="0.25">
      <c r="E243" s="11">
        <f t="shared" si="25"/>
        <v>-144</v>
      </c>
      <c r="F243" s="11">
        <f t="shared" si="26"/>
        <v>-15.576179161979852</v>
      </c>
      <c r="G243" s="11">
        <f t="shared" si="27"/>
        <v>-15.604947983127001</v>
      </c>
    </row>
    <row r="244" spans="5:7" x14ac:dyDescent="0.25">
      <c r="E244" s="11">
        <f t="shared" si="25"/>
        <v>-143</v>
      </c>
      <c r="F244" s="11">
        <f t="shared" si="26"/>
        <v>-15.495701502832816</v>
      </c>
      <c r="G244" s="11">
        <f t="shared" si="27"/>
        <v>-15.525784844106871</v>
      </c>
    </row>
    <row r="245" spans="5:7" x14ac:dyDescent="0.25">
      <c r="E245" s="11">
        <f t="shared" si="25"/>
        <v>-142</v>
      </c>
      <c r="F245" s="11">
        <f t="shared" si="26"/>
        <v>-15.4145214378768</v>
      </c>
      <c r="G245" s="11">
        <f t="shared" si="27"/>
        <v>-15.445228313748077</v>
      </c>
    </row>
    <row r="246" spans="5:7" x14ac:dyDescent="0.25">
      <c r="E246" s="11">
        <f t="shared" si="25"/>
        <v>-141</v>
      </c>
      <c r="F246" s="11">
        <f t="shared" si="26"/>
        <v>-15.332630521310733</v>
      </c>
      <c r="G246" s="11">
        <f t="shared" si="27"/>
        <v>-15.363215056080676</v>
      </c>
    </row>
    <row r="247" spans="5:7" x14ac:dyDescent="0.25">
      <c r="E247" s="11">
        <f t="shared" si="25"/>
        <v>-140</v>
      </c>
      <c r="F247" s="11">
        <f t="shared" si="26"/>
        <v>-15.250017008230202</v>
      </c>
      <c r="G247" s="11">
        <f t="shared" si="27"/>
        <v>-15.279681735134734</v>
      </c>
    </row>
    <row r="248" spans="5:7" x14ac:dyDescent="0.25">
      <c r="E248" s="11">
        <f t="shared" si="25"/>
        <v>-139</v>
      </c>
      <c r="F248" s="11">
        <f t="shared" si="26"/>
        <v>-15.166666508350602</v>
      </c>
      <c r="G248" s="11">
        <f t="shared" si="27"/>
        <v>-15.194565014940304</v>
      </c>
    </row>
    <row r="249" spans="5:7" x14ac:dyDescent="0.25">
      <c r="E249" s="11">
        <f t="shared" si="25"/>
        <v>-138</v>
      </c>
      <c r="F249" s="11">
        <f t="shared" si="26"/>
        <v>-15.082562594251741</v>
      </c>
      <c r="G249" s="11">
        <f t="shared" si="27"/>
        <v>-15.107801559527449</v>
      </c>
    </row>
    <row r="250" spans="5:7" x14ac:dyDescent="0.25">
      <c r="E250" s="11">
        <f t="shared" si="25"/>
        <v>-137</v>
      </c>
      <c r="F250" s="11">
        <f t="shared" si="26"/>
        <v>-14.99768736568187</v>
      </c>
      <c r="G250" s="11">
        <f t="shared" si="27"/>
        <v>-15.019328032926236</v>
      </c>
    </row>
    <row r="251" spans="5:7" x14ac:dyDescent="0.25">
      <c r="E251" s="11">
        <f t="shared" si="25"/>
        <v>-136</v>
      </c>
      <c r="F251" s="11">
        <f t="shared" si="26"/>
        <v>-14.912021971440559</v>
      </c>
      <c r="G251" s="11">
        <f t="shared" si="27"/>
        <v>-14.929081099166718</v>
      </c>
    </row>
    <row r="252" spans="5:7" x14ac:dyDescent="0.25">
      <c r="E252" s="11">
        <f t="shared" si="25"/>
        <v>-135</v>
      </c>
      <c r="F252" s="11">
        <f t="shared" si="26"/>
        <v>-14.825547090337004</v>
      </c>
      <c r="G252" s="11">
        <f t="shared" si="27"/>
        <v>-14.836997422278959</v>
      </c>
    </row>
    <row r="253" spans="5:7" x14ac:dyDescent="0.25">
      <c r="E253" s="11">
        <f t="shared" si="25"/>
        <v>-134</v>
      </c>
      <c r="F253" s="11">
        <f t="shared" si="26"/>
        <v>-14.738243372697923</v>
      </c>
      <c r="G253" s="11">
        <f t="shared" si="27"/>
        <v>-14.743013666293018</v>
      </c>
    </row>
    <row r="254" spans="5:7" x14ac:dyDescent="0.25">
      <c r="E254" s="11">
        <f t="shared" si="25"/>
        <v>-133</v>
      </c>
      <c r="F254" s="11">
        <f t="shared" si="26"/>
        <v>-14.650091843878286</v>
      </c>
      <c r="G254" s="11">
        <f t="shared" si="27"/>
        <v>-14.647066495238958</v>
      </c>
    </row>
    <row r="255" spans="5:7" x14ac:dyDescent="0.25">
      <c r="E255" s="11">
        <f t="shared" si="25"/>
        <v>-132</v>
      </c>
      <c r="F255" s="11">
        <f t="shared" si="26"/>
        <v>-14.561074271206365</v>
      </c>
      <c r="G255" s="11">
        <f t="shared" si="27"/>
        <v>-14.54909257314684</v>
      </c>
    </row>
    <row r="256" spans="5:7" x14ac:dyDescent="0.25">
      <c r="E256" s="11">
        <f t="shared" si="25"/>
        <v>-131</v>
      </c>
      <c r="F256" s="11">
        <f t="shared" si="26"/>
        <v>-14.471173495772028</v>
      </c>
      <c r="G256" s="11">
        <f t="shared" si="27"/>
        <v>-14.449028564046721</v>
      </c>
    </row>
    <row r="257" spans="5:7" x14ac:dyDescent="0.25">
      <c r="E257" s="11">
        <f t="shared" si="25"/>
        <v>-130</v>
      </c>
      <c r="F257" s="11">
        <f t="shared" si="26"/>
        <v>-14.380373730445413</v>
      </c>
      <c r="G257" s="11">
        <f t="shared" si="27"/>
        <v>-14.346811131968662</v>
      </c>
    </row>
    <row r="258" spans="5:7" x14ac:dyDescent="0.25">
      <c r="E258" s="11">
        <f t="shared" si="25"/>
        <v>-129</v>
      </c>
      <c r="F258" s="11">
        <f t="shared" si="26"/>
        <v>-14.28866082549365</v>
      </c>
      <c r="G258" s="11">
        <f t="shared" si="27"/>
        <v>-14.242376940942728</v>
      </c>
    </row>
    <row r="259" spans="5:7" x14ac:dyDescent="0.25">
      <c r="E259" s="11">
        <f t="shared" si="25"/>
        <v>-128</v>
      </c>
      <c r="F259" s="11">
        <f t="shared" si="26"/>
        <v>-14.196022503137371</v>
      </c>
      <c r="G259" s="11">
        <f t="shared" si="27"/>
        <v>-14.135662654998976</v>
      </c>
    </row>
    <row r="260" spans="5:7" x14ac:dyDescent="0.25">
      <c r="E260" s="11">
        <f t="shared" si="25"/>
        <v>-127</v>
      </c>
      <c r="F260" s="11">
        <f t="shared" si="26"/>
        <v>-14.102448562370718</v>
      </c>
      <c r="G260" s="11">
        <f t="shared" si="27"/>
        <v>-14.026604938167466</v>
      </c>
    </row>
    <row r="261" spans="5:7" x14ac:dyDescent="0.25">
      <c r="E261" s="11">
        <f t="shared" si="25"/>
        <v>-126</v>
      </c>
      <c r="F261" s="11">
        <f t="shared" si="26"/>
        <v>-14.007931055345161</v>
      </c>
      <c r="G261" s="11">
        <f t="shared" si="27"/>
        <v>-13.915140454478262</v>
      </c>
    </row>
    <row r="262" spans="5:7" x14ac:dyDescent="0.25">
      <c r="E262" s="11">
        <f t="shared" si="25"/>
        <v>-125</v>
      </c>
      <c r="F262" s="11">
        <f t="shared" si="26"/>
        <v>-13.912464436595172</v>
      </c>
      <c r="G262" s="11">
        <f t="shared" si="27"/>
        <v>-13.801205867961423</v>
      </c>
    </row>
    <row r="263" spans="5:7" x14ac:dyDescent="0.25">
      <c r="E263" s="11">
        <f t="shared" si="25"/>
        <v>-124</v>
      </c>
      <c r="F263" s="11">
        <f t="shared" si="26"/>
        <v>-13.816045686363548</v>
      </c>
      <c r="G263" s="11">
        <f t="shared" si="27"/>
        <v>-13.723967947992357</v>
      </c>
    </row>
    <row r="264" spans="5:7" x14ac:dyDescent="0.25">
      <c r="E264" s="11">
        <f t="shared" si="25"/>
        <v>-123</v>
      </c>
      <c r="F264" s="11">
        <f t="shared" si="26"/>
        <v>-13.718674409260839</v>
      </c>
      <c r="G264" s="11">
        <f t="shared" si="27"/>
        <v>-13.644269766245761</v>
      </c>
    </row>
    <row r="265" spans="5:7" x14ac:dyDescent="0.25">
      <c r="E265" s="11">
        <f t="shared" si="25"/>
        <v>-122</v>
      </c>
      <c r="F265" s="11">
        <f t="shared" si="26"/>
        <v>-13.620352909472494</v>
      </c>
      <c r="G265" s="11">
        <f t="shared" si="27"/>
        <v>-13.562184499741676</v>
      </c>
    </row>
    <row r="266" spans="5:7" x14ac:dyDescent="0.25">
      <c r="E266" s="11">
        <f t="shared" si="25"/>
        <v>-121</v>
      </c>
      <c r="F266" s="11">
        <f t="shared" si="26"/>
        <v>-13.52108624370543</v>
      </c>
      <c r="G266" s="11">
        <f t="shared" si="27"/>
        <v>-13.477785325500143</v>
      </c>
    </row>
    <row r="267" spans="5:7" x14ac:dyDescent="0.25">
      <c r="E267" s="11">
        <f t="shared" si="25"/>
        <v>-120</v>
      </c>
      <c r="F267" s="11">
        <f t="shared" si="26"/>
        <v>-13.420882253043491</v>
      </c>
      <c r="G267" s="11">
        <f t="shared" si="27"/>
        <v>-13.391145420541203</v>
      </c>
    </row>
    <row r="268" spans="5:7" x14ac:dyDescent="0.25">
      <c r="E268" s="11">
        <f t="shared" si="25"/>
        <v>-119</v>
      </c>
      <c r="F268" s="11">
        <f t="shared" si="26"/>
        <v>-13.319751574860049</v>
      </c>
      <c r="G268" s="11">
        <f t="shared" si="27"/>
        <v>-13.3023379618849</v>
      </c>
    </row>
    <row r="269" spans="5:7" x14ac:dyDescent="0.25">
      <c r="E269" s="11">
        <f t="shared" si="25"/>
        <v>-118</v>
      </c>
      <c r="F269" s="11">
        <f t="shared" si="26"/>
        <v>-13.217707635914238</v>
      </c>
      <c r="G269" s="11">
        <f t="shared" si="27"/>
        <v>-13.211436126551277</v>
      </c>
    </row>
    <row r="270" spans="5:7" x14ac:dyDescent="0.25">
      <c r="E270" s="11">
        <f t="shared" si="25"/>
        <v>-117</v>
      </c>
      <c r="F270" s="11">
        <f t="shared" si="26"/>
        <v>-13.114766627734223</v>
      </c>
      <c r="G270" s="11">
        <f t="shared" si="27"/>
        <v>-13.118513091560374</v>
      </c>
    </row>
    <row r="271" spans="5:7" x14ac:dyDescent="0.25">
      <c r="E271" s="11">
        <f t="shared" si="25"/>
        <v>-116</v>
      </c>
      <c r="F271" s="11">
        <f t="shared" si="26"/>
        <v>-13.010947465371757</v>
      </c>
      <c r="G271" s="11">
        <f t="shared" si="27"/>
        <v>-13.023642033932237</v>
      </c>
    </row>
    <row r="272" spans="5:7" x14ac:dyDescent="0.25">
      <c r="E272" s="11">
        <f t="shared" si="25"/>
        <v>-115</v>
      </c>
      <c r="F272" s="11">
        <f t="shared" si="26"/>
        <v>-12.906271730587459</v>
      </c>
      <c r="G272" s="11">
        <f t="shared" si="27"/>
        <v>-12.926896130686904</v>
      </c>
    </row>
    <row r="273" spans="5:7" x14ac:dyDescent="0.25">
      <c r="E273" s="11">
        <f t="shared" si="25"/>
        <v>-114</v>
      </c>
      <c r="F273" s="11">
        <f t="shared" si="26"/>
        <v>-12.800763600506615</v>
      </c>
      <c r="G273" s="11">
        <f t="shared" si="27"/>
        <v>-12.828348558844418</v>
      </c>
    </row>
    <row r="274" spans="5:7" x14ac:dyDescent="0.25">
      <c r="E274" s="11">
        <f t="shared" si="25"/>
        <v>-113</v>
      </c>
      <c r="F274" s="11">
        <f t="shared" si="26"/>
        <v>-12.694449762762982</v>
      </c>
      <c r="G274" s="11">
        <f t="shared" si="27"/>
        <v>-12.728072495424824</v>
      </c>
    </row>
    <row r="275" spans="5:7" x14ac:dyDescent="0.25">
      <c r="E275" s="11">
        <f t="shared" si="25"/>
        <v>-112</v>
      </c>
      <c r="F275" s="11">
        <f t="shared" si="26"/>
        <v>-12.587359318125696</v>
      </c>
      <c r="G275" s="11">
        <f t="shared" si="27"/>
        <v>-12.626141117448162</v>
      </c>
    </row>
    <row r="276" spans="5:7" x14ac:dyDescent="0.25">
      <c r="E276" s="11">
        <f t="shared" si="25"/>
        <v>-111</v>
      </c>
      <c r="F276" s="11">
        <f t="shared" si="26"/>
        <v>-12.479523671583099</v>
      </c>
      <c r="G276" s="11">
        <f t="shared" si="27"/>
        <v>-12.522627601934474</v>
      </c>
    </row>
    <row r="277" spans="5:7" x14ac:dyDescent="0.25">
      <c r="E277" s="11">
        <f t="shared" si="25"/>
        <v>-110</v>
      </c>
      <c r="F277" s="11">
        <f t="shared" si="26"/>
        <v>-12.370976412835869</v>
      </c>
      <c r="G277" s="11">
        <f t="shared" si="27"/>
        <v>-12.417605125903805</v>
      </c>
    </row>
    <row r="278" spans="5:7" x14ac:dyDescent="0.25">
      <c r="E278" s="11">
        <f t="shared" si="25"/>
        <v>-109</v>
      </c>
      <c r="F278" s="11">
        <f t="shared" si="26"/>
        <v>-12.261753187129175</v>
      </c>
      <c r="G278" s="11">
        <f t="shared" si="27"/>
        <v>-12.311146866376195</v>
      </c>
    </row>
    <row r="279" spans="5:7" x14ac:dyDescent="0.25">
      <c r="E279" s="11">
        <f t="shared" si="25"/>
        <v>-108</v>
      </c>
      <c r="F279" s="11">
        <f t="shared" si="26"/>
        <v>-12.151891557332618</v>
      </c>
      <c r="G279" s="11">
        <f t="shared" si="27"/>
        <v>-12.203326000371685</v>
      </c>
    </row>
    <row r="280" spans="5:7" x14ac:dyDescent="0.25">
      <c r="E280" s="11">
        <f t="shared" si="25"/>
        <v>-107</v>
      </c>
      <c r="F280" s="11">
        <f t="shared" si="26"/>
        <v>-12.041430858154303</v>
      </c>
      <c r="G280" s="11">
        <f t="shared" si="27"/>
        <v>-12.09421570491032</v>
      </c>
    </row>
    <row r="281" spans="5:7" x14ac:dyDescent="0.25">
      <c r="E281" s="11">
        <f t="shared" si="25"/>
        <v>-106</v>
      </c>
      <c r="F281" s="11">
        <f t="shared" si="26"/>
        <v>-11.930412043354156</v>
      </c>
      <c r="G281" s="11">
        <f t="shared" si="27"/>
        <v>-11.983889157012142</v>
      </c>
    </row>
    <row r="282" spans="5:7" x14ac:dyDescent="0.25">
      <c r="E282" s="11">
        <f t="shared" si="25"/>
        <v>-105</v>
      </c>
      <c r="F282" s="11">
        <f t="shared" si="26"/>
        <v>-11.818877526799419</v>
      </c>
      <c r="G282" s="11">
        <f t="shared" si="27"/>
        <v>-11.872419533697192</v>
      </c>
    </row>
    <row r="283" spans="5:7" x14ac:dyDescent="0.25">
      <c r="E283" s="11">
        <f t="shared" si="25"/>
        <v>-104</v>
      </c>
      <c r="F283" s="11">
        <f t="shared" si="26"/>
        <v>-11.706871018183648</v>
      </c>
      <c r="G283" s="11">
        <f t="shared" si="27"/>
        <v>-11.759880011985512</v>
      </c>
    </row>
    <row r="284" spans="5:7" x14ac:dyDescent="0.25">
      <c r="E284" s="11">
        <f t="shared" si="25"/>
        <v>-103</v>
      </c>
      <c r="F284" s="11">
        <f t="shared" si="26"/>
        <v>-11.594437354208694</v>
      </c>
      <c r="G284" s="11">
        <f t="shared" si="27"/>
        <v>-11.646343768897145</v>
      </c>
    </row>
    <row r="285" spans="5:7" x14ac:dyDescent="0.25">
      <c r="E285" s="11">
        <f t="shared" si="25"/>
        <v>-102</v>
      </c>
      <c r="F285" s="11">
        <f t="shared" si="26"/>
        <v>-11.481622326007447</v>
      </c>
      <c r="G285" s="11">
        <f t="shared" si="27"/>
        <v>-11.531883981452134</v>
      </c>
    </row>
    <row r="286" spans="5:7" x14ac:dyDescent="0.25">
      <c r="E286" s="11">
        <f t="shared" si="25"/>
        <v>-101</v>
      </c>
      <c r="F286" s="11">
        <f t="shared" si="26"/>
        <v>-11.368472503563307</v>
      </c>
      <c r="G286" s="11">
        <f t="shared" si="27"/>
        <v>-11.416573826670518</v>
      </c>
    </row>
    <row r="287" spans="5:7" x14ac:dyDescent="0.25">
      <c r="E287" s="11">
        <f t="shared" ref="E287:E350" si="28">E80</f>
        <v>-100</v>
      </c>
      <c r="F287" s="11">
        <f t="shared" ref="F287:F350" si="29">$H$217*0+E287*$I$217+E287^2*$J$217+E287^3*$K$217+E287^4*$L$217+E287^5*$M$217+E287^6*$N$217+E287^7*$O$217+E287^8*$P$217</f>
        <v>-11.255035057860418</v>
      </c>
      <c r="G287" s="11">
        <f t="shared" ref="G287:G350" si="30">F80</f>
        <v>-11.300486481572344</v>
      </c>
    </row>
    <row r="288" spans="5:7" x14ac:dyDescent="0.25">
      <c r="E288" s="11">
        <f t="shared" si="28"/>
        <v>-99</v>
      </c>
      <c r="F288" s="11">
        <f t="shared" si="29"/>
        <v>-11.141357581477223</v>
      </c>
      <c r="G288" s="11">
        <f t="shared" si="30"/>
        <v>-11.183697704730321</v>
      </c>
    </row>
    <row r="289" spans="5:7" x14ac:dyDescent="0.25">
      <c r="E289" s="11">
        <f t="shared" si="28"/>
        <v>-98</v>
      </c>
      <c r="F289" s="11">
        <f t="shared" si="29"/>
        <v>-11.02748790831385</v>
      </c>
      <c r="G289" s="11">
        <f t="shared" si="30"/>
        <v>-11.066293580927844</v>
      </c>
    </row>
    <row r="290" spans="5:7" x14ac:dyDescent="0.25">
      <c r="E290" s="11">
        <f t="shared" si="28"/>
        <v>-97</v>
      </c>
      <c r="F290" s="11">
        <f t="shared" si="29"/>
        <v>-10.913473933122138</v>
      </c>
      <c r="G290" s="11">
        <f t="shared" si="30"/>
        <v>-10.948362776500968</v>
      </c>
    </row>
    <row r="291" spans="5:7" x14ac:dyDescent="0.25">
      <c r="E291" s="11">
        <f t="shared" si="28"/>
        <v>-96</v>
      </c>
      <c r="F291" s="11">
        <f t="shared" si="29"/>
        <v>-10.799363431485355</v>
      </c>
      <c r="G291" s="11">
        <f t="shared" si="30"/>
        <v>-10.829993957785762</v>
      </c>
    </row>
    <row r="292" spans="5:7" x14ac:dyDescent="0.25">
      <c r="E292" s="11">
        <f t="shared" si="28"/>
        <v>-95</v>
      </c>
      <c r="F292" s="11">
        <f t="shared" si="29"/>
        <v>-10.685203880873011</v>
      </c>
      <c r="G292" s="11">
        <f t="shared" si="30"/>
        <v>-10.711275791118284</v>
      </c>
    </row>
    <row r="293" spans="5:7" x14ac:dyDescent="0.25">
      <c r="E293" s="11">
        <f t="shared" si="28"/>
        <v>-94</v>
      </c>
      <c r="F293" s="11">
        <f t="shared" si="29"/>
        <v>-10.571042283373973</v>
      </c>
      <c r="G293" s="11">
        <f t="shared" si="30"/>
        <v>-10.592296942834594</v>
      </c>
    </row>
    <row r="294" spans="5:7" x14ac:dyDescent="0.25">
      <c r="E294" s="11">
        <f t="shared" si="28"/>
        <v>-93</v>
      </c>
      <c r="F294" s="11">
        <f t="shared" si="29"/>
        <v>-10.456924990689787</v>
      </c>
      <c r="G294" s="11">
        <f t="shared" si="30"/>
        <v>-10.473146079270759</v>
      </c>
    </row>
    <row r="295" spans="5:7" x14ac:dyDescent="0.25">
      <c r="E295" s="11">
        <f t="shared" si="28"/>
        <v>-92</v>
      </c>
      <c r="F295" s="11">
        <f t="shared" si="29"/>
        <v>-10.342897531948093</v>
      </c>
      <c r="G295" s="11">
        <f t="shared" si="30"/>
        <v>-10.353911866762834</v>
      </c>
    </row>
    <row r="296" spans="5:7" x14ac:dyDescent="0.25">
      <c r="E296" s="11">
        <f t="shared" si="28"/>
        <v>-91</v>
      </c>
      <c r="F296" s="11">
        <f t="shared" si="29"/>
        <v>-10.229004444874185</v>
      </c>
      <c r="G296" s="11">
        <f t="shared" si="30"/>
        <v>-10.234682971646885</v>
      </c>
    </row>
    <row r="297" spans="5:7" x14ac:dyDescent="0.25">
      <c r="E297" s="11">
        <f t="shared" si="28"/>
        <v>-90</v>
      </c>
      <c r="F297" s="11">
        <f t="shared" si="29"/>
        <v>-10.115289110837217</v>
      </c>
      <c r="G297" s="11">
        <f t="shared" si="30"/>
        <v>-10.115548060258972</v>
      </c>
    </row>
    <row r="298" spans="5:7" x14ac:dyDescent="0.25">
      <c r="E298" s="11">
        <f t="shared" si="28"/>
        <v>-89</v>
      </c>
      <c r="F298" s="11">
        <f t="shared" si="29"/>
        <v>-10.001793594265402</v>
      </c>
      <c r="G298" s="11">
        <f t="shared" si="30"/>
        <v>-9.9965957989351573</v>
      </c>
    </row>
    <row r="299" spans="5:7" x14ac:dyDescent="0.25">
      <c r="E299" s="11">
        <f t="shared" si="28"/>
        <v>-88</v>
      </c>
      <c r="F299" s="11">
        <f t="shared" si="29"/>
        <v>-9.8885584869032819</v>
      </c>
      <c r="G299" s="11">
        <f t="shared" si="30"/>
        <v>-9.8779148540115038</v>
      </c>
    </row>
    <row r="300" spans="5:7" x14ac:dyDescent="0.25">
      <c r="E300" s="11">
        <f t="shared" si="28"/>
        <v>-87</v>
      </c>
      <c r="F300" s="11">
        <f t="shared" si="29"/>
        <v>-9.7756227573617789</v>
      </c>
      <c r="G300" s="11">
        <f t="shared" si="30"/>
        <v>-9.7595938918240677</v>
      </c>
    </row>
    <row r="301" spans="5:7" x14ac:dyDescent="0.25">
      <c r="E301" s="11">
        <f t="shared" si="28"/>
        <v>-86</v>
      </c>
      <c r="F301" s="11">
        <f t="shared" si="29"/>
        <v>-9.6630236063905581</v>
      </c>
      <c r="G301" s="11">
        <f t="shared" si="30"/>
        <v>-9.6417215787089177</v>
      </c>
    </row>
    <row r="302" spans="5:7" x14ac:dyDescent="0.25">
      <c r="E302" s="11">
        <f t="shared" si="28"/>
        <v>-85</v>
      </c>
      <c r="F302" s="11">
        <f t="shared" si="29"/>
        <v>-9.5507963282798585</v>
      </c>
      <c r="G302" s="11">
        <f t="shared" si="30"/>
        <v>-9.524386581002112</v>
      </c>
    </row>
    <row r="303" spans="5:7" x14ac:dyDescent="0.25">
      <c r="E303" s="11">
        <f t="shared" si="28"/>
        <v>-84</v>
      </c>
      <c r="F303" s="11">
        <f t="shared" si="29"/>
        <v>-9.4389741787777073</v>
      </c>
      <c r="G303" s="11">
        <f t="shared" si="30"/>
        <v>-9.4076775650397124</v>
      </c>
    </row>
    <row r="304" spans="5:7" x14ac:dyDescent="0.25">
      <c r="E304" s="11">
        <f t="shared" si="28"/>
        <v>-83</v>
      </c>
      <c r="F304" s="11">
        <f t="shared" si="29"/>
        <v>-9.3275882498862117</v>
      </c>
      <c r="G304" s="11">
        <f t="shared" si="30"/>
        <v>-9.2916831971577789</v>
      </c>
    </row>
    <row r="305" spans="5:7" x14ac:dyDescent="0.25">
      <c r="E305" s="11">
        <f t="shared" si="28"/>
        <v>-82</v>
      </c>
      <c r="F305" s="11">
        <f t="shared" si="29"/>
        <v>-9.2166673518791917</v>
      </c>
      <c r="G305" s="11">
        <f t="shared" si="30"/>
        <v>-9.176492143692375</v>
      </c>
    </row>
    <row r="306" spans="5:7" x14ac:dyDescent="0.25">
      <c r="E306" s="11">
        <f t="shared" si="28"/>
        <v>-81</v>
      </c>
      <c r="F306" s="11">
        <f t="shared" si="29"/>
        <v>-9.1062379028613023</v>
      </c>
      <c r="G306" s="11">
        <f t="shared" si="30"/>
        <v>-9.0621930709795624</v>
      </c>
    </row>
    <row r="307" spans="5:7" x14ac:dyDescent="0.25">
      <c r="E307" s="11">
        <f t="shared" si="28"/>
        <v>-80</v>
      </c>
      <c r="F307" s="11">
        <f t="shared" si="29"/>
        <v>-8.9963238261673961</v>
      </c>
      <c r="G307" s="11">
        <f t="shared" si="30"/>
        <v>-8.9488746453554029</v>
      </c>
    </row>
    <row r="308" spans="5:7" x14ac:dyDescent="0.25">
      <c r="E308" s="11">
        <f t="shared" si="28"/>
        <v>-79</v>
      </c>
      <c r="F308" s="11">
        <f t="shared" si="29"/>
        <v>-8.886946455878693</v>
      </c>
      <c r="G308" s="11">
        <f t="shared" si="30"/>
        <v>-8.8366255331559564</v>
      </c>
    </row>
    <row r="309" spans="5:7" x14ac:dyDescent="0.25">
      <c r="E309" s="11">
        <f t="shared" si="28"/>
        <v>-78</v>
      </c>
      <c r="F309" s="11">
        <f t="shared" si="29"/>
        <v>-8.7781244507108465</v>
      </c>
      <c r="G309" s="11">
        <f t="shared" si="30"/>
        <v>-8.7255344007172866</v>
      </c>
    </row>
    <row r="310" spans="5:7" x14ac:dyDescent="0.25">
      <c r="E310" s="11">
        <f t="shared" si="28"/>
        <v>-77</v>
      </c>
      <c r="F310" s="11">
        <f t="shared" si="29"/>
        <v>-8.6698737165070732</v>
      </c>
      <c r="G310" s="11">
        <f t="shared" si="30"/>
        <v>-8.6156899143754533</v>
      </c>
    </row>
    <row r="311" spans="5:7" x14ac:dyDescent="0.25">
      <c r="E311" s="11">
        <f t="shared" si="28"/>
        <v>-76</v>
      </c>
      <c r="F311" s="11">
        <f t="shared" si="29"/>
        <v>-8.5622073375477488</v>
      </c>
      <c r="G311" s="11">
        <f t="shared" si="30"/>
        <v>-8.5071807404665201</v>
      </c>
    </row>
    <row r="312" spans="5:7" x14ac:dyDescent="0.25">
      <c r="E312" s="11">
        <f t="shared" si="28"/>
        <v>-75</v>
      </c>
      <c r="F312" s="11">
        <f t="shared" si="29"/>
        <v>-8.4551355168661786</v>
      </c>
      <c r="G312" s="11">
        <f t="shared" si="30"/>
        <v>-8.4000955453265451</v>
      </c>
    </row>
    <row r="313" spans="5:7" x14ac:dyDescent="0.25">
      <c r="E313" s="11">
        <f t="shared" si="28"/>
        <v>-74</v>
      </c>
      <c r="F313" s="11">
        <f t="shared" si="29"/>
        <v>-8.3486655257382427</v>
      </c>
      <c r="G313" s="11">
        <f t="shared" si="30"/>
        <v>-8.2944937547040123</v>
      </c>
    </row>
    <row r="314" spans="5:7" x14ac:dyDescent="0.25">
      <c r="E314" s="11">
        <f t="shared" si="28"/>
        <v>-73</v>
      </c>
      <c r="F314" s="11">
        <f t="shared" si="29"/>
        <v>-8.2428016624921714</v>
      </c>
      <c r="G314" s="11">
        <f t="shared" si="30"/>
        <v>-8.1903178319970795</v>
      </c>
    </row>
    <row r="315" spans="5:7" x14ac:dyDescent="0.25">
      <c r="E315" s="11">
        <f t="shared" si="28"/>
        <v>-72</v>
      </c>
      <c r="F315" s="11">
        <f t="shared" si="29"/>
        <v>-8.1375452207626182</v>
      </c>
      <c r="G315" s="11">
        <f t="shared" si="30"/>
        <v>-8.0874810000163233</v>
      </c>
    </row>
    <row r="316" spans="5:7" x14ac:dyDescent="0.25">
      <c r="E316" s="11">
        <f t="shared" si="28"/>
        <v>-71</v>
      </c>
      <c r="F316" s="11">
        <f t="shared" si="29"/>
        <v>-8.0328944672915732</v>
      </c>
      <c r="G316" s="11">
        <f t="shared" si="30"/>
        <v>-7.9858964815723201</v>
      </c>
    </row>
    <row r="317" spans="5:7" x14ac:dyDescent="0.25">
      <c r="E317" s="11">
        <f t="shared" si="28"/>
        <v>-70</v>
      </c>
      <c r="F317" s="11">
        <f t="shared" si="29"/>
        <v>-7.9288446293568606</v>
      </c>
      <c r="G317" s="11">
        <f t="shared" si="30"/>
        <v>-7.8854774994756482</v>
      </c>
    </row>
    <row r="318" spans="5:7" x14ac:dyDescent="0.25">
      <c r="E318" s="11">
        <f t="shared" si="28"/>
        <v>-69</v>
      </c>
      <c r="F318" s="11">
        <f t="shared" si="29"/>
        <v>-7.8253878918871571</v>
      </c>
      <c r="G318" s="11">
        <f t="shared" si="30"/>
        <v>-7.7861372765368833</v>
      </c>
    </row>
    <row r="319" spans="5:7" x14ac:dyDescent="0.25">
      <c r="E319" s="11">
        <f t="shared" si="28"/>
        <v>-68</v>
      </c>
      <c r="F319" s="11">
        <f t="shared" si="29"/>
        <v>-7.722513404300714</v>
      </c>
      <c r="G319" s="11">
        <f t="shared" si="30"/>
        <v>-7.6877890355666034</v>
      </c>
    </row>
    <row r="320" spans="5:7" x14ac:dyDescent="0.25">
      <c r="E320" s="11">
        <f t="shared" si="28"/>
        <v>-67</v>
      </c>
      <c r="F320" s="11">
        <f t="shared" si="29"/>
        <v>-7.6202072970831072</v>
      </c>
      <c r="G320" s="11">
        <f t="shared" si="30"/>
        <v>-7.590345999375387</v>
      </c>
    </row>
    <row r="321" spans="5:7" x14ac:dyDescent="0.25">
      <c r="E321" s="11">
        <f t="shared" si="28"/>
        <v>-66</v>
      </c>
      <c r="F321" s="11">
        <f t="shared" si="29"/>
        <v>-7.5184527080977208</v>
      </c>
      <c r="G321" s="11">
        <f t="shared" si="30"/>
        <v>-7.4937213907738096</v>
      </c>
    </row>
    <row r="322" spans="5:7" x14ac:dyDescent="0.25">
      <c r="E322" s="11">
        <f t="shared" si="28"/>
        <v>-65</v>
      </c>
      <c r="F322" s="11">
        <f t="shared" si="29"/>
        <v>-7.4172298186006804</v>
      </c>
      <c r="G322" s="11">
        <f t="shared" si="30"/>
        <v>-7.3978284325724477</v>
      </c>
    </row>
    <row r="323" spans="5:7" x14ac:dyDescent="0.25">
      <c r="E323" s="11">
        <f t="shared" si="28"/>
        <v>-64</v>
      </c>
      <c r="F323" s="11">
        <f t="shared" si="29"/>
        <v>-7.316515898910354</v>
      </c>
      <c r="G323" s="11">
        <f t="shared" si="30"/>
        <v>-7.3025803475818796</v>
      </c>
    </row>
    <row r="324" spans="5:7" x14ac:dyDescent="0.25">
      <c r="E324" s="11">
        <f t="shared" si="28"/>
        <v>-63</v>
      </c>
      <c r="F324" s="11">
        <f t="shared" si="29"/>
        <v>-7.2162853636596527</v>
      </c>
      <c r="G324" s="11">
        <f t="shared" si="30"/>
        <v>-7.2078903586126826</v>
      </c>
    </row>
    <row r="325" spans="5:7" x14ac:dyDescent="0.25">
      <c r="E325" s="11">
        <f t="shared" si="28"/>
        <v>-62</v>
      </c>
      <c r="F325" s="11">
        <f t="shared" si="29"/>
        <v>-7.1165098365376043</v>
      </c>
      <c r="G325" s="11">
        <f t="shared" si="30"/>
        <v>-7.113671688475435</v>
      </c>
    </row>
    <row r="326" spans="5:7" x14ac:dyDescent="0.25">
      <c r="E326" s="11">
        <f t="shared" si="28"/>
        <v>-61</v>
      </c>
      <c r="F326" s="11">
        <f t="shared" si="29"/>
        <v>-7.0171582244049011</v>
      </c>
      <c r="G326" s="11">
        <f t="shared" si="30"/>
        <v>-7.0198375599807097</v>
      </c>
    </row>
    <row r="327" spans="5:7" x14ac:dyDescent="0.25">
      <c r="E327" s="11">
        <f t="shared" si="28"/>
        <v>-60</v>
      </c>
      <c r="F327" s="11">
        <f t="shared" si="29"/>
        <v>-6.9181968006463403</v>
      </c>
      <c r="G327" s="11">
        <f t="shared" si="30"/>
        <v>-6.9263011959390877</v>
      </c>
    </row>
    <row r="328" spans="5:7" x14ac:dyDescent="0.25">
      <c r="E328" s="11">
        <f t="shared" si="28"/>
        <v>-59</v>
      </c>
      <c r="F328" s="11">
        <f t="shared" si="29"/>
        <v>-6.8195892976013006</v>
      </c>
      <c r="G328" s="11">
        <f t="shared" si="30"/>
        <v>-6.8329758191611454</v>
      </c>
    </row>
    <row r="329" spans="5:7" x14ac:dyDescent="0.25">
      <c r="E329" s="11">
        <f t="shared" si="28"/>
        <v>-58</v>
      </c>
      <c r="F329" s="11">
        <f t="shared" si="29"/>
        <v>-6.7212970078915912</v>
      </c>
      <c r="G329" s="11">
        <f t="shared" si="30"/>
        <v>-6.7397746524574593</v>
      </c>
    </row>
    <row r="330" spans="5:7" x14ac:dyDescent="0.25">
      <c r="E330" s="11">
        <f t="shared" si="28"/>
        <v>-57</v>
      </c>
      <c r="F330" s="11">
        <f t="shared" si="29"/>
        <v>-6.6232788944442653</v>
      </c>
      <c r="G330" s="11">
        <f t="shared" si="30"/>
        <v>-6.6466109186386078</v>
      </c>
    </row>
    <row r="331" spans="5:7" x14ac:dyDescent="0.25">
      <c r="E331" s="11">
        <f t="shared" si="28"/>
        <v>-56</v>
      </c>
      <c r="F331" s="11">
        <f t="shared" si="29"/>
        <v>-6.5254917089851538</v>
      </c>
      <c r="G331" s="11">
        <f t="shared" si="30"/>
        <v>-6.5533978405151654</v>
      </c>
    </row>
    <row r="332" spans="5:7" x14ac:dyDescent="0.25">
      <c r="E332" s="11">
        <f t="shared" si="28"/>
        <v>-55</v>
      </c>
      <c r="F332" s="11">
        <f t="shared" si="29"/>
        <v>-6.4278901187571824</v>
      </c>
      <c r="G332" s="11">
        <f t="shared" si="30"/>
        <v>-6.4600486408977122</v>
      </c>
    </row>
    <row r="333" spans="5:7" x14ac:dyDescent="0.25">
      <c r="E333" s="11">
        <f t="shared" si="28"/>
        <v>-54</v>
      </c>
      <c r="F333" s="11">
        <f t="shared" si="29"/>
        <v>-6.330426841195659</v>
      </c>
      <c r="G333" s="11">
        <f t="shared" si="30"/>
        <v>-6.3664765425968231</v>
      </c>
    </row>
    <row r="334" spans="5:7" x14ac:dyDescent="0.25">
      <c r="E334" s="11">
        <f t="shared" si="28"/>
        <v>-53</v>
      </c>
      <c r="F334" s="11">
        <f t="shared" si="29"/>
        <v>-6.2330527862709797</v>
      </c>
      <c r="G334" s="11">
        <f t="shared" si="30"/>
        <v>-6.2725947684230769</v>
      </c>
    </row>
    <row r="335" spans="5:7" x14ac:dyDescent="0.25">
      <c r="E335" s="11">
        <f t="shared" si="28"/>
        <v>-52</v>
      </c>
      <c r="F335" s="11">
        <f t="shared" si="29"/>
        <v>-6.1357172061874543</v>
      </c>
      <c r="G335" s="11">
        <f t="shared" si="30"/>
        <v>-6.1783165411870504</v>
      </c>
    </row>
    <row r="336" spans="5:7" x14ac:dyDescent="0.25">
      <c r="E336" s="11">
        <f t="shared" si="28"/>
        <v>-51</v>
      </c>
      <c r="F336" s="11">
        <f t="shared" si="29"/>
        <v>-6.0383678521050905</v>
      </c>
      <c r="G336" s="11">
        <f t="shared" si="30"/>
        <v>-6.08355508369932</v>
      </c>
    </row>
    <row r="337" spans="5:7" x14ac:dyDescent="0.25">
      <c r="E337" s="11">
        <f t="shared" si="28"/>
        <v>-50</v>
      </c>
      <c r="F337" s="11">
        <f t="shared" si="29"/>
        <v>-5.9409511375294777</v>
      </c>
      <c r="G337" s="11">
        <f t="shared" si="30"/>
        <v>-5.9882236187704638</v>
      </c>
    </row>
    <row r="338" spans="5:7" x14ac:dyDescent="0.25">
      <c r="E338" s="11">
        <f t="shared" si="28"/>
        <v>-49</v>
      </c>
      <c r="F338" s="11">
        <f t="shared" si="29"/>
        <v>-5.8434123079930718</v>
      </c>
      <c r="G338" s="11">
        <f t="shared" si="30"/>
        <v>-5.8922353692110576</v>
      </c>
    </row>
    <row r="339" spans="5:7" x14ac:dyDescent="0.25">
      <c r="E339" s="11">
        <f t="shared" si="28"/>
        <v>-48</v>
      </c>
      <c r="F339" s="11">
        <f t="shared" si="29"/>
        <v>-5.7456956166294146</v>
      </c>
      <c r="G339" s="11">
        <f t="shared" si="30"/>
        <v>-5.7955035578316805</v>
      </c>
    </row>
    <row r="340" spans="5:7" x14ac:dyDescent="0.25">
      <c r="E340" s="11">
        <f t="shared" si="28"/>
        <v>-47</v>
      </c>
      <c r="F340" s="11">
        <f t="shared" si="29"/>
        <v>-5.6477445052200892</v>
      </c>
      <c r="G340" s="11">
        <f t="shared" si="30"/>
        <v>-5.697941407442908</v>
      </c>
    </row>
    <row r="341" spans="5:7" x14ac:dyDescent="0.25">
      <c r="E341" s="11">
        <f t="shared" si="28"/>
        <v>-46</v>
      </c>
      <c r="F341" s="11">
        <f t="shared" si="29"/>
        <v>-5.5495017902723305</v>
      </c>
      <c r="G341" s="11">
        <f t="shared" si="30"/>
        <v>-5.5994621408553176</v>
      </c>
    </row>
    <row r="342" spans="5:7" x14ac:dyDescent="0.25">
      <c r="E342" s="11">
        <f t="shared" si="28"/>
        <v>-45</v>
      </c>
      <c r="F342" s="11">
        <f t="shared" si="29"/>
        <v>-5.4509098536635365</v>
      </c>
      <c r="G342" s="11">
        <f t="shared" si="30"/>
        <v>-5.4999789808794874</v>
      </c>
    </row>
    <row r="343" spans="5:7" x14ac:dyDescent="0.25">
      <c r="E343" s="11">
        <f t="shared" si="28"/>
        <v>-44</v>
      </c>
      <c r="F343" s="11">
        <f t="shared" si="29"/>
        <v>-5.3519108373670683</v>
      </c>
      <c r="G343" s="11">
        <f t="shared" si="30"/>
        <v>-5.3994207649762131</v>
      </c>
    </row>
    <row r="344" spans="5:7" x14ac:dyDescent="0.25">
      <c r="E344" s="11">
        <f t="shared" si="28"/>
        <v>-43</v>
      </c>
      <c r="F344" s="11">
        <f t="shared" si="29"/>
        <v>-5.2524468417519898</v>
      </c>
      <c r="G344" s="11">
        <f t="shared" si="30"/>
        <v>-5.297778789207177</v>
      </c>
    </row>
    <row r="345" spans="5:7" x14ac:dyDescent="0.25">
      <c r="E345" s="11">
        <f t="shared" si="28"/>
        <v>-42</v>
      </c>
      <c r="F345" s="11">
        <f t="shared" si="29"/>
        <v>-5.1524601269275845</v>
      </c>
      <c r="G345" s="11">
        <f t="shared" si="30"/>
        <v>-5.1950599642842796</v>
      </c>
    </row>
    <row r="346" spans="5:7" x14ac:dyDescent="0.25">
      <c r="E346" s="11">
        <f t="shared" si="28"/>
        <v>-41</v>
      </c>
      <c r="F346" s="11">
        <f t="shared" si="29"/>
        <v>-5.0518933165817375</v>
      </c>
      <c r="G346" s="11">
        <f t="shared" si="30"/>
        <v>-5.0912712009194214</v>
      </c>
    </row>
    <row r="347" spans="5:7" x14ac:dyDescent="0.25">
      <c r="E347" s="11">
        <f t="shared" si="28"/>
        <v>-40</v>
      </c>
      <c r="F347" s="11">
        <f t="shared" si="29"/>
        <v>-4.9506896037404671</v>
      </c>
      <c r="G347" s="11">
        <f t="shared" si="30"/>
        <v>-4.986419409824502</v>
      </c>
    </row>
    <row r="348" spans="5:7" x14ac:dyDescent="0.25">
      <c r="E348" s="11">
        <f t="shared" si="28"/>
        <v>-39</v>
      </c>
      <c r="F348" s="11">
        <f t="shared" si="29"/>
        <v>-4.8487929578541049</v>
      </c>
      <c r="G348" s="11">
        <f t="shared" si="30"/>
        <v>-4.8805115017114238</v>
      </c>
    </row>
    <row r="349" spans="5:7" x14ac:dyDescent="0.25">
      <c r="E349" s="11">
        <f t="shared" si="28"/>
        <v>-38</v>
      </c>
      <c r="F349" s="11">
        <f t="shared" si="29"/>
        <v>-4.7461483325938731</v>
      </c>
      <c r="G349" s="11">
        <f t="shared" si="30"/>
        <v>-4.7735543872920871</v>
      </c>
    </row>
    <row r="350" spans="5:7" x14ac:dyDescent="0.25">
      <c r="E350" s="11">
        <f t="shared" si="28"/>
        <v>-37</v>
      </c>
      <c r="F350" s="11">
        <f t="shared" si="29"/>
        <v>-4.6427018737207852</v>
      </c>
      <c r="G350" s="11">
        <f t="shared" si="30"/>
        <v>-4.6655549772783926</v>
      </c>
    </row>
    <row r="351" spans="5:7" x14ac:dyDescent="0.25">
      <c r="E351" s="11">
        <f t="shared" ref="E351:E414" si="31">E144</f>
        <v>-36</v>
      </c>
      <c r="F351" s="11">
        <f t="shared" ref="F351:F414" si="32">$H$217*0+E351*$I$217+E351^2*$J$217+E351^3*$K$217+E351^4*$L$217+E351^5*$M$217+E351^6*$N$217+E351^7*$O$217+E351^8*$P$217</f>
        <v>-4.5384011263670514</v>
      </c>
      <c r="G351" s="11">
        <f t="shared" ref="G351:G414" si="33">F144</f>
        <v>-4.5565201823822425</v>
      </c>
    </row>
    <row r="352" spans="5:7" x14ac:dyDescent="0.25">
      <c r="E352" s="11">
        <f t="shared" si="31"/>
        <v>-35</v>
      </c>
      <c r="F352" s="11">
        <f t="shared" si="32"/>
        <v>-4.433195241048371</v>
      </c>
      <c r="G352" s="11">
        <f t="shared" si="33"/>
        <v>-4.4464569133155365</v>
      </c>
    </row>
    <row r="353" spans="5:7" x14ac:dyDescent="0.25">
      <c r="E353" s="11">
        <f t="shared" si="31"/>
        <v>-34</v>
      </c>
      <c r="F353" s="11">
        <f t="shared" si="32"/>
        <v>-4.3270351777036975</v>
      </c>
      <c r="G353" s="11">
        <f t="shared" si="33"/>
        <v>-4.3353720807901741</v>
      </c>
    </row>
    <row r="354" spans="5:7" x14ac:dyDescent="0.25">
      <c r="E354" s="11">
        <f t="shared" si="31"/>
        <v>-33</v>
      </c>
      <c r="F354" s="11">
        <f t="shared" si="32"/>
        <v>-4.2198739070373232</v>
      </c>
      <c r="G354" s="11">
        <f t="shared" si="33"/>
        <v>-4.2232725955180577</v>
      </c>
    </row>
    <row r="355" spans="5:7" x14ac:dyDescent="0.25">
      <c r="E355" s="11">
        <f t="shared" si="31"/>
        <v>-32</v>
      </c>
      <c r="F355" s="11">
        <f t="shared" si="32"/>
        <v>-4.1116666084163134</v>
      </c>
      <c r="G355" s="11">
        <f t="shared" si="33"/>
        <v>-4.1101653682110877</v>
      </c>
    </row>
    <row r="356" spans="5:7" x14ac:dyDescent="0.25">
      <c r="E356" s="11">
        <f t="shared" si="31"/>
        <v>-31</v>
      </c>
      <c r="F356" s="11">
        <f t="shared" si="32"/>
        <v>-4.0023708635545319</v>
      </c>
      <c r="G356" s="11">
        <f t="shared" si="33"/>
        <v>-3.9960573095811656</v>
      </c>
    </row>
    <row r="357" spans="5:7" x14ac:dyDescent="0.25">
      <c r="E357" s="11">
        <f t="shared" si="31"/>
        <v>-30</v>
      </c>
      <c r="F357" s="11">
        <f t="shared" si="32"/>
        <v>-3.8919468451927854</v>
      </c>
      <c r="G357" s="11">
        <f t="shared" si="33"/>
        <v>-3.8809553303401922</v>
      </c>
    </row>
    <row r="358" spans="5:7" x14ac:dyDescent="0.25">
      <c r="E358" s="11">
        <f t="shared" si="31"/>
        <v>-29</v>
      </c>
      <c r="F358" s="11">
        <f t="shared" si="32"/>
        <v>-3.7803574999627054</v>
      </c>
      <c r="G358" s="11">
        <f t="shared" si="33"/>
        <v>-3.7648663412000669</v>
      </c>
    </row>
    <row r="359" spans="5:7" x14ac:dyDescent="0.25">
      <c r="E359" s="11">
        <f t="shared" si="31"/>
        <v>-28</v>
      </c>
      <c r="F359" s="11">
        <f t="shared" si="32"/>
        <v>-3.6675687246003679</v>
      </c>
      <c r="G359" s="11">
        <f t="shared" si="33"/>
        <v>-3.6477972528726914</v>
      </c>
    </row>
    <row r="360" spans="5:7" x14ac:dyDescent="0.25">
      <c r="E360" s="11">
        <f t="shared" si="31"/>
        <v>-27</v>
      </c>
      <c r="F360" s="11">
        <f t="shared" si="32"/>
        <v>-3.5535495346537256</v>
      </c>
      <c r="G360" s="11">
        <f t="shared" si="33"/>
        <v>-3.5297549760699676</v>
      </c>
    </row>
    <row r="361" spans="5:7" x14ac:dyDescent="0.25">
      <c r="E361" s="11">
        <f t="shared" si="31"/>
        <v>-26</v>
      </c>
      <c r="F361" s="11">
        <f t="shared" si="32"/>
        <v>-3.4382722248062292</v>
      </c>
      <c r="G361" s="11">
        <f t="shared" si="33"/>
        <v>-3.4107464215037941</v>
      </c>
    </row>
    <row r="362" spans="5:7" x14ac:dyDescent="0.25">
      <c r="E362" s="11">
        <f t="shared" si="31"/>
        <v>-25</v>
      </c>
      <c r="F362" s="11">
        <f t="shared" si="32"/>
        <v>-3.3217125199172064</v>
      </c>
      <c r="G362" s="11">
        <f t="shared" si="33"/>
        <v>-3.2907784998860734</v>
      </c>
    </row>
    <row r="363" spans="5:7" x14ac:dyDescent="0.25">
      <c r="E363" s="11">
        <f t="shared" si="31"/>
        <v>-24</v>
      </c>
      <c r="F363" s="11">
        <f t="shared" si="32"/>
        <v>-3.2038497158577877</v>
      </c>
      <c r="G363" s="11">
        <f t="shared" si="33"/>
        <v>-3.1698581219287059</v>
      </c>
    </row>
    <row r="364" spans="5:7" x14ac:dyDescent="0.25">
      <c r="E364" s="11">
        <f t="shared" si="31"/>
        <v>-23</v>
      </c>
      <c r="F364" s="11">
        <f t="shared" si="32"/>
        <v>-3.0846668091993861</v>
      </c>
      <c r="G364" s="11">
        <f t="shared" si="33"/>
        <v>-3.0479921983435929</v>
      </c>
    </row>
    <row r="365" spans="5:7" x14ac:dyDescent="0.25">
      <c r="E365" s="11">
        <f t="shared" si="31"/>
        <v>-22</v>
      </c>
      <c r="F365" s="11">
        <f t="shared" si="32"/>
        <v>-2.9641506147899643</v>
      </c>
      <c r="G365" s="11">
        <f t="shared" si="33"/>
        <v>-2.9251876398426342</v>
      </c>
    </row>
    <row r="366" spans="5:7" x14ac:dyDescent="0.25">
      <c r="E366" s="11">
        <f t="shared" si="31"/>
        <v>-21</v>
      </c>
      <c r="F366" s="11">
        <f t="shared" si="32"/>
        <v>-2.8422918702315347</v>
      </c>
      <c r="G366" s="11">
        <f t="shared" si="33"/>
        <v>-2.8014513571377315</v>
      </c>
    </row>
    <row r="367" spans="5:7" x14ac:dyDescent="0.25">
      <c r="E367" s="11">
        <f t="shared" si="31"/>
        <v>-20</v>
      </c>
      <c r="F367" s="11">
        <f t="shared" si="32"/>
        <v>-2.7190853262505503</v>
      </c>
      <c r="G367" s="11">
        <f t="shared" si="33"/>
        <v>-2.676790260940785</v>
      </c>
    </row>
    <row r="368" spans="5:7" x14ac:dyDescent="0.25">
      <c r="E368" s="11">
        <f t="shared" si="31"/>
        <v>-19</v>
      </c>
      <c r="F368" s="11">
        <f t="shared" si="32"/>
        <v>-2.5945298219310735</v>
      </c>
      <c r="G368" s="11">
        <f t="shared" si="33"/>
        <v>-2.5512112619636964</v>
      </c>
    </row>
    <row r="369" spans="5:7" x14ac:dyDescent="0.25">
      <c r="E369" s="11">
        <f t="shared" si="31"/>
        <v>-18</v>
      </c>
      <c r="F369" s="11">
        <f t="shared" si="32"/>
        <v>-2.4686283437588394</v>
      </c>
      <c r="G369" s="11">
        <f t="shared" si="33"/>
        <v>-2.424721270918365</v>
      </c>
    </row>
    <row r="370" spans="5:7" x14ac:dyDescent="0.25">
      <c r="E370" s="11">
        <f t="shared" si="31"/>
        <v>-17</v>
      </c>
      <c r="F370" s="11">
        <f t="shared" si="32"/>
        <v>-2.34138806740251</v>
      </c>
      <c r="G370" s="11">
        <f t="shared" si="33"/>
        <v>-2.2973271985166934</v>
      </c>
    </row>
    <row r="371" spans="5:7" x14ac:dyDescent="0.25">
      <c r="E371" s="11">
        <f t="shared" si="31"/>
        <v>-16</v>
      </c>
      <c r="F371" s="11">
        <f t="shared" si="32"/>
        <v>-2.2128203811366824</v>
      </c>
      <c r="G371" s="11">
        <f t="shared" si="33"/>
        <v>-2.1690359554705814</v>
      </c>
    </row>
    <row r="372" spans="5:7" x14ac:dyDescent="0.25">
      <c r="E372" s="11">
        <f t="shared" si="31"/>
        <v>-15</v>
      </c>
      <c r="F372" s="11">
        <f t="shared" si="32"/>
        <v>-2.082940889789398</v>
      </c>
      <c r="G372" s="11">
        <f t="shared" si="33"/>
        <v>-2.0398544524919302</v>
      </c>
    </row>
    <row r="373" spans="5:7" x14ac:dyDescent="0.25">
      <c r="E373" s="11">
        <f t="shared" si="31"/>
        <v>-14</v>
      </c>
      <c r="F373" s="11">
        <f t="shared" si="32"/>
        <v>-1.9517693980751238</v>
      </c>
      <c r="G373" s="11">
        <f t="shared" si="33"/>
        <v>-1.9097896002926398</v>
      </c>
    </row>
    <row r="374" spans="5:7" x14ac:dyDescent="0.25">
      <c r="E374" s="11">
        <f t="shared" si="31"/>
        <v>-13</v>
      </c>
      <c r="F374" s="11">
        <f t="shared" si="32"/>
        <v>-1.8193298721524322</v>
      </c>
      <c r="G374" s="11">
        <f t="shared" si="33"/>
        <v>-1.7788483095846124</v>
      </c>
    </row>
    <row r="375" spans="5:7" x14ac:dyDescent="0.25">
      <c r="E375" s="11">
        <f t="shared" si="31"/>
        <v>-12</v>
      </c>
      <c r="F375" s="11">
        <f t="shared" si="32"/>
        <v>-1.6856503782237509</v>
      </c>
      <c r="G375" s="11">
        <f t="shared" si="33"/>
        <v>-1.6470374910797476</v>
      </c>
    </row>
    <row r="376" spans="5:7" x14ac:dyDescent="0.25">
      <c r="E376" s="11">
        <f t="shared" si="31"/>
        <v>-11</v>
      </c>
      <c r="F376" s="11">
        <f t="shared" si="32"/>
        <v>-1.5507629969728518</v>
      </c>
      <c r="G376" s="11">
        <f t="shared" si="33"/>
        <v>-1.5143640554899471</v>
      </c>
    </row>
    <row r="377" spans="5:7" x14ac:dyDescent="0.25">
      <c r="E377" s="11">
        <f t="shared" si="31"/>
        <v>-10</v>
      </c>
      <c r="F377" s="11">
        <f t="shared" si="32"/>
        <v>-1.414703712613919</v>
      </c>
      <c r="G377" s="11">
        <f t="shared" si="33"/>
        <v>-1.3808349135271116</v>
      </c>
    </row>
    <row r="378" spans="5:7" x14ac:dyDescent="0.25">
      <c r="E378" s="11">
        <f t="shared" si="31"/>
        <v>-9</v>
      </c>
      <c r="F378" s="11">
        <f t="shared" si="32"/>
        <v>-1.2775122753042611</v>
      </c>
      <c r="G378" s="11">
        <f t="shared" si="33"/>
        <v>-1.2464569759031414</v>
      </c>
    </row>
    <row r="379" spans="5:7" x14ac:dyDescent="0.25">
      <c r="E379" s="11">
        <f t="shared" si="31"/>
        <v>-8</v>
      </c>
      <c r="F379" s="11">
        <f t="shared" si="32"/>
        <v>-1.1392320356509695</v>
      </c>
      <c r="G379" s="11">
        <f t="shared" si="33"/>
        <v>-1.1112371533299377</v>
      </c>
    </row>
    <row r="380" spans="5:7" x14ac:dyDescent="0.25">
      <c r="E380" s="11">
        <f t="shared" si="31"/>
        <v>-7</v>
      </c>
      <c r="F380" s="11">
        <f t="shared" si="32"/>
        <v>-0.99990975002002536</v>
      </c>
      <c r="G380" s="11">
        <f t="shared" si="33"/>
        <v>-0.97518235651940133</v>
      </c>
    </row>
    <row r="381" spans="5:7" x14ac:dyDescent="0.25">
      <c r="E381" s="11">
        <f t="shared" si="31"/>
        <v>-6</v>
      </c>
      <c r="F381" s="11">
        <f t="shared" si="32"/>
        <v>-0.85959535533457954</v>
      </c>
      <c r="G381" s="11">
        <f t="shared" si="33"/>
        <v>-0.83829949618343291</v>
      </c>
    </row>
    <row r="382" spans="5:7" x14ac:dyDescent="0.25">
      <c r="E382" s="11">
        <f t="shared" si="31"/>
        <v>-5</v>
      </c>
      <c r="F382" s="11">
        <f t="shared" si="32"/>
        <v>-0.71834171202735997</v>
      </c>
      <c r="G382" s="11">
        <f t="shared" si="33"/>
        <v>-0.70059548303393371</v>
      </c>
    </row>
    <row r="383" spans="5:7" x14ac:dyDescent="0.25">
      <c r="E383" s="11">
        <f t="shared" si="31"/>
        <v>-4</v>
      </c>
      <c r="F383" s="11">
        <f t="shared" si="32"/>
        <v>-0.57620431379036519</v>
      </c>
      <c r="G383" s="11">
        <f t="shared" si="33"/>
        <v>-0.56207722778280411</v>
      </c>
    </row>
    <row r="384" spans="5:7" x14ac:dyDescent="0.25">
      <c r="E384" s="11">
        <f t="shared" si="31"/>
        <v>-3</v>
      </c>
      <c r="F384" s="11">
        <f t="shared" si="32"/>
        <v>-0.43324096274322976</v>
      </c>
      <c r="G384" s="11">
        <f t="shared" si="33"/>
        <v>-0.42275164114194508</v>
      </c>
    </row>
    <row r="385" spans="5:7" x14ac:dyDescent="0.25">
      <c r="E385" s="11">
        <f t="shared" si="31"/>
        <v>-2</v>
      </c>
      <c r="F385" s="11">
        <f t="shared" si="32"/>
        <v>-0.28951140861986352</v>
      </c>
      <c r="G385" s="11">
        <f t="shared" si="33"/>
        <v>-0.2826256338232575</v>
      </c>
    </row>
    <row r="386" spans="5:7" x14ac:dyDescent="0.25">
      <c r="E386" s="11">
        <f t="shared" si="31"/>
        <v>-1</v>
      </c>
      <c r="F386" s="11">
        <f t="shared" si="32"/>
        <v>-0.14507695055118677</v>
      </c>
      <c r="G386" s="11">
        <f t="shared" si="33"/>
        <v>-0.14170611653864224</v>
      </c>
    </row>
    <row r="387" spans="5:7" x14ac:dyDescent="0.25">
      <c r="E387" s="11">
        <f t="shared" si="31"/>
        <v>0</v>
      </c>
      <c r="F387" s="11">
        <f t="shared" si="32"/>
        <v>0</v>
      </c>
      <c r="G387" s="11">
        <f t="shared" si="33"/>
        <v>0</v>
      </c>
    </row>
    <row r="388" spans="5:7" x14ac:dyDescent="0.25">
      <c r="E388" s="11">
        <f t="shared" si="31"/>
        <v>1</v>
      </c>
      <c r="F388" s="11">
        <f t="shared" si="32"/>
        <v>0.14565639661775179</v>
      </c>
      <c r="G388" s="11">
        <f t="shared" si="33"/>
        <v>0.14248324406350357</v>
      </c>
    </row>
    <row r="389" spans="5:7" x14ac:dyDescent="0.25">
      <c r="E389" s="11">
        <f t="shared" si="31"/>
        <v>2</v>
      </c>
      <c r="F389" s="11">
        <f t="shared" si="32"/>
        <v>0.29182907711284473</v>
      </c>
      <c r="G389" s="11">
        <f t="shared" si="33"/>
        <v>0.28572389985364394</v>
      </c>
    </row>
    <row r="390" spans="5:7" x14ac:dyDescent="0.25">
      <c r="E390" s="11">
        <f t="shared" si="31"/>
        <v>3</v>
      </c>
      <c r="F390" s="11">
        <f t="shared" si="32"/>
        <v>0.43845532601307313</v>
      </c>
      <c r="G390" s="11">
        <f t="shared" si="33"/>
        <v>0.42969969055493173</v>
      </c>
    </row>
    <row r="391" spans="5:7" x14ac:dyDescent="0.25">
      <c r="E391" s="11">
        <f t="shared" si="31"/>
        <v>4</v>
      </c>
      <c r="F391" s="11">
        <f t="shared" si="32"/>
        <v>0.58547348189506621</v>
      </c>
      <c r="G391" s="11">
        <f t="shared" si="33"/>
        <v>0.57438833935187772</v>
      </c>
    </row>
    <row r="392" spans="5:7" x14ac:dyDescent="0.25">
      <c r="E392" s="11">
        <f t="shared" si="31"/>
        <v>5</v>
      </c>
      <c r="F392" s="11">
        <f t="shared" si="32"/>
        <v>0.73282359111048756</v>
      </c>
      <c r="G392" s="11">
        <f t="shared" si="33"/>
        <v>0.71976756942899245</v>
      </c>
    </row>
    <row r="393" spans="5:7" x14ac:dyDescent="0.25">
      <c r="E393" s="11">
        <f t="shared" si="31"/>
        <v>6</v>
      </c>
      <c r="F393" s="11">
        <f t="shared" si="32"/>
        <v>0.88044810948126895</v>
      </c>
      <c r="G393" s="11">
        <f t="shared" si="33"/>
        <v>0.86581510397078665</v>
      </c>
    </row>
    <row r="394" spans="5:7" x14ac:dyDescent="0.25">
      <c r="E394" s="11">
        <f t="shared" si="31"/>
        <v>7</v>
      </c>
      <c r="F394" s="11">
        <f t="shared" si="32"/>
        <v>1.0282926535603023</v>
      </c>
      <c r="G394" s="11">
        <f t="shared" si="33"/>
        <v>1.0125086661617713</v>
      </c>
    </row>
    <row r="395" spans="5:7" x14ac:dyDescent="0.25">
      <c r="E395" s="11">
        <f t="shared" si="31"/>
        <v>8</v>
      </c>
      <c r="F395" s="11">
        <f t="shared" si="32"/>
        <v>1.1763068030758057</v>
      </c>
      <c r="G395" s="11">
        <f t="shared" si="33"/>
        <v>1.1598259791864565</v>
      </c>
    </row>
    <row r="396" spans="5:7" x14ac:dyDescent="0.25">
      <c r="E396" s="11">
        <f t="shared" si="31"/>
        <v>9</v>
      </c>
      <c r="F396" s="11">
        <f t="shared" si="32"/>
        <v>1.3244449561993534</v>
      </c>
      <c r="G396" s="11">
        <f t="shared" si="33"/>
        <v>1.3077447662293533</v>
      </c>
    </row>
    <row r="397" spans="5:7" x14ac:dyDescent="0.25">
      <c r="E397" s="11">
        <f t="shared" si="31"/>
        <v>10</v>
      </c>
      <c r="F397" s="11">
        <f t="shared" si="32"/>
        <v>1.4726672392993387</v>
      </c>
      <c r="G397" s="11">
        <f t="shared" si="33"/>
        <v>1.4562427504749726</v>
      </c>
    </row>
    <row r="398" spans="5:7" x14ac:dyDescent="0.25">
      <c r="E398" s="11">
        <f t="shared" si="31"/>
        <v>11</v>
      </c>
      <c r="F398" s="11">
        <f t="shared" si="32"/>
        <v>1.6209404728634269</v>
      </c>
      <c r="G398" s="11">
        <f t="shared" si="33"/>
        <v>1.6052976551078246</v>
      </c>
    </row>
    <row r="399" spans="5:7" x14ac:dyDescent="0.25">
      <c r="E399" s="11">
        <f t="shared" si="31"/>
        <v>12</v>
      </c>
      <c r="F399" s="11">
        <f t="shared" si="32"/>
        <v>1.7692391952953366</v>
      </c>
      <c r="G399" s="11">
        <f t="shared" si="33"/>
        <v>1.7548872033124201</v>
      </c>
    </row>
    <row r="400" spans="5:7" x14ac:dyDescent="0.25">
      <c r="E400" s="11">
        <f t="shared" si="31"/>
        <v>13</v>
      </c>
      <c r="F400" s="11">
        <f t="shared" si="32"/>
        <v>1.9175467463130631</v>
      </c>
      <c r="G400" s="11">
        <f t="shared" si="33"/>
        <v>1.9049891182732701</v>
      </c>
    </row>
    <row r="401" spans="5:7" x14ac:dyDescent="0.25">
      <c r="E401" s="11">
        <f t="shared" si="31"/>
        <v>14</v>
      </c>
      <c r="F401" s="11">
        <f t="shared" si="32"/>
        <v>2.0658564116974367</v>
      </c>
      <c r="G401" s="11">
        <f t="shared" si="33"/>
        <v>2.0555811231748851</v>
      </c>
    </row>
    <row r="402" spans="5:7" x14ac:dyDescent="0.25">
      <c r="E402" s="11">
        <f t="shared" si="31"/>
        <v>15</v>
      </c>
      <c r="F402" s="11">
        <f t="shared" si="32"/>
        <v>2.2141726311617043</v>
      </c>
      <c r="G402" s="11">
        <f t="shared" si="33"/>
        <v>2.2066409412017753</v>
      </c>
    </row>
    <row r="403" spans="5:7" x14ac:dyDescent="0.25">
      <c r="E403" s="11">
        <f t="shared" si="31"/>
        <v>16</v>
      </c>
      <c r="F403" s="11">
        <f t="shared" si="32"/>
        <v>2.3625122711345923</v>
      </c>
      <c r="G403" s="11">
        <f t="shared" si="33"/>
        <v>2.3581462955384525</v>
      </c>
    </row>
    <row r="404" spans="5:7" x14ac:dyDescent="0.25">
      <c r="E404" s="11">
        <f t="shared" si="31"/>
        <v>17</v>
      </c>
      <c r="F404" s="11">
        <f t="shared" si="32"/>
        <v>2.510905964271084</v>
      </c>
      <c r="G404" s="11">
        <f t="shared" si="33"/>
        <v>2.5100749093694263</v>
      </c>
    </row>
    <row r="405" spans="5:7" x14ac:dyDescent="0.25">
      <c r="E405" s="11">
        <f t="shared" si="31"/>
        <v>18</v>
      </c>
      <c r="F405" s="11">
        <f t="shared" si="32"/>
        <v>2.6593995175269503</v>
      </c>
      <c r="G405" s="11">
        <f t="shared" si="33"/>
        <v>2.6624045058792078</v>
      </c>
    </row>
    <row r="406" spans="5:7" x14ac:dyDescent="0.25">
      <c r="E406" s="11">
        <f t="shared" si="31"/>
        <v>19</v>
      </c>
      <c r="F406" s="11">
        <f t="shared" si="32"/>
        <v>2.8080553906548222</v>
      </c>
      <c r="G406" s="11">
        <f t="shared" si="33"/>
        <v>2.8151128082523078</v>
      </c>
    </row>
    <row r="407" spans="5:7" x14ac:dyDescent="0.25">
      <c r="E407" s="11">
        <f t="shared" si="31"/>
        <v>20</v>
      </c>
      <c r="F407" s="11">
        <f t="shared" si="32"/>
        <v>2.9569542470013928</v>
      </c>
      <c r="G407" s="11">
        <f t="shared" si="33"/>
        <v>2.9681775396732371</v>
      </c>
    </row>
    <row r="408" spans="5:7" x14ac:dyDescent="0.25">
      <c r="E408" s="11">
        <f t="shared" si="31"/>
        <v>21</v>
      </c>
      <c r="F408" s="11">
        <f t="shared" si="32"/>
        <v>3.106196578507141</v>
      </c>
      <c r="G408" s="11">
        <f t="shared" si="33"/>
        <v>3.1215764233265055</v>
      </c>
    </row>
    <row r="409" spans="5:7" x14ac:dyDescent="0.25">
      <c r="E409" s="11">
        <f t="shared" si="31"/>
        <v>22</v>
      </c>
      <c r="F409" s="11">
        <f t="shared" si="32"/>
        <v>3.2559044068316774</v>
      </c>
      <c r="G409" s="11">
        <f t="shared" si="33"/>
        <v>3.275287182396625</v>
      </c>
    </row>
    <row r="410" spans="5:7" x14ac:dyDescent="0.25">
      <c r="E410" s="11">
        <f t="shared" si="31"/>
        <v>23</v>
      </c>
      <c r="F410" s="11">
        <f t="shared" si="32"/>
        <v>3.4062230625496861</v>
      </c>
      <c r="G410" s="11">
        <f t="shared" si="33"/>
        <v>3.4292875400681058</v>
      </c>
    </row>
    <row r="411" spans="5:7" x14ac:dyDescent="0.25">
      <c r="E411" s="11">
        <f t="shared" si="31"/>
        <v>24</v>
      </c>
      <c r="F411" s="11">
        <f t="shared" si="32"/>
        <v>3.5573230443841513</v>
      </c>
      <c r="G411" s="11">
        <f t="shared" si="33"/>
        <v>3.5835552195254574</v>
      </c>
    </row>
    <row r="412" spans="5:7" x14ac:dyDescent="0.25">
      <c r="E412" s="11">
        <f t="shared" si="31"/>
        <v>25</v>
      </c>
      <c r="F412" s="11">
        <f t="shared" si="32"/>
        <v>3.7094019604653607</v>
      </c>
      <c r="G412" s="11">
        <f t="shared" si="33"/>
        <v>3.7380679439531921</v>
      </c>
    </row>
    <row r="413" spans="5:7" x14ac:dyDescent="0.25">
      <c r="E413" s="11">
        <f t="shared" si="31"/>
        <v>26</v>
      </c>
      <c r="F413" s="11">
        <f t="shared" si="32"/>
        <v>3.86268655362597</v>
      </c>
      <c r="G413" s="11">
        <f t="shared" si="33"/>
        <v>3.8928034365358202</v>
      </c>
    </row>
    <row r="414" spans="5:7" x14ac:dyDescent="0.25">
      <c r="E414" s="11">
        <f t="shared" si="31"/>
        <v>27</v>
      </c>
      <c r="F414" s="11">
        <f t="shared" si="32"/>
        <v>4.0174348127641695</v>
      </c>
      <c r="G414" s="11">
        <f t="shared" si="33"/>
        <v>4.0477394204578525</v>
      </c>
    </row>
    <row r="415" spans="5:7" x14ac:dyDescent="0.25">
      <c r="E415" s="11">
        <f t="shared" ref="E415:E422" si="34">E208</f>
        <v>28</v>
      </c>
      <c r="F415" s="11">
        <f t="shared" ref="F415:F422" si="35">$H$217*0+E415*$I$217+E415^2*$J$217+E415^3*$K$217+E415^4*$L$217+E415^5*$M$217+E415^6*$N$217+E415^7*$O$217+E415^8*$P$217</f>
        <v>4.1739381723287998</v>
      </c>
      <c r="G415" s="11">
        <f t="shared" ref="G415:G422" si="36">F208</f>
        <v>4.2028536189037986</v>
      </c>
    </row>
    <row r="416" spans="5:7" x14ac:dyDescent="0.25">
      <c r="E416" s="11">
        <f t="shared" si="34"/>
        <v>29</v>
      </c>
      <c r="F416" s="11">
        <f t="shared" si="35"/>
        <v>4.3325238020020169</v>
      </c>
      <c r="G416" s="11">
        <f t="shared" si="36"/>
        <v>4.3581237550581688</v>
      </c>
    </row>
    <row r="417" spans="5:7" x14ac:dyDescent="0.25">
      <c r="E417" s="11">
        <f t="shared" si="34"/>
        <v>30</v>
      </c>
      <c r="F417" s="11">
        <f t="shared" si="35"/>
        <v>4.4935569886769446</v>
      </c>
      <c r="G417" s="11">
        <f t="shared" si="36"/>
        <v>4.5135275521054767</v>
      </c>
    </row>
    <row r="418" spans="5:7" x14ac:dyDescent="0.25">
      <c r="E418" s="11">
        <f t="shared" si="34"/>
        <v>31</v>
      </c>
      <c r="F418" s="11">
        <f t="shared" si="35"/>
        <v>4.6574436128494296</v>
      </c>
      <c r="G418" s="11">
        <f t="shared" si="36"/>
        <v>4.6690427332302304</v>
      </c>
    </row>
    <row r="419" spans="5:7" x14ac:dyDescent="0.25">
      <c r="E419" s="11">
        <f t="shared" si="34"/>
        <v>32</v>
      </c>
      <c r="F419" s="11">
        <f t="shared" si="35"/>
        <v>4.8246327215649201</v>
      </c>
      <c r="G419" s="11">
        <f t="shared" si="36"/>
        <v>4.8246470216169417</v>
      </c>
    </row>
    <row r="420" spans="5:7" x14ac:dyDescent="0.25">
      <c r="E420" s="11">
        <f t="shared" si="34"/>
        <v>33</v>
      </c>
      <c r="F420" s="11">
        <f t="shared" si="35"/>
        <v>4.9956192000831852</v>
      </c>
      <c r="G420" s="11">
        <f t="shared" si="36"/>
        <v>4.9803181404501213</v>
      </c>
    </row>
    <row r="421" spans="5:7" x14ac:dyDescent="0.25">
      <c r="E421" s="11">
        <f t="shared" si="34"/>
        <v>34</v>
      </c>
      <c r="F421" s="11">
        <f t="shared" si="35"/>
        <v>5.1709465444453837</v>
      </c>
      <c r="G421" s="11">
        <f t="shared" si="36"/>
        <v>5.1360338129142793</v>
      </c>
    </row>
    <row r="422" spans="5:7" x14ac:dyDescent="0.25">
      <c r="E422" s="11">
        <f t="shared" si="34"/>
        <v>35</v>
      </c>
      <c r="F422" s="11">
        <f t="shared" si="35"/>
        <v>5.351209737149822</v>
      </c>
      <c r="G422" s="11">
        <f t="shared" si="36"/>
        <v>5.2917717621939264</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7.2479999999999997E-5</v>
      </c>
      <c r="C3" s="2">
        <v>1.132E-4</v>
      </c>
      <c r="D3" s="2">
        <v>-3.1349999999999998E-4</v>
      </c>
      <c r="E3" s="2">
        <v>0</v>
      </c>
      <c r="F3" s="2">
        <v>0</v>
      </c>
      <c r="G3" s="2">
        <v>0</v>
      </c>
      <c r="H3" s="2">
        <v>4.2470101000000001E-5</v>
      </c>
      <c r="I3" s="2">
        <v>1.1076433E-5</v>
      </c>
      <c r="J3" s="2">
        <v>-1.1850452E-4</v>
      </c>
      <c r="K3" s="3"/>
      <c r="L3" s="3">
        <f>-B3/D3</f>
        <v>0.23119617224880384</v>
      </c>
      <c r="M3" s="3"/>
      <c r="N3" s="2">
        <f>IF('Modell einstellen'!$B$1="Voll",H3/0.35,H3/0.35*2)</f>
        <v>1.2134314571428572E-4</v>
      </c>
      <c r="O3" s="2">
        <f>IF('Modell einstellen'!$B$1="Voll",J3/0.35,J3/0.35*2)</f>
        <v>-3.3858434285714286E-4</v>
      </c>
      <c r="P3" s="3">
        <f>-N3/O3</f>
        <v>0.35838380679488008</v>
      </c>
      <c r="Q3" s="3"/>
      <c r="R3" s="3"/>
      <c r="S3" s="3"/>
      <c r="T3" s="3"/>
      <c r="U3" s="3"/>
      <c r="V3" s="3"/>
      <c r="W3" s="3"/>
    </row>
    <row r="4" spans="1:23" x14ac:dyDescent="0.25">
      <c r="A4" s="2">
        <v>1E-14</v>
      </c>
      <c r="B4" s="2">
        <v>7.2360000000000005E-5</v>
      </c>
      <c r="C4" s="2">
        <v>1.141E-4</v>
      </c>
      <c r="D4" s="2">
        <v>-3.145E-4</v>
      </c>
      <c r="E4" s="2">
        <v>0</v>
      </c>
      <c r="F4" s="2">
        <v>0</v>
      </c>
      <c r="G4" s="2">
        <v>0</v>
      </c>
      <c r="H4" s="2">
        <v>4.2925469000000003E-5</v>
      </c>
      <c r="I4" s="2">
        <v>1.1166246000000001E-5</v>
      </c>
      <c r="J4" s="2">
        <v>-1.1932563E-4</v>
      </c>
      <c r="K4" s="3"/>
      <c r="L4" s="3">
        <f t="shared" ref="L4:L33" si="0">-B4/D4</f>
        <v>0.23007949125596186</v>
      </c>
      <c r="M4" s="3"/>
      <c r="N4" s="2">
        <f>IF('Modell einstellen'!$B$1="Voll",H4/0.35,H4/0.35*2)</f>
        <v>1.2264419714285715E-4</v>
      </c>
      <c r="O4" s="2">
        <f>IF('Modell einstellen'!$B$1="Voll",J4/0.35,J4/0.35*2)</f>
        <v>-3.4093037142857147E-4</v>
      </c>
      <c r="P4" s="3">
        <f t="shared" ref="P4:P33" si="1">-N4/O4</f>
        <v>0.35973385600394481</v>
      </c>
      <c r="Q4" s="3"/>
      <c r="R4" s="3"/>
      <c r="S4" s="3"/>
      <c r="T4" s="3"/>
      <c r="U4" s="3"/>
      <c r="V4" s="3"/>
      <c r="W4" s="3"/>
    </row>
    <row r="5" spans="1:23" x14ac:dyDescent="0.25">
      <c r="A5" s="2">
        <v>1E-13</v>
      </c>
      <c r="B5" s="2">
        <v>7.2459999999999994E-5</v>
      </c>
      <c r="C5" s="2">
        <v>1.1730000000000001E-4</v>
      </c>
      <c r="D5" s="2">
        <v>-3.189E-4</v>
      </c>
      <c r="E5" s="2">
        <v>0</v>
      </c>
      <c r="F5" s="2">
        <v>0</v>
      </c>
      <c r="G5" s="2">
        <v>0</v>
      </c>
      <c r="H5" s="2">
        <v>4.4564529999999999E-5</v>
      </c>
      <c r="I5" s="2">
        <v>1.1501369999999999E-5</v>
      </c>
      <c r="J5" s="2">
        <v>-1.2234282999999999E-4</v>
      </c>
      <c r="K5" s="3"/>
      <c r="L5" s="3">
        <f t="shared" si="0"/>
        <v>0.22721856381310754</v>
      </c>
      <c r="M5" s="3"/>
      <c r="N5" s="2">
        <f>IF('Modell einstellen'!$B$1="Voll",H5/0.35,H5/0.35*2)</f>
        <v>1.2732722857142857E-4</v>
      </c>
      <c r="O5" s="2">
        <f>IF('Modell einstellen'!$B$1="Voll",J5/0.35,J5/0.35*2)</f>
        <v>-3.4955094285714285E-4</v>
      </c>
      <c r="P5" s="3">
        <f t="shared" si="1"/>
        <v>0.36425943392023874</v>
      </c>
      <c r="Q5" s="3"/>
      <c r="R5" s="3"/>
      <c r="S5" s="3"/>
      <c r="T5" s="3"/>
      <c r="U5" s="3"/>
      <c r="V5" s="3"/>
      <c r="W5" s="3"/>
    </row>
    <row r="6" spans="1:23" x14ac:dyDescent="0.25">
      <c r="A6" s="2">
        <v>9.9999999999999998E-13</v>
      </c>
      <c r="B6" s="2">
        <v>7.2269999999999998E-5</v>
      </c>
      <c r="C6" s="2">
        <v>1.1959999999999999E-4</v>
      </c>
      <c r="D6" s="2">
        <v>-3.2170000000000001E-4</v>
      </c>
      <c r="E6" s="2">
        <v>0</v>
      </c>
      <c r="F6" s="2">
        <v>0</v>
      </c>
      <c r="G6" s="2">
        <v>0</v>
      </c>
      <c r="H6" s="2">
        <v>4.574427E-5</v>
      </c>
      <c r="I6" s="2">
        <v>1.1734621E-5</v>
      </c>
      <c r="J6" s="2">
        <v>-1.2448202000000001E-4</v>
      </c>
      <c r="K6" s="3"/>
      <c r="L6" s="3">
        <f t="shared" si="0"/>
        <v>0.22465029530618588</v>
      </c>
      <c r="M6" s="3"/>
      <c r="N6" s="2">
        <f>IF('Modell einstellen'!$B$1="Voll",H6/0.35,H6/0.35*2)</f>
        <v>1.3069791428571429E-4</v>
      </c>
      <c r="O6" s="2">
        <f>IF('Modell einstellen'!$B$1="Voll",J6/0.35,J6/0.35*2)</f>
        <v>-3.5566291428571433E-4</v>
      </c>
      <c r="P6" s="3">
        <f t="shared" si="1"/>
        <v>0.36747692558330908</v>
      </c>
      <c r="Q6" s="3"/>
      <c r="R6" s="3"/>
      <c r="S6" s="3"/>
      <c r="T6" s="3"/>
      <c r="U6" s="3"/>
      <c r="V6" s="3"/>
      <c r="W6" s="3"/>
    </row>
    <row r="7" spans="1:23" x14ac:dyDescent="0.25">
      <c r="A7" s="2">
        <v>9.9999999999999994E-12</v>
      </c>
      <c r="B7" s="2">
        <v>7.2000000000000002E-5</v>
      </c>
      <c r="C7" s="2">
        <v>1.2180000000000001E-4</v>
      </c>
      <c r="D7" s="2">
        <v>-3.2430000000000002E-4</v>
      </c>
      <c r="E7" s="2">
        <v>0</v>
      </c>
      <c r="F7" s="2">
        <v>0</v>
      </c>
      <c r="G7" s="2">
        <v>0</v>
      </c>
      <c r="H7" s="2">
        <v>4.6897987000000002E-5</v>
      </c>
      <c r="I7" s="2">
        <v>1.195948E-5</v>
      </c>
      <c r="J7" s="2">
        <v>-1.2656065000000001E-4</v>
      </c>
      <c r="K7" s="3"/>
      <c r="L7" s="3">
        <f t="shared" si="0"/>
        <v>0.22201665124884365</v>
      </c>
      <c r="M7" s="3"/>
      <c r="N7" s="2">
        <f>IF('Modell einstellen'!$B$1="Voll",H7/0.35,H7/0.35*2)</f>
        <v>1.339942485714286E-4</v>
      </c>
      <c r="O7" s="2">
        <f>IF('Modell einstellen'!$B$1="Voll",J7/0.35,J7/0.35*2)</f>
        <v>-3.616018571428572E-4</v>
      </c>
      <c r="P7" s="3">
        <f t="shared" si="1"/>
        <v>0.37055741259230257</v>
      </c>
      <c r="Q7" s="3"/>
      <c r="R7" s="3"/>
      <c r="S7" s="3"/>
      <c r="T7" s="3"/>
      <c r="U7" s="3"/>
      <c r="V7" s="3"/>
      <c r="W7" s="3"/>
    </row>
    <row r="8" spans="1:23" x14ac:dyDescent="0.25">
      <c r="A8" s="2">
        <v>1E-10</v>
      </c>
      <c r="B8" s="2">
        <v>7.1589999999999997E-5</v>
      </c>
      <c r="C8" s="2">
        <v>1.2420000000000001E-4</v>
      </c>
      <c r="D8" s="2">
        <v>-3.2719999999999998E-4</v>
      </c>
      <c r="E8" s="2">
        <v>0</v>
      </c>
      <c r="F8" s="2">
        <v>0</v>
      </c>
      <c r="G8" s="2">
        <v>0</v>
      </c>
      <c r="H8" s="2">
        <v>4.8227148000000002E-5</v>
      </c>
      <c r="I8" s="2">
        <v>1.2214147000000001E-5</v>
      </c>
      <c r="J8" s="2">
        <v>-1.2893698E-4</v>
      </c>
      <c r="K8" s="3"/>
      <c r="L8" s="3">
        <f t="shared" si="0"/>
        <v>0.21879584352078241</v>
      </c>
      <c r="M8" s="3"/>
      <c r="N8" s="2">
        <f>IF('Modell einstellen'!$B$1="Voll",H8/0.35,H8/0.35*2)</f>
        <v>1.3779185142857145E-4</v>
      </c>
      <c r="O8" s="2">
        <f>IF('Modell einstellen'!$B$1="Voll",J8/0.35,J8/0.35*2)</f>
        <v>-3.6839137142857147E-4</v>
      </c>
      <c r="P8" s="3">
        <f t="shared" si="1"/>
        <v>0.37403658748638291</v>
      </c>
      <c r="Q8" s="3"/>
      <c r="R8" s="3"/>
      <c r="S8" s="3"/>
      <c r="T8" s="3"/>
      <c r="U8" s="3"/>
      <c r="V8" s="3"/>
      <c r="W8" s="3"/>
    </row>
    <row r="9" spans="1:23" x14ac:dyDescent="0.25">
      <c r="A9" s="2">
        <v>1.0000000000000001E-9</v>
      </c>
      <c r="B9" s="2">
        <v>7.0989999999999996E-5</v>
      </c>
      <c r="C9" s="2">
        <v>1.2679999999999999E-4</v>
      </c>
      <c r="D9" s="2">
        <v>-3.301E-4</v>
      </c>
      <c r="E9" s="2">
        <v>0</v>
      </c>
      <c r="F9" s="2">
        <v>0</v>
      </c>
      <c r="G9" s="2">
        <v>0</v>
      </c>
      <c r="H9" s="2">
        <v>4.9698343999999999E-5</v>
      </c>
      <c r="I9" s="2">
        <v>1.2490341E-5</v>
      </c>
      <c r="J9" s="2">
        <v>-1.3154325999999999E-4</v>
      </c>
      <c r="K9" s="3"/>
      <c r="L9" s="3">
        <f t="shared" si="0"/>
        <v>0.21505604362314448</v>
      </c>
      <c r="M9" s="3"/>
      <c r="N9" s="2">
        <f>IF('Modell einstellen'!$B$1="Voll",H9/0.35,H9/0.35*2)</f>
        <v>1.4199526857142856E-4</v>
      </c>
      <c r="O9" s="2">
        <f>IF('Modell einstellen'!$B$1="Voll",J9/0.35,J9/0.35*2)</f>
        <v>-3.7583788571428573E-4</v>
      </c>
      <c r="P9" s="3">
        <f t="shared" si="1"/>
        <v>0.37780988550838707</v>
      </c>
      <c r="Q9" s="3"/>
      <c r="R9" s="3"/>
      <c r="S9" s="3"/>
      <c r="T9" s="3"/>
      <c r="U9" s="3"/>
      <c r="V9" s="3"/>
      <c r="W9" s="3"/>
    </row>
    <row r="10" spans="1:23" x14ac:dyDescent="0.25">
      <c r="A10" s="2">
        <v>1E-8</v>
      </c>
      <c r="B10" s="2">
        <v>7.0080000000000007E-5</v>
      </c>
      <c r="C10" s="2">
        <v>1.2990000000000001E-4</v>
      </c>
      <c r="D10" s="2">
        <v>-3.3330000000000002E-4</v>
      </c>
      <c r="E10" s="2">
        <v>0</v>
      </c>
      <c r="F10" s="2">
        <v>0</v>
      </c>
      <c r="G10" s="2">
        <v>0</v>
      </c>
      <c r="H10" s="2">
        <v>5.1486086999999999E-5</v>
      </c>
      <c r="I10" s="2">
        <v>1.2817927E-5</v>
      </c>
      <c r="J10" s="2">
        <v>-1.346768E-4</v>
      </c>
      <c r="K10" s="3"/>
      <c r="L10" s="3">
        <f t="shared" si="0"/>
        <v>0.21026102610261027</v>
      </c>
      <c r="M10" s="3"/>
      <c r="N10" s="2">
        <f>IF('Modell einstellen'!$B$1="Voll",H10/0.35,H10/0.35*2)</f>
        <v>1.4710310571428573E-4</v>
      </c>
      <c r="O10" s="2">
        <f>IF('Modell einstellen'!$B$1="Voll",J10/0.35,J10/0.35*2)</f>
        <v>-3.8479085714285716E-4</v>
      </c>
      <c r="P10" s="3">
        <f t="shared" si="1"/>
        <v>0.38229366156606043</v>
      </c>
      <c r="Q10" s="3"/>
      <c r="R10" s="3"/>
      <c r="S10" s="3"/>
      <c r="T10" s="3"/>
      <c r="U10" s="3"/>
      <c r="V10" s="3"/>
      <c r="W10" s="3"/>
    </row>
    <row r="11" spans="1:23" x14ac:dyDescent="0.25">
      <c r="A11" s="2">
        <v>9.9999999999999995E-8</v>
      </c>
      <c r="B11" s="2">
        <v>6.8850000000000007E-5</v>
      </c>
      <c r="C11" s="2">
        <v>1.3329999999999999E-4</v>
      </c>
      <c r="D11" s="2">
        <v>-3.3649999999999999E-4</v>
      </c>
      <c r="E11" s="2">
        <v>0</v>
      </c>
      <c r="F11" s="2">
        <v>0</v>
      </c>
      <c r="G11" s="2">
        <v>0</v>
      </c>
      <c r="H11" s="2">
        <v>5.3467653999999997E-5</v>
      </c>
      <c r="I11" s="2">
        <v>1.3170624E-5</v>
      </c>
      <c r="J11" s="2">
        <v>-1.3810651999999999E-4</v>
      </c>
      <c r="K11" s="3"/>
      <c r="L11" s="3">
        <f t="shared" si="0"/>
        <v>0.20460624071322439</v>
      </c>
      <c r="M11" s="3"/>
      <c r="N11" s="2">
        <f>IF('Modell einstellen'!$B$1="Voll",H11/0.35,H11/0.35*2)</f>
        <v>1.5276472571428571E-4</v>
      </c>
      <c r="O11" s="2">
        <f>IF('Modell einstellen'!$B$1="Voll",J11/0.35,J11/0.35*2)</f>
        <v>-3.9459005714285713E-4</v>
      </c>
      <c r="P11" s="3">
        <f t="shared" si="1"/>
        <v>0.38714793479699583</v>
      </c>
      <c r="Q11" s="3"/>
      <c r="R11" s="3"/>
      <c r="S11" s="3"/>
      <c r="T11" s="3"/>
      <c r="U11" s="3"/>
      <c r="V11" s="3"/>
      <c r="W11" s="3"/>
    </row>
    <row r="12" spans="1:23" x14ac:dyDescent="0.25">
      <c r="A12" s="2">
        <v>9.9999999999999995E-7</v>
      </c>
      <c r="B12" s="2">
        <v>6.7070000000000007E-5</v>
      </c>
      <c r="C12" s="2">
        <v>1.371E-4</v>
      </c>
      <c r="D12" s="2">
        <v>-3.3980000000000002E-4</v>
      </c>
      <c r="E12" s="2">
        <v>0</v>
      </c>
      <c r="F12" s="2">
        <v>0</v>
      </c>
      <c r="G12" s="2">
        <v>0</v>
      </c>
      <c r="H12" s="2">
        <v>5.5852208000000002E-5</v>
      </c>
      <c r="I12" s="2">
        <v>1.358092E-5</v>
      </c>
      <c r="J12" s="2">
        <v>-1.4217517E-4</v>
      </c>
      <c r="K12" s="3"/>
      <c r="L12" s="3">
        <f t="shared" si="0"/>
        <v>0.1973808122424956</v>
      </c>
      <c r="M12" s="3"/>
      <c r="N12" s="2">
        <f>IF('Modell einstellen'!$B$1="Voll",H12/0.35,H12/0.35*2)</f>
        <v>1.5957773714285716E-4</v>
      </c>
      <c r="O12" s="2">
        <f>IF('Modell einstellen'!$B$1="Voll",J12/0.35,J12/0.35*2)</f>
        <v>-4.0621477142857142E-4</v>
      </c>
      <c r="P12" s="3">
        <f t="shared" si="1"/>
        <v>0.39284080335546639</v>
      </c>
      <c r="Q12" s="3"/>
      <c r="R12" s="3"/>
      <c r="S12" s="3"/>
      <c r="T12" s="3"/>
      <c r="U12" s="3"/>
      <c r="V12" s="3"/>
      <c r="W12" s="3"/>
    </row>
    <row r="13" spans="1:23" x14ac:dyDescent="0.25">
      <c r="A13" s="2">
        <v>1.0000000000000001E-5</v>
      </c>
      <c r="B13" s="2">
        <v>6.5049999999999996E-5</v>
      </c>
      <c r="C13" s="2">
        <v>1.407E-4</v>
      </c>
      <c r="D13" s="2">
        <v>-3.4259999999999998E-4</v>
      </c>
      <c r="E13" s="2">
        <v>0</v>
      </c>
      <c r="F13" s="2">
        <v>0</v>
      </c>
      <c r="G13" s="2">
        <v>0</v>
      </c>
      <c r="H13" s="2">
        <v>5.8153406000000001E-5</v>
      </c>
      <c r="I13" s="2">
        <v>1.3962094E-5</v>
      </c>
      <c r="J13" s="2">
        <v>-1.4603985999999999E-4</v>
      </c>
      <c r="K13" s="3"/>
      <c r="L13" s="3">
        <f t="shared" si="0"/>
        <v>0.18987157034442498</v>
      </c>
      <c r="M13" s="3"/>
      <c r="N13" s="2">
        <f>IF('Modell einstellen'!$B$1="Voll",H13/0.35,H13/0.35*2)</f>
        <v>1.6615258857142858E-4</v>
      </c>
      <c r="O13" s="2">
        <f>IF('Modell einstellen'!$B$1="Voll",J13/0.35,J13/0.35*2)</f>
        <v>-4.1725674285714284E-4</v>
      </c>
      <c r="P13" s="3">
        <f t="shared" si="1"/>
        <v>0.39820228532128149</v>
      </c>
      <c r="Q13" s="3"/>
      <c r="R13" s="3"/>
      <c r="S13" s="3"/>
      <c r="T13" s="3"/>
      <c r="U13" s="3"/>
      <c r="V13" s="3"/>
      <c r="W13" s="3"/>
    </row>
    <row r="14" spans="1:23" x14ac:dyDescent="0.25">
      <c r="A14" s="2">
        <v>1E-4</v>
      </c>
      <c r="B14" s="2">
        <v>6.2409999999999994E-5</v>
      </c>
      <c r="C14" s="2">
        <v>1.4459999999999999E-4</v>
      </c>
      <c r="D14" s="2">
        <v>-3.4519999999999999E-4</v>
      </c>
      <c r="E14" s="2">
        <v>0</v>
      </c>
      <c r="F14" s="2">
        <v>0</v>
      </c>
      <c r="G14" s="2">
        <v>0</v>
      </c>
      <c r="H14" s="2">
        <v>6.0797543E-5</v>
      </c>
      <c r="I14" s="2">
        <v>1.4384262E-5</v>
      </c>
      <c r="J14" s="2">
        <v>-1.5041541999999999E-4</v>
      </c>
      <c r="K14" s="3"/>
      <c r="L14" s="3">
        <f t="shared" si="0"/>
        <v>0.18079374275782154</v>
      </c>
      <c r="M14" s="3"/>
      <c r="N14" s="2">
        <f>IF('Modell einstellen'!$B$1="Voll",H14/0.35,H14/0.35*2)</f>
        <v>1.7370726571428572E-4</v>
      </c>
      <c r="O14" s="2">
        <f>IF('Modell einstellen'!$B$1="Voll",J14/0.35,J14/0.35*2)</f>
        <v>-4.2975834285714288E-4</v>
      </c>
      <c r="P14" s="3">
        <f t="shared" si="1"/>
        <v>0.40419754171480554</v>
      </c>
      <c r="Q14" s="3"/>
      <c r="R14" s="3"/>
      <c r="S14" s="3"/>
      <c r="T14" s="3"/>
      <c r="U14" s="3"/>
      <c r="V14" s="3"/>
      <c r="W14" s="3"/>
    </row>
    <row r="15" spans="1:23" x14ac:dyDescent="0.25">
      <c r="A15" s="2">
        <v>1E-3</v>
      </c>
      <c r="B15" s="2">
        <v>5.8400000000000003E-5</v>
      </c>
      <c r="C15" s="2">
        <v>1.496E-4</v>
      </c>
      <c r="D15" s="2">
        <v>-3.478E-4</v>
      </c>
      <c r="E15" s="2">
        <v>0</v>
      </c>
      <c r="F15" s="2">
        <v>0</v>
      </c>
      <c r="G15" s="2">
        <v>0</v>
      </c>
      <c r="H15" s="2">
        <v>6.4335105999999996E-5</v>
      </c>
      <c r="I15" s="2">
        <v>1.4923491000000001E-5</v>
      </c>
      <c r="J15" s="2">
        <v>-1.56164E-4</v>
      </c>
      <c r="K15" s="3"/>
      <c r="L15" s="3">
        <f t="shared" si="0"/>
        <v>0.16791259344450835</v>
      </c>
      <c r="M15" s="3"/>
      <c r="N15" s="2">
        <f>IF('Modell einstellen'!$B$1="Voll",H15/0.35,H15/0.35*2)</f>
        <v>1.8381458857142857E-4</v>
      </c>
      <c r="O15" s="2">
        <f>IF('Modell einstellen'!$B$1="Voll",J15/0.35,J15/0.35*2)</f>
        <v>-4.4618285714285717E-4</v>
      </c>
      <c r="P15" s="3">
        <f t="shared" si="1"/>
        <v>0.41197142747368148</v>
      </c>
      <c r="Q15" s="3"/>
      <c r="R15" s="3"/>
      <c r="S15" s="3"/>
      <c r="T15" s="3"/>
      <c r="U15" s="3"/>
      <c r="V15" s="3"/>
      <c r="W15" s="3"/>
    </row>
    <row r="16" spans="1:23" x14ac:dyDescent="0.25">
      <c r="A16" s="2">
        <v>0.01</v>
      </c>
      <c r="B16" s="2">
        <v>5.2649999999999999E-5</v>
      </c>
      <c r="C16" s="2">
        <v>1.5540000000000001E-4</v>
      </c>
      <c r="D16" s="2">
        <v>-3.4969999999999999E-4</v>
      </c>
      <c r="E16" s="2">
        <v>0</v>
      </c>
      <c r="F16" s="2">
        <v>0</v>
      </c>
      <c r="G16" s="2">
        <v>0</v>
      </c>
      <c r="H16" s="2">
        <v>6.8719577999999998E-5</v>
      </c>
      <c r="I16" s="2">
        <v>1.555205E-5</v>
      </c>
      <c r="J16" s="2">
        <v>-1.6312436E-4</v>
      </c>
      <c r="K16" s="3"/>
      <c r="L16" s="3">
        <f t="shared" si="0"/>
        <v>0.15055762081784388</v>
      </c>
      <c r="M16" s="3"/>
      <c r="N16" s="2">
        <f>IF('Modell einstellen'!$B$1="Voll",H16/0.35,H16/0.35*2)</f>
        <v>1.9634165142857143E-4</v>
      </c>
      <c r="O16" s="2">
        <f>IF('Modell einstellen'!$B$1="Voll",J16/0.35,J16/0.35*2)</f>
        <v>-4.6606960000000004E-4</v>
      </c>
      <c r="P16" s="3">
        <f t="shared" si="1"/>
        <v>0.42127109648123673</v>
      </c>
      <c r="Q16" s="3"/>
      <c r="R16" s="3"/>
      <c r="S16" s="3"/>
      <c r="T16" s="3"/>
      <c r="U16" s="3"/>
      <c r="V16" s="3"/>
      <c r="W16" s="3"/>
    </row>
    <row r="17" spans="1:23" x14ac:dyDescent="0.25">
      <c r="A17" s="2">
        <v>0.1</v>
      </c>
      <c r="B17" s="2">
        <v>4.5779999999999999E-5</v>
      </c>
      <c r="C17" s="2">
        <v>1.6090000000000001E-4</v>
      </c>
      <c r="D17" s="2">
        <v>-3.502E-4</v>
      </c>
      <c r="E17" s="2">
        <v>0</v>
      </c>
      <c r="F17" s="2">
        <v>0</v>
      </c>
      <c r="G17" s="2">
        <v>0</v>
      </c>
      <c r="H17" s="2">
        <v>7.3311258999999998E-5</v>
      </c>
      <c r="I17" s="2">
        <v>1.6165339999999999E-5</v>
      </c>
      <c r="J17" s="2">
        <v>-1.7022768E-4</v>
      </c>
      <c r="K17" s="3"/>
      <c r="L17" s="3">
        <f t="shared" si="0"/>
        <v>0.13072529982866932</v>
      </c>
      <c r="M17" s="3"/>
      <c r="N17" s="2">
        <f>IF('Modell einstellen'!$B$1="Voll",H17/0.35,H17/0.35*2)</f>
        <v>2.0946074000000001E-4</v>
      </c>
      <c r="O17" s="2">
        <f>IF('Modell einstellen'!$B$1="Voll",J17/0.35,J17/0.35*2)</f>
        <v>-4.8636480000000004E-4</v>
      </c>
      <c r="P17" s="3">
        <f t="shared" si="1"/>
        <v>0.43066591167781881</v>
      </c>
      <c r="Q17" s="3"/>
      <c r="R17" s="3"/>
      <c r="S17" s="3"/>
      <c r="T17" s="3"/>
      <c r="U17" s="3"/>
      <c r="V17" s="3"/>
      <c r="W17" s="3"/>
    </row>
    <row r="18" spans="1:23" x14ac:dyDescent="0.25">
      <c r="A18" s="2">
        <v>1</v>
      </c>
      <c r="B18" s="2">
        <v>3.9020000000000002E-5</v>
      </c>
      <c r="C18" s="2">
        <v>1.6550000000000001E-4</v>
      </c>
      <c r="D18" s="2">
        <v>-3.4959999999999999E-4</v>
      </c>
      <c r="E18" s="2">
        <v>0</v>
      </c>
      <c r="F18" s="2">
        <v>0</v>
      </c>
      <c r="G18" s="2">
        <v>0</v>
      </c>
      <c r="H18" s="2">
        <v>7.7385435000000002E-5</v>
      </c>
      <c r="I18" s="2">
        <v>1.6674870999999999E-5</v>
      </c>
      <c r="J18" s="2">
        <v>-1.7638729E-4</v>
      </c>
      <c r="K18" s="3"/>
      <c r="L18" s="3">
        <f t="shared" si="0"/>
        <v>0.11161327231121283</v>
      </c>
      <c r="M18" s="3"/>
      <c r="N18" s="2">
        <f>IF('Modell einstellen'!$B$1="Voll",H18/0.35,H18/0.35*2)</f>
        <v>2.2110124285714287E-4</v>
      </c>
      <c r="O18" s="2">
        <f>IF('Modell einstellen'!$B$1="Voll",J18/0.35,J18/0.35*2)</f>
        <v>-5.0396368571428577E-4</v>
      </c>
      <c r="P18" s="3">
        <f t="shared" si="1"/>
        <v>0.43872455322602888</v>
      </c>
      <c r="Q18" s="3"/>
      <c r="R18" s="3"/>
      <c r="S18" s="3"/>
      <c r="T18" s="3"/>
      <c r="U18" s="3"/>
      <c r="V18" s="3"/>
      <c r="W18" s="3"/>
    </row>
    <row r="19" spans="1:23" x14ac:dyDescent="0.25">
      <c r="A19" s="2">
        <v>10</v>
      </c>
      <c r="B19" s="2">
        <v>3.0790000000000002E-5</v>
      </c>
      <c r="C19" s="2">
        <v>1.7029999999999999E-4</v>
      </c>
      <c r="D19" s="2">
        <v>-3.478E-4</v>
      </c>
      <c r="E19" s="2">
        <v>0</v>
      </c>
      <c r="F19" s="2">
        <v>0</v>
      </c>
      <c r="G19" s="2">
        <v>0</v>
      </c>
      <c r="H19" s="2">
        <v>8.1993997E-5</v>
      </c>
      <c r="I19" s="2">
        <v>1.7218456000000001E-5</v>
      </c>
      <c r="J19" s="2">
        <v>-1.8322050000000001E-4</v>
      </c>
      <c r="K19" s="3"/>
      <c r="L19" s="3">
        <f t="shared" si="0"/>
        <v>8.852788959171938E-2</v>
      </c>
      <c r="M19" s="3"/>
      <c r="N19" s="2">
        <f>IF('Modell einstellen'!$B$1="Voll",H19/0.35,H19/0.35*2)</f>
        <v>2.3426856285714288E-4</v>
      </c>
      <c r="O19" s="2">
        <f>IF('Modell einstellen'!$B$1="Voll",J19/0.35,J19/0.35*2)</f>
        <v>-5.2348714285714289E-4</v>
      </c>
      <c r="P19" s="3">
        <f t="shared" si="1"/>
        <v>0.44751540902901149</v>
      </c>
      <c r="Q19" s="3"/>
      <c r="R19" s="3"/>
      <c r="S19" s="3"/>
      <c r="T19" s="3"/>
      <c r="U19" s="3"/>
      <c r="V19" s="3"/>
      <c r="W19" s="3"/>
    </row>
    <row r="20" spans="1:23" x14ac:dyDescent="0.25">
      <c r="A20" s="2">
        <v>100</v>
      </c>
      <c r="B20" s="2">
        <v>2.1359999999999999E-5</v>
      </c>
      <c r="C20" s="2">
        <v>1.751E-4</v>
      </c>
      <c r="D20" s="2">
        <v>-3.4479999999999998E-4</v>
      </c>
      <c r="E20" s="2">
        <v>0</v>
      </c>
      <c r="F20" s="2">
        <v>0</v>
      </c>
      <c r="G20" s="2">
        <v>0</v>
      </c>
      <c r="H20" s="2">
        <v>8.6893910000000006E-5</v>
      </c>
      <c r="I20" s="2">
        <v>1.7759703E-5</v>
      </c>
      <c r="J20" s="2">
        <v>-1.9033369999999999E-4</v>
      </c>
      <c r="K20" s="3"/>
      <c r="L20" s="3">
        <f t="shared" si="0"/>
        <v>6.1948955916473321E-2</v>
      </c>
      <c r="M20" s="3"/>
      <c r="N20" s="2">
        <f>IF('Modell einstellen'!$B$1="Voll",H20/0.35,H20/0.35*2)</f>
        <v>2.4826831428571432E-4</v>
      </c>
      <c r="O20" s="2">
        <f>IF('Modell einstellen'!$B$1="Voll",J20/0.35,J20/0.35*2)</f>
        <v>-5.4381057142857138E-4</v>
      </c>
      <c r="P20" s="3">
        <f t="shared" si="1"/>
        <v>0.45653454958317952</v>
      </c>
      <c r="Q20" s="3"/>
      <c r="R20" s="3"/>
      <c r="S20" s="3"/>
      <c r="T20" s="3"/>
      <c r="U20" s="3"/>
      <c r="V20" s="3"/>
      <c r="W20" s="3"/>
    </row>
    <row r="21" spans="1:23" x14ac:dyDescent="0.25">
      <c r="A21" s="2">
        <v>1000</v>
      </c>
      <c r="B21" s="2">
        <v>9.6430000000000007E-6</v>
      </c>
      <c r="C21" s="2">
        <v>1.8029999999999999E-4</v>
      </c>
      <c r="D21" s="2">
        <v>-3.4000000000000002E-4</v>
      </c>
      <c r="E21" s="2">
        <v>0</v>
      </c>
      <c r="F21" s="2">
        <v>0</v>
      </c>
      <c r="G21" s="2">
        <v>0</v>
      </c>
      <c r="H21" s="2">
        <v>9.2655070000000005E-5</v>
      </c>
      <c r="I21" s="2">
        <v>1.8362973999999999E-5</v>
      </c>
      <c r="J21" s="2">
        <v>-1.9855219999999999E-4</v>
      </c>
      <c r="K21" s="3"/>
      <c r="L21" s="3">
        <f t="shared" si="0"/>
        <v>2.8361764705882354E-2</v>
      </c>
      <c r="M21" s="3"/>
      <c r="N21" s="2">
        <f>IF('Modell einstellen'!$B$1="Voll",H21/0.35,H21/0.35*2)</f>
        <v>2.6472877142857146E-4</v>
      </c>
      <c r="O21" s="2">
        <f>IF('Modell einstellen'!$B$1="Voll",J21/0.35,J21/0.35*2)</f>
        <v>-5.6729200000000006E-4</v>
      </c>
      <c r="P21" s="3">
        <f t="shared" si="1"/>
        <v>0.46665345435608369</v>
      </c>
      <c r="Q21" s="3"/>
      <c r="R21" s="3"/>
      <c r="S21" s="3"/>
      <c r="T21" s="3"/>
      <c r="U21" s="3"/>
      <c r="V21" s="3"/>
      <c r="W21" s="3"/>
    </row>
    <row r="22" spans="1:23" x14ac:dyDescent="0.25">
      <c r="A22" s="2">
        <v>10000</v>
      </c>
      <c r="B22" s="2">
        <v>-2.024E-6</v>
      </c>
      <c r="C22" s="2">
        <v>1.8650000000000001E-4</v>
      </c>
      <c r="D22" s="2">
        <v>-3.3599999999999998E-4</v>
      </c>
      <c r="E22" s="2">
        <v>0</v>
      </c>
      <c r="F22" s="2">
        <v>0</v>
      </c>
      <c r="G22" s="2">
        <v>0</v>
      </c>
      <c r="H22" s="2">
        <v>9.8784421000000007E-5</v>
      </c>
      <c r="I22" s="2">
        <v>1.9078819999999999E-5</v>
      </c>
      <c r="J22" s="2">
        <v>-2.0750219999999999E-4</v>
      </c>
      <c r="K22" s="3"/>
      <c r="L22" s="3">
        <f t="shared" si="0"/>
        <v>-6.0238095238095242E-3</v>
      </c>
      <c r="M22" s="3"/>
      <c r="N22" s="2">
        <f>IF('Modell einstellen'!$B$1="Voll",H22/0.35,H22/0.35*2)</f>
        <v>2.8224120285714289E-4</v>
      </c>
      <c r="O22" s="2">
        <f>IF('Modell einstellen'!$B$1="Voll",J22/0.35,J22/0.35*2)</f>
        <v>-5.9286342857142857E-4</v>
      </c>
      <c r="P22" s="3">
        <f t="shared" si="1"/>
        <v>0.47606445136485304</v>
      </c>
      <c r="Q22" s="3"/>
      <c r="R22" s="3"/>
      <c r="S22" s="3"/>
      <c r="T22" s="3"/>
      <c r="U22" s="3"/>
      <c r="V22" s="3"/>
      <c r="W22" s="3"/>
    </row>
    <row r="23" spans="1:23" x14ac:dyDescent="0.25">
      <c r="A23" s="2">
        <v>100000</v>
      </c>
      <c r="B23" s="2">
        <v>-9.7100000000000002E-6</v>
      </c>
      <c r="C23" s="2">
        <v>2.0259999999999999E-4</v>
      </c>
      <c r="D23" s="2">
        <v>-3.4519999999999999E-4</v>
      </c>
      <c r="E23" s="2">
        <v>0</v>
      </c>
      <c r="F23" s="2">
        <v>0</v>
      </c>
      <c r="G23" s="2">
        <v>0</v>
      </c>
      <c r="H23" s="2">
        <v>1.0832199E-4</v>
      </c>
      <c r="I23" s="2">
        <v>2.0974011999999999E-5</v>
      </c>
      <c r="J23" s="2">
        <v>-2.2397625999999999E-4</v>
      </c>
      <c r="K23" s="3"/>
      <c r="L23" s="3">
        <f t="shared" si="0"/>
        <v>-2.8128621089223638E-2</v>
      </c>
      <c r="M23" s="3"/>
      <c r="N23" s="2">
        <f>IF('Modell einstellen'!$B$1="Voll",H23/0.35,H23/0.35*2)</f>
        <v>3.0949140000000004E-4</v>
      </c>
      <c r="O23" s="2">
        <f>IF('Modell einstellen'!$B$1="Voll",J23/0.35,J23/0.35*2)</f>
        <v>-6.3993217142857149E-4</v>
      </c>
      <c r="P23" s="3">
        <f t="shared" si="1"/>
        <v>0.48363156881001584</v>
      </c>
      <c r="Q23" s="3"/>
      <c r="R23" s="3"/>
      <c r="S23" s="3"/>
      <c r="T23" s="3"/>
      <c r="U23" s="3"/>
      <c r="V23" s="3"/>
      <c r="W23" s="3"/>
    </row>
    <row r="24" spans="1:23" x14ac:dyDescent="0.25">
      <c r="A24" s="2">
        <v>1000000</v>
      </c>
      <c r="B24" s="2">
        <v>6.5039999999999999E-6</v>
      </c>
      <c r="C24" s="2">
        <v>2.4039999999999999E-4</v>
      </c>
      <c r="D24" s="2">
        <v>-3.9740000000000001E-4</v>
      </c>
      <c r="E24" s="2">
        <v>0</v>
      </c>
      <c r="F24" s="2">
        <v>0</v>
      </c>
      <c r="G24" s="2">
        <v>0</v>
      </c>
      <c r="H24" s="2">
        <v>1.2141908E-4</v>
      </c>
      <c r="I24" s="2">
        <v>2.5587073000000001E-5</v>
      </c>
      <c r="J24" s="2">
        <v>-2.5334648999999999E-4</v>
      </c>
      <c r="K24" s="3"/>
      <c r="L24" s="3">
        <f t="shared" si="0"/>
        <v>1.6366381479617512E-2</v>
      </c>
      <c r="M24" s="3"/>
      <c r="N24" s="2">
        <f>IF('Modell einstellen'!$B$1="Voll",H24/0.35,H24/0.35*2)</f>
        <v>3.4691165714285715E-4</v>
      </c>
      <c r="O24" s="2">
        <f>IF('Modell einstellen'!$B$1="Voll",J24/0.35,J24/0.35*2)</f>
        <v>-7.2384711428571426E-4</v>
      </c>
      <c r="P24" s="3">
        <f t="shared" si="1"/>
        <v>0.47926095206608155</v>
      </c>
      <c r="Q24" s="3"/>
      <c r="R24" s="3"/>
      <c r="S24" s="3"/>
      <c r="T24" s="3"/>
      <c r="U24" s="3"/>
      <c r="V24" s="3"/>
      <c r="W24" s="3"/>
    </row>
    <row r="25" spans="1:23" x14ac:dyDescent="0.25">
      <c r="A25" s="2">
        <v>10000000</v>
      </c>
      <c r="B25" s="2">
        <v>3.3130000000000003E-5</v>
      </c>
      <c r="C25" s="2">
        <v>2.9770000000000003E-4</v>
      </c>
      <c r="D25" s="2">
        <v>-4.7820000000000002E-4</v>
      </c>
      <c r="E25" s="2">
        <v>0</v>
      </c>
      <c r="F25" s="2">
        <v>0</v>
      </c>
      <c r="G25" s="2">
        <v>0</v>
      </c>
      <c r="H25" s="2">
        <v>1.3909516999999999E-4</v>
      </c>
      <c r="I25" s="2">
        <v>3.2867153000000001E-5</v>
      </c>
      <c r="J25" s="2">
        <v>-2.9675757999999999E-4</v>
      </c>
      <c r="K25" s="3"/>
      <c r="L25" s="3">
        <f t="shared" si="0"/>
        <v>6.9280635717273109E-2</v>
      </c>
      <c r="M25" s="3"/>
      <c r="N25" s="2">
        <f>IF('Modell einstellen'!$B$1="Voll",H25/0.35,H25/0.35*2)</f>
        <v>3.9741477142857143E-4</v>
      </c>
      <c r="O25" s="2">
        <f>IF('Modell einstellen'!$B$1="Voll",J25/0.35,J25/0.35*2)</f>
        <v>-8.4787879999999999E-4</v>
      </c>
      <c r="P25" s="3">
        <f t="shared" si="1"/>
        <v>0.46871648569178925</v>
      </c>
      <c r="Q25" s="3"/>
      <c r="R25" s="3"/>
      <c r="S25" s="3"/>
      <c r="T25" s="3"/>
      <c r="U25" s="3"/>
      <c r="V25" s="3"/>
      <c r="W25" s="3"/>
    </row>
    <row r="26" spans="1:23" x14ac:dyDescent="0.25">
      <c r="A26" s="2">
        <v>100000000</v>
      </c>
      <c r="B26" s="2">
        <v>5.0189999999999999E-5</v>
      </c>
      <c r="C26" s="2">
        <v>3.6509999999999998E-4</v>
      </c>
      <c r="D26" s="2">
        <v>-5.6050000000000002E-4</v>
      </c>
      <c r="E26" s="2">
        <v>0</v>
      </c>
      <c r="F26" s="2">
        <v>0</v>
      </c>
      <c r="G26" s="2">
        <v>0</v>
      </c>
      <c r="H26" s="2">
        <v>1.6150142000000001E-4</v>
      </c>
      <c r="I26" s="2">
        <v>4.1928621000000001E-5</v>
      </c>
      <c r="J26" s="2">
        <v>-3.5155298999999999E-4</v>
      </c>
      <c r="K26" s="3"/>
      <c r="L26" s="3">
        <f t="shared" si="0"/>
        <v>8.9545049063336296E-2</v>
      </c>
      <c r="M26" s="3"/>
      <c r="N26" s="2">
        <f>IF('Modell einstellen'!$B$1="Voll",H26/0.35,H26/0.35*2)</f>
        <v>4.6143262857142864E-4</v>
      </c>
      <c r="O26" s="2">
        <f>IF('Modell einstellen'!$B$1="Voll",J26/0.35,J26/0.35*2)</f>
        <v>-1.0044371142857143E-3</v>
      </c>
      <c r="P26" s="3">
        <f t="shared" si="1"/>
        <v>0.45939424380944682</v>
      </c>
      <c r="Q26" s="3"/>
      <c r="R26" s="3"/>
      <c r="S26" s="3"/>
      <c r="T26" s="3"/>
      <c r="U26" s="3"/>
      <c r="V26" s="3"/>
      <c r="W26" s="3"/>
    </row>
    <row r="27" spans="1:23" x14ac:dyDescent="0.25">
      <c r="A27" s="2">
        <v>1000000000</v>
      </c>
      <c r="B27" s="2">
        <v>3.5290000000000003E-5</v>
      </c>
      <c r="C27" s="2">
        <v>4.462E-4</v>
      </c>
      <c r="D27" s="2">
        <v>-6.2620000000000004E-4</v>
      </c>
      <c r="E27" s="2">
        <v>0</v>
      </c>
      <c r="F27" s="2">
        <v>0</v>
      </c>
      <c r="G27" s="2">
        <v>0</v>
      </c>
      <c r="H27" s="2">
        <v>1.9370490000000001E-4</v>
      </c>
      <c r="I27" s="2">
        <v>5.3553744000000002E-5</v>
      </c>
      <c r="J27" s="2">
        <v>-4.2583813999999998E-4</v>
      </c>
      <c r="K27" s="3"/>
      <c r="L27" s="3">
        <f t="shared" si="0"/>
        <v>5.6355796870009585E-2</v>
      </c>
      <c r="M27" s="3"/>
      <c r="N27" s="2">
        <f>IF('Modell einstellen'!$B$1="Voll",H27/0.35,H27/0.35*2)</f>
        <v>5.5344257142857147E-4</v>
      </c>
      <c r="O27" s="2">
        <f>IF('Modell einstellen'!$B$1="Voll",J27/0.35,J27/0.35*2)</f>
        <v>-1.2166804000000001E-3</v>
      </c>
      <c r="P27" s="3">
        <f t="shared" si="1"/>
        <v>0.45487917075722717</v>
      </c>
      <c r="Q27" s="3"/>
      <c r="R27" s="3"/>
      <c r="S27" s="3"/>
      <c r="T27" s="3"/>
      <c r="U27" s="3"/>
      <c r="V27" s="3"/>
      <c r="W27" s="3"/>
    </row>
    <row r="28" spans="1:23" x14ac:dyDescent="0.25">
      <c r="A28" s="2">
        <v>10000000000</v>
      </c>
      <c r="B28" s="2">
        <v>-3.9379999999999999E-5</v>
      </c>
      <c r="C28" s="2">
        <v>5.5259999999999999E-4</v>
      </c>
      <c r="D28" s="2">
        <v>-6.5919999999999998E-4</v>
      </c>
      <c r="E28" s="2">
        <v>0</v>
      </c>
      <c r="F28" s="2">
        <v>0</v>
      </c>
      <c r="G28" s="2">
        <v>0</v>
      </c>
      <c r="H28" s="2">
        <v>2.4296952999999999E-4</v>
      </c>
      <c r="I28" s="2">
        <v>6.9862142000000005E-5</v>
      </c>
      <c r="J28" s="2">
        <v>-5.3460002000000001E-4</v>
      </c>
      <c r="K28" s="3"/>
      <c r="L28" s="3">
        <f t="shared" si="0"/>
        <v>-5.9739077669902912E-2</v>
      </c>
      <c r="M28" s="3"/>
      <c r="N28" s="2">
        <f>IF('Modell einstellen'!$B$1="Voll",H28/0.35,H28/0.35*2)</f>
        <v>6.941986571428572E-4</v>
      </c>
      <c r="O28" s="2">
        <f>IF('Modell einstellen'!$B$1="Voll",J28/0.35,J28/0.35*2)</f>
        <v>-1.5274286285714288E-3</v>
      </c>
      <c r="P28" s="3">
        <f t="shared" si="1"/>
        <v>0.45448844165774627</v>
      </c>
      <c r="Q28" s="3"/>
      <c r="R28" s="3"/>
      <c r="S28" s="3"/>
      <c r="T28" s="3"/>
      <c r="U28" s="3"/>
      <c r="V28" s="3"/>
      <c r="W28" s="3"/>
    </row>
    <row r="29" spans="1:23" x14ac:dyDescent="0.25">
      <c r="A29" s="2">
        <v>100000000000</v>
      </c>
      <c r="B29" s="2">
        <v>-2.4560000000000001E-4</v>
      </c>
      <c r="C29" s="2">
        <v>7.1480000000000003E-4</v>
      </c>
      <c r="D29" s="2">
        <v>-6.177E-4</v>
      </c>
      <c r="E29" s="2">
        <v>0</v>
      </c>
      <c r="F29" s="2">
        <v>0</v>
      </c>
      <c r="G29" s="2">
        <v>0</v>
      </c>
      <c r="H29" s="2">
        <v>3.2802377E-4</v>
      </c>
      <c r="I29" s="2">
        <v>9.6225473000000002E-5</v>
      </c>
      <c r="J29" s="2">
        <v>-7.1610895000000002E-4</v>
      </c>
      <c r="K29" s="3"/>
      <c r="L29" s="3">
        <f t="shared" si="0"/>
        <v>-0.39760401489396147</v>
      </c>
      <c r="M29" s="3"/>
      <c r="N29" s="2">
        <f>IF('Modell einstellen'!$B$1="Voll",H29/0.35,H29/0.35*2)</f>
        <v>9.3721077142857147E-4</v>
      </c>
      <c r="O29" s="2">
        <f>IF('Modell einstellen'!$B$1="Voll",J29/0.35,J29/0.35*2)</f>
        <v>-2.0460255714285715E-3</v>
      </c>
      <c r="P29" s="3">
        <f t="shared" si="1"/>
        <v>0.45806405575576176</v>
      </c>
      <c r="Q29" s="3"/>
      <c r="R29" s="3"/>
      <c r="S29" s="3"/>
      <c r="T29" s="3"/>
      <c r="U29" s="3"/>
      <c r="V29" s="3"/>
      <c r="W29" s="3"/>
    </row>
    <row r="30" spans="1:23" x14ac:dyDescent="0.25">
      <c r="A30" s="2">
        <v>1000000000000</v>
      </c>
      <c r="B30" s="2">
        <v>-6.3159999999999996E-4</v>
      </c>
      <c r="C30" s="2">
        <v>9.4059999999999999E-4</v>
      </c>
      <c r="D30" s="2">
        <v>-4.5970000000000001E-4</v>
      </c>
      <c r="E30" s="2">
        <v>0</v>
      </c>
      <c r="F30" s="2">
        <v>0</v>
      </c>
      <c r="G30" s="2">
        <v>0</v>
      </c>
      <c r="H30" s="2">
        <v>4.5335333000000002E-4</v>
      </c>
      <c r="I30" s="2">
        <v>1.346307E-4</v>
      </c>
      <c r="J30" s="2">
        <v>-9.8177847000000006E-4</v>
      </c>
      <c r="K30" s="3"/>
      <c r="L30" s="3">
        <f t="shared" si="0"/>
        <v>-1.373939525777681</v>
      </c>
      <c r="M30" s="3"/>
      <c r="N30" s="2">
        <f>IF('Modell einstellen'!$B$1="Voll",H30/0.35,H30/0.35*2)</f>
        <v>1.2952952285714286E-3</v>
      </c>
      <c r="O30" s="2">
        <f>IF('Modell einstellen'!$B$1="Voll",J30/0.35,J30/0.35*2)</f>
        <v>-2.8050813428571434E-3</v>
      </c>
      <c r="P30" s="3">
        <f t="shared" si="1"/>
        <v>0.46176743924726721</v>
      </c>
      <c r="Q30" s="3"/>
      <c r="R30" s="3"/>
      <c r="S30" s="3"/>
      <c r="T30" s="3"/>
      <c r="U30" s="3"/>
      <c r="V30" s="3"/>
      <c r="W30" s="3"/>
    </row>
    <row r="31" spans="1:23" x14ac:dyDescent="0.25">
      <c r="A31" s="2">
        <v>10000000000000</v>
      </c>
      <c r="B31" s="2">
        <v>-1.2340000000000001E-3</v>
      </c>
      <c r="C31" s="2">
        <v>1.253E-3</v>
      </c>
      <c r="D31" s="2">
        <v>-1.7119999999999999E-4</v>
      </c>
      <c r="E31" s="2">
        <v>0</v>
      </c>
      <c r="F31" s="2">
        <v>0</v>
      </c>
      <c r="G31" s="2">
        <v>0</v>
      </c>
      <c r="H31" s="2">
        <v>6.3015230999999999E-4</v>
      </c>
      <c r="I31" s="2">
        <v>1.8928440000000001E-4</v>
      </c>
      <c r="J31" s="2">
        <v>-1.3578637E-3</v>
      </c>
      <c r="K31" s="3"/>
      <c r="L31" s="3">
        <f t="shared" si="0"/>
        <v>-7.2079439252336455</v>
      </c>
      <c r="M31" s="3"/>
      <c r="N31" s="2">
        <f>IF('Modell einstellen'!$B$1="Voll",H31/0.35,H31/0.35*2)</f>
        <v>1.8004351714285716E-3</v>
      </c>
      <c r="O31" s="2">
        <f>IF('Modell einstellen'!$B$1="Voll",J31/0.35,J31/0.35*2)</f>
        <v>-3.8796105714285715E-3</v>
      </c>
      <c r="P31" s="3">
        <f t="shared" si="1"/>
        <v>0.46407626185161299</v>
      </c>
      <c r="Q31" s="3"/>
      <c r="R31" s="3"/>
      <c r="S31" s="3"/>
      <c r="T31" s="3"/>
      <c r="U31" s="3"/>
      <c r="V31" s="3"/>
      <c r="W31" s="3"/>
    </row>
    <row r="32" spans="1:23" x14ac:dyDescent="0.25">
      <c r="A32" s="2">
        <v>100000000000000</v>
      </c>
      <c r="B32" s="2">
        <v>-1.799E-3</v>
      </c>
      <c r="C32" s="2">
        <v>1.5460000000000001E-3</v>
      </c>
      <c r="D32" s="2">
        <v>1.0009999999999999E-4</v>
      </c>
      <c r="E32" s="2">
        <v>0</v>
      </c>
      <c r="F32" s="2">
        <v>0</v>
      </c>
      <c r="G32" s="2">
        <v>0</v>
      </c>
      <c r="H32" s="2">
        <v>7.8882443000000005E-4</v>
      </c>
      <c r="I32" s="2">
        <v>2.4135300999999999E-4</v>
      </c>
      <c r="J32" s="2">
        <v>-1.7058563000000001E-3</v>
      </c>
      <c r="K32" s="3"/>
      <c r="L32" s="3">
        <f t="shared" si="0"/>
        <v>17.972027972027973</v>
      </c>
      <c r="M32" s="3"/>
      <c r="N32" s="2">
        <f>IF('Modell einstellen'!$B$1="Voll",H32/0.35,H32/0.35*2)</f>
        <v>2.2537840857142859E-3</v>
      </c>
      <c r="O32" s="2">
        <f>IF('Modell einstellen'!$B$1="Voll",J32/0.35,J32/0.35*2)</f>
        <v>-4.8738751428571434E-3</v>
      </c>
      <c r="P32" s="3">
        <f t="shared" si="1"/>
        <v>0.46242138332519567</v>
      </c>
      <c r="Q32" s="3"/>
      <c r="R32" s="3"/>
      <c r="S32" s="3"/>
      <c r="T32" s="3"/>
      <c r="U32" s="3"/>
      <c r="V32" s="3"/>
      <c r="W32" s="3"/>
    </row>
    <row r="33" spans="1:23" x14ac:dyDescent="0.25">
      <c r="A33" s="2">
        <v>1000000000000000</v>
      </c>
      <c r="B33" s="2">
        <v>-2.2659999999999998E-3</v>
      </c>
      <c r="C33" s="2">
        <v>1.794E-3</v>
      </c>
      <c r="D33" s="2">
        <v>3.19E-4</v>
      </c>
      <c r="E33" s="2">
        <v>0</v>
      </c>
      <c r="F33" s="2">
        <v>0</v>
      </c>
      <c r="G33" s="2">
        <v>0</v>
      </c>
      <c r="H33" s="2">
        <v>9.1961761000000002E-4</v>
      </c>
      <c r="I33" s="2">
        <v>2.8573801000000002E-4</v>
      </c>
      <c r="J33" s="2">
        <v>-1.9976743000000002E-3</v>
      </c>
      <c r="K33" s="3"/>
      <c r="L33" s="3">
        <f t="shared" si="0"/>
        <v>7.1034482758620685</v>
      </c>
      <c r="M33" s="3"/>
      <c r="N33" s="2">
        <f>IF('Modell einstellen'!$B$1="Voll",H33/0.35,H33/0.35*2)</f>
        <v>2.6274788857142861E-3</v>
      </c>
      <c r="O33" s="2">
        <f>IF('Modell einstellen'!$B$1="Voll",J33/0.35,J33/0.35*2)</f>
        <v>-5.7076408571428584E-3</v>
      </c>
      <c r="P33" s="3">
        <f t="shared" si="1"/>
        <v>0.46034411615547138</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7.47E-5</v>
      </c>
      <c r="C3" s="3">
        <v>1.155E-4</v>
      </c>
      <c r="D3" s="3">
        <v>-3.1819999999999998E-4</v>
      </c>
      <c r="E3" s="3">
        <v>0</v>
      </c>
      <c r="F3" s="3">
        <v>0</v>
      </c>
      <c r="G3" s="3">
        <v>0</v>
      </c>
      <c r="H3" s="3">
        <v>4.3394077000000002E-5</v>
      </c>
      <c r="I3" s="3">
        <v>1.1321793999999999E-5</v>
      </c>
      <c r="J3" s="3">
        <v>-1.2044262E-4</v>
      </c>
      <c r="L3" s="3">
        <f>-B3/D3</f>
        <v>0.23475801382778128</v>
      </c>
      <c r="M3" s="3"/>
      <c r="N3" s="2">
        <f>IF('Modell einstellen'!$B$1="Voll",H3/0.35,H3/0.35*2)</f>
        <v>1.2398307714285716E-4</v>
      </c>
      <c r="O3" s="2">
        <f>IF('Modell einstellen'!$B$1="Voll",J3/0.35,J3/0.35*2)</f>
        <v>-3.4412177142857143E-4</v>
      </c>
      <c r="P3" s="3">
        <f>-N3/O3</f>
        <v>0.36028838462663804</v>
      </c>
    </row>
    <row r="4" spans="1:16" x14ac:dyDescent="0.25">
      <c r="A4" s="3">
        <v>1E-14</v>
      </c>
      <c r="B4" s="3">
        <v>7.4670000000000002E-5</v>
      </c>
      <c r="C4" s="3">
        <v>1.193E-4</v>
      </c>
      <c r="D4" s="3">
        <v>-3.2309999999999999E-4</v>
      </c>
      <c r="E4" s="3">
        <v>0</v>
      </c>
      <c r="F4" s="3">
        <v>0</v>
      </c>
      <c r="G4" s="3">
        <v>0</v>
      </c>
      <c r="H4" s="3">
        <v>4.5301154E-5</v>
      </c>
      <c r="I4" s="3">
        <v>1.1711282E-5</v>
      </c>
      <c r="J4" s="3">
        <v>-1.2393844000000001E-4</v>
      </c>
      <c r="L4" s="3">
        <f t="shared" ref="L4:L33" si="0">-B4/D4</f>
        <v>0.23110492107706593</v>
      </c>
      <c r="M4" s="3"/>
      <c r="N4" s="2">
        <f>IF('Modell einstellen'!$B$1="Voll",H4/0.35,H4/0.35*2)</f>
        <v>1.2943186857142857E-4</v>
      </c>
      <c r="O4" s="2">
        <f>IF('Modell einstellen'!$B$1="Voll",J4/0.35,J4/0.35*2)</f>
        <v>-3.5410982857142861E-4</v>
      </c>
      <c r="P4" s="3">
        <f t="shared" ref="P4:P33" si="1">-N4/O4</f>
        <v>0.36551334678732439</v>
      </c>
    </row>
    <row r="5" spans="1:16" x14ac:dyDescent="0.25">
      <c r="A5" s="3">
        <v>1E-13</v>
      </c>
      <c r="B5" s="3">
        <v>7.4499999999999995E-5</v>
      </c>
      <c r="C5" s="3">
        <v>1.215E-4</v>
      </c>
      <c r="D5" s="3">
        <v>-3.2590000000000001E-4</v>
      </c>
      <c r="E5" s="3">
        <v>0</v>
      </c>
      <c r="F5" s="3">
        <v>0</v>
      </c>
      <c r="G5" s="3">
        <v>0</v>
      </c>
      <c r="H5" s="3">
        <v>4.6462787999999999E-5</v>
      </c>
      <c r="I5" s="3">
        <v>1.1943261E-5</v>
      </c>
      <c r="J5" s="3">
        <v>-1.2604898000000001E-4</v>
      </c>
      <c r="L5" s="3">
        <f t="shared" si="0"/>
        <v>0.22859772936483583</v>
      </c>
      <c r="M5" s="3"/>
      <c r="N5" s="2">
        <f>IF('Modell einstellen'!$B$1="Voll",H5/0.35,H5/0.35*2)</f>
        <v>1.3275082285714286E-4</v>
      </c>
      <c r="O5" s="2">
        <f>IF('Modell einstellen'!$B$1="Voll",J5/0.35,J5/0.35*2)</f>
        <v>-3.6013994285714293E-4</v>
      </c>
      <c r="P5" s="3">
        <f t="shared" si="1"/>
        <v>0.36860899628065208</v>
      </c>
    </row>
    <row r="6" spans="1:16" x14ac:dyDescent="0.25">
      <c r="A6" s="3">
        <v>9.9999999999999998E-13</v>
      </c>
      <c r="B6" s="3">
        <v>7.4229999999999999E-5</v>
      </c>
      <c r="C6" s="3">
        <v>1.238E-4</v>
      </c>
      <c r="D6" s="3">
        <v>-3.2870000000000002E-4</v>
      </c>
      <c r="E6" s="3">
        <v>0</v>
      </c>
      <c r="F6" s="3">
        <v>0</v>
      </c>
      <c r="G6" s="3">
        <v>0</v>
      </c>
      <c r="H6" s="3">
        <v>4.7689698E-5</v>
      </c>
      <c r="I6" s="3">
        <v>1.2184569E-5</v>
      </c>
      <c r="J6" s="3">
        <v>-1.2826316E-4</v>
      </c>
      <c r="L6" s="3">
        <f t="shared" si="0"/>
        <v>0.22582902342561606</v>
      </c>
      <c r="M6" s="3"/>
      <c r="N6" s="2">
        <f>IF('Modell einstellen'!$B$1="Voll",H6/0.35,H6/0.35*2)</f>
        <v>1.3625628000000001E-4</v>
      </c>
      <c r="O6" s="2">
        <f>IF('Modell einstellen'!$B$1="Voll",J6/0.35,J6/0.35*2)</f>
        <v>-3.6646617142857145E-4</v>
      </c>
      <c r="P6" s="3">
        <f t="shared" si="1"/>
        <v>0.37181134473842686</v>
      </c>
    </row>
    <row r="7" spans="1:16" x14ac:dyDescent="0.25">
      <c r="A7" s="3">
        <v>9.9999999999999994E-12</v>
      </c>
      <c r="B7" s="3">
        <v>7.3800000000000005E-5</v>
      </c>
      <c r="C7" s="3">
        <v>1.2630000000000001E-4</v>
      </c>
      <c r="D7" s="3">
        <v>-3.3159999999999998E-4</v>
      </c>
      <c r="E7" s="3">
        <v>0</v>
      </c>
      <c r="F7" s="3">
        <v>0</v>
      </c>
      <c r="G7" s="3">
        <v>0</v>
      </c>
      <c r="H7" s="3">
        <v>4.9066582E-5</v>
      </c>
      <c r="I7" s="3">
        <v>1.2450559E-5</v>
      </c>
      <c r="J7" s="3">
        <v>-1.3072781000000001E-4</v>
      </c>
      <c r="L7" s="3">
        <f t="shared" si="0"/>
        <v>0.22255729794933657</v>
      </c>
      <c r="M7" s="3"/>
      <c r="N7" s="2">
        <f>IF('Modell einstellen'!$B$1="Voll",H7/0.35,H7/0.35*2)</f>
        <v>1.4019023428571428E-4</v>
      </c>
      <c r="O7" s="2">
        <f>IF('Modell einstellen'!$B$1="Voll",J7/0.35,J7/0.35*2)</f>
        <v>-3.7350802857142863E-4</v>
      </c>
      <c r="P7" s="3">
        <f t="shared" si="1"/>
        <v>0.3753339247402675</v>
      </c>
    </row>
    <row r="8" spans="1:16" x14ac:dyDescent="0.25">
      <c r="A8" s="3">
        <v>1E-10</v>
      </c>
      <c r="B8" s="3">
        <v>7.3150000000000003E-5</v>
      </c>
      <c r="C8" s="3">
        <v>1.292E-4</v>
      </c>
      <c r="D8" s="3">
        <v>-3.347E-4</v>
      </c>
      <c r="E8" s="3">
        <v>0</v>
      </c>
      <c r="F8" s="3">
        <v>0</v>
      </c>
      <c r="G8" s="3">
        <v>0</v>
      </c>
      <c r="H8" s="3">
        <v>5.0670066000000002E-5</v>
      </c>
      <c r="I8" s="3">
        <v>1.2754015E-5</v>
      </c>
      <c r="J8" s="3">
        <v>-1.3357174E-4</v>
      </c>
      <c r="L8" s="3">
        <f t="shared" si="0"/>
        <v>0.21855392889154468</v>
      </c>
      <c r="M8" s="3"/>
      <c r="N8" s="2">
        <f>IF('Modell einstellen'!$B$1="Voll",H8/0.35,H8/0.35*2)</f>
        <v>1.4477161714285716E-4</v>
      </c>
      <c r="O8" s="2">
        <f>IF('Modell einstellen'!$B$1="Voll",J8/0.35,J8/0.35*2)</f>
        <v>-3.8163354285714285E-4</v>
      </c>
      <c r="P8" s="3">
        <f t="shared" si="1"/>
        <v>0.37934720323325882</v>
      </c>
    </row>
    <row r="9" spans="1:16" x14ac:dyDescent="0.25">
      <c r="A9" s="3">
        <v>1.0000000000000001E-9</v>
      </c>
      <c r="B9" s="3">
        <v>7.2180000000000003E-5</v>
      </c>
      <c r="C9" s="3">
        <v>1.325E-4</v>
      </c>
      <c r="D9" s="3">
        <v>-3.3799999999999998E-4</v>
      </c>
      <c r="E9" s="3">
        <v>0</v>
      </c>
      <c r="F9" s="3">
        <v>0</v>
      </c>
      <c r="G9" s="3">
        <v>0</v>
      </c>
      <c r="H9" s="3">
        <v>5.2523203E-5</v>
      </c>
      <c r="I9" s="3">
        <v>1.3095743999999999E-5</v>
      </c>
      <c r="J9" s="3">
        <v>-1.3682112000000001E-4</v>
      </c>
      <c r="L9" s="3">
        <f t="shared" si="0"/>
        <v>0.21355029585798818</v>
      </c>
      <c r="M9" s="3"/>
      <c r="N9" s="2">
        <f>IF('Modell einstellen'!$B$1="Voll",H9/0.35,H9/0.35*2)</f>
        <v>1.5006629428571428E-4</v>
      </c>
      <c r="O9" s="2">
        <f>IF('Modell einstellen'!$B$1="Voll",J9/0.35,J9/0.35*2)</f>
        <v>-3.9091748571428575E-4</v>
      </c>
      <c r="P9" s="3">
        <f t="shared" si="1"/>
        <v>0.38388227636201189</v>
      </c>
    </row>
    <row r="10" spans="1:16" x14ac:dyDescent="0.25">
      <c r="A10" s="3">
        <v>1E-8</v>
      </c>
      <c r="B10" s="3">
        <v>7.0809999999999995E-5</v>
      </c>
      <c r="C10" s="3">
        <v>1.361E-4</v>
      </c>
      <c r="D10" s="3">
        <v>-3.4150000000000001E-4</v>
      </c>
      <c r="E10" s="3">
        <v>0</v>
      </c>
      <c r="F10" s="3">
        <v>0</v>
      </c>
      <c r="G10" s="3">
        <v>0</v>
      </c>
      <c r="H10" s="3">
        <v>5.4688977000000001E-5</v>
      </c>
      <c r="I10" s="3">
        <v>1.3483579999999999E-5</v>
      </c>
      <c r="J10" s="3">
        <v>-1.4057086E-4</v>
      </c>
      <c r="L10" s="3">
        <f t="shared" si="0"/>
        <v>0.20734992679355782</v>
      </c>
      <c r="M10" s="3"/>
      <c r="N10" s="2">
        <f>IF('Modell einstellen'!$B$1="Voll",H10/0.35,H10/0.35*2)</f>
        <v>1.5625422000000003E-4</v>
      </c>
      <c r="O10" s="2">
        <f>IF('Modell einstellen'!$B$1="Voll",J10/0.35,J10/0.35*2)</f>
        <v>-4.0163102857142859E-4</v>
      </c>
      <c r="P10" s="3">
        <f t="shared" si="1"/>
        <v>0.38904917420296076</v>
      </c>
    </row>
    <row r="11" spans="1:16" x14ac:dyDescent="0.25">
      <c r="A11" s="3">
        <v>9.9999999999999995E-8</v>
      </c>
      <c r="B11" s="3">
        <v>6.8990000000000002E-5</v>
      </c>
      <c r="C11" s="3">
        <v>1.3990000000000001E-4</v>
      </c>
      <c r="D11" s="3">
        <v>-3.4469999999999998E-4</v>
      </c>
      <c r="E11" s="3">
        <v>0</v>
      </c>
      <c r="F11" s="3">
        <v>0</v>
      </c>
      <c r="G11" s="3">
        <v>0</v>
      </c>
      <c r="H11" s="3">
        <v>5.7045327999999997E-5</v>
      </c>
      <c r="I11" s="3">
        <v>1.3890575E-5</v>
      </c>
      <c r="J11" s="3">
        <v>-1.4458858999999999E-4</v>
      </c>
      <c r="L11" s="3">
        <f t="shared" si="0"/>
        <v>0.20014505366985785</v>
      </c>
      <c r="M11" s="3"/>
      <c r="N11" s="2">
        <f>IF('Modell einstellen'!$B$1="Voll",H11/0.35,H11/0.35*2)</f>
        <v>1.6298665142857143E-4</v>
      </c>
      <c r="O11" s="2">
        <f>IF('Modell einstellen'!$B$1="Voll",J11/0.35,J11/0.35*2)</f>
        <v>-4.1311025714285714E-4</v>
      </c>
      <c r="P11" s="3">
        <f t="shared" si="1"/>
        <v>0.39453547475634143</v>
      </c>
    </row>
    <row r="12" spans="1:16" x14ac:dyDescent="0.25">
      <c r="A12" s="3">
        <v>9.9999999999999995E-7</v>
      </c>
      <c r="B12" s="3">
        <v>6.6849999999999999E-5</v>
      </c>
      <c r="C12" s="3">
        <v>1.437E-4</v>
      </c>
      <c r="D12" s="3">
        <v>-3.4749999999999999E-4</v>
      </c>
      <c r="E12" s="3">
        <v>0</v>
      </c>
      <c r="F12" s="3">
        <v>0</v>
      </c>
      <c r="G12" s="3">
        <v>0</v>
      </c>
      <c r="H12" s="3">
        <v>5.9432204000000001E-5</v>
      </c>
      <c r="I12" s="3">
        <v>1.4288479E-5</v>
      </c>
      <c r="J12" s="3">
        <v>-1.4859901999999999E-4</v>
      </c>
      <c r="L12" s="3">
        <f t="shared" si="0"/>
        <v>0.19237410071942446</v>
      </c>
      <c r="M12" s="3"/>
      <c r="N12" s="2">
        <f>IF('Modell einstellen'!$B$1="Voll",H12/0.35,H12/0.35*2)</f>
        <v>1.6980629714285716E-4</v>
      </c>
      <c r="O12" s="2">
        <f>IF('Modell einstellen'!$B$1="Voll",J12/0.35,J12/0.35*2)</f>
        <v>-4.2456862857142858E-4</v>
      </c>
      <c r="P12" s="3">
        <f t="shared" si="1"/>
        <v>0.39995017463776011</v>
      </c>
    </row>
    <row r="13" spans="1:16" x14ac:dyDescent="0.25">
      <c r="A13" s="3">
        <v>1.0000000000000001E-5</v>
      </c>
      <c r="B13" s="3">
        <v>6.3819999999999995E-5</v>
      </c>
      <c r="C13" s="3">
        <v>1.4809999999999999E-4</v>
      </c>
      <c r="D13" s="3">
        <v>-3.503E-4</v>
      </c>
      <c r="E13" s="3">
        <v>0</v>
      </c>
      <c r="F13" s="3">
        <v>0</v>
      </c>
      <c r="G13" s="3">
        <v>0</v>
      </c>
      <c r="H13" s="3">
        <v>6.2405935000000001E-5</v>
      </c>
      <c r="I13" s="3">
        <v>1.4765196E-5</v>
      </c>
      <c r="J13" s="3">
        <v>-1.5351764999999999E-4</v>
      </c>
      <c r="L13" s="3">
        <f t="shared" si="0"/>
        <v>0.18218669711675706</v>
      </c>
      <c r="M13" s="3"/>
      <c r="N13" s="2">
        <f>IF('Modell einstellen'!$B$1="Voll",H13/0.35,H13/0.35*2)</f>
        <v>1.7830267142857143E-4</v>
      </c>
      <c r="O13" s="2">
        <f>IF('Modell einstellen'!$B$1="Voll",J13/0.35,J13/0.35*2)</f>
        <v>-4.3862185714285717E-4</v>
      </c>
      <c r="P13" s="3">
        <f t="shared" si="1"/>
        <v>0.40650658083940183</v>
      </c>
    </row>
    <row r="14" spans="1:16" x14ac:dyDescent="0.25">
      <c r="A14" s="3">
        <v>1E-4</v>
      </c>
      <c r="B14" s="3">
        <v>5.923E-5</v>
      </c>
      <c r="C14" s="3">
        <v>1.5349999999999999E-4</v>
      </c>
      <c r="D14" s="3">
        <v>-3.5290000000000001E-4</v>
      </c>
      <c r="E14" s="3">
        <v>0</v>
      </c>
      <c r="F14" s="3">
        <v>0</v>
      </c>
      <c r="G14" s="3">
        <v>0</v>
      </c>
      <c r="H14" s="3">
        <v>6.6305087999999997E-5</v>
      </c>
      <c r="I14" s="3">
        <v>1.5358702000000001E-5</v>
      </c>
      <c r="J14" s="3">
        <v>-1.5983731999999999E-4</v>
      </c>
      <c r="L14" s="3">
        <f t="shared" si="0"/>
        <v>0.16783791442334939</v>
      </c>
      <c r="M14" s="3"/>
      <c r="N14" s="2">
        <f>IF('Modell einstellen'!$B$1="Voll",H14/0.35,H14/0.35*2)</f>
        <v>1.8944310857142856E-4</v>
      </c>
      <c r="O14" s="2">
        <f>IF('Modell einstellen'!$B$1="Voll",J14/0.35,J14/0.35*2)</f>
        <v>-4.5667805714285714E-4</v>
      </c>
      <c r="P14" s="3">
        <f t="shared" si="1"/>
        <v>0.41482857695561959</v>
      </c>
    </row>
    <row r="15" spans="1:16" x14ac:dyDescent="0.25">
      <c r="A15" s="3">
        <v>1E-3</v>
      </c>
      <c r="B15" s="3">
        <v>5.3029999999999999E-5</v>
      </c>
      <c r="C15" s="3">
        <v>1.594E-4</v>
      </c>
      <c r="D15" s="3">
        <v>-3.545E-4</v>
      </c>
      <c r="E15" s="3">
        <v>0</v>
      </c>
      <c r="F15" s="3">
        <v>0</v>
      </c>
      <c r="G15" s="3">
        <v>0</v>
      </c>
      <c r="H15" s="3">
        <v>7.0851390000000003E-5</v>
      </c>
      <c r="I15" s="3">
        <v>1.6007157000000001E-5</v>
      </c>
      <c r="J15" s="3">
        <v>-1.6702669999999999E-4</v>
      </c>
      <c r="L15" s="3">
        <f t="shared" si="0"/>
        <v>0.14959097320169251</v>
      </c>
      <c r="M15" s="3"/>
      <c r="N15" s="2">
        <f>IF('Modell einstellen'!$B$1="Voll",H15/0.35,H15/0.35*2)</f>
        <v>2.0243254285714287E-4</v>
      </c>
      <c r="O15" s="2">
        <f>IF('Modell einstellen'!$B$1="Voll",J15/0.35,J15/0.35*2)</f>
        <v>-4.7721914285714286E-4</v>
      </c>
      <c r="P15" s="3">
        <f t="shared" si="1"/>
        <v>0.42419200044064814</v>
      </c>
    </row>
    <row r="16" spans="1:16" x14ac:dyDescent="0.25">
      <c r="A16" s="3">
        <v>0.01</v>
      </c>
      <c r="B16" s="3">
        <v>4.6300000000000001E-5</v>
      </c>
      <c r="C16" s="3">
        <v>1.6459999999999999E-4</v>
      </c>
      <c r="D16" s="3">
        <v>-3.547E-4</v>
      </c>
      <c r="E16" s="3">
        <v>0</v>
      </c>
      <c r="F16" s="3">
        <v>0</v>
      </c>
      <c r="G16" s="3">
        <v>0</v>
      </c>
      <c r="H16" s="3">
        <v>7.5208651000000003E-5</v>
      </c>
      <c r="I16" s="3">
        <v>1.6587098E-5</v>
      </c>
      <c r="J16" s="3">
        <v>-1.7374622999999999E-4</v>
      </c>
      <c r="L16" s="3">
        <f t="shared" si="0"/>
        <v>0.13053284465745701</v>
      </c>
      <c r="M16" s="3"/>
      <c r="N16" s="2">
        <f>IF('Modell einstellen'!$B$1="Voll",H16/0.35,H16/0.35*2)</f>
        <v>2.1488186000000002E-4</v>
      </c>
      <c r="O16" s="2">
        <f>IF('Modell einstellen'!$B$1="Voll",J16/0.35,J16/0.35*2)</f>
        <v>-4.9641780000000003E-4</v>
      </c>
      <c r="P16" s="3">
        <f t="shared" si="1"/>
        <v>0.43286493755864519</v>
      </c>
    </row>
    <row r="17" spans="1:16" x14ac:dyDescent="0.25">
      <c r="A17" s="3">
        <v>0.1</v>
      </c>
      <c r="B17" s="3">
        <v>3.913E-5</v>
      </c>
      <c r="C17" s="3">
        <v>1.694E-4</v>
      </c>
      <c r="D17" s="3">
        <v>-3.5389999999999998E-4</v>
      </c>
      <c r="E17" s="3">
        <v>0</v>
      </c>
      <c r="F17" s="3">
        <v>0</v>
      </c>
      <c r="G17" s="3">
        <v>0</v>
      </c>
      <c r="H17" s="3">
        <v>7.9459094999999999E-5</v>
      </c>
      <c r="I17" s="3">
        <v>1.7120561E-5</v>
      </c>
      <c r="J17" s="3">
        <v>-1.8016892000000001E-4</v>
      </c>
      <c r="L17" s="3">
        <f t="shared" si="0"/>
        <v>0.11056795705001413</v>
      </c>
      <c r="M17" s="3"/>
      <c r="N17" s="2">
        <f>IF('Modell einstellen'!$B$1="Voll",H17/0.35,H17/0.35*2)</f>
        <v>2.2702598571428572E-4</v>
      </c>
      <c r="O17" s="2">
        <f>IF('Modell einstellen'!$B$1="Voll",J17/0.35,J17/0.35*2)</f>
        <v>-5.1476834285714293E-4</v>
      </c>
      <c r="P17" s="3">
        <f t="shared" si="1"/>
        <v>0.44102553870001548</v>
      </c>
    </row>
    <row r="18" spans="1:16" x14ac:dyDescent="0.25">
      <c r="A18" s="3">
        <v>1</v>
      </c>
      <c r="B18" s="3">
        <v>3.0559999999999999E-5</v>
      </c>
      <c r="C18" s="3">
        <v>1.7430000000000001E-4</v>
      </c>
      <c r="D18" s="3">
        <v>-3.5179999999999999E-4</v>
      </c>
      <c r="E18" s="3">
        <v>0</v>
      </c>
      <c r="F18" s="3">
        <v>0</v>
      </c>
      <c r="G18" s="3">
        <v>0</v>
      </c>
      <c r="H18" s="3">
        <v>8.4153832999999997E-5</v>
      </c>
      <c r="I18" s="3">
        <v>1.7674024999999999E-5</v>
      </c>
      <c r="J18" s="3">
        <v>-1.8711649E-4</v>
      </c>
      <c r="L18" s="3">
        <f t="shared" si="0"/>
        <v>8.6867538374076181E-2</v>
      </c>
      <c r="M18" s="3"/>
      <c r="N18" s="2">
        <f>IF('Modell einstellen'!$B$1="Voll",H18/0.35,H18/0.35*2)</f>
        <v>2.4043952285714287E-4</v>
      </c>
      <c r="O18" s="2">
        <f>IF('Modell einstellen'!$B$1="Voll",J18/0.35,J18/0.35*2)</f>
        <v>-5.3461854285714286E-4</v>
      </c>
      <c r="P18" s="3">
        <f t="shared" si="1"/>
        <v>0.4497403355524679</v>
      </c>
    </row>
    <row r="19" spans="1:16" x14ac:dyDescent="0.25">
      <c r="A19" s="3">
        <v>10</v>
      </c>
      <c r="B19" s="3">
        <v>2.031E-5</v>
      </c>
      <c r="C19" s="3">
        <v>1.794E-4</v>
      </c>
      <c r="D19" s="3">
        <v>-3.4830000000000001E-4</v>
      </c>
      <c r="E19" s="3">
        <v>0</v>
      </c>
      <c r="F19" s="3">
        <v>0</v>
      </c>
      <c r="G19" s="3">
        <v>0</v>
      </c>
      <c r="H19" s="3">
        <v>8.9419877999999994E-5</v>
      </c>
      <c r="I19" s="3">
        <v>1.8260159999999999E-5</v>
      </c>
      <c r="J19" s="3">
        <v>-1.9476327000000001E-4</v>
      </c>
      <c r="L19" s="3">
        <f t="shared" si="0"/>
        <v>5.8311800172265289E-2</v>
      </c>
      <c r="M19" s="3"/>
      <c r="N19" s="2">
        <f>IF('Modell einstellen'!$B$1="Voll",H19/0.35,H19/0.35*2)</f>
        <v>2.5548536571428569E-4</v>
      </c>
      <c r="O19" s="2">
        <f>IF('Modell einstellen'!$B$1="Voll",J19/0.35,J19/0.35*2)</f>
        <v>-5.5646648571428578E-4</v>
      </c>
      <c r="P19" s="3">
        <f t="shared" si="1"/>
        <v>0.45912084963453315</v>
      </c>
    </row>
    <row r="20" spans="1:16" x14ac:dyDescent="0.25">
      <c r="A20" s="3">
        <v>100</v>
      </c>
      <c r="B20" s="3">
        <v>9.0019999999999995E-6</v>
      </c>
      <c r="C20" s="3">
        <v>1.851E-4</v>
      </c>
      <c r="D20" s="3">
        <v>-3.4430000000000002E-4</v>
      </c>
      <c r="E20" s="3">
        <v>0</v>
      </c>
      <c r="F20" s="3">
        <v>0</v>
      </c>
      <c r="G20" s="3">
        <v>0</v>
      </c>
      <c r="H20" s="3">
        <v>9.5218500000000003E-5</v>
      </c>
      <c r="I20" s="3">
        <v>1.8918863000000002E-5</v>
      </c>
      <c r="J20" s="3">
        <v>-2.0318948E-4</v>
      </c>
      <c r="L20" s="3">
        <f t="shared" si="0"/>
        <v>2.6145803078710422E-2</v>
      </c>
      <c r="M20" s="3"/>
      <c r="N20" s="2">
        <f>IF('Modell einstellen'!$B$1="Voll",H20/0.35,H20/0.35*2)</f>
        <v>2.7205285714285718E-4</v>
      </c>
      <c r="O20" s="2">
        <f>IF('Modell einstellen'!$B$1="Voll",J20/0.35,J20/0.35*2)</f>
        <v>-5.8054137142857145E-4</v>
      </c>
      <c r="P20" s="3">
        <f t="shared" si="1"/>
        <v>0.46861924150797574</v>
      </c>
    </row>
    <row r="21" spans="1:16" x14ac:dyDescent="0.25">
      <c r="A21" s="3">
        <v>1000</v>
      </c>
      <c r="B21" s="3">
        <v>6.7159999999999995E-7</v>
      </c>
      <c r="C21" s="3">
        <v>1.964E-4</v>
      </c>
      <c r="D21" s="3">
        <v>-3.4840000000000001E-4</v>
      </c>
      <c r="E21" s="3">
        <v>0</v>
      </c>
      <c r="F21" s="3">
        <v>0</v>
      </c>
      <c r="G21" s="3">
        <v>0</v>
      </c>
      <c r="H21" s="3">
        <v>1.0273017E-4</v>
      </c>
      <c r="I21" s="3">
        <v>2.0241729999999998E-5</v>
      </c>
      <c r="J21" s="3">
        <v>-2.1561719000000001E-4</v>
      </c>
      <c r="L21" s="3">
        <f t="shared" si="0"/>
        <v>1.9276693455797932E-3</v>
      </c>
      <c r="M21" s="3"/>
      <c r="N21" s="2">
        <f>IF('Modell einstellen'!$B$1="Voll",H21/0.35,H21/0.35*2)</f>
        <v>2.9351477142857145E-4</v>
      </c>
      <c r="O21" s="2">
        <f>IF('Modell einstellen'!$B$1="Voll",J21/0.35,J21/0.35*2)</f>
        <v>-6.1604911428571438E-4</v>
      </c>
      <c r="P21" s="3">
        <f t="shared" si="1"/>
        <v>0.47644703096260549</v>
      </c>
    </row>
    <row r="22" spans="1:16" x14ac:dyDescent="0.25">
      <c r="A22" s="3">
        <v>10000</v>
      </c>
      <c r="B22" s="3">
        <v>1.084E-5</v>
      </c>
      <c r="C22" s="3">
        <v>2.2670000000000001E-4</v>
      </c>
      <c r="D22" s="3">
        <v>-3.8779999999999999E-4</v>
      </c>
      <c r="E22" s="3">
        <v>0</v>
      </c>
      <c r="F22" s="3">
        <v>0</v>
      </c>
      <c r="G22" s="3">
        <v>0</v>
      </c>
      <c r="H22" s="3">
        <v>1.1420923000000001E-4</v>
      </c>
      <c r="I22" s="3">
        <v>2.3899352999999998E-5</v>
      </c>
      <c r="J22" s="3">
        <v>-2.4003832999999999E-4</v>
      </c>
      <c r="L22" s="3">
        <f t="shared" si="0"/>
        <v>2.7952552862300153E-2</v>
      </c>
      <c r="M22" s="3"/>
      <c r="N22" s="2">
        <f>IF('Modell einstellen'!$B$1="Voll",H22/0.35,H22/0.35*2)</f>
        <v>3.2631208571428576E-4</v>
      </c>
      <c r="O22" s="2">
        <f>IF('Modell einstellen'!$B$1="Voll",J22/0.35,J22/0.35*2)</f>
        <v>-6.8582380000000007E-4</v>
      </c>
      <c r="P22" s="3">
        <f t="shared" si="1"/>
        <v>0.47579580311194469</v>
      </c>
    </row>
    <row r="23" spans="1:16" x14ac:dyDescent="0.25">
      <c r="A23" s="3">
        <v>100000</v>
      </c>
      <c r="B23" s="3">
        <v>3.913E-5</v>
      </c>
      <c r="C23" s="3">
        <v>2.7730000000000002E-4</v>
      </c>
      <c r="D23" s="3">
        <v>-4.6349999999999999E-4</v>
      </c>
      <c r="E23" s="3">
        <v>0</v>
      </c>
      <c r="F23" s="3">
        <v>0</v>
      </c>
      <c r="G23" s="3">
        <v>0</v>
      </c>
      <c r="H23" s="3">
        <v>1.2930864000000001E-4</v>
      </c>
      <c r="I23" s="3">
        <v>3.0228846E-5</v>
      </c>
      <c r="J23" s="3">
        <v>-2.7740129999999998E-4</v>
      </c>
      <c r="L23" s="3">
        <f t="shared" si="0"/>
        <v>8.4422869471413156E-2</v>
      </c>
      <c r="M23" s="3"/>
      <c r="N23" s="2">
        <f>IF('Modell einstellen'!$B$1="Voll",H23/0.35,H23/0.35*2)</f>
        <v>3.6945325714285719E-4</v>
      </c>
      <c r="O23" s="2">
        <f>IF('Modell einstellen'!$B$1="Voll",J23/0.35,J23/0.35*2)</f>
        <v>-7.9257514285714279E-4</v>
      </c>
      <c r="P23" s="3">
        <f t="shared" si="1"/>
        <v>0.4661428767637355</v>
      </c>
    </row>
    <row r="24" spans="1:16" x14ac:dyDescent="0.25">
      <c r="A24" s="3">
        <v>1000000</v>
      </c>
      <c r="B24" s="3">
        <v>6.423E-5</v>
      </c>
      <c r="C24" s="3">
        <v>3.3869999999999999E-4</v>
      </c>
      <c r="D24" s="3">
        <v>-5.4739999999999997E-4</v>
      </c>
      <c r="E24" s="3">
        <v>0</v>
      </c>
      <c r="F24" s="3">
        <v>0</v>
      </c>
      <c r="G24" s="3">
        <v>0</v>
      </c>
      <c r="H24" s="3">
        <v>1.4845213E-4</v>
      </c>
      <c r="I24" s="3">
        <v>3.8306880999999999E-5</v>
      </c>
      <c r="J24" s="3">
        <v>-3.2525612000000001E-4</v>
      </c>
      <c r="L24" s="3">
        <f t="shared" si="0"/>
        <v>0.11733649981731824</v>
      </c>
      <c r="M24" s="3"/>
      <c r="N24" s="2">
        <f>IF('Modell einstellen'!$B$1="Voll",H24/0.35,H24/0.35*2)</f>
        <v>4.241489428571429E-4</v>
      </c>
      <c r="O24" s="2">
        <f>IF('Modell einstellen'!$B$1="Voll",J24/0.35,J24/0.35*2)</f>
        <v>-9.293032000000001E-4</v>
      </c>
      <c r="P24" s="3">
        <f t="shared" si="1"/>
        <v>0.45641610064093491</v>
      </c>
    </row>
    <row r="25" spans="1:16" x14ac:dyDescent="0.25">
      <c r="A25" s="3">
        <v>10000000</v>
      </c>
      <c r="B25" s="3">
        <v>6.9029999999999995E-5</v>
      </c>
      <c r="C25" s="3">
        <v>4.0900000000000002E-4</v>
      </c>
      <c r="D25" s="3">
        <v>-6.2129999999999998E-4</v>
      </c>
      <c r="E25" s="3">
        <v>0</v>
      </c>
      <c r="F25" s="3">
        <v>0</v>
      </c>
      <c r="G25" s="3">
        <v>0</v>
      </c>
      <c r="H25" s="3">
        <v>1.7378643000000001E-4</v>
      </c>
      <c r="I25" s="3">
        <v>4.8105917999999999E-5</v>
      </c>
      <c r="J25" s="3">
        <v>-3.8586726000000002E-4</v>
      </c>
      <c r="L25" s="3">
        <f t="shared" si="0"/>
        <v>0.11110574601641718</v>
      </c>
      <c r="M25" s="3"/>
      <c r="N25" s="2">
        <f>IF('Modell einstellen'!$B$1="Voll",H25/0.35,H25/0.35*2)</f>
        <v>4.9653265714285722E-4</v>
      </c>
      <c r="O25" s="2">
        <f>IF('Modell einstellen'!$B$1="Voll",J25/0.35,J25/0.35*2)</f>
        <v>-1.1024778857142859E-3</v>
      </c>
      <c r="P25" s="3">
        <f t="shared" si="1"/>
        <v>0.45037879088264704</v>
      </c>
    </row>
    <row r="26" spans="1:16" x14ac:dyDescent="0.25">
      <c r="A26" s="3">
        <v>100000000</v>
      </c>
      <c r="B26" s="3">
        <v>3.3040000000000002E-5</v>
      </c>
      <c r="C26" s="3">
        <v>4.9689999999999999E-4</v>
      </c>
      <c r="D26" s="3">
        <v>-6.7380000000000001E-4</v>
      </c>
      <c r="E26" s="3">
        <v>0</v>
      </c>
      <c r="F26" s="3">
        <v>0</v>
      </c>
      <c r="G26" s="3">
        <v>0</v>
      </c>
      <c r="H26" s="3">
        <v>2.1115534E-4</v>
      </c>
      <c r="I26" s="3">
        <v>6.1158172999999999E-5</v>
      </c>
      <c r="J26" s="3">
        <v>-4.7072230000000002E-4</v>
      </c>
      <c r="L26" s="3">
        <f t="shared" si="0"/>
        <v>4.9035322054021967E-2</v>
      </c>
      <c r="M26" s="3"/>
      <c r="N26" s="2">
        <f>IF('Modell einstellen'!$B$1="Voll",H26/0.35,H26/0.35*2)</f>
        <v>6.0330097142857145E-4</v>
      </c>
      <c r="O26" s="2">
        <f>IF('Modell einstellen'!$B$1="Voll",J26/0.35,J26/0.35*2)</f>
        <v>-1.3449208571428572E-3</v>
      </c>
      <c r="P26" s="3">
        <f t="shared" si="1"/>
        <v>0.44857730343346808</v>
      </c>
    </row>
    <row r="27" spans="1:16" x14ac:dyDescent="0.25">
      <c r="A27" s="3">
        <v>1000000000</v>
      </c>
      <c r="B27" s="3">
        <v>-8.5019999999999996E-5</v>
      </c>
      <c r="C27" s="3">
        <v>6.2200000000000005E-4</v>
      </c>
      <c r="D27" s="3">
        <v>-6.8289999999999996E-4</v>
      </c>
      <c r="E27" s="3">
        <v>0</v>
      </c>
      <c r="F27" s="3">
        <v>0</v>
      </c>
      <c r="G27" s="3">
        <v>0</v>
      </c>
      <c r="H27" s="3">
        <v>2.7180217E-4</v>
      </c>
      <c r="I27" s="3">
        <v>8.0877984000000003E-5</v>
      </c>
      <c r="J27" s="3">
        <v>-6.0347253999999998E-4</v>
      </c>
      <c r="L27" s="3">
        <f t="shared" si="0"/>
        <v>-0.12449846243959584</v>
      </c>
      <c r="M27" s="3"/>
      <c r="N27" s="2">
        <f>IF('Modell einstellen'!$B$1="Voll",H27/0.35,H27/0.35*2)</f>
        <v>7.7657762857142861E-4</v>
      </c>
      <c r="O27" s="2">
        <f>IF('Modell einstellen'!$B$1="Voll",J27/0.35,J27/0.35*2)</f>
        <v>-1.7242072571428573E-3</v>
      </c>
      <c r="P27" s="3">
        <f t="shared" si="1"/>
        <v>0.45039691449755109</v>
      </c>
    </row>
    <row r="28" spans="1:16" x14ac:dyDescent="0.25">
      <c r="A28" s="3">
        <v>10000000000</v>
      </c>
      <c r="B28" s="3">
        <v>-3.6259999999999998E-4</v>
      </c>
      <c r="C28" s="3">
        <v>8.1059999999999997E-4</v>
      </c>
      <c r="D28" s="3">
        <v>-5.9659999999999997E-4</v>
      </c>
      <c r="E28" s="3">
        <v>0</v>
      </c>
      <c r="F28" s="3">
        <v>0</v>
      </c>
      <c r="G28" s="3">
        <v>0</v>
      </c>
      <c r="H28" s="3">
        <v>3.7223972000000001E-4</v>
      </c>
      <c r="I28" s="3">
        <v>1.1222361E-4</v>
      </c>
      <c r="J28" s="3">
        <v>-8.1857857000000003E-4</v>
      </c>
      <c r="L28" s="3">
        <f t="shared" si="0"/>
        <v>-0.60777740529668123</v>
      </c>
      <c r="M28" s="3"/>
      <c r="N28" s="2">
        <f>IF('Modell einstellen'!$B$1="Voll",H28/0.35,H28/0.35*2)</f>
        <v>1.0635420571428573E-3</v>
      </c>
      <c r="O28" s="2">
        <f>IF('Modell einstellen'!$B$1="Voll",J28/0.35,J28/0.35*2)</f>
        <v>-2.3387959142857147E-3</v>
      </c>
      <c r="P28" s="3">
        <f t="shared" si="1"/>
        <v>0.4547391461762797</v>
      </c>
    </row>
    <row r="29" spans="1:16" x14ac:dyDescent="0.25">
      <c r="A29" s="3">
        <v>100000000000</v>
      </c>
      <c r="B29" s="3">
        <v>-8.3020000000000001E-4</v>
      </c>
      <c r="C29" s="3">
        <v>1.0740000000000001E-3</v>
      </c>
      <c r="D29" s="3">
        <v>-3.947E-4</v>
      </c>
      <c r="E29" s="3">
        <v>0</v>
      </c>
      <c r="F29" s="3">
        <v>0</v>
      </c>
      <c r="G29" s="3">
        <v>0</v>
      </c>
      <c r="H29" s="3">
        <v>5.1763864999999996E-4</v>
      </c>
      <c r="I29" s="3">
        <v>1.5765087999999999E-4</v>
      </c>
      <c r="J29" s="3">
        <v>-1.1298774E-3</v>
      </c>
      <c r="L29" s="3">
        <f t="shared" si="0"/>
        <v>-2.103369647833798</v>
      </c>
      <c r="M29" s="3"/>
      <c r="N29" s="2">
        <f>IF('Modell einstellen'!$B$1="Voll",H29/0.35,H29/0.35*2)</f>
        <v>1.4789675714285714E-3</v>
      </c>
      <c r="O29" s="2">
        <f>IF('Modell einstellen'!$B$1="Voll",J29/0.35,J29/0.35*2)</f>
        <v>-3.2282211428571431E-3</v>
      </c>
      <c r="P29" s="3">
        <f t="shared" si="1"/>
        <v>0.45813700672303026</v>
      </c>
    </row>
    <row r="30" spans="1:16" x14ac:dyDescent="0.25">
      <c r="A30" s="3">
        <v>1000000000000</v>
      </c>
      <c r="B30" s="3">
        <v>-1.462E-3</v>
      </c>
      <c r="C30" s="3">
        <v>1.395E-3</v>
      </c>
      <c r="D30" s="3">
        <v>-8.4250000000000001E-5</v>
      </c>
      <c r="E30" s="3">
        <v>0</v>
      </c>
      <c r="F30" s="3">
        <v>0</v>
      </c>
      <c r="G30" s="3">
        <v>0</v>
      </c>
      <c r="H30" s="3">
        <v>6.9795290000000004E-4</v>
      </c>
      <c r="I30" s="3">
        <v>2.1419443999999999E-4</v>
      </c>
      <c r="J30" s="3">
        <v>-1.5161434000000001E-3</v>
      </c>
      <c r="L30" s="3">
        <f t="shared" si="0"/>
        <v>-17.353115727002965</v>
      </c>
      <c r="M30" s="3"/>
      <c r="N30" s="2">
        <f>IF('Modell einstellen'!$B$1="Voll",H30/0.35,H30/0.35*2)</f>
        <v>1.9941511428571432E-3</v>
      </c>
      <c r="O30" s="2">
        <f>IF('Modell einstellen'!$B$1="Voll",J30/0.35,J30/0.35*2)</f>
        <v>-4.3318382857142866E-3</v>
      </c>
      <c r="P30" s="3">
        <f t="shared" si="1"/>
        <v>0.46034755023832175</v>
      </c>
    </row>
    <row r="31" spans="1:16" x14ac:dyDescent="0.25">
      <c r="A31" s="3">
        <v>10000000000000</v>
      </c>
      <c r="B31" s="3">
        <v>-1.983E-3</v>
      </c>
      <c r="C31" s="3">
        <v>1.665E-3</v>
      </c>
      <c r="D31" s="3">
        <v>1.6550000000000001E-4</v>
      </c>
      <c r="E31" s="3">
        <v>0</v>
      </c>
      <c r="F31" s="3">
        <v>0</v>
      </c>
      <c r="G31" s="3">
        <v>0</v>
      </c>
      <c r="H31" s="3">
        <v>8.4400681000000003E-4</v>
      </c>
      <c r="I31" s="3">
        <v>2.6255335000000002E-4</v>
      </c>
      <c r="J31" s="3">
        <v>-1.8378601E-3</v>
      </c>
      <c r="L31" s="3">
        <f t="shared" si="0"/>
        <v>11.981873111782477</v>
      </c>
      <c r="M31" s="3"/>
      <c r="N31" s="2">
        <f>IF('Modell einstellen'!$B$1="Voll",H31/0.35,H31/0.35*2)</f>
        <v>2.4114480285714287E-3</v>
      </c>
      <c r="O31" s="2">
        <f>IF('Modell einstellen'!$B$1="Voll",J31/0.35,J31/0.35*2)</f>
        <v>-5.2510288571428572E-3</v>
      </c>
      <c r="P31" s="3">
        <f t="shared" si="1"/>
        <v>0.45923343675614919</v>
      </c>
    </row>
    <row r="32" spans="1:16" x14ac:dyDescent="0.25">
      <c r="A32" s="3">
        <v>100000000000000</v>
      </c>
      <c r="B32" s="3">
        <v>-2.3530000000000001E-3</v>
      </c>
      <c r="C32" s="3">
        <v>1.866E-3</v>
      </c>
      <c r="D32" s="3">
        <v>3.3389999999999998E-4</v>
      </c>
      <c r="E32" s="3">
        <v>0</v>
      </c>
      <c r="F32" s="3">
        <v>0</v>
      </c>
      <c r="G32" s="3">
        <v>0</v>
      </c>
      <c r="H32" s="3">
        <v>9.4883884000000003E-4</v>
      </c>
      <c r="I32" s="3">
        <v>2.9876760000000001E-4</v>
      </c>
      <c r="J32" s="3">
        <v>-2.0739842000000001E-3</v>
      </c>
      <c r="L32" s="3">
        <f t="shared" si="0"/>
        <v>7.0470200658879909</v>
      </c>
      <c r="M32" s="3"/>
      <c r="N32" s="2">
        <f>IF('Modell einstellen'!$B$1="Voll",H32/0.35,H32/0.35*2)</f>
        <v>2.7109681142857144E-3</v>
      </c>
      <c r="O32" s="2">
        <f>IF('Modell einstellen'!$B$1="Voll",J32/0.35,J32/0.35*2)</f>
        <v>-5.9256691428571434E-3</v>
      </c>
      <c r="P32" s="3">
        <f t="shared" si="1"/>
        <v>0.4574956935544639</v>
      </c>
    </row>
    <row r="33" spans="1:16" x14ac:dyDescent="0.25">
      <c r="A33" s="3">
        <v>1000000000000000</v>
      </c>
      <c r="B33" s="3">
        <v>-2.5530000000000001E-3</v>
      </c>
      <c r="C33" s="3">
        <v>1.9870000000000001E-3</v>
      </c>
      <c r="D33" s="3">
        <v>4.1330000000000002E-4</v>
      </c>
      <c r="E33" s="3">
        <v>0</v>
      </c>
      <c r="F33" s="3">
        <v>0</v>
      </c>
      <c r="G33" s="3">
        <v>0</v>
      </c>
      <c r="H33" s="3">
        <v>1.0082863000000001E-3</v>
      </c>
      <c r="I33" s="3">
        <v>3.2060379999999998E-4</v>
      </c>
      <c r="J33" s="3">
        <v>-2.2124999E-3</v>
      </c>
      <c r="L33" s="3">
        <f t="shared" si="0"/>
        <v>6.1771110573433345</v>
      </c>
      <c r="M33" s="3"/>
      <c r="N33" s="2">
        <f>IF('Modell einstellen'!$B$1="Voll",H33/0.35,H33/0.35*2)</f>
        <v>2.8808180000000003E-3</v>
      </c>
      <c r="O33" s="2">
        <f>IF('Modell einstellen'!$B$1="Voll",J33/0.35,J33/0.35*2)</f>
        <v>-6.321428285714286E-3</v>
      </c>
      <c r="P33" s="3">
        <f t="shared" si="1"/>
        <v>0.4557226420665601</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7.6080000000000003E-5</v>
      </c>
      <c r="C3" s="3">
        <v>1.1959999999999999E-4</v>
      </c>
      <c r="D3" s="3">
        <v>-3.2449999999999997E-4</v>
      </c>
      <c r="E3" s="3">
        <v>0</v>
      </c>
      <c r="F3" s="3">
        <v>0</v>
      </c>
      <c r="G3" s="3">
        <v>0</v>
      </c>
      <c r="H3" s="3">
        <v>4.5267905000000001E-5</v>
      </c>
      <c r="I3" s="3">
        <v>1.174858E-5</v>
      </c>
      <c r="J3" s="3">
        <v>-1.2406329E-4</v>
      </c>
      <c r="K3" s="3"/>
      <c r="L3" s="3">
        <f>-B3/D3</f>
        <v>0.23445300462249619</v>
      </c>
      <c r="M3" s="3"/>
      <c r="N3" s="2">
        <f>IF('Modell einstellen'!$B$1="Voll",H3/0.35,H3/0.35*2)</f>
        <v>1.2933687142857144E-4</v>
      </c>
      <c r="O3" s="2">
        <f>IF('Modell einstellen'!$B$1="Voll",J3/0.35,J3/0.35*2)</f>
        <v>-3.5446654285714287E-4</v>
      </c>
      <c r="P3" s="3">
        <f>-N3/O3</f>
        <v>0.3648775153391467</v>
      </c>
      <c r="Q3" s="3"/>
      <c r="R3" s="3"/>
      <c r="S3" s="3"/>
      <c r="T3" s="3"/>
      <c r="U3" s="3"/>
    </row>
    <row r="4" spans="1:21" x14ac:dyDescent="0.25">
      <c r="A4" s="3">
        <v>1E-14</v>
      </c>
      <c r="B4" s="3">
        <v>7.5959999999999998E-5</v>
      </c>
      <c r="C4" s="3">
        <v>1.2239999999999999E-4</v>
      </c>
      <c r="D4" s="3">
        <v>-3.2810000000000001E-4</v>
      </c>
      <c r="E4" s="3">
        <v>0</v>
      </c>
      <c r="F4" s="3">
        <v>0</v>
      </c>
      <c r="G4" s="3">
        <v>0</v>
      </c>
      <c r="H4" s="3">
        <v>4.6715190000000002E-5</v>
      </c>
      <c r="I4" s="3">
        <v>1.2040148999999999E-5</v>
      </c>
      <c r="J4" s="3">
        <v>-1.2669333E-4</v>
      </c>
      <c r="K4" s="3"/>
      <c r="L4" s="3">
        <f t="shared" ref="L4:L33" si="0">-B4/D4</f>
        <v>0.23151478207863455</v>
      </c>
      <c r="M4" s="3"/>
      <c r="N4" s="2">
        <f>IF('Modell einstellen'!$B$1="Voll",H4/0.35,H4/0.35*2)</f>
        <v>1.3347197142857145E-4</v>
      </c>
      <c r="O4" s="2">
        <f>IF('Modell einstellen'!$B$1="Voll",J4/0.35,J4/0.35*2)</f>
        <v>-3.6198094285714287E-4</v>
      </c>
      <c r="P4" s="3">
        <f t="shared" ref="P4:P33" si="1">-N4/O4</f>
        <v>0.36872651464761408</v>
      </c>
      <c r="Q4" s="3"/>
      <c r="R4" s="3"/>
      <c r="S4" s="3"/>
      <c r="T4" s="3"/>
      <c r="U4" s="3"/>
    </row>
    <row r="5" spans="1:21" x14ac:dyDescent="0.25">
      <c r="A5" s="3">
        <v>1E-13</v>
      </c>
      <c r="B5" s="3">
        <v>7.5699999999999997E-5</v>
      </c>
      <c r="C5" s="3">
        <v>1.248E-4</v>
      </c>
      <c r="D5" s="3">
        <v>-3.3100000000000002E-4</v>
      </c>
      <c r="E5" s="3">
        <v>0</v>
      </c>
      <c r="F5" s="3">
        <v>0</v>
      </c>
      <c r="G5" s="3">
        <v>0</v>
      </c>
      <c r="H5" s="3">
        <v>4.7986774999999998E-5</v>
      </c>
      <c r="I5" s="3">
        <v>1.2291543999999999E-5</v>
      </c>
      <c r="J5" s="3">
        <v>-1.2899012E-4</v>
      </c>
      <c r="K5" s="3"/>
      <c r="L5" s="3">
        <f t="shared" si="0"/>
        <v>0.22870090634441084</v>
      </c>
      <c r="M5" s="3"/>
      <c r="N5" s="2">
        <f>IF('Modell einstellen'!$B$1="Voll",H5/0.35,H5/0.35*2)</f>
        <v>1.3710507142857144E-4</v>
      </c>
      <c r="O5" s="2">
        <f>IF('Modell einstellen'!$B$1="Voll",J5/0.35,J5/0.35*2)</f>
        <v>-3.6854320000000005E-4</v>
      </c>
      <c r="P5" s="3">
        <f t="shared" si="1"/>
        <v>0.37201899649368492</v>
      </c>
      <c r="Q5" s="3"/>
      <c r="R5" s="3"/>
      <c r="S5" s="3"/>
      <c r="T5" s="3"/>
      <c r="U5" s="3"/>
    </row>
    <row r="6" spans="1:21" x14ac:dyDescent="0.25">
      <c r="A6" s="3">
        <v>9.9999999999999998E-13</v>
      </c>
      <c r="B6" s="3">
        <v>7.5300000000000001E-5</v>
      </c>
      <c r="C6" s="3">
        <v>1.273E-4</v>
      </c>
      <c r="D6" s="3">
        <v>-3.3399999999999999E-4</v>
      </c>
      <c r="E6" s="3">
        <v>0</v>
      </c>
      <c r="F6" s="3">
        <v>0</v>
      </c>
      <c r="G6" s="3">
        <v>0</v>
      </c>
      <c r="H6" s="3">
        <v>4.9380476E-5</v>
      </c>
      <c r="I6" s="3">
        <v>1.2562314999999999E-5</v>
      </c>
      <c r="J6" s="3">
        <v>-1.3148764E-4</v>
      </c>
      <c r="K6" s="3"/>
      <c r="L6" s="3">
        <f t="shared" si="0"/>
        <v>0.2254491017964072</v>
      </c>
      <c r="M6" s="3"/>
      <c r="N6" s="2">
        <f>IF('Modell einstellen'!$B$1="Voll",H6/0.35,H6/0.35*2)</f>
        <v>1.410870742857143E-4</v>
      </c>
      <c r="O6" s="2">
        <f>IF('Modell einstellen'!$B$1="Voll",J6/0.35,J6/0.35*2)</f>
        <v>-3.7567897142857143E-4</v>
      </c>
      <c r="P6" s="3">
        <f t="shared" si="1"/>
        <v>0.37555222681006373</v>
      </c>
      <c r="Q6" s="3"/>
      <c r="R6" s="3"/>
      <c r="S6" s="3"/>
      <c r="T6" s="3"/>
      <c r="U6" s="3"/>
    </row>
    <row r="7" spans="1:21" x14ac:dyDescent="0.25">
      <c r="A7" s="3">
        <v>9.9999999999999994E-12</v>
      </c>
      <c r="B7" s="3">
        <v>7.4659999999999993E-5</v>
      </c>
      <c r="C7" s="3">
        <v>1.303E-4</v>
      </c>
      <c r="D7" s="3">
        <v>-3.3720000000000001E-4</v>
      </c>
      <c r="E7" s="3">
        <v>0</v>
      </c>
      <c r="F7" s="3">
        <v>0</v>
      </c>
      <c r="G7" s="3">
        <v>0</v>
      </c>
      <c r="H7" s="3">
        <v>5.102112E-5</v>
      </c>
      <c r="I7" s="3">
        <v>1.2874857E-5</v>
      </c>
      <c r="J7" s="3">
        <v>-1.3440178999999999E-4</v>
      </c>
      <c r="K7" s="3"/>
      <c r="L7" s="3">
        <f t="shared" si="0"/>
        <v>0.22141162514827992</v>
      </c>
      <c r="M7" s="3"/>
      <c r="N7" s="2">
        <f>IF('Modell einstellen'!$B$1="Voll",H7/0.35,H7/0.35*2)</f>
        <v>1.4577462857142857E-4</v>
      </c>
      <c r="O7" s="2">
        <f>IF('Modell einstellen'!$B$1="Voll",J7/0.35,J7/0.35*2)</f>
        <v>-3.8400511428571428E-4</v>
      </c>
      <c r="P7" s="3">
        <f t="shared" si="1"/>
        <v>0.37961637266884612</v>
      </c>
      <c r="Q7" s="3"/>
      <c r="R7" s="3"/>
      <c r="S7" s="3"/>
      <c r="T7" s="3"/>
      <c r="U7" s="3"/>
    </row>
    <row r="8" spans="1:21" x14ac:dyDescent="0.25">
      <c r="A8" s="3">
        <v>1E-10</v>
      </c>
      <c r="B8" s="3">
        <v>7.3720000000000006E-5</v>
      </c>
      <c r="C8" s="3">
        <v>1.3359999999999999E-4</v>
      </c>
      <c r="D8" s="3">
        <v>-3.4059999999999998E-4</v>
      </c>
      <c r="E8" s="3">
        <v>0</v>
      </c>
      <c r="F8" s="3">
        <v>0</v>
      </c>
      <c r="G8" s="3">
        <v>0</v>
      </c>
      <c r="H8" s="3">
        <v>5.2891118999999998E-5</v>
      </c>
      <c r="I8" s="3">
        <v>1.3222203999999999E-5</v>
      </c>
      <c r="J8" s="3">
        <v>-1.3768634000000001E-4</v>
      </c>
      <c r="K8" s="3"/>
      <c r="L8" s="3">
        <f t="shared" si="0"/>
        <v>0.2164415736934821</v>
      </c>
      <c r="M8" s="3"/>
      <c r="N8" s="2">
        <f>IF('Modell einstellen'!$B$1="Voll",H8/0.35,H8/0.35*2)</f>
        <v>1.5111748285714287E-4</v>
      </c>
      <c r="O8" s="2">
        <f>IF('Modell einstellen'!$B$1="Voll",J8/0.35,J8/0.35*2)</f>
        <v>-3.9338954285714287E-4</v>
      </c>
      <c r="P8" s="3">
        <f t="shared" si="1"/>
        <v>0.38414209427020868</v>
      </c>
      <c r="Q8" s="3"/>
      <c r="R8" s="3"/>
      <c r="S8" s="3"/>
      <c r="T8" s="3"/>
      <c r="U8" s="3"/>
    </row>
    <row r="9" spans="1:21" x14ac:dyDescent="0.25">
      <c r="A9" s="3">
        <v>1.0000000000000001E-9</v>
      </c>
      <c r="B9" s="3">
        <v>7.2340000000000002E-5</v>
      </c>
      <c r="C9" s="3">
        <v>1.3740000000000001E-4</v>
      </c>
      <c r="D9" s="3">
        <v>-3.4420000000000002E-4</v>
      </c>
      <c r="E9" s="3">
        <v>0</v>
      </c>
      <c r="F9" s="3">
        <v>0</v>
      </c>
      <c r="G9" s="3">
        <v>0</v>
      </c>
      <c r="H9" s="3">
        <v>5.5105422000000003E-5</v>
      </c>
      <c r="I9" s="3">
        <v>1.3621865999999999E-5</v>
      </c>
      <c r="J9" s="3">
        <v>-1.4152756E-4</v>
      </c>
      <c r="K9" s="3"/>
      <c r="L9" s="3">
        <f t="shared" si="0"/>
        <v>0.21016850668216153</v>
      </c>
      <c r="M9" s="3"/>
      <c r="N9" s="2">
        <f>IF('Modell einstellen'!$B$1="Voll",H9/0.35,H9/0.35*2)</f>
        <v>1.5744406285714288E-4</v>
      </c>
      <c r="O9" s="2">
        <f>IF('Modell einstellen'!$B$1="Voll",J9/0.35,J9/0.35*2)</f>
        <v>-4.0436445714285714E-4</v>
      </c>
      <c r="P9" s="3">
        <f t="shared" si="1"/>
        <v>0.38936177519064136</v>
      </c>
      <c r="Q9" s="3"/>
      <c r="R9" s="3"/>
      <c r="S9" s="3"/>
      <c r="T9" s="3"/>
      <c r="U9" s="3"/>
    </row>
    <row r="10" spans="1:21" x14ac:dyDescent="0.25">
      <c r="A10" s="3">
        <v>1E-8</v>
      </c>
      <c r="B10" s="3">
        <v>7.0560000000000002E-5</v>
      </c>
      <c r="C10" s="3">
        <v>1.4119999999999999E-4</v>
      </c>
      <c r="D10" s="3">
        <v>-3.4739999999999999E-4</v>
      </c>
      <c r="E10" s="3">
        <v>0</v>
      </c>
      <c r="F10" s="3">
        <v>0</v>
      </c>
      <c r="G10" s="3">
        <v>0</v>
      </c>
      <c r="H10" s="3">
        <v>5.7448165999999997E-5</v>
      </c>
      <c r="I10" s="3">
        <v>1.4029871999999999E-5</v>
      </c>
      <c r="J10" s="3">
        <v>-1.4553023999999999E-4</v>
      </c>
      <c r="K10" s="3"/>
      <c r="L10" s="3">
        <f t="shared" si="0"/>
        <v>0.20310880829015546</v>
      </c>
      <c r="M10" s="3"/>
      <c r="N10" s="2">
        <f>IF('Modell einstellen'!$B$1="Voll",H10/0.35,H10/0.35*2)</f>
        <v>1.6413761714285715E-4</v>
      </c>
      <c r="O10" s="2">
        <f>IF('Modell einstellen'!$B$1="Voll",J10/0.35,J10/0.35*2)</f>
        <v>-4.1580068571428572E-4</v>
      </c>
      <c r="P10" s="3">
        <f t="shared" si="1"/>
        <v>0.39475071297896575</v>
      </c>
      <c r="Q10" s="3"/>
      <c r="R10" s="3"/>
      <c r="S10" s="3"/>
      <c r="T10" s="3"/>
      <c r="U10" s="3"/>
    </row>
    <row r="11" spans="1:21" x14ac:dyDescent="0.25">
      <c r="A11" s="3">
        <v>9.9999999999999995E-8</v>
      </c>
      <c r="B11" s="3">
        <v>6.8419999999999999E-5</v>
      </c>
      <c r="C11" s="3">
        <v>1.45E-4</v>
      </c>
      <c r="D11" s="3">
        <v>-3.503E-4</v>
      </c>
      <c r="E11" s="3">
        <v>0</v>
      </c>
      <c r="F11" s="3">
        <v>0</v>
      </c>
      <c r="G11" s="3">
        <v>0</v>
      </c>
      <c r="H11" s="3">
        <v>5.9866959999999998E-5</v>
      </c>
      <c r="I11" s="3">
        <v>1.4436817E-5</v>
      </c>
      <c r="J11" s="3">
        <v>-1.4960401E-4</v>
      </c>
      <c r="K11" s="3"/>
      <c r="L11" s="3">
        <f t="shared" si="0"/>
        <v>0.19531829860119895</v>
      </c>
      <c r="M11" s="3"/>
      <c r="N11" s="2">
        <f>IF('Modell einstellen'!$B$1="Voll",H11/0.35,H11/0.35*2)</f>
        <v>1.7104845714285716E-4</v>
      </c>
      <c r="O11" s="2">
        <f>IF('Modell einstellen'!$B$1="Voll",J11/0.35,J11/0.35*2)</f>
        <v>-4.274400285714286E-4</v>
      </c>
      <c r="P11" s="3">
        <f t="shared" si="1"/>
        <v>0.40016948743553066</v>
      </c>
      <c r="Q11" s="3"/>
      <c r="R11" s="3"/>
      <c r="S11" s="3"/>
      <c r="T11" s="3"/>
      <c r="U11" s="3"/>
    </row>
    <row r="12" spans="1:21" x14ac:dyDescent="0.25">
      <c r="A12" s="3">
        <v>9.9999999999999995E-7</v>
      </c>
      <c r="B12" s="3">
        <v>6.5309999999999996E-5</v>
      </c>
      <c r="C12" s="3">
        <v>1.495E-4</v>
      </c>
      <c r="D12" s="3">
        <v>-3.5320000000000002E-4</v>
      </c>
      <c r="E12" s="3">
        <v>0</v>
      </c>
      <c r="F12" s="3">
        <v>0</v>
      </c>
      <c r="G12" s="3">
        <v>0</v>
      </c>
      <c r="H12" s="3">
        <v>6.293045E-5</v>
      </c>
      <c r="I12" s="3">
        <v>1.493243E-5</v>
      </c>
      <c r="J12" s="3">
        <v>-1.5468278000000001E-4</v>
      </c>
      <c r="K12" s="3"/>
      <c r="L12" s="3">
        <f t="shared" si="0"/>
        <v>0.18490939977349941</v>
      </c>
      <c r="M12" s="3"/>
      <c r="N12" s="2">
        <f>IF('Modell einstellen'!$B$1="Voll",H12/0.35,H12/0.35*2)</f>
        <v>1.7980128571428572E-4</v>
      </c>
      <c r="O12" s="2">
        <f>IF('Modell einstellen'!$B$1="Voll",J12/0.35,J12/0.35*2)</f>
        <v>-4.4195080000000004E-4</v>
      </c>
      <c r="P12" s="3">
        <f t="shared" si="1"/>
        <v>0.40683552493690633</v>
      </c>
      <c r="Q12" s="3"/>
      <c r="R12" s="3"/>
      <c r="S12" s="3"/>
      <c r="T12" s="3"/>
      <c r="U12" s="3"/>
    </row>
    <row r="13" spans="1:21" x14ac:dyDescent="0.25">
      <c r="A13" s="3">
        <v>1.0000000000000001E-5</v>
      </c>
      <c r="B13" s="3">
        <v>6.0630000000000001E-5</v>
      </c>
      <c r="C13" s="3">
        <v>1.551E-4</v>
      </c>
      <c r="D13" s="3">
        <v>-3.5589999999999998E-4</v>
      </c>
      <c r="E13" s="3">
        <v>0</v>
      </c>
      <c r="F13" s="3">
        <v>0</v>
      </c>
      <c r="G13" s="3">
        <v>0</v>
      </c>
      <c r="H13" s="3">
        <v>6.6914025999999994E-5</v>
      </c>
      <c r="I13" s="3">
        <v>1.5543972999999998E-5</v>
      </c>
      <c r="J13" s="3">
        <v>-1.6115206E-4</v>
      </c>
      <c r="K13" s="3"/>
      <c r="L13" s="3">
        <f t="shared" si="0"/>
        <v>0.17035684180949706</v>
      </c>
      <c r="M13" s="3"/>
      <c r="N13" s="2">
        <f>IF('Modell einstellen'!$B$1="Voll",H13/0.35,H13/0.35*2)</f>
        <v>1.9118293142857142E-4</v>
      </c>
      <c r="O13" s="2">
        <f>IF('Modell einstellen'!$B$1="Voll",J13/0.35,J13/0.35*2)</f>
        <v>-4.6043445714285717E-4</v>
      </c>
      <c r="P13" s="3">
        <f t="shared" si="1"/>
        <v>0.41522290189774796</v>
      </c>
      <c r="Q13" s="3"/>
      <c r="R13" s="3"/>
      <c r="S13" s="3"/>
      <c r="T13" s="3"/>
      <c r="U13" s="3"/>
    </row>
    <row r="14" spans="1:21" x14ac:dyDescent="0.25">
      <c r="A14" s="3">
        <v>1E-4</v>
      </c>
      <c r="B14" s="3">
        <v>5.4389999999999999E-5</v>
      </c>
      <c r="C14" s="3">
        <v>1.6110000000000001E-4</v>
      </c>
      <c r="D14" s="3">
        <v>-3.5750000000000002E-4</v>
      </c>
      <c r="E14" s="3">
        <v>0</v>
      </c>
      <c r="F14" s="3">
        <v>0</v>
      </c>
      <c r="G14" s="3">
        <v>0</v>
      </c>
      <c r="H14" s="3">
        <v>7.1483191999999998E-5</v>
      </c>
      <c r="I14" s="3">
        <v>1.6201126000000001E-5</v>
      </c>
      <c r="J14" s="3">
        <v>-1.6839078000000001E-4</v>
      </c>
      <c r="K14" s="3"/>
      <c r="L14" s="3">
        <f t="shared" si="0"/>
        <v>0.15213986013986014</v>
      </c>
      <c r="M14" s="3"/>
      <c r="N14" s="2">
        <f>IF('Modell einstellen'!$B$1="Voll",H14/0.35,H14/0.35*2)</f>
        <v>2.0423769142857142E-4</v>
      </c>
      <c r="O14" s="2">
        <f>IF('Modell einstellen'!$B$1="Voll",J14/0.35,J14/0.35*2)</f>
        <v>-4.8111651428571435E-4</v>
      </c>
      <c r="P14" s="3">
        <f t="shared" si="1"/>
        <v>0.42450775511580852</v>
      </c>
      <c r="Q14" s="3"/>
      <c r="R14" s="3"/>
      <c r="S14" s="3"/>
      <c r="T14" s="3"/>
      <c r="U14" s="3"/>
    </row>
    <row r="15" spans="1:21" x14ac:dyDescent="0.25">
      <c r="A15" s="3">
        <v>1E-3</v>
      </c>
      <c r="B15" s="3">
        <v>4.7750000000000002E-5</v>
      </c>
      <c r="C15" s="3">
        <v>1.663E-4</v>
      </c>
      <c r="D15" s="3">
        <v>-3.5770000000000002E-4</v>
      </c>
      <c r="E15" s="3">
        <v>0</v>
      </c>
      <c r="F15" s="3">
        <v>0</v>
      </c>
      <c r="G15" s="3">
        <v>0</v>
      </c>
      <c r="H15" s="3">
        <v>7.5772865000000005E-5</v>
      </c>
      <c r="I15" s="3">
        <v>1.6777371E-5</v>
      </c>
      <c r="J15" s="3">
        <v>-1.7501980999999999E-4</v>
      </c>
      <c r="K15" s="3"/>
      <c r="L15" s="3">
        <f t="shared" si="0"/>
        <v>0.13349175286552978</v>
      </c>
      <c r="M15" s="3"/>
      <c r="N15" s="2">
        <f>IF('Modell einstellen'!$B$1="Voll",H15/0.35,H15/0.35*2)</f>
        <v>2.1649390000000004E-4</v>
      </c>
      <c r="O15" s="2">
        <f>IF('Modell einstellen'!$B$1="Voll",J15/0.35,J15/0.35*2)</f>
        <v>-5.0005660000000001E-4</v>
      </c>
      <c r="P15" s="3">
        <f t="shared" si="1"/>
        <v>0.43293879132882163</v>
      </c>
      <c r="Q15" s="3"/>
      <c r="R15" s="3"/>
      <c r="S15" s="3"/>
      <c r="T15" s="3"/>
      <c r="U15" s="3"/>
    </row>
    <row r="16" spans="1:21" x14ac:dyDescent="0.25">
      <c r="A16" s="3">
        <v>0.01</v>
      </c>
      <c r="B16" s="3">
        <v>4.0479999999999999E-5</v>
      </c>
      <c r="C16" s="3">
        <v>1.7119999999999999E-4</v>
      </c>
      <c r="D16" s="3">
        <v>-3.569E-4</v>
      </c>
      <c r="E16" s="3">
        <v>0</v>
      </c>
      <c r="F16" s="3">
        <v>0</v>
      </c>
      <c r="G16" s="3">
        <v>0</v>
      </c>
      <c r="H16" s="3">
        <v>8.0085882000000003E-5</v>
      </c>
      <c r="I16" s="3">
        <v>1.7324481000000001E-5</v>
      </c>
      <c r="J16" s="3">
        <v>-1.8155337E-4</v>
      </c>
      <c r="K16" s="3"/>
      <c r="L16" s="3">
        <f t="shared" si="0"/>
        <v>0.11342112636592883</v>
      </c>
      <c r="M16" s="3"/>
      <c r="N16" s="2">
        <f>IF('Modell einstellen'!$B$1="Voll",H16/0.35,H16/0.35*2)</f>
        <v>2.2881680571428575E-4</v>
      </c>
      <c r="O16" s="2">
        <f>IF('Modell einstellen'!$B$1="Voll",J16/0.35,J16/0.35*2)</f>
        <v>-5.1872391428571432E-4</v>
      </c>
      <c r="P16" s="3">
        <f t="shared" si="1"/>
        <v>0.44111481929528495</v>
      </c>
      <c r="Q16" s="3"/>
      <c r="R16" s="3"/>
      <c r="S16" s="3"/>
      <c r="T16" s="3"/>
      <c r="U16" s="3"/>
    </row>
    <row r="17" spans="1:25" x14ac:dyDescent="0.25">
      <c r="A17" s="3">
        <v>0.1</v>
      </c>
      <c r="B17" s="3">
        <v>3.1869999999999998E-5</v>
      </c>
      <c r="C17" s="3">
        <v>1.761E-4</v>
      </c>
      <c r="D17" s="3">
        <v>-3.548E-4</v>
      </c>
      <c r="E17" s="3">
        <v>0</v>
      </c>
      <c r="F17" s="3">
        <v>0</v>
      </c>
      <c r="G17" s="3">
        <v>0</v>
      </c>
      <c r="H17" s="3">
        <v>8.4794740999999995E-5</v>
      </c>
      <c r="I17" s="3">
        <v>1.7885265000000001E-5</v>
      </c>
      <c r="J17" s="3">
        <v>-1.8853741E-4</v>
      </c>
      <c r="K17" s="3"/>
      <c r="L17" s="3">
        <f t="shared" si="0"/>
        <v>8.982525366403607E-2</v>
      </c>
      <c r="M17" s="3"/>
      <c r="N17" s="2">
        <f>IF('Modell einstellen'!$B$1="Voll",H17/0.35,H17/0.35*2)</f>
        <v>2.4227068857142858E-4</v>
      </c>
      <c r="O17" s="2">
        <f>IF('Modell einstellen'!$B$1="Voll",J17/0.35,J17/0.35*2)</f>
        <v>-5.3867831428571432E-4</v>
      </c>
      <c r="P17" s="3">
        <f t="shared" si="1"/>
        <v>0.44975021668113502</v>
      </c>
      <c r="Q17" s="3"/>
      <c r="R17" s="3"/>
      <c r="S17" s="3"/>
      <c r="T17" s="3"/>
      <c r="U17" s="3"/>
      <c r="V17" s="3"/>
      <c r="W17" s="3"/>
      <c r="X17" s="3"/>
      <c r="Y17" s="3"/>
    </row>
    <row r="18" spans="1:25" x14ac:dyDescent="0.25">
      <c r="A18" s="3">
        <v>1</v>
      </c>
      <c r="B18" s="3">
        <v>2.1399999999999998E-5</v>
      </c>
      <c r="C18" s="3">
        <v>1.8129999999999999E-4</v>
      </c>
      <c r="D18" s="3">
        <v>-3.5129999999999997E-4</v>
      </c>
      <c r="E18" s="3">
        <v>0</v>
      </c>
      <c r="F18" s="3">
        <v>0</v>
      </c>
      <c r="G18" s="3">
        <v>0</v>
      </c>
      <c r="H18" s="3">
        <v>9.0152637999999999E-5</v>
      </c>
      <c r="I18" s="3">
        <v>1.8486105999999999E-5</v>
      </c>
      <c r="J18" s="3">
        <v>-1.9632935999999999E-4</v>
      </c>
      <c r="K18" s="3"/>
      <c r="L18" s="3">
        <f t="shared" si="0"/>
        <v>6.0916595502419582E-2</v>
      </c>
      <c r="M18" s="3"/>
      <c r="N18" s="2">
        <f>IF('Modell einstellen'!$B$1="Voll",H18/0.35,H18/0.35*2)</f>
        <v>2.5757896571428573E-4</v>
      </c>
      <c r="O18" s="2">
        <f>IF('Modell einstellen'!$B$1="Voll",J18/0.35,J18/0.35*2)</f>
        <v>-5.6094102857142856E-4</v>
      </c>
      <c r="P18" s="3">
        <f t="shared" si="1"/>
        <v>0.45919081078856472</v>
      </c>
      <c r="Q18" s="3"/>
      <c r="R18" s="3"/>
      <c r="S18" s="3"/>
      <c r="T18" s="3"/>
      <c r="U18" s="3"/>
      <c r="V18" s="3"/>
      <c r="W18" s="3"/>
      <c r="X18" s="3"/>
      <c r="Y18" s="3"/>
    </row>
    <row r="19" spans="1:25" x14ac:dyDescent="0.25">
      <c r="A19" s="3">
        <v>10</v>
      </c>
      <c r="B19" s="3">
        <v>9.8430000000000005E-6</v>
      </c>
      <c r="C19" s="3">
        <v>1.8689999999999999E-4</v>
      </c>
      <c r="D19" s="3">
        <v>-3.4689999999999998E-4</v>
      </c>
      <c r="E19" s="3">
        <v>0</v>
      </c>
      <c r="F19" s="3">
        <v>0</v>
      </c>
      <c r="G19" s="3">
        <v>0</v>
      </c>
      <c r="H19" s="3">
        <v>9.5923825000000007E-5</v>
      </c>
      <c r="I19" s="3">
        <v>1.9128274999999999E-5</v>
      </c>
      <c r="J19" s="3">
        <v>-2.0466850000000001E-4</v>
      </c>
      <c r="K19" s="3"/>
      <c r="L19" s="3">
        <f t="shared" si="0"/>
        <v>2.837417123090228E-2</v>
      </c>
      <c r="M19" s="3"/>
      <c r="N19" s="2">
        <f>IF('Modell einstellen'!$B$1="Voll",H19/0.35,H19/0.35*2)</f>
        <v>2.7406807142857148E-4</v>
      </c>
      <c r="O19" s="2">
        <f>IF('Modell einstellen'!$B$1="Voll",J19/0.35,J19/0.35*2)</f>
        <v>-5.8476714285714292E-4</v>
      </c>
      <c r="P19" s="3">
        <f t="shared" si="1"/>
        <v>0.46867898577455741</v>
      </c>
      <c r="Q19" s="3"/>
      <c r="R19" s="3"/>
      <c r="S19" s="3"/>
      <c r="T19" s="3"/>
      <c r="U19" s="3"/>
      <c r="V19" s="3"/>
      <c r="W19" s="3"/>
      <c r="X19" s="3"/>
      <c r="Y19" s="3"/>
    </row>
    <row r="20" spans="1:25" x14ac:dyDescent="0.25">
      <c r="A20" s="3">
        <v>100</v>
      </c>
      <c r="B20" s="3">
        <v>-1.017E-6</v>
      </c>
      <c r="C20" s="3">
        <v>1.9699999999999999E-4</v>
      </c>
      <c r="D20" s="3">
        <v>-3.4759999999999999E-4</v>
      </c>
      <c r="E20" s="3">
        <v>0</v>
      </c>
      <c r="F20" s="3">
        <v>0</v>
      </c>
      <c r="G20" s="3">
        <v>0</v>
      </c>
      <c r="H20" s="3">
        <v>1.0358771000000001E-4</v>
      </c>
      <c r="I20" s="3">
        <v>2.0323304E-5</v>
      </c>
      <c r="J20" s="3">
        <v>-2.1683349000000001E-4</v>
      </c>
      <c r="K20" s="3"/>
      <c r="L20" s="3">
        <f t="shared" si="0"/>
        <v>-2.9257767548906788E-3</v>
      </c>
      <c r="M20" s="3"/>
      <c r="N20" s="2">
        <f>IF('Modell einstellen'!$B$1="Voll",H20/0.35,H20/0.35*2)</f>
        <v>2.9596488571428573E-4</v>
      </c>
      <c r="O20" s="2">
        <f>IF('Modell einstellen'!$B$1="Voll",J20/0.35,J20/0.35*2)</f>
        <v>-6.1952425714285723E-4</v>
      </c>
      <c r="P20" s="3">
        <f t="shared" si="1"/>
        <v>0.4777292935699185</v>
      </c>
      <c r="Q20" s="3"/>
      <c r="R20" s="3"/>
      <c r="S20" s="3"/>
      <c r="T20" s="3"/>
      <c r="U20" s="3"/>
      <c r="V20" s="3"/>
      <c r="W20" s="3"/>
      <c r="X20" s="3"/>
      <c r="Y20" s="3"/>
    </row>
    <row r="21" spans="1:25" x14ac:dyDescent="0.25">
      <c r="A21" s="3">
        <v>1000</v>
      </c>
      <c r="B21" s="3">
        <v>3.4869999999999998E-6</v>
      </c>
      <c r="C21" s="3">
        <v>2.243E-4</v>
      </c>
      <c r="D21" s="3">
        <v>-3.7869999999999999E-4</v>
      </c>
      <c r="E21" s="3">
        <v>0</v>
      </c>
      <c r="F21" s="3">
        <v>0</v>
      </c>
      <c r="G21" s="3">
        <v>0</v>
      </c>
      <c r="H21" s="3">
        <v>1.1479429000000001E-4</v>
      </c>
      <c r="I21" s="3">
        <v>2.3606975000000001E-5</v>
      </c>
      <c r="J21" s="3">
        <v>-2.3970118E-4</v>
      </c>
      <c r="K21" s="3"/>
      <c r="L21" s="3">
        <f t="shared" si="0"/>
        <v>9.2078162133614992E-3</v>
      </c>
      <c r="M21" s="3"/>
      <c r="N21" s="2">
        <f>IF('Modell einstellen'!$B$1="Voll",H21/0.35,H21/0.35*2)</f>
        <v>3.2798368571428576E-4</v>
      </c>
      <c r="O21" s="2">
        <f>IF('Modell einstellen'!$B$1="Voll",J21/0.35,J21/0.35*2)</f>
        <v>-6.848605142857143E-4</v>
      </c>
      <c r="P21" s="3">
        <f t="shared" si="1"/>
        <v>0.47890581932053905</v>
      </c>
      <c r="Q21" s="3"/>
      <c r="R21" s="3"/>
      <c r="S21" s="3"/>
      <c r="T21" s="3"/>
      <c r="U21" s="3"/>
      <c r="V21" s="3"/>
      <c r="W21" s="3"/>
      <c r="X21" s="3"/>
      <c r="Y21" s="3"/>
    </row>
    <row r="22" spans="1:25" x14ac:dyDescent="0.25">
      <c r="A22" s="3">
        <v>10000</v>
      </c>
      <c r="B22" s="3">
        <v>2.9249999999999999E-5</v>
      </c>
      <c r="C22" s="3">
        <v>2.7399999999999999E-4</v>
      </c>
      <c r="D22" s="3">
        <v>-4.5130000000000002E-4</v>
      </c>
      <c r="E22" s="3">
        <v>0</v>
      </c>
      <c r="F22" s="3">
        <v>0</v>
      </c>
      <c r="G22" s="3">
        <v>0</v>
      </c>
      <c r="H22" s="3">
        <v>1.3024807000000001E-4</v>
      </c>
      <c r="I22" s="3">
        <v>2.9815678E-5</v>
      </c>
      <c r="J22" s="3">
        <v>-2.7701622999999999E-4</v>
      </c>
      <c r="K22" s="3"/>
      <c r="L22" s="3">
        <f t="shared" si="0"/>
        <v>6.4812763128739195E-2</v>
      </c>
      <c r="M22" s="3"/>
      <c r="N22" s="2">
        <f>IF('Modell einstellen'!$B$1="Voll",H22/0.35,H22/0.35*2)</f>
        <v>3.7213734285714288E-4</v>
      </c>
      <c r="O22" s="2">
        <f>IF('Modell einstellen'!$B$1="Voll",J22/0.35,J22/0.35*2)</f>
        <v>-7.9147494285714286E-4</v>
      </c>
      <c r="P22" s="3">
        <f t="shared" si="1"/>
        <v>0.47018209005299078</v>
      </c>
      <c r="Q22" s="3"/>
      <c r="R22" s="3"/>
      <c r="S22" s="3"/>
      <c r="T22" s="3"/>
      <c r="U22" s="3"/>
      <c r="V22" s="3"/>
      <c r="W22" s="3"/>
      <c r="X22" s="3"/>
      <c r="Y22" s="3"/>
    </row>
    <row r="23" spans="1:25" x14ac:dyDescent="0.25">
      <c r="A23" s="3">
        <v>100000</v>
      </c>
      <c r="B23" s="3">
        <v>5.3109999999999998E-5</v>
      </c>
      <c r="C23" s="3">
        <v>3.3649999999999999E-4</v>
      </c>
      <c r="D23" s="3">
        <v>-5.3490000000000005E-4</v>
      </c>
      <c r="E23" s="3">
        <v>0</v>
      </c>
      <c r="F23" s="3">
        <v>0</v>
      </c>
      <c r="G23" s="3">
        <v>0</v>
      </c>
      <c r="H23" s="3">
        <v>1.4988027E-4</v>
      </c>
      <c r="I23" s="3">
        <v>3.8018136E-5</v>
      </c>
      <c r="J23" s="3">
        <v>-3.2577810999999998E-4</v>
      </c>
      <c r="K23" s="3"/>
      <c r="L23" s="3">
        <f t="shared" si="0"/>
        <v>9.9289586838661417E-2</v>
      </c>
      <c r="M23" s="3"/>
      <c r="N23" s="2">
        <f>IF('Modell einstellen'!$B$1="Voll",H23/0.35,H23/0.35*2)</f>
        <v>4.2822934285714287E-4</v>
      </c>
      <c r="O23" s="2">
        <f>IF('Modell einstellen'!$B$1="Voll",J23/0.35,J23/0.35*2)</f>
        <v>-9.3079459999999997E-4</v>
      </c>
      <c r="P23" s="3">
        <f t="shared" si="1"/>
        <v>0.46006857244030303</v>
      </c>
      <c r="Q23" s="3"/>
      <c r="R23" s="3"/>
      <c r="S23" s="3"/>
      <c r="T23" s="3"/>
      <c r="U23" s="3"/>
      <c r="V23" s="3"/>
      <c r="W23" s="3"/>
      <c r="X23" s="3"/>
      <c r="Y23" s="3"/>
    </row>
    <row r="24" spans="1:25" x14ac:dyDescent="0.25">
      <c r="A24" s="3">
        <v>1000000</v>
      </c>
      <c r="B24" s="3">
        <v>5.6150000000000003E-5</v>
      </c>
      <c r="C24" s="3">
        <v>4.0910000000000002E-4</v>
      </c>
      <c r="D24" s="3">
        <v>-6.0930000000000001E-4</v>
      </c>
      <c r="E24" s="3">
        <v>0</v>
      </c>
      <c r="F24" s="3">
        <v>0</v>
      </c>
      <c r="G24" s="3">
        <v>0</v>
      </c>
      <c r="H24" s="3">
        <v>1.7632766000000001E-4</v>
      </c>
      <c r="I24" s="3">
        <v>4.8132345000000003E-5</v>
      </c>
      <c r="J24" s="3">
        <v>-3.8862290000000002E-4</v>
      </c>
      <c r="K24" s="3"/>
      <c r="L24" s="3">
        <f t="shared" si="0"/>
        <v>9.2154931889053021E-2</v>
      </c>
      <c r="M24" s="3"/>
      <c r="N24" s="2">
        <f>IF('Modell einstellen'!$B$1="Voll",H24/0.35,H24/0.35*2)</f>
        <v>5.0379331428571431E-4</v>
      </c>
      <c r="O24" s="2">
        <f>IF('Modell einstellen'!$B$1="Voll",J24/0.35,J24/0.35*2)</f>
        <v>-1.1103511428571429E-3</v>
      </c>
      <c r="P24" s="3">
        <f t="shared" si="1"/>
        <v>0.45372431732664237</v>
      </c>
      <c r="Q24" s="3"/>
      <c r="R24" s="3"/>
      <c r="S24" s="3"/>
      <c r="T24" s="3"/>
      <c r="U24" s="3"/>
      <c r="V24" s="3"/>
      <c r="W24" s="3"/>
      <c r="X24" s="3"/>
      <c r="Y24" s="3"/>
    </row>
    <row r="25" spans="1:25" x14ac:dyDescent="0.25">
      <c r="A25" s="3">
        <v>10000000</v>
      </c>
      <c r="B25" s="3">
        <v>1.607E-5</v>
      </c>
      <c r="C25" s="3">
        <v>5.0009999999999996E-4</v>
      </c>
      <c r="D25" s="3">
        <v>-6.6080000000000002E-4</v>
      </c>
      <c r="E25" s="3">
        <v>0</v>
      </c>
      <c r="F25" s="3">
        <v>0</v>
      </c>
      <c r="G25" s="3">
        <v>0</v>
      </c>
      <c r="H25" s="3">
        <v>2.1538024999999999E-4</v>
      </c>
      <c r="I25" s="3">
        <v>6.1654354999999994E-5</v>
      </c>
      <c r="J25" s="3">
        <v>-4.7684182999999997E-4</v>
      </c>
      <c r="K25" s="3"/>
      <c r="L25" s="3">
        <f t="shared" si="0"/>
        <v>2.4319007263922519E-2</v>
      </c>
      <c r="M25" s="3"/>
      <c r="N25" s="2">
        <f>IF('Modell einstellen'!$B$1="Voll",H25/0.35,H25/0.35*2)</f>
        <v>6.1537214285714288E-4</v>
      </c>
      <c r="O25" s="2">
        <f>IF('Modell einstellen'!$B$1="Voll",J25/0.35,J25/0.35*2)</f>
        <v>-1.3624052285714286E-3</v>
      </c>
      <c r="P25" s="3">
        <f t="shared" si="1"/>
        <v>0.45168069672075539</v>
      </c>
      <c r="Q25" s="3"/>
      <c r="R25" s="3"/>
      <c r="S25" s="3"/>
      <c r="T25" s="3"/>
      <c r="U25" s="3"/>
      <c r="V25" s="3"/>
      <c r="W25" s="3"/>
      <c r="X25" s="3"/>
      <c r="Y25" s="3"/>
    </row>
    <row r="26" spans="1:25" x14ac:dyDescent="0.25">
      <c r="A26" s="3">
        <v>100000000</v>
      </c>
      <c r="B26" s="3">
        <v>-1.13E-4</v>
      </c>
      <c r="C26" s="3">
        <v>6.3029999999999998E-4</v>
      </c>
      <c r="D26" s="3">
        <v>-6.6399999999999999E-4</v>
      </c>
      <c r="E26" s="3">
        <v>0</v>
      </c>
      <c r="F26" s="3">
        <v>0</v>
      </c>
      <c r="G26" s="3">
        <v>0</v>
      </c>
      <c r="H26" s="3">
        <v>2.7954207999999998E-4</v>
      </c>
      <c r="I26" s="3">
        <v>8.2239148000000001E-5</v>
      </c>
      <c r="J26" s="3">
        <v>-6.1623869999999999E-4</v>
      </c>
      <c r="K26" s="3"/>
      <c r="L26" s="3">
        <f t="shared" si="0"/>
        <v>-0.17018072289156627</v>
      </c>
      <c r="M26" s="3"/>
      <c r="N26" s="2">
        <f>IF('Modell einstellen'!$B$1="Voll",H26/0.35,H26/0.35*2)</f>
        <v>7.9869165714285708E-4</v>
      </c>
      <c r="O26" s="2">
        <f>IF('Modell einstellen'!$B$1="Voll",J26/0.35,J26/0.35*2)</f>
        <v>-1.7606820000000002E-3</v>
      </c>
      <c r="P26" s="3">
        <f t="shared" si="1"/>
        <v>0.45362629773170682</v>
      </c>
      <c r="Q26" s="3"/>
      <c r="R26" s="3"/>
      <c r="S26" s="3"/>
      <c r="T26" s="3"/>
      <c r="U26" s="3"/>
      <c r="V26" s="3"/>
      <c r="W26" s="3"/>
      <c r="X26" s="3"/>
      <c r="Y26" s="3"/>
    </row>
    <row r="27" spans="1:25" x14ac:dyDescent="0.25">
      <c r="A27" s="3">
        <v>1000000000</v>
      </c>
      <c r="B27" s="3">
        <v>-4.0519999999999998E-4</v>
      </c>
      <c r="C27" s="3">
        <v>8.2350000000000001E-4</v>
      </c>
      <c r="D27" s="3">
        <v>-5.6760000000000003E-4</v>
      </c>
      <c r="E27" s="3">
        <v>0</v>
      </c>
      <c r="F27" s="3">
        <v>0</v>
      </c>
      <c r="G27" s="3">
        <v>0</v>
      </c>
      <c r="H27" s="3">
        <v>3.8364258999999998E-4</v>
      </c>
      <c r="I27" s="3">
        <v>1.1444498E-4</v>
      </c>
      <c r="J27" s="3">
        <v>-8.3809819000000001E-4</v>
      </c>
      <c r="K27" s="3"/>
      <c r="L27" s="3">
        <f t="shared" si="0"/>
        <v>-0.71388301620859751</v>
      </c>
      <c r="M27" s="3"/>
      <c r="N27" s="2">
        <f>IF('Modell einstellen'!$B$1="Voll",H27/0.35,H27/0.35*2)</f>
        <v>1.0961216857142857E-3</v>
      </c>
      <c r="O27" s="2">
        <f>IF('Modell einstellen'!$B$1="Voll",J27/0.35,J27/0.35*2)</f>
        <v>-2.3945662571428572E-3</v>
      </c>
      <c r="P27" s="3">
        <f t="shared" si="1"/>
        <v>0.4577537507866471</v>
      </c>
      <c r="Q27" s="3"/>
      <c r="R27" s="3"/>
      <c r="S27" s="3"/>
      <c r="T27" s="3"/>
      <c r="U27" s="3"/>
      <c r="V27" s="3"/>
      <c r="W27" s="3"/>
      <c r="X27" s="3"/>
      <c r="Y27" s="3"/>
    </row>
    <row r="28" spans="1:25" x14ac:dyDescent="0.25">
      <c r="A28" s="3">
        <v>10000000000</v>
      </c>
      <c r="B28" s="3">
        <v>-8.9409999999999999E-4</v>
      </c>
      <c r="C28" s="3">
        <v>1.0939999999999999E-3</v>
      </c>
      <c r="D28" s="3">
        <v>-3.5139999999999998E-4</v>
      </c>
      <c r="E28" s="3">
        <v>0</v>
      </c>
      <c r="F28" s="3">
        <v>0</v>
      </c>
      <c r="G28" s="3">
        <v>0</v>
      </c>
      <c r="H28" s="3">
        <v>5.3421456000000002E-4</v>
      </c>
      <c r="I28" s="3">
        <v>1.6118727000000001E-4</v>
      </c>
      <c r="J28" s="3">
        <v>-1.1593083000000001E-3</v>
      </c>
      <c r="K28" s="3"/>
      <c r="L28" s="3">
        <f t="shared" si="0"/>
        <v>-2.5443938531587937</v>
      </c>
      <c r="M28" s="3"/>
      <c r="N28" s="2">
        <f>IF('Modell einstellen'!$B$1="Voll",H28/0.35,H28/0.35*2)</f>
        <v>1.5263273142857145E-3</v>
      </c>
      <c r="O28" s="2">
        <f>IF('Modell einstellen'!$B$1="Voll",J28/0.35,J28/0.35*2)</f>
        <v>-3.312309428571429E-3</v>
      </c>
      <c r="P28" s="3">
        <f t="shared" si="1"/>
        <v>0.46080456768919881</v>
      </c>
      <c r="Q28" s="3"/>
      <c r="R28" s="3"/>
      <c r="S28" s="3"/>
      <c r="T28" s="3"/>
      <c r="U28" s="3"/>
      <c r="V28" s="3"/>
      <c r="W28" s="3"/>
      <c r="X28" s="3"/>
      <c r="Y28" s="3"/>
    </row>
    <row r="29" spans="1:25" x14ac:dyDescent="0.25">
      <c r="A29" s="3">
        <v>100000000000</v>
      </c>
      <c r="B29" s="3">
        <v>-1.521E-3</v>
      </c>
      <c r="C29" s="3">
        <v>1.4120000000000001E-3</v>
      </c>
      <c r="D29" s="3">
        <v>-4.3269999999999997E-5</v>
      </c>
      <c r="E29" s="3">
        <v>0</v>
      </c>
      <c r="F29" s="3">
        <v>0</v>
      </c>
      <c r="G29" s="3">
        <v>0</v>
      </c>
      <c r="H29" s="3">
        <v>7.1250114000000002E-4</v>
      </c>
      <c r="I29" s="3">
        <v>2.173694E-4</v>
      </c>
      <c r="J29" s="3">
        <v>-1.542159E-3</v>
      </c>
      <c r="K29" s="3"/>
      <c r="L29" s="3">
        <f t="shared" si="0"/>
        <v>-35.151375086665126</v>
      </c>
      <c r="M29" s="3"/>
      <c r="N29" s="2">
        <f>IF('Modell einstellen'!$B$1="Voll",H29/0.35,H29/0.35*2)</f>
        <v>2.0357175428571432E-3</v>
      </c>
      <c r="O29" s="2">
        <f>IF('Modell einstellen'!$B$1="Voll",J29/0.35,J29/0.35*2)</f>
        <v>-4.4061685714285714E-3</v>
      </c>
      <c r="P29" s="3">
        <f t="shared" si="1"/>
        <v>0.46201535639321245</v>
      </c>
      <c r="Q29" s="3"/>
      <c r="R29" s="3"/>
      <c r="S29" s="3"/>
      <c r="T29" s="3"/>
      <c r="U29" s="3"/>
      <c r="V29" s="3"/>
      <c r="W29" s="3"/>
      <c r="X29" s="3"/>
      <c r="Y29" s="3"/>
    </row>
    <row r="30" spans="1:25" x14ac:dyDescent="0.25">
      <c r="A30" s="3">
        <v>1000000000000</v>
      </c>
      <c r="B30" s="3">
        <v>-2.0370000000000002E-3</v>
      </c>
      <c r="C30" s="3">
        <v>1.6819999999999999E-3</v>
      </c>
      <c r="D30" s="3">
        <v>2.0259999999999999E-4</v>
      </c>
      <c r="E30" s="3">
        <v>0</v>
      </c>
      <c r="F30" s="3">
        <v>0</v>
      </c>
      <c r="G30" s="3">
        <v>0</v>
      </c>
      <c r="H30" s="3">
        <v>8.5701126999999998E-4</v>
      </c>
      <c r="I30" s="3">
        <v>2.6556916999999998E-4</v>
      </c>
      <c r="J30" s="3">
        <v>-1.8617129E-3</v>
      </c>
      <c r="K30" s="3"/>
      <c r="L30" s="3">
        <f t="shared" si="0"/>
        <v>10.054294175715697</v>
      </c>
      <c r="M30" s="3"/>
      <c r="N30" s="2">
        <f>IF('Modell einstellen'!$B$1="Voll",H30/0.35,H30/0.35*2)</f>
        <v>2.4486036285714286E-3</v>
      </c>
      <c r="O30" s="2">
        <f>IF('Modell einstellen'!$B$1="Voll",J30/0.35,J30/0.35*2)</f>
        <v>-5.319179714285715E-3</v>
      </c>
      <c r="P30" s="3">
        <f t="shared" si="1"/>
        <v>0.46033481854264419</v>
      </c>
      <c r="Q30" s="3"/>
      <c r="R30" s="3"/>
      <c r="S30" s="3"/>
      <c r="T30" s="3"/>
      <c r="U30" s="3"/>
      <c r="V30" s="3"/>
      <c r="W30" s="3"/>
      <c r="X30" s="3"/>
      <c r="Y30" s="3"/>
    </row>
    <row r="31" spans="1:25" x14ac:dyDescent="0.25">
      <c r="A31" s="3">
        <v>10000000000000</v>
      </c>
      <c r="B31" s="3">
        <v>-2.3800000000000002E-3</v>
      </c>
      <c r="C31" s="3">
        <v>1.874E-3</v>
      </c>
      <c r="D31" s="3">
        <v>3.5290000000000001E-4</v>
      </c>
      <c r="E31" s="3">
        <v>0</v>
      </c>
      <c r="F31" s="3">
        <v>0</v>
      </c>
      <c r="G31" s="3">
        <v>0</v>
      </c>
      <c r="H31" s="3">
        <v>9.5456059000000005E-4</v>
      </c>
      <c r="I31" s="3">
        <v>3.0011205000000002E-4</v>
      </c>
      <c r="J31" s="3">
        <v>-2.0844814000000001E-3</v>
      </c>
      <c r="K31" s="3"/>
      <c r="L31" s="3">
        <f t="shared" si="0"/>
        <v>6.7441201473505243</v>
      </c>
      <c r="M31" s="3"/>
      <c r="N31" s="2">
        <f>IF('Modell einstellen'!$B$1="Voll",H31/0.35,H31/0.35*2)</f>
        <v>2.7273159714285718E-3</v>
      </c>
      <c r="O31" s="2">
        <f>IF('Modell einstellen'!$B$1="Voll",J31/0.35,J31/0.35*2)</f>
        <v>-5.9556611428571438E-3</v>
      </c>
      <c r="P31" s="3">
        <f t="shared" si="1"/>
        <v>0.45793672709192801</v>
      </c>
      <c r="Q31" s="3"/>
      <c r="R31" s="3"/>
      <c r="S31" s="3"/>
      <c r="T31" s="3"/>
      <c r="U31" s="3"/>
      <c r="V31" s="3"/>
      <c r="W31" s="3"/>
      <c r="X31" s="3"/>
      <c r="Y31" s="3"/>
    </row>
    <row r="32" spans="1:25" x14ac:dyDescent="0.25">
      <c r="A32" s="3">
        <v>100000000000000</v>
      </c>
      <c r="B32" s="3">
        <v>-2.5799999999999998E-3</v>
      </c>
      <c r="C32" s="3">
        <v>1.9959999999999999E-3</v>
      </c>
      <c r="D32" s="3">
        <v>4.3189999999999998E-4</v>
      </c>
      <c r="E32" s="3">
        <v>0</v>
      </c>
      <c r="F32" s="3">
        <v>0</v>
      </c>
      <c r="G32" s="3">
        <v>0</v>
      </c>
      <c r="H32" s="3">
        <v>1.0143853999999999E-3</v>
      </c>
      <c r="I32" s="3">
        <v>3.2214276999999999E-4</v>
      </c>
      <c r="J32" s="3">
        <v>-2.2240722000000002E-3</v>
      </c>
      <c r="K32" s="3"/>
      <c r="L32" s="3">
        <f t="shared" si="0"/>
        <v>5.9736050011576749</v>
      </c>
      <c r="M32" s="3"/>
      <c r="N32" s="2">
        <f>IF('Modell einstellen'!$B$1="Voll",H32/0.35,H32/0.35*2)</f>
        <v>2.8982439999999999E-3</v>
      </c>
      <c r="O32" s="2">
        <f>IF('Modell einstellen'!$B$1="Voll",J32/0.35,J32/0.35*2)</f>
        <v>-6.3544920000000006E-3</v>
      </c>
      <c r="P32" s="3">
        <f t="shared" si="1"/>
        <v>0.45609373652528001</v>
      </c>
      <c r="Q32" s="3"/>
      <c r="R32" s="3"/>
      <c r="S32" s="3"/>
      <c r="T32" s="3"/>
      <c r="U32" s="3"/>
      <c r="V32" s="3"/>
      <c r="W32" s="3"/>
      <c r="X32" s="3"/>
      <c r="Y32" s="3"/>
    </row>
    <row r="33" spans="1:25" x14ac:dyDescent="0.25">
      <c r="A33" s="2">
        <v>1000000000000000</v>
      </c>
      <c r="B33" s="3">
        <v>-2.7569999999999999E-3</v>
      </c>
      <c r="C33" s="3">
        <v>2.062E-3</v>
      </c>
      <c r="D33" s="3">
        <v>5.4140000000000004E-4</v>
      </c>
      <c r="E33" s="3">
        <v>0</v>
      </c>
      <c r="F33" s="3">
        <v>0</v>
      </c>
      <c r="G33" s="3">
        <v>0</v>
      </c>
      <c r="H33" s="3">
        <v>1.0615856999999999E-3</v>
      </c>
      <c r="I33" s="3">
        <v>3.3451409999999998E-4</v>
      </c>
      <c r="J33" s="3">
        <v>-2.3159405E-3</v>
      </c>
      <c r="K33" s="3"/>
      <c r="L33" s="3">
        <f t="shared" si="0"/>
        <v>5.0923531584780193</v>
      </c>
      <c r="M33" s="3"/>
      <c r="N33" s="2">
        <f>IF('Modell einstellen'!$B$1="Voll",H33/0.35,H33/0.35*2)</f>
        <v>3.0331019999999998E-3</v>
      </c>
      <c r="O33" s="2">
        <f>IF('Modell einstellen'!$B$1="Voll",J33/0.35,J33/0.35*2)</f>
        <v>-6.6169728571428572E-3</v>
      </c>
      <c r="P33" s="3">
        <f t="shared" si="1"/>
        <v>0.45838211301197068</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7.75E-5</v>
      </c>
      <c r="C3" s="3">
        <v>1.2239999999999999E-4</v>
      </c>
      <c r="D3" s="3">
        <v>-3.2929999999999998E-4</v>
      </c>
      <c r="E3" s="3">
        <v>0</v>
      </c>
      <c r="F3" s="3">
        <v>0</v>
      </c>
      <c r="G3" s="3">
        <v>0</v>
      </c>
      <c r="H3" s="3">
        <v>4.6544169000000003E-5</v>
      </c>
      <c r="I3" s="3">
        <v>1.2051281000000001E-5</v>
      </c>
      <c r="J3" s="3">
        <v>-1.2657381000000001E-4</v>
      </c>
      <c r="K3" s="3"/>
      <c r="L3" s="3">
        <f>-B3/D3</f>
        <v>0.23534770725781964</v>
      </c>
      <c r="M3" s="3"/>
      <c r="N3" s="2">
        <f>IF('Modell einstellen'!$B$1="Voll",H3/0.35,H3/0.35*2)</f>
        <v>1.3298334000000001E-4</v>
      </c>
      <c r="O3" s="2">
        <f>IF('Modell einstellen'!$B$1="Voll",J3/0.35,J3/0.35*2)</f>
        <v>-3.6163945714285718E-4</v>
      </c>
      <c r="P3" s="3">
        <f>-N3/O3</f>
        <v>0.36772353617229347</v>
      </c>
      <c r="Q3" s="3"/>
      <c r="R3" s="3"/>
      <c r="S3" s="3"/>
      <c r="T3" s="3"/>
      <c r="U3" s="3"/>
    </row>
    <row r="4" spans="1:21" x14ac:dyDescent="0.25">
      <c r="A4" s="3">
        <v>1E-14</v>
      </c>
      <c r="B4" s="3">
        <v>7.729E-5</v>
      </c>
      <c r="C4" s="3">
        <v>1.2530000000000001E-4</v>
      </c>
      <c r="D4" s="3">
        <v>-3.3290000000000001E-4</v>
      </c>
      <c r="E4" s="3">
        <v>0</v>
      </c>
      <c r="F4" s="3">
        <v>0</v>
      </c>
      <c r="G4" s="3">
        <v>0</v>
      </c>
      <c r="H4" s="3">
        <v>4.8077381000000003E-5</v>
      </c>
      <c r="I4" s="3">
        <v>1.235826E-5</v>
      </c>
      <c r="J4" s="3">
        <v>-1.2934787E-4</v>
      </c>
      <c r="K4" s="3"/>
      <c r="L4" s="3">
        <f t="shared" ref="L4:L33" si="0">-B4/D4</f>
        <v>0.23217182337038147</v>
      </c>
      <c r="M4" s="3"/>
      <c r="N4" s="2">
        <f>IF('Modell einstellen'!$B$1="Voll",H4/0.35,H4/0.35*2)</f>
        <v>1.3736394571428574E-4</v>
      </c>
      <c r="O4" s="2">
        <f>IF('Modell einstellen'!$B$1="Voll",J4/0.35,J4/0.35*2)</f>
        <v>-3.6956534285714288E-4</v>
      </c>
      <c r="P4" s="3">
        <f t="shared" ref="P4:P33" si="1">-N4/O4</f>
        <v>0.37169055045127536</v>
      </c>
      <c r="Q4" s="3"/>
      <c r="R4" s="3"/>
      <c r="S4" s="3"/>
      <c r="T4" s="3"/>
      <c r="U4" s="3"/>
    </row>
    <row r="5" spans="1:21" x14ac:dyDescent="0.25">
      <c r="A5" s="3">
        <v>1E-13</v>
      </c>
      <c r="B5" s="3">
        <v>7.6920000000000002E-5</v>
      </c>
      <c r="C5" s="3">
        <v>1.2799999999999999E-4</v>
      </c>
      <c r="D5" s="3">
        <v>-3.3599999999999998E-4</v>
      </c>
      <c r="E5" s="3">
        <v>0</v>
      </c>
      <c r="F5" s="3">
        <v>0</v>
      </c>
      <c r="G5" s="3">
        <v>0</v>
      </c>
      <c r="H5" s="3">
        <v>4.9494674999999997E-5</v>
      </c>
      <c r="I5" s="3">
        <v>1.2636277999999999E-5</v>
      </c>
      <c r="J5" s="3">
        <v>-1.3189467999999999E-4</v>
      </c>
      <c r="K5" s="3"/>
      <c r="L5" s="3">
        <f t="shared" si="0"/>
        <v>0.22892857142857145</v>
      </c>
      <c r="M5" s="3"/>
      <c r="N5" s="2">
        <f>IF('Modell einstellen'!$B$1="Voll",H5/0.35,H5/0.35*2)</f>
        <v>1.4141335714285715E-4</v>
      </c>
      <c r="O5" s="2">
        <f>IF('Modell einstellen'!$B$1="Voll",J5/0.35,J5/0.35*2)</f>
        <v>-3.7684194285714283E-4</v>
      </c>
      <c r="P5" s="3">
        <f t="shared" si="1"/>
        <v>0.37525907034309502</v>
      </c>
      <c r="Q5" s="3"/>
      <c r="R5" s="3"/>
      <c r="S5" s="3"/>
      <c r="T5" s="3"/>
      <c r="U5" s="3"/>
    </row>
    <row r="6" spans="1:21" x14ac:dyDescent="0.25">
      <c r="A6" s="3">
        <v>9.9999999999999998E-13</v>
      </c>
      <c r="B6" s="3">
        <v>7.6340000000000004E-5</v>
      </c>
      <c r="C6" s="3">
        <v>1.3100000000000001E-4</v>
      </c>
      <c r="D6" s="3">
        <v>-3.3930000000000001E-4</v>
      </c>
      <c r="E6" s="3">
        <v>0</v>
      </c>
      <c r="F6" s="3">
        <v>0</v>
      </c>
      <c r="G6" s="3">
        <v>0</v>
      </c>
      <c r="H6" s="3">
        <v>5.1125758000000003E-5</v>
      </c>
      <c r="I6" s="3">
        <v>1.2950241000000001E-5</v>
      </c>
      <c r="J6" s="3">
        <v>-1.3480082999999999E-4</v>
      </c>
      <c r="K6" s="3"/>
      <c r="L6" s="3">
        <f t="shared" si="0"/>
        <v>0.22499263188918361</v>
      </c>
      <c r="M6" s="3"/>
      <c r="N6" s="2">
        <f>IF('Modell einstellen'!$B$1="Voll",H6/0.35,H6/0.35*2)</f>
        <v>1.4607359428571429E-4</v>
      </c>
      <c r="O6" s="2">
        <f>IF('Modell einstellen'!$B$1="Voll",J6/0.35,J6/0.35*2)</f>
        <v>-3.8514522857142853E-4</v>
      </c>
      <c r="P6" s="3">
        <f t="shared" si="1"/>
        <v>0.37926886651959046</v>
      </c>
      <c r="Q6" s="3"/>
      <c r="R6" s="3"/>
      <c r="S6" s="3"/>
      <c r="T6" s="3"/>
      <c r="U6" s="3"/>
    </row>
    <row r="7" spans="1:21" x14ac:dyDescent="0.25">
      <c r="A7" s="3">
        <v>9.9999999999999994E-12</v>
      </c>
      <c r="B7" s="3">
        <v>7.5459999999999999E-5</v>
      </c>
      <c r="C7" s="3">
        <v>1.3430000000000001E-4</v>
      </c>
      <c r="D7" s="3">
        <v>-3.4279999999999998E-4</v>
      </c>
      <c r="E7" s="3">
        <v>0</v>
      </c>
      <c r="F7" s="3">
        <v>0</v>
      </c>
      <c r="G7" s="3">
        <v>0</v>
      </c>
      <c r="H7" s="3">
        <v>5.2992146000000003E-5</v>
      </c>
      <c r="I7" s="3">
        <v>1.3300959E-5</v>
      </c>
      <c r="J7" s="3">
        <v>-1.3809076999999999E-4</v>
      </c>
      <c r="K7" s="3"/>
      <c r="L7" s="3">
        <f t="shared" si="0"/>
        <v>0.22012835472578765</v>
      </c>
      <c r="M7" s="3"/>
      <c r="N7" s="2">
        <f>IF('Modell einstellen'!$B$1="Voll",H7/0.35,H7/0.35*2)</f>
        <v>1.5140613142857146E-4</v>
      </c>
      <c r="O7" s="2">
        <f>IF('Modell einstellen'!$B$1="Voll",J7/0.35,J7/0.35*2)</f>
        <v>-3.9454505714285712E-4</v>
      </c>
      <c r="P7" s="3">
        <f t="shared" si="1"/>
        <v>0.38374864590877444</v>
      </c>
      <c r="Q7" s="3"/>
      <c r="R7" s="3"/>
      <c r="S7" s="3"/>
      <c r="T7" s="3"/>
      <c r="U7" s="3"/>
    </row>
    <row r="8" spans="1:21" x14ac:dyDescent="0.25">
      <c r="A8" s="3">
        <v>1E-10</v>
      </c>
      <c r="B8" s="3">
        <v>7.4159999999999995E-5</v>
      </c>
      <c r="C8" s="3">
        <v>1.3799999999999999E-4</v>
      </c>
      <c r="D8" s="3">
        <v>-3.4640000000000002E-4</v>
      </c>
      <c r="E8" s="3">
        <v>0</v>
      </c>
      <c r="F8" s="3">
        <v>0</v>
      </c>
      <c r="G8" s="3">
        <v>0</v>
      </c>
      <c r="H8" s="3">
        <v>5.5188281000000003E-5</v>
      </c>
      <c r="I8" s="3">
        <v>1.3702416999999999E-5</v>
      </c>
      <c r="J8" s="3">
        <v>-1.4191567000000001E-4</v>
      </c>
      <c r="K8" s="3"/>
      <c r="L8" s="3">
        <f t="shared" si="0"/>
        <v>0.21408775981524247</v>
      </c>
      <c r="M8" s="3"/>
      <c r="N8" s="2">
        <f>IF('Modell einstellen'!$B$1="Voll",H8/0.35,H8/0.35*2)</f>
        <v>1.5768080285714288E-4</v>
      </c>
      <c r="O8" s="2">
        <f>IF('Modell einstellen'!$B$1="Voll",J8/0.35,J8/0.35*2)</f>
        <v>-4.054733428571429E-4</v>
      </c>
      <c r="P8" s="3">
        <f t="shared" si="1"/>
        <v>0.38888081210482256</v>
      </c>
      <c r="Q8" s="3"/>
      <c r="R8" s="3"/>
      <c r="S8" s="3"/>
      <c r="T8" s="3"/>
      <c r="U8" s="3"/>
    </row>
    <row r="9" spans="1:21" x14ac:dyDescent="0.25">
      <c r="A9" s="3">
        <v>1.0000000000000001E-9</v>
      </c>
      <c r="B9" s="3">
        <v>7.2440000000000004E-5</v>
      </c>
      <c r="C9" s="3">
        <v>1.4190000000000001E-4</v>
      </c>
      <c r="D9" s="3">
        <v>-3.4979999999999999E-4</v>
      </c>
      <c r="E9" s="3">
        <v>0</v>
      </c>
      <c r="F9" s="3">
        <v>0</v>
      </c>
      <c r="G9" s="3">
        <v>0</v>
      </c>
      <c r="H9" s="3">
        <v>5.7539464000000002E-5</v>
      </c>
      <c r="I9" s="3">
        <v>1.4117587E-5</v>
      </c>
      <c r="J9" s="3">
        <v>-1.4595031E-4</v>
      </c>
      <c r="K9" s="3"/>
      <c r="L9" s="3">
        <f t="shared" si="0"/>
        <v>0.20708976558033163</v>
      </c>
      <c r="M9" s="3"/>
      <c r="N9" s="2">
        <f>IF('Modell einstellen'!$B$1="Voll",H9/0.35,H9/0.35*2)</f>
        <v>1.643984685714286E-4</v>
      </c>
      <c r="O9" s="2">
        <f>IF('Modell einstellen'!$B$1="Voll",J9/0.35,J9/0.35*2)</f>
        <v>-4.1700088571428577E-4</v>
      </c>
      <c r="P9" s="3">
        <f t="shared" si="1"/>
        <v>0.39424009445406455</v>
      </c>
      <c r="Q9" s="3"/>
      <c r="R9" s="3"/>
      <c r="S9" s="3"/>
      <c r="T9" s="3"/>
      <c r="U9" s="3"/>
    </row>
    <row r="10" spans="1:21" x14ac:dyDescent="0.25">
      <c r="A10" s="3">
        <v>1E-8</v>
      </c>
      <c r="B10" s="3">
        <v>7.038E-5</v>
      </c>
      <c r="C10" s="3">
        <v>1.4569999999999999E-4</v>
      </c>
      <c r="D10" s="3">
        <v>-3.5270000000000001E-4</v>
      </c>
      <c r="E10" s="3">
        <v>0</v>
      </c>
      <c r="F10" s="3">
        <v>0</v>
      </c>
      <c r="G10" s="3">
        <v>0</v>
      </c>
      <c r="H10" s="3">
        <v>5.9945326999999997E-5</v>
      </c>
      <c r="I10" s="3">
        <v>1.4528255E-5</v>
      </c>
      <c r="J10" s="3">
        <v>-1.5002066E-4</v>
      </c>
      <c r="K10" s="3"/>
      <c r="L10" s="3">
        <f t="shared" si="0"/>
        <v>0.19954635667706266</v>
      </c>
      <c r="M10" s="3"/>
      <c r="N10" s="2">
        <f>IF('Modell einstellen'!$B$1="Voll",H10/0.35,H10/0.35*2)</f>
        <v>1.7127236285714286E-4</v>
      </c>
      <c r="O10" s="2">
        <f>IF('Modell einstellen'!$B$1="Voll",J10/0.35,J10/0.35*2)</f>
        <v>-4.2863045714285715E-4</v>
      </c>
      <c r="P10" s="3">
        <f t="shared" si="1"/>
        <v>0.39958047778219347</v>
      </c>
      <c r="Q10" s="3"/>
      <c r="R10" s="3"/>
      <c r="S10" s="3"/>
      <c r="T10" s="3"/>
      <c r="U10" s="3"/>
    </row>
    <row r="11" spans="1:21" x14ac:dyDescent="0.25">
      <c r="A11" s="3">
        <v>9.9999999999999995E-8</v>
      </c>
      <c r="B11" s="3">
        <v>6.7390000000000004E-5</v>
      </c>
      <c r="C11" s="3">
        <v>1.5029999999999999E-4</v>
      </c>
      <c r="D11" s="3">
        <v>-3.5579999999999997E-4</v>
      </c>
      <c r="E11" s="3">
        <v>0</v>
      </c>
      <c r="F11" s="3">
        <v>0</v>
      </c>
      <c r="G11" s="3">
        <v>0</v>
      </c>
      <c r="H11" s="3">
        <v>6.2969661999999997E-5</v>
      </c>
      <c r="I11" s="3">
        <v>1.5025177E-5</v>
      </c>
      <c r="J11" s="3">
        <v>-1.5505879000000001E-4</v>
      </c>
      <c r="K11" s="3"/>
      <c r="L11" s="3">
        <f t="shared" si="0"/>
        <v>0.18940415964024734</v>
      </c>
      <c r="M11" s="3"/>
      <c r="N11" s="2">
        <f>IF('Modell einstellen'!$B$1="Voll",H11/0.35,H11/0.35*2)</f>
        <v>1.7991331999999999E-4</v>
      </c>
      <c r="O11" s="2">
        <f>IF('Modell einstellen'!$B$1="Voll",J11/0.35,J11/0.35*2)</f>
        <v>-4.4302511428571435E-4</v>
      </c>
      <c r="P11" s="3">
        <f t="shared" si="1"/>
        <v>0.40610185336800314</v>
      </c>
      <c r="Q11" s="3"/>
      <c r="R11" s="3"/>
      <c r="S11" s="3"/>
      <c r="T11" s="3"/>
      <c r="U11" s="3"/>
    </row>
    <row r="12" spans="1:21" x14ac:dyDescent="0.25">
      <c r="A12" s="3">
        <v>9.9999999999999995E-7</v>
      </c>
      <c r="B12" s="3">
        <v>6.2849999999999996E-5</v>
      </c>
      <c r="C12" s="3">
        <v>1.56E-4</v>
      </c>
      <c r="D12" s="3">
        <v>-3.5859999999999999E-4</v>
      </c>
      <c r="E12" s="3">
        <v>0</v>
      </c>
      <c r="F12" s="3">
        <v>0</v>
      </c>
      <c r="G12" s="3">
        <v>0</v>
      </c>
      <c r="H12" s="3">
        <v>6.6915754000000001E-5</v>
      </c>
      <c r="I12" s="3">
        <v>1.5641276E-5</v>
      </c>
      <c r="J12" s="3">
        <v>-1.6150069999999999E-4</v>
      </c>
      <c r="K12" s="3"/>
      <c r="L12" s="3">
        <f t="shared" si="0"/>
        <v>0.17526491912994979</v>
      </c>
      <c r="M12" s="3"/>
      <c r="N12" s="2">
        <f>IF('Modell einstellen'!$B$1="Voll",H12/0.35,H12/0.35*2)</f>
        <v>1.9118786857142859E-4</v>
      </c>
      <c r="O12" s="2">
        <f>IF('Modell einstellen'!$B$1="Voll",J12/0.35,J12/0.35*2)</f>
        <v>-4.6143057142857143E-4</v>
      </c>
      <c r="P12" s="3">
        <f t="shared" si="1"/>
        <v>0.41433723816676959</v>
      </c>
      <c r="Q12" s="3"/>
      <c r="R12" s="3"/>
      <c r="S12" s="3"/>
      <c r="T12" s="3"/>
      <c r="U12" s="3"/>
    </row>
    <row r="13" spans="1:21" x14ac:dyDescent="0.25">
      <c r="A13" s="3">
        <v>1.0000000000000001E-5</v>
      </c>
      <c r="B13" s="3">
        <v>5.6740000000000002E-5</v>
      </c>
      <c r="C13" s="3">
        <v>1.6200000000000001E-4</v>
      </c>
      <c r="D13" s="3">
        <v>-3.6049999999999998E-4</v>
      </c>
      <c r="E13" s="3">
        <v>0</v>
      </c>
      <c r="F13" s="3">
        <v>0</v>
      </c>
      <c r="G13" s="3">
        <v>0</v>
      </c>
      <c r="H13" s="3">
        <v>7.1473915000000001E-5</v>
      </c>
      <c r="I13" s="3">
        <v>1.6308844999999999E-5</v>
      </c>
      <c r="J13" s="3">
        <v>-1.6876166000000001E-4</v>
      </c>
      <c r="K13" s="3"/>
      <c r="L13" s="3">
        <f t="shared" si="0"/>
        <v>0.15739251040221916</v>
      </c>
      <c r="M13" s="3"/>
      <c r="N13" s="2">
        <f>IF('Modell einstellen'!$B$1="Voll",H13/0.35,H13/0.35*2)</f>
        <v>2.0421118571428573E-4</v>
      </c>
      <c r="O13" s="2">
        <f>IF('Modell einstellen'!$B$1="Voll",J13/0.35,J13/0.35*2)</f>
        <v>-4.8217617142857149E-4</v>
      </c>
      <c r="P13" s="3">
        <f t="shared" si="1"/>
        <v>0.42351986227203497</v>
      </c>
      <c r="Q13" s="3"/>
      <c r="R13" s="3"/>
      <c r="S13" s="3"/>
      <c r="T13" s="3"/>
      <c r="U13" s="3"/>
    </row>
    <row r="14" spans="1:21" x14ac:dyDescent="0.25">
      <c r="A14" s="3">
        <v>1E-4</v>
      </c>
      <c r="B14" s="3">
        <v>5.0149999999999999E-5</v>
      </c>
      <c r="C14" s="3">
        <v>1.673E-4</v>
      </c>
      <c r="D14" s="3">
        <v>-3.6089999999999999E-4</v>
      </c>
      <c r="E14" s="3">
        <v>0</v>
      </c>
      <c r="F14" s="3">
        <v>0</v>
      </c>
      <c r="G14" s="3">
        <v>0</v>
      </c>
      <c r="H14" s="3">
        <v>7.5791197000000006E-5</v>
      </c>
      <c r="I14" s="3">
        <v>1.6899811E-5</v>
      </c>
      <c r="J14" s="3">
        <v>-1.7547010000000001E-4</v>
      </c>
      <c r="K14" s="3"/>
      <c r="L14" s="3">
        <f t="shared" si="0"/>
        <v>0.13895816015516763</v>
      </c>
      <c r="M14" s="3"/>
      <c r="N14" s="2">
        <f>IF('Modell einstellen'!$B$1="Voll",H14/0.35,H14/0.35*2)</f>
        <v>2.1654627714285716E-4</v>
      </c>
      <c r="O14" s="2">
        <f>IF('Modell einstellen'!$B$1="Voll",J14/0.35,J14/0.35*2)</f>
        <v>-5.013431428571429E-4</v>
      </c>
      <c r="P14" s="3">
        <f t="shared" si="1"/>
        <v>0.43193226082392383</v>
      </c>
      <c r="Q14" s="3"/>
      <c r="R14" s="3"/>
      <c r="S14" s="3"/>
      <c r="T14" s="3"/>
      <c r="U14" s="3"/>
    </row>
    <row r="15" spans="1:21" x14ac:dyDescent="0.25">
      <c r="A15" s="3">
        <v>1E-3</v>
      </c>
      <c r="B15" s="3">
        <v>4.3010000000000003E-5</v>
      </c>
      <c r="C15" s="3">
        <v>1.7220000000000001E-4</v>
      </c>
      <c r="D15" s="3">
        <v>-3.6019999999999997E-4</v>
      </c>
      <c r="E15" s="3">
        <v>0</v>
      </c>
      <c r="F15" s="3">
        <v>0</v>
      </c>
      <c r="G15" s="3">
        <v>0</v>
      </c>
      <c r="H15" s="3">
        <v>8.0073309000000003E-5</v>
      </c>
      <c r="I15" s="3">
        <v>1.7453428000000001E-5</v>
      </c>
      <c r="J15" s="3">
        <v>-1.8199165E-4</v>
      </c>
      <c r="K15" s="3"/>
      <c r="L15" s="3">
        <f t="shared" si="0"/>
        <v>0.11940588561910052</v>
      </c>
      <c r="M15" s="3"/>
      <c r="N15" s="2">
        <f>IF('Modell einstellen'!$B$1="Voll",H15/0.35,H15/0.35*2)</f>
        <v>2.2878088285714288E-4</v>
      </c>
      <c r="O15" s="2">
        <f>IF('Modell einstellen'!$B$1="Voll",J15/0.35,J15/0.35*2)</f>
        <v>-5.199761428571429E-4</v>
      </c>
      <c r="P15" s="3">
        <f t="shared" si="1"/>
        <v>0.43998342231635351</v>
      </c>
      <c r="Q15" s="3"/>
      <c r="R15" s="3"/>
      <c r="S15" s="3"/>
      <c r="T15" s="3"/>
      <c r="U15" s="3"/>
    </row>
    <row r="16" spans="1:21" x14ac:dyDescent="0.25">
      <c r="A16" s="3">
        <v>0.01</v>
      </c>
      <c r="B16" s="3">
        <v>3.451E-5</v>
      </c>
      <c r="C16" s="3">
        <v>1.773E-4</v>
      </c>
      <c r="D16" s="3">
        <v>-3.5829999999999998E-4</v>
      </c>
      <c r="E16" s="3">
        <v>0</v>
      </c>
      <c r="F16" s="3">
        <v>0</v>
      </c>
      <c r="G16" s="3">
        <v>0</v>
      </c>
      <c r="H16" s="3">
        <v>8.4771463999999995E-5</v>
      </c>
      <c r="I16" s="3">
        <v>1.8024054E-5</v>
      </c>
      <c r="J16" s="3">
        <v>-1.8899739000000001E-4</v>
      </c>
      <c r="K16" s="3"/>
      <c r="L16" s="3">
        <f t="shared" si="0"/>
        <v>9.6315936366173596E-2</v>
      </c>
      <c r="M16" s="3"/>
      <c r="N16" s="2">
        <f>IF('Modell einstellen'!$B$1="Voll",H16/0.35,H16/0.35*2)</f>
        <v>2.4220418285714285E-4</v>
      </c>
      <c r="O16" s="2">
        <f>IF('Modell einstellen'!$B$1="Voll",J16/0.35,J16/0.35*2)</f>
        <v>-5.3999254285714291E-4</v>
      </c>
      <c r="P16" s="3">
        <f t="shared" si="1"/>
        <v>0.44853245856993046</v>
      </c>
      <c r="Q16" s="3"/>
      <c r="R16" s="3"/>
      <c r="S16" s="3"/>
      <c r="T16" s="3"/>
      <c r="U16" s="3"/>
    </row>
    <row r="17" spans="1:21" x14ac:dyDescent="0.25">
      <c r="A17" s="3">
        <v>0.1</v>
      </c>
      <c r="B17" s="3">
        <v>2.419E-5</v>
      </c>
      <c r="C17" s="3">
        <v>1.8249999999999999E-4</v>
      </c>
      <c r="D17" s="3">
        <v>-3.5500000000000001E-4</v>
      </c>
      <c r="E17" s="3">
        <v>0</v>
      </c>
      <c r="F17" s="3">
        <v>0</v>
      </c>
      <c r="G17" s="3">
        <v>0</v>
      </c>
      <c r="H17" s="3">
        <v>9.0081130999999999E-5</v>
      </c>
      <c r="I17" s="3">
        <v>1.8629878999999998E-5</v>
      </c>
      <c r="J17" s="3">
        <v>-1.9675481000000001E-4</v>
      </c>
      <c r="K17" s="3"/>
      <c r="L17" s="3">
        <f t="shared" si="0"/>
        <v>6.8140845070422534E-2</v>
      </c>
      <c r="M17" s="3"/>
      <c r="N17" s="2">
        <f>IF('Modell einstellen'!$B$1="Voll",H17/0.35,H17/0.35*2)</f>
        <v>2.5737466000000001E-4</v>
      </c>
      <c r="O17" s="2">
        <f>IF('Modell einstellen'!$B$1="Voll",J17/0.35,J17/0.35*2)</f>
        <v>-5.6215660000000006E-4</v>
      </c>
      <c r="P17" s="3">
        <f t="shared" si="1"/>
        <v>0.4578344539582031</v>
      </c>
      <c r="Q17" s="3"/>
      <c r="R17" s="3"/>
      <c r="S17" s="3"/>
      <c r="T17" s="3"/>
      <c r="U17" s="3"/>
    </row>
    <row r="18" spans="1:21" x14ac:dyDescent="0.25">
      <c r="A18" s="3">
        <v>1</v>
      </c>
      <c r="B18" s="3">
        <v>1.2449999999999999E-5</v>
      </c>
      <c r="C18" s="3">
        <v>1.8799999999999999E-4</v>
      </c>
      <c r="D18" s="3">
        <v>-3.503E-4</v>
      </c>
      <c r="E18" s="3">
        <v>0</v>
      </c>
      <c r="F18" s="3">
        <v>0</v>
      </c>
      <c r="G18" s="3">
        <v>0</v>
      </c>
      <c r="H18" s="3">
        <v>9.5830966999999994E-5</v>
      </c>
      <c r="I18" s="3">
        <v>1.9259591E-5</v>
      </c>
      <c r="J18" s="3">
        <v>-2.0503179000000001E-4</v>
      </c>
      <c r="K18" s="3"/>
      <c r="L18" s="3">
        <f t="shared" si="0"/>
        <v>3.5540964887239505E-2</v>
      </c>
      <c r="M18" s="3"/>
      <c r="N18" s="2">
        <f>IF('Modell einstellen'!$B$1="Voll",H18/0.35,H18/0.35*2)</f>
        <v>2.7380276285714287E-4</v>
      </c>
      <c r="O18" s="2">
        <f>IF('Modell einstellen'!$B$1="Voll",J18/0.35,J18/0.35*2)</f>
        <v>-5.8580511428571436E-4</v>
      </c>
      <c r="P18" s="3">
        <f t="shared" si="1"/>
        <v>0.46739565118170207</v>
      </c>
      <c r="Q18" s="3"/>
      <c r="R18" s="3"/>
      <c r="S18" s="3"/>
      <c r="T18" s="3"/>
      <c r="U18" s="3"/>
    </row>
    <row r="19" spans="1:21" x14ac:dyDescent="0.25">
      <c r="A19" s="3">
        <v>10</v>
      </c>
      <c r="B19" s="3">
        <v>-5.2470000000000003E-7</v>
      </c>
      <c r="C19" s="3">
        <v>1.962E-4</v>
      </c>
      <c r="D19" s="3">
        <v>-3.4719999999999998E-4</v>
      </c>
      <c r="E19" s="3">
        <v>0</v>
      </c>
      <c r="F19" s="3">
        <v>0</v>
      </c>
      <c r="G19" s="3">
        <v>0</v>
      </c>
      <c r="H19" s="3">
        <v>1.0319301E-4</v>
      </c>
      <c r="I19" s="3">
        <v>2.0233285000000001E-5</v>
      </c>
      <c r="J19" s="3">
        <v>-2.1614269000000001E-4</v>
      </c>
      <c r="K19" s="3"/>
      <c r="L19" s="3">
        <f t="shared" si="0"/>
        <v>-1.5112327188940094E-3</v>
      </c>
      <c r="M19" s="3"/>
      <c r="N19" s="2">
        <f>IF('Modell einstellen'!$B$1="Voll",H19/0.35,H19/0.35*2)</f>
        <v>2.9483717142857142E-4</v>
      </c>
      <c r="O19" s="2">
        <f>IF('Modell einstellen'!$B$1="Voll",J19/0.35,J19/0.35*2)</f>
        <v>-6.1755054285714294E-4</v>
      </c>
      <c r="P19" s="3">
        <f t="shared" si="1"/>
        <v>0.47743002550768654</v>
      </c>
      <c r="Q19" s="3"/>
      <c r="R19" s="3"/>
      <c r="S19" s="3"/>
      <c r="T19" s="3"/>
      <c r="U19" s="3"/>
    </row>
    <row r="20" spans="1:21" x14ac:dyDescent="0.25">
      <c r="A20" s="3">
        <v>100</v>
      </c>
      <c r="B20" s="3">
        <v>-3.6909999999999999E-6</v>
      </c>
      <c r="C20" s="3">
        <v>2.1780000000000001E-4</v>
      </c>
      <c r="D20" s="3">
        <v>-3.659E-4</v>
      </c>
      <c r="E20" s="3">
        <v>0</v>
      </c>
      <c r="F20" s="3">
        <v>0</v>
      </c>
      <c r="G20" s="3">
        <v>0</v>
      </c>
      <c r="H20" s="3">
        <v>1.1382526000000001E-4</v>
      </c>
      <c r="I20" s="3">
        <v>2.2823466999999999E-5</v>
      </c>
      <c r="J20" s="3">
        <v>-2.3607996999999999E-4</v>
      </c>
      <c r="K20" s="3"/>
      <c r="L20" s="3">
        <f t="shared" si="0"/>
        <v>-1.0087455588958731E-2</v>
      </c>
      <c r="M20" s="3"/>
      <c r="N20" s="2">
        <f>IF('Modell einstellen'!$B$1="Voll",H20/0.35,H20/0.35*2)</f>
        <v>3.252150285714286E-4</v>
      </c>
      <c r="O20" s="2">
        <f>IF('Modell einstellen'!$B$1="Voll",J20/0.35,J20/0.35*2)</f>
        <v>-6.7451420000000004E-4</v>
      </c>
      <c r="P20" s="3">
        <f t="shared" si="1"/>
        <v>0.48214704534230501</v>
      </c>
      <c r="Q20" s="3"/>
      <c r="R20" s="3"/>
      <c r="S20" s="3"/>
      <c r="T20" s="3"/>
      <c r="U20" s="3"/>
    </row>
    <row r="21" spans="1:21" x14ac:dyDescent="0.25">
      <c r="A21" s="3">
        <v>1000</v>
      </c>
      <c r="B21" s="3">
        <v>1.6229999999999999E-5</v>
      </c>
      <c r="C21" s="3">
        <v>2.631E-4</v>
      </c>
      <c r="D21" s="3">
        <v>-4.2870000000000001E-4</v>
      </c>
      <c r="E21" s="3">
        <v>0</v>
      </c>
      <c r="F21" s="3">
        <v>0</v>
      </c>
      <c r="G21" s="3">
        <v>0</v>
      </c>
      <c r="H21" s="3">
        <v>1.2880958000000001E-4</v>
      </c>
      <c r="I21" s="3">
        <v>2.8440001000000002E-5</v>
      </c>
      <c r="J21" s="3">
        <v>-2.7085371999999999E-4</v>
      </c>
      <c r="K21" s="3"/>
      <c r="L21" s="3">
        <f t="shared" si="0"/>
        <v>3.7858642407277814E-2</v>
      </c>
      <c r="M21" s="3"/>
      <c r="N21" s="2">
        <f>IF('Modell einstellen'!$B$1="Voll",H21/0.35,H21/0.35*2)</f>
        <v>3.6802737142857149E-4</v>
      </c>
      <c r="O21" s="2">
        <f>IF('Modell einstellen'!$B$1="Voll",J21/0.35,J21/0.35*2)</f>
        <v>-7.7386777142857144E-4</v>
      </c>
      <c r="P21" s="3">
        <f t="shared" si="1"/>
        <v>0.47556880518384614</v>
      </c>
      <c r="Q21" s="3"/>
      <c r="R21" s="3"/>
      <c r="S21" s="3"/>
      <c r="T21" s="3"/>
      <c r="U21" s="3"/>
    </row>
    <row r="22" spans="1:21" x14ac:dyDescent="0.25">
      <c r="A22" s="3">
        <v>10000</v>
      </c>
      <c r="B22" s="3">
        <v>3.9629999999999998E-5</v>
      </c>
      <c r="C22" s="3">
        <v>3.2489999999999998E-4</v>
      </c>
      <c r="D22" s="3">
        <v>-5.1110000000000001E-4</v>
      </c>
      <c r="E22" s="3">
        <v>0</v>
      </c>
      <c r="F22" s="3">
        <v>0</v>
      </c>
      <c r="G22" s="3">
        <v>0</v>
      </c>
      <c r="H22" s="3">
        <v>1.4833747999999999E-4</v>
      </c>
      <c r="I22" s="3">
        <v>3.6479283000000002E-5</v>
      </c>
      <c r="J22" s="3">
        <v>-3.1887689999999998E-4</v>
      </c>
      <c r="K22" s="3"/>
      <c r="L22" s="3">
        <f t="shared" si="0"/>
        <v>7.7538642144394432E-2</v>
      </c>
      <c r="M22" s="3"/>
      <c r="N22" s="2">
        <f>IF('Modell einstellen'!$B$1="Voll",H22/0.35,H22/0.35*2)</f>
        <v>4.2382137142857145E-4</v>
      </c>
      <c r="O22" s="2">
        <f>IF('Modell einstellen'!$B$1="Voll",J22/0.35,J22/0.35*2)</f>
        <v>-9.1107685714285716E-4</v>
      </c>
      <c r="P22" s="3">
        <f t="shared" si="1"/>
        <v>0.46518728700636519</v>
      </c>
      <c r="Q22" s="3"/>
      <c r="R22" s="3"/>
      <c r="S22" s="3"/>
      <c r="T22" s="3"/>
      <c r="U22" s="3"/>
    </row>
    <row r="23" spans="1:21" x14ac:dyDescent="0.25">
      <c r="A23" s="3">
        <v>100000</v>
      </c>
      <c r="B23" s="3">
        <v>4.4780000000000002E-5</v>
      </c>
      <c r="C23" s="3">
        <v>3.9800000000000002E-4</v>
      </c>
      <c r="D23" s="3">
        <v>-5.8770000000000003E-4</v>
      </c>
      <c r="E23" s="3">
        <v>0</v>
      </c>
      <c r="F23" s="3">
        <v>0</v>
      </c>
      <c r="G23" s="3">
        <v>0</v>
      </c>
      <c r="H23" s="3">
        <v>1.7455638E-4</v>
      </c>
      <c r="I23" s="3">
        <v>4.6553130000000002E-5</v>
      </c>
      <c r="J23" s="3">
        <v>-3.8126141999999998E-4</v>
      </c>
      <c r="K23" s="3"/>
      <c r="L23" s="3">
        <f t="shared" si="0"/>
        <v>7.6195337757359191E-2</v>
      </c>
      <c r="M23" s="3"/>
      <c r="N23" s="2">
        <f>IF('Modell einstellen'!$B$1="Voll",H23/0.35,H23/0.35*2)</f>
        <v>4.9873251428571427E-4</v>
      </c>
      <c r="O23" s="2">
        <f>IF('Modell einstellen'!$B$1="Voll",J23/0.35,J23/0.35*2)</f>
        <v>-1.0893183428571428E-3</v>
      </c>
      <c r="P23" s="3">
        <f t="shared" si="1"/>
        <v>0.45783908584298932</v>
      </c>
      <c r="Q23" s="3"/>
      <c r="R23" s="3"/>
      <c r="S23" s="3"/>
      <c r="T23" s="3"/>
      <c r="U23" s="3"/>
    </row>
    <row r="24" spans="1:21" x14ac:dyDescent="0.25">
      <c r="A24" s="3">
        <v>1000000</v>
      </c>
      <c r="B24" s="3">
        <v>7.9310000000000008E-6</v>
      </c>
      <c r="C24" s="3">
        <v>4.8879999999999996E-4</v>
      </c>
      <c r="D24" s="3">
        <v>-6.4190000000000004E-4</v>
      </c>
      <c r="E24" s="3">
        <v>0</v>
      </c>
      <c r="F24" s="3">
        <v>0</v>
      </c>
      <c r="G24" s="3">
        <v>0</v>
      </c>
      <c r="H24" s="3">
        <v>2.131713E-4</v>
      </c>
      <c r="I24" s="3">
        <v>5.9943830999999998E-5</v>
      </c>
      <c r="J24" s="3">
        <v>-4.6848381000000002E-4</v>
      </c>
      <c r="K24" s="3"/>
      <c r="L24" s="3">
        <f t="shared" si="0"/>
        <v>1.2355507088331516E-2</v>
      </c>
      <c r="M24" s="3"/>
      <c r="N24" s="2">
        <f>IF('Modell einstellen'!$B$1="Voll",H24/0.35,H24/0.35*2)</f>
        <v>6.0906085714285715E-4</v>
      </c>
      <c r="O24" s="2">
        <f>IF('Modell einstellen'!$B$1="Voll",J24/0.35,J24/0.35*2)</f>
        <v>-1.3385251714285716E-3</v>
      </c>
      <c r="P24" s="3">
        <f t="shared" si="1"/>
        <v>0.45502383529539681</v>
      </c>
      <c r="Q24" s="3"/>
      <c r="R24" s="3"/>
      <c r="S24" s="3"/>
      <c r="T24" s="3"/>
      <c r="U24" s="3"/>
    </row>
    <row r="25" spans="1:21" x14ac:dyDescent="0.25">
      <c r="A25" s="3">
        <v>10000000</v>
      </c>
      <c r="B25" s="3">
        <v>-1.154E-4</v>
      </c>
      <c r="C25" s="3">
        <v>6.1669999999999997E-4</v>
      </c>
      <c r="D25" s="3">
        <v>-6.4840000000000004E-4</v>
      </c>
      <c r="E25" s="3">
        <v>0</v>
      </c>
      <c r="F25" s="3">
        <v>0</v>
      </c>
      <c r="G25" s="3">
        <v>0</v>
      </c>
      <c r="H25" s="3">
        <v>2.7618981E-4</v>
      </c>
      <c r="I25" s="3">
        <v>8.0056229999999996E-5</v>
      </c>
      <c r="J25" s="3">
        <v>-6.0494827999999997E-4</v>
      </c>
      <c r="K25" s="3"/>
      <c r="L25" s="3">
        <f t="shared" si="0"/>
        <v>-0.17797655768044415</v>
      </c>
      <c r="M25" s="3"/>
      <c r="N25" s="2">
        <f>IF('Modell einstellen'!$B$1="Voll",H25/0.35,H25/0.35*2)</f>
        <v>7.8911374285714291E-4</v>
      </c>
      <c r="O25" s="2">
        <f>IF('Modell einstellen'!$B$1="Voll",J25/0.35,J25/0.35*2)</f>
        <v>-1.7284236571428573E-3</v>
      </c>
      <c r="P25" s="3">
        <f t="shared" si="1"/>
        <v>0.45655111210498855</v>
      </c>
      <c r="Q25" s="3"/>
      <c r="R25" s="3"/>
      <c r="S25" s="3"/>
      <c r="T25" s="3"/>
      <c r="U25" s="3"/>
    </row>
    <row r="26" spans="1:21" x14ac:dyDescent="0.25">
      <c r="A26" s="3">
        <v>100000000</v>
      </c>
      <c r="B26" s="3">
        <v>-3.9740000000000001E-4</v>
      </c>
      <c r="C26" s="3">
        <v>8.0789999999999996E-4</v>
      </c>
      <c r="D26" s="3">
        <v>-5.5999999999999995E-4</v>
      </c>
      <c r="E26" s="3">
        <v>0</v>
      </c>
      <c r="F26" s="3">
        <v>0</v>
      </c>
      <c r="G26" s="3">
        <v>0</v>
      </c>
      <c r="H26" s="3">
        <v>3.7932374000000001E-4</v>
      </c>
      <c r="I26" s="3">
        <v>1.1183627E-4</v>
      </c>
      <c r="J26" s="3">
        <v>-8.2424904000000005E-4</v>
      </c>
      <c r="K26" s="3"/>
      <c r="L26" s="3">
        <f t="shared" si="0"/>
        <v>-0.70964285714285724</v>
      </c>
      <c r="M26" s="3"/>
      <c r="N26" s="2">
        <f>IF('Modell einstellen'!$B$1="Voll",H26/0.35,H26/0.35*2)</f>
        <v>1.0837821142857143E-3</v>
      </c>
      <c r="O26" s="2">
        <f>IF('Modell einstellen'!$B$1="Voll",J26/0.35,J26/0.35*2)</f>
        <v>-2.3549972571428575E-3</v>
      </c>
      <c r="P26" s="3">
        <f t="shared" si="1"/>
        <v>0.46020525544075847</v>
      </c>
      <c r="Q26" s="3"/>
      <c r="R26" s="3"/>
      <c r="S26" s="3"/>
      <c r="T26" s="3"/>
      <c r="U26" s="3"/>
    </row>
    <row r="27" spans="1:21" x14ac:dyDescent="0.25">
      <c r="A27" s="3">
        <v>1000000000</v>
      </c>
      <c r="B27" s="3">
        <v>-8.7940000000000002E-4</v>
      </c>
      <c r="C27" s="3">
        <v>1.073E-3</v>
      </c>
      <c r="D27" s="3">
        <v>-3.4529999999999999E-4</v>
      </c>
      <c r="E27" s="3">
        <v>0</v>
      </c>
      <c r="F27" s="3">
        <v>0</v>
      </c>
      <c r="G27" s="3">
        <v>0</v>
      </c>
      <c r="H27" s="3">
        <v>5.2803705999999995E-4</v>
      </c>
      <c r="I27" s="3">
        <v>1.5758047000000001E-4</v>
      </c>
      <c r="J27" s="3">
        <v>-1.1399318999999999E-3</v>
      </c>
      <c r="K27" s="3"/>
      <c r="L27" s="3">
        <f t="shared" si="0"/>
        <v>-2.5467709238343472</v>
      </c>
      <c r="M27" s="3"/>
      <c r="N27" s="2">
        <f>IF('Modell einstellen'!$B$1="Voll",H27/0.35,H27/0.35*2)</f>
        <v>1.5086773142857141E-3</v>
      </c>
      <c r="O27" s="2">
        <f>IF('Modell einstellen'!$B$1="Voll",J27/0.35,J27/0.35*2)</f>
        <v>-3.2569482857142855E-3</v>
      </c>
      <c r="P27" s="3">
        <f t="shared" si="1"/>
        <v>0.4632180746937602</v>
      </c>
      <c r="Q27" s="3"/>
      <c r="R27" s="3"/>
      <c r="S27" s="3"/>
      <c r="T27" s="3"/>
      <c r="U27" s="3"/>
    </row>
    <row r="28" spans="1:21" x14ac:dyDescent="0.25">
      <c r="A28" s="3">
        <v>10000000000</v>
      </c>
      <c r="B28" s="3">
        <v>-1.5100000000000001E-3</v>
      </c>
      <c r="C28" s="3">
        <v>1.3929999999999999E-3</v>
      </c>
      <c r="D28" s="3">
        <v>-3.481E-5</v>
      </c>
      <c r="E28" s="3">
        <v>0</v>
      </c>
      <c r="F28" s="3">
        <v>0</v>
      </c>
      <c r="G28" s="3">
        <v>0</v>
      </c>
      <c r="H28" s="3">
        <v>7.0742853999999997E-4</v>
      </c>
      <c r="I28" s="3">
        <v>2.1389018000000001E-4</v>
      </c>
      <c r="J28" s="3">
        <v>-1.5243534999999999E-3</v>
      </c>
      <c r="K28" s="3"/>
      <c r="L28" s="3">
        <f t="shared" si="0"/>
        <v>-43.378339557598395</v>
      </c>
      <c r="M28" s="3"/>
      <c r="N28" s="2">
        <f>IF('Modell einstellen'!$B$1="Voll",H28/0.35,H28/0.35*2)</f>
        <v>2.0212244E-3</v>
      </c>
      <c r="O28" s="2">
        <f>IF('Modell einstellen'!$B$1="Voll",J28/0.35,J28/0.35*2)</f>
        <v>-4.3552957142857143E-3</v>
      </c>
      <c r="P28" s="3">
        <f t="shared" si="1"/>
        <v>0.46408430852817278</v>
      </c>
      <c r="Q28" s="3"/>
      <c r="R28" s="3"/>
      <c r="S28" s="3"/>
      <c r="T28" s="3"/>
      <c r="U28" s="3"/>
    </row>
    <row r="29" spans="1:21" x14ac:dyDescent="0.25">
      <c r="A29" s="3">
        <v>100000000000</v>
      </c>
      <c r="B29" s="3">
        <v>-2.0279999999999999E-3</v>
      </c>
      <c r="C29" s="3">
        <v>1.665E-3</v>
      </c>
      <c r="D29" s="3">
        <v>2.0990000000000001E-4</v>
      </c>
      <c r="E29" s="3">
        <v>0</v>
      </c>
      <c r="F29" s="3">
        <v>0</v>
      </c>
      <c r="G29" s="3">
        <v>0</v>
      </c>
      <c r="H29" s="3">
        <v>8.5224786999999998E-4</v>
      </c>
      <c r="I29" s="3">
        <v>2.6251779999999998E-4</v>
      </c>
      <c r="J29" s="3">
        <v>-1.8457802000000001E-3</v>
      </c>
      <c r="K29" s="3"/>
      <c r="L29" s="3">
        <f t="shared" si="0"/>
        <v>9.6617436874702225</v>
      </c>
      <c r="M29" s="3"/>
      <c r="N29" s="2">
        <f>IF('Modell einstellen'!$B$1="Voll",H29/0.35,H29/0.35*2)</f>
        <v>2.4349939142857143E-3</v>
      </c>
      <c r="O29" s="2">
        <f>IF('Modell einstellen'!$B$1="Voll",J29/0.35,J29/0.35*2)</f>
        <v>-5.2736577142857149E-3</v>
      </c>
      <c r="P29" s="3">
        <f t="shared" si="1"/>
        <v>0.4617277127579979</v>
      </c>
      <c r="Q29" s="3"/>
      <c r="R29" s="3"/>
      <c r="S29" s="3"/>
      <c r="T29" s="3"/>
      <c r="U29" s="3"/>
    </row>
    <row r="30" spans="1:21" x14ac:dyDescent="0.25">
      <c r="A30" s="3">
        <v>1000000000000</v>
      </c>
      <c r="B30" s="3">
        <v>-2.3809999999999999E-3</v>
      </c>
      <c r="C30" s="3">
        <v>1.864E-3</v>
      </c>
      <c r="D30" s="3">
        <v>3.637E-4</v>
      </c>
      <c r="E30" s="3">
        <v>0</v>
      </c>
      <c r="F30" s="3">
        <v>0</v>
      </c>
      <c r="G30" s="3">
        <v>0</v>
      </c>
      <c r="H30" s="3">
        <v>9.5255473E-4</v>
      </c>
      <c r="I30" s="3">
        <v>2.9830638000000003E-4</v>
      </c>
      <c r="J30" s="3">
        <v>-2.0758319000000001E-3</v>
      </c>
      <c r="K30" s="3"/>
      <c r="L30" s="3">
        <f t="shared" si="0"/>
        <v>6.5466043442397579</v>
      </c>
      <c r="M30" s="3"/>
      <c r="N30" s="2">
        <f>IF('Modell einstellen'!$B$1="Voll",H30/0.35,H30/0.35*2)</f>
        <v>2.721584942857143E-3</v>
      </c>
      <c r="O30" s="2">
        <f>IF('Modell einstellen'!$B$1="Voll",J30/0.35,J30/0.35*2)</f>
        <v>-5.9309482857142866E-3</v>
      </c>
      <c r="P30" s="3">
        <f t="shared" si="1"/>
        <v>0.45887854888442553</v>
      </c>
      <c r="Q30" s="3"/>
      <c r="R30" s="3"/>
      <c r="S30" s="3"/>
      <c r="T30" s="3"/>
      <c r="U30" s="3"/>
    </row>
    <row r="31" spans="1:21" x14ac:dyDescent="0.25">
      <c r="A31" s="3">
        <v>10000000000000</v>
      </c>
      <c r="B31" s="3">
        <v>-2.5790000000000001E-3</v>
      </c>
      <c r="C31" s="3">
        <v>1.9880000000000002E-3</v>
      </c>
      <c r="D31" s="3">
        <v>4.3800000000000002E-4</v>
      </c>
      <c r="E31" s="3">
        <v>0</v>
      </c>
      <c r="F31" s="3">
        <v>0</v>
      </c>
      <c r="G31" s="3">
        <v>0</v>
      </c>
      <c r="H31" s="3">
        <v>1.0118315999999999E-3</v>
      </c>
      <c r="I31" s="3">
        <v>3.2069413999999999E-4</v>
      </c>
      <c r="J31" s="3">
        <v>-2.2161756000000001E-3</v>
      </c>
      <c r="K31" s="3"/>
      <c r="L31" s="3">
        <f t="shared" si="0"/>
        <v>5.8881278538812785</v>
      </c>
      <c r="M31" s="3"/>
      <c r="N31" s="2">
        <f>IF('Modell einstellen'!$B$1="Voll",H31/0.35,H31/0.35*2)</f>
        <v>2.8909474285714284E-3</v>
      </c>
      <c r="O31" s="2">
        <f>IF('Modell einstellen'!$B$1="Voll",J31/0.35,J31/0.35*2)</f>
        <v>-6.3319302857142868E-3</v>
      </c>
      <c r="P31" s="3">
        <f t="shared" si="1"/>
        <v>0.45656652839242512</v>
      </c>
      <c r="Q31" s="3"/>
      <c r="R31" s="3"/>
      <c r="S31" s="3"/>
      <c r="T31" s="3"/>
      <c r="U31" s="3"/>
    </row>
    <row r="32" spans="1:21" x14ac:dyDescent="0.25">
      <c r="A32" s="3">
        <v>100000000000000</v>
      </c>
      <c r="B32" s="3">
        <v>-2.761E-3</v>
      </c>
      <c r="C32" s="3">
        <v>2.0569999999999998E-3</v>
      </c>
      <c r="D32" s="3">
        <v>5.5130000000000001E-4</v>
      </c>
      <c r="E32" s="3">
        <v>0</v>
      </c>
      <c r="F32" s="3">
        <v>0</v>
      </c>
      <c r="G32" s="3">
        <v>0</v>
      </c>
      <c r="H32" s="3">
        <v>1.0605632999999999E-3</v>
      </c>
      <c r="I32" s="3">
        <v>3.3342954000000001E-4</v>
      </c>
      <c r="J32" s="3">
        <v>-2.3108876E-3</v>
      </c>
      <c r="K32" s="3"/>
      <c r="L32" s="3">
        <f t="shared" si="0"/>
        <v>5.0081625249410484</v>
      </c>
      <c r="M32" s="3"/>
      <c r="N32" s="2">
        <f>IF('Modell einstellen'!$B$1="Voll",H32/0.35,H32/0.35*2)</f>
        <v>3.0301808571428571E-3</v>
      </c>
      <c r="O32" s="2">
        <f>IF('Modell einstellen'!$B$1="Voll",J32/0.35,J32/0.35*2)</f>
        <v>-6.602536E-3</v>
      </c>
      <c r="P32" s="3">
        <f t="shared" si="1"/>
        <v>0.45894196671443471</v>
      </c>
      <c r="Q32" s="3"/>
      <c r="R32" s="3"/>
      <c r="S32" s="3"/>
      <c r="T32" s="3"/>
      <c r="U32" s="3"/>
    </row>
    <row r="33" spans="1:21" x14ac:dyDescent="0.25">
      <c r="A33" s="2">
        <v>1000000000000000</v>
      </c>
      <c r="B33" s="3">
        <v>-2.7950000000000002E-3</v>
      </c>
      <c r="C33" s="3">
        <v>2.127E-3</v>
      </c>
      <c r="D33" s="3">
        <v>5.1559999999999996E-4</v>
      </c>
      <c r="E33" s="3">
        <v>0</v>
      </c>
      <c r="F33" s="3">
        <v>0</v>
      </c>
      <c r="G33" s="3">
        <v>0</v>
      </c>
      <c r="H33" s="3">
        <v>1.0794324999999999E-3</v>
      </c>
      <c r="I33" s="3">
        <v>3.4596772000000003E-4</v>
      </c>
      <c r="J33" s="3">
        <v>-2.3751966000000002E-3</v>
      </c>
      <c r="K33" s="3"/>
      <c r="L33" s="3">
        <f t="shared" si="0"/>
        <v>5.420868890612879</v>
      </c>
      <c r="M33" s="3"/>
      <c r="N33" s="2">
        <f>IF('Modell einstellen'!$B$1="Voll",H33/0.35,H33/0.35*2)</f>
        <v>3.0840928571428572E-3</v>
      </c>
      <c r="O33" s="2">
        <f>IF('Modell einstellen'!$B$1="Voll",J33/0.35,J33/0.35*2)</f>
        <v>-6.7862760000000008E-3</v>
      </c>
      <c r="P33" s="3">
        <f t="shared" si="1"/>
        <v>0.45446027499365732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7.9200000000000001E-5</v>
      </c>
      <c r="C3" s="3">
        <v>1.261E-4</v>
      </c>
      <c r="D3" s="3">
        <v>-3.3530000000000002E-4</v>
      </c>
      <c r="E3" s="3">
        <v>0</v>
      </c>
      <c r="F3" s="3">
        <v>0</v>
      </c>
      <c r="G3" s="3">
        <v>0</v>
      </c>
      <c r="H3" s="3">
        <v>4.8222763999999997E-5</v>
      </c>
      <c r="I3" s="3">
        <v>1.244681E-5</v>
      </c>
      <c r="J3" s="3">
        <v>-1.2985730000000001E-4</v>
      </c>
      <c r="K3" s="2"/>
      <c r="L3" s="3"/>
      <c r="M3" s="3"/>
      <c r="N3" s="2">
        <f>IF('Modell einstellen'!$B$1="Voll",H3/0.35,H3/0.35*2)</f>
        <v>1.3777932571428571E-4</v>
      </c>
      <c r="O3" s="2">
        <f>IF('Modell einstellen'!$B$1="Voll",J3/0.35,J3/0.35*2)</f>
        <v>-3.7102085714285719E-4</v>
      </c>
      <c r="P3" s="3">
        <f>-N3/O3</f>
        <v>0.37135196866098397</v>
      </c>
      <c r="Q3" s="3"/>
      <c r="R3" s="3"/>
      <c r="S3" s="3"/>
      <c r="T3" s="3"/>
      <c r="U3" s="3"/>
    </row>
    <row r="4" spans="1:21" x14ac:dyDescent="0.25">
      <c r="A4" s="3">
        <v>1E-14</v>
      </c>
      <c r="B4" s="3">
        <v>7.8809999999999999E-5</v>
      </c>
      <c r="C4" s="3">
        <v>1.295E-4</v>
      </c>
      <c r="D4" s="3">
        <v>-3.3940000000000001E-4</v>
      </c>
      <c r="E4" s="3">
        <v>0</v>
      </c>
      <c r="F4" s="3">
        <v>0</v>
      </c>
      <c r="G4" s="3">
        <v>0</v>
      </c>
      <c r="H4" s="3">
        <v>5.0036939000000002E-5</v>
      </c>
      <c r="I4" s="3">
        <v>1.2806700000000001E-5</v>
      </c>
      <c r="J4" s="3">
        <v>-1.3312065999999999E-4</v>
      </c>
      <c r="K4" s="2"/>
      <c r="L4" s="3"/>
      <c r="M4" s="3"/>
      <c r="N4" s="2">
        <f>IF('Modell einstellen'!$B$1="Voll",H4/0.35,H4/0.35*2)</f>
        <v>1.4296268285714288E-4</v>
      </c>
      <c r="O4" s="2">
        <f>IF('Modell einstellen'!$B$1="Voll",J4/0.35,J4/0.35*2)</f>
        <v>-3.8034474285714284E-4</v>
      </c>
      <c r="P4" s="3">
        <f t="shared" ref="P4:P33" si="0">-N4/O4</f>
        <v>0.37587658444602068</v>
      </c>
      <c r="Q4" s="3"/>
      <c r="R4" s="3"/>
      <c r="S4" s="3"/>
      <c r="T4" s="3"/>
      <c r="U4" s="3"/>
    </row>
    <row r="5" spans="1:21" x14ac:dyDescent="0.25">
      <c r="A5" s="3">
        <v>1E-13</v>
      </c>
      <c r="B5" s="3">
        <v>7.8209999999999998E-5</v>
      </c>
      <c r="C5" s="3">
        <v>1.327E-4</v>
      </c>
      <c r="D5" s="3">
        <v>-3.4299999999999999E-4</v>
      </c>
      <c r="E5" s="3">
        <v>0</v>
      </c>
      <c r="F5" s="3">
        <v>0</v>
      </c>
      <c r="G5" s="3">
        <v>0</v>
      </c>
      <c r="H5" s="3">
        <v>5.1783848000000002E-5</v>
      </c>
      <c r="I5" s="3">
        <v>1.3145118999999999E-5</v>
      </c>
      <c r="J5" s="3">
        <v>-1.3623602E-4</v>
      </c>
      <c r="K5" s="2"/>
      <c r="L5" s="3"/>
      <c r="M5" s="3"/>
      <c r="N5" s="2">
        <f>IF('Modell einstellen'!$B$1="Voll",H5/0.35,H5/0.35*2)</f>
        <v>1.4795385142857143E-4</v>
      </c>
      <c r="O5" s="2">
        <f>IF('Modell einstellen'!$B$1="Voll",J5/0.35,J5/0.35*2)</f>
        <v>-3.8924577142857144E-4</v>
      </c>
      <c r="P5" s="3">
        <f t="shared" si="0"/>
        <v>0.3801039402061217</v>
      </c>
      <c r="Q5" s="3"/>
      <c r="R5" s="3"/>
      <c r="S5" s="3"/>
      <c r="T5" s="3"/>
      <c r="U5" s="3"/>
    </row>
    <row r="6" spans="1:21" x14ac:dyDescent="0.25">
      <c r="A6" s="3">
        <v>9.9999999999999998E-13</v>
      </c>
      <c r="B6" s="3">
        <v>7.7319999999999998E-5</v>
      </c>
      <c r="C6" s="3">
        <v>1.361E-4</v>
      </c>
      <c r="D6" s="3">
        <v>-3.4650000000000002E-4</v>
      </c>
      <c r="E6" s="3">
        <v>0</v>
      </c>
      <c r="F6" s="3">
        <v>0</v>
      </c>
      <c r="G6" s="3">
        <v>0</v>
      </c>
      <c r="H6" s="3">
        <v>5.3697816999999999E-5</v>
      </c>
      <c r="I6" s="3">
        <v>1.3507026000000001E-5</v>
      </c>
      <c r="J6" s="3">
        <v>-1.3961274999999999E-4</v>
      </c>
      <c r="K6" s="2"/>
      <c r="L6" s="3"/>
      <c r="M6" s="3"/>
      <c r="N6" s="2">
        <f>IF('Modell einstellen'!$B$1="Voll",H6/0.35,H6/0.35*2)</f>
        <v>1.534223342857143E-4</v>
      </c>
      <c r="O6" s="2">
        <f>IF('Modell einstellen'!$B$1="Voll",J6/0.35,J6/0.35*2)</f>
        <v>-3.9889357142857144E-4</v>
      </c>
      <c r="P6" s="3">
        <f t="shared" si="0"/>
        <v>0.38461972133633926</v>
      </c>
      <c r="Q6" s="3"/>
      <c r="R6" s="3"/>
      <c r="S6" s="3"/>
      <c r="T6" s="3"/>
      <c r="U6" s="3"/>
    </row>
    <row r="7" spans="1:21" x14ac:dyDescent="0.25">
      <c r="A7" s="3">
        <v>9.9999999999999994E-12</v>
      </c>
      <c r="B7" s="3">
        <v>7.5950000000000003E-5</v>
      </c>
      <c r="C7" s="3">
        <v>1.4009999999999999E-4</v>
      </c>
      <c r="D7" s="3">
        <v>-3.503E-4</v>
      </c>
      <c r="E7" s="3">
        <v>0</v>
      </c>
      <c r="F7" s="3">
        <v>0</v>
      </c>
      <c r="G7" s="3">
        <v>0</v>
      </c>
      <c r="H7" s="3">
        <v>5.6004115000000002E-5</v>
      </c>
      <c r="I7" s="3">
        <v>1.3931307000000001E-5</v>
      </c>
      <c r="J7" s="3">
        <v>-1.4363317E-4</v>
      </c>
      <c r="K7" s="2"/>
      <c r="L7" s="3"/>
      <c r="M7" s="3"/>
      <c r="N7" s="2">
        <f>IF('Modell einstellen'!$B$1="Voll",H7/0.35,H7/0.35*2)</f>
        <v>1.6001175714285717E-4</v>
      </c>
      <c r="O7" s="2">
        <f>IF('Modell einstellen'!$B$1="Voll",J7/0.35,J7/0.35*2)</f>
        <v>-4.1038048571428575E-4</v>
      </c>
      <c r="P7" s="3">
        <f t="shared" si="0"/>
        <v>0.38991073580009411</v>
      </c>
      <c r="Q7" s="3"/>
      <c r="R7" s="3"/>
      <c r="S7" s="3"/>
      <c r="T7" s="3"/>
      <c r="U7" s="3"/>
    </row>
    <row r="8" spans="1:21" x14ac:dyDescent="0.25">
      <c r="A8" s="3">
        <v>1E-10</v>
      </c>
      <c r="B8" s="3">
        <v>7.4250000000000002E-5</v>
      </c>
      <c r="C8" s="3">
        <v>1.439E-4</v>
      </c>
      <c r="D8" s="3">
        <v>-3.5359999999999998E-4</v>
      </c>
      <c r="E8" s="3">
        <v>0</v>
      </c>
      <c r="F8" s="3">
        <v>0</v>
      </c>
      <c r="G8" s="3">
        <v>0</v>
      </c>
      <c r="H8" s="3">
        <v>5.8323606000000002E-5</v>
      </c>
      <c r="I8" s="3">
        <v>1.4343526E-5</v>
      </c>
      <c r="J8" s="3">
        <v>-1.4761698999999999E-4</v>
      </c>
      <c r="K8" s="2"/>
      <c r="L8" s="3"/>
      <c r="M8" s="3"/>
      <c r="N8" s="2">
        <f>IF('Modell einstellen'!$B$1="Voll",H8/0.35,H8/0.35*2)</f>
        <v>1.6663887428571431E-4</v>
      </c>
      <c r="O8" s="2">
        <f>IF('Modell einstellen'!$B$1="Voll",J8/0.35,J8/0.35*2)</f>
        <v>-4.217628285714286E-4</v>
      </c>
      <c r="P8" s="3">
        <f t="shared" si="0"/>
        <v>0.39510090268064674</v>
      </c>
      <c r="Q8" s="3"/>
      <c r="R8" s="3"/>
      <c r="S8" s="3"/>
      <c r="T8" s="3"/>
      <c r="U8" s="3"/>
    </row>
    <row r="9" spans="1:21" x14ac:dyDescent="0.25">
      <c r="A9" s="3">
        <v>1.0000000000000001E-9</v>
      </c>
      <c r="B9" s="3">
        <v>7.2100000000000004E-5</v>
      </c>
      <c r="C9" s="3">
        <v>1.4789999999999999E-4</v>
      </c>
      <c r="D9" s="3">
        <v>-3.567E-4</v>
      </c>
      <c r="E9" s="3">
        <v>0</v>
      </c>
      <c r="F9" s="3">
        <v>0</v>
      </c>
      <c r="G9" s="3">
        <v>0</v>
      </c>
      <c r="H9" s="3">
        <v>6.0816421E-5</v>
      </c>
      <c r="I9" s="3">
        <v>1.4772252E-5</v>
      </c>
      <c r="J9" s="3">
        <v>-1.5184024999999999E-4</v>
      </c>
      <c r="K9" s="2"/>
      <c r="L9" s="3"/>
      <c r="M9" s="3"/>
      <c r="N9" s="2">
        <f>IF('Modell einstellen'!$B$1="Voll",H9/0.35,H9/0.35*2)</f>
        <v>1.7376120285714287E-4</v>
      </c>
      <c r="O9" s="2">
        <f>IF('Modell einstellen'!$B$1="Voll",J9/0.35,J9/0.35*2)</f>
        <v>-4.3382928571428572E-4</v>
      </c>
      <c r="P9" s="3">
        <f t="shared" si="0"/>
        <v>0.40052898358636796</v>
      </c>
      <c r="Q9" s="3"/>
      <c r="R9" s="3"/>
      <c r="S9" s="3"/>
      <c r="T9" s="3"/>
      <c r="U9" s="3"/>
    </row>
    <row r="10" spans="1:21" x14ac:dyDescent="0.25">
      <c r="A10" s="3">
        <v>1E-8</v>
      </c>
      <c r="B10" s="3">
        <v>6.8869999999999996E-5</v>
      </c>
      <c r="C10" s="3">
        <v>1.529E-4</v>
      </c>
      <c r="D10" s="3">
        <v>-3.5990000000000002E-4</v>
      </c>
      <c r="E10" s="3">
        <v>0</v>
      </c>
      <c r="F10" s="3">
        <v>0</v>
      </c>
      <c r="G10" s="3">
        <v>0</v>
      </c>
      <c r="H10" s="3">
        <v>6.4065465000000003E-5</v>
      </c>
      <c r="I10" s="3">
        <v>1.5309532000000001E-5</v>
      </c>
      <c r="J10" s="3">
        <v>-1.5725748000000001E-4</v>
      </c>
      <c r="K10" s="2"/>
      <c r="L10" s="3"/>
      <c r="M10" s="3"/>
      <c r="N10" s="2">
        <f>IF('Modell einstellen'!$B$1="Voll",H10/0.35,H10/0.35*2)</f>
        <v>1.8304418571428574E-4</v>
      </c>
      <c r="O10" s="2">
        <f>IF('Modell einstellen'!$B$1="Voll",J10/0.35,J10/0.35*2)</f>
        <v>-4.4930708571428579E-4</v>
      </c>
      <c r="P10" s="3">
        <f t="shared" si="0"/>
        <v>0.40739216347610302</v>
      </c>
      <c r="Q10" s="3"/>
      <c r="R10" s="3"/>
      <c r="S10" s="3"/>
      <c r="T10" s="3"/>
      <c r="U10" s="3"/>
    </row>
    <row r="11" spans="1:21" x14ac:dyDescent="0.25">
      <c r="A11" s="3">
        <v>9.9999999999999995E-8</v>
      </c>
      <c r="B11" s="3">
        <v>6.4010000000000005E-5</v>
      </c>
      <c r="C11" s="3">
        <v>1.5880000000000001E-4</v>
      </c>
      <c r="D11" s="3">
        <v>-3.6279999999999998E-4</v>
      </c>
      <c r="E11" s="3">
        <v>0</v>
      </c>
      <c r="F11" s="3">
        <v>0</v>
      </c>
      <c r="G11" s="3">
        <v>0</v>
      </c>
      <c r="H11" s="3">
        <v>6.8216925000000002E-5</v>
      </c>
      <c r="I11" s="3">
        <v>1.5960335999999999E-5</v>
      </c>
      <c r="J11" s="3">
        <v>-1.640341E-4</v>
      </c>
      <c r="K11" s="2"/>
      <c r="L11" s="3"/>
      <c r="M11" s="3"/>
      <c r="N11" s="2">
        <f>IF('Modell einstellen'!$B$1="Voll",H11/0.35,H11/0.35*2)</f>
        <v>1.9490550000000003E-4</v>
      </c>
      <c r="O11" s="2">
        <f>IF('Modell einstellen'!$B$1="Voll",J11/0.35,J11/0.35*2)</f>
        <v>-4.6866885714285717E-4</v>
      </c>
      <c r="P11" s="3">
        <f t="shared" si="0"/>
        <v>0.41587038914469615</v>
      </c>
      <c r="Q11" s="3"/>
      <c r="R11" s="3"/>
      <c r="S11" s="3"/>
      <c r="T11" s="3"/>
      <c r="U11" s="3"/>
    </row>
    <row r="12" spans="1:21" x14ac:dyDescent="0.25">
      <c r="A12" s="3">
        <v>9.9999999999999995E-7</v>
      </c>
      <c r="B12" s="3">
        <v>5.7729999999999998E-5</v>
      </c>
      <c r="C12" s="3">
        <v>1.649E-4</v>
      </c>
      <c r="D12" s="3">
        <v>-3.6450000000000002E-4</v>
      </c>
      <c r="E12" s="3">
        <v>0</v>
      </c>
      <c r="F12" s="3">
        <v>0</v>
      </c>
      <c r="G12" s="3">
        <v>0</v>
      </c>
      <c r="H12" s="3">
        <v>7.2818772999999994E-5</v>
      </c>
      <c r="I12" s="3">
        <v>1.6636186999999999E-5</v>
      </c>
      <c r="J12" s="3">
        <v>-1.7136058E-4</v>
      </c>
      <c r="K12" s="2"/>
      <c r="L12" s="3"/>
      <c r="M12" s="3"/>
      <c r="N12" s="2">
        <f>IF('Modell einstellen'!$B$1="Voll",H12/0.35,H12/0.35*2)</f>
        <v>2.0805363714285715E-4</v>
      </c>
      <c r="O12" s="2">
        <f>IF('Modell einstellen'!$B$1="Voll",J12/0.35,J12/0.35*2)</f>
        <v>-4.8960165714285716E-4</v>
      </c>
      <c r="P12" s="3">
        <f t="shared" si="0"/>
        <v>0.42494471599010691</v>
      </c>
      <c r="Q12" s="3"/>
      <c r="R12" s="3"/>
      <c r="S12" s="3"/>
      <c r="T12" s="3"/>
      <c r="U12" s="3"/>
    </row>
    <row r="13" spans="1:21" x14ac:dyDescent="0.25">
      <c r="A13" s="3">
        <v>1.0000000000000001E-5</v>
      </c>
      <c r="B13" s="3">
        <v>5.1279999999999997E-5</v>
      </c>
      <c r="C13" s="3">
        <v>1.7000000000000001E-4</v>
      </c>
      <c r="D13" s="3">
        <v>-3.6469999999999997E-4</v>
      </c>
      <c r="E13" s="3">
        <v>0</v>
      </c>
      <c r="F13" s="3">
        <v>0</v>
      </c>
      <c r="G13" s="3">
        <v>0</v>
      </c>
      <c r="H13" s="3">
        <v>7.6983421000000003E-5</v>
      </c>
      <c r="I13" s="3">
        <v>1.7208826000000001E-5</v>
      </c>
      <c r="J13" s="3">
        <v>-1.7783237000000001E-4</v>
      </c>
      <c r="K13" s="2"/>
      <c r="L13" s="3"/>
      <c r="M13" s="3"/>
      <c r="N13" s="2">
        <f>IF('Modell einstellen'!$B$1="Voll",H13/0.35,H13/0.35*2)</f>
        <v>2.1995263142857144E-4</v>
      </c>
      <c r="O13" s="2">
        <f>IF('Modell einstellen'!$B$1="Voll",J13/0.35,J13/0.35*2)</f>
        <v>-5.0809248571428577E-4</v>
      </c>
      <c r="P13" s="3">
        <f t="shared" si="0"/>
        <v>0.43289880801791031</v>
      </c>
      <c r="Q13" s="3"/>
      <c r="R13" s="3"/>
      <c r="S13" s="3"/>
      <c r="T13" s="3"/>
      <c r="U13" s="3"/>
    </row>
    <row r="14" spans="1:21" x14ac:dyDescent="0.25">
      <c r="A14" s="3">
        <v>1E-4</v>
      </c>
      <c r="B14" s="3">
        <v>4.3819999999999997E-5</v>
      </c>
      <c r="C14" s="3">
        <v>1.751E-4</v>
      </c>
      <c r="D14" s="3">
        <v>-3.6400000000000001E-4</v>
      </c>
      <c r="E14" s="3">
        <v>0</v>
      </c>
      <c r="F14" s="3">
        <v>0</v>
      </c>
      <c r="G14" s="3">
        <v>0</v>
      </c>
      <c r="H14" s="3">
        <v>8.1419261000000002E-5</v>
      </c>
      <c r="I14" s="3">
        <v>1.7786153000000001E-5</v>
      </c>
      <c r="J14" s="3">
        <v>-1.8459398E-4</v>
      </c>
      <c r="K14" s="2"/>
      <c r="L14" s="3"/>
      <c r="M14" s="3"/>
      <c r="N14" s="2">
        <f>IF('Modell einstellen'!$B$1="Voll",H14/0.35,H14/0.35*2)</f>
        <v>2.3262646000000002E-4</v>
      </c>
      <c r="O14" s="2">
        <f>IF('Modell einstellen'!$B$1="Voll",J14/0.35,J14/0.35*2)</f>
        <v>-5.2741137142857148E-4</v>
      </c>
      <c r="P14" s="3">
        <f t="shared" si="0"/>
        <v>0.44107213572186915</v>
      </c>
      <c r="Q14" s="3"/>
      <c r="R14" s="3"/>
      <c r="S14" s="3"/>
      <c r="T14" s="3"/>
      <c r="U14" s="3"/>
    </row>
    <row r="15" spans="1:21" x14ac:dyDescent="0.25">
      <c r="A15" s="3">
        <v>1E-3</v>
      </c>
      <c r="B15" s="3">
        <v>3.5129999999999997E-5</v>
      </c>
      <c r="C15" s="3">
        <v>1.8019999999999999E-4</v>
      </c>
      <c r="D15" s="3">
        <v>-3.6200000000000002E-4</v>
      </c>
      <c r="E15" s="3">
        <v>0</v>
      </c>
      <c r="F15" s="3">
        <v>0</v>
      </c>
      <c r="G15" s="3">
        <v>0</v>
      </c>
      <c r="H15" s="3">
        <v>8.6167157999999996E-5</v>
      </c>
      <c r="I15" s="3">
        <v>1.836609E-5</v>
      </c>
      <c r="J15" s="3">
        <v>-1.9167732000000001E-4</v>
      </c>
      <c r="K15" s="2"/>
      <c r="L15" s="3"/>
      <c r="M15" s="3"/>
      <c r="N15" s="2">
        <f>IF('Modell einstellen'!$B$1="Voll",H15/0.35,H15/0.35*2)</f>
        <v>2.4619188E-4</v>
      </c>
      <c r="O15" s="2">
        <f>IF('Modell einstellen'!$B$1="Voll",J15/0.35,J15/0.35*2)</f>
        <v>-5.4764948571428573E-4</v>
      </c>
      <c r="P15" s="3">
        <f t="shared" si="0"/>
        <v>0.4495427941083483</v>
      </c>
      <c r="Q15" s="3"/>
      <c r="R15" s="3"/>
      <c r="S15" s="3"/>
      <c r="T15" s="3"/>
      <c r="U15" s="3"/>
    </row>
    <row r="16" spans="1:21" x14ac:dyDescent="0.25">
      <c r="A16" s="3">
        <v>0.01</v>
      </c>
      <c r="B16" s="3">
        <v>2.425E-5</v>
      </c>
      <c r="C16" s="3">
        <v>1.8569999999999999E-4</v>
      </c>
      <c r="D16" s="3">
        <v>-3.5829999999999998E-4</v>
      </c>
      <c r="E16" s="3">
        <v>0</v>
      </c>
      <c r="F16" s="3">
        <v>0</v>
      </c>
      <c r="G16" s="3">
        <v>0</v>
      </c>
      <c r="H16" s="3">
        <v>9.1698604999999997E-5</v>
      </c>
      <c r="I16" s="3">
        <v>1.8999610000000001E-5</v>
      </c>
      <c r="J16" s="3">
        <v>-1.9975863E-4</v>
      </c>
      <c r="K16" s="2"/>
      <c r="L16" s="3"/>
      <c r="M16" s="3"/>
      <c r="N16" s="2">
        <f>IF('Modell einstellen'!$B$1="Voll",H16/0.35,H16/0.35*2)</f>
        <v>2.6199601428571428E-4</v>
      </c>
      <c r="O16" s="2">
        <f>IF('Modell einstellen'!$B$1="Voll",J16/0.35,J16/0.35*2)</f>
        <v>-5.7073894285714283E-4</v>
      </c>
      <c r="P16" s="3">
        <f t="shared" si="0"/>
        <v>0.45904702590321128</v>
      </c>
      <c r="Q16" s="3"/>
      <c r="R16" s="3"/>
      <c r="S16" s="3"/>
      <c r="T16" s="3"/>
      <c r="U16" s="3"/>
    </row>
    <row r="17" spans="1:21" x14ac:dyDescent="0.25">
      <c r="A17" s="3">
        <v>0.1</v>
      </c>
      <c r="B17" s="3">
        <v>1.221E-5</v>
      </c>
      <c r="C17" s="3">
        <v>1.9100000000000001E-4</v>
      </c>
      <c r="D17" s="3">
        <v>-3.5320000000000002E-4</v>
      </c>
      <c r="E17" s="3">
        <v>0</v>
      </c>
      <c r="F17" s="3">
        <v>0</v>
      </c>
      <c r="G17" s="3">
        <v>0</v>
      </c>
      <c r="H17" s="3">
        <v>9.7455460999999996E-5</v>
      </c>
      <c r="I17" s="3">
        <v>1.9621786000000001E-5</v>
      </c>
      <c r="J17" s="3">
        <v>-2.080103E-4</v>
      </c>
      <c r="K17" s="2"/>
      <c r="L17" s="3"/>
      <c r="M17" s="3"/>
      <c r="N17" s="2">
        <f>IF('Modell einstellen'!$B$1="Voll",H17/0.35,H17/0.35*2)</f>
        <v>2.7844417428571431E-4</v>
      </c>
      <c r="O17" s="2">
        <f>IF('Modell einstellen'!$B$1="Voll",J17/0.35,J17/0.35*2)</f>
        <v>-5.9431514285714288E-4</v>
      </c>
      <c r="P17" s="3">
        <f t="shared" si="0"/>
        <v>0.46851266980529332</v>
      </c>
      <c r="Q17" s="3"/>
      <c r="R17" s="3"/>
      <c r="S17" s="3"/>
      <c r="T17" s="3"/>
      <c r="U17" s="3"/>
    </row>
    <row r="18" spans="1:21" x14ac:dyDescent="0.25">
      <c r="A18" s="3">
        <v>1</v>
      </c>
      <c r="B18" s="3">
        <v>-3.8680000000000001E-6</v>
      </c>
      <c r="C18" s="3">
        <v>1.9880000000000001E-4</v>
      </c>
      <c r="D18" s="3">
        <v>-3.4689999999999998E-4</v>
      </c>
      <c r="E18" s="3">
        <v>0</v>
      </c>
      <c r="F18" s="3">
        <v>0</v>
      </c>
      <c r="G18" s="3">
        <v>0</v>
      </c>
      <c r="H18" s="3">
        <v>1.0542922E-4</v>
      </c>
      <c r="I18" s="3">
        <v>2.0545749999999999E-5</v>
      </c>
      <c r="J18" s="3">
        <v>-2.1960168000000001E-4</v>
      </c>
      <c r="K18" s="2"/>
      <c r="L18" s="3"/>
      <c r="M18" s="3"/>
      <c r="N18" s="2">
        <f>IF('Modell einstellen'!$B$1="Voll",H18/0.35,H18/0.35*2)</f>
        <v>3.0122634285714288E-4</v>
      </c>
      <c r="O18" s="2">
        <f>IF('Modell einstellen'!$B$1="Voll",J18/0.35,J18/0.35*2)</f>
        <v>-6.2743337142857154E-4</v>
      </c>
      <c r="P18" s="3">
        <f t="shared" si="0"/>
        <v>0.48009295739449714</v>
      </c>
      <c r="Q18" s="3"/>
      <c r="R18" s="3"/>
      <c r="S18" s="3"/>
      <c r="T18" s="3"/>
      <c r="U18" s="3"/>
    </row>
    <row r="19" spans="1:21" x14ac:dyDescent="0.25">
      <c r="A19" s="3">
        <v>10</v>
      </c>
      <c r="B19" s="3">
        <v>-1.449E-5</v>
      </c>
      <c r="C19" s="3">
        <v>2.1609999999999999E-4</v>
      </c>
      <c r="D19" s="3">
        <v>-3.5439999999999999E-4</v>
      </c>
      <c r="E19" s="3">
        <v>0</v>
      </c>
      <c r="F19" s="3">
        <v>0</v>
      </c>
      <c r="G19" s="3">
        <v>0</v>
      </c>
      <c r="H19" s="3">
        <v>1.1600877E-4</v>
      </c>
      <c r="I19" s="3">
        <v>2.2619790999999999E-5</v>
      </c>
      <c r="J19" s="3">
        <v>-2.377476E-4</v>
      </c>
      <c r="K19" s="2"/>
      <c r="L19" s="3"/>
      <c r="M19" s="3"/>
      <c r="N19" s="2">
        <f>IF('Modell einstellen'!$B$1="Voll",H19/0.35,H19/0.35*2)</f>
        <v>3.3145362857142863E-4</v>
      </c>
      <c r="O19" s="2">
        <f>IF('Modell einstellen'!$B$1="Voll",J19/0.35,J19/0.35*2)</f>
        <v>-6.7927885714285719E-4</v>
      </c>
      <c r="P19" s="3">
        <f t="shared" si="0"/>
        <v>0.48794927898325791</v>
      </c>
      <c r="Q19" s="3"/>
      <c r="R19" s="3"/>
      <c r="S19" s="3"/>
      <c r="T19" s="3"/>
      <c r="U19" s="3"/>
    </row>
    <row r="20" spans="1:21" x14ac:dyDescent="0.25">
      <c r="A20" s="3">
        <v>100</v>
      </c>
      <c r="B20" s="3">
        <v>-4.25E-6</v>
      </c>
      <c r="C20" s="3">
        <v>2.5759999999999997E-4</v>
      </c>
      <c r="D20" s="3">
        <v>-4.0460000000000002E-4</v>
      </c>
      <c r="E20" s="3">
        <v>0</v>
      </c>
      <c r="F20" s="3">
        <v>0</v>
      </c>
      <c r="G20" s="3">
        <v>0</v>
      </c>
      <c r="H20" s="3">
        <v>1.3158486E-4</v>
      </c>
      <c r="I20" s="3">
        <v>2.7760887000000002E-5</v>
      </c>
      <c r="J20" s="3">
        <v>-2.7151138E-4</v>
      </c>
      <c r="K20" s="2"/>
      <c r="L20" s="3"/>
      <c r="M20" s="3"/>
      <c r="N20" s="2">
        <f>IF('Modell einstellen'!$B$1="Voll",H20/0.35,H20/0.35*2)</f>
        <v>3.7595674285714287E-4</v>
      </c>
      <c r="O20" s="2">
        <f>IF('Modell einstellen'!$B$1="Voll",J20/0.35,J20/0.35*2)</f>
        <v>-7.7574680000000007E-4</v>
      </c>
      <c r="P20" s="3">
        <f t="shared" si="0"/>
        <v>0.48463847077054373</v>
      </c>
      <c r="Q20" s="3"/>
      <c r="R20" s="3"/>
      <c r="S20" s="3"/>
      <c r="T20" s="3"/>
      <c r="U20" s="3"/>
    </row>
    <row r="21" spans="1:21" x14ac:dyDescent="0.25">
      <c r="A21" s="3">
        <v>1000</v>
      </c>
      <c r="B21" s="3">
        <v>1.411E-5</v>
      </c>
      <c r="C21" s="3">
        <v>3.2029999999999998E-4</v>
      </c>
      <c r="D21" s="3">
        <v>-4.8299999999999998E-4</v>
      </c>
      <c r="E21" s="3">
        <v>0</v>
      </c>
      <c r="F21" s="3">
        <v>0</v>
      </c>
      <c r="G21" s="3">
        <v>0</v>
      </c>
      <c r="H21" s="3">
        <v>1.5236960999999999E-4</v>
      </c>
      <c r="I21" s="3">
        <v>3.5903009000000003E-5</v>
      </c>
      <c r="J21" s="3">
        <v>-3.2115742999999999E-4</v>
      </c>
      <c r="K21" s="2"/>
      <c r="L21" s="3"/>
      <c r="M21" s="3"/>
      <c r="N21" s="2">
        <f>IF('Modell einstellen'!$B$1="Voll",H21/0.35,H21/0.35*2)</f>
        <v>4.3534174285714288E-4</v>
      </c>
      <c r="O21" s="2">
        <f>IF('Modell einstellen'!$B$1="Voll",J21/0.35,J21/0.35*2)</f>
        <v>-9.1759265714285723E-4</v>
      </c>
      <c r="P21" s="3">
        <f t="shared" si="0"/>
        <v>0.47443900021245033</v>
      </c>
      <c r="Q21" s="3"/>
      <c r="R21" s="3"/>
      <c r="S21" s="3"/>
      <c r="T21" s="3"/>
      <c r="U21" s="3"/>
    </row>
    <row r="22" spans="1:21" x14ac:dyDescent="0.25">
      <c r="A22" s="3">
        <v>10000</v>
      </c>
      <c r="B22" s="3">
        <v>1.275E-5</v>
      </c>
      <c r="C22" s="3">
        <v>3.9849999999999998E-4</v>
      </c>
      <c r="D22" s="3">
        <v>-5.5820000000000002E-4</v>
      </c>
      <c r="E22" s="3">
        <v>0</v>
      </c>
      <c r="F22" s="3">
        <v>0</v>
      </c>
      <c r="G22" s="3">
        <v>0</v>
      </c>
      <c r="H22" s="3">
        <v>1.8142635999999999E-4</v>
      </c>
      <c r="I22" s="3">
        <v>4.6665999000000001E-5</v>
      </c>
      <c r="J22" s="3">
        <v>-3.888373E-4</v>
      </c>
      <c r="K22" s="2"/>
      <c r="L22" s="3"/>
      <c r="M22" s="3"/>
      <c r="N22" s="2">
        <f>IF('Modell einstellen'!$B$1="Voll",H22/0.35,H22/0.35*2)</f>
        <v>5.183610285714286E-4</v>
      </c>
      <c r="O22" s="2">
        <f>IF('Modell einstellen'!$B$1="Voll",J22/0.35,J22/0.35*2)</f>
        <v>-1.1109637142857143E-3</v>
      </c>
      <c r="P22" s="3">
        <f t="shared" si="0"/>
        <v>0.46658682178895905</v>
      </c>
      <c r="Q22" s="3"/>
      <c r="R22" s="3"/>
      <c r="S22" s="3"/>
      <c r="T22" s="3"/>
      <c r="U22" s="3"/>
    </row>
    <row r="23" spans="1:21" x14ac:dyDescent="0.25">
      <c r="A23" s="3">
        <v>100000</v>
      </c>
      <c r="B23" s="3">
        <v>-3.6470000000000001E-5</v>
      </c>
      <c r="C23" s="3">
        <v>4.9680000000000004E-4</v>
      </c>
      <c r="D23" s="3">
        <v>-6.0749999999999997E-4</v>
      </c>
      <c r="E23" s="3">
        <v>0</v>
      </c>
      <c r="F23" s="3">
        <v>0</v>
      </c>
      <c r="G23" s="3">
        <v>0</v>
      </c>
      <c r="H23" s="3">
        <v>2.2457820999999999E-4</v>
      </c>
      <c r="I23" s="3">
        <v>6.1208990999999998E-5</v>
      </c>
      <c r="J23" s="3">
        <v>-4.8473787E-4</v>
      </c>
      <c r="K23" s="2"/>
      <c r="L23" s="3"/>
      <c r="M23" s="3"/>
      <c r="N23" s="2">
        <f>IF('Modell einstellen'!$B$1="Voll",H23/0.35,H23/0.35*2)</f>
        <v>6.4165202857142858E-4</v>
      </c>
      <c r="O23" s="2">
        <f>IF('Modell einstellen'!$B$1="Voll",J23/0.35,J23/0.35*2)</f>
        <v>-1.384965342857143E-3</v>
      </c>
      <c r="P23" s="3">
        <f t="shared" si="0"/>
        <v>0.46329825643703054</v>
      </c>
      <c r="Q23" s="3"/>
      <c r="R23" s="3"/>
      <c r="S23" s="3"/>
      <c r="T23" s="3"/>
      <c r="U23" s="3"/>
    </row>
    <row r="24" spans="1:21" x14ac:dyDescent="0.25">
      <c r="A24" s="3">
        <v>1000000</v>
      </c>
      <c r="B24" s="3">
        <v>-1.9090000000000001E-4</v>
      </c>
      <c r="C24" s="3">
        <v>6.3750000000000005E-4</v>
      </c>
      <c r="D24" s="3">
        <v>-5.9570000000000001E-4</v>
      </c>
      <c r="E24" s="3">
        <v>0</v>
      </c>
      <c r="F24" s="3">
        <v>0</v>
      </c>
      <c r="G24" s="3">
        <v>0</v>
      </c>
      <c r="H24" s="3">
        <v>2.9707893999999997E-4</v>
      </c>
      <c r="I24" s="3">
        <v>8.3510486000000001E-5</v>
      </c>
      <c r="J24" s="3">
        <v>-6.3862542000000003E-4</v>
      </c>
      <c r="K24" s="2"/>
      <c r="L24" s="3"/>
      <c r="M24" s="3"/>
      <c r="N24" s="2">
        <f>IF('Modell einstellen'!$B$1="Voll",H24/0.35,H24/0.35*2)</f>
        <v>8.4879697142857145E-4</v>
      </c>
      <c r="O24" s="2">
        <f>IF('Modell einstellen'!$B$1="Voll",J24/0.35,J24/0.35*2)</f>
        <v>-1.8246440571428573E-3</v>
      </c>
      <c r="P24" s="3">
        <f t="shared" si="0"/>
        <v>0.4651849592833307</v>
      </c>
      <c r="Q24" s="3"/>
      <c r="R24" s="3"/>
      <c r="S24" s="3"/>
      <c r="T24" s="3"/>
      <c r="U24" s="3"/>
    </row>
    <row r="25" spans="1:21" x14ac:dyDescent="0.25">
      <c r="A25" s="3">
        <v>10000000</v>
      </c>
      <c r="B25" s="3">
        <v>-5.1099999999999995E-4</v>
      </c>
      <c r="C25" s="3">
        <v>8.4060000000000005E-4</v>
      </c>
      <c r="D25" s="3">
        <v>-4.8079999999999998E-4</v>
      </c>
      <c r="E25" s="3">
        <v>0</v>
      </c>
      <c r="F25" s="3">
        <v>0</v>
      </c>
      <c r="G25" s="3">
        <v>0</v>
      </c>
      <c r="H25" s="3">
        <v>4.0975917000000002E-4</v>
      </c>
      <c r="I25" s="3">
        <v>1.1750557999999999E-4</v>
      </c>
      <c r="J25" s="3">
        <v>-8.7545058000000002E-4</v>
      </c>
      <c r="K25" s="2"/>
      <c r="L25" s="3"/>
      <c r="M25" s="3"/>
      <c r="N25" s="2">
        <f>IF('Modell einstellen'!$B$1="Voll",H25/0.35,H25/0.35*2)</f>
        <v>1.1707404857142858E-3</v>
      </c>
      <c r="O25" s="2">
        <f>IF('Modell einstellen'!$B$1="Voll",J25/0.35,J25/0.35*2)</f>
        <v>-2.5012873714285715E-3</v>
      </c>
      <c r="P25" s="3">
        <f t="shared" si="0"/>
        <v>0.46805516994460156</v>
      </c>
      <c r="Q25" s="3"/>
      <c r="R25" s="3"/>
      <c r="S25" s="3"/>
      <c r="T25" s="3"/>
      <c r="U25" s="3"/>
    </row>
    <row r="26" spans="1:21" x14ac:dyDescent="0.25">
      <c r="A26" s="3">
        <v>100000000</v>
      </c>
      <c r="B26" s="3">
        <v>-1.0480000000000001E-3</v>
      </c>
      <c r="C26" s="3">
        <v>1.124E-3</v>
      </c>
      <c r="D26" s="3">
        <v>-2.288E-4</v>
      </c>
      <c r="E26" s="3">
        <v>0</v>
      </c>
      <c r="F26" s="3">
        <v>0</v>
      </c>
      <c r="G26" s="3">
        <v>0</v>
      </c>
      <c r="H26" s="3">
        <v>5.7175761000000005E-4</v>
      </c>
      <c r="I26" s="3">
        <v>1.6652946000000001E-4</v>
      </c>
      <c r="J26" s="3">
        <v>-1.2162399999999999E-3</v>
      </c>
      <c r="K26" s="2"/>
      <c r="L26" s="3"/>
      <c r="M26" s="3"/>
      <c r="N26" s="2">
        <f>IF('Modell einstellen'!$B$1="Voll",H26/0.35,H26/0.35*2)</f>
        <v>1.6335931714285717E-3</v>
      </c>
      <c r="O26" s="2">
        <f>IF('Modell einstellen'!$B$1="Voll",J26/0.35,J26/0.35*2)</f>
        <v>-3.4749714285714287E-3</v>
      </c>
      <c r="P26" s="3">
        <f t="shared" si="0"/>
        <v>0.4701026195487733</v>
      </c>
      <c r="Q26" s="3"/>
      <c r="R26" s="3"/>
      <c r="S26" s="3"/>
      <c r="T26" s="3"/>
      <c r="U26" s="3"/>
    </row>
    <row r="27" spans="1:21" x14ac:dyDescent="0.25">
      <c r="A27" s="3">
        <v>1000000000</v>
      </c>
      <c r="B27" s="3">
        <v>-1.658E-3</v>
      </c>
      <c r="C27" s="3">
        <v>1.436E-3</v>
      </c>
      <c r="D27" s="3">
        <v>6.8969999999999999E-5</v>
      </c>
      <c r="E27" s="3">
        <v>0</v>
      </c>
      <c r="F27" s="3">
        <v>0</v>
      </c>
      <c r="G27" s="3">
        <v>0</v>
      </c>
      <c r="H27" s="3">
        <v>7.4405800999999998E-4</v>
      </c>
      <c r="I27" s="3">
        <v>2.2166072000000001E-4</v>
      </c>
      <c r="J27" s="3">
        <v>-1.5891206000000001E-3</v>
      </c>
      <c r="K27" s="2"/>
      <c r="L27" s="3"/>
      <c r="M27" s="3"/>
      <c r="N27" s="2">
        <f>IF('Modell einstellen'!$B$1="Voll",H27/0.35,H27/0.35*2)</f>
        <v>2.1258800285714288E-3</v>
      </c>
      <c r="O27" s="2">
        <f>IF('Modell einstellen'!$B$1="Voll",J27/0.35,J27/0.35*2)</f>
        <v>-4.540344571428572E-3</v>
      </c>
      <c r="P27" s="3">
        <f t="shared" si="0"/>
        <v>0.46821997650776159</v>
      </c>
      <c r="Q27" s="3"/>
      <c r="R27" s="3"/>
      <c r="S27" s="3"/>
      <c r="T27" s="3"/>
      <c r="U27" s="3"/>
    </row>
    <row r="28" spans="1:21" x14ac:dyDescent="0.25">
      <c r="A28" s="3">
        <v>10000000000</v>
      </c>
      <c r="B28" s="3">
        <v>-2.1619999999999999E-3</v>
      </c>
      <c r="C28" s="3">
        <v>1.7060000000000001E-3</v>
      </c>
      <c r="D28" s="3">
        <v>3.0229999999999998E-4</v>
      </c>
      <c r="E28" s="3">
        <v>0</v>
      </c>
      <c r="F28" s="3">
        <v>0</v>
      </c>
      <c r="G28" s="3">
        <v>0</v>
      </c>
      <c r="H28" s="3">
        <v>8.8458731E-4</v>
      </c>
      <c r="I28" s="3">
        <v>2.6985821999999998E-4</v>
      </c>
      <c r="J28" s="3">
        <v>-1.9046054000000001E-3</v>
      </c>
      <c r="K28" s="2"/>
      <c r="L28" s="3"/>
      <c r="M28" s="3"/>
      <c r="N28" s="2">
        <f>IF('Modell einstellen'!$B$1="Voll",H28/0.35,H28/0.35*2)</f>
        <v>2.5273923142857145E-3</v>
      </c>
      <c r="O28" s="2">
        <f>IF('Modell einstellen'!$B$1="Voll",J28/0.35,J28/0.35*2)</f>
        <v>-5.441729714285715E-3</v>
      </c>
      <c r="P28" s="3">
        <f t="shared" si="0"/>
        <v>0.46444649899659002</v>
      </c>
      <c r="Q28" s="3"/>
      <c r="R28" s="3"/>
      <c r="S28" s="3"/>
      <c r="T28" s="3"/>
      <c r="U28" s="3"/>
    </row>
    <row r="29" spans="1:21" x14ac:dyDescent="0.25">
      <c r="A29" s="3">
        <v>100000000000</v>
      </c>
      <c r="B29" s="3">
        <v>-2.4459999999999998E-3</v>
      </c>
      <c r="C29" s="3">
        <v>1.8829999999999999E-3</v>
      </c>
      <c r="D29" s="3">
        <v>4.0999999999999999E-4</v>
      </c>
      <c r="E29" s="3">
        <v>0</v>
      </c>
      <c r="F29" s="3">
        <v>0</v>
      </c>
      <c r="G29" s="3">
        <v>0</v>
      </c>
      <c r="H29" s="3">
        <v>9.6671327999999998E-4</v>
      </c>
      <c r="I29" s="3">
        <v>3.0163370000000001E-4</v>
      </c>
      <c r="J29" s="3">
        <v>-2.1019068E-3</v>
      </c>
      <c r="K29" s="2"/>
      <c r="L29" s="3"/>
      <c r="M29" s="3"/>
      <c r="N29" s="2">
        <f>IF('Modell einstellen'!$B$1="Voll",H29/0.35,H29/0.35*2)</f>
        <v>2.7620379428571428E-3</v>
      </c>
      <c r="O29" s="2">
        <f>IF('Modell einstellen'!$B$1="Voll",J29/0.35,J29/0.35*2)</f>
        <v>-6.005448E-3</v>
      </c>
      <c r="P29" s="3">
        <f t="shared" si="0"/>
        <v>0.45992204792334274</v>
      </c>
      <c r="Q29" s="3"/>
      <c r="R29" s="3"/>
      <c r="S29" s="3"/>
      <c r="T29" s="3"/>
      <c r="U29" s="3"/>
    </row>
    <row r="30" spans="1:21" x14ac:dyDescent="0.25">
      <c r="A30" s="3">
        <v>1000000000000</v>
      </c>
      <c r="B30" s="3">
        <v>-2.6450000000000002E-3</v>
      </c>
      <c r="C30" s="3">
        <v>2.0089999999999999E-3</v>
      </c>
      <c r="D30" s="3">
        <v>4.8339999999999999E-4</v>
      </c>
      <c r="E30" s="3">
        <v>0</v>
      </c>
      <c r="F30" s="3">
        <v>0</v>
      </c>
      <c r="G30" s="3">
        <v>0</v>
      </c>
      <c r="H30" s="3">
        <v>1.0267384E-3</v>
      </c>
      <c r="I30" s="3">
        <v>3.2439745000000002E-4</v>
      </c>
      <c r="J30" s="3">
        <v>-2.2443452000000001E-3</v>
      </c>
      <c r="K30" s="2"/>
      <c r="L30" s="3"/>
      <c r="M30" s="3"/>
      <c r="N30" s="2">
        <f>IF('Modell einstellen'!$B$1="Voll",H30/0.35,H30/0.35*2)</f>
        <v>2.9335382857142859E-3</v>
      </c>
      <c r="O30" s="2">
        <f>IF('Modell einstellen'!$B$1="Voll",J30/0.35,J30/0.35*2)</f>
        <v>-6.4124148571428575E-3</v>
      </c>
      <c r="P30" s="3">
        <f t="shared" si="0"/>
        <v>0.45747793164794792</v>
      </c>
      <c r="Q30" s="3"/>
      <c r="R30" s="3"/>
      <c r="S30" s="3"/>
      <c r="T30" s="3"/>
      <c r="U30" s="3"/>
    </row>
    <row r="31" spans="1:21" x14ac:dyDescent="0.25">
      <c r="A31" s="3">
        <v>10000000000000</v>
      </c>
      <c r="B31" s="3">
        <v>-2.7929999999999999E-3</v>
      </c>
      <c r="C31" s="3">
        <v>2.068E-3</v>
      </c>
      <c r="D31" s="3">
        <v>5.708E-4</v>
      </c>
      <c r="E31" s="3">
        <v>0</v>
      </c>
      <c r="F31" s="3">
        <v>0</v>
      </c>
      <c r="G31" s="3">
        <v>0</v>
      </c>
      <c r="H31" s="3">
        <v>1.0666860000000001E-3</v>
      </c>
      <c r="I31" s="3">
        <v>3.3548945E-4</v>
      </c>
      <c r="J31" s="3">
        <v>-2.3243387999999999E-3</v>
      </c>
      <c r="K31" s="2"/>
      <c r="L31" s="3"/>
      <c r="M31" s="3"/>
      <c r="N31" s="2">
        <f>IF('Modell einstellen'!$B$1="Voll",H31/0.35,H31/0.35*2)</f>
        <v>3.0476742857142862E-3</v>
      </c>
      <c r="O31" s="2">
        <f>IF('Modell einstellen'!$B$1="Voll",J31/0.35,J31/0.35*2)</f>
        <v>-6.6409679999999997E-3</v>
      </c>
      <c r="P31" s="3">
        <f t="shared" si="0"/>
        <v>0.45892018839938492</v>
      </c>
      <c r="Q31" s="3"/>
      <c r="R31" s="3"/>
      <c r="S31" s="3"/>
      <c r="T31" s="3"/>
      <c r="U31" s="3"/>
    </row>
    <row r="32" spans="1:21" x14ac:dyDescent="0.25">
      <c r="A32" s="3">
        <v>100000000000000</v>
      </c>
      <c r="B32" s="3">
        <v>-2.8180000000000002E-3</v>
      </c>
      <c r="C32" s="3">
        <v>2.137E-3</v>
      </c>
      <c r="D32" s="3">
        <v>5.2769999999999998E-4</v>
      </c>
      <c r="E32" s="3">
        <v>0</v>
      </c>
      <c r="F32" s="3">
        <v>0</v>
      </c>
      <c r="G32" s="3">
        <v>0</v>
      </c>
      <c r="H32" s="3">
        <v>1.0844598999999999E-3</v>
      </c>
      <c r="I32" s="3">
        <v>3.4775552999999999E-4</v>
      </c>
      <c r="J32" s="3">
        <v>-2.3865671000000001E-3</v>
      </c>
      <c r="K32" s="2"/>
      <c r="L32" s="3"/>
      <c r="M32" s="3"/>
      <c r="N32" s="2">
        <f>IF('Modell einstellen'!$B$1="Voll",H32/0.35,H32/0.35*2)</f>
        <v>3.098456857142857E-3</v>
      </c>
      <c r="O32" s="2">
        <f>IF('Modell einstellen'!$B$1="Voll",J32/0.35,J32/0.35*2)</f>
        <v>-6.818763142857143E-3</v>
      </c>
      <c r="P32" s="3">
        <f t="shared" si="0"/>
        <v>0.45440159633475208</v>
      </c>
      <c r="Q32" s="3"/>
      <c r="R32" s="3"/>
      <c r="S32" s="3"/>
      <c r="T32" s="3"/>
      <c r="U32" s="3"/>
    </row>
    <row r="33" spans="1:21" x14ac:dyDescent="0.25">
      <c r="A33" s="2">
        <v>1000000000000000</v>
      </c>
      <c r="B33" s="3">
        <v>-3.0040000000000002E-3</v>
      </c>
      <c r="C33" s="3">
        <v>2.2279999999999999E-3</v>
      </c>
      <c r="D33" s="3">
        <v>6.2259999999999995E-4</v>
      </c>
      <c r="E33" s="3">
        <v>0</v>
      </c>
      <c r="F33" s="3">
        <v>0</v>
      </c>
      <c r="G33" s="3">
        <v>0</v>
      </c>
      <c r="H33" s="3">
        <v>1.1402960000000001E-3</v>
      </c>
      <c r="I33" s="3">
        <v>3.6457405000000001E-4</v>
      </c>
      <c r="J33" s="3">
        <v>-2.5031200000000002E-3</v>
      </c>
      <c r="K33" s="2"/>
      <c r="L33" s="3"/>
      <c r="M33" s="3"/>
      <c r="N33" s="2">
        <f>IF('Modell einstellen'!$B$1="Voll",H33/0.35,H33/0.35*2)</f>
        <v>3.2579885714285719E-3</v>
      </c>
      <c r="O33" s="2">
        <f>IF('Modell einstellen'!$B$1="Voll",J33/0.35,J33/0.35*2)</f>
        <v>-7.1517714285714296E-3</v>
      </c>
      <c r="P33" s="3">
        <f t="shared" si="0"/>
        <v>0.45554987375755057</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8.1039999999999997E-5</v>
      </c>
      <c r="C3" s="3">
        <v>1.3549999999999999E-4</v>
      </c>
      <c r="D3" s="3">
        <v>-3.4850000000000001E-4</v>
      </c>
      <c r="E3" s="3">
        <v>0</v>
      </c>
      <c r="F3" s="3">
        <v>0</v>
      </c>
      <c r="G3" s="3">
        <v>0</v>
      </c>
      <c r="H3" s="3">
        <v>5.2788928999999998E-5</v>
      </c>
      <c r="I3" s="3">
        <v>1.3452776E-5</v>
      </c>
      <c r="J3" s="3">
        <v>-1.3847136000000001E-4</v>
      </c>
      <c r="L3" s="3">
        <f>-B3/D3</f>
        <v>0.23253945480631275</v>
      </c>
      <c r="M3" s="3"/>
      <c r="N3" s="2">
        <f>IF('Modell einstellen'!$B$1="Voll",H3/0.35,H3/0.35*2)</f>
        <v>1.5082551142857144E-4</v>
      </c>
      <c r="O3" s="2">
        <f>IF('Modell einstellen'!$B$1="Voll",J3/0.35,J3/0.35*2)</f>
        <v>-3.9563245714285719E-4</v>
      </c>
      <c r="P3" s="3">
        <f>-N3/O3</f>
        <v>0.38122633445645365</v>
      </c>
    </row>
    <row r="4" spans="1:16" x14ac:dyDescent="0.25">
      <c r="A4" s="3">
        <v>1E-14</v>
      </c>
      <c r="B4" s="3">
        <v>7.9880000000000001E-5</v>
      </c>
      <c r="C4" s="3">
        <v>1.4009999999999999E-4</v>
      </c>
      <c r="D4" s="3">
        <v>-3.5330000000000002E-4</v>
      </c>
      <c r="E4" s="3">
        <v>0</v>
      </c>
      <c r="F4" s="3">
        <v>0</v>
      </c>
      <c r="G4" s="3">
        <v>0</v>
      </c>
      <c r="H4" s="3">
        <v>5.5377724999999998E-5</v>
      </c>
      <c r="I4" s="3">
        <v>1.3944623999999999E-5</v>
      </c>
      <c r="J4" s="3">
        <v>-1.4302870000000001E-4</v>
      </c>
      <c r="L4" s="3">
        <f t="shared" ref="L4:L33" si="0">-B4/D4</f>
        <v>0.22609680158505518</v>
      </c>
      <c r="M4" s="3"/>
      <c r="N4" s="2">
        <f>IF('Modell einstellen'!$B$1="Voll",H4/0.35,H4/0.35*2)</f>
        <v>1.5822207142857144E-4</v>
      </c>
      <c r="O4" s="2">
        <f>IF('Modell einstellen'!$B$1="Voll",J4/0.35,J4/0.35*2)</f>
        <v>-4.086534285714286E-4</v>
      </c>
      <c r="P4" s="3">
        <f t="shared" ref="P4:P33" si="1">-N4/O4</f>
        <v>0.38717911160487373</v>
      </c>
    </row>
    <row r="5" spans="1:16" x14ac:dyDescent="0.25">
      <c r="A5" s="3">
        <v>1E-13</v>
      </c>
      <c r="B5" s="3">
        <v>7.8369999999999997E-5</v>
      </c>
      <c r="C5" s="3">
        <v>1.4420000000000001E-4</v>
      </c>
      <c r="D5" s="3">
        <v>-3.5720000000000001E-4</v>
      </c>
      <c r="E5" s="3">
        <v>0</v>
      </c>
      <c r="F5" s="3">
        <v>0</v>
      </c>
      <c r="G5" s="3">
        <v>0</v>
      </c>
      <c r="H5" s="3">
        <v>5.7811133999999999E-5</v>
      </c>
      <c r="I5" s="3">
        <v>1.4391126E-5</v>
      </c>
      <c r="J5" s="3">
        <v>-1.4725404000000001E-4</v>
      </c>
      <c r="L5" s="3">
        <f t="shared" si="0"/>
        <v>0.21940089585666292</v>
      </c>
      <c r="M5" s="3"/>
      <c r="N5" s="2">
        <f>IF('Modell einstellen'!$B$1="Voll",H5/0.35,H5/0.35*2)</f>
        <v>1.6517466857142858E-4</v>
      </c>
      <c r="O5" s="2">
        <f>IF('Modell einstellen'!$B$1="Voll",J5/0.35,J5/0.35*2)</f>
        <v>-4.2072582857142864E-4</v>
      </c>
      <c r="P5" s="3">
        <f t="shared" si="1"/>
        <v>0.39259455292364132</v>
      </c>
    </row>
    <row r="6" spans="1:16" x14ac:dyDescent="0.25">
      <c r="A6" s="3">
        <v>9.9999999999999998E-13</v>
      </c>
      <c r="B6" s="3">
        <v>7.6559999999999999E-5</v>
      </c>
      <c r="C6" s="3">
        <v>1.4809999999999999E-4</v>
      </c>
      <c r="D6" s="3">
        <v>-3.6049999999999998E-4</v>
      </c>
      <c r="E6" s="3">
        <v>0</v>
      </c>
      <c r="F6" s="3">
        <v>0</v>
      </c>
      <c r="G6" s="3">
        <v>0</v>
      </c>
      <c r="H6" s="3">
        <v>6.0187450999999999E-5</v>
      </c>
      <c r="I6" s="3">
        <v>1.4813861000000001E-5</v>
      </c>
      <c r="J6" s="3">
        <v>-1.513261E-4</v>
      </c>
      <c r="L6" s="3">
        <f t="shared" si="0"/>
        <v>0.21237170596393898</v>
      </c>
      <c r="M6" s="3"/>
      <c r="N6" s="2">
        <f>IF('Modell einstellen'!$B$1="Voll",H6/0.35,H6/0.35*2)</f>
        <v>1.7196414571428573E-4</v>
      </c>
      <c r="O6" s="2">
        <f>IF('Modell einstellen'!$B$1="Voll",J6/0.35,J6/0.35*2)</f>
        <v>-4.3236028571428574E-4</v>
      </c>
      <c r="P6" s="3">
        <f t="shared" si="1"/>
        <v>0.39773344452807546</v>
      </c>
    </row>
    <row r="7" spans="1:16" x14ac:dyDescent="0.25">
      <c r="A7" s="3">
        <v>9.9999999999999994E-12</v>
      </c>
      <c r="B7" s="3">
        <v>7.3960000000000003E-5</v>
      </c>
      <c r="C7" s="3">
        <v>1.527E-4</v>
      </c>
      <c r="D7" s="3">
        <v>-3.6380000000000001E-4</v>
      </c>
      <c r="E7" s="3">
        <v>0</v>
      </c>
      <c r="F7" s="3">
        <v>0</v>
      </c>
      <c r="G7" s="3">
        <v>0</v>
      </c>
      <c r="H7" s="3">
        <v>6.3090849999999999E-5</v>
      </c>
      <c r="I7" s="3">
        <v>1.5313314999999999E-5</v>
      </c>
      <c r="J7" s="3">
        <v>-1.5623251000000001E-4</v>
      </c>
      <c r="L7" s="3">
        <f t="shared" si="0"/>
        <v>0.20329851566794943</v>
      </c>
      <c r="M7" s="3"/>
      <c r="N7" s="2">
        <f>IF('Modell einstellen'!$B$1="Voll",H7/0.35,H7/0.35*2)</f>
        <v>1.8025957142857145E-4</v>
      </c>
      <c r="O7" s="2">
        <f>IF('Modell einstellen'!$B$1="Voll",J7/0.35,J7/0.35*2)</f>
        <v>-4.4637860000000008E-4</v>
      </c>
      <c r="P7" s="3">
        <f t="shared" si="1"/>
        <v>0.40382664273908159</v>
      </c>
    </row>
    <row r="8" spans="1:16" x14ac:dyDescent="0.25">
      <c r="A8" s="3">
        <v>1E-10</v>
      </c>
      <c r="B8" s="3">
        <v>6.9900000000000005E-5</v>
      </c>
      <c r="C8" s="3">
        <v>1.585E-4</v>
      </c>
      <c r="D8" s="3">
        <v>-3.6719999999999998E-4</v>
      </c>
      <c r="E8" s="3">
        <v>0</v>
      </c>
      <c r="F8" s="3">
        <v>0</v>
      </c>
      <c r="G8" s="3">
        <v>0</v>
      </c>
      <c r="H8" s="3">
        <v>6.6917795000000005E-5</v>
      </c>
      <c r="I8" s="3">
        <v>1.5942262000000001E-5</v>
      </c>
      <c r="J8" s="3">
        <v>-1.6258080000000001E-4</v>
      </c>
      <c r="L8" s="3">
        <f t="shared" si="0"/>
        <v>0.19035947712418302</v>
      </c>
      <c r="M8" s="3"/>
      <c r="N8" s="2">
        <f>IF('Modell einstellen'!$B$1="Voll",H8/0.35,H8/0.35*2)</f>
        <v>1.9119370000000003E-4</v>
      </c>
      <c r="O8" s="2">
        <f>IF('Modell einstellen'!$B$1="Voll",J8/0.35,J8/0.35*2)</f>
        <v>-4.645165714285715E-4</v>
      </c>
      <c r="P8" s="3">
        <f t="shared" si="1"/>
        <v>0.41159715661381913</v>
      </c>
    </row>
    <row r="9" spans="1:16" x14ac:dyDescent="0.25">
      <c r="A9" s="3">
        <v>1.0000000000000001E-9</v>
      </c>
      <c r="B9" s="3">
        <v>6.4220000000000005E-5</v>
      </c>
      <c r="C9" s="3">
        <v>1.6479999999999999E-4</v>
      </c>
      <c r="D9" s="3">
        <v>-3.6979999999999999E-4</v>
      </c>
      <c r="E9" s="3">
        <v>0</v>
      </c>
      <c r="F9" s="3">
        <v>0</v>
      </c>
      <c r="G9" s="3">
        <v>0</v>
      </c>
      <c r="H9" s="3">
        <v>7.1437857000000005E-5</v>
      </c>
      <c r="I9" s="3">
        <v>1.6642403E-5</v>
      </c>
      <c r="J9" s="3">
        <v>-1.6990606999999999E-4</v>
      </c>
      <c r="L9" s="3">
        <f t="shared" si="0"/>
        <v>0.17366143861546784</v>
      </c>
      <c r="M9" s="3"/>
      <c r="N9" s="2">
        <f>IF('Modell einstellen'!$B$1="Voll",H9/0.35,H9/0.35*2)</f>
        <v>2.0410816285714288E-4</v>
      </c>
      <c r="O9" s="2">
        <f>IF('Modell einstellen'!$B$1="Voll",J9/0.35,J9/0.35*2)</f>
        <v>-4.8544591428571429E-4</v>
      </c>
      <c r="P9" s="3">
        <f t="shared" si="1"/>
        <v>0.42045500199021735</v>
      </c>
    </row>
    <row r="10" spans="1:16" x14ac:dyDescent="0.25">
      <c r="A10" s="3">
        <v>1E-8</v>
      </c>
      <c r="B10" s="3">
        <v>5.7819999999999999E-5</v>
      </c>
      <c r="C10" s="3">
        <v>1.706E-4</v>
      </c>
      <c r="D10" s="3">
        <v>-3.7080000000000001E-4</v>
      </c>
      <c r="E10" s="3">
        <v>0</v>
      </c>
      <c r="F10" s="3">
        <v>0</v>
      </c>
      <c r="G10" s="3">
        <v>0</v>
      </c>
      <c r="H10" s="3">
        <v>7.5848829000000004E-5</v>
      </c>
      <c r="I10" s="3">
        <v>1.7282686000000001E-5</v>
      </c>
      <c r="J10" s="3">
        <v>-1.7688089E-4</v>
      </c>
      <c r="L10" s="3">
        <f t="shared" si="0"/>
        <v>0.15593311758360301</v>
      </c>
      <c r="M10" s="3"/>
      <c r="N10" s="2">
        <f>IF('Modell einstellen'!$B$1="Voll",H10/0.35,H10/0.35*2)</f>
        <v>2.1671094000000002E-4</v>
      </c>
      <c r="O10" s="2">
        <f>IF('Modell einstellen'!$B$1="Voll",J10/0.35,J10/0.35*2)</f>
        <v>-5.0537397142857141E-4</v>
      </c>
      <c r="P10" s="3">
        <f t="shared" si="1"/>
        <v>0.42881302214162315</v>
      </c>
    </row>
    <row r="11" spans="1:16" x14ac:dyDescent="0.25">
      <c r="A11" s="3">
        <v>9.9999999999999995E-8</v>
      </c>
      <c r="B11" s="3">
        <v>5.1109999999999997E-5</v>
      </c>
      <c r="C11" s="3">
        <v>1.7560000000000001E-4</v>
      </c>
      <c r="D11" s="3">
        <v>-3.7070000000000001E-4</v>
      </c>
      <c r="E11" s="3">
        <v>0</v>
      </c>
      <c r="F11" s="3">
        <v>0</v>
      </c>
      <c r="G11" s="3">
        <v>0</v>
      </c>
      <c r="H11" s="3">
        <v>8.0033410999999995E-5</v>
      </c>
      <c r="I11" s="3">
        <v>1.7856825999999999E-5</v>
      </c>
      <c r="J11" s="3">
        <v>-1.8336367999999999E-4</v>
      </c>
      <c r="L11" s="3">
        <f t="shared" si="0"/>
        <v>0.1378742918802266</v>
      </c>
      <c r="M11" s="3"/>
      <c r="N11" s="2">
        <f>IF('Modell einstellen'!$B$1="Voll",H11/0.35,H11/0.35*2)</f>
        <v>2.2866688857142858E-4</v>
      </c>
      <c r="O11" s="2">
        <f>IF('Modell einstellen'!$B$1="Voll",J11/0.35,J11/0.35*2)</f>
        <v>-5.2389622857142853E-4</v>
      </c>
      <c r="P11" s="3">
        <f t="shared" si="1"/>
        <v>0.43647362989224481</v>
      </c>
    </row>
    <row r="12" spans="1:16" x14ac:dyDescent="0.25">
      <c r="A12" s="3">
        <v>9.9999999999999995E-7</v>
      </c>
      <c r="B12" s="3">
        <v>4.295E-5</v>
      </c>
      <c r="C12" s="3">
        <v>1.8090000000000001E-4</v>
      </c>
      <c r="D12" s="3">
        <v>-3.6939999999999998E-4</v>
      </c>
      <c r="E12" s="3">
        <v>0</v>
      </c>
      <c r="F12" s="3">
        <v>0</v>
      </c>
      <c r="G12" s="3">
        <v>0</v>
      </c>
      <c r="H12" s="3">
        <v>8.4700691999999998E-5</v>
      </c>
      <c r="I12" s="3">
        <v>1.8460316000000001E-5</v>
      </c>
      <c r="J12" s="3">
        <v>-1.9044628999999999E-4</v>
      </c>
      <c r="L12" s="3">
        <f t="shared" si="0"/>
        <v>0.11626962642122361</v>
      </c>
      <c r="M12" s="3"/>
      <c r="N12" s="2">
        <f>IF('Modell einstellen'!$B$1="Voll",H12/0.35,H12/0.35*2)</f>
        <v>2.4200197714285715E-4</v>
      </c>
      <c r="O12" s="2">
        <f>IF('Modell einstellen'!$B$1="Voll",J12/0.35,J12/0.35*2)</f>
        <v>-5.4413225714285715E-4</v>
      </c>
      <c r="P12" s="3">
        <f t="shared" si="1"/>
        <v>0.44474844849957434</v>
      </c>
    </row>
    <row r="13" spans="1:16" x14ac:dyDescent="0.25">
      <c r="A13" s="3">
        <v>1.0000000000000001E-5</v>
      </c>
      <c r="B13" s="3">
        <v>3.3189999999999999E-5</v>
      </c>
      <c r="C13" s="3">
        <v>1.864E-4</v>
      </c>
      <c r="D13" s="3">
        <v>-3.6680000000000003E-4</v>
      </c>
      <c r="E13" s="3">
        <v>0</v>
      </c>
      <c r="F13" s="3">
        <v>0</v>
      </c>
      <c r="G13" s="3">
        <v>0</v>
      </c>
      <c r="H13" s="3">
        <v>8.9856549000000003E-5</v>
      </c>
      <c r="I13" s="3">
        <v>1.9086167E-5</v>
      </c>
      <c r="J13" s="3">
        <v>-1.9810615E-4</v>
      </c>
      <c r="L13" s="3">
        <f t="shared" si="0"/>
        <v>9.0485278080697923E-2</v>
      </c>
      <c r="M13" s="3"/>
      <c r="N13" s="2">
        <f>IF('Modell einstellen'!$B$1="Voll",H13/0.35,H13/0.35*2)</f>
        <v>2.5673299714285718E-4</v>
      </c>
      <c r="O13" s="2">
        <f>IF('Modell einstellen'!$B$1="Voll",J13/0.35,J13/0.35*2)</f>
        <v>-5.6601757142857149E-4</v>
      </c>
      <c r="P13" s="3">
        <f t="shared" si="1"/>
        <v>0.45357778645438318</v>
      </c>
    </row>
    <row r="14" spans="1:16" x14ac:dyDescent="0.25">
      <c r="A14" s="3">
        <v>1E-4</v>
      </c>
      <c r="B14" s="3">
        <v>2.1469999999999999E-5</v>
      </c>
      <c r="C14" s="3">
        <v>1.919E-4</v>
      </c>
      <c r="D14" s="3">
        <v>-3.6230000000000002E-4</v>
      </c>
      <c r="E14" s="3">
        <v>0</v>
      </c>
      <c r="F14" s="3">
        <v>0</v>
      </c>
      <c r="G14" s="3">
        <v>0</v>
      </c>
      <c r="H14" s="3">
        <v>9.5589317000000003E-5</v>
      </c>
      <c r="I14" s="3">
        <v>1.9733786999999998E-5</v>
      </c>
      <c r="J14" s="3">
        <v>-2.0642906999999999E-4</v>
      </c>
      <c r="L14" s="3">
        <f t="shared" si="0"/>
        <v>5.9260281534639796E-2</v>
      </c>
      <c r="M14" s="3"/>
      <c r="N14" s="2">
        <f>IF('Modell einstellen'!$B$1="Voll",H14/0.35,H14/0.35*2)</f>
        <v>2.7311233428571429E-4</v>
      </c>
      <c r="O14" s="2">
        <f>IF('Modell einstellen'!$B$1="Voll",J14/0.35,J14/0.35*2)</f>
        <v>-5.8979734285714283E-4</v>
      </c>
      <c r="P14" s="3">
        <f t="shared" si="1"/>
        <v>0.46306131689688862</v>
      </c>
    </row>
    <row r="15" spans="1:16" x14ac:dyDescent="0.25">
      <c r="A15" s="3">
        <v>1E-3</v>
      </c>
      <c r="B15" s="3">
        <v>6.7649999999999996E-6</v>
      </c>
      <c r="C15" s="3">
        <v>1.9790000000000001E-4</v>
      </c>
      <c r="D15" s="3">
        <v>-3.5550000000000002E-4</v>
      </c>
      <c r="E15" s="3">
        <v>0</v>
      </c>
      <c r="F15" s="3">
        <v>0</v>
      </c>
      <c r="G15" s="3">
        <v>0</v>
      </c>
      <c r="H15" s="3">
        <v>1.0232782E-4</v>
      </c>
      <c r="I15" s="3">
        <v>2.0442589E-5</v>
      </c>
      <c r="J15" s="3">
        <v>-2.1600094999999999E-4</v>
      </c>
      <c r="L15" s="3">
        <f t="shared" si="0"/>
        <v>1.9029535864978901E-2</v>
      </c>
      <c r="M15" s="3"/>
      <c r="N15" s="2">
        <f>IF('Modell einstellen'!$B$1="Voll",H15/0.35,H15/0.35*2)</f>
        <v>2.9236520000000001E-4</v>
      </c>
      <c r="O15" s="2">
        <f>IF('Modell einstellen'!$B$1="Voll",J15/0.35,J15/0.35*2)</f>
        <v>-6.1714557142857149E-4</v>
      </c>
      <c r="P15" s="3">
        <f t="shared" si="1"/>
        <v>0.47373782383827473</v>
      </c>
    </row>
    <row r="16" spans="1:16" x14ac:dyDescent="0.25">
      <c r="A16" s="3">
        <v>0.01</v>
      </c>
      <c r="B16" s="3">
        <v>-1.473E-5</v>
      </c>
      <c r="C16" s="3">
        <v>2.0540000000000001E-4</v>
      </c>
      <c r="D16" s="3">
        <v>-3.4370000000000001E-4</v>
      </c>
      <c r="E16" s="3">
        <v>0</v>
      </c>
      <c r="F16" s="3">
        <v>0</v>
      </c>
      <c r="G16" s="3">
        <v>0</v>
      </c>
      <c r="H16" s="3">
        <v>1.1154289E-4</v>
      </c>
      <c r="I16" s="3">
        <v>2.1333153999999998E-5</v>
      </c>
      <c r="J16" s="3">
        <v>-2.2876759E-4</v>
      </c>
      <c r="L16" s="3">
        <f t="shared" si="0"/>
        <v>-4.2857142857142858E-2</v>
      </c>
      <c r="M16" s="3"/>
      <c r="N16" s="2">
        <f>IF('Modell einstellen'!$B$1="Voll",H16/0.35,H16/0.35*2)</f>
        <v>3.1869397142857147E-4</v>
      </c>
      <c r="O16" s="2">
        <f>IF('Modell einstellen'!$B$1="Voll",J16/0.35,J16/0.35*2)</f>
        <v>-6.5362168571428576E-4</v>
      </c>
      <c r="P16" s="3">
        <f t="shared" si="1"/>
        <v>0.48758169808931417</v>
      </c>
    </row>
    <row r="17" spans="1:16" x14ac:dyDescent="0.25">
      <c r="A17" s="3">
        <v>0.1</v>
      </c>
      <c r="B17" s="3">
        <v>-4.2349999999999999E-5</v>
      </c>
      <c r="C17" s="3">
        <v>2.1460000000000001E-4</v>
      </c>
      <c r="D17" s="3">
        <v>-3.277E-4</v>
      </c>
      <c r="E17" s="3">
        <v>0</v>
      </c>
      <c r="F17" s="3">
        <v>0</v>
      </c>
      <c r="G17" s="3">
        <v>0</v>
      </c>
      <c r="H17" s="3">
        <v>1.2317647999999999E-4</v>
      </c>
      <c r="I17" s="3">
        <v>2.2465311999999999E-5</v>
      </c>
      <c r="J17" s="3">
        <v>-2.4483185000000001E-4</v>
      </c>
      <c r="L17" s="3">
        <f t="shared" si="0"/>
        <v>-0.12923405553860237</v>
      </c>
      <c r="M17" s="3"/>
      <c r="N17" s="2">
        <f>IF('Modell einstellen'!$B$1="Voll",H17/0.35,H17/0.35*2)</f>
        <v>3.5193280000000001E-4</v>
      </c>
      <c r="O17" s="2">
        <f>IF('Modell einstellen'!$B$1="Voll",J17/0.35,J17/0.35*2)</f>
        <v>-6.9951957142857146E-4</v>
      </c>
      <c r="P17" s="3">
        <f t="shared" si="1"/>
        <v>0.50310643815336931</v>
      </c>
    </row>
    <row r="18" spans="1:16" x14ac:dyDescent="0.25">
      <c r="A18" s="3">
        <v>1</v>
      </c>
      <c r="B18" s="3">
        <v>-7.2600000000000003E-5</v>
      </c>
      <c r="C18" s="3">
        <v>2.3499999999999999E-4</v>
      </c>
      <c r="D18" s="3">
        <v>-3.1950000000000001E-4</v>
      </c>
      <c r="E18" s="3">
        <v>0</v>
      </c>
      <c r="F18" s="3">
        <v>0</v>
      </c>
      <c r="G18" s="3">
        <v>0</v>
      </c>
      <c r="H18" s="3">
        <v>1.3992974999999999E-4</v>
      </c>
      <c r="I18" s="3">
        <v>2.4984667000000001E-5</v>
      </c>
      <c r="J18" s="3">
        <v>-2.7087269000000003E-4</v>
      </c>
      <c r="L18" s="3">
        <f t="shared" si="0"/>
        <v>-0.2272300469483568</v>
      </c>
      <c r="M18" s="3"/>
      <c r="N18" s="2">
        <f>IF('Modell einstellen'!$B$1="Voll",H18/0.35,H18/0.35*2)</f>
        <v>3.9979928571428573E-4</v>
      </c>
      <c r="O18" s="2">
        <f>IF('Modell einstellen'!$B$1="Voll",J18/0.35,J18/0.35*2)</f>
        <v>-7.739219714285716E-4</v>
      </c>
      <c r="P18" s="3">
        <f t="shared" si="1"/>
        <v>0.51658862323846666</v>
      </c>
    </row>
    <row r="19" spans="1:16" x14ac:dyDescent="0.25">
      <c r="A19" s="3">
        <v>10</v>
      </c>
      <c r="B19" s="3">
        <v>-9.1500000000000001E-5</v>
      </c>
      <c r="C19" s="3">
        <v>2.8590000000000001E-4</v>
      </c>
      <c r="D19" s="3">
        <v>-3.5100000000000002E-4</v>
      </c>
      <c r="E19" s="3">
        <v>0</v>
      </c>
      <c r="F19" s="3">
        <v>0</v>
      </c>
      <c r="G19" s="3">
        <v>0</v>
      </c>
      <c r="H19" s="3">
        <v>1.6530494E-4</v>
      </c>
      <c r="I19" s="3">
        <v>3.1521479000000002E-5</v>
      </c>
      <c r="J19" s="3">
        <v>-3.1960990999999999E-4</v>
      </c>
      <c r="L19" s="3">
        <f t="shared" si="0"/>
        <v>-0.26068376068376065</v>
      </c>
      <c r="M19" s="3"/>
      <c r="N19" s="2">
        <f>IF('Modell einstellen'!$B$1="Voll",H19/0.35,H19/0.35*2)</f>
        <v>4.7229982857142862E-4</v>
      </c>
      <c r="O19" s="2">
        <f>IF('Modell einstellen'!$B$1="Voll",J19/0.35,J19/0.35*2)</f>
        <v>-9.1317117142857148E-4</v>
      </c>
      <c r="P19" s="3">
        <f t="shared" si="1"/>
        <v>0.51720843073983536</v>
      </c>
    </row>
    <row r="20" spans="1:16" x14ac:dyDescent="0.25">
      <c r="A20" s="3">
        <v>100</v>
      </c>
      <c r="B20" s="3">
        <v>-1.262E-4</v>
      </c>
      <c r="C20" s="3">
        <v>3.7179999999999998E-4</v>
      </c>
      <c r="D20" s="3">
        <v>-4.0079999999999998E-4</v>
      </c>
      <c r="E20" s="3">
        <v>0</v>
      </c>
      <c r="F20" s="3">
        <v>0</v>
      </c>
      <c r="G20" s="3">
        <v>0</v>
      </c>
      <c r="H20" s="3">
        <v>2.0421952000000001E-4</v>
      </c>
      <c r="I20" s="3">
        <v>4.3178043000000003E-5</v>
      </c>
      <c r="J20" s="3">
        <v>-4.0029247999999999E-4</v>
      </c>
      <c r="L20" s="3">
        <f t="shared" si="0"/>
        <v>-0.31487025948103797</v>
      </c>
      <c r="M20" s="3"/>
      <c r="N20" s="2">
        <f>IF('Modell einstellen'!$B$1="Voll",H20/0.35,H20/0.35*2)</f>
        <v>5.8348434285714296E-4</v>
      </c>
      <c r="O20" s="2">
        <f>IF('Modell einstellen'!$B$1="Voll",J20/0.35,J20/0.35*2)</f>
        <v>-1.1436928E-3</v>
      </c>
      <c r="P20" s="3">
        <f t="shared" si="1"/>
        <v>0.51017575948466487</v>
      </c>
    </row>
    <row r="21" spans="1:16" x14ac:dyDescent="0.25">
      <c r="A21" s="3">
        <v>1000</v>
      </c>
      <c r="B21" s="3">
        <v>-2.3379999999999999E-4</v>
      </c>
      <c r="C21" s="3">
        <v>4.9200000000000003E-4</v>
      </c>
      <c r="D21" s="3">
        <v>-4.1320000000000001E-4</v>
      </c>
      <c r="E21" s="3">
        <v>0</v>
      </c>
      <c r="F21" s="3">
        <v>0</v>
      </c>
      <c r="G21" s="3">
        <v>0</v>
      </c>
      <c r="H21" s="3">
        <v>2.6622712999999998E-4</v>
      </c>
      <c r="I21" s="3">
        <v>6.0884707000000003E-5</v>
      </c>
      <c r="J21" s="3">
        <v>-5.2632613000000005E-4</v>
      </c>
      <c r="L21" s="3">
        <f t="shared" si="0"/>
        <v>-0.56582768635043557</v>
      </c>
      <c r="M21" s="3"/>
      <c r="N21" s="2">
        <f>IF('Modell einstellen'!$B$1="Voll",H21/0.35,H21/0.35*2)</f>
        <v>7.6064894285714289E-4</v>
      </c>
      <c r="O21" s="2">
        <f>IF('Modell einstellen'!$B$1="Voll",J21/0.35,J21/0.35*2)</f>
        <v>-1.5037889428571431E-3</v>
      </c>
      <c r="P21" s="3">
        <f t="shared" si="1"/>
        <v>0.50582160912284546</v>
      </c>
    </row>
    <row r="22" spans="1:16" x14ac:dyDescent="0.25">
      <c r="A22" s="3">
        <v>10000</v>
      </c>
      <c r="B22" s="3">
        <v>-4.9870000000000003E-4</v>
      </c>
      <c r="C22" s="3">
        <v>6.6339999999999997E-4</v>
      </c>
      <c r="D22" s="3">
        <v>-3.2079999999999999E-4</v>
      </c>
      <c r="E22" s="3">
        <v>0</v>
      </c>
      <c r="F22" s="3">
        <v>0</v>
      </c>
      <c r="G22" s="3">
        <v>0</v>
      </c>
      <c r="H22" s="3">
        <v>3.6993943000000003E-4</v>
      </c>
      <c r="I22" s="3">
        <v>8.8409494000000005E-5</v>
      </c>
      <c r="J22" s="3">
        <v>-7.3016987000000002E-4</v>
      </c>
      <c r="L22" s="3">
        <f t="shared" si="0"/>
        <v>-1.5545511221945139</v>
      </c>
      <c r="M22" s="3"/>
      <c r="N22" s="2">
        <f>IF('Modell einstellen'!$B$1="Voll",H22/0.35,H22/0.35*2)</f>
        <v>1.0569698000000001E-3</v>
      </c>
      <c r="O22" s="2">
        <f>IF('Modell einstellen'!$B$1="Voll",J22/0.35,J22/0.35*2)</f>
        <v>-2.0861996285714288E-3</v>
      </c>
      <c r="P22" s="3">
        <f t="shared" si="1"/>
        <v>0.5066484460663927</v>
      </c>
    </row>
    <row r="23" spans="1:16" x14ac:dyDescent="0.25">
      <c r="A23" s="3">
        <v>100000</v>
      </c>
      <c r="B23" s="3">
        <v>-9.5359999999999998E-4</v>
      </c>
      <c r="C23" s="3">
        <v>9.0039999999999999E-4</v>
      </c>
      <c r="D23" s="3">
        <v>-1.038E-4</v>
      </c>
      <c r="E23" s="3">
        <v>0</v>
      </c>
      <c r="F23" s="3">
        <v>0</v>
      </c>
      <c r="G23" s="3">
        <v>0</v>
      </c>
      <c r="H23" s="3">
        <v>5.1797943000000003E-4</v>
      </c>
      <c r="I23" s="3">
        <v>1.2863878000000001E-4</v>
      </c>
      <c r="J23" s="3">
        <v>-1.0246764999999999E-3</v>
      </c>
      <c r="L23" s="3">
        <f t="shared" si="0"/>
        <v>-9.1868978805394992</v>
      </c>
      <c r="M23" s="3"/>
      <c r="N23" s="2">
        <f>IF('Modell einstellen'!$B$1="Voll",H23/0.35,H23/0.35*2)</f>
        <v>1.4799412285714287E-3</v>
      </c>
      <c r="O23" s="2">
        <f>IF('Modell einstellen'!$B$1="Voll",J23/0.35,J23/0.35*2)</f>
        <v>-2.927647142857143E-3</v>
      </c>
      <c r="P23" s="3">
        <f t="shared" si="1"/>
        <v>0.5055053277790601</v>
      </c>
    </row>
    <row r="24" spans="1:16" x14ac:dyDescent="0.25">
      <c r="A24" s="3">
        <v>1000000</v>
      </c>
      <c r="B24" s="3">
        <v>-1.591E-3</v>
      </c>
      <c r="C24" s="3">
        <v>1.214E-3</v>
      </c>
      <c r="D24" s="3">
        <v>2.2029999999999999E-4</v>
      </c>
      <c r="E24" s="3">
        <v>0</v>
      </c>
      <c r="F24" s="3">
        <v>0</v>
      </c>
      <c r="G24" s="3">
        <v>0</v>
      </c>
      <c r="H24" s="3">
        <v>7.0392318E-4</v>
      </c>
      <c r="I24" s="3">
        <v>1.8326907999999999E-4</v>
      </c>
      <c r="J24" s="3">
        <v>-1.4093254E-3</v>
      </c>
      <c r="L24" s="3">
        <f t="shared" si="0"/>
        <v>7.2219700408533818</v>
      </c>
      <c r="M24" s="3"/>
      <c r="N24" s="2">
        <f>IF('Modell einstellen'!$B$1="Voll",H24/0.35,H24/0.35*2)</f>
        <v>2.0112090857142858E-3</v>
      </c>
      <c r="O24" s="2">
        <f>IF('Modell einstellen'!$B$1="Voll",J24/0.35,J24/0.35*2)</f>
        <v>-4.0266440000000002E-3</v>
      </c>
      <c r="P24" s="3">
        <f t="shared" si="1"/>
        <v>0.49947526667723435</v>
      </c>
    </row>
    <row r="25" spans="1:16" x14ac:dyDescent="0.25">
      <c r="A25" s="3">
        <v>10000000</v>
      </c>
      <c r="B25" s="3">
        <v>-2.1059999999999998E-3</v>
      </c>
      <c r="C25" s="3">
        <v>1.5100000000000001E-3</v>
      </c>
      <c r="D25" s="3">
        <v>4.3970000000000001E-4</v>
      </c>
      <c r="E25" s="3">
        <v>0</v>
      </c>
      <c r="F25" s="3">
        <v>0</v>
      </c>
      <c r="G25" s="3">
        <v>0</v>
      </c>
      <c r="H25" s="3">
        <v>8.4915985999999997E-4</v>
      </c>
      <c r="I25" s="3">
        <v>2.3545669E-4</v>
      </c>
      <c r="J25" s="3">
        <v>-1.7440691E-3</v>
      </c>
      <c r="L25" s="3">
        <f t="shared" si="0"/>
        <v>4.7896292926995674</v>
      </c>
      <c r="M25" s="3"/>
      <c r="N25" s="2">
        <f>IF('Modell einstellen'!$B$1="Voll",H25/0.35,H25/0.35*2)</f>
        <v>2.4261710285714286E-3</v>
      </c>
      <c r="O25" s="2">
        <f>IF('Modell einstellen'!$B$1="Voll",J25/0.35,J25/0.35*2)</f>
        <v>-4.9830545714285718E-3</v>
      </c>
      <c r="P25" s="3">
        <f t="shared" si="1"/>
        <v>0.48688429833428043</v>
      </c>
    </row>
    <row r="26" spans="1:16" x14ac:dyDescent="0.25">
      <c r="A26" s="3">
        <v>100000000</v>
      </c>
      <c r="B26" s="3">
        <v>-2.4810000000000001E-3</v>
      </c>
      <c r="C26" s="3">
        <v>1.756E-3</v>
      </c>
      <c r="D26" s="3">
        <v>5.6910000000000001E-4</v>
      </c>
      <c r="E26" s="3">
        <v>0</v>
      </c>
      <c r="F26" s="3">
        <v>0</v>
      </c>
      <c r="G26" s="3">
        <v>0</v>
      </c>
      <c r="H26" s="3">
        <v>9.5481717999999999E-4</v>
      </c>
      <c r="I26" s="3">
        <v>2.7912257999999999E-4</v>
      </c>
      <c r="J26" s="3">
        <v>-2.0081027000000001E-3</v>
      </c>
      <c r="L26" s="3">
        <f t="shared" si="0"/>
        <v>4.3595150237216655</v>
      </c>
      <c r="M26" s="3"/>
      <c r="N26" s="2">
        <f>IF('Modell einstellen'!$B$1="Voll",H26/0.35,H26/0.35*2)</f>
        <v>2.7280490857142857E-3</v>
      </c>
      <c r="O26" s="2">
        <f>IF('Modell einstellen'!$B$1="Voll",J26/0.35,J26/0.35*2)</f>
        <v>-5.7374362857142867E-3</v>
      </c>
      <c r="P26" s="3">
        <f t="shared" si="1"/>
        <v>0.47548224500669206</v>
      </c>
    </row>
    <row r="27" spans="1:16" x14ac:dyDescent="0.25">
      <c r="A27" s="3">
        <v>1000000000</v>
      </c>
      <c r="B27" s="3">
        <v>-2.6670000000000001E-3</v>
      </c>
      <c r="C27" s="3">
        <v>1.91E-3</v>
      </c>
      <c r="D27" s="3">
        <v>6.0260000000000001E-4</v>
      </c>
      <c r="E27" s="3">
        <v>0</v>
      </c>
      <c r="F27" s="3">
        <v>0</v>
      </c>
      <c r="G27" s="3">
        <v>0</v>
      </c>
      <c r="H27" s="3">
        <v>1.0078852000000001E-3</v>
      </c>
      <c r="I27" s="3">
        <v>3.0648713E-4</v>
      </c>
      <c r="J27" s="3">
        <v>-2.1603500000000001E-3</v>
      </c>
      <c r="L27" s="3">
        <f t="shared" si="0"/>
        <v>4.4258214404248255</v>
      </c>
      <c r="M27" s="3"/>
      <c r="N27" s="2">
        <f>IF('Modell einstellen'!$B$1="Voll",H27/0.35,H27/0.35*2)</f>
        <v>2.8796720000000007E-3</v>
      </c>
      <c r="O27" s="2">
        <f>IF('Modell einstellen'!$B$1="Voll",J27/0.35,J27/0.35*2)</f>
        <v>-6.1724285714285718E-3</v>
      </c>
      <c r="P27" s="3">
        <f t="shared" si="1"/>
        <v>0.46653792209595674</v>
      </c>
    </row>
    <row r="28" spans="1:16" x14ac:dyDescent="0.25">
      <c r="A28" s="3">
        <v>10000000000</v>
      </c>
      <c r="B28" s="3">
        <v>-2.8189999999999999E-3</v>
      </c>
      <c r="C28" s="3">
        <v>2.0330000000000001E-3</v>
      </c>
      <c r="D28" s="3">
        <v>6.3259999999999998E-4</v>
      </c>
      <c r="E28" s="3">
        <v>0</v>
      </c>
      <c r="F28" s="3">
        <v>0</v>
      </c>
      <c r="G28" s="3">
        <v>0</v>
      </c>
      <c r="H28" s="3">
        <v>1.0552281000000001E-3</v>
      </c>
      <c r="I28" s="3">
        <v>3.2857300000000003E-4</v>
      </c>
      <c r="J28" s="3">
        <v>-2.2876734999999998E-3</v>
      </c>
      <c r="L28" s="3">
        <f t="shared" si="0"/>
        <v>4.4562124565286121</v>
      </c>
      <c r="M28" s="3"/>
      <c r="N28" s="2">
        <f>IF('Modell einstellen'!$B$1="Voll",H28/0.35,H28/0.35*2)</f>
        <v>3.0149374285714289E-3</v>
      </c>
      <c r="O28" s="2">
        <f>IF('Modell einstellen'!$B$1="Voll",J28/0.35,J28/0.35*2)</f>
        <v>-6.5362099999999998E-3</v>
      </c>
      <c r="P28" s="3">
        <f t="shared" si="1"/>
        <v>0.46126691593009234</v>
      </c>
    </row>
    <row r="29" spans="1:16" x14ac:dyDescent="0.25">
      <c r="A29" s="3">
        <v>100000000000</v>
      </c>
      <c r="B29" s="3">
        <v>-2.895E-3</v>
      </c>
      <c r="C29" s="3">
        <v>2.0799999999999998E-3</v>
      </c>
      <c r="D29" s="3">
        <v>6.6140000000000003E-4</v>
      </c>
      <c r="E29" s="3">
        <v>0</v>
      </c>
      <c r="F29" s="3">
        <v>0</v>
      </c>
      <c r="G29" s="3">
        <v>0</v>
      </c>
      <c r="H29" s="3">
        <v>1.0780168000000001E-3</v>
      </c>
      <c r="I29" s="3">
        <v>3.3732058999999998E-4</v>
      </c>
      <c r="J29" s="3">
        <v>-2.3420721000000002E-3</v>
      </c>
      <c r="L29" s="3">
        <f t="shared" si="0"/>
        <v>4.3770789234956151</v>
      </c>
      <c r="M29" s="3"/>
      <c r="N29" s="2">
        <f>IF('Modell einstellen'!$B$1="Voll",H29/0.35,H29/0.35*2)</f>
        <v>3.0800480000000002E-3</v>
      </c>
      <c r="O29" s="2">
        <f>IF('Modell einstellen'!$B$1="Voll",J29/0.35,J29/0.35*2)</f>
        <v>-6.6916345714285721E-3</v>
      </c>
      <c r="P29" s="3">
        <f t="shared" si="1"/>
        <v>0.46028335336047083</v>
      </c>
    </row>
    <row r="30" spans="1:16" x14ac:dyDescent="0.25">
      <c r="A30" s="3">
        <v>1000000000000</v>
      </c>
      <c r="B30" s="3">
        <v>-3.0249999999999999E-3</v>
      </c>
      <c r="C30" s="3">
        <v>2.147E-3</v>
      </c>
      <c r="D30" s="3">
        <v>7.2349999999999997E-4</v>
      </c>
      <c r="E30" s="3">
        <v>0</v>
      </c>
      <c r="F30" s="3">
        <v>0</v>
      </c>
      <c r="G30" s="3">
        <v>0</v>
      </c>
      <c r="H30" s="3">
        <v>1.1149615E-3</v>
      </c>
      <c r="I30" s="3">
        <v>3.4979687999999999E-4</v>
      </c>
      <c r="J30" s="3">
        <v>-2.4240885000000002E-3</v>
      </c>
      <c r="L30" s="3">
        <f t="shared" si="0"/>
        <v>4.1810642709053214</v>
      </c>
      <c r="M30" s="3"/>
      <c r="N30" s="2">
        <f>IF('Modell einstellen'!$B$1="Voll",H30/0.35,H30/0.35*2)</f>
        <v>3.1856042857142859E-3</v>
      </c>
      <c r="O30" s="2">
        <f>IF('Modell einstellen'!$B$1="Voll",J30/0.35,J30/0.35*2)</f>
        <v>-6.9259671428571435E-3</v>
      </c>
      <c r="P30" s="3">
        <f t="shared" si="1"/>
        <v>0.45995082275255211</v>
      </c>
    </row>
    <row r="31" spans="1:16" x14ac:dyDescent="0.25">
      <c r="A31" s="3">
        <v>10000000000000</v>
      </c>
      <c r="B31" s="3">
        <v>-3.1289999999999998E-3</v>
      </c>
      <c r="C31" s="3">
        <v>2.2620000000000001E-3</v>
      </c>
      <c r="D31" s="3">
        <v>7.1319999999999999E-4</v>
      </c>
      <c r="E31" s="3">
        <v>0</v>
      </c>
      <c r="F31" s="3">
        <v>0</v>
      </c>
      <c r="G31" s="3">
        <v>0</v>
      </c>
      <c r="H31" s="3">
        <v>1.1629633E-3</v>
      </c>
      <c r="I31" s="3">
        <v>3.7054693E-4</v>
      </c>
      <c r="J31" s="3">
        <v>-2.5471228E-3</v>
      </c>
      <c r="L31" s="3">
        <f t="shared" si="0"/>
        <v>4.3872686483454846</v>
      </c>
      <c r="M31" s="3"/>
      <c r="N31" s="2">
        <f>IF('Modell einstellen'!$B$1="Voll",H31/0.35,H31/0.35*2)</f>
        <v>3.322752285714286E-3</v>
      </c>
      <c r="O31" s="2">
        <f>IF('Modell einstellen'!$B$1="Voll",J31/0.35,J31/0.35*2)</f>
        <v>-7.2774937142857151E-3</v>
      </c>
      <c r="P31" s="3">
        <f t="shared" si="1"/>
        <v>0.45657920379810507</v>
      </c>
    </row>
    <row r="32" spans="1:16" x14ac:dyDescent="0.25">
      <c r="A32" s="3">
        <v>100000000000000</v>
      </c>
      <c r="B32" s="3">
        <v>-3.1649999999999998E-3</v>
      </c>
      <c r="C32" s="3">
        <v>2.2669999999999999E-3</v>
      </c>
      <c r="D32" s="3">
        <v>7.4439999999999999E-4</v>
      </c>
      <c r="E32" s="3">
        <v>0</v>
      </c>
      <c r="F32" s="3">
        <v>0</v>
      </c>
      <c r="G32" s="3">
        <v>0</v>
      </c>
      <c r="H32" s="3">
        <v>1.1732361000000001E-3</v>
      </c>
      <c r="I32" s="3">
        <v>3.7139517999999999E-4</v>
      </c>
      <c r="J32" s="3">
        <v>-2.5603851000000001E-3</v>
      </c>
      <c r="L32" s="3">
        <f t="shared" si="0"/>
        <v>4.2517463729177862</v>
      </c>
      <c r="M32" s="3"/>
      <c r="N32" s="2">
        <f>IF('Modell einstellen'!$B$1="Voll",H32/0.35,H32/0.35*2)</f>
        <v>3.3521031428571432E-3</v>
      </c>
      <c r="O32" s="2">
        <f>IF('Modell einstellen'!$B$1="Voll",J32/0.35,J32/0.35*2)</f>
        <v>-7.315386000000001E-3</v>
      </c>
      <c r="P32" s="3">
        <f t="shared" si="1"/>
        <v>0.45822642070522906</v>
      </c>
    </row>
    <row r="33" spans="1:16" x14ac:dyDescent="0.25">
      <c r="A33" s="3">
        <v>1000000000000000</v>
      </c>
      <c r="B33" s="3">
        <v>-3.1649999999999998E-3</v>
      </c>
      <c r="C33" s="3">
        <v>2.2680000000000001E-3</v>
      </c>
      <c r="D33" s="3">
        <v>7.4319999999999996E-4</v>
      </c>
      <c r="E33" s="3">
        <v>0</v>
      </c>
      <c r="F33" s="3">
        <v>0</v>
      </c>
      <c r="G33" s="3">
        <v>0</v>
      </c>
      <c r="H33" s="3">
        <v>1.1734864E-3</v>
      </c>
      <c r="I33" s="3">
        <v>3.7177773000000001E-4</v>
      </c>
      <c r="J33" s="3">
        <v>-2.5620259000000002E-3</v>
      </c>
      <c r="L33" s="3">
        <f t="shared" si="0"/>
        <v>4.2586114101184069</v>
      </c>
      <c r="M33" s="3"/>
      <c r="N33" s="2">
        <f>IF('Modell einstellen'!$B$1="Voll",H33/0.35,H33/0.35*2)</f>
        <v>3.352818285714286E-3</v>
      </c>
      <c r="O33" s="2">
        <f>IF('Modell einstellen'!$B$1="Voll",J33/0.35,J33/0.35*2)</f>
        <v>-7.3200740000000011E-3</v>
      </c>
      <c r="P33" s="3">
        <f t="shared" si="1"/>
        <v>0.45803065456910486</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8.0679999999999993E-5</v>
      </c>
      <c r="C3" s="3">
        <v>1.4650000000000001E-4</v>
      </c>
      <c r="D3" s="3">
        <v>-3.6170000000000001E-4</v>
      </c>
      <c r="E3" s="3">
        <v>0</v>
      </c>
      <c r="F3" s="3">
        <v>0</v>
      </c>
      <c r="G3" s="3">
        <v>0</v>
      </c>
      <c r="H3" s="3">
        <v>5.8604696000000001E-5</v>
      </c>
      <c r="I3" s="3">
        <v>1.465317E-5</v>
      </c>
      <c r="J3" s="3">
        <v>-1.4907405999999999E-4</v>
      </c>
      <c r="L3" s="3">
        <f>-B3/D3</f>
        <v>0.22305778269283935</v>
      </c>
      <c r="M3" s="3"/>
      <c r="N3" s="2">
        <f>IF('Modell einstellen'!$B$1="Voll",H3/0.35,H3/0.35*2)</f>
        <v>1.6744198857142857E-4</v>
      </c>
      <c r="O3" s="2">
        <f>IF('Modell einstellen'!$B$1="Voll",J3/0.35,J3/0.35*2)</f>
        <v>-4.2592588571428573E-4</v>
      </c>
      <c r="P3" s="3">
        <f>-N3/O3</f>
        <v>0.39312470593475485</v>
      </c>
    </row>
    <row r="4" spans="1:16" x14ac:dyDescent="0.25">
      <c r="A4" s="3">
        <v>1E-14</v>
      </c>
      <c r="B4" s="3">
        <v>7.8300000000000006E-5</v>
      </c>
      <c r="C4" s="3">
        <v>1.5190000000000001E-4</v>
      </c>
      <c r="D4" s="3">
        <v>-3.6620000000000001E-4</v>
      </c>
      <c r="E4" s="3">
        <v>0</v>
      </c>
      <c r="F4" s="3">
        <v>0</v>
      </c>
      <c r="G4" s="3">
        <v>0</v>
      </c>
      <c r="H4" s="3">
        <v>6.1838739999999997E-5</v>
      </c>
      <c r="I4" s="3">
        <v>1.5230965E-5</v>
      </c>
      <c r="J4" s="3">
        <v>-1.5460785000000001E-4</v>
      </c>
      <c r="L4" s="3">
        <f t="shared" ref="L4:L33" si="0">-B4/D4</f>
        <v>0.21381758601856909</v>
      </c>
      <c r="M4" s="3"/>
      <c r="N4" s="2">
        <f>IF('Modell einstellen'!$B$1="Voll",H4/0.35,H4/0.35*2)</f>
        <v>1.766821142857143E-4</v>
      </c>
      <c r="O4" s="2">
        <f>IF('Modell einstellen'!$B$1="Voll",J4/0.35,J4/0.35*2)</f>
        <v>-4.4173671428571437E-4</v>
      </c>
      <c r="P4" s="3">
        <f t="shared" ref="P4:P33" si="1">-N4/O4</f>
        <v>0.39997154090170706</v>
      </c>
    </row>
    <row r="5" spans="1:16" x14ac:dyDescent="0.25">
      <c r="A5" s="3">
        <v>1E-13</v>
      </c>
      <c r="B5" s="3">
        <v>7.5069999999999998E-5</v>
      </c>
      <c r="C5" s="3">
        <v>1.573E-4</v>
      </c>
      <c r="D5" s="3">
        <v>-3.6999999999999999E-4</v>
      </c>
      <c r="E5" s="3">
        <v>0</v>
      </c>
      <c r="F5" s="3">
        <v>0</v>
      </c>
      <c r="G5" s="3">
        <v>0</v>
      </c>
      <c r="H5" s="3">
        <v>6.5310130000000006E-5</v>
      </c>
      <c r="I5" s="3">
        <v>1.5824874E-5</v>
      </c>
      <c r="J5" s="3">
        <v>-1.6044864000000001E-4</v>
      </c>
      <c r="L5" s="3">
        <f t="shared" si="0"/>
        <v>0.20289189189189188</v>
      </c>
      <c r="M5" s="3"/>
      <c r="N5" s="2">
        <f>IF('Modell einstellen'!$B$1="Voll",H5/0.35,H5/0.35*2)</f>
        <v>1.8660037142857145E-4</v>
      </c>
      <c r="O5" s="2">
        <f>IF('Modell einstellen'!$B$1="Voll",J5/0.35,J5/0.35*2)</f>
        <v>-4.5842468571428578E-4</v>
      </c>
      <c r="P5" s="3">
        <f t="shared" si="1"/>
        <v>0.40704695284422476</v>
      </c>
    </row>
    <row r="6" spans="1:16" x14ac:dyDescent="0.25">
      <c r="A6" s="3">
        <v>9.9999999999999998E-13</v>
      </c>
      <c r="B6" s="3">
        <v>7.025E-5</v>
      </c>
      <c r="C6" s="3">
        <v>1.6359999999999999E-4</v>
      </c>
      <c r="D6" s="3">
        <v>-3.7340000000000002E-4</v>
      </c>
      <c r="E6" s="3">
        <v>0</v>
      </c>
      <c r="F6" s="3">
        <v>0</v>
      </c>
      <c r="G6" s="3">
        <v>0</v>
      </c>
      <c r="H6" s="3">
        <v>6.9604279999999999E-5</v>
      </c>
      <c r="I6" s="3">
        <v>1.6523508E-5</v>
      </c>
      <c r="J6" s="3">
        <v>-1.6752866E-4</v>
      </c>
      <c r="L6" s="3">
        <f t="shared" si="0"/>
        <v>0.18813604713444027</v>
      </c>
      <c r="M6" s="3"/>
      <c r="N6" s="2">
        <f>IF('Modell einstellen'!$B$1="Voll",H6/0.35,H6/0.35*2)</f>
        <v>1.9886937142857145E-4</v>
      </c>
      <c r="O6" s="2">
        <f>IF('Modell einstellen'!$B$1="Voll",J6/0.35,J6/0.35*2)</f>
        <v>-4.7865331428571431E-4</v>
      </c>
      <c r="P6" s="3">
        <f t="shared" si="1"/>
        <v>0.41547685034906867</v>
      </c>
    </row>
    <row r="7" spans="1:16" x14ac:dyDescent="0.25">
      <c r="A7" s="3">
        <v>9.9999999999999994E-12</v>
      </c>
      <c r="B7" s="3">
        <v>6.4120000000000003E-5</v>
      </c>
      <c r="C7" s="3">
        <v>1.7000000000000001E-4</v>
      </c>
      <c r="D7" s="3">
        <v>-3.7540000000000002E-4</v>
      </c>
      <c r="E7" s="3">
        <v>0</v>
      </c>
      <c r="F7" s="3">
        <v>0</v>
      </c>
      <c r="G7" s="3">
        <v>0</v>
      </c>
      <c r="H7" s="3">
        <v>7.4216229000000002E-5</v>
      </c>
      <c r="I7" s="3">
        <v>1.7228960000000001E-5</v>
      </c>
      <c r="J7" s="3">
        <v>-1.7495189999999999E-4</v>
      </c>
      <c r="L7" s="3">
        <f t="shared" si="0"/>
        <v>0.17080447522642514</v>
      </c>
      <c r="M7" s="3"/>
      <c r="N7" s="2">
        <f>IF('Modell einstellen'!$B$1="Voll",H7/0.35,H7/0.35*2)</f>
        <v>2.1204636857142858E-4</v>
      </c>
      <c r="O7" s="2">
        <f>IF('Modell einstellen'!$B$1="Voll",J7/0.35,J7/0.35*2)</f>
        <v>-4.9986257142857146E-4</v>
      </c>
      <c r="P7" s="3">
        <f t="shared" si="1"/>
        <v>0.4242093341084035</v>
      </c>
    </row>
    <row r="8" spans="1:16" x14ac:dyDescent="0.25">
      <c r="A8" s="3">
        <v>1E-10</v>
      </c>
      <c r="B8" s="3">
        <v>5.7920000000000001E-5</v>
      </c>
      <c r="C8" s="3">
        <v>1.752E-4</v>
      </c>
      <c r="D8" s="3">
        <v>-3.7599999999999998E-4</v>
      </c>
      <c r="E8" s="3">
        <v>0</v>
      </c>
      <c r="F8" s="3">
        <v>0</v>
      </c>
      <c r="G8" s="3">
        <v>0</v>
      </c>
      <c r="H8" s="3">
        <v>7.8306537999999997E-5</v>
      </c>
      <c r="I8" s="3">
        <v>1.7817565000000001E-5</v>
      </c>
      <c r="J8" s="3">
        <v>-1.8138647999999999E-4</v>
      </c>
      <c r="L8" s="3">
        <f t="shared" si="0"/>
        <v>0.15404255319148938</v>
      </c>
      <c r="M8" s="3"/>
      <c r="N8" s="2">
        <f>IF('Modell einstellen'!$B$1="Voll",H8/0.35,H8/0.35*2)</f>
        <v>2.2373296571428573E-4</v>
      </c>
      <c r="O8" s="2">
        <f>IF('Modell einstellen'!$B$1="Voll",J8/0.35,J8/0.35*2)</f>
        <v>-5.1824708571428571E-4</v>
      </c>
      <c r="P8" s="3">
        <f t="shared" si="1"/>
        <v>0.43171099632122528</v>
      </c>
    </row>
    <row r="9" spans="1:16" x14ac:dyDescent="0.25">
      <c r="A9" s="3">
        <v>1.0000000000000001E-9</v>
      </c>
      <c r="B9" s="3">
        <v>5.0439999999999998E-5</v>
      </c>
      <c r="C9" s="3">
        <v>1.806E-4</v>
      </c>
      <c r="D9" s="3">
        <v>-3.7550000000000002E-4</v>
      </c>
      <c r="E9" s="3">
        <v>0</v>
      </c>
      <c r="F9" s="3">
        <v>0</v>
      </c>
      <c r="G9" s="3">
        <v>0</v>
      </c>
      <c r="H9" s="3">
        <v>8.2827895999999996E-5</v>
      </c>
      <c r="I9" s="3">
        <v>1.8435054E-5</v>
      </c>
      <c r="J9" s="3">
        <v>-1.8836693E-4</v>
      </c>
      <c r="L9" s="3">
        <f t="shared" si="0"/>
        <v>0.13432756324900133</v>
      </c>
      <c r="M9" s="3"/>
      <c r="N9" s="2">
        <f>IF('Modell einstellen'!$B$1="Voll",H9/0.35,H9/0.35*2)</f>
        <v>2.3665113142857144E-4</v>
      </c>
      <c r="O9" s="2">
        <f>IF('Modell einstellen'!$B$1="Voll",J9/0.35,J9/0.35*2)</f>
        <v>-5.3819122857142864E-4</v>
      </c>
      <c r="P9" s="3">
        <f t="shared" si="1"/>
        <v>0.43971569744222083</v>
      </c>
    </row>
    <row r="10" spans="1:16" x14ac:dyDescent="0.25">
      <c r="A10" s="3">
        <v>1E-8</v>
      </c>
      <c r="B10" s="3">
        <v>4.1780000000000003E-5</v>
      </c>
      <c r="C10" s="3">
        <v>1.8599999999999999E-4</v>
      </c>
      <c r="D10" s="3">
        <v>-3.7379999999999998E-4</v>
      </c>
      <c r="E10" s="3">
        <v>0</v>
      </c>
      <c r="F10" s="3">
        <v>0</v>
      </c>
      <c r="G10" s="3">
        <v>0</v>
      </c>
      <c r="H10" s="3">
        <v>8.7622361999999999E-5</v>
      </c>
      <c r="I10" s="3">
        <v>1.9050673999999999E-5</v>
      </c>
      <c r="J10" s="3">
        <v>-1.9561215999999999E-4</v>
      </c>
      <c r="L10" s="3">
        <f t="shared" si="0"/>
        <v>0.11177100053504549</v>
      </c>
      <c r="M10" s="3"/>
      <c r="N10" s="2">
        <f>IF('Modell einstellen'!$B$1="Voll",H10/0.35,H10/0.35*2)</f>
        <v>2.5034960571428572E-4</v>
      </c>
      <c r="O10" s="2">
        <f>IF('Modell einstellen'!$B$1="Voll",J10/0.35,J10/0.35*2)</f>
        <v>-5.5889188571428571E-4</v>
      </c>
      <c r="P10" s="3">
        <f t="shared" si="1"/>
        <v>0.44793923854222562</v>
      </c>
    </row>
    <row r="11" spans="1:16" x14ac:dyDescent="0.25">
      <c r="A11" s="3">
        <v>9.9999999999999995E-8</v>
      </c>
      <c r="B11" s="3">
        <v>3.0759999999999997E-5</v>
      </c>
      <c r="C11" s="3">
        <v>1.918E-4</v>
      </c>
      <c r="D11" s="3">
        <v>-3.704E-4</v>
      </c>
      <c r="E11" s="3">
        <v>0</v>
      </c>
      <c r="F11" s="3">
        <v>0</v>
      </c>
      <c r="G11" s="3">
        <v>0</v>
      </c>
      <c r="H11" s="3">
        <v>9.3262967999999997E-5</v>
      </c>
      <c r="I11" s="3">
        <v>1.9729536E-5</v>
      </c>
      <c r="J11" s="3">
        <v>-2.0395465000000001E-4</v>
      </c>
      <c r="L11" s="3">
        <f t="shared" si="0"/>
        <v>8.304535637149027E-2</v>
      </c>
      <c r="M11" s="3"/>
      <c r="N11" s="2">
        <f>IF('Modell einstellen'!$B$1="Voll",H11/0.35,H11/0.35*2)</f>
        <v>2.6646562285714289E-4</v>
      </c>
      <c r="O11" s="2">
        <f>IF('Modell einstellen'!$B$1="Voll",J11/0.35,J11/0.35*2)</f>
        <v>-5.8272757142857146E-4</v>
      </c>
      <c r="P11" s="3">
        <f t="shared" si="1"/>
        <v>0.45727306536036322</v>
      </c>
    </row>
    <row r="12" spans="1:16" x14ac:dyDescent="0.25">
      <c r="A12" s="3">
        <v>9.9999999999999995E-7</v>
      </c>
      <c r="B12" s="3">
        <v>1.8510000000000001E-5</v>
      </c>
      <c r="C12" s="3">
        <v>1.974E-4</v>
      </c>
      <c r="D12" s="3">
        <v>-3.6529999999999999E-4</v>
      </c>
      <c r="E12" s="3">
        <v>0</v>
      </c>
      <c r="F12" s="3">
        <v>0</v>
      </c>
      <c r="G12" s="3">
        <v>0</v>
      </c>
      <c r="H12" s="3">
        <v>9.9076654E-5</v>
      </c>
      <c r="I12" s="3">
        <v>2.0379440999999999E-5</v>
      </c>
      <c r="J12" s="3">
        <v>-2.1235378999999999E-4</v>
      </c>
      <c r="L12" s="3">
        <f t="shared" si="0"/>
        <v>5.0670681631535729E-2</v>
      </c>
      <c r="M12" s="3"/>
      <c r="N12" s="2">
        <f>IF('Modell einstellen'!$B$1="Voll",H12/0.35,H12/0.35*2)</f>
        <v>2.830761542857143E-4</v>
      </c>
      <c r="O12" s="2">
        <f>IF('Modell einstellen'!$B$1="Voll",J12/0.35,J12/0.35*2)</f>
        <v>-6.0672511428571426E-4</v>
      </c>
      <c r="P12" s="3">
        <f t="shared" si="1"/>
        <v>0.46656409570085849</v>
      </c>
    </row>
    <row r="13" spans="1:16" x14ac:dyDescent="0.25">
      <c r="A13" s="3">
        <v>1.0000000000000001E-5</v>
      </c>
      <c r="B13" s="3">
        <v>-1.2949999999999999E-7</v>
      </c>
      <c r="C13" s="3">
        <v>2.0460000000000001E-4</v>
      </c>
      <c r="D13" s="3">
        <v>-3.5599999999999998E-4</v>
      </c>
      <c r="E13" s="3">
        <v>0</v>
      </c>
      <c r="F13" s="3">
        <v>0</v>
      </c>
      <c r="G13" s="3">
        <v>0</v>
      </c>
      <c r="H13" s="3">
        <v>1.0736426E-4</v>
      </c>
      <c r="I13" s="3">
        <v>2.1236928E-5</v>
      </c>
      <c r="J13" s="3">
        <v>-2.2405215E-4</v>
      </c>
      <c r="L13" s="3">
        <f t="shared" si="0"/>
        <v>-3.6376404494382019E-4</v>
      </c>
      <c r="M13" s="3"/>
      <c r="N13" s="2">
        <f>IF('Modell einstellen'!$B$1="Voll",H13/0.35,H13/0.35*2)</f>
        <v>3.0675502857142862E-4</v>
      </c>
      <c r="O13" s="2">
        <f>IF('Modell einstellen'!$B$1="Voll",J13/0.35,J13/0.35*2)</f>
        <v>-6.4014900000000001E-4</v>
      </c>
      <c r="P13" s="3">
        <f t="shared" si="1"/>
        <v>0.47919316998297057</v>
      </c>
    </row>
    <row r="14" spans="1:16" x14ac:dyDescent="0.25">
      <c r="A14" s="3">
        <v>1E-4</v>
      </c>
      <c r="B14" s="3">
        <v>-2.4649999999999999E-5</v>
      </c>
      <c r="C14" s="3">
        <v>2.1230000000000001E-4</v>
      </c>
      <c r="D14" s="3">
        <v>-3.4160000000000001E-4</v>
      </c>
      <c r="E14" s="3">
        <v>0</v>
      </c>
      <c r="F14" s="3">
        <v>0</v>
      </c>
      <c r="G14" s="3">
        <v>0</v>
      </c>
      <c r="H14" s="3">
        <v>1.1743732E-4</v>
      </c>
      <c r="I14" s="3">
        <v>2.2170517E-5</v>
      </c>
      <c r="J14" s="3">
        <v>-2.3783596E-4</v>
      </c>
      <c r="L14" s="3">
        <f t="shared" si="0"/>
        <v>-7.2160421545667444E-2</v>
      </c>
      <c r="M14" s="3"/>
      <c r="N14" s="2">
        <f>IF('Modell einstellen'!$B$1="Voll",H14/0.35,H14/0.35*2)</f>
        <v>3.3553520000000005E-4</v>
      </c>
      <c r="O14" s="2">
        <f>IF('Modell einstellen'!$B$1="Voll",J14/0.35,J14/0.35*2)</f>
        <v>-6.7953131428571435E-4</v>
      </c>
      <c r="P14" s="3">
        <f t="shared" si="1"/>
        <v>0.49377444857371444</v>
      </c>
    </row>
    <row r="15" spans="1:16" x14ac:dyDescent="0.25">
      <c r="A15" s="3">
        <v>1E-3</v>
      </c>
      <c r="B15" s="3">
        <v>-6.0810000000000002E-5</v>
      </c>
      <c r="C15" s="3">
        <v>2.2139999999999999E-4</v>
      </c>
      <c r="D15" s="3">
        <v>-3.1740000000000002E-4</v>
      </c>
      <c r="E15" s="3">
        <v>0</v>
      </c>
      <c r="F15" s="3">
        <v>0</v>
      </c>
      <c r="G15" s="3">
        <v>0</v>
      </c>
      <c r="H15" s="3">
        <v>1.3128963000000001E-4</v>
      </c>
      <c r="I15" s="3">
        <v>2.3307850000000001E-5</v>
      </c>
      <c r="J15" s="3">
        <v>-2.5620292999999999E-4</v>
      </c>
      <c r="L15" s="3">
        <f t="shared" si="0"/>
        <v>-0.19158790170132325</v>
      </c>
      <c r="M15" s="3"/>
      <c r="N15" s="2">
        <f>IF('Modell einstellen'!$B$1="Voll",H15/0.35,H15/0.35*2)</f>
        <v>3.7511322857142866E-4</v>
      </c>
      <c r="O15" s="2">
        <f>IF('Modell einstellen'!$B$1="Voll",J15/0.35,J15/0.35*2)</f>
        <v>-7.3200837142857141E-4</v>
      </c>
      <c r="P15" s="3">
        <f t="shared" si="1"/>
        <v>0.51244390530584494</v>
      </c>
    </row>
    <row r="16" spans="1:16" x14ac:dyDescent="0.25">
      <c r="A16" s="3">
        <v>0.01</v>
      </c>
      <c r="B16" s="3">
        <v>-1.143E-4</v>
      </c>
      <c r="C16" s="3">
        <v>2.3250000000000001E-4</v>
      </c>
      <c r="D16" s="3">
        <v>-2.7819999999999999E-4</v>
      </c>
      <c r="E16" s="3">
        <v>0</v>
      </c>
      <c r="F16" s="3">
        <v>0</v>
      </c>
      <c r="G16" s="3">
        <v>0</v>
      </c>
      <c r="H16" s="3">
        <v>1.5056596999999999E-4</v>
      </c>
      <c r="I16" s="3">
        <v>2.4717776999999999E-5</v>
      </c>
      <c r="J16" s="3">
        <v>-2.8103048999999998E-4</v>
      </c>
      <c r="L16" s="3">
        <f t="shared" si="0"/>
        <v>-0.41085549964054641</v>
      </c>
      <c r="M16" s="3"/>
      <c r="N16" s="2">
        <f>IF('Modell einstellen'!$B$1="Voll",H16/0.35,H16/0.35*2)</f>
        <v>4.3018848571428571E-4</v>
      </c>
      <c r="O16" s="2">
        <f>IF('Modell einstellen'!$B$1="Voll",J16/0.35,J16/0.35*2)</f>
        <v>-8.0294425714285713E-4</v>
      </c>
      <c r="P16" s="3">
        <f t="shared" si="1"/>
        <v>0.53576382406051382</v>
      </c>
    </row>
    <row r="17" spans="1:16" x14ac:dyDescent="0.25">
      <c r="A17" s="3">
        <v>0.1</v>
      </c>
      <c r="B17" s="3">
        <v>-1.9760000000000001E-4</v>
      </c>
      <c r="C17" s="3">
        <v>2.5260000000000001E-4</v>
      </c>
      <c r="D17" s="3">
        <v>-2.1829999999999999E-4</v>
      </c>
      <c r="E17" s="3">
        <v>0</v>
      </c>
      <c r="F17" s="3">
        <v>0</v>
      </c>
      <c r="G17" s="3">
        <v>0</v>
      </c>
      <c r="H17" s="3">
        <v>1.8119332000000001E-4</v>
      </c>
      <c r="I17" s="3">
        <v>2.7331289E-5</v>
      </c>
      <c r="J17" s="3">
        <v>-3.2153929000000001E-4</v>
      </c>
      <c r="L17" s="3">
        <f t="shared" si="0"/>
        <v>-0.90517636280348146</v>
      </c>
      <c r="M17" s="3"/>
      <c r="N17" s="2">
        <f>IF('Modell einstellen'!$B$1="Voll",H17/0.35,H17/0.35*2)</f>
        <v>5.1769520000000005E-4</v>
      </c>
      <c r="O17" s="2">
        <f>IF('Modell einstellen'!$B$1="Voll",J17/0.35,J17/0.35*2)</f>
        <v>-9.1868368571428581E-4</v>
      </c>
      <c r="P17" s="3">
        <f t="shared" si="1"/>
        <v>0.56351844280056718</v>
      </c>
    </row>
    <row r="18" spans="1:16" x14ac:dyDescent="0.25">
      <c r="A18" s="3">
        <v>1</v>
      </c>
      <c r="B18" s="3">
        <v>-3.1409999999999999E-4</v>
      </c>
      <c r="C18" s="3">
        <v>3.0709999999999998E-4</v>
      </c>
      <c r="D18" s="3">
        <v>-1.5809999999999999E-4</v>
      </c>
      <c r="E18" s="3">
        <v>0</v>
      </c>
      <c r="F18" s="3">
        <v>0</v>
      </c>
      <c r="G18" s="3">
        <v>0</v>
      </c>
      <c r="H18" s="3">
        <v>2.3168670000000001E-4</v>
      </c>
      <c r="I18" s="3">
        <v>3.4646980000000001E-5</v>
      </c>
      <c r="J18" s="3">
        <v>-3.9852855000000001E-4</v>
      </c>
      <c r="L18" s="3">
        <f t="shared" si="0"/>
        <v>-1.9867172675521823</v>
      </c>
      <c r="M18" s="3"/>
      <c r="N18" s="2">
        <f>IF('Modell einstellen'!$B$1="Voll",H18/0.35,H18/0.35*2)</f>
        <v>6.619620000000001E-4</v>
      </c>
      <c r="O18" s="2">
        <f>IF('Modell einstellen'!$B$1="Voll",J18/0.35,J18/0.35*2)</f>
        <v>-1.1386530000000001E-3</v>
      </c>
      <c r="P18" s="3">
        <f t="shared" si="1"/>
        <v>0.58135533828128505</v>
      </c>
    </row>
    <row r="19" spans="1:16" x14ac:dyDescent="0.25">
      <c r="A19" s="3">
        <v>10</v>
      </c>
      <c r="B19" s="3">
        <v>-5.2939999999999997E-4</v>
      </c>
      <c r="C19" s="3">
        <v>4.2039999999999997E-4</v>
      </c>
      <c r="D19" s="3">
        <v>-5.6379999999999999E-5</v>
      </c>
      <c r="E19" s="3">
        <v>0</v>
      </c>
      <c r="F19" s="3">
        <v>0</v>
      </c>
      <c r="G19" s="3">
        <v>0</v>
      </c>
      <c r="H19" s="3">
        <v>3.2015203999999998E-4</v>
      </c>
      <c r="I19" s="3">
        <v>5.0878648999999998E-5</v>
      </c>
      <c r="J19" s="3">
        <v>-5.4551503999999995E-4</v>
      </c>
      <c r="L19" s="3">
        <f t="shared" si="0"/>
        <v>-9.3898545583540258</v>
      </c>
      <c r="M19" s="3"/>
      <c r="N19" s="2">
        <f>IF('Modell einstellen'!$B$1="Voll",H19/0.35,H19/0.35*2)</f>
        <v>9.147201142857143E-4</v>
      </c>
      <c r="O19" s="2">
        <f>IF('Modell einstellen'!$B$1="Voll",J19/0.35,J19/0.35*2)</f>
        <v>-1.5586144E-3</v>
      </c>
      <c r="P19" s="3">
        <f t="shared" si="1"/>
        <v>0.58688031772689531</v>
      </c>
    </row>
    <row r="20" spans="1:16" x14ac:dyDescent="0.25">
      <c r="A20" s="3">
        <v>100</v>
      </c>
      <c r="B20" s="3">
        <v>-9.0779999999999995E-4</v>
      </c>
      <c r="C20" s="3">
        <v>5.9199999999999997E-4</v>
      </c>
      <c r="D20" s="3">
        <v>1.506E-4</v>
      </c>
      <c r="E20" s="3">
        <v>0</v>
      </c>
      <c r="F20" s="3">
        <v>0</v>
      </c>
      <c r="G20" s="3">
        <v>0</v>
      </c>
      <c r="H20" s="3">
        <v>4.5260478999999999E-4</v>
      </c>
      <c r="I20" s="3">
        <v>7.7833776000000001E-5</v>
      </c>
      <c r="J20" s="3">
        <v>-7.7544373000000002E-4</v>
      </c>
      <c r="L20" s="3">
        <f t="shared" si="0"/>
        <v>6.0278884462151394</v>
      </c>
      <c r="M20" s="3"/>
      <c r="N20" s="2">
        <f>IF('Modell einstellen'!$B$1="Voll",H20/0.35,H20/0.35*2)</f>
        <v>1.2931565428571429E-3</v>
      </c>
      <c r="O20" s="2">
        <f>IF('Modell einstellen'!$B$1="Voll",J20/0.35,J20/0.35*2)</f>
        <v>-2.2155535142857146E-3</v>
      </c>
      <c r="P20" s="3">
        <f t="shared" si="1"/>
        <v>0.58367199641939194</v>
      </c>
    </row>
    <row r="21" spans="1:16" x14ac:dyDescent="0.25">
      <c r="A21" s="3">
        <v>1000</v>
      </c>
      <c r="B21" s="3">
        <v>-1.5070000000000001E-3</v>
      </c>
      <c r="C21" s="3">
        <v>8.3520000000000003E-4</v>
      </c>
      <c r="D21" s="3">
        <v>5.0690000000000002E-4</v>
      </c>
      <c r="E21" s="3">
        <v>0</v>
      </c>
      <c r="F21" s="3">
        <v>0</v>
      </c>
      <c r="G21" s="3">
        <v>0</v>
      </c>
      <c r="H21" s="3">
        <v>6.3887147000000002E-4</v>
      </c>
      <c r="I21" s="3">
        <v>1.1890521E-4</v>
      </c>
      <c r="J21" s="3">
        <v>-1.1105784E-3</v>
      </c>
      <c r="L21" s="3">
        <f t="shared" si="0"/>
        <v>2.9729729729729732</v>
      </c>
      <c r="M21" s="3"/>
      <c r="N21" s="2">
        <f>IF('Modell einstellen'!$B$1="Voll",H21/0.35,H21/0.35*2)</f>
        <v>1.8253470571428572E-3</v>
      </c>
      <c r="O21" s="2">
        <f>IF('Modell einstellen'!$B$1="Voll",J21/0.35,J21/0.35*2)</f>
        <v>-3.1730811428571431E-3</v>
      </c>
      <c r="P21" s="3">
        <f t="shared" si="1"/>
        <v>0.57526012571467267</v>
      </c>
    </row>
    <row r="22" spans="1:16" x14ac:dyDescent="0.25">
      <c r="A22" s="3">
        <v>10000</v>
      </c>
      <c r="B22" s="3">
        <v>-2.0890000000000001E-3</v>
      </c>
      <c r="C22" s="3">
        <v>1.1329999999999999E-3</v>
      </c>
      <c r="D22" s="3">
        <v>7.9270000000000002E-4</v>
      </c>
      <c r="E22" s="3">
        <v>0</v>
      </c>
      <c r="F22" s="3">
        <v>0</v>
      </c>
      <c r="G22" s="3">
        <v>0</v>
      </c>
      <c r="H22" s="3">
        <v>8.1189632999999998E-4</v>
      </c>
      <c r="I22" s="3">
        <v>1.7061892E-4</v>
      </c>
      <c r="J22" s="3">
        <v>-1.4711190999999999E-3</v>
      </c>
      <c r="L22" s="3">
        <f t="shared" si="0"/>
        <v>2.6352970859089191</v>
      </c>
      <c r="M22" s="3"/>
      <c r="N22" s="2">
        <f>IF('Modell einstellen'!$B$1="Voll",H22/0.35,H22/0.35*2)</f>
        <v>2.3197038000000001E-3</v>
      </c>
      <c r="O22" s="2">
        <f>IF('Modell einstellen'!$B$1="Voll",J22/0.35,J22/0.35*2)</f>
        <v>-4.2031974285714289E-3</v>
      </c>
      <c r="P22" s="3">
        <f t="shared" si="1"/>
        <v>0.55189027863209716</v>
      </c>
    </row>
    <row r="23" spans="1:16" x14ac:dyDescent="0.25">
      <c r="A23" s="3">
        <v>100000</v>
      </c>
      <c r="B23" s="3">
        <v>-2.545E-3</v>
      </c>
      <c r="C23" s="3">
        <v>1.444E-3</v>
      </c>
      <c r="D23" s="3">
        <v>9.4019999999999998E-4</v>
      </c>
      <c r="E23" s="3">
        <v>0</v>
      </c>
      <c r="F23" s="3">
        <v>0</v>
      </c>
      <c r="G23" s="3">
        <v>0</v>
      </c>
      <c r="H23" s="3">
        <v>9.4408163000000002E-4</v>
      </c>
      <c r="I23" s="3">
        <v>2.2488856999999999E-4</v>
      </c>
      <c r="J23" s="3">
        <v>-1.8001378999999999E-3</v>
      </c>
      <c r="L23" s="3">
        <f t="shared" si="0"/>
        <v>2.7068708785364817</v>
      </c>
      <c r="M23" s="3"/>
      <c r="N23" s="2">
        <f>IF('Modell einstellen'!$B$1="Voll",H23/0.35,H23/0.35*2)</f>
        <v>2.697376085714286E-3</v>
      </c>
      <c r="O23" s="2">
        <f>IF('Modell einstellen'!$B$1="Voll",J23/0.35,J23/0.35*2)</f>
        <v>-5.1432511428571434E-3</v>
      </c>
      <c r="P23" s="3">
        <f t="shared" si="1"/>
        <v>0.52444961577665794</v>
      </c>
    </row>
    <row r="24" spans="1:16" x14ac:dyDescent="0.25">
      <c r="A24" s="3">
        <v>1000000</v>
      </c>
      <c r="B24" s="3">
        <v>-2.748E-3</v>
      </c>
      <c r="C24" s="3">
        <v>1.681E-3</v>
      </c>
      <c r="D24" s="3">
        <v>9.0919999999999998E-4</v>
      </c>
      <c r="E24" s="3">
        <v>0</v>
      </c>
      <c r="F24" s="3">
        <v>0</v>
      </c>
      <c r="G24" s="3">
        <v>0</v>
      </c>
      <c r="H24" s="3">
        <v>1.0035161999999999E-3</v>
      </c>
      <c r="I24" s="3">
        <v>2.6620232999999998E-4</v>
      </c>
      <c r="J24" s="3">
        <v>-2.0094660000000001E-3</v>
      </c>
      <c r="L24" s="3">
        <f t="shared" si="0"/>
        <v>3.0224373075230972</v>
      </c>
      <c r="M24" s="3"/>
      <c r="N24" s="2">
        <f>IF('Modell einstellen'!$B$1="Voll",H24/0.35,H24/0.35*2)</f>
        <v>2.8671891428571428E-3</v>
      </c>
      <c r="O24" s="2">
        <f>IF('Modell einstellen'!$B$1="Voll",J24/0.35,J24/0.35*2)</f>
        <v>-5.7413314285714289E-3</v>
      </c>
      <c r="P24" s="3">
        <f t="shared" si="1"/>
        <v>0.49939446599245768</v>
      </c>
    </row>
    <row r="25" spans="1:16" x14ac:dyDescent="0.25">
      <c r="A25" s="3">
        <v>10000000</v>
      </c>
      <c r="B25" s="3">
        <v>-2.8969999999999998E-3</v>
      </c>
      <c r="C25" s="3">
        <v>1.8760000000000001E-3</v>
      </c>
      <c r="D25" s="3">
        <v>8.6390000000000002E-4</v>
      </c>
      <c r="E25" s="3">
        <v>0</v>
      </c>
      <c r="F25" s="3">
        <v>0</v>
      </c>
      <c r="G25" s="3">
        <v>0</v>
      </c>
      <c r="H25" s="3">
        <v>1.0522744999999999E-3</v>
      </c>
      <c r="I25" s="3">
        <v>3.0080484000000001E-4</v>
      </c>
      <c r="J25" s="3">
        <v>-2.1837203999999998E-3</v>
      </c>
      <c r="L25" s="3">
        <f t="shared" si="0"/>
        <v>3.3533973839564761</v>
      </c>
      <c r="M25" s="3"/>
      <c r="N25" s="2">
        <f>IF('Modell einstellen'!$B$1="Voll",H25/0.35,H25/0.35*2)</f>
        <v>3.0064985714285714E-3</v>
      </c>
      <c r="O25" s="2">
        <f>IF('Modell einstellen'!$B$1="Voll",J25/0.35,J25/0.35*2)</f>
        <v>-6.2392011428571426E-3</v>
      </c>
      <c r="P25" s="3">
        <f t="shared" si="1"/>
        <v>0.4818723587506899</v>
      </c>
    </row>
    <row r="26" spans="1:16" x14ac:dyDescent="0.25">
      <c r="A26" s="3">
        <v>100000000</v>
      </c>
      <c r="B26" s="3">
        <v>-2.954E-3</v>
      </c>
      <c r="C26" s="3">
        <v>2.006E-3</v>
      </c>
      <c r="D26" s="3">
        <v>7.9359999999999999E-4</v>
      </c>
      <c r="E26" s="3">
        <v>0</v>
      </c>
      <c r="F26" s="3">
        <v>0</v>
      </c>
      <c r="G26" s="3">
        <v>0</v>
      </c>
      <c r="H26" s="3">
        <v>1.0757439E-3</v>
      </c>
      <c r="I26" s="3">
        <v>3.2375018000000002E-4</v>
      </c>
      <c r="J26" s="3">
        <v>-2.2904062000000001E-3</v>
      </c>
      <c r="L26" s="3">
        <f t="shared" si="0"/>
        <v>3.7222782258064515</v>
      </c>
      <c r="M26" s="3"/>
      <c r="N26" s="2">
        <f>IF('Modell einstellen'!$B$1="Voll",H26/0.35,H26/0.35*2)</f>
        <v>3.073554E-3</v>
      </c>
      <c r="O26" s="2">
        <f>IF('Modell einstellen'!$B$1="Voll",J26/0.35,J26/0.35*2)</f>
        <v>-6.5440177142857148E-3</v>
      </c>
      <c r="P26" s="3">
        <f t="shared" si="1"/>
        <v>0.46967385086540542</v>
      </c>
    </row>
    <row r="27" spans="1:16" x14ac:dyDescent="0.25">
      <c r="A27" s="3">
        <v>1000000000</v>
      </c>
      <c r="B27" s="3">
        <v>-3.026E-3</v>
      </c>
      <c r="C27" s="3">
        <v>2.049E-3</v>
      </c>
      <c r="D27" s="3">
        <v>8.2129999999999996E-4</v>
      </c>
      <c r="E27" s="3">
        <v>0</v>
      </c>
      <c r="F27" s="3">
        <v>0</v>
      </c>
      <c r="G27" s="3">
        <v>0</v>
      </c>
      <c r="H27" s="3">
        <v>1.0959902999999999E-3</v>
      </c>
      <c r="I27" s="3">
        <v>3.3181375999999997E-4</v>
      </c>
      <c r="J27" s="3">
        <v>-2.3397852000000001E-3</v>
      </c>
      <c r="L27" s="3">
        <f t="shared" si="0"/>
        <v>3.6844027760866922</v>
      </c>
      <c r="M27" s="3"/>
      <c r="N27" s="2">
        <f>IF('Modell einstellen'!$B$1="Voll",H27/0.35,H27/0.35*2)</f>
        <v>3.131400857142857E-3</v>
      </c>
      <c r="O27" s="2">
        <f>IF('Modell einstellen'!$B$1="Voll",J27/0.35,J27/0.35*2)</f>
        <v>-6.6851005714285722E-3</v>
      </c>
      <c r="P27" s="3">
        <f t="shared" si="1"/>
        <v>0.46841492116455813</v>
      </c>
    </row>
    <row r="28" spans="1:16" x14ac:dyDescent="0.25">
      <c r="A28" s="3">
        <v>10000000000</v>
      </c>
      <c r="B28" s="3">
        <v>-3.1649999999999998E-3</v>
      </c>
      <c r="C28" s="3">
        <v>2.2009999999999998E-3</v>
      </c>
      <c r="D28" s="3">
        <v>8.0979999999999995E-4</v>
      </c>
      <c r="E28" s="3">
        <v>0</v>
      </c>
      <c r="F28" s="3">
        <v>0</v>
      </c>
      <c r="G28" s="3">
        <v>0</v>
      </c>
      <c r="H28" s="3">
        <v>1.1493808E-3</v>
      </c>
      <c r="I28" s="3">
        <v>3.5918019000000001E-4</v>
      </c>
      <c r="J28" s="3">
        <v>-2.4922242E-3</v>
      </c>
      <c r="L28" s="3">
        <f t="shared" si="0"/>
        <v>3.9083724376389233</v>
      </c>
      <c r="M28" s="3"/>
      <c r="N28" s="2">
        <f>IF('Modell einstellen'!$B$1="Voll",H28/0.35,H28/0.35*2)</f>
        <v>3.2839451428571431E-3</v>
      </c>
      <c r="O28" s="2">
        <f>IF('Modell einstellen'!$B$1="Voll",J28/0.35,J28/0.35*2)</f>
        <v>-7.1206405714285721E-3</v>
      </c>
      <c r="P28" s="3">
        <f t="shared" si="1"/>
        <v>0.46118675839838164</v>
      </c>
    </row>
    <row r="29" spans="1:16" x14ac:dyDescent="0.25">
      <c r="A29" s="3">
        <v>100000000000</v>
      </c>
      <c r="B29" s="3">
        <v>-3.2299999999999998E-3</v>
      </c>
      <c r="C29" s="3">
        <v>2.2430000000000002E-3</v>
      </c>
      <c r="D29" s="3">
        <v>8.3290000000000002E-4</v>
      </c>
      <c r="E29" s="3">
        <v>0</v>
      </c>
      <c r="F29" s="3">
        <v>0</v>
      </c>
      <c r="G29" s="3">
        <v>0</v>
      </c>
      <c r="H29" s="3">
        <v>1.1700320000000001E-3</v>
      </c>
      <c r="I29" s="3">
        <v>3.6703050000000002E-4</v>
      </c>
      <c r="J29" s="3">
        <v>-2.5412021999999999E-3</v>
      </c>
      <c r="L29" s="3">
        <f t="shared" si="0"/>
        <v>3.87801656861568</v>
      </c>
      <c r="M29" s="3"/>
      <c r="N29" s="2">
        <f>IF('Modell einstellen'!$B$1="Voll",H29/0.35,H29/0.35*2)</f>
        <v>3.3429485714285721E-3</v>
      </c>
      <c r="O29" s="2">
        <f>IF('Modell einstellen'!$B$1="Voll",J29/0.35,J29/0.35*2)</f>
        <v>-7.2605777142857146E-3</v>
      </c>
      <c r="P29" s="3">
        <f t="shared" si="1"/>
        <v>0.46042459746021003</v>
      </c>
    </row>
    <row r="30" spans="1:16" x14ac:dyDescent="0.25">
      <c r="A30" s="3">
        <v>1000000000000</v>
      </c>
      <c r="B30" s="3">
        <v>-3.2070000000000002E-3</v>
      </c>
      <c r="C30" s="3">
        <v>2.2720000000000001E-3</v>
      </c>
      <c r="D30" s="3">
        <v>7.8050000000000005E-4</v>
      </c>
      <c r="E30" s="3">
        <v>0</v>
      </c>
      <c r="F30" s="3">
        <v>0</v>
      </c>
      <c r="G30" s="3">
        <v>0</v>
      </c>
      <c r="H30" s="3">
        <v>1.1689580000000001E-3</v>
      </c>
      <c r="I30" s="3">
        <v>3.7227775E-4</v>
      </c>
      <c r="J30" s="3">
        <v>-2.5591775999999999E-3</v>
      </c>
      <c r="L30" s="3">
        <f t="shared" si="0"/>
        <v>4.1089045483664322</v>
      </c>
      <c r="M30" s="3"/>
      <c r="N30" s="2">
        <f>IF('Modell einstellen'!$B$1="Voll",H30/0.35,H30/0.35*2)</f>
        <v>3.3398800000000004E-3</v>
      </c>
      <c r="O30" s="2">
        <f>IF('Modell einstellen'!$B$1="Voll",J30/0.35,J30/0.35*2)</f>
        <v>-7.3119360000000007E-3</v>
      </c>
      <c r="P30" s="3">
        <f t="shared" si="1"/>
        <v>0.45677095641974985</v>
      </c>
    </row>
    <row r="31" spans="1:16" x14ac:dyDescent="0.25">
      <c r="A31" s="3">
        <v>10000000000000</v>
      </c>
      <c r="B31" s="3">
        <v>-3.2049999999999999E-3</v>
      </c>
      <c r="C31" s="3">
        <v>2.2759999999999998E-3</v>
      </c>
      <c r="D31" s="3">
        <v>7.7510000000000003E-4</v>
      </c>
      <c r="E31" s="3">
        <v>0</v>
      </c>
      <c r="F31" s="3">
        <v>0</v>
      </c>
      <c r="G31" s="3">
        <v>0</v>
      </c>
      <c r="H31" s="3">
        <v>1.1692256000000001E-3</v>
      </c>
      <c r="I31" s="3">
        <v>3.7288631000000002E-4</v>
      </c>
      <c r="J31" s="3">
        <v>-2.5616212000000001E-3</v>
      </c>
      <c r="L31" s="3">
        <f t="shared" si="0"/>
        <v>4.1349503289898077</v>
      </c>
      <c r="M31" s="3"/>
      <c r="N31" s="2">
        <f>IF('Modell einstellen'!$B$1="Voll",H31/0.35,H31/0.35*2)</f>
        <v>3.3406445714285718E-3</v>
      </c>
      <c r="O31" s="2">
        <f>IF('Modell einstellen'!$B$1="Voll",J31/0.35,J31/0.35*2)</f>
        <v>-7.3189177142857151E-3</v>
      </c>
      <c r="P31" s="3">
        <f t="shared" si="1"/>
        <v>0.4564396952992113</v>
      </c>
    </row>
    <row r="32" spans="1:16" x14ac:dyDescent="0.25">
      <c r="A32" s="3">
        <v>100000000000000</v>
      </c>
      <c r="B32" s="3">
        <v>-3.1419999999999998E-3</v>
      </c>
      <c r="C32" s="3">
        <v>2.2929999999999999E-3</v>
      </c>
      <c r="D32" s="3">
        <v>6.9620000000000001E-4</v>
      </c>
      <c r="E32" s="3">
        <v>0</v>
      </c>
      <c r="F32" s="3">
        <v>0</v>
      </c>
      <c r="G32" s="3">
        <v>0</v>
      </c>
      <c r="H32" s="3">
        <v>1.1711893000000001E-3</v>
      </c>
      <c r="I32" s="3">
        <v>3.7609352999999997E-4</v>
      </c>
      <c r="J32" s="3">
        <v>-2.5752369000000002E-3</v>
      </c>
      <c r="L32" s="3">
        <f t="shared" si="0"/>
        <v>4.51307095662166</v>
      </c>
      <c r="M32" s="3"/>
      <c r="N32" s="2">
        <f>IF('Modell einstellen'!$B$1="Voll",H32/0.35,H32/0.35*2)</f>
        <v>3.3462551428571435E-3</v>
      </c>
      <c r="O32" s="2">
        <f>IF('Modell einstellen'!$B$1="Voll",J32/0.35,J32/0.35*2)</f>
        <v>-7.3578197142857155E-3</v>
      </c>
      <c r="P32" s="3">
        <f t="shared" si="1"/>
        <v>0.45478895553259585</v>
      </c>
    </row>
    <row r="33" spans="1:16" x14ac:dyDescent="0.25">
      <c r="A33" s="3">
        <v>1000000000000000</v>
      </c>
      <c r="B33" s="3">
        <v>-3.1150000000000001E-3</v>
      </c>
      <c r="C33" s="3">
        <v>2.2989999999999998E-3</v>
      </c>
      <c r="D33" s="3">
        <v>6.625E-4</v>
      </c>
      <c r="E33" s="3">
        <v>0</v>
      </c>
      <c r="F33" s="3">
        <v>0</v>
      </c>
      <c r="G33" s="3">
        <v>0</v>
      </c>
      <c r="H33" s="3">
        <v>1.1728753E-3</v>
      </c>
      <c r="I33" s="3">
        <v>3.7727860999999999E-4</v>
      </c>
      <c r="J33" s="3">
        <v>-2.5812004999999998E-3</v>
      </c>
      <c r="L33" s="3">
        <f t="shared" si="0"/>
        <v>4.7018867924528305</v>
      </c>
      <c r="M33" s="3"/>
      <c r="N33" s="2">
        <f>IF('Modell einstellen'!$B$1="Voll",H33/0.35,H33/0.35*2)</f>
        <v>3.3510722857142856E-3</v>
      </c>
      <c r="O33" s="2">
        <f>IF('Modell einstellen'!$B$1="Voll",J33/0.35,J33/0.35*2)</f>
        <v>-7.3748585714285718E-3</v>
      </c>
      <c r="P33" s="3">
        <f t="shared" si="1"/>
        <v>0.4543913965614062</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2022-01-09T09:41:58Z</dcterms:modified>
</cp:coreProperties>
</file>