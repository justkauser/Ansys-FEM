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B403" i="43"/>
  <c r="H403" i="43"/>
  <c r="C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1" i="43"/>
  <c r="D416" i="43"/>
  <c r="D423" i="43"/>
  <c r="D428" i="43"/>
  <c r="D404" i="43"/>
  <c r="D414" i="43"/>
  <c r="D418" i="43"/>
  <c r="D427" i="43"/>
  <c r="D410" i="43"/>
  <c r="D412" i="43"/>
  <c r="D431" i="43"/>
  <c r="D405" i="43"/>
  <c r="D415" i="43"/>
  <c r="D424" i="43"/>
  <c r="D419" i="43"/>
  <c r="D409" i="43"/>
  <c r="D421" i="43"/>
  <c r="D434" i="43"/>
  <c r="D407" i="43"/>
  <c r="D425" i="43"/>
  <c r="D429" i="43"/>
  <c r="D432" i="43"/>
  <c r="D420" i="43"/>
  <c r="D422" i="43"/>
  <c r="D408" i="43"/>
  <c r="D413" i="43"/>
  <c r="D433" i="43"/>
  <c r="D417" i="43"/>
  <c r="D426" i="43"/>
  <c r="D430" i="43"/>
  <c r="C406" i="43"/>
  <c r="C409" i="43"/>
  <c r="C421" i="43"/>
  <c r="C434" i="43"/>
  <c r="C410" i="43"/>
  <c r="C431" i="43"/>
  <c r="C405" i="43"/>
  <c r="C424" i="43"/>
  <c r="C419" i="43"/>
  <c r="C428" i="43"/>
  <c r="C404" i="43"/>
  <c r="C407" i="43"/>
  <c r="C414" i="43"/>
  <c r="C418" i="43"/>
  <c r="C425" i="43"/>
  <c r="C427" i="43"/>
  <c r="C429" i="43"/>
  <c r="C432" i="43"/>
  <c r="C412" i="43"/>
  <c r="C420" i="43"/>
  <c r="C422" i="43"/>
  <c r="C408" i="43"/>
  <c r="C415" i="43"/>
  <c r="C433" i="43"/>
  <c r="C417" i="43"/>
  <c r="C426" i="43"/>
  <c r="C430" i="43"/>
  <c r="C423" i="43"/>
  <c r="C413" i="43"/>
  <c r="C411" i="43"/>
  <c r="C416" i="43"/>
  <c r="H434" i="43"/>
  <c r="H418" i="43"/>
  <c r="H415" i="43"/>
  <c r="H410" i="43"/>
  <c r="H424" i="43"/>
  <c r="H405" i="43"/>
  <c r="H426" i="43"/>
  <c r="H420" i="43"/>
  <c r="H419" i="43"/>
  <c r="H417" i="43"/>
  <c r="H414" i="43"/>
  <c r="H430" i="43"/>
  <c r="H423" i="43"/>
  <c r="H431" i="43"/>
  <c r="H406" i="43"/>
  <c r="H416" i="43"/>
  <c r="H404" i="43"/>
  <c r="H413" i="43"/>
  <c r="H427" i="43"/>
  <c r="H409" i="43"/>
  <c r="H422" i="43"/>
  <c r="H421" i="43"/>
  <c r="H428" i="43"/>
  <c r="H408" i="43"/>
  <c r="H433" i="43"/>
  <c r="H429" i="43"/>
  <c r="H432" i="43"/>
  <c r="H412" i="43"/>
  <c r="H425" i="43"/>
  <c r="H407" i="43"/>
  <c r="H411" i="43"/>
  <c r="B405" i="43"/>
  <c r="B424" i="43"/>
  <c r="B425" i="43"/>
  <c r="B413" i="43"/>
  <c r="B414" i="43"/>
  <c r="B408" i="43"/>
  <c r="B426" i="43"/>
  <c r="B421" i="43"/>
  <c r="B415" i="43"/>
  <c r="B417" i="43"/>
  <c r="B409" i="43"/>
  <c r="B406" i="43"/>
  <c r="B429" i="43"/>
  <c r="B411" i="43"/>
  <c r="B416" i="43"/>
  <c r="B432" i="43"/>
  <c r="B404" i="43"/>
  <c r="B428" i="43"/>
  <c r="B420" i="43"/>
  <c r="B433" i="43"/>
  <c r="B412" i="43"/>
  <c r="B410" i="43"/>
  <c r="B407" i="43"/>
  <c r="B431" i="43"/>
  <c r="B427" i="43"/>
  <c r="B434" i="43"/>
  <c r="B430" i="43"/>
  <c r="B423" i="43"/>
  <c r="B418" i="43"/>
  <c r="B419" i="43"/>
  <c r="B422" i="43"/>
  <c r="G410" i="43"/>
  <c r="G413" i="43"/>
  <c r="G431" i="43"/>
  <c r="G416" i="43"/>
  <c r="G434" i="43"/>
  <c r="G428" i="43"/>
  <c r="G429" i="43"/>
  <c r="G411" i="43"/>
  <c r="G427" i="43"/>
  <c r="G409" i="43"/>
  <c r="G404" i="43"/>
  <c r="G432" i="43"/>
  <c r="G422" i="43"/>
  <c r="G426" i="43"/>
  <c r="G408" i="43"/>
  <c r="G424" i="43"/>
  <c r="G412" i="43"/>
  <c r="G406" i="43"/>
  <c r="G419" i="43"/>
  <c r="G423" i="43"/>
  <c r="G405" i="43"/>
  <c r="G421" i="43"/>
  <c r="G420" i="43"/>
  <c r="G418" i="43"/>
  <c r="G425" i="43"/>
  <c r="G430" i="43"/>
  <c r="G407" i="43"/>
  <c r="G417" i="43"/>
  <c r="G433" i="43"/>
  <c r="G415" i="43"/>
  <c r="G414" i="43"/>
  <c r="E405" i="43"/>
  <c r="E406" i="43"/>
  <c r="E417" i="43"/>
  <c r="E419" i="43"/>
  <c r="E426" i="43"/>
  <c r="E430" i="43"/>
  <c r="E434" i="43"/>
  <c r="E427" i="43"/>
  <c r="E410" i="43"/>
  <c r="E420" i="43"/>
  <c r="E431" i="43"/>
  <c r="E415" i="43"/>
  <c r="E424" i="43"/>
  <c r="E411" i="43"/>
  <c r="E416" i="43"/>
  <c r="E423" i="43"/>
  <c r="E404" i="43"/>
  <c r="E418" i="43"/>
  <c r="E425" i="43"/>
  <c r="E429" i="43"/>
  <c r="E422" i="43"/>
  <c r="E408" i="43"/>
  <c r="E413" i="43"/>
  <c r="E433" i="43"/>
  <c r="E428" i="43"/>
  <c r="E414" i="43"/>
  <c r="E421" i="43"/>
  <c r="E409" i="43"/>
  <c r="E432" i="43"/>
  <c r="E412" i="43"/>
  <c r="E407" i="43"/>
  <c r="F415" i="43"/>
  <c r="F424" i="43"/>
  <c r="F423" i="43"/>
  <c r="F434" i="43"/>
  <c r="F427" i="43"/>
  <c r="F410" i="43"/>
  <c r="F420" i="43"/>
  <c r="F431" i="43"/>
  <c r="F419" i="43"/>
  <c r="F430" i="43"/>
  <c r="F416" i="43"/>
  <c r="F404" i="43"/>
  <c r="F421" i="43"/>
  <c r="F425" i="43"/>
  <c r="F426" i="43"/>
  <c r="F412" i="43"/>
  <c r="F417" i="43"/>
  <c r="F414" i="43"/>
  <c r="F422" i="43"/>
  <c r="F411" i="43"/>
  <c r="F405" i="43"/>
  <c r="F413" i="43"/>
  <c r="F432" i="43"/>
  <c r="F418" i="43"/>
  <c r="F409"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<sst xmlns="http://schemas.openxmlformats.org/spreadsheetml/2006/main" count="311" uniqueCount="164">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</sst>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90777352"/>
        <c:axId val="5907769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7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6960"/>
        <c:crossesAt val="-8.0000000000000019E-3"/>
        <c:crossBetween val="midCat"/>
      </c:valAx>
      <c:valAx>
        <c:axId val="59077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90775392"/>
        <c:axId val="590777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07753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7744"/>
        <c:crosses val="autoZero"/>
        <c:crossBetween val="midCat"/>
      </c:valAx>
      <c:valAx>
        <c:axId val="59077774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539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90778136"/>
        <c:axId val="590778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907781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920"/>
        <c:crosses val="autoZero"/>
        <c:crossBetween val="midCat"/>
        <c:majorUnit val="10000"/>
      </c:valAx>
      <c:valAx>
        <c:axId val="59077892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077813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7615304"/>
        <c:axId val="687616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615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6480"/>
        <c:crosses val="autoZero"/>
        <c:crossBetween val="midCat"/>
        <c:majorUnit val="10000"/>
      </c:valAx>
      <c:valAx>
        <c:axId val="6876164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61530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92094088"/>
        <c:axId val="5920933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920940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3304"/>
        <c:crosses val="autoZero"/>
        <c:crossBetween val="midCat"/>
        <c:majorUnit val="10000"/>
      </c:valAx>
      <c:valAx>
        <c:axId val="5920933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40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1.003641676343207E-2</c:v>
                </c:pt>
                <c:pt idx="1">
                  <c:v>1.3464052130454122E-2</c:v>
                </c:pt>
                <c:pt idx="2">
                  <c:v>3.6840234403118033E-3</c:v>
                </c:pt>
                <c:pt idx="3">
                  <c:v>6.209009427218102E-4</c:v>
                </c:pt>
                <c:pt idx="4">
                  <c:v>8.942901042776671E-5</c:v>
                </c:pt>
                <c:pt idx="5">
                  <c:v>1.3548145590832895E-5</c:v>
                </c:pt>
                <c:pt idx="6">
                  <c:v>8.73764078312545E-6</c:v>
                </c:pt>
                <c:pt idx="7">
                  <c:v>1.9301754702848935E-5</c:v>
                </c:pt>
                <c:pt idx="8">
                  <c:v>4.8595078383704351E-5</c:v>
                </c:pt>
                <c:pt idx="9">
                  <c:v>1.0612945413984835E-4</c:v>
                </c:pt>
                <c:pt idx="10">
                  <c:v>1.9278455252609361E-4</c:v>
                </c:pt>
                <c:pt idx="11">
                  <c:v>2.9358879657034458E-4</c:v>
                </c:pt>
                <c:pt idx="12">
                  <c:v>3.8032661031530145E-4</c:v>
                </c:pt>
                <c:pt idx="13">
                  <c:v>4.2569051430302698E-4</c:v>
                </c:pt>
                <c:pt idx="14">
                  <c:v>4.1434998692134776E-4</c:v>
                </c:pt>
                <c:pt idx="15">
                  <c:v>3.6056514977669813E-4</c:v>
                </c:pt>
                <c:pt idx="16">
                  <c:v>2.812039609335968E-4</c:v>
                </c:pt>
                <c:pt idx="17">
                  <c:v>1.9963009635517155E-4</c:v>
                </c:pt>
                <c:pt idx="18">
                  <c:v>1.2734103014228686E-4</c:v>
                </c:pt>
                <c:pt idx="19">
                  <c:v>6.8355460356310898E-5</c:v>
                </c:pt>
                <c:pt idx="20">
                  <c:v>3.2642537525041889E-5</c:v>
                </c:pt>
                <c:pt idx="21">
                  <c:v>1.2751222445407933E-5</c:v>
                </c:pt>
                <c:pt idx="22">
                  <c:v>3.6568749594038736E-5</c:v>
                </c:pt>
                <c:pt idx="23">
                  <c:v>6.6816366847772326E-5</c:v>
                </c:pt>
                <c:pt idx="24">
                  <c:v>1.0710487669474464E-4</c:v>
                </c:pt>
                <c:pt idx="25">
                  <c:v>1.7147125420777316E-4</c:v>
                </c:pt>
                <c:pt idx="26">
                  <c:v>8.835990410532823E-4</c:v>
                </c:pt>
                <c:pt idx="27">
                  <c:v>2.5226529050491782E-3</c:v>
                </c:pt>
                <c:pt idx="28">
                  <c:v>3.6495723160224333E-3</c:v>
                </c:pt>
                <c:pt idx="29">
                  <c:v>1.2704409747880117E-3</c:v>
                </c:pt>
                <c:pt idx="30">
                  <c:v>7.6597224709080319E-4</c:v>
                </c:pt>
              </c:numCache>
            </c:numRef>
          </c:yVal>
          <c:smooth val="1"/>
        </c:ser>
        <c:dLbls>
          <c:showLegendKey val="0"/>
          <c:showVal val="0"/>
          <c:showCatName val="0"/>
          <c:showSerName val="0"/>
          <c:showPercent val="0"/>
          <c:showBubbleSize val="0"/>
        </c:dLbls>
        <c:axId val="592091736"/>
        <c:axId val="592092128"/>
      </c:scatterChart>
      <c:valAx>
        <c:axId val="592091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128"/>
        <c:crossesAt val="-1.5000000000000005E-3"/>
        <c:crossBetween val="midCat"/>
      </c:valAx>
      <c:valAx>
        <c:axId val="5920921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17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9058.0029954048314</c:v>
                </c:pt>
                <c:pt idx="1">
                  <c:v>8939.0355742173906</c:v>
                </c:pt>
                <c:pt idx="2">
                  <c:v>8502.4332750886988</c:v>
                </c:pt>
                <c:pt idx="3">
                  <c:v>8278.8387239064559</c:v>
                </c:pt>
                <c:pt idx="4">
                  <c:v>7978.3726604943085</c:v>
                </c:pt>
                <c:pt idx="5">
                  <c:v>7625.4223223230783</c:v>
                </c:pt>
                <c:pt idx="6">
                  <c:v>7250.9995626640712</c:v>
                </c:pt>
                <c:pt idx="7">
                  <c:v>6924.5270599566102</c:v>
                </c:pt>
                <c:pt idx="8">
                  <c:v>6643.6381357485398</c:v>
                </c:pt>
                <c:pt idx="9">
                  <c:v>6360.9119526695185</c:v>
                </c:pt>
                <c:pt idx="10">
                  <c:v>6076.0044030323497</c:v>
                </c:pt>
                <c:pt idx="11">
                  <c:v>5796.0503589935333</c:v>
                </c:pt>
                <c:pt idx="12">
                  <c:v>5495.3701747785726</c:v>
                </c:pt>
                <c:pt idx="13">
                  <c:v>5144.5519938146781</c:v>
                </c:pt>
                <c:pt idx="14">
                  <c:v>4753.3567719048297</c:v>
                </c:pt>
                <c:pt idx="15">
                  <c:v>4261.4912146386205</c:v>
                </c:pt>
                <c:pt idx="16">
                  <c:v>3607.8661914939621</c:v>
                </c:pt>
                <c:pt idx="17">
                  <c:v>2895.474949494173</c:v>
                </c:pt>
                <c:pt idx="18">
                  <c:v>2207.7723245971515</c:v>
                </c:pt>
                <c:pt idx="19">
                  <c:v>1590.8597646212274</c:v>
                </c:pt>
                <c:pt idx="20">
                  <c:v>1134.3701738853269</c:v>
                </c:pt>
                <c:pt idx="21">
                  <c:v>828.1194797439681</c:v>
                </c:pt>
                <c:pt idx="22">
                  <c:v>674.80968000920768</c:v>
                </c:pt>
                <c:pt idx="23">
                  <c:v>590.67305209818346</c:v>
                </c:pt>
                <c:pt idx="24">
                  <c:v>552.2988212698931</c:v>
                </c:pt>
                <c:pt idx="25">
                  <c:v>523.58707617803157</c:v>
                </c:pt>
                <c:pt idx="26">
                  <c:v>512.13472793699691</c:v>
                </c:pt>
                <c:pt idx="27">
                  <c:v>493.23557378849233</c:v>
                </c:pt>
                <c:pt idx="28">
                  <c:v>473.40862293008212</c:v>
                </c:pt>
                <c:pt idx="29">
                  <c:v>468.11838552184156</c:v>
                </c:pt>
                <c:pt idx="30">
                  <c:v>468.11773275852704</c:v>
                </c:pt>
              </c:numCache>
            </c:numRef>
          </c:yVal>
          <c:smooth val="1"/>
        </c:ser>
        <c:dLbls>
          <c:showLegendKey val="0"/>
          <c:showVal val="0"/>
          <c:showCatName val="0"/>
          <c:showSerName val="0"/>
          <c:showPercent val="0"/>
          <c:showBubbleSize val="0"/>
        </c:dLbls>
        <c:axId val="592092520"/>
        <c:axId val="592092912"/>
      </c:scatterChart>
      <c:valAx>
        <c:axId val="592092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912"/>
        <c:crosses val="autoZero"/>
        <c:crossBetween val="midCat"/>
      </c:valAx>
      <c:valAx>
        <c:axId val="5920929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20925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1.0080723763889321E-2</c:v>
                </c:pt>
                <c:pt idx="1">
                  <c:v>7.6421503884437072E-3</c:v>
                </c:pt>
                <c:pt idx="2">
                  <c:v>2.5272178011931153E-2</c:v>
                </c:pt>
                <c:pt idx="3">
                  <c:v>0.11414410291831059</c:v>
                </c:pt>
                <c:pt idx="4">
                  <c:v>0.10069811763410556</c:v>
                </c:pt>
                <c:pt idx="5">
                  <c:v>8.1492264030665479E-2</c:v>
                </c:pt>
                <c:pt idx="6">
                  <c:v>6.0407631671908532E-2</c:v>
                </c:pt>
                <c:pt idx="7">
                  <c:v>3.5457452721513898E-2</c:v>
                </c:pt>
                <c:pt idx="8">
                  <c:v>1.2941359614197573E-2</c:v>
                </c:pt>
                <c:pt idx="9">
                  <c:v>1.6256877701645606E-2</c:v>
                </c:pt>
                <c:pt idx="10">
                  <c:v>2.3240481489229317E-2</c:v>
                </c:pt>
                <c:pt idx="11">
                  <c:v>1.9707654869653517E-2</c:v>
                </c:pt>
                <c:pt idx="12">
                  <c:v>1.8711129326728394E-2</c:v>
                </c:pt>
                <c:pt idx="13">
                  <c:v>1.7197205540900925E-2</c:v>
                </c:pt>
                <c:pt idx="14">
                  <c:v>1.738766909687758E-2</c:v>
                </c:pt>
                <c:pt idx="15">
                  <c:v>1.9634140889003088E-2</c:v>
                </c:pt>
                <c:pt idx="16">
                  <c:v>1.756272482794688E-2</c:v>
                </c:pt>
                <c:pt idx="17">
                  <c:v>1.907219957231597E-2</c:v>
                </c:pt>
                <c:pt idx="18">
                  <c:v>1.6989774309110823E-2</c:v>
                </c:pt>
                <c:pt idx="19">
                  <c:v>1.6643888386022907E-2</c:v>
                </c:pt>
                <c:pt idx="20">
                  <c:v>3.901718925436279E-3</c:v>
                </c:pt>
                <c:pt idx="21">
                  <c:v>4.9868726427056906E-2</c:v>
                </c:pt>
                <c:pt idx="22">
                  <c:v>0.11383279555134845</c:v>
                </c:pt>
                <c:pt idx="23">
                  <c:v>0.13215230682211138</c:v>
                </c:pt>
                <c:pt idx="24">
                  <c:v>0.11643017789499222</c:v>
                </c:pt>
                <c:pt idx="25">
                  <c:v>9.2782466638289457E-2</c:v>
                </c:pt>
                <c:pt idx="26">
                  <c:v>7.6801232142876333E-2</c:v>
                </c:pt>
                <c:pt idx="27">
                  <c:v>6.4557029043900246E-2</c:v>
                </c:pt>
                <c:pt idx="28">
                  <c:v>5.5396923975363672E-2</c:v>
                </c:pt>
                <c:pt idx="29">
                  <c:v>6.174945077368859E-2</c:v>
                </c:pt>
                <c:pt idx="30">
                  <c:v>1.2620587682155564E-2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0.10246402173622711</c:v>
                </c:pt>
                <c:pt idx="1">
                  <c:v>8.0135927524793482E-2</c:v>
                </c:pt>
                <c:pt idx="2">
                  <c:v>5.9615672299555098E-2</c:v>
                </c:pt>
                <c:pt idx="3">
                  <c:v>3.6417198629722078E-2</c:v>
                </c:pt>
                <c:pt idx="4">
                  <c:v>1.2934231657497946E-2</c:v>
                </c:pt>
                <c:pt idx="5">
                  <c:v>7.4765381713563592E-3</c:v>
                </c:pt>
                <c:pt idx="6">
                  <c:v>2.1270687937262587E-2</c:v>
                </c:pt>
                <c:pt idx="7">
                  <c:v>1.6894774029855012E-2</c:v>
                </c:pt>
                <c:pt idx="8">
                  <c:v>1.9744830022470197E-2</c:v>
                </c:pt>
                <c:pt idx="9">
                  <c:v>2.0911297656735422E-2</c:v>
                </c:pt>
                <c:pt idx="10">
                  <c:v>2.1289663438745544E-2</c:v>
                </c:pt>
                <c:pt idx="11">
                  <c:v>2.0936846976365615E-2</c:v>
                </c:pt>
                <c:pt idx="12">
                  <c:v>2.0222564792587248E-2</c:v>
                </c:pt>
                <c:pt idx="13">
                  <c:v>2.1799618199580088E-2</c:v>
                </c:pt>
                <c:pt idx="14">
                  <c:v>2.179181336512331E-2</c:v>
                </c:pt>
                <c:pt idx="15">
                  <c:v>2.2572798098322404E-2</c:v>
                </c:pt>
                <c:pt idx="16">
                  <c:v>2.0644991801632782E-2</c:v>
                </c:pt>
                <c:pt idx="17">
                  <c:v>1.3299430661771331E-3</c:v>
                </c:pt>
                <c:pt idx="18">
                  <c:v>4.790492412529139E-2</c:v>
                </c:pt>
                <c:pt idx="19">
                  <c:v>7.4342737642152434E-2</c:v>
                </c:pt>
                <c:pt idx="20">
                  <c:v>6.0277913614337091E-2</c:v>
                </c:pt>
                <c:pt idx="21">
                  <c:v>2.8797533305567027E-2</c:v>
                </c:pt>
                <c:pt idx="22">
                  <c:v>6.1763163531709485E-3</c:v>
                </c:pt>
                <c:pt idx="23">
                  <c:v>2.1177416413710227E-2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7.6742738637995814E-2</c:v>
                </c:pt>
                <c:pt idx="1">
                  <c:v>5.0465962149587325E-2</c:v>
                </c:pt>
                <c:pt idx="2">
                  <c:v>2.5746788997842902E-2</c:v>
                </c:pt>
                <c:pt idx="3">
                  <c:v>3.1481119478536279E-3</c:v>
                </c:pt>
                <c:pt idx="4">
                  <c:v>4.3206465112882644E-3</c:v>
                </c:pt>
                <c:pt idx="5">
                  <c:v>1.3301274004010937E-2</c:v>
                </c:pt>
                <c:pt idx="6">
                  <c:v>1.0398991598838446E-2</c:v>
                </c:pt>
                <c:pt idx="7">
                  <c:v>1.2044679828180355E-2</c:v>
                </c:pt>
                <c:pt idx="8">
                  <c:v>1.2250854906776945E-2</c:v>
                </c:pt>
                <c:pt idx="9">
                  <c:v>1.208909586137044E-2</c:v>
                </c:pt>
                <c:pt idx="10">
                  <c:v>1.3229215166945172E-2</c:v>
                </c:pt>
                <c:pt idx="11">
                  <c:v>1.2048238318774386E-2</c:v>
                </c:pt>
                <c:pt idx="12">
                  <c:v>1.4280289413922811E-2</c:v>
                </c:pt>
                <c:pt idx="13">
                  <c:v>1.3464495089856766E-2</c:v>
                </c:pt>
                <c:pt idx="14">
                  <c:v>1.6163311178282395E-2</c:v>
                </c:pt>
                <c:pt idx="15">
                  <c:v>1.4094968188191587E-2</c:v>
                </c:pt>
                <c:pt idx="16">
                  <c:v>4.1372569548982756E-3</c:v>
                </c:pt>
                <c:pt idx="17">
                  <c:v>3.7427021998097068E-2</c:v>
                </c:pt>
                <c:pt idx="18">
                  <c:v>5.6583604022247713E-2</c:v>
                </c:pt>
                <c:pt idx="19">
                  <c:v>4.3424187646135072E-2</c:v>
                </c:pt>
                <c:pt idx="20">
                  <c:v>1.6441335241977759E-2</c:v>
                </c:pt>
                <c:pt idx="21">
                  <c:v>1.1036417625580228E-2</c:v>
                </c:pt>
                <c:pt idx="22">
                  <c:v>2.1825869631746004E-2</c:v>
                </c:pt>
                <c:pt idx="23">
                  <c:v>2.6891105458170573E-2</c:v>
                </c:pt>
                <c:pt idx="24">
                  <c:v>7.6272848333032222E-3</c:v>
                </c:pt>
                <c:pt idx="25">
                  <c:v>2.5468941770047982E-2</c:v>
                </c:pt>
                <c:pt idx="26">
                  <c:v>3.7339956212439972E-4</c:v>
                </c:pt>
                <c:pt idx="27">
                  <c:v>3.0289787631163339E-3</c:v>
                </c:pt>
                <c:pt idx="28">
                  <c:v>1.9047846774817832E-3</c:v>
                </c:pt>
                <c:pt idx="29">
                  <c:v>2.7463703825091213E-3</c:v>
                </c:pt>
                <c:pt idx="30">
                  <c:v>1.5983212820234144E-3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1.4492247223132622E-3</c:v>
                </c:pt>
                <c:pt idx="1">
                  <c:v>1.2949333433167873E-2</c:v>
                </c:pt>
                <c:pt idx="2">
                  <c:v>1.4413157268777704E-2</c:v>
                </c:pt>
                <c:pt idx="3">
                  <c:v>1.5782739308127763E-2</c:v>
                </c:pt>
                <c:pt idx="4">
                  <c:v>1.448271914857349E-2</c:v>
                </c:pt>
                <c:pt idx="5">
                  <c:v>1.1356497328979448E-2</c:v>
                </c:pt>
                <c:pt idx="6">
                  <c:v>1.3314223626430602E-2</c:v>
                </c:pt>
                <c:pt idx="7">
                  <c:v>1.1366088257471357E-2</c:v>
                </c:pt>
                <c:pt idx="8">
                  <c:v>1.2913867647570174E-2</c:v>
                </c:pt>
                <c:pt idx="9">
                  <c:v>1.0966719309405489E-2</c:v>
                </c:pt>
                <c:pt idx="10">
                  <c:v>1.5396554761164749E-2</c:v>
                </c:pt>
                <c:pt idx="11">
                  <c:v>1.272222831162023E-2</c:v>
                </c:pt>
                <c:pt idx="12">
                  <c:v>1.4349693820220886E-2</c:v>
                </c:pt>
                <c:pt idx="13">
                  <c:v>1.0180909068557209E-2</c:v>
                </c:pt>
                <c:pt idx="14">
                  <c:v>4.4484825485002356E-2</c:v>
                </c:pt>
                <c:pt idx="15">
                  <c:v>5.3076032558391086E-2</c:v>
                </c:pt>
                <c:pt idx="16">
                  <c:v>2.9023787915953905E-2</c:v>
                </c:pt>
                <c:pt idx="17">
                  <c:v>6.813449248269138E-3</c:v>
                </c:pt>
                <c:pt idx="18">
                  <c:v>1.0185953267458404E-2</c:v>
                </c:pt>
                <c:pt idx="19">
                  <c:v>1.7366889663312811E-2</c:v>
                </c:pt>
                <c:pt idx="20">
                  <c:v>2.0439677431828788E-2</c:v>
                </c:pt>
                <c:pt idx="21">
                  <c:v>8.5034845129898489E-3</c:v>
                </c:pt>
                <c:pt idx="22">
                  <c:v>5.3327256424442375E-3</c:v>
                </c:pt>
                <c:pt idx="23">
                  <c:v>5.7820999653981986E-3</c:v>
                </c:pt>
                <c:pt idx="24">
                  <c:v>2.1669613497105212E-3</c:v>
                </c:pt>
                <c:pt idx="25">
                  <c:v>4.4981126557164181E-3</c:v>
                </c:pt>
                <c:pt idx="26">
                  <c:v>4.2872200924891669E-3</c:v>
                </c:pt>
                <c:pt idx="27">
                  <c:v>2.7392088614205767E-3</c:v>
                </c:pt>
                <c:pt idx="28">
                  <c:v>2.0139741226251734E-3</c:v>
                </c:pt>
                <c:pt idx="29">
                  <c:v>2.1534506806539008E-3</c:v>
                </c:pt>
                <c:pt idx="30">
                  <c:v>4.1996869140877597E-3</c:v>
                </c:pt>
              </c:numCache>
            </c:numRef>
          </c:yVal>
          <c:smooth val="1"/>
        </c:ser>
        <c:dLbls>
          <c:showLegendKey val="0"/>
          <c:showVal val="0"/>
          <c:showCatName val="0"/>
          <c:showSerName val="0"/>
          <c:showPercent val="0"/>
          <c:showBubbleSize val="0"/>
        </c:dLbls>
        <c:axId val="687616872"/>
        <c:axId val="437146184"/>
      </c:scatterChart>
      <c:valAx>
        <c:axId val="687616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184"/>
        <c:crossesAt val="1.0000000000000005E-9"/>
        <c:crossBetween val="midCat"/>
      </c:valAx>
      <c:valAx>
        <c:axId val="437146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616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-17.057668506080475</c:v>
                </c:pt>
                <c:pt idx="1">
                  <c:v>-13.801205867961423</c:v>
                </c:pt>
                <c:pt idx="2">
                  <c:v>-11.300486481572344</c:v>
                </c:pt>
                <c:pt idx="3">
                  <c:v>-8.4000967341327382</c:v>
                </c:pt>
                <c:pt idx="4">
                  <c:v>-5.6978540921375176</c:v>
                </c:pt>
                <c:pt idx="5">
                  <c:v>0</c:v>
                </c:pt>
                <c:pt idx="6">
                  <c:v>5.450122461093871</c:v>
                </c:pt>
              </c:numCache>
            </c:numRef>
          </c:yVal>
          <c:smooth val="0"/>
        </c:ser>
        <c:dLbls>
          <c:showLegendKey val="0"/>
          <c:showVal val="0"/>
          <c:showCatName val="0"/>
          <c:showSerName val="0"/>
          <c:showPercent val="0"/>
          <c:showBubbleSize val="0"/>
        </c:dLbls>
        <c:axId val="437148144"/>
        <c:axId val="437146576"/>
      </c:scatterChart>
      <c:valAx>
        <c:axId val="437148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6576"/>
        <c:crossesAt val="-100"/>
        <c:crossBetween val="midCat"/>
      </c:valAx>
      <c:valAx>
        <c:axId val="437146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814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437147360"/>
        <c:axId val="437147752"/>
      </c:scatterChart>
      <c:valAx>
        <c:axId val="4371473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752"/>
        <c:crosses val="autoZero"/>
        <c:crossBetween val="midCat"/>
      </c:valAx>
      <c:valAx>
        <c:axId val="4371477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73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2.2484557288532589E-19</c:v>
                </c:pt>
                <c:pt idx="1">
                  <c:v>2.2484557288532588E-18</c:v>
                </c:pt>
                <c:pt idx="2">
                  <c:v>2.248455728853259E-17</c:v>
                </c:pt>
                <c:pt idx="3">
                  <c:v>2.2484557288532587E-16</c:v>
                </c:pt>
                <c:pt idx="4">
                  <c:v>2.2484557288532588E-15</c:v>
                </c:pt>
                <c:pt idx="5">
                  <c:v>2.248455728853259E-14</c:v>
                </c:pt>
                <c:pt idx="6">
                  <c:v>2.2484557288532591E-13</c:v>
                </c:pt>
                <c:pt idx="7">
                  <c:v>2.2484557288532588E-12</c:v>
                </c:pt>
                <c:pt idx="8">
                  <c:v>2.2484557288532588E-11</c:v>
                </c:pt>
                <c:pt idx="9">
                  <c:v>2.2484557288532588E-10</c:v>
                </c:pt>
                <c:pt idx="10">
                  <c:v>2.248455728853259E-9</c:v>
                </c:pt>
                <c:pt idx="11">
                  <c:v>2.2484557288532589E-8</c:v>
                </c:pt>
                <c:pt idx="12">
                  <c:v>2.2484557288532589E-7</c:v>
                </c:pt>
                <c:pt idx="13">
                  <c:v>2.2484557288532587E-6</c:v>
                </c:pt>
                <c:pt idx="14">
                  <c:v>2.2484557288532589E-5</c:v>
                </c:pt>
                <c:pt idx="15">
                  <c:v>2.2484557288532589E-4</c:v>
                </c:pt>
                <c:pt idx="16">
                  <c:v>2.2484557288532589E-3</c:v>
                </c:pt>
                <c:pt idx="17">
                  <c:v>2.2484557288532589E-2</c:v>
                </c:pt>
                <c:pt idx="18">
                  <c:v>0.22484557288532589</c:v>
                </c:pt>
                <c:pt idx="19">
                  <c:v>2.248455728853259</c:v>
                </c:pt>
                <c:pt idx="20">
                  <c:v>22.484557288532589</c:v>
                </c:pt>
                <c:pt idx="21">
                  <c:v>224.84557288532588</c:v>
                </c:pt>
                <c:pt idx="22">
                  <c:v>2248.4557288532587</c:v>
                </c:pt>
                <c:pt idx="23">
                  <c:v>22484.557288532589</c:v>
                </c:pt>
                <c:pt idx="24">
                  <c:v>224845.57288532588</c:v>
                </c:pt>
                <c:pt idx="25">
                  <c:v>2248455.7288532588</c:v>
                </c:pt>
                <c:pt idx="26">
                  <c:v>22484557.288532589</c:v>
                </c:pt>
                <c:pt idx="27">
                  <c:v>224845572.88532588</c:v>
                </c:pt>
                <c:pt idx="28">
                  <c:v>2248455728.8532586</c:v>
                </c:pt>
                <c:pt idx="29">
                  <c:v>22484557288.532589</c:v>
                </c:pt>
                <c:pt idx="30">
                  <c:v>224845572885.3259</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3.3531533005202248E-18</c:v>
                </c:pt>
                <c:pt idx="1">
                  <c:v>3.3531533005202246E-17</c:v>
                </c:pt>
                <c:pt idx="2">
                  <c:v>3.3531533005202246E-16</c:v>
                </c:pt>
                <c:pt idx="3">
                  <c:v>3.3531533005202244E-15</c:v>
                </c:pt>
                <c:pt idx="4">
                  <c:v>3.353153300520224E-14</c:v>
                </c:pt>
                <c:pt idx="5">
                  <c:v>3.3531533005202246E-13</c:v>
                </c:pt>
                <c:pt idx="6">
                  <c:v>3.3531533005202247E-12</c:v>
                </c:pt>
                <c:pt idx="7">
                  <c:v>3.3531533005202248E-11</c:v>
                </c:pt>
                <c:pt idx="8">
                  <c:v>3.3531533005202244E-10</c:v>
                </c:pt>
                <c:pt idx="9">
                  <c:v>3.3531533005202242E-9</c:v>
                </c:pt>
                <c:pt idx="10">
                  <c:v>3.3531533005202244E-8</c:v>
                </c:pt>
                <c:pt idx="11">
                  <c:v>3.3531533005202245E-7</c:v>
                </c:pt>
                <c:pt idx="12">
                  <c:v>3.3531533005202243E-6</c:v>
                </c:pt>
                <c:pt idx="13">
                  <c:v>3.3531533005202245E-5</c:v>
                </c:pt>
                <c:pt idx="14">
                  <c:v>3.3531533005202248E-4</c:v>
                </c:pt>
                <c:pt idx="15">
                  <c:v>3.3531533005202244E-3</c:v>
                </c:pt>
                <c:pt idx="16">
                  <c:v>3.3531533005202244E-2</c:v>
                </c:pt>
                <c:pt idx="17">
                  <c:v>0.33531533005202246</c:v>
                </c:pt>
                <c:pt idx="18">
                  <c:v>3.3531533005202245</c:v>
                </c:pt>
                <c:pt idx="19">
                  <c:v>33.531533005202242</c:v>
                </c:pt>
                <c:pt idx="20">
                  <c:v>335.31533005202243</c:v>
                </c:pt>
                <c:pt idx="21">
                  <c:v>3353.1533005202245</c:v>
                </c:pt>
                <c:pt idx="22">
                  <c:v>33531.533005202247</c:v>
                </c:pt>
                <c:pt idx="23">
                  <c:v>335315.33005202241</c:v>
                </c:pt>
                <c:pt idx="24">
                  <c:v>3353153.3005202245</c:v>
                </c:pt>
                <c:pt idx="25">
                  <c:v>33531533.005202245</c:v>
                </c:pt>
                <c:pt idx="26">
                  <c:v>335315330.05202246</c:v>
                </c:pt>
                <c:pt idx="27">
                  <c:v>3353153300.5202246</c:v>
                </c:pt>
                <c:pt idx="28">
                  <c:v>33531533005.202244</c:v>
                </c:pt>
                <c:pt idx="29">
                  <c:v>335315330052.02246</c:v>
                </c:pt>
                <c:pt idx="30">
                  <c:v>3353153300520.2246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2.3278667147264222E-13</c:v>
                </c:pt>
                <c:pt idx="1">
                  <c:v>2.327866714726422E-12</c:v>
                </c:pt>
                <c:pt idx="2">
                  <c:v>2.3278667147264223E-11</c:v>
                </c:pt>
                <c:pt idx="3">
                  <c:v>2.3278667147264222E-10</c:v>
                </c:pt>
                <c:pt idx="4">
                  <c:v>2.3278667147264221E-9</c:v>
                </c:pt>
                <c:pt idx="5">
                  <c:v>2.3278667147264221E-8</c:v>
                </c:pt>
                <c:pt idx="6">
                  <c:v>2.3278667147264222E-7</c:v>
                </c:pt>
                <c:pt idx="7">
                  <c:v>2.3278667147264222E-6</c:v>
                </c:pt>
                <c:pt idx="8">
                  <c:v>2.3278667147264221E-5</c:v>
                </c:pt>
                <c:pt idx="9">
                  <c:v>2.3278667147264221E-4</c:v>
                </c:pt>
                <c:pt idx="10">
                  <c:v>2.3278667147264222E-3</c:v>
                </c:pt>
                <c:pt idx="11">
                  <c:v>2.3278667147264221E-2</c:v>
                </c:pt>
                <c:pt idx="12">
                  <c:v>0.23278667147264223</c:v>
                </c:pt>
                <c:pt idx="13">
                  <c:v>2.3278667147264223</c:v>
                </c:pt>
                <c:pt idx="14">
                  <c:v>23.278667147264223</c:v>
                </c:pt>
                <c:pt idx="15">
                  <c:v>232.78667147264221</c:v>
                </c:pt>
                <c:pt idx="16">
                  <c:v>2327.8667147264223</c:v>
                </c:pt>
                <c:pt idx="17">
                  <c:v>23278.667147264223</c:v>
                </c:pt>
                <c:pt idx="18">
                  <c:v>232786.67147264222</c:v>
                </c:pt>
                <c:pt idx="19">
                  <c:v>2327866.714726422</c:v>
                </c:pt>
                <c:pt idx="20">
                  <c:v>23278667.14726422</c:v>
                </c:pt>
                <c:pt idx="21">
                  <c:v>232786671.47264221</c:v>
                </c:pt>
                <c:pt idx="22">
                  <c:v>2327866714.7264223</c:v>
                </c:pt>
                <c:pt idx="23">
                  <c:v>23278667147.264221</c:v>
                </c:pt>
                <c:pt idx="24">
                  <c:v>232786671472.64221</c:v>
                </c:pt>
                <c:pt idx="25">
                  <c:v>2327866714726.4224</c:v>
                </c:pt>
                <c:pt idx="26">
                  <c:v>23278667147264.223</c:v>
                </c:pt>
                <c:pt idx="27">
                  <c:v>232786671472642.22</c:v>
                </c:pt>
                <c:pt idx="28">
                  <c:v>2327866714726422</c:v>
                </c:pt>
                <c:pt idx="29">
                  <c:v>2.327866714726422E+16</c:v>
                </c:pt>
                <c:pt idx="30">
                  <c:v>2.3278667147264221E+17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437145008"/>
        <c:axId val="437145400"/>
      </c:scatterChart>
      <c:valAx>
        <c:axId val="43714500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400"/>
        <c:crosses val="autoZero"/>
        <c:crossBetween val="midCat"/>
      </c:valAx>
      <c:valAx>
        <c:axId val="437145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714500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3.9079472567817324E-23</c:v>
                </c:pt>
                <c:pt idx="1">
                  <c:v>3.9079472567817322E-22</c:v>
                </c:pt>
                <c:pt idx="2">
                  <c:v>3.9079472567817323E-21</c:v>
                </c:pt>
                <c:pt idx="3">
                  <c:v>3.907947256781732E-20</c:v>
                </c:pt>
                <c:pt idx="4">
                  <c:v>3.9079472567817321E-19</c:v>
                </c:pt>
                <c:pt idx="5">
                  <c:v>3.9079472567817327E-18</c:v>
                </c:pt>
                <c:pt idx="6">
                  <c:v>3.9079472567817325E-17</c:v>
                </c:pt>
                <c:pt idx="7">
                  <c:v>3.9079472567817324E-16</c:v>
                </c:pt>
                <c:pt idx="8">
                  <c:v>3.9079472567817319E-15</c:v>
                </c:pt>
                <c:pt idx="9">
                  <c:v>3.9079472567817324E-14</c:v>
                </c:pt>
                <c:pt idx="10">
                  <c:v>3.9079472567817329E-13</c:v>
                </c:pt>
                <c:pt idx="11">
                  <c:v>3.9079472567817325E-12</c:v>
                </c:pt>
                <c:pt idx="12">
                  <c:v>3.9079472567817325E-11</c:v>
                </c:pt>
                <c:pt idx="13">
                  <c:v>3.9079472567817324E-10</c:v>
                </c:pt>
                <c:pt idx="14">
                  <c:v>3.9079472567817328E-9</c:v>
                </c:pt>
                <c:pt idx="15">
                  <c:v>3.9079472567817324E-8</c:v>
                </c:pt>
                <c:pt idx="16">
                  <c:v>3.9079472567817323E-7</c:v>
                </c:pt>
                <c:pt idx="17">
                  <c:v>3.9079472567817324E-6</c:v>
                </c:pt>
                <c:pt idx="18">
                  <c:v>3.9079472567817326E-5</c:v>
                </c:pt>
                <c:pt idx="19">
                  <c:v>3.9079472567817323E-4</c:v>
                </c:pt>
                <c:pt idx="20">
                  <c:v>3.9079472567817323E-3</c:v>
                </c:pt>
                <c:pt idx="21">
                  <c:v>3.9079472567817325E-2</c:v>
                </c:pt>
                <c:pt idx="22">
                  <c:v>0.39079472567817325</c:v>
                </c:pt>
                <c:pt idx="23">
                  <c:v>3.9079472567817324</c:v>
                </c:pt>
                <c:pt idx="24">
                  <c:v>39.079472567817326</c:v>
                </c:pt>
                <c:pt idx="25">
                  <c:v>390.79472567817322</c:v>
                </c:pt>
                <c:pt idx="26">
                  <c:v>3907.9472567817324</c:v>
                </c:pt>
                <c:pt idx="27">
                  <c:v>39079.47256781732</c:v>
                </c:pt>
                <c:pt idx="28">
                  <c:v>390794.72567817324</c:v>
                </c:pt>
                <c:pt idx="29">
                  <c:v>3907947.2567817322</c:v>
                </c:pt>
                <c:pt idx="30">
                  <c:v>39079472.567817323</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1.0144074916780399E-21</c:v>
                </c:pt>
                <c:pt idx="1">
                  <c:v>1.0144074916780398E-20</c:v>
                </c:pt>
                <c:pt idx="2">
                  <c:v>1.0144074916780399E-19</c:v>
                </c:pt>
                <c:pt idx="3">
                  <c:v>1.0144074916780397E-18</c:v>
                </c:pt>
                <c:pt idx="4">
                  <c:v>1.0144074916780397E-17</c:v>
                </c:pt>
                <c:pt idx="5">
                  <c:v>1.0144074916780399E-16</c:v>
                </c:pt>
                <c:pt idx="6">
                  <c:v>1.01440749167804E-15</c:v>
                </c:pt>
                <c:pt idx="7">
                  <c:v>1.0144074916780398E-14</c:v>
                </c:pt>
                <c:pt idx="8">
                  <c:v>1.0144074916780397E-13</c:v>
                </c:pt>
                <c:pt idx="9">
                  <c:v>1.0144074916780399E-12</c:v>
                </c:pt>
                <c:pt idx="10">
                  <c:v>1.0144074916780399E-11</c:v>
                </c:pt>
                <c:pt idx="11">
                  <c:v>1.0144074916780399E-10</c:v>
                </c:pt>
                <c:pt idx="12">
                  <c:v>1.0144074916780399E-9</c:v>
                </c:pt>
                <c:pt idx="13">
                  <c:v>1.0144074916780398E-8</c:v>
                </c:pt>
                <c:pt idx="14">
                  <c:v>1.0144074916780399E-7</c:v>
                </c:pt>
                <c:pt idx="15">
                  <c:v>1.0144074916780399E-6</c:v>
                </c:pt>
                <c:pt idx="16">
                  <c:v>1.0144074916780399E-5</c:v>
                </c:pt>
                <c:pt idx="17">
                  <c:v>1.0144074916780398E-4</c:v>
                </c:pt>
                <c:pt idx="18">
                  <c:v>1.0144074916780398E-3</c:v>
                </c:pt>
                <c:pt idx="19">
                  <c:v>1.0144074916780398E-2</c:v>
                </c:pt>
                <c:pt idx="20">
                  <c:v>0.10144074916780398</c:v>
                </c:pt>
                <c:pt idx="21">
                  <c:v>1.0144074916780399</c:v>
                </c:pt>
                <c:pt idx="22">
                  <c:v>10.144074916780399</c:v>
                </c:pt>
                <c:pt idx="23">
                  <c:v>101.44074916780399</c:v>
                </c:pt>
                <c:pt idx="24">
                  <c:v>1014.4074916780398</c:v>
                </c:pt>
                <c:pt idx="25">
                  <c:v>10144.074916780399</c:v>
                </c:pt>
                <c:pt idx="26">
                  <c:v>101440.74916780398</c:v>
                </c:pt>
                <c:pt idx="27">
                  <c:v>1014407.4916780398</c:v>
                </c:pt>
                <c:pt idx="28">
                  <c:v>10144074.916780399</c:v>
                </c:pt>
                <c:pt idx="29">
                  <c:v>101440749.16780399</c:v>
                </c:pt>
                <c:pt idx="30">
                  <c:v>1014407491.6780398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1.2366906526016326E-20</c:v>
                </c:pt>
                <c:pt idx="1">
                  <c:v>1.2366906526016325E-19</c:v>
                </c:pt>
                <c:pt idx="2">
                  <c:v>1.2366906526016326E-18</c:v>
                </c:pt>
                <c:pt idx="3">
                  <c:v>1.2366906526016325E-17</c:v>
                </c:pt>
                <c:pt idx="4">
                  <c:v>1.2366906526016324E-16</c:v>
                </c:pt>
                <c:pt idx="5">
                  <c:v>1.2366906526016326E-15</c:v>
                </c:pt>
                <c:pt idx="6">
                  <c:v>1.2366906526016325E-14</c:v>
                </c:pt>
                <c:pt idx="7">
                  <c:v>1.2366906526016325E-13</c:v>
                </c:pt>
                <c:pt idx="8">
                  <c:v>1.2366906526016325E-12</c:v>
                </c:pt>
                <c:pt idx="9">
                  <c:v>1.2366906526016324E-11</c:v>
                </c:pt>
                <c:pt idx="10">
                  <c:v>1.2366906526016326E-10</c:v>
                </c:pt>
                <c:pt idx="11">
                  <c:v>1.2366906526016325E-9</c:v>
                </c:pt>
                <c:pt idx="12">
                  <c:v>1.2366906526016325E-8</c:v>
                </c:pt>
                <c:pt idx="13">
                  <c:v>1.2366906526016325E-7</c:v>
                </c:pt>
                <c:pt idx="14">
                  <c:v>1.2366906526016326E-6</c:v>
                </c:pt>
                <c:pt idx="15">
                  <c:v>1.2366906526016325E-5</c:v>
                </c:pt>
                <c:pt idx="16">
                  <c:v>1.2366906526016324E-4</c:v>
                </c:pt>
                <c:pt idx="17">
                  <c:v>1.2366906526016326E-3</c:v>
                </c:pt>
                <c:pt idx="18">
                  <c:v>1.2366906526016325E-2</c:v>
                </c:pt>
                <c:pt idx="19">
                  <c:v>0.12366906526016325</c:v>
                </c:pt>
                <c:pt idx="20">
                  <c:v>1.2366906526016326</c:v>
                </c:pt>
                <c:pt idx="21">
                  <c:v>12.366906526016326</c:v>
                </c:pt>
                <c:pt idx="22">
                  <c:v>123.66906526016325</c:v>
                </c:pt>
                <c:pt idx="23">
                  <c:v>1236.6906526016326</c:v>
                </c:pt>
                <c:pt idx="24">
                  <c:v>12366.906526016324</c:v>
                </c:pt>
                <c:pt idx="25">
                  <c:v>123669.06526016325</c:v>
                </c:pt>
                <c:pt idx="26">
                  <c:v>1236690.6526016325</c:v>
                </c:pt>
                <c:pt idx="27">
                  <c:v>12366906.526016325</c:v>
                </c:pt>
                <c:pt idx="28">
                  <c:v>123669065.26016325</c:v>
                </c:pt>
                <c:pt idx="29">
                  <c:v>1236690652.6016326</c:v>
                </c:pt>
                <c:pt idx="30">
                  <c:v>12366906526.016325</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2.2484557288532589E-19</c:v>
                </c:pt>
                <c:pt idx="1">
                  <c:v>2.2484557288532588E-18</c:v>
                </c:pt>
                <c:pt idx="2">
                  <c:v>2.248455728853259E-17</c:v>
                </c:pt>
                <c:pt idx="3">
                  <c:v>2.2484557288532587E-16</c:v>
                </c:pt>
                <c:pt idx="4">
                  <c:v>2.2484557288532588E-15</c:v>
                </c:pt>
                <c:pt idx="5">
                  <c:v>2.248455728853259E-14</c:v>
                </c:pt>
                <c:pt idx="6">
                  <c:v>2.2484557288532591E-13</c:v>
                </c:pt>
                <c:pt idx="7">
                  <c:v>2.2484557288532588E-12</c:v>
                </c:pt>
                <c:pt idx="8">
                  <c:v>2.2484557288532588E-11</c:v>
                </c:pt>
                <c:pt idx="9">
                  <c:v>2.2484557288532588E-10</c:v>
                </c:pt>
                <c:pt idx="10">
                  <c:v>2.248455728853259E-9</c:v>
                </c:pt>
                <c:pt idx="11">
                  <c:v>2.2484557288532589E-8</c:v>
                </c:pt>
                <c:pt idx="12">
                  <c:v>2.2484557288532589E-7</c:v>
                </c:pt>
                <c:pt idx="13">
                  <c:v>2.2484557288532587E-6</c:v>
                </c:pt>
                <c:pt idx="14">
                  <c:v>2.2484557288532589E-5</c:v>
                </c:pt>
                <c:pt idx="15">
                  <c:v>2.2484557288532589E-4</c:v>
                </c:pt>
                <c:pt idx="16">
                  <c:v>2.2484557288532589E-3</c:v>
                </c:pt>
                <c:pt idx="17">
                  <c:v>2.2484557288532589E-2</c:v>
                </c:pt>
                <c:pt idx="18">
                  <c:v>0.22484557288532589</c:v>
                </c:pt>
                <c:pt idx="19">
                  <c:v>2.248455728853259</c:v>
                </c:pt>
                <c:pt idx="20">
                  <c:v>22.484557288532589</c:v>
                </c:pt>
                <c:pt idx="21">
                  <c:v>224.84557288532588</c:v>
                </c:pt>
                <c:pt idx="22">
                  <c:v>2248.4557288532587</c:v>
                </c:pt>
                <c:pt idx="23">
                  <c:v>22484.557288532589</c:v>
                </c:pt>
                <c:pt idx="24">
                  <c:v>224845.57288532588</c:v>
                </c:pt>
                <c:pt idx="25">
                  <c:v>2248455.7288532588</c:v>
                </c:pt>
                <c:pt idx="26">
                  <c:v>22484557.288532589</c:v>
                </c:pt>
                <c:pt idx="27">
                  <c:v>224845572.88532588</c:v>
                </c:pt>
                <c:pt idx="28">
                  <c:v>2248455728.8532586</c:v>
                </c:pt>
                <c:pt idx="29">
                  <c:v>22484557288.532589</c:v>
                </c:pt>
                <c:pt idx="30">
                  <c:v>224845572885.3259</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3.3531533005202248E-18</c:v>
                </c:pt>
                <c:pt idx="1">
                  <c:v>3.3531533005202246E-17</c:v>
                </c:pt>
                <c:pt idx="2">
                  <c:v>3.3531533005202246E-16</c:v>
                </c:pt>
                <c:pt idx="3">
                  <c:v>3.3531533005202244E-15</c:v>
                </c:pt>
                <c:pt idx="4">
                  <c:v>3.353153300520224E-14</c:v>
                </c:pt>
                <c:pt idx="5">
                  <c:v>3.3531533005202246E-13</c:v>
                </c:pt>
                <c:pt idx="6">
                  <c:v>3.3531533005202247E-12</c:v>
                </c:pt>
                <c:pt idx="7">
                  <c:v>3.3531533005202248E-11</c:v>
                </c:pt>
                <c:pt idx="8">
                  <c:v>3.3531533005202244E-10</c:v>
                </c:pt>
                <c:pt idx="9">
                  <c:v>3.3531533005202242E-9</c:v>
                </c:pt>
                <c:pt idx="10">
                  <c:v>3.3531533005202244E-8</c:v>
                </c:pt>
                <c:pt idx="11">
                  <c:v>3.3531533005202245E-7</c:v>
                </c:pt>
                <c:pt idx="12">
                  <c:v>3.3531533005202243E-6</c:v>
                </c:pt>
                <c:pt idx="13">
                  <c:v>3.3531533005202245E-5</c:v>
                </c:pt>
                <c:pt idx="14">
                  <c:v>3.3531533005202248E-4</c:v>
                </c:pt>
                <c:pt idx="15">
                  <c:v>3.3531533005202244E-3</c:v>
                </c:pt>
                <c:pt idx="16">
                  <c:v>3.3531533005202244E-2</c:v>
                </c:pt>
                <c:pt idx="17">
                  <c:v>0.33531533005202246</c:v>
                </c:pt>
                <c:pt idx="18">
                  <c:v>3.3531533005202245</c:v>
                </c:pt>
                <c:pt idx="19">
                  <c:v>33.531533005202242</c:v>
                </c:pt>
                <c:pt idx="20">
                  <c:v>335.31533005202243</c:v>
                </c:pt>
                <c:pt idx="21">
                  <c:v>3353.1533005202245</c:v>
                </c:pt>
                <c:pt idx="22">
                  <c:v>33531.533005202247</c:v>
                </c:pt>
                <c:pt idx="23">
                  <c:v>335315.33005202241</c:v>
                </c:pt>
                <c:pt idx="24">
                  <c:v>3353153.3005202245</c:v>
                </c:pt>
                <c:pt idx="25">
                  <c:v>33531533.005202245</c:v>
                </c:pt>
                <c:pt idx="26">
                  <c:v>335315330.05202246</c:v>
                </c:pt>
                <c:pt idx="27">
                  <c:v>3353153300.5202246</c:v>
                </c:pt>
                <c:pt idx="28">
                  <c:v>33531533005.202244</c:v>
                </c:pt>
                <c:pt idx="29">
                  <c:v>335315330052.02246</c:v>
                </c:pt>
                <c:pt idx="30">
                  <c:v>3353153300520.2246</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2.3278667147264222E-13</c:v>
                </c:pt>
                <c:pt idx="1">
                  <c:v>2.327866714726422E-12</c:v>
                </c:pt>
                <c:pt idx="2">
                  <c:v>2.3278667147264223E-11</c:v>
                </c:pt>
                <c:pt idx="3">
                  <c:v>2.3278667147264222E-10</c:v>
                </c:pt>
                <c:pt idx="4">
                  <c:v>2.3278667147264221E-9</c:v>
                </c:pt>
                <c:pt idx="5">
                  <c:v>2.3278667147264221E-8</c:v>
                </c:pt>
                <c:pt idx="6">
                  <c:v>2.3278667147264222E-7</c:v>
                </c:pt>
                <c:pt idx="7">
                  <c:v>2.3278667147264222E-6</c:v>
                </c:pt>
                <c:pt idx="8">
                  <c:v>2.3278667147264221E-5</c:v>
                </c:pt>
                <c:pt idx="9">
                  <c:v>2.3278667147264221E-4</c:v>
                </c:pt>
                <c:pt idx="10">
                  <c:v>2.3278667147264222E-3</c:v>
                </c:pt>
                <c:pt idx="11">
                  <c:v>2.3278667147264221E-2</c:v>
                </c:pt>
                <c:pt idx="12">
                  <c:v>0.23278667147264223</c:v>
                </c:pt>
                <c:pt idx="13">
                  <c:v>2.3278667147264223</c:v>
                </c:pt>
                <c:pt idx="14">
                  <c:v>23.278667147264223</c:v>
                </c:pt>
                <c:pt idx="15">
                  <c:v>232.78667147264221</c:v>
                </c:pt>
                <c:pt idx="16">
                  <c:v>2327.8667147264223</c:v>
                </c:pt>
                <c:pt idx="17">
                  <c:v>23278.667147264223</c:v>
                </c:pt>
                <c:pt idx="18">
                  <c:v>232786.67147264222</c:v>
                </c:pt>
                <c:pt idx="19">
                  <c:v>2327866.714726422</c:v>
                </c:pt>
                <c:pt idx="20">
                  <c:v>23278667.14726422</c:v>
                </c:pt>
                <c:pt idx="21">
                  <c:v>232786671.47264221</c:v>
                </c:pt>
                <c:pt idx="22">
                  <c:v>2327866714.7264223</c:v>
                </c:pt>
                <c:pt idx="23">
                  <c:v>23278667147.264221</c:v>
                </c:pt>
                <c:pt idx="24">
                  <c:v>232786671472.64221</c:v>
                </c:pt>
                <c:pt idx="25">
                  <c:v>2327866714726.4224</c:v>
                </c:pt>
                <c:pt idx="26">
                  <c:v>23278667147264.223</c:v>
                </c:pt>
                <c:pt idx="27">
                  <c:v>232786671472642.22</c:v>
                </c:pt>
                <c:pt idx="28">
                  <c:v>2327866714726422</c:v>
                </c:pt>
                <c:pt idx="29">
                  <c:v>2.327866714726422E+16</c:v>
                </c:pt>
                <c:pt idx="30">
                  <c:v>2.3278667147264221E+17</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85599864"/>
        <c:axId val="585597512"/>
      </c:scatterChart>
      <c:valAx>
        <c:axId val="5855998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512"/>
        <c:crosses val="autoZero"/>
        <c:crossBetween val="midCat"/>
      </c:valAx>
      <c:valAx>
        <c:axId val="585597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98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-17.057668506080475</c:v>
                </c:pt>
                <c:pt idx="1">
                  <c:v>-13.801205867961423</c:v>
                </c:pt>
                <c:pt idx="2">
                  <c:v>-11.300486481572344</c:v>
                </c:pt>
                <c:pt idx="3">
                  <c:v>-8.4000967341327382</c:v>
                </c:pt>
                <c:pt idx="4">
                  <c:v>-5.6978540921375176</c:v>
                </c:pt>
                <c:pt idx="5">
                  <c:v>0</c:v>
                </c:pt>
                <c:pt idx="6">
                  <c:v>5.450122461093871</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-45.657433000000765</c:v>
                </c:pt>
                <c:pt idx="1">
                  <c:v>-45.618932631081407</c:v>
                </c:pt>
                <c:pt idx="2">
                  <c:v>-45.583392394542898</c:v>
                </c:pt>
                <c:pt idx="3">
                  <c:v>-45.549196575952465</c:v>
                </c:pt>
                <c:pt idx="4">
                  <c:v>-45.514934865155055</c:v>
                </c:pt>
                <c:pt idx="5">
                  <c:v>-45.479387397437677</c:v>
                </c:pt>
                <c:pt idx="6">
                  <c:v>-45.44151044853129</c:v>
                </c:pt>
                <c:pt idx="7">
                  <c:v>-45.400422767207147</c:v>
                </c:pt>
                <c:pt idx="8">
                  <c:v>-45.355392529294022</c:v>
                </c:pt>
                <c:pt idx="9">
                  <c:v>-45.305824897214734</c:v>
                </c:pt>
                <c:pt idx="10">
                  <c:v>-45.251250169256082</c:v>
                </c:pt>
                <c:pt idx="11">
                  <c:v>-45.191312503013251</c:v>
                </c:pt>
                <c:pt idx="12">
                  <c:v>-45.125759197605475</c:v>
                </c:pt>
                <c:pt idx="13">
                  <c:v>-45.05443051945781</c:v>
                </c:pt>
                <c:pt idx="14">
                  <c:v>-44.977250056605044</c:v>
                </c:pt>
                <c:pt idx="15">
                  <c:v>-44.894215586688915</c:v>
                </c:pt>
                <c:pt idx="16">
                  <c:v>-44.805390443953002</c:v>
                </c:pt>
                <c:pt idx="17">
                  <c:v>-44.710895370783419</c:v>
                </c:pt>
                <c:pt idx="18">
                  <c:v>-44.610900839461351</c:v>
                </c:pt>
                <c:pt idx="19">
                  <c:v>-44.505619830021715</c:v>
                </c:pt>
                <c:pt idx="20">
                  <c:v>-44.395301050279386</c:v>
                </c:pt>
                <c:pt idx="21">
                  <c:v>-44.280222584252442</c:v>
                </c:pt>
                <c:pt idx="22">
                  <c:v>-44.160685955411964</c:v>
                </c:pt>
                <c:pt idx="23">
                  <c:v>-44.037010591374951</c:v>
                </c:pt>
                <c:pt idx="24">
                  <c:v>-43.909528676806417</c:v>
                </c:pt>
                <c:pt idx="25">
                  <c:v>-43.778580381513052</c:v>
                </c:pt>
                <c:pt idx="26">
                  <c:v>-43.644509450877536</c:v>
                </c:pt>
                <c:pt idx="27">
                  <c:v>-43.507659145962748</c:v>
                </c:pt>
                <c:pt idx="28">
                  <c:v>-43.368368520802619</c:v>
                </c:pt>
                <c:pt idx="29">
                  <c:v>-43.226969024572782</c:v>
                </c:pt>
                <c:pt idx="30">
                  <c:v>-43.083781416525142</c:v>
                </c:pt>
                <c:pt idx="31">
                  <c:v>-42.939112981733217</c:v>
                </c:pt>
                <c:pt idx="32">
                  <c:v>-42.793255035907521</c:v>
                </c:pt>
                <c:pt idx="33">
                  <c:v>-42.646480707687317</c:v>
                </c:pt>
                <c:pt idx="34">
                  <c:v>-42.499042987024097</c:v>
                </c:pt>
                <c:pt idx="35">
                  <c:v>-42.351173028439575</c:v>
                </c:pt>
                <c:pt idx="36">
                  <c:v>-42.203078698127797</c:v>
                </c:pt>
                <c:pt idx="37">
                  <c:v>-42.054943354050351</c:v>
                </c:pt>
                <c:pt idx="38">
                  <c:v>-41.906924848360006</c:v>
                </c:pt>
                <c:pt idx="39">
                  <c:v>-41.759154741662314</c:v>
                </c:pt>
                <c:pt idx="40">
                  <c:v>-41.611737718814538</c:v>
                </c:pt>
                <c:pt idx="41">
                  <c:v>-41.464751196137456</c:v>
                </c:pt>
                <c:pt idx="42">
                  <c:v>-41.318245110101515</c:v>
                </c:pt>
                <c:pt idx="43">
                  <c:v>-41.172241877723962</c:v>
                </c:pt>
                <c:pt idx="44">
                  <c:v>-41.026736519107487</c:v>
                </c:pt>
                <c:pt idx="45">
                  <c:v>-40.881696932714618</c:v>
                </c:pt>
                <c:pt idx="46">
                  <c:v>-40.737064314176081</c:v>
                </c:pt>
                <c:pt idx="47">
                  <c:v>-40.592753709591875</c:v>
                </c:pt>
                <c:pt idx="48">
                  <c:v>-40.448654694480496</c:v>
                </c:pt>
                <c:pt idx="49">
                  <c:v>-40.304632169705002</c:v>
                </c:pt>
                <c:pt idx="50">
                  <c:v>-40.160527265894217</c:v>
                </c:pt>
                <c:pt idx="51">
                  <c:v>-40.016158348048918</c:v>
                </c:pt>
                <c:pt idx="52">
                  <c:v>-39.871322112213718</c:v>
                </c:pt>
                <c:pt idx="53">
                  <c:v>-39.725794766273538</c:v>
                </c:pt>
                <c:pt idx="54">
                  <c:v>-39.579333287114764</c:v>
                </c:pt>
                <c:pt idx="55">
                  <c:v>-39.431676746573316</c:v>
                </c:pt>
                <c:pt idx="56">
                  <c:v>-39.282547698775645</c:v>
                </c:pt>
                <c:pt idx="57">
                  <c:v>-39.131653621658117</c:v>
                </c:pt>
                <c:pt idx="58">
                  <c:v>-38.978688405632198</c:v>
                </c:pt>
                <c:pt idx="59">
                  <c:v>-38.82333388254564</c:v>
                </c:pt>
                <c:pt idx="60">
                  <c:v>-38.665261388273322</c:v>
                </c:pt>
                <c:pt idx="61">
                  <c:v>-38.504133352447035</c:v>
                </c:pt>
                <c:pt idx="62">
                  <c:v>-38.339604909023791</c:v>
                </c:pt>
                <c:pt idx="63">
                  <c:v>-38.171325521567162</c:v>
                </c:pt>
                <c:pt idx="64">
                  <c:v>-37.998940617301102</c:v>
                </c:pt>
                <c:pt idx="65">
                  <c:v>-37.822093224176363</c:v>
                </c:pt>
                <c:pt idx="66">
                  <c:v>-37.640425605373537</c:v>
                </c:pt>
                <c:pt idx="67">
                  <c:v>-37.453580885845554</c:v>
                </c:pt>
                <c:pt idx="68">
                  <c:v>-37.261204665685277</c:v>
                </c:pt>
                <c:pt idx="69">
                  <c:v>-37.062946615287743</c:v>
                </c:pt>
                <c:pt idx="70">
                  <c:v>-36.858462047454964</c:v>
                </c:pt>
                <c:pt idx="71">
                  <c:v>-36.647413461775919</c:v>
                </c:pt>
                <c:pt idx="72">
                  <c:v>-36.429472056793756</c:v>
                </c:pt>
                <c:pt idx="73">
                  <c:v>-36.204319205656674</c:v>
                </c:pt>
                <c:pt idx="74">
                  <c:v>-35.971647891127816</c:v>
                </c:pt>
                <c:pt idx="75">
                  <c:v>-35.731164096013678</c:v>
                </c:pt>
                <c:pt idx="76">
                  <c:v>-35.482588145251349</c:v>
                </c:pt>
                <c:pt idx="77">
                  <c:v>-35.225655996076078</c:v>
                </c:pt>
                <c:pt idx="78">
                  <c:v>-34.960120472874401</c:v>
                </c:pt>
                <c:pt idx="79">
                  <c:v>-34.685752443507099</c:v>
                </c:pt>
                <c:pt idx="80">
                  <c:v>-34.402341934070932</c:v>
                </c:pt>
                <c:pt idx="81">
                  <c:v>-34.109699179247407</c:v>
                </c:pt>
                <c:pt idx="82">
                  <c:v>-33.807655605570822</c:v>
                </c:pt>
                <c:pt idx="83">
                  <c:v>-33.496064745127342</c:v>
                </c:pt>
                <c:pt idx="84">
                  <c:v>-33.174803077380957</c:v>
                </c:pt>
                <c:pt idx="85">
                  <c:v>-32.843770797002264</c:v>
                </c:pt>
                <c:pt idx="86">
                  <c:v>-32.502892505758489</c:v>
                </c:pt>
                <c:pt idx="87">
                  <c:v>-32.15211782670508</c:v>
                </c:pt>
                <c:pt idx="88">
                  <c:v>-31.791421939100573</c:v>
                </c:pt>
                <c:pt idx="89">
                  <c:v>-31.420806032648755</c:v>
                </c:pt>
                <c:pt idx="90">
                  <c:v>-31.040297679853406</c:v>
                </c:pt>
                <c:pt idx="91">
                  <c:v>-30.649951125452972</c:v>
                </c:pt>
                <c:pt idx="92">
                  <c:v>-30.249847492084406</c:v>
                </c:pt>
                <c:pt idx="93">
                  <c:v>-29.840094901507111</c:v>
                </c:pt>
                <c:pt idx="94">
                  <c:v>-29.420828510899511</c:v>
                </c:pt>
                <c:pt idx="95">
                  <c:v>-28.992210463922923</c:v>
                </c:pt>
                <c:pt idx="96">
                  <c:v>-28.554429756429034</c:v>
                </c:pt>
                <c:pt idx="97">
                  <c:v>-28.107702016868924</c:v>
                </c:pt>
                <c:pt idx="98">
                  <c:v>-27.652269201643804</c:v>
                </c:pt>
                <c:pt idx="99">
                  <c:v>-27.188399205818847</c:v>
                </c:pt>
                <c:pt idx="100">
                  <c:v>-26.716385389803865</c:v>
                </c:pt>
                <c:pt idx="101">
                  <c:v>-26.236546022785987</c:v>
                </c:pt>
                <c:pt idx="102">
                  <c:v>-25.749223643881432</c:v>
                </c:pt>
                <c:pt idx="103">
                  <c:v>-25.254784342155236</c:v>
                </c:pt>
                <c:pt idx="104">
                  <c:v>-24.7536169568397</c:v>
                </c:pt>
                <c:pt idx="105">
                  <c:v>-24.246132199263908</c:v>
                </c:pt>
                <c:pt idx="106">
                  <c:v>-23.732761698188629</c:v>
                </c:pt>
                <c:pt idx="107">
                  <c:v>-23.213956970422693</c:v>
                </c:pt>
                <c:pt idx="108">
                  <c:v>-22.690188318778638</c:v>
                </c:pt>
                <c:pt idx="109">
                  <c:v>-22.161943659607335</c:v>
                </c:pt>
                <c:pt idx="110">
                  <c:v>-21.629727282333011</c:v>
                </c:pt>
                <c:pt idx="111">
                  <c:v>-21.094058543591839</c:v>
                </c:pt>
                <c:pt idx="112">
                  <c:v>-20.555470498759338</c:v>
                </c:pt>
                <c:pt idx="113">
                  <c:v>-20.01450847383316</c:v>
                </c:pt>
                <c:pt idx="114">
                  <c:v>-19.471728580820127</c:v>
                </c:pt>
                <c:pt idx="115">
                  <c:v>-18.927696179957721</c:v>
                </c:pt>
                <c:pt idx="116">
                  <c:v>-18.382984292282494</c:v>
                </c:pt>
                <c:pt idx="117">
                  <c:v>-17.83817196623918</c:v>
                </c:pt>
                <c:pt idx="118">
                  <c:v>-17.293842602206496</c:v>
                </c:pt>
                <c:pt idx="119">
                  <c:v>-16.750582238997143</c:v>
                </c:pt>
                <c:pt idx="120">
                  <c:v>-16.208977806571458</c:v>
                </c:pt>
                <c:pt idx="121">
                  <c:v>-15.669615349385881</c:v>
                </c:pt>
                <c:pt idx="122">
                  <c:v>-15.133078224979299</c:v>
                </c:pt>
                <c:pt idx="123">
                  <c:v>-14.599945282581968</c:v>
                </c:pt>
                <c:pt idx="124">
                  <c:v>-14.070789026713694</c:v>
                </c:pt>
                <c:pt idx="125">
                  <c:v>-13.546173770919584</c:v>
                </c:pt>
                <c:pt idx="126">
                  <c:v>-13.026653786973572</c:v>
                </c:pt>
                <c:pt idx="127">
                  <c:v>-12.512771455061735</c:v>
                </c:pt>
                <c:pt idx="128">
                  <c:v>-12.005055420639101</c:v>
                </c:pt>
                <c:pt idx="129">
                  <c:v>-11.50401876383558</c:v>
                </c:pt>
                <c:pt idx="130">
                  <c:v>-11.010157187468293</c:v>
                </c:pt>
                <c:pt idx="131">
                  <c:v>-10.523947229899631</c:v>
                </c:pt>
                <c:pt idx="132">
                  <c:v>-10.045844509161745</c:v>
                </c:pt>
                <c:pt idx="133">
                  <c:v>-9.5762820049504693</c:v>
                </c:pt>
                <c:pt idx="134">
                  <c:v>-9.1156683852730609</c:v>
                </c:pt>
                <c:pt idx="135">
                  <c:v>-8.6643863847161562</c:v>
                </c:pt>
                <c:pt idx="136">
                  <c:v>-8.2227912414820725</c:v>
                </c:pt>
                <c:pt idx="137">
                  <c:v>-7.7912092005234257</c:v>
                </c:pt>
                <c:pt idx="138">
                  <c:v>-7.3699360902877009</c:v>
                </c:pt>
                <c:pt idx="139">
                  <c:v>-6.9592359807654161</c:v>
                </c:pt>
                <c:pt idx="140">
                  <c:v>-6.5593399307171163</c:v>
                </c:pt>
                <c:pt idx="141">
                  <c:v>-6.1704448321363445</c:v>
                </c:pt>
                <c:pt idx="142">
                  <c:v>-5.7927123601875197</c:v>
                </c:pt>
                <c:pt idx="143">
                  <c:v>-5.4262680370393896</c:v>
                </c:pt>
                <c:pt idx="144">
                  <c:v>-5.0712004181966011</c:v>
                </c:pt>
                <c:pt idx="145">
                  <c:v>-4.7275604101136723</c:v>
                </c:pt>
                <c:pt idx="146">
                  <c:v>-4.3953607280574598</c:v>
                </c:pt>
                <c:pt idx="147">
                  <c:v>-4.0745755033660211</c:v>
                </c:pt>
                <c:pt idx="148">
                  <c:v>-3.7651400494335516</c:v>
                </c:pt>
                <c:pt idx="149">
                  <c:v>-3.4669507959328865</c:v>
                </c:pt>
                <c:pt idx="150">
                  <c:v>-3.1798654009688487</c:v>
                </c:pt>
                <c:pt idx="151">
                  <c:v>-2.9037030510375121</c:v>
                </c:pt>
                <c:pt idx="152">
                  <c:v>-2.6382449588482522</c:v>
                </c:pt>
                <c:pt idx="153">
                  <c:v>-2.3832350692472528</c:v>
                </c:pt>
                <c:pt idx="154">
                  <c:v>-2.1383809836629322</c:v>
                </c:pt>
                <c:pt idx="155">
                  <c:v>-1.9033551136755464</c:v>
                </c:pt>
                <c:pt idx="156">
                  <c:v>-1.6777960744950264</c:v>
                </c:pt>
                <c:pt idx="157">
                  <c:v>-1.46131032931289</c:v>
                </c:pt>
                <c:pt idx="158">
                  <c:v>-1.2534740956758883</c:v>
                </c:pt>
                <c:pt idx="159">
                  <c:v>-1.0538355252108198</c:v>
                </c:pt>
                <c:pt idx="160">
                  <c:v>-0.86191716821175046</c:v>
                </c:pt>
                <c:pt idx="161">
                  <c:v>-0.67721873478267247</c:v>
                </c:pt>
                <c:pt idx="162">
                  <c:v>-0.49922016441043943</c:v>
                </c:pt>
                <c:pt idx="163">
                  <c:v>-0.32738501602458914</c:v>
                </c:pt>
                <c:pt idx="164">
                  <c:v>-0.16116419078248706</c:v>
                </c:pt>
                <c:pt idx="165">
                  <c:v>0</c:v>
                </c:pt>
                <c:pt idx="166">
                  <c:v>0.15666940917028427</c:v>
                </c:pt>
                <c:pt idx="167">
                  <c:v>0.30940525752948433</c:v>
                </c:pt>
                <c:pt idx="168">
                  <c:v>0.45876295412589491</c:v>
                </c:pt>
                <c:pt idx="169">
                  <c:v>0.60528651990409876</c:v>
                </c:pt>
                <c:pt idx="170">
                  <c:v>0.74950260138052582</c:v>
                </c:pt>
                <c:pt idx="171">
                  <c:v>0.89191406083446734</c:v>
                </c:pt>
                <c:pt idx="172">
                  <c:v>1.0329931293217576</c:v>
                </c:pt>
                <c:pt idx="173">
                  <c:v>1.1731741086365393</c:v>
                </c:pt>
                <c:pt idx="174">
                  <c:v>1.3128456081647379</c:v>
                </c:pt>
                <c:pt idx="175">
                  <c:v>1.4523423023910607</c:v>
                </c:pt>
                <c:pt idx="176">
                  <c:v>1.5919361946395614</c:v>
                </c:pt>
                <c:pt idx="177">
                  <c:v>1.7318273724459945</c:v>
                </c:pt>
                <c:pt idx="178">
                  <c:v>1.8721342397784049</c:v>
                </c:pt>
                <c:pt idx="179">
                  <c:v>2.0128832111405837</c:v>
                </c:pt>
                <c:pt idx="180">
                  <c:v>2.1539978524112513</c:v>
                </c:pt>
                <c:pt idx="181">
                  <c:v>2.2952874530900065</c:v>
                </c:pt>
                <c:pt idx="182">
                  <c:v>2.4364350144392932</c:v>
                </c:pt>
                <c:pt idx="183">
                  <c:v>2.5769846378298649</c:v>
                </c:pt>
                <c:pt idx="184">
                  <c:v>2.7163282974153744</c:v>
                </c:pt>
                <c:pt idx="185">
                  <c:v>2.8536919810799959</c:v>
                </c:pt>
                <c:pt idx="186">
                  <c:v>2.9881211834211179</c:v>
                </c:pt>
                <c:pt idx="187">
                  <c:v>3.1184657343473967</c:v>
                </c:pt>
                <c:pt idx="188">
                  <c:v>3.2433639466906499</c:v>
                </c:pt>
                <c:pt idx="189">
                  <c:v>3.3612260660482778</c:v>
                </c:pt>
                <c:pt idx="190">
                  <c:v>3.4702170058910871</c:v>
                </c:pt>
                <c:pt idx="191">
                  <c:v>3.5682383507896129</c:v>
                </c:pt>
                <c:pt idx="192">
                  <c:v>3.6529096104302554</c:v>
                </c:pt>
                <c:pt idx="193">
                  <c:v>3.7215487069107032</c:v>
                </c:pt>
                <c:pt idx="194">
                  <c:v>3.7711516776223601</c:v>
                </c:pt>
                <c:pt idx="195">
                  <c:v>3.7983715758456942</c:v>
                </c:pt>
                <c:pt idx="196">
                  <c:v>3.7994965510025929</c:v>
                </c:pt>
                <c:pt idx="197">
                  <c:v>3.7704270903280981</c:v>
                </c:pt>
                <c:pt idx="198">
                  <c:v>3.706652403541955</c:v>
                </c:pt>
                <c:pt idx="199">
                  <c:v>3.6032259319187956</c:v>
                </c:pt>
                <c:pt idx="200">
                  <c:v>3.4547399629738242</c:v>
                </c:pt>
              </c:numCache>
            </c:numRef>
          </c:yVal>
          <c:smooth val="1"/>
        </c:ser>
        <c:dLbls>
          <c:showLegendKey val="0"/>
          <c:showVal val="0"/>
          <c:showCatName val="0"/>
          <c:showSerName val="0"/>
          <c:showPercent val="0"/>
          <c:showBubbleSize val="0"/>
        </c:dLbls>
        <c:axId val="585596336"/>
        <c:axId val="585597904"/>
      </c:scatterChart>
      <c:valAx>
        <c:axId val="58559633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7904"/>
        <c:crossesAt val="-1000"/>
        <c:crossBetween val="midCat"/>
      </c:valAx>
      <c:valAx>
        <c:axId val="58559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559633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0.15882304433366709</v>
      </c>
      <c r="D59" s="55">
        <v>1</v>
      </c>
    </row>
    <row r="60" spans="1:4" s="11" customFormat="1" x14ac:dyDescent="0.25">
      <c r="A60" s="54">
        <v>2</v>
      </c>
      <c r="B60" s="56">
        <f>'Shiftfunktion bestimmen'!N2</f>
        <v>-2.2473666012154908E-3</v>
      </c>
      <c r="D60" s="55">
        <v>2</v>
      </c>
    </row>
    <row r="61" spans="1:4" s="11" customFormat="1" x14ac:dyDescent="0.25">
      <c r="A61" s="54">
        <v>3</v>
      </c>
      <c r="B61" s="56">
        <f>'Shiftfunktion bestimmen'!N3</f>
        <v>9.3797175358172126E-5</v>
      </c>
      <c r="D61" s="55">
        <v>3</v>
      </c>
    </row>
    <row r="62" spans="1:4" s="11" customFormat="1" x14ac:dyDescent="0.25">
      <c r="A62" s="54">
        <v>4</v>
      </c>
      <c r="B62" s="56">
        <f>'Shiftfunktion bestimmen'!N4</f>
        <v>-2.3672309852293566E-8</v>
      </c>
      <c r="D62" s="55">
        <v>4</v>
      </c>
    </row>
    <row r="63" spans="1:4" s="11" customFormat="1" x14ac:dyDescent="0.25">
      <c r="A63" s="54">
        <v>5</v>
      </c>
      <c r="B63" s="56">
        <f>'Shiftfunktion bestimmen'!N5</f>
        <v>-4.1530049034911423E-8</v>
      </c>
      <c r="D63" s="55">
        <v>5</v>
      </c>
    </row>
    <row r="64" spans="1:4" s="11" customFormat="1" x14ac:dyDescent="0.25">
      <c r="A64" s="54">
        <v>6</v>
      </c>
      <c r="B64" s="56">
        <f>'Shiftfunktion bestimmen'!N6</f>
        <v>-5.3257153969519148E-10</v>
      </c>
      <c r="D64" s="55">
        <v>6</v>
      </c>
    </row>
    <row r="65" spans="1:5" s="11" customFormat="1" x14ac:dyDescent="0.25">
      <c r="A65" s="54">
        <v>7</v>
      </c>
      <c r="B65" s="56">
        <f>'Shiftfunktion bestimmen'!N7</f>
        <v>-2.5905758048188227E-12</v>
      </c>
      <c r="D65" s="55">
        <v>7</v>
      </c>
    </row>
    <row r="66" spans="1:5" x14ac:dyDescent="0.25">
      <c r="A66" s="54">
        <v>8</v>
      </c>
      <c r="B66" s="56">
        <f>'Shiftfunktion bestimmen'!N8</f>
        <v>-4.5088247571058237E-15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0.15744023191796075</v>
      </c>
      <c r="D74" s="51">
        <v>1</v>
      </c>
      <c r="E74" s="56">
        <f>'Mastercurve bestimmen'!A18</f>
        <v>1.0000000000000001E-20</v>
      </c>
    </row>
    <row r="75" spans="1:5" x14ac:dyDescent="0.25">
      <c r="A75" s="50">
        <f>A74+1</f>
        <v>2</v>
      </c>
      <c r="B75" s="56">
        <f>'Mastercurve bestimmen'!C19</f>
        <v>5.3113464375571039E-2</v>
      </c>
      <c r="D75" s="51">
        <v>2</v>
      </c>
      <c r="E75" s="56">
        <f>'Mastercurve bestimmen'!A19</f>
        <v>3.9038946506297401E-14</v>
      </c>
    </row>
    <row r="76" spans="1:5" x14ac:dyDescent="0.25">
      <c r="A76" s="50">
        <f t="shared" ref="A76:A104" si="0">A75+1</f>
        <v>3</v>
      </c>
      <c r="B76" s="56">
        <f>'Mastercurve bestimmen'!C20</f>
        <v>1.5903248468841287E-2</v>
      </c>
      <c r="D76" s="51">
        <v>3</v>
      </c>
      <c r="E76" s="56">
        <f>'Mastercurve bestimmen'!A20</f>
        <v>4.3276437088188502E-13</v>
      </c>
    </row>
    <row r="77" spans="1:5" x14ac:dyDescent="0.25">
      <c r="A77" s="50">
        <f t="shared" si="0"/>
        <v>4</v>
      </c>
      <c r="B77" s="56">
        <f>'Mastercurve bestimmen'!C21</f>
        <v>2.9724136400935491E-2</v>
      </c>
      <c r="D77" s="51">
        <v>4</v>
      </c>
      <c r="E77" s="56">
        <f>'Mastercurve bestimmen'!A21</f>
        <v>4.7973886968128502E-12</v>
      </c>
    </row>
    <row r="78" spans="1:5" x14ac:dyDescent="0.25">
      <c r="A78" s="50">
        <f t="shared" si="0"/>
        <v>5</v>
      </c>
      <c r="B78" s="56">
        <f>'Mastercurve bestimmen'!C22</f>
        <v>3.4474581072901148E-2</v>
      </c>
      <c r="D78" s="51">
        <v>5</v>
      </c>
      <c r="E78" s="56">
        <f>'Mastercurve bestimmen'!A22</f>
        <v>5.31812225239524E-11</v>
      </c>
    </row>
    <row r="79" spans="1:5" x14ac:dyDescent="0.25">
      <c r="A79" s="50">
        <f t="shared" si="0"/>
        <v>6</v>
      </c>
      <c r="B79" s="56">
        <f>'Mastercurve bestimmen'!C23</f>
        <v>3.8163539597684065E-2</v>
      </c>
      <c r="D79" s="51">
        <v>6</v>
      </c>
      <c r="E79" s="56">
        <f>'Mastercurve bestimmen'!A23</f>
        <v>5.8953789402578301E-10</v>
      </c>
    </row>
    <row r="80" spans="1:5" x14ac:dyDescent="0.25">
      <c r="A80" s="50">
        <f t="shared" si="0"/>
        <v>7</v>
      </c>
      <c r="B80" s="56">
        <f>'Mastercurve bestimmen'!C24</f>
        <v>3.114796028859175E-2</v>
      </c>
      <c r="D80" s="51">
        <v>7</v>
      </c>
      <c r="E80" s="56">
        <f>'Mastercurve bestimmen'!A24</f>
        <v>6.5352940755699598E-9</v>
      </c>
    </row>
    <row r="81" spans="1:5" x14ac:dyDescent="0.25">
      <c r="A81" s="50">
        <f t="shared" si="0"/>
        <v>8</v>
      </c>
      <c r="B81" s="56">
        <f>'Mastercurve bestimmen'!C25</f>
        <v>2.5944984110180327E-2</v>
      </c>
      <c r="D81" s="51">
        <v>8</v>
      </c>
      <c r="E81" s="56">
        <f>'Mastercurve bestimmen'!A25</f>
        <v>7.2446689325643296E-8</v>
      </c>
    </row>
    <row r="82" spans="1:5" x14ac:dyDescent="0.25">
      <c r="A82" s="50">
        <f t="shared" si="0"/>
        <v>9</v>
      </c>
      <c r="B82" s="56">
        <f>'Mastercurve bestimmen'!C26</f>
        <v>2.8280666339942875E-2</v>
      </c>
      <c r="D82" s="51">
        <f>A82</f>
        <v>9</v>
      </c>
      <c r="E82" s="56">
        <f>'Mastercurve bestimmen'!A26</f>
        <v>8.03104303120212E-7</v>
      </c>
    </row>
    <row r="83" spans="1:5" x14ac:dyDescent="0.25">
      <c r="A83" s="50">
        <f t="shared" si="0"/>
        <v>10</v>
      </c>
      <c r="B83" s="56">
        <f>'Mastercurve bestimmen'!C27</f>
        <v>2.7707301103179493E-2</v>
      </c>
      <c r="C83" s="11"/>
      <c r="D83" s="51">
        <f t="shared" ref="D83:D104" si="1">A83</f>
        <v>10</v>
      </c>
      <c r="E83" s="56">
        <f>'Mastercurve bestimmen'!A27</f>
        <v>8.9027742702096099E-6</v>
      </c>
    </row>
    <row r="84" spans="1:5" x14ac:dyDescent="0.25">
      <c r="A84" s="50">
        <f t="shared" si="0"/>
        <v>11</v>
      </c>
      <c r="B84" s="56">
        <f>'Mastercurve bestimmen'!C28</f>
        <v>2.6509888121377792E-2</v>
      </c>
      <c r="C84" s="11"/>
      <c r="D84" s="51">
        <f t="shared" si="1"/>
        <v>11</v>
      </c>
      <c r="E84" s="56">
        <f>'Mastercurve bestimmen'!A28</f>
        <v>9.86912775817142E-5</v>
      </c>
    </row>
    <row r="85" spans="1:5" x14ac:dyDescent="0.25">
      <c r="A85" s="50">
        <f t="shared" si="0"/>
        <v>12</v>
      </c>
      <c r="B85" s="56">
        <f>'Mastercurve bestimmen'!C29</f>
        <v>3.0096089334719207E-2</v>
      </c>
      <c r="C85" s="11"/>
      <c r="D85" s="51">
        <f t="shared" si="1"/>
        <v>12</v>
      </c>
      <c r="E85" s="56">
        <f>'Mastercurve bestimmen'!A29</f>
        <v>1.0940374286813801E-3</v>
      </c>
    </row>
    <row r="86" spans="1:5" x14ac:dyDescent="0.25">
      <c r="A86" s="50">
        <f t="shared" si="0"/>
        <v>13</v>
      </c>
      <c r="B86" s="56">
        <f>'Mastercurve bestimmen'!C30</f>
        <v>3.6902665150925024E-2</v>
      </c>
      <c r="C86" s="11"/>
      <c r="D86" s="51">
        <f t="shared" si="1"/>
        <v>13</v>
      </c>
      <c r="E86" s="56">
        <f>'Mastercurve bestimmen'!A30</f>
        <v>1.2127899493091E-2</v>
      </c>
    </row>
    <row r="87" spans="1:5" x14ac:dyDescent="0.25">
      <c r="A87" s="50">
        <f t="shared" si="0"/>
        <v>14</v>
      </c>
      <c r="B87" s="56">
        <f>'Mastercurve bestimmen'!C31</f>
        <v>3.6161796888491096E-2</v>
      </c>
      <c r="C87" s="11"/>
      <c r="D87" s="51">
        <f t="shared" si="1"/>
        <v>14</v>
      </c>
      <c r="E87" s="56">
        <f>'Mastercurve bestimmen'!A31</f>
        <v>0.13444324870292301</v>
      </c>
    </row>
    <row r="88" spans="1:5" x14ac:dyDescent="0.25">
      <c r="A88" s="50">
        <f t="shared" si="0"/>
        <v>15</v>
      </c>
      <c r="B88" s="56">
        <f>'Mastercurve bestimmen'!C32</f>
        <v>5.7659888823700683E-2</v>
      </c>
      <c r="C88" s="11"/>
      <c r="D88" s="51">
        <f t="shared" si="1"/>
        <v>15</v>
      </c>
      <c r="E88" s="56">
        <f>'Mastercurve bestimmen'!A32</f>
        <v>1.49036419143257</v>
      </c>
    </row>
    <row r="89" spans="1:5" x14ac:dyDescent="0.25">
      <c r="A89" s="50">
        <f t="shared" si="0"/>
        <v>16</v>
      </c>
      <c r="B89" s="56">
        <f>'Mastercurve bestimmen'!C33</f>
        <v>7.0138718801303929E-2</v>
      </c>
      <c r="C89" s="11"/>
      <c r="D89" s="51">
        <f t="shared" si="1"/>
        <v>16</v>
      </c>
      <c r="E89" s="56">
        <f>'Mastercurve bestimmen'!A33</f>
        <v>16.521360830937301</v>
      </c>
    </row>
    <row r="90" spans="1:5" x14ac:dyDescent="0.25">
      <c r="A90" s="50">
        <f t="shared" si="0"/>
        <v>17</v>
      </c>
      <c r="B90" s="56">
        <f>'Mastercurve bestimmen'!C34</f>
        <v>6.7659228447697881E-2</v>
      </c>
      <c r="C90" s="11"/>
      <c r="D90" s="51">
        <f t="shared" si="1"/>
        <v>17</v>
      </c>
      <c r="E90" s="56">
        <f>'Mastercurve bestimmen'!A34</f>
        <v>183.146753843879</v>
      </c>
    </row>
    <row r="91" spans="1:5" x14ac:dyDescent="0.25">
      <c r="A91" s="50">
        <f t="shared" si="0"/>
        <v>18</v>
      </c>
      <c r="B91" s="56">
        <f>'Mastercurve bestimmen'!C35</f>
        <v>6.6765944370475505E-2</v>
      </c>
      <c r="C91" s="11"/>
      <c r="D91" s="51">
        <f t="shared" si="1"/>
        <v>18</v>
      </c>
      <c r="E91" s="56">
        <f>'Mastercurve bestimmen'!A35</f>
        <v>2030.26456396616</v>
      </c>
    </row>
    <row r="92" spans="1:5" x14ac:dyDescent="0.25">
      <c r="A92" s="50">
        <f t="shared" si="0"/>
        <v>19</v>
      </c>
      <c r="B92" s="56">
        <f>'Mastercurve bestimmen'!C36</f>
        <v>4.8603939630861931E-2</v>
      </c>
      <c r="C92" s="11"/>
      <c r="D92" s="51">
        <f t="shared" si="1"/>
        <v>19</v>
      </c>
      <c r="E92" s="56">
        <f>'Mastercurve bestimmen'!A36</f>
        <v>22506.400540467101</v>
      </c>
    </row>
    <row r="93" spans="1:5" x14ac:dyDescent="0.25">
      <c r="A93" s="50">
        <f t="shared" si="0"/>
        <v>20</v>
      </c>
      <c r="B93" s="56">
        <f>'Mastercurve bestimmen'!C37</f>
        <v>3.7549192378247005E-2</v>
      </c>
      <c r="C93" s="11"/>
      <c r="D93" s="51">
        <f t="shared" si="1"/>
        <v>20</v>
      </c>
      <c r="E93" s="56">
        <f>'Mastercurve bestimmen'!A37</f>
        <v>249493.62476110301</v>
      </c>
    </row>
    <row r="94" spans="1:5" x14ac:dyDescent="0.25">
      <c r="A94" s="50">
        <f t="shared" si="0"/>
        <v>21</v>
      </c>
      <c r="B94" s="56">
        <f>'Mastercurve bestimmen'!C38</f>
        <v>7.8409043454057813E-3</v>
      </c>
      <c r="C94" s="11"/>
      <c r="D94" s="51">
        <f t="shared" si="1"/>
        <v>21</v>
      </c>
      <c r="E94" s="56">
        <f>'Mastercurve bestimmen'!A38</f>
        <v>2765749.6224023802</v>
      </c>
    </row>
    <row r="95" spans="1:5" x14ac:dyDescent="0.25">
      <c r="A95" s="50">
        <f t="shared" si="0"/>
        <v>22</v>
      </c>
      <c r="B95" s="56">
        <f>'Mastercurve bestimmen'!C39</f>
        <v>1.487119099211914E-2</v>
      </c>
      <c r="C95" s="11"/>
      <c r="D95" s="51">
        <f t="shared" si="1"/>
        <v>22</v>
      </c>
      <c r="E95" s="56">
        <f>'Mastercurve bestimmen'!A39</f>
        <v>10000000</v>
      </c>
    </row>
    <row r="96" spans="1:5" x14ac:dyDescent="0.25">
      <c r="A96" s="50">
        <f t="shared" si="0"/>
        <v>23</v>
      </c>
      <c r="B96" s="56">
        <f>'Mastercurve bestimmen'!C40</f>
        <v>3.2949113910046581E-3</v>
      </c>
      <c r="C96" s="11"/>
      <c r="D96" s="51">
        <f t="shared" si="1"/>
        <v>23</v>
      </c>
      <c r="E96" s="56">
        <f>'Mastercurve bestimmen'!A40</f>
        <v>100000000</v>
      </c>
    </row>
    <row r="97" spans="1:5" x14ac:dyDescent="0.25">
      <c r="A97" s="50">
        <f t="shared" si="0"/>
        <v>24</v>
      </c>
      <c r="B97" s="56">
        <f>'Mastercurve bestimmen'!C41</f>
        <v>4.0317394660720415E-3</v>
      </c>
      <c r="C97" s="11"/>
      <c r="D97" s="51">
        <f t="shared" si="1"/>
        <v>24</v>
      </c>
      <c r="E97" s="56">
        <f>'Mastercurve bestimmen'!A41</f>
        <v>1000000000</v>
      </c>
    </row>
    <row r="98" spans="1:5" x14ac:dyDescent="0.25">
      <c r="A98" s="50">
        <f t="shared" si="0"/>
        <v>25</v>
      </c>
      <c r="B98" s="56">
        <f>'Mastercurve bestimmen'!C42</f>
        <v>2.1502645285220883E-3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3.0564736295290245E-3</v>
      </c>
      <c r="C100" s="11"/>
      <c r="D100" s="51">
        <f t="shared" si="1"/>
        <v>27</v>
      </c>
      <c r="E100" s="56">
        <f>'Mastercurve bestimmen'!A44</f>
        <v>1000000000000</v>
      </c>
    </row>
    <row r="101" spans="1:5" x14ac:dyDescent="0.25">
      <c r="A101" s="50">
        <f t="shared" si="0"/>
        <v>28</v>
      </c>
      <c r="B101" s="56">
        <f>'Mastercurve bestimmen'!C45</f>
        <v>1.3352216676863077E-3</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7" zoomScale="120" zoomScaleNormal="120" zoomScaleSheetLayoutView="110" workbookViewId="0">
      <selection activeCell="C6" sqref="C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9149.8345482474924</v>
      </c>
      <c r="G16" s="26">
        <f>INDEX(Comparison!$AM$3:$AS$33,G14,$B$3)</f>
        <v>8820.2788795776141</v>
      </c>
      <c r="H16" s="26">
        <f>INDEX(Comparison!$AM$3:$AS$33,H14,$B$3)</f>
        <v>8533.8722605331295</v>
      </c>
      <c r="I16" s="26">
        <f>INDEX(Comparison!$AM$3:$AS$33,I14,$B$3)</f>
        <v>8273.7015747988644</v>
      </c>
      <c r="J16" s="26">
        <f>INDEX(Comparison!$AM$3:$AS$33,J14,$B$3)</f>
        <v>7979.0862222792848</v>
      </c>
      <c r="K16" s="26">
        <f>INDEX(Comparison!$AM$3:$AS$33,K14,$B$3)</f>
        <v>7625.3190133909084</v>
      </c>
      <c r="L16" s="26">
        <f>INDEX(Comparison!$AM$3:$AS$33,L14,$B$3)</f>
        <v>7251.0629198471606</v>
      </c>
      <c r="M16" s="26">
        <f>INDEX(Comparison!$AM$3:$AS$33,M14,$B$3)</f>
        <v>6924.393407013602</v>
      </c>
      <c r="N16" s="26">
        <f>INDEX(Comparison!$AM$3:$AS$33,N14,$B$3)</f>
        <v>6643.9609995540914</v>
      </c>
      <c r="O16" s="26">
        <f>INDEX(Comparison!$AM$3:$AS$33,O14,$B$3)</f>
        <v>6360.2369441944311</v>
      </c>
      <c r="P16" s="26">
        <f>INDEX(Comparison!$AM$3:$AS$33,P14,$B$3)</f>
        <v>6077.1759886859509</v>
      </c>
      <c r="Q16" s="26">
        <f>INDEX(Comparison!$AM$3:$AS$33,Q14,$B$3)</f>
        <v>5794.3492029841209</v>
      </c>
      <c r="R16" s="26">
        <f>INDEX(Comparison!$AM$3:$AS$33,R14,$B$3)</f>
        <v>5497.4610054881305</v>
      </c>
      <c r="S16" s="26">
        <f>INDEX(Comparison!$AM$3:$AS$33,S14,$B$3)</f>
        <v>5142.3629386905741</v>
      </c>
      <c r="T16" s="26">
        <f>INDEX(Comparison!$AM$3:$AS$33,T14,$B$3)</f>
        <v>4755.3271416437765</v>
      </c>
      <c r="U16" s="26">
        <f>INDEX(Comparison!$AM$3:$AS$33,U14,$B$3)</f>
        <v>4259.9552232455089</v>
      </c>
      <c r="V16" s="26">
        <f>INDEX(Comparison!$AM$3:$AS$33,V14,$B$3)</f>
        <v>3608.881023132205</v>
      </c>
      <c r="W16" s="26">
        <f>INDEX(Comparison!$AM$3:$AS$33,W14,$B$3)</f>
        <v>2894.897040918956</v>
      </c>
      <c r="X16" s="26">
        <f>INDEX(Comparison!$AM$3:$AS$33,X14,$B$3)</f>
        <v>2208.0535004045023</v>
      </c>
      <c r="Y16" s="26">
        <f>INDEX(Comparison!$AM$3:$AS$33,Y14,$B$3)</f>
        <v>1590.7510281023892</v>
      </c>
      <c r="Z16" s="26">
        <f>INDEX(Comparison!$AM$3:$AS$33,Z14,$B$3)</f>
        <v>1134.4072038150462</v>
      </c>
      <c r="AA16" s="26">
        <f>INDEX(Comparison!$AM$3:$AS$33,AA14,$B$3)</f>
        <v>828.10892034291578</v>
      </c>
      <c r="AB16" s="26">
        <f>INDEX(Comparison!$AM$3:$AS$33,AB14,$B$3)</f>
        <v>674.83435785785764</v>
      </c>
      <c r="AC16" s="26">
        <f>INDEX(Comparison!$AM$3:$AS$33,AC14,$B$3)</f>
        <v>590.63358810768784</v>
      </c>
      <c r="AD16" s="26">
        <f>INDEX(Comparison!$AM$3:$AS$33,AD14,$B$3)</f>
        <v>552.35798150339338</v>
      </c>
      <c r="AE16" s="26">
        <f>INDEX(Comparison!$AM$3:$AS$33,AE14,$B$3)</f>
        <v>523.49731143746499</v>
      </c>
      <c r="AF16" s="26">
        <f>INDEX(Comparison!$AM$3:$AS$33,AF14,$B$3)</f>
        <v>511.68260567729681</v>
      </c>
      <c r="AG16" s="26">
        <f>INDEX(Comparison!$AM$3:$AS$33,AG14,$B$3)</f>
        <v>494.48298272135173</v>
      </c>
      <c r="AH16" s="26">
        <f>INDEX(Comparison!$AM$3:$AS$33,AH14,$B$3)</f>
        <v>471.68716650538101</v>
      </c>
      <c r="AI16" s="26">
        <f>INDEX(Comparison!$AM$3:$AS$33,AI14,$B$3)</f>
        <v>468.71385881352927</v>
      </c>
      <c r="AJ16" s="26">
        <f>INDEX(Comparison!$AM$3:$AS$33,AJ14,$B$3)</f>
        <v>468.47657281171303</v>
      </c>
    </row>
    <row r="17" spans="1:36" x14ac:dyDescent="0.25">
      <c r="A17" s="14" t="s">
        <v>20</v>
      </c>
      <c r="B17" s="105">
        <v>4.5031525325238332E-2</v>
      </c>
      <c r="C17" s="18">
        <f t="shared" ref="C17:C48" si="3">ABS(B17/$B$49)</f>
        <v>4.34718283560728E-2</v>
      </c>
      <c r="D17" s="66"/>
      <c r="E17" s="65" t="s">
        <v>22</v>
      </c>
      <c r="F17" s="27">
        <f>($C$17+SUM(F18:F48))*$B$51</f>
        <v>9058.0029954048314</v>
      </c>
      <c r="G17" s="27">
        <f t="shared" ref="G17:M17" si="4">($C$17+SUM(G18:G48))*$B$51</f>
        <v>8939.0355742173906</v>
      </c>
      <c r="H17" s="27">
        <f t="shared" si="4"/>
        <v>8502.4332750886988</v>
      </c>
      <c r="I17" s="27">
        <f t="shared" si="4"/>
        <v>8278.8387239064559</v>
      </c>
      <c r="J17" s="27">
        <f t="shared" si="4"/>
        <v>7978.3726604943085</v>
      </c>
      <c r="K17" s="27">
        <f t="shared" si="4"/>
        <v>7625.4223223230783</v>
      </c>
      <c r="L17" s="27">
        <f t="shared" si="4"/>
        <v>7250.9995626640712</v>
      </c>
      <c r="M17" s="27">
        <f t="shared" si="4"/>
        <v>6924.5270599566102</v>
      </c>
      <c r="N17" s="27">
        <f t="shared" ref="N17" si="5">($C$17+SUM(N18:N48))*$B$51</f>
        <v>6643.6381357485398</v>
      </c>
      <c r="O17" s="27">
        <f t="shared" ref="O17" si="6">($C$17+SUM(O18:O48))*$B$51</f>
        <v>6360.9119526695185</v>
      </c>
      <c r="P17" s="27">
        <f t="shared" ref="P17" si="7">($C$17+SUM(P18:P48))*$B$51</f>
        <v>6076.0044030323497</v>
      </c>
      <c r="Q17" s="27">
        <f t="shared" ref="Q17" si="8">($C$17+SUM(Q18:Q48))*$B$51</f>
        <v>5796.0503589935333</v>
      </c>
      <c r="R17" s="27">
        <f t="shared" ref="R17" si="9">($C$17+SUM(R18:R48))*$B$51</f>
        <v>5495.3701747785726</v>
      </c>
      <c r="S17" s="27">
        <f t="shared" ref="S17:T17" si="10">($C$17+SUM(S18:S48))*$B$51</f>
        <v>5144.5519938146781</v>
      </c>
      <c r="T17" s="27">
        <f t="shared" si="10"/>
        <v>4753.3567719048297</v>
      </c>
      <c r="U17" s="27">
        <f t="shared" ref="U17" si="11">($C$17+SUM(U18:U48))*$B$51</f>
        <v>4261.4912146386205</v>
      </c>
      <c r="V17" s="27">
        <f t="shared" ref="V17" si="12">($C$17+SUM(V18:V48))*$B$51</f>
        <v>3607.8661914939621</v>
      </c>
      <c r="W17" s="27">
        <f t="shared" ref="W17" si="13">($C$17+SUM(W18:W48))*$B$51</f>
        <v>2895.474949494173</v>
      </c>
      <c r="X17" s="27">
        <f t="shared" ref="X17" si="14">($C$17+SUM(X18:X48))*$B$51</f>
        <v>2207.7723245971515</v>
      </c>
      <c r="Y17" s="27">
        <f t="shared" ref="Y17" si="15">($C$17+SUM(Y18:Y48))*$B$51</f>
        <v>1590.8597646212274</v>
      </c>
      <c r="Z17" s="27">
        <f t="shared" ref="Z17:AA17" si="16">($C$17+SUM(Z18:Z48))*$B$51</f>
        <v>1134.3701738853269</v>
      </c>
      <c r="AA17" s="27">
        <f t="shared" si="16"/>
        <v>828.1194797439681</v>
      </c>
      <c r="AB17" s="27">
        <f t="shared" ref="AB17" si="17">($C$17+SUM(AB18:AB48))*$B$51</f>
        <v>674.80968000920768</v>
      </c>
      <c r="AC17" s="27">
        <f t="shared" ref="AC17" si="18">($C$17+SUM(AC18:AC48))*$B$51</f>
        <v>590.67305209818346</v>
      </c>
      <c r="AD17" s="27">
        <f t="shared" ref="AD17" si="19">($C$17+SUM(AD18:AD48))*$B$51</f>
        <v>552.2988212698931</v>
      </c>
      <c r="AE17" s="27">
        <f t="shared" ref="AE17" si="20">($C$17+SUM(AE18:AE48))*$B$51</f>
        <v>523.58707617803157</v>
      </c>
      <c r="AF17" s="27">
        <f t="shared" ref="AF17" si="21">($C$17+SUM(AF18:AF48))*$B$51</f>
        <v>512.13472793699691</v>
      </c>
      <c r="AG17" s="27">
        <f t="shared" ref="AG17:AH17" si="22">($C$17+SUM(AG18:AG48))*$B$51</f>
        <v>493.23557378849233</v>
      </c>
      <c r="AH17" s="27">
        <f t="shared" si="22"/>
        <v>473.40862293008212</v>
      </c>
      <c r="AI17" s="27">
        <f t="shared" ref="AI17" si="23">($C$17+SUM(AI18:AI48))*$B$51</f>
        <v>468.11838552184156</v>
      </c>
      <c r="AJ17" s="27">
        <f t="shared" ref="AJ17" si="24">($C$17+SUM(AJ18:AJ48))*$B$51</f>
        <v>468.11773275852704</v>
      </c>
    </row>
    <row r="18" spans="1:36" x14ac:dyDescent="0.25">
      <c r="A18" s="3">
        <f>0.000000000000001/10^5</f>
        <v>1.0000000000000001E-20</v>
      </c>
      <c r="B18" s="106">
        <v>0.1630889258384422</v>
      </c>
      <c r="C18" s="18">
        <f t="shared" si="3"/>
        <v>0.15744023191796075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5.5019087224693446E-2</v>
      </c>
      <c r="C19" s="18">
        <f t="shared" si="3"/>
        <v>5.3113464375571039E-2</v>
      </c>
      <c r="D19" s="17"/>
      <c r="F19" s="3">
        <f t="shared" si="25"/>
        <v>5.1770216722916276E-2</v>
      </c>
      <c r="G19" s="3">
        <f t="shared" si="25"/>
        <v>4.1111011658984814E-2</v>
      </c>
      <c r="H19" s="3">
        <f t="shared" si="25"/>
        <v>4.0995857393837732E-3</v>
      </c>
      <c r="I19" s="3">
        <f t="shared" si="25"/>
        <v>3.9861906946213712E-13</v>
      </c>
      <c r="J19" s="3">
        <f t="shared" si="25"/>
        <v>3.011196129054483E-113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1.6473830599263072E-2</v>
      </c>
      <c r="C20" s="18">
        <f t="shared" si="3"/>
        <v>1.5903248468841287E-2</v>
      </c>
      <c r="D20" s="17"/>
      <c r="F20" s="3">
        <f t="shared" si="25"/>
        <v>1.5866542839508287E-2</v>
      </c>
      <c r="G20" s="3">
        <f t="shared" si="25"/>
        <v>1.5539981149173819E-2</v>
      </c>
      <c r="H20" s="3">
        <f t="shared" si="25"/>
        <v>1.2622119209449825E-2</v>
      </c>
      <c r="I20" s="3">
        <f t="shared" si="25"/>
        <v>1.5774302923450513E-3</v>
      </c>
      <c r="J20" s="3">
        <f t="shared" si="25"/>
        <v>1.4659837861276296E-12</v>
      </c>
      <c r="K20" s="3">
        <f t="shared" si="25"/>
        <v>7.0456176484576714E-103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3.0790589025744993E-2</v>
      </c>
      <c r="C21" s="18">
        <f t="shared" si="3"/>
        <v>2.9724136400935491E-2</v>
      </c>
      <c r="D21" s="17"/>
      <c r="F21" s="3">
        <f t="shared" si="25"/>
        <v>2.971794114752891E-2</v>
      </c>
      <c r="G21" s="3">
        <f t="shared" si="25"/>
        <v>2.9662241940644828E-2</v>
      </c>
      <c r="H21" s="3">
        <f t="shared" si="25"/>
        <v>2.9110959427828594E-2</v>
      </c>
      <c r="I21" s="3">
        <f t="shared" si="25"/>
        <v>2.4131370061305942E-2</v>
      </c>
      <c r="J21" s="3">
        <f t="shared" si="25"/>
        <v>3.6968904997189025E-3</v>
      </c>
      <c r="K21" s="3">
        <f t="shared" si="25"/>
        <v>2.632586569665882E-11</v>
      </c>
      <c r="L21" s="3">
        <f t="shared" si="25"/>
        <v>8.8276154009039287E-93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3.5711471759260878E-2</v>
      </c>
      <c r="C22" s="18">
        <f t="shared" si="3"/>
        <v>3.4474581072901148E-2</v>
      </c>
      <c r="D22" s="17"/>
      <c r="F22" s="3">
        <f t="shared" si="25"/>
        <v>3.4473932831749196E-2</v>
      </c>
      <c r="G22" s="3">
        <f t="shared" si="25"/>
        <v>3.446809920986682E-2</v>
      </c>
      <c r="H22" s="3">
        <f t="shared" si="25"/>
        <v>3.4409817257061485E-2</v>
      </c>
      <c r="I22" s="3">
        <f t="shared" si="25"/>
        <v>3.3832390504855467E-2</v>
      </c>
      <c r="J22" s="3">
        <f t="shared" si="25"/>
        <v>2.8565108138508641E-2</v>
      </c>
      <c r="K22" s="3">
        <f t="shared" si="25"/>
        <v>5.2585710735277265E-3</v>
      </c>
      <c r="L22" s="3">
        <f t="shared" si="25"/>
        <v>2.350642068022079E-10</v>
      </c>
      <c r="M22" s="3">
        <f t="shared" si="25"/>
        <v>7.4881418886117967E-84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3.9532783986385316E-2</v>
      </c>
      <c r="C23" s="18">
        <f t="shared" si="3"/>
        <v>3.8163539597684065E-2</v>
      </c>
      <c r="D23" s="17"/>
      <c r="F23" s="3">
        <f t="shared" si="25"/>
        <v>3.8163474863071381E-2</v>
      </c>
      <c r="G23" s="3">
        <f t="shared" si="25"/>
        <v>3.8162892256498486E-2</v>
      </c>
      <c r="H23" s="3">
        <f t="shared" si="25"/>
        <v>3.8157066679923558E-2</v>
      </c>
      <c r="I23" s="3">
        <f t="shared" si="25"/>
        <v>3.809885980196015E-2</v>
      </c>
      <c r="J23" s="3">
        <f t="shared" si="25"/>
        <v>3.7521652299088215E-2</v>
      </c>
      <c r="K23" s="3">
        <f t="shared" si="25"/>
        <v>3.2209331819564896E-2</v>
      </c>
      <c r="L23" s="3">
        <f t="shared" si="25"/>
        <v>6.9980867829135774E-3</v>
      </c>
      <c r="M23" s="3">
        <f t="shared" si="25"/>
        <v>1.6404213283841324E-9</v>
      </c>
      <c r="N23" s="3">
        <f t="shared" si="25"/>
        <v>8.2170558972869015E-76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3.2265497348682261E-2</v>
      </c>
      <c r="C24" s="18">
        <f t="shared" si="3"/>
        <v>3.114796028859175E-2</v>
      </c>
      <c r="D24" s="17"/>
      <c r="F24" s="3">
        <f t="shared" si="25"/>
        <v>3.1147955522477549E-2</v>
      </c>
      <c r="G24" s="3">
        <f t="shared" si="25"/>
        <v>3.1147912627482552E-2</v>
      </c>
      <c r="H24" s="3">
        <f t="shared" si="25"/>
        <v>3.1147483680781542E-2</v>
      </c>
      <c r="I24" s="3">
        <f t="shared" si="25"/>
        <v>3.1143194538651088E-2</v>
      </c>
      <c r="J24" s="3">
        <f t="shared" si="25"/>
        <v>3.1100335588760311E-2</v>
      </c>
      <c r="K24" s="3">
        <f t="shared" si="25"/>
        <v>3.0674976746487476E-2</v>
      </c>
      <c r="L24" s="3">
        <f t="shared" si="25"/>
        <v>2.6728581479784169E-2</v>
      </c>
      <c r="M24" s="3">
        <f t="shared" si="25"/>
        <v>6.7436123453489738E-3</v>
      </c>
      <c r="N24" s="3">
        <f t="shared" si="25"/>
        <v>7.0478955535342808E-9</v>
      </c>
      <c r="O24" s="3">
        <f t="shared" si="25"/>
        <v>1.0957918932418064E-68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2.6875847030190067E-2</v>
      </c>
      <c r="C25" s="18">
        <f t="shared" si="3"/>
        <v>2.5944984110180327E-2</v>
      </c>
      <c r="D25" s="17"/>
      <c r="F25" s="3">
        <f t="shared" si="25"/>
        <v>2.5944983752055142E-2</v>
      </c>
      <c r="G25" s="3">
        <f t="shared" si="25"/>
        <v>2.5944980528928713E-2</v>
      </c>
      <c r="H25" s="3">
        <f t="shared" si="25"/>
        <v>2.5944948297686416E-2</v>
      </c>
      <c r="I25" s="3">
        <f t="shared" si="25"/>
        <v>2.5944625987465681E-2</v>
      </c>
      <c r="J25" s="3">
        <f t="shared" si="25"/>
        <v>2.594140310547078E-2</v>
      </c>
      <c r="K25" s="3">
        <f t="shared" si="25"/>
        <v>2.5909196296647119E-2</v>
      </c>
      <c r="L25" s="3">
        <f t="shared" si="25"/>
        <v>2.5589319237102493E-2</v>
      </c>
      <c r="M25" s="3">
        <f t="shared" si="25"/>
        <v>2.2599906471970854E-2</v>
      </c>
      <c r="N25" s="3">
        <f t="shared" si="25"/>
        <v>6.5250784440922423E-3</v>
      </c>
      <c r="O25" s="3">
        <f t="shared" si="25"/>
        <v>2.6264956724792391E-8</v>
      </c>
      <c r="P25" s="3">
        <f t="shared" si="25"/>
        <v>2.9328254368024419E-62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2.9295329657415898E-2</v>
      </c>
      <c r="C26" s="18">
        <f t="shared" si="3"/>
        <v>2.8280666339942875E-2</v>
      </c>
      <c r="D26" s="17"/>
      <c r="F26" s="3">
        <f t="shared" si="25"/>
        <v>2.8280666304728686E-2</v>
      </c>
      <c r="G26" s="3">
        <f t="shared" si="25"/>
        <v>2.828066598780099E-2</v>
      </c>
      <c r="H26" s="3">
        <f t="shared" si="25"/>
        <v>2.8280662818524243E-2</v>
      </c>
      <c r="I26" s="3">
        <f t="shared" si="25"/>
        <v>2.8280631125776268E-2</v>
      </c>
      <c r="J26" s="3">
        <f t="shared" si="25"/>
        <v>2.8280314200249939E-2</v>
      </c>
      <c r="K26" s="3">
        <f t="shared" si="25"/>
        <v>2.8277145140318653E-2</v>
      </c>
      <c r="L26" s="3">
        <f t="shared" si="25"/>
        <v>2.8245474066110537E-2</v>
      </c>
      <c r="M26" s="3">
        <f t="shared" si="25"/>
        <v>2.793070776280638E-2</v>
      </c>
      <c r="N26" s="3">
        <f t="shared" si="25"/>
        <v>2.4969662187204106E-2</v>
      </c>
      <c r="O26" s="3">
        <f t="shared" si="25"/>
        <v>8.1417905709576452E-3</v>
      </c>
      <c r="P26" s="3">
        <f t="shared" si="25"/>
        <v>1.106095251590475E-7</v>
      </c>
      <c r="Q26" s="3">
        <f t="shared" si="25"/>
        <v>2.3687462386498599E-56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2.8701393028654005E-2</v>
      </c>
      <c r="C27" s="18">
        <f t="shared" si="3"/>
        <v>2.7707301103179493E-2</v>
      </c>
      <c r="D27" s="17"/>
      <c r="F27" s="3">
        <f t="shared" si="25"/>
        <v>2.7707301100067284E-2</v>
      </c>
      <c r="G27" s="3">
        <f t="shared" si="25"/>
        <v>2.7707301072057395E-2</v>
      </c>
      <c r="H27" s="3">
        <f t="shared" si="25"/>
        <v>2.7707300791958517E-2</v>
      </c>
      <c r="I27" s="3">
        <f t="shared" si="25"/>
        <v>2.7707297990969895E-2</v>
      </c>
      <c r="J27" s="3">
        <f t="shared" si="25"/>
        <v>2.7707269981099226E-2</v>
      </c>
      <c r="K27" s="3">
        <f t="shared" si="25"/>
        <v>2.7706989883949932E-2</v>
      </c>
      <c r="L27" s="3">
        <f t="shared" si="25"/>
        <v>2.7704189068187293E-2</v>
      </c>
      <c r="M27" s="3">
        <f t="shared" si="25"/>
        <v>2.7676196477768932E-2</v>
      </c>
      <c r="N27" s="3">
        <f t="shared" si="25"/>
        <v>2.7397821487331678E-2</v>
      </c>
      <c r="O27" s="3">
        <f t="shared" si="25"/>
        <v>2.4763515455078697E-2</v>
      </c>
      <c r="P27" s="3">
        <f t="shared" si="25"/>
        <v>9.0110408253476423E-3</v>
      </c>
      <c r="Q27" s="3">
        <f t="shared" si="25"/>
        <v>3.6677654402847319E-7</v>
      </c>
      <c r="R27" s="3">
        <f t="shared" si="25"/>
        <v>4.5779128557842392E-51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2.7461018858671804E-2</v>
      </c>
      <c r="C28" s="18">
        <f t="shared" si="3"/>
        <v>2.6509888121377792E-2</v>
      </c>
      <c r="D28" s="17"/>
      <c r="F28" s="3">
        <f t="shared" si="25"/>
        <v>2.6509888121109181E-2</v>
      </c>
      <c r="G28" s="3">
        <f t="shared" si="25"/>
        <v>2.6509888118691649E-2</v>
      </c>
      <c r="H28" s="3">
        <f t="shared" si="25"/>
        <v>2.6509888094516362E-2</v>
      </c>
      <c r="I28" s="3">
        <f t="shared" si="25"/>
        <v>2.6509887852763498E-2</v>
      </c>
      <c r="J28" s="3">
        <f t="shared" si="25"/>
        <v>2.650988543523496E-2</v>
      </c>
      <c r="K28" s="3">
        <f t="shared" si="25"/>
        <v>2.6509861259961728E-2</v>
      </c>
      <c r="L28" s="3">
        <f t="shared" si="25"/>
        <v>2.6509619508441936E-2</v>
      </c>
      <c r="M28" s="3">
        <f t="shared" si="25"/>
        <v>2.6507202114494022E-2</v>
      </c>
      <c r="N28" s="3">
        <f t="shared" si="25"/>
        <v>2.6483040295925613E-2</v>
      </c>
      <c r="O28" s="3">
        <f t="shared" si="25"/>
        <v>2.6242630121484076E-2</v>
      </c>
      <c r="P28" s="3">
        <f t="shared" si="25"/>
        <v>2.3955351006282218E-2</v>
      </c>
      <c r="Q28" s="3">
        <f t="shared" si="25"/>
        <v>9.6239716141828455E-3</v>
      </c>
      <c r="R28" s="3">
        <f t="shared" si="25"/>
        <v>1.0540768607698658E-6</v>
      </c>
      <c r="S28" s="3">
        <f t="shared" si="25"/>
        <v>2.6184949663498649E-46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3.117588701276049E-2</v>
      </c>
      <c r="C29" s="18">
        <f t="shared" si="3"/>
        <v>3.0096089334719207E-2</v>
      </c>
      <c r="D29" s="17"/>
      <c r="F29" s="3">
        <f t="shared" si="25"/>
        <v>3.0096089334691697E-2</v>
      </c>
      <c r="G29" s="3">
        <f t="shared" si="25"/>
        <v>3.0096089334444114E-2</v>
      </c>
      <c r="H29" s="3">
        <f t="shared" si="25"/>
        <v>3.0096089331968286E-2</v>
      </c>
      <c r="I29" s="3">
        <f t="shared" si="25"/>
        <v>3.009608930721001E-2</v>
      </c>
      <c r="J29" s="3">
        <f t="shared" si="25"/>
        <v>3.0096089059627254E-2</v>
      </c>
      <c r="K29" s="3">
        <f t="shared" si="25"/>
        <v>3.0096086583799801E-2</v>
      </c>
      <c r="L29" s="3">
        <f t="shared" si="25"/>
        <v>3.0096061825536442E-2</v>
      </c>
      <c r="M29" s="3">
        <f t="shared" si="25"/>
        <v>3.0095814244023036E-2</v>
      </c>
      <c r="N29" s="3">
        <f t="shared" si="25"/>
        <v>3.0093338540904672E-2</v>
      </c>
      <c r="O29" s="3">
        <f t="shared" si="25"/>
        <v>3.0068592707877907E-2</v>
      </c>
      <c r="P29" s="3">
        <f t="shared" si="25"/>
        <v>2.9822250792322671E-2</v>
      </c>
      <c r="Q29" s="3">
        <f t="shared" si="25"/>
        <v>2.7467148479698972E-2</v>
      </c>
      <c r="R29" s="3">
        <f t="shared" si="25"/>
        <v>1.206549505287933E-2</v>
      </c>
      <c r="S29" s="3">
        <f t="shared" si="25"/>
        <v>3.227459886201817E-6</v>
      </c>
      <c r="T29" s="3">
        <f t="shared" si="25"/>
        <v>6.0536586095597724E-42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3.822667145952989E-2</v>
      </c>
      <c r="C30" s="18">
        <f t="shared" si="3"/>
        <v>3.6902665150925024E-2</v>
      </c>
      <c r="D30" s="17"/>
      <c r="F30" s="3">
        <f t="shared" si="25"/>
        <v>3.6902665150921977E-2</v>
      </c>
      <c r="G30" s="3">
        <f t="shared" si="25"/>
        <v>3.6902665150894597E-2</v>
      </c>
      <c r="H30" s="3">
        <f t="shared" si="25"/>
        <v>3.6902665150620746E-2</v>
      </c>
      <c r="I30" s="3">
        <f t="shared" si="25"/>
        <v>3.6902665147882235E-2</v>
      </c>
      <c r="J30" s="3">
        <f t="shared" si="25"/>
        <v>3.6902665120497113E-2</v>
      </c>
      <c r="K30" s="3">
        <f t="shared" si="25"/>
        <v>3.6902664846645908E-2</v>
      </c>
      <c r="L30" s="3">
        <f t="shared" si="25"/>
        <v>3.6902662108134004E-2</v>
      </c>
      <c r="M30" s="3">
        <f t="shared" si="25"/>
        <v>3.6902634723026143E-2</v>
      </c>
      <c r="N30" s="3">
        <f t="shared" si="25"/>
        <v>3.6902360873065261E-2</v>
      </c>
      <c r="O30" s="3">
        <f t="shared" si="25"/>
        <v>3.6899622485225311E-2</v>
      </c>
      <c r="P30" s="3">
        <f t="shared" si="25"/>
        <v>3.68722497806485E-2</v>
      </c>
      <c r="Q30" s="3">
        <f t="shared" si="25"/>
        <v>3.6599637055191793E-2</v>
      </c>
      <c r="R30" s="3">
        <f t="shared" si="25"/>
        <v>3.3981941989861236E-2</v>
      </c>
      <c r="S30" s="3">
        <f t="shared" si="25"/>
        <v>1.6179397652337568E-2</v>
      </c>
      <c r="T30" s="3">
        <f t="shared" si="25"/>
        <v>9.6850952969242312E-6</v>
      </c>
      <c r="U30" s="3">
        <f t="shared" si="25"/>
        <v>5.7216250044442266E-38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3.7459222074857343E-2</v>
      </c>
      <c r="C31" s="18">
        <f t="shared" si="3"/>
        <v>3.6161796888491096E-2</v>
      </c>
      <c r="D31" s="17"/>
      <c r="F31" s="3">
        <f t="shared" si="25"/>
        <v>3.6161796888490826E-2</v>
      </c>
      <c r="G31" s="3">
        <f t="shared" si="25"/>
        <v>3.6161796888488404E-2</v>
      </c>
      <c r="H31" s="3">
        <f t="shared" si="25"/>
        <v>3.6161796888464194E-2</v>
      </c>
      <c r="I31" s="3">
        <f t="shared" si="25"/>
        <v>3.6161796888222124E-2</v>
      </c>
      <c r="J31" s="3">
        <f t="shared" si="25"/>
        <v>3.6161796885801352E-2</v>
      </c>
      <c r="K31" s="3">
        <f t="shared" si="25"/>
        <v>3.6161796861593654E-2</v>
      </c>
      <c r="L31" s="3">
        <f t="shared" si="25"/>
        <v>3.6161796619516663E-2</v>
      </c>
      <c r="M31" s="3">
        <f t="shared" si="25"/>
        <v>3.6161794198746842E-2</v>
      </c>
      <c r="N31" s="3">
        <f t="shared" si="25"/>
        <v>3.616176999105758E-2</v>
      </c>
      <c r="O31" s="3">
        <f t="shared" si="25"/>
        <v>3.6161527915056203E-2</v>
      </c>
      <c r="P31" s="3">
        <f t="shared" si="25"/>
        <v>3.615910724416916E-2</v>
      </c>
      <c r="Q31" s="3">
        <f t="shared" si="25"/>
        <v>3.6134909445760213E-2</v>
      </c>
      <c r="R31" s="3">
        <f t="shared" si="25"/>
        <v>3.589382030475264E-2</v>
      </c>
      <c r="S31" s="3">
        <f t="shared" si="25"/>
        <v>3.3569650510653359E-2</v>
      </c>
      <c r="T31" s="3">
        <f t="shared" si="25"/>
        <v>1.7187716276704016E-2</v>
      </c>
      <c r="U31" s="3">
        <f t="shared" si="25"/>
        <v>2.127804570656751E-5</v>
      </c>
      <c r="V31" s="3">
        <f t="shared" si="26"/>
        <v>1.7991499107902097E-34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5.9728629827739556E-2</v>
      </c>
      <c r="C32" s="18">
        <f t="shared" si="3"/>
        <v>5.7659888823700683E-2</v>
      </c>
      <c r="D32" s="17"/>
      <c r="F32" s="3">
        <f t="shared" si="25"/>
        <v>5.7659888823700642E-2</v>
      </c>
      <c r="G32" s="3">
        <f t="shared" si="25"/>
        <v>5.7659888823700302E-2</v>
      </c>
      <c r="H32" s="3">
        <f t="shared" si="25"/>
        <v>5.7659888823696819E-2</v>
      </c>
      <c r="I32" s="3">
        <f t="shared" si="25"/>
        <v>5.7659888823661992E-2</v>
      </c>
      <c r="J32" s="3">
        <f t="shared" si="25"/>
        <v>5.7659888823313799E-2</v>
      </c>
      <c r="K32" s="3">
        <f t="shared" si="25"/>
        <v>5.7659888819831841E-2</v>
      </c>
      <c r="L32" s="3">
        <f t="shared" si="25"/>
        <v>5.7659888785012228E-2</v>
      </c>
      <c r="M32" s="3">
        <f t="shared" si="25"/>
        <v>5.7659888436816131E-2</v>
      </c>
      <c r="N32" s="3">
        <f t="shared" si="25"/>
        <v>5.7659884954855259E-2</v>
      </c>
      <c r="O32" s="3">
        <f t="shared" si="25"/>
        <v>5.7659850135258081E-2</v>
      </c>
      <c r="P32" s="3">
        <f t="shared" si="25"/>
        <v>5.7659501940442795E-2</v>
      </c>
      <c r="Q32" s="3">
        <f t="shared" si="25"/>
        <v>5.7656020107934719E-2</v>
      </c>
      <c r="R32" s="3">
        <f t="shared" si="25"/>
        <v>5.7621213344745244E-2</v>
      </c>
      <c r="S32" s="3">
        <f t="shared" si="25"/>
        <v>5.7274299322809676E-2</v>
      </c>
      <c r="T32" s="3">
        <f t="shared" si="25"/>
        <v>5.3917983633570782E-2</v>
      </c>
      <c r="U32" s="3">
        <f t="shared" si="25"/>
        <v>2.9476249199708079E-2</v>
      </c>
      <c r="V32" s="3">
        <f t="shared" si="26"/>
        <v>7.028424581027416E-5</v>
      </c>
      <c r="W32" s="3">
        <f t="shared" si="26"/>
        <v>4.1755691823469021E-31</v>
      </c>
      <c r="X32" s="3">
        <f t="shared" si="26"/>
        <v>2.2871393725655456E-293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7.2655179490270214E-2</v>
      </c>
      <c r="C33" s="18">
        <f t="shared" si="3"/>
        <v>7.0138718801303929E-2</v>
      </c>
      <c r="D33" s="17"/>
      <c r="F33" s="3">
        <f t="shared" si="25"/>
        <v>7.0138718801303915E-2</v>
      </c>
      <c r="G33" s="3">
        <f t="shared" si="25"/>
        <v>7.0138718801303887E-2</v>
      </c>
      <c r="H33" s="3">
        <f t="shared" si="25"/>
        <v>7.0138718801303498E-2</v>
      </c>
      <c r="I33" s="3">
        <f t="shared" si="25"/>
        <v>7.0138718801299682E-2</v>
      </c>
      <c r="J33" s="3">
        <f t="shared" si="25"/>
        <v>7.0138718801261477E-2</v>
      </c>
      <c r="K33" s="3">
        <f t="shared" si="25"/>
        <v>7.0138718800879393E-2</v>
      </c>
      <c r="L33" s="3">
        <f t="shared" si="25"/>
        <v>7.0138718797058588E-2</v>
      </c>
      <c r="M33" s="3">
        <f t="shared" si="25"/>
        <v>7.0138718758850568E-2</v>
      </c>
      <c r="N33" s="3">
        <f t="shared" si="25"/>
        <v>7.0138718376770381E-2</v>
      </c>
      <c r="O33" s="3">
        <f t="shared" si="25"/>
        <v>7.0138714555968609E-2</v>
      </c>
      <c r="P33" s="3">
        <f t="shared" si="25"/>
        <v>7.0138676347962295E-2</v>
      </c>
      <c r="Q33" s="3">
        <f t="shared" si="25"/>
        <v>7.0138294269043833E-2</v>
      </c>
      <c r="R33" s="3">
        <f t="shared" si="25"/>
        <v>7.013447359433253E-2</v>
      </c>
      <c r="S33" s="3">
        <f t="shared" si="25"/>
        <v>7.0096278292241992E-2</v>
      </c>
      <c r="T33" s="3">
        <f t="shared" si="25"/>
        <v>6.9715467470106235E-2</v>
      </c>
      <c r="U33" s="3">
        <f t="shared" ref="P33:AE48" si="27">$C33*EXP(-U$15/$A33)</f>
        <v>6.6019310102359452E-2</v>
      </c>
      <c r="V33" s="3">
        <f t="shared" si="27"/>
        <v>3.8290352108119256E-2</v>
      </c>
      <c r="W33" s="3">
        <f t="shared" si="27"/>
        <v>1.6491993068475807E-4</v>
      </c>
      <c r="X33" s="3">
        <f t="shared" si="27"/>
        <v>3.623355775733973E-28</v>
      </c>
      <c r="Y33" s="3">
        <f t="shared" si="27"/>
        <v>9.4948768555585234E-265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7.0086729142667184E-2</v>
      </c>
      <c r="C34" s="18">
        <f t="shared" si="3"/>
        <v>6.7659228447697881E-2</v>
      </c>
      <c r="D34" s="17"/>
      <c r="F34" s="3">
        <f t="shared" ref="F34:O48" si="28">$C34*EXP(-F$15/$A34)</f>
        <v>6.7659228447697881E-2</v>
      </c>
      <c r="G34" s="3">
        <f t="shared" si="28"/>
        <v>6.7659228447697881E-2</v>
      </c>
      <c r="H34" s="3">
        <f t="shared" si="28"/>
        <v>6.7659228447697839E-2</v>
      </c>
      <c r="I34" s="3">
        <f t="shared" si="28"/>
        <v>6.7659228447697506E-2</v>
      </c>
      <c r="J34" s="3">
        <f t="shared" si="28"/>
        <v>6.7659228447694189E-2</v>
      </c>
      <c r="K34" s="3">
        <f t="shared" si="28"/>
        <v>6.7659228447660938E-2</v>
      </c>
      <c r="L34" s="3">
        <f t="shared" si="28"/>
        <v>6.7659228447328454E-2</v>
      </c>
      <c r="M34" s="3">
        <f t="shared" si="28"/>
        <v>6.7659228444003613E-2</v>
      </c>
      <c r="N34" s="3">
        <f t="shared" si="28"/>
        <v>6.7659228410755251E-2</v>
      </c>
      <c r="O34" s="3">
        <f t="shared" si="28"/>
        <v>6.7659228078271572E-2</v>
      </c>
      <c r="P34" s="3">
        <f t="shared" si="27"/>
        <v>6.7659224753434943E-2</v>
      </c>
      <c r="Q34" s="3">
        <f t="shared" si="27"/>
        <v>6.7659191505077515E-2</v>
      </c>
      <c r="R34" s="3">
        <f t="shared" si="27"/>
        <v>6.7658859022401957E-2</v>
      </c>
      <c r="S34" s="3">
        <f t="shared" si="27"/>
        <v>6.7655534285506636E-2</v>
      </c>
      <c r="T34" s="3">
        <f t="shared" si="27"/>
        <v>6.7622295900942778E-2</v>
      </c>
      <c r="U34" s="3">
        <f t="shared" si="27"/>
        <v>6.7290808862828719E-2</v>
      </c>
      <c r="V34" s="3">
        <f t="shared" si="27"/>
        <v>6.4064009857548426E-2</v>
      </c>
      <c r="W34" s="3">
        <f t="shared" si="27"/>
        <v>3.9192034962211464E-2</v>
      </c>
      <c r="X34" s="3">
        <f t="shared" si="27"/>
        <v>2.8776287890528942E-4</v>
      </c>
      <c r="Y34" s="3">
        <f t="shared" si="27"/>
        <v>1.3104013385021567E-25</v>
      </c>
      <c r="Z34" s="3">
        <f t="shared" si="27"/>
        <v>5.0245816879523944E-239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6.9161395517023799E-2</v>
      </c>
      <c r="C35" s="18">
        <f t="shared" si="3"/>
        <v>6.6765944370475505E-2</v>
      </c>
      <c r="D35" s="17"/>
      <c r="F35" s="3">
        <f t="shared" si="28"/>
        <v>6.6765944370475505E-2</v>
      </c>
      <c r="G35" s="3">
        <f t="shared" si="28"/>
        <v>6.6765944370475505E-2</v>
      </c>
      <c r="H35" s="3">
        <f t="shared" si="28"/>
        <v>6.6765944370475505E-2</v>
      </c>
      <c r="I35" s="3">
        <f t="shared" si="28"/>
        <v>6.6765944370475477E-2</v>
      </c>
      <c r="J35" s="3">
        <f t="shared" si="28"/>
        <v>6.6765944370475172E-2</v>
      </c>
      <c r="K35" s="3">
        <f t="shared" si="28"/>
        <v>6.6765944370472216E-2</v>
      </c>
      <c r="L35" s="3">
        <f t="shared" si="28"/>
        <v>6.6765944370442629E-2</v>
      </c>
      <c r="M35" s="3">
        <f t="shared" si="28"/>
        <v>6.6765944370146643E-2</v>
      </c>
      <c r="N35" s="3">
        <f t="shared" si="28"/>
        <v>6.6765944367186969E-2</v>
      </c>
      <c r="O35" s="3">
        <f t="shared" si="28"/>
        <v>6.6765944337590158E-2</v>
      </c>
      <c r="P35" s="3">
        <f t="shared" si="27"/>
        <v>6.6765944041622088E-2</v>
      </c>
      <c r="Q35" s="3">
        <f t="shared" si="27"/>
        <v>6.6765941081941393E-2</v>
      </c>
      <c r="R35" s="3">
        <f t="shared" si="27"/>
        <v>6.6765911485141688E-2</v>
      </c>
      <c r="S35" s="3">
        <f t="shared" si="27"/>
        <v>6.6765615517866195E-2</v>
      </c>
      <c r="T35" s="3">
        <f t="shared" si="27"/>
        <v>6.6762655917270181E-2</v>
      </c>
      <c r="U35" s="3">
        <f t="shared" si="27"/>
        <v>6.6733067126010195E-2</v>
      </c>
      <c r="V35" s="3">
        <f t="shared" si="27"/>
        <v>6.6437899501494993E-2</v>
      </c>
      <c r="W35" s="3">
        <f t="shared" si="27"/>
        <v>6.3557084540029035E-2</v>
      </c>
      <c r="X35" s="3">
        <f t="shared" si="27"/>
        <v>4.0798547914900778E-2</v>
      </c>
      <c r="Y35" s="3">
        <f t="shared" si="27"/>
        <v>4.8467664729075086E-4</v>
      </c>
      <c r="Z35" s="3">
        <f t="shared" si="27"/>
        <v>2.7134759956702111E-23</v>
      </c>
      <c r="AA35" s="3">
        <f t="shared" si="27"/>
        <v>8.2085202488643144E-216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5.0347768225114511E-2</v>
      </c>
      <c r="C36" s="18">
        <f t="shared" si="3"/>
        <v>4.8603939630861931E-2</v>
      </c>
      <c r="D36" s="17"/>
      <c r="F36" s="3">
        <f t="shared" si="28"/>
        <v>4.8603939630861931E-2</v>
      </c>
      <c r="G36" s="3">
        <f t="shared" si="28"/>
        <v>4.8603939630861931E-2</v>
      </c>
      <c r="H36" s="3">
        <f t="shared" si="28"/>
        <v>4.8603939630861931E-2</v>
      </c>
      <c r="I36" s="3">
        <f t="shared" si="28"/>
        <v>4.8603939630861931E-2</v>
      </c>
      <c r="J36" s="3">
        <f t="shared" si="28"/>
        <v>4.860393963086191E-2</v>
      </c>
      <c r="K36" s="3">
        <f t="shared" si="28"/>
        <v>4.8603939630861716E-2</v>
      </c>
      <c r="L36" s="3">
        <f t="shared" si="28"/>
        <v>4.8603939630859773E-2</v>
      </c>
      <c r="M36" s="3">
        <f t="shared" si="28"/>
        <v>4.8603939630840337E-2</v>
      </c>
      <c r="N36" s="3">
        <f t="shared" si="28"/>
        <v>4.8603939630645972E-2</v>
      </c>
      <c r="O36" s="3">
        <f t="shared" si="28"/>
        <v>4.8603939628702374E-2</v>
      </c>
      <c r="P36" s="3">
        <f t="shared" si="27"/>
        <v>4.8603939609266324E-2</v>
      </c>
      <c r="Q36" s="3">
        <f t="shared" si="27"/>
        <v>4.8603939414905852E-2</v>
      </c>
      <c r="R36" s="3">
        <f t="shared" si="27"/>
        <v>4.8603937471301213E-2</v>
      </c>
      <c r="S36" s="3">
        <f t="shared" si="27"/>
        <v>4.8603918035259056E-2</v>
      </c>
      <c r="T36" s="3">
        <f t="shared" si="27"/>
        <v>4.8603723675264922E-2</v>
      </c>
      <c r="U36" s="3">
        <f t="shared" si="27"/>
        <v>4.8601780118070044E-2</v>
      </c>
      <c r="V36" s="3">
        <f t="shared" si="27"/>
        <v>4.858234882013291E-2</v>
      </c>
      <c r="W36" s="3">
        <f t="shared" si="27"/>
        <v>4.8388462610226113E-2</v>
      </c>
      <c r="X36" s="3">
        <f t="shared" si="27"/>
        <v>4.6491652715632298E-2</v>
      </c>
      <c r="Y36" s="3">
        <f t="shared" si="27"/>
        <v>3.1167832084524644E-2</v>
      </c>
      <c r="Z36" s="3">
        <f t="shared" si="27"/>
        <v>5.715085074264319E-4</v>
      </c>
      <c r="AA36" s="3">
        <f t="shared" si="27"/>
        <v>2.4557476749800121E-21</v>
      </c>
      <c r="AB36" s="3">
        <f t="shared" si="27"/>
        <v>5.2698003318163587E-195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3.8896395009506569E-2</v>
      </c>
      <c r="C37" s="18">
        <f t="shared" si="3"/>
        <v>3.7549192378247005E-2</v>
      </c>
      <c r="D37" s="17"/>
      <c r="F37" s="3">
        <f t="shared" si="28"/>
        <v>3.7549192378247005E-2</v>
      </c>
      <c r="G37" s="3">
        <f t="shared" si="28"/>
        <v>3.7549192378247005E-2</v>
      </c>
      <c r="H37" s="3">
        <f t="shared" si="28"/>
        <v>3.7549192378247005E-2</v>
      </c>
      <c r="I37" s="3">
        <f t="shared" si="28"/>
        <v>3.7549192378247005E-2</v>
      </c>
      <c r="J37" s="3">
        <f t="shared" si="28"/>
        <v>3.7549192378247005E-2</v>
      </c>
      <c r="K37" s="3">
        <f t="shared" si="28"/>
        <v>3.7549192378246991E-2</v>
      </c>
      <c r="L37" s="3">
        <f t="shared" si="28"/>
        <v>3.7549192378246853E-2</v>
      </c>
      <c r="M37" s="3">
        <f t="shared" si="28"/>
        <v>3.7549192378245499E-2</v>
      </c>
      <c r="N37" s="3">
        <f t="shared" si="28"/>
        <v>3.7549192378231955E-2</v>
      </c>
      <c r="O37" s="3">
        <f t="shared" si="28"/>
        <v>3.7549192378096501E-2</v>
      </c>
      <c r="P37" s="3">
        <f t="shared" si="27"/>
        <v>3.7549192376741987E-2</v>
      </c>
      <c r="Q37" s="3">
        <f t="shared" si="27"/>
        <v>3.7549192363196843E-2</v>
      </c>
      <c r="R37" s="3">
        <f t="shared" si="27"/>
        <v>3.7549192227745394E-2</v>
      </c>
      <c r="S37" s="3">
        <f t="shared" si="27"/>
        <v>3.7549190873230928E-2</v>
      </c>
      <c r="T37" s="3">
        <f t="shared" si="27"/>
        <v>3.7549177328088955E-2</v>
      </c>
      <c r="U37" s="3">
        <f t="shared" si="27"/>
        <v>3.7549041876937951E-2</v>
      </c>
      <c r="V37" s="3">
        <f t="shared" si="27"/>
        <v>3.7547687392301327E-2</v>
      </c>
      <c r="W37" s="3">
        <f t="shared" si="27"/>
        <v>3.7534145232918564E-2</v>
      </c>
      <c r="X37" s="3">
        <f t="shared" si="27"/>
        <v>3.7398991979153924E-2</v>
      </c>
      <c r="Y37" s="3">
        <f t="shared" si="27"/>
        <v>3.6073938722970045E-2</v>
      </c>
      <c r="Z37" s="3">
        <f t="shared" si="27"/>
        <v>2.5149550542220026E-2</v>
      </c>
      <c r="AA37" s="3">
        <f t="shared" si="27"/>
        <v>6.8217669052987812E-4</v>
      </c>
      <c r="AB37" s="3">
        <f t="shared" si="27"/>
        <v>1.4708329611084181E-19</v>
      </c>
      <c r="AC37" s="3">
        <f t="shared" si="27"/>
        <v>3.1932147994128626E-176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8.122222964969613E-3</v>
      </c>
      <c r="C38" s="18">
        <f t="shared" si="3"/>
        <v>7.8409043454057813E-3</v>
      </c>
      <c r="D38" s="17"/>
      <c r="F38" s="3">
        <f t="shared" si="28"/>
        <v>7.8409043454057813E-3</v>
      </c>
      <c r="G38" s="3">
        <f t="shared" si="28"/>
        <v>7.8409043454057813E-3</v>
      </c>
      <c r="H38" s="3">
        <f t="shared" si="28"/>
        <v>7.8409043454057813E-3</v>
      </c>
      <c r="I38" s="3">
        <f t="shared" si="28"/>
        <v>7.8409043454057813E-3</v>
      </c>
      <c r="J38" s="3">
        <f t="shared" si="28"/>
        <v>7.8409043454057813E-3</v>
      </c>
      <c r="K38" s="3">
        <f t="shared" si="28"/>
        <v>7.8409043454057813E-3</v>
      </c>
      <c r="L38" s="3">
        <f t="shared" si="28"/>
        <v>7.8409043454057779E-3</v>
      </c>
      <c r="M38" s="3">
        <f t="shared" si="28"/>
        <v>7.8409043454057518E-3</v>
      </c>
      <c r="N38" s="3">
        <f t="shared" si="28"/>
        <v>7.8409043454054968E-3</v>
      </c>
      <c r="O38" s="3">
        <f t="shared" si="28"/>
        <v>7.8409043454029468E-3</v>
      </c>
      <c r="P38" s="3">
        <f t="shared" si="27"/>
        <v>7.8409043453774308E-3</v>
      </c>
      <c r="Q38" s="3">
        <f t="shared" si="27"/>
        <v>7.8409043451222807E-3</v>
      </c>
      <c r="R38" s="3">
        <f t="shared" si="27"/>
        <v>7.84090434257078E-3</v>
      </c>
      <c r="S38" s="3">
        <f t="shared" si="27"/>
        <v>7.8409043170557663E-3</v>
      </c>
      <c r="T38" s="3">
        <f t="shared" si="27"/>
        <v>7.8409040619056361E-3</v>
      </c>
      <c r="U38" s="3">
        <f t="shared" si="27"/>
        <v>7.840901510404787E-3</v>
      </c>
      <c r="V38" s="3">
        <f t="shared" si="27"/>
        <v>7.8408759954419708E-3</v>
      </c>
      <c r="W38" s="3">
        <f t="shared" si="27"/>
        <v>7.84062085038029E-3</v>
      </c>
      <c r="X38" s="3">
        <f t="shared" si="27"/>
        <v>7.8380698563573232E-3</v>
      </c>
      <c r="Y38" s="3">
        <f t="shared" si="27"/>
        <v>7.8126055205843589E-3</v>
      </c>
      <c r="Z38" s="3">
        <f t="shared" si="27"/>
        <v>7.5624681748007478E-3</v>
      </c>
      <c r="AA38" s="3">
        <f t="shared" si="27"/>
        <v>5.4618554037536154E-3</v>
      </c>
      <c r="AB38" s="3">
        <f t="shared" si="27"/>
        <v>2.1091457077987782E-4</v>
      </c>
      <c r="AC38" s="3">
        <f t="shared" si="27"/>
        <v>1.555143370080609E-18</v>
      </c>
      <c r="AD38" s="3">
        <f t="shared" si="27"/>
        <v>7.3859936585501211E-160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1.5404744615130025E-2</v>
      </c>
      <c r="C39" s="18">
        <f t="shared" si="3"/>
        <v>1.487119099211914E-2</v>
      </c>
      <c r="D39" s="17"/>
      <c r="F39" s="3">
        <f t="shared" si="28"/>
        <v>1.487119099211914E-2</v>
      </c>
      <c r="G39" s="3">
        <f t="shared" si="28"/>
        <v>1.487119099211914E-2</v>
      </c>
      <c r="H39" s="3">
        <f t="shared" si="28"/>
        <v>1.487119099211914E-2</v>
      </c>
      <c r="I39" s="3">
        <f t="shared" si="28"/>
        <v>1.487119099211914E-2</v>
      </c>
      <c r="J39" s="3">
        <f t="shared" si="28"/>
        <v>1.487119099211914E-2</v>
      </c>
      <c r="K39" s="3">
        <f t="shared" si="28"/>
        <v>1.487119099211914E-2</v>
      </c>
      <c r="L39" s="3">
        <f t="shared" si="28"/>
        <v>1.4871190992119138E-2</v>
      </c>
      <c r="M39" s="3">
        <f t="shared" si="28"/>
        <v>1.4871190992119124E-2</v>
      </c>
      <c r="N39" s="3">
        <f t="shared" si="28"/>
        <v>1.4871190992118991E-2</v>
      </c>
      <c r="O39" s="3">
        <f t="shared" si="28"/>
        <v>1.4871190992117651E-2</v>
      </c>
      <c r="P39" s="3">
        <f t="shared" si="27"/>
        <v>1.487119099210427E-2</v>
      </c>
      <c r="Q39" s="3">
        <f t="shared" si="27"/>
        <v>1.4871190991970427E-2</v>
      </c>
      <c r="R39" s="3">
        <f t="shared" si="27"/>
        <v>1.487119099063202E-2</v>
      </c>
      <c r="S39" s="3">
        <f t="shared" si="27"/>
        <v>1.4871190977247949E-2</v>
      </c>
      <c r="T39" s="3">
        <f t="shared" si="27"/>
        <v>1.4871190843407231E-2</v>
      </c>
      <c r="U39" s="3">
        <f t="shared" si="27"/>
        <v>1.4871189505000116E-2</v>
      </c>
      <c r="V39" s="3">
        <f t="shared" si="27"/>
        <v>1.4871176120935583E-2</v>
      </c>
      <c r="W39" s="3">
        <f t="shared" si="27"/>
        <v>1.4871042280952776E-2</v>
      </c>
      <c r="X39" s="3">
        <f t="shared" si="27"/>
        <v>1.4869703947373403E-2</v>
      </c>
      <c r="Y39" s="3">
        <f t="shared" si="27"/>
        <v>1.4856327234244605E-2</v>
      </c>
      <c r="Z39" s="3">
        <f t="shared" si="27"/>
        <v>1.472322016939968E-2</v>
      </c>
      <c r="AA39" s="3">
        <f t="shared" si="27"/>
        <v>1.3456010060428701E-2</v>
      </c>
      <c r="AB39" s="3">
        <f t="shared" si="27"/>
        <v>5.4708054317345765E-3</v>
      </c>
      <c r="AC39" s="3">
        <f t="shared" si="27"/>
        <v>6.7515102652670639E-7</v>
      </c>
      <c r="AD39" s="3">
        <f t="shared" si="27"/>
        <v>5.5321960344599874E-46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3.4131273369300392E-3</v>
      </c>
      <c r="C40" s="18">
        <f t="shared" si="3"/>
        <v>3.2949113910046581E-3</v>
      </c>
      <c r="D40" s="17"/>
      <c r="F40" s="3">
        <f t="shared" si="28"/>
        <v>3.2949113910046581E-3</v>
      </c>
      <c r="G40" s="3">
        <f t="shared" si="28"/>
        <v>3.2949113910046581E-3</v>
      </c>
      <c r="H40" s="3">
        <f t="shared" si="28"/>
        <v>3.2949113910046581E-3</v>
      </c>
      <c r="I40" s="3">
        <f t="shared" si="28"/>
        <v>3.2949113910046581E-3</v>
      </c>
      <c r="J40" s="3">
        <f t="shared" si="28"/>
        <v>3.2949113910046581E-3</v>
      </c>
      <c r="K40" s="3">
        <f t="shared" si="28"/>
        <v>3.2949113910046581E-3</v>
      </c>
      <c r="L40" s="3">
        <f t="shared" si="28"/>
        <v>3.2949113910046581E-3</v>
      </c>
      <c r="M40" s="3">
        <f t="shared" si="28"/>
        <v>3.2949113910046577E-3</v>
      </c>
      <c r="N40" s="3">
        <f t="shared" si="28"/>
        <v>3.2949113910046546E-3</v>
      </c>
      <c r="O40" s="3">
        <f t="shared" si="28"/>
        <v>3.2949113910046251E-3</v>
      </c>
      <c r="P40" s="3">
        <f t="shared" si="27"/>
        <v>3.2949113910043285E-3</v>
      </c>
      <c r="Q40" s="3">
        <f t="shared" si="27"/>
        <v>3.2949113910013634E-3</v>
      </c>
      <c r="R40" s="3">
        <f t="shared" si="27"/>
        <v>3.2949113909717092E-3</v>
      </c>
      <c r="S40" s="3">
        <f t="shared" si="27"/>
        <v>3.2949113906751669E-3</v>
      </c>
      <c r="T40" s="3">
        <f t="shared" si="27"/>
        <v>3.2949113877097469E-3</v>
      </c>
      <c r="U40" s="3">
        <f t="shared" si="27"/>
        <v>3.2949113580555442E-3</v>
      </c>
      <c r="V40" s="3">
        <f t="shared" si="27"/>
        <v>3.2949110615135358E-3</v>
      </c>
      <c r="W40" s="3">
        <f t="shared" si="27"/>
        <v>3.2949080960949146E-3</v>
      </c>
      <c r="X40" s="3">
        <f t="shared" si="27"/>
        <v>3.2948784420554931E-3</v>
      </c>
      <c r="Y40" s="3">
        <f t="shared" si="27"/>
        <v>3.2945819163395654E-3</v>
      </c>
      <c r="Z40" s="3">
        <f t="shared" si="27"/>
        <v>3.2916181265203342E-3</v>
      </c>
      <c r="AA40" s="3">
        <f t="shared" si="27"/>
        <v>3.2621264748824018E-3</v>
      </c>
      <c r="AB40" s="3">
        <f t="shared" si="27"/>
        <v>2.9813591156939265E-3</v>
      </c>
      <c r="AC40" s="3">
        <f t="shared" si="27"/>
        <v>1.2121301612322134E-3</v>
      </c>
      <c r="AD40" s="3">
        <f t="shared" si="27"/>
        <v>1.4958874572522276E-7</v>
      </c>
      <c r="AE40" s="3">
        <f t="shared" si="27"/>
        <v>1.2257320708793824E-46</v>
      </c>
      <c r="AF40" s="3">
        <f t="shared" si="29"/>
        <v>0</v>
      </c>
      <c r="AG40" s="3">
        <f t="shared" si="29"/>
        <v>0</v>
      </c>
      <c r="AH40" s="3">
        <f t="shared" si="29"/>
        <v>0</v>
      </c>
      <c r="AI40" s="3">
        <f t="shared" si="29"/>
        <v>0</v>
      </c>
      <c r="AJ40" s="3">
        <f t="shared" si="29"/>
        <v>0</v>
      </c>
    </row>
    <row r="41" spans="1:36" x14ac:dyDescent="0.25">
      <c r="A41" s="3">
        <f t="shared" si="30"/>
        <v>1000000000</v>
      </c>
      <c r="B41" s="106">
        <v>4.1763915790264576E-3</v>
      </c>
      <c r="C41" s="18">
        <f t="shared" si="3"/>
        <v>4.0317394660720415E-3</v>
      </c>
      <c r="D41" s="17"/>
      <c r="F41" s="3">
        <f t="shared" si="28"/>
        <v>4.0317394660720415E-3</v>
      </c>
      <c r="G41" s="3">
        <f t="shared" si="28"/>
        <v>4.0317394660720415E-3</v>
      </c>
      <c r="H41" s="3">
        <f t="shared" si="28"/>
        <v>4.0317394660720415E-3</v>
      </c>
      <c r="I41" s="3">
        <f t="shared" si="28"/>
        <v>4.0317394660720415E-3</v>
      </c>
      <c r="J41" s="3">
        <f t="shared" si="28"/>
        <v>4.0317394660720415E-3</v>
      </c>
      <c r="K41" s="3">
        <f t="shared" si="28"/>
        <v>4.0317394660720415E-3</v>
      </c>
      <c r="L41" s="3">
        <f t="shared" si="28"/>
        <v>4.0317394660720415E-3</v>
      </c>
      <c r="M41" s="3">
        <f t="shared" si="28"/>
        <v>4.0317394660720415E-3</v>
      </c>
      <c r="N41" s="3">
        <f t="shared" si="28"/>
        <v>4.0317394660720407E-3</v>
      </c>
      <c r="O41" s="3">
        <f t="shared" si="28"/>
        <v>4.0317394660720372E-3</v>
      </c>
      <c r="P41" s="3">
        <f t="shared" si="27"/>
        <v>4.0317394660720016E-3</v>
      </c>
      <c r="Q41" s="3">
        <f t="shared" si="27"/>
        <v>4.0317394660716382E-3</v>
      </c>
      <c r="R41" s="3">
        <f t="shared" si="27"/>
        <v>4.03173946606801E-3</v>
      </c>
      <c r="S41" s="3">
        <f t="shared" si="27"/>
        <v>4.031739466031724E-3</v>
      </c>
      <c r="T41" s="3">
        <f t="shared" si="27"/>
        <v>4.0317394656688675E-3</v>
      </c>
      <c r="U41" s="3">
        <f t="shared" si="27"/>
        <v>4.0317394620403022E-3</v>
      </c>
      <c r="V41" s="3">
        <f t="shared" si="27"/>
        <v>4.0317394257546471E-3</v>
      </c>
      <c r="W41" s="3">
        <f t="shared" si="27"/>
        <v>4.031739062898115E-3</v>
      </c>
      <c r="X41" s="3">
        <f t="shared" si="27"/>
        <v>4.0317354343345916E-3</v>
      </c>
      <c r="Y41" s="3">
        <f t="shared" si="27"/>
        <v>4.031699148878967E-3</v>
      </c>
      <c r="Z41" s="3">
        <f t="shared" si="27"/>
        <v>4.0313363122834595E-3</v>
      </c>
      <c r="AA41" s="3">
        <f t="shared" si="27"/>
        <v>4.0277097418039143E-3</v>
      </c>
      <c r="AB41" s="3">
        <f t="shared" si="27"/>
        <v>3.9916229881045845E-3</v>
      </c>
      <c r="AC41" s="3">
        <f t="shared" si="27"/>
        <v>3.648068728674304E-3</v>
      </c>
      <c r="AD41" s="3">
        <f t="shared" si="27"/>
        <v>1.4831940617274319E-3</v>
      </c>
      <c r="AE41" s="3">
        <f t="shared" si="27"/>
        <v>1.8304068858030887E-7</v>
      </c>
      <c r="AF41" s="3">
        <f t="shared" si="29"/>
        <v>1.4998377129309674E-46</v>
      </c>
      <c r="AG41" s="3">
        <f t="shared" si="29"/>
        <v>0</v>
      </c>
      <c r="AH41" s="3">
        <f t="shared" si="29"/>
        <v>0</v>
      </c>
      <c r="AI41" s="3">
        <f t="shared" si="29"/>
        <v>0</v>
      </c>
      <c r="AJ41" s="3">
        <f t="shared" si="29"/>
        <v>0</v>
      </c>
    </row>
    <row r="42" spans="1:36" x14ac:dyDescent="0.25">
      <c r="A42" s="3">
        <f t="shared" si="30"/>
        <v>10000000000</v>
      </c>
      <c r="B42" s="106">
        <v>2.2274124469526127E-3</v>
      </c>
      <c r="C42" s="18">
        <f t="shared" si="3"/>
        <v>2.1502645285220883E-3</v>
      </c>
      <c r="D42" s="17"/>
      <c r="F42" s="3">
        <f t="shared" si="28"/>
        <v>2.1502645285220883E-3</v>
      </c>
      <c r="G42" s="3">
        <f t="shared" si="28"/>
        <v>2.1502645285220883E-3</v>
      </c>
      <c r="H42" s="3">
        <f t="shared" si="28"/>
        <v>2.1502645285220883E-3</v>
      </c>
      <c r="I42" s="3">
        <f t="shared" si="28"/>
        <v>2.1502645285220883E-3</v>
      </c>
      <c r="J42" s="3">
        <f t="shared" si="28"/>
        <v>2.1502645285220883E-3</v>
      </c>
      <c r="K42" s="3">
        <f t="shared" si="28"/>
        <v>2.1502645285220883E-3</v>
      </c>
      <c r="L42" s="3">
        <f t="shared" si="28"/>
        <v>2.1502645285220883E-3</v>
      </c>
      <c r="M42" s="3">
        <f t="shared" si="28"/>
        <v>2.1502645285220883E-3</v>
      </c>
      <c r="N42" s="3">
        <f t="shared" si="28"/>
        <v>2.1502645285220883E-3</v>
      </c>
      <c r="O42" s="3">
        <f t="shared" si="28"/>
        <v>2.1502645285220879E-3</v>
      </c>
      <c r="P42" s="3">
        <f t="shared" si="27"/>
        <v>2.1502645285220862E-3</v>
      </c>
      <c r="Q42" s="3">
        <f t="shared" si="27"/>
        <v>2.1502645285220666E-3</v>
      </c>
      <c r="R42" s="3">
        <f t="shared" si="27"/>
        <v>2.1502645285218732E-3</v>
      </c>
      <c r="S42" s="3">
        <f t="shared" si="27"/>
        <v>2.1502645285199381E-3</v>
      </c>
      <c r="T42" s="3">
        <f t="shared" si="27"/>
        <v>2.1502645285005856E-3</v>
      </c>
      <c r="U42" s="3">
        <f t="shared" si="27"/>
        <v>2.150264528307062E-3</v>
      </c>
      <c r="V42" s="3">
        <f t="shared" si="27"/>
        <v>2.150264526371824E-3</v>
      </c>
      <c r="W42" s="3">
        <f t="shared" si="27"/>
        <v>2.1502645070194432E-3</v>
      </c>
      <c r="X42" s="3">
        <f t="shared" si="27"/>
        <v>2.1502643134956464E-3</v>
      </c>
      <c r="Y42" s="3">
        <f t="shared" si="27"/>
        <v>2.1502623782586349E-3</v>
      </c>
      <c r="Z42" s="3">
        <f t="shared" si="27"/>
        <v>2.1502430259843159E-3</v>
      </c>
      <c r="AA42" s="3">
        <f t="shared" si="27"/>
        <v>2.1500495128202006E-3</v>
      </c>
      <c r="AB42" s="3">
        <f t="shared" si="27"/>
        <v>2.1481153387675426E-3</v>
      </c>
      <c r="AC42" s="3">
        <f t="shared" si="27"/>
        <v>2.1288690389800269E-3</v>
      </c>
      <c r="AD42" s="3">
        <f t="shared" si="27"/>
        <v>1.9456398040822362E-3</v>
      </c>
      <c r="AE42" s="3">
        <f t="shared" si="27"/>
        <v>7.9103811312348073E-4</v>
      </c>
      <c r="AF42" s="3">
        <f t="shared" si="29"/>
        <v>9.7621858565665424E-8</v>
      </c>
      <c r="AG42" s="3">
        <f t="shared" si="29"/>
        <v>7.9991474146447904E-47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3.1661348247578845E-3</v>
      </c>
      <c r="C44" s="18">
        <f t="shared" si="3"/>
        <v>3.0564736295290245E-3</v>
      </c>
      <c r="D44" s="17"/>
      <c r="F44" s="3">
        <f t="shared" si="28"/>
        <v>3.0564736295290245E-3</v>
      </c>
      <c r="G44" s="3">
        <f t="shared" si="28"/>
        <v>3.0564736295290245E-3</v>
      </c>
      <c r="H44" s="3">
        <f t="shared" si="28"/>
        <v>3.0564736295290245E-3</v>
      </c>
      <c r="I44" s="3">
        <f t="shared" si="28"/>
        <v>3.0564736295290245E-3</v>
      </c>
      <c r="J44" s="3">
        <f t="shared" si="28"/>
        <v>3.0564736295290245E-3</v>
      </c>
      <c r="K44" s="3">
        <f t="shared" si="28"/>
        <v>3.0564736295290245E-3</v>
      </c>
      <c r="L44" s="3">
        <f t="shared" si="28"/>
        <v>3.0564736295290245E-3</v>
      </c>
      <c r="M44" s="3">
        <f t="shared" si="28"/>
        <v>3.0564736295290245E-3</v>
      </c>
      <c r="N44" s="3">
        <f t="shared" si="28"/>
        <v>3.0564736295290245E-3</v>
      </c>
      <c r="O44" s="3">
        <f t="shared" si="28"/>
        <v>3.0564736295290245E-3</v>
      </c>
      <c r="P44" s="3">
        <f t="shared" si="27"/>
        <v>3.0564736295290245E-3</v>
      </c>
      <c r="Q44" s="3">
        <f t="shared" si="27"/>
        <v>3.0564736295290241E-3</v>
      </c>
      <c r="R44" s="3">
        <f t="shared" si="27"/>
        <v>3.0564736295290214E-3</v>
      </c>
      <c r="S44" s="3">
        <f t="shared" si="27"/>
        <v>3.0564736295289941E-3</v>
      </c>
      <c r="T44" s="3">
        <f t="shared" si="27"/>
        <v>3.0564736295287187E-3</v>
      </c>
      <c r="U44" s="3">
        <f t="shared" si="27"/>
        <v>3.0564736295259679E-3</v>
      </c>
      <c r="V44" s="3">
        <f t="shared" si="27"/>
        <v>3.05647362949846E-3</v>
      </c>
      <c r="W44" s="3">
        <f t="shared" si="27"/>
        <v>3.0564736292233771E-3</v>
      </c>
      <c r="X44" s="3">
        <f t="shared" si="27"/>
        <v>3.056473626472551E-3</v>
      </c>
      <c r="Y44" s="3">
        <f t="shared" si="27"/>
        <v>3.0564735989642884E-3</v>
      </c>
      <c r="Z44" s="3">
        <f t="shared" si="27"/>
        <v>3.0564733238816768E-3</v>
      </c>
      <c r="AA44" s="3">
        <f t="shared" si="27"/>
        <v>3.056470573056923E-3</v>
      </c>
      <c r="AB44" s="3">
        <f t="shared" si="27"/>
        <v>3.0564430649455522E-3</v>
      </c>
      <c r="AC44" s="3">
        <f t="shared" si="27"/>
        <v>3.0561679974479305E-3</v>
      </c>
      <c r="AD44" s="3">
        <f t="shared" si="27"/>
        <v>3.0534186836270252E-3</v>
      </c>
      <c r="AE44" s="3">
        <f t="shared" si="27"/>
        <v>3.026061208773927E-3</v>
      </c>
      <c r="AF44" s="3">
        <f t="shared" si="29"/>
        <v>2.7656117072380406E-3</v>
      </c>
      <c r="AG44" s="3">
        <f t="shared" si="29"/>
        <v>1.1244138107863876E-3</v>
      </c>
      <c r="AH44" s="3">
        <f t="shared" si="29"/>
        <v>1.3876368810150487E-7</v>
      </c>
      <c r="AI44" s="3">
        <f t="shared" si="29"/>
        <v>1.1370314120552133E-46</v>
      </c>
      <c r="AJ44" s="3">
        <f t="shared" si="29"/>
        <v>0</v>
      </c>
    </row>
    <row r="45" spans="1:36" x14ac:dyDescent="0.25">
      <c r="A45" s="3">
        <f t="shared" si="30"/>
        <v>10000000000000</v>
      </c>
      <c r="B45" s="106">
        <v>1.3831272025351441E-3</v>
      </c>
      <c r="C45" s="18">
        <f t="shared" si="3"/>
        <v>1.3352216676863077E-3</v>
      </c>
      <c r="D45" s="17"/>
      <c r="F45" s="3">
        <f t="shared" si="28"/>
        <v>1.3352216676863077E-3</v>
      </c>
      <c r="G45" s="3">
        <f t="shared" si="28"/>
        <v>1.3352216676863077E-3</v>
      </c>
      <c r="H45" s="3">
        <f t="shared" si="28"/>
        <v>1.3352216676863077E-3</v>
      </c>
      <c r="I45" s="3">
        <f t="shared" si="28"/>
        <v>1.3352216676863077E-3</v>
      </c>
      <c r="J45" s="3">
        <f t="shared" si="28"/>
        <v>1.3352216676863077E-3</v>
      </c>
      <c r="K45" s="3">
        <f t="shared" si="28"/>
        <v>1.3352216676863077E-3</v>
      </c>
      <c r="L45" s="3">
        <f t="shared" si="28"/>
        <v>1.3352216676863077E-3</v>
      </c>
      <c r="M45" s="3">
        <f t="shared" si="28"/>
        <v>1.3352216676863077E-3</v>
      </c>
      <c r="N45" s="3">
        <f t="shared" si="28"/>
        <v>1.3352216676863077E-3</v>
      </c>
      <c r="O45" s="3">
        <f t="shared" si="28"/>
        <v>1.3352216676863077E-3</v>
      </c>
      <c r="P45" s="3">
        <f t="shared" si="27"/>
        <v>1.3352216676863077E-3</v>
      </c>
      <c r="Q45" s="3">
        <f t="shared" si="27"/>
        <v>1.3352216676863077E-3</v>
      </c>
      <c r="R45" s="3">
        <f t="shared" si="27"/>
        <v>1.3352216676863074E-3</v>
      </c>
      <c r="S45" s="3">
        <f t="shared" si="27"/>
        <v>1.3352216676863064E-3</v>
      </c>
      <c r="T45" s="3">
        <f t="shared" si="27"/>
        <v>1.3352216676862942E-3</v>
      </c>
      <c r="U45" s="3">
        <f t="shared" si="27"/>
        <v>1.3352216676861741E-3</v>
      </c>
      <c r="V45" s="3">
        <f t="shared" si="27"/>
        <v>1.3352216676849726E-3</v>
      </c>
      <c r="W45" s="3">
        <f t="shared" si="27"/>
        <v>1.3352216676729555E-3</v>
      </c>
      <c r="X45" s="3">
        <f t="shared" si="27"/>
        <v>1.3352216675527856E-3</v>
      </c>
      <c r="Y45" s="3">
        <f t="shared" si="27"/>
        <v>1.335221666351086E-3</v>
      </c>
      <c r="Z45" s="3">
        <f t="shared" si="27"/>
        <v>1.335221654334091E-3</v>
      </c>
      <c r="AA45" s="3">
        <f t="shared" si="27"/>
        <v>1.3352215341641475E-3</v>
      </c>
      <c r="AB45" s="3">
        <f t="shared" si="27"/>
        <v>1.3352203324653077E-3</v>
      </c>
      <c r="AC45" s="3">
        <f t="shared" si="27"/>
        <v>1.3352083155363916E-3</v>
      </c>
      <c r="AD45" s="3">
        <f t="shared" si="27"/>
        <v>1.3350881521954248E-3</v>
      </c>
      <c r="AE45" s="3">
        <f t="shared" si="27"/>
        <v>1.3338871134069739E-3</v>
      </c>
      <c r="AF45" s="3">
        <f t="shared" si="29"/>
        <v>1.3219359901111159E-3</v>
      </c>
      <c r="AG45" s="3">
        <f t="shared" si="29"/>
        <v>1.2081585262949466E-3</v>
      </c>
      <c r="AH45" s="3">
        <f t="shared" si="29"/>
        <v>4.9120060094844011E-4</v>
      </c>
      <c r="AI45" s="3">
        <f t="shared" si="29"/>
        <v>6.0618969930306267E-8</v>
      </c>
      <c r="AJ45" s="3">
        <f t="shared" si="29"/>
        <v>4.9671260486223095E-47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1.0358783384124135</v>
      </c>
      <c r="C49" s="18">
        <f>SUM(C17:C48)</f>
        <v>0.99999999999999989</v>
      </c>
      <c r="F49" s="3">
        <f t="shared" ref="F49:AJ49" si="31">F16-F17</f>
        <v>91.83155284266104</v>
      </c>
      <c r="G49" s="3">
        <f t="shared" si="31"/>
        <v>-118.75669463977647</v>
      </c>
      <c r="H49" s="3">
        <f t="shared" si="31"/>
        <v>31.438985444430728</v>
      </c>
      <c r="I49" s="3">
        <f t="shared" si="31"/>
        <v>-5.1371491075915401</v>
      </c>
      <c r="J49" s="3">
        <f t="shared" si="31"/>
        <v>0.71356178497626388</v>
      </c>
      <c r="K49" s="3">
        <f t="shared" si="31"/>
        <v>-0.10330893216996628</v>
      </c>
      <c r="L49" s="3">
        <f t="shared" si="31"/>
        <v>6.3357183089465252E-2</v>
      </c>
      <c r="M49" s="3">
        <f t="shared" si="31"/>
        <v>-0.13365294300820096</v>
      </c>
      <c r="N49" s="3">
        <f t="shared" si="31"/>
        <v>0.32286380555160576</v>
      </c>
      <c r="O49" s="3">
        <f t="shared" si="31"/>
        <v>-0.6750084750874521</v>
      </c>
      <c r="P49" s="3">
        <f t="shared" si="31"/>
        <v>1.1715856536011415</v>
      </c>
      <c r="Q49" s="3">
        <f t="shared" si="31"/>
        <v>-1.7011560094124434</v>
      </c>
      <c r="R49" s="3">
        <f t="shared" si="31"/>
        <v>2.0908307095578493</v>
      </c>
      <c r="S49" s="3">
        <f t="shared" si="31"/>
        <v>-2.1890551241040157</v>
      </c>
      <c r="T49" s="3">
        <f t="shared" si="31"/>
        <v>1.9703697389468289</v>
      </c>
      <c r="U49" s="3">
        <f t="shared" si="31"/>
        <v>-1.5359913931115443</v>
      </c>
      <c r="V49" s="3">
        <f t="shared" si="31"/>
        <v>1.0148316382428675</v>
      </c>
      <c r="W49" s="3">
        <f t="shared" si="31"/>
        <v>-0.57790857521695216</v>
      </c>
      <c r="X49" s="3">
        <f t="shared" si="31"/>
        <v>0.28117580735079173</v>
      </c>
      <c r="Y49" s="3">
        <f t="shared" si="31"/>
        <v>-0.10873651883821367</v>
      </c>
      <c r="Z49" s="3">
        <f t="shared" si="31"/>
        <v>3.7029929719210486E-2</v>
      </c>
      <c r="AA49" s="3">
        <f t="shared" si="31"/>
        <v>-1.0559401052319117E-2</v>
      </c>
      <c r="AB49" s="3">
        <f t="shared" si="31"/>
        <v>2.4677848649957923E-2</v>
      </c>
      <c r="AC49" s="3">
        <f t="shared" si="31"/>
        <v>-3.9463990495619328E-2</v>
      </c>
      <c r="AD49" s="3">
        <f t="shared" si="31"/>
        <v>5.9160233500278991E-2</v>
      </c>
      <c r="AE49" s="3">
        <f t="shared" si="31"/>
        <v>-8.9764740566579349E-2</v>
      </c>
      <c r="AF49" s="3">
        <f t="shared" si="31"/>
        <v>-0.45212225970010422</v>
      </c>
      <c r="AG49" s="3">
        <f t="shared" si="31"/>
        <v>1.2474089328594005</v>
      </c>
      <c r="AH49" s="3">
        <f t="shared" si="31"/>
        <v>-1.7214564247011026</v>
      </c>
      <c r="AI49" s="3">
        <f t="shared" si="31"/>
        <v>0.59547329168771057</v>
      </c>
      <c r="AJ49" s="3">
        <f t="shared" si="31"/>
        <v>0.35884005318598611</v>
      </c>
    </row>
    <row r="50" spans="1:36" x14ac:dyDescent="0.25">
      <c r="F50" s="57">
        <f t="shared" ref="F50:AJ50" si="32">F49/F17</f>
        <v>1.0138167639075371E-2</v>
      </c>
      <c r="G50" s="57">
        <f t="shared" si="32"/>
        <v>-1.3285179777369168E-2</v>
      </c>
      <c r="H50" s="57">
        <f t="shared" si="32"/>
        <v>3.6976456535735354E-3</v>
      </c>
      <c r="I50" s="57">
        <f t="shared" si="32"/>
        <v>-6.2051566396108303E-4</v>
      </c>
      <c r="J50" s="57">
        <f t="shared" si="32"/>
        <v>8.9437008690949562E-5</v>
      </c>
      <c r="K50" s="57">
        <f t="shared" si="32"/>
        <v>-1.3547962041070704E-5</v>
      </c>
      <c r="L50" s="57">
        <f t="shared" si="32"/>
        <v>8.7377171301589969E-6</v>
      </c>
      <c r="M50" s="57">
        <f t="shared" si="32"/>
        <v>-1.9301382152305206E-5</v>
      </c>
      <c r="N50" s="57">
        <f t="shared" si="32"/>
        <v>4.859743998010943E-5</v>
      </c>
      <c r="O50" s="57">
        <f t="shared" si="32"/>
        <v>-1.0611819187407045E-4</v>
      </c>
      <c r="P50" s="57">
        <f t="shared" si="32"/>
        <v>1.9282172557617613E-4</v>
      </c>
      <c r="Q50" s="57">
        <f t="shared" si="32"/>
        <v>-2.9350262748715041E-4</v>
      </c>
      <c r="R50" s="57">
        <f t="shared" si="32"/>
        <v>3.8047131368035568E-4</v>
      </c>
      <c r="S50" s="57">
        <f t="shared" si="32"/>
        <v>-4.2550937899664117E-4</v>
      </c>
      <c r="T50" s="57">
        <f t="shared" si="32"/>
        <v>4.14521744000553E-4</v>
      </c>
      <c r="U50" s="57">
        <f t="shared" si="32"/>
        <v>-3.6043518940864419E-4</v>
      </c>
      <c r="V50" s="57">
        <f t="shared" si="32"/>
        <v>2.8128305884388724E-4</v>
      </c>
      <c r="W50" s="57">
        <f t="shared" si="32"/>
        <v>-1.995902521339065E-4</v>
      </c>
      <c r="X50" s="57">
        <f t="shared" si="32"/>
        <v>1.2735724794543633E-4</v>
      </c>
      <c r="Y50" s="57">
        <f t="shared" si="32"/>
        <v>-6.835078820671731E-5</v>
      </c>
      <c r="Z50" s="57">
        <f t="shared" si="32"/>
        <v>3.2643603095080873E-5</v>
      </c>
      <c r="AA50" s="57">
        <f t="shared" si="32"/>
        <v>-1.2751059853807322E-5</v>
      </c>
      <c r="AB50" s="57">
        <f t="shared" si="32"/>
        <v>3.6570086916389813E-5</v>
      </c>
      <c r="AC50" s="57">
        <f t="shared" si="32"/>
        <v>-6.6811902719170446E-5</v>
      </c>
      <c r="AD50" s="57">
        <f t="shared" si="32"/>
        <v>1.0711634937813678E-4</v>
      </c>
      <c r="AE50" s="57">
        <f t="shared" si="32"/>
        <v>-1.7144185685755408E-4</v>
      </c>
      <c r="AF50" s="57">
        <f t="shared" si="32"/>
        <v>-8.828189830464388E-4</v>
      </c>
      <c r="AG50" s="57">
        <f t="shared" si="32"/>
        <v>2.5290327769308674E-3</v>
      </c>
      <c r="AH50" s="57">
        <f t="shared" si="32"/>
        <v>-3.6363013712053679E-3</v>
      </c>
      <c r="AI50" s="57">
        <f t="shared" si="32"/>
        <v>1.2720570481842928E-3</v>
      </c>
      <c r="AJ50" s="57">
        <f t="shared" si="32"/>
        <v>7.6655941032485828E-4</v>
      </c>
    </row>
    <row r="51" spans="1:36" x14ac:dyDescent="0.25">
      <c r="A51" s="13" t="s">
        <v>21</v>
      </c>
      <c r="B51" s="3">
        <f>STUTT!D8</f>
        <v>10768.300999999999</v>
      </c>
      <c r="E51" s="11" t="s">
        <v>24</v>
      </c>
      <c r="F51" s="20">
        <f t="shared" ref="F51:AJ51" si="33">(F16-F17)^2</f>
        <v>8433.0340974944465</v>
      </c>
      <c r="G51" s="20">
        <f t="shared" si="33"/>
        <v>14103.152521765112</v>
      </c>
      <c r="H51" s="20">
        <f t="shared" si="33"/>
        <v>988.4098057751271</v>
      </c>
      <c r="I51" s="20">
        <f t="shared" si="33"/>
        <v>26.390300953628557</v>
      </c>
      <c r="J51" s="20">
        <f t="shared" si="33"/>
        <v>0.50917042097851184</v>
      </c>
      <c r="K51" s="20">
        <f t="shared" si="33"/>
        <v>1.0672735466098695E-2</v>
      </c>
      <c r="L51" s="20">
        <f t="shared" si="33"/>
        <v>4.0141326490320218E-3</v>
      </c>
      <c r="M51" s="20">
        <f t="shared" si="33"/>
        <v>1.7863109174753415E-2</v>
      </c>
      <c r="N51" s="20">
        <f t="shared" si="33"/>
        <v>0.1042410369352651</v>
      </c>
      <c r="O51" s="20">
        <f t="shared" si="33"/>
        <v>0.45563644143988746</v>
      </c>
      <c r="P51" s="20">
        <f t="shared" si="33"/>
        <v>1.372612943724014</v>
      </c>
      <c r="Q51" s="20">
        <f t="shared" si="33"/>
        <v>2.8939317683600692</v>
      </c>
      <c r="R51" s="20">
        <f t="shared" si="33"/>
        <v>4.3715730560301793</v>
      </c>
      <c r="S51" s="20">
        <f t="shared" si="33"/>
        <v>4.7919623363660477</v>
      </c>
      <c r="T51" s="20">
        <f t="shared" si="33"/>
        <v>3.8823569081573948</v>
      </c>
      <c r="U51" s="20">
        <f t="shared" si="33"/>
        <v>2.3592695597127427</v>
      </c>
      <c r="V51" s="20">
        <f t="shared" si="33"/>
        <v>1.0298832539787022</v>
      </c>
      <c r="W51" s="20">
        <f t="shared" si="33"/>
        <v>0.33397832130928767</v>
      </c>
      <c r="X51" s="20">
        <f t="shared" si="33"/>
        <v>7.9059834639369539E-2</v>
      </c>
      <c r="Y51" s="20">
        <f t="shared" si="33"/>
        <v>1.1823630529053197E-2</v>
      </c>
      <c r="Z51" s="20">
        <f t="shared" si="33"/>
        <v>1.3712156950096679E-3</v>
      </c>
      <c r="AA51" s="20">
        <f t="shared" si="33"/>
        <v>1.1150095058371808E-4</v>
      </c>
      <c r="AB51" s="20">
        <f t="shared" si="33"/>
        <v>6.0899621399023004E-4</v>
      </c>
      <c r="AC51" s="20">
        <f t="shared" si="33"/>
        <v>1.5574065458383325E-3</v>
      </c>
      <c r="AD51" s="20">
        <f t="shared" si="33"/>
        <v>3.4999332278075326E-3</v>
      </c>
      <c r="AE51" s="20">
        <f t="shared" si="33"/>
        <v>8.0577086489852963E-3</v>
      </c>
      <c r="AF51" s="20">
        <f t="shared" si="33"/>
        <v>0.20441453771632848</v>
      </c>
      <c r="AG51" s="20">
        <f t="shared" si="33"/>
        <v>1.5560290457774282</v>
      </c>
      <c r="AH51" s="20">
        <f t="shared" si="33"/>
        <v>2.963412222144703</v>
      </c>
      <c r="AI51" s="20">
        <f t="shared" si="33"/>
        <v>0.35458844111339721</v>
      </c>
      <c r="AJ51" s="20">
        <f t="shared" si="33"/>
        <v>0.12876618377052135</v>
      </c>
    </row>
    <row r="52" spans="1:36" x14ac:dyDescent="0.25">
      <c r="A52" s="13"/>
    </row>
    <row r="53" spans="1:36" x14ac:dyDescent="0.25">
      <c r="E53" s="119" t="s">
        <v>25</v>
      </c>
      <c r="F53" s="119"/>
      <c r="G53" s="104">
        <f>SUM(F51:AJ51)</f>
        <v>23578.437192669564</v>
      </c>
      <c r="I53" s="3">
        <f>G53+C123</f>
        <v>23578.437192669564</v>
      </c>
      <c r="K53" s="3">
        <f>SUM(Z51:AJ51)</f>
        <v>5.2224171918045927</v>
      </c>
    </row>
    <row r="55" spans="1:36" x14ac:dyDescent="0.25">
      <c r="E55" s="30" t="s">
        <v>30</v>
      </c>
      <c r="F55" s="31">
        <f t="shared" ref="F55:AJ55" si="34">ABS(F17-F16)/F16</f>
        <v>1.003641676343207E-2</v>
      </c>
      <c r="G55" s="31">
        <f t="shared" si="34"/>
        <v>1.3464052130454122E-2</v>
      </c>
      <c r="H55" s="31">
        <f t="shared" si="34"/>
        <v>3.6840234403118033E-3</v>
      </c>
      <c r="I55" s="31">
        <f t="shared" si="34"/>
        <v>6.209009427218102E-4</v>
      </c>
      <c r="J55" s="31">
        <f t="shared" si="34"/>
        <v>8.942901042776671E-5</v>
      </c>
      <c r="K55" s="31">
        <f t="shared" si="34"/>
        <v>1.3548145590832895E-5</v>
      </c>
      <c r="L55" s="31">
        <f t="shared" si="34"/>
        <v>8.73764078312545E-6</v>
      </c>
      <c r="M55" s="31">
        <f t="shared" si="34"/>
        <v>1.9301754702848935E-5</v>
      </c>
      <c r="N55" s="31">
        <f t="shared" si="34"/>
        <v>4.8595078383704351E-5</v>
      </c>
      <c r="O55" s="31">
        <f t="shared" si="34"/>
        <v>1.0612945413984835E-4</v>
      </c>
      <c r="P55" s="31">
        <f t="shared" si="34"/>
        <v>1.9278455252609361E-4</v>
      </c>
      <c r="Q55" s="31">
        <f t="shared" si="34"/>
        <v>2.9358879657034458E-4</v>
      </c>
      <c r="R55" s="31">
        <f t="shared" si="34"/>
        <v>3.8032661031530145E-4</v>
      </c>
      <c r="S55" s="31">
        <f t="shared" si="34"/>
        <v>4.2569051430302698E-4</v>
      </c>
      <c r="T55" s="31">
        <f t="shared" si="34"/>
        <v>4.1434998692134776E-4</v>
      </c>
      <c r="U55" s="31">
        <f t="shared" si="34"/>
        <v>3.6056514977669813E-4</v>
      </c>
      <c r="V55" s="31">
        <f t="shared" si="34"/>
        <v>2.812039609335968E-4</v>
      </c>
      <c r="W55" s="31">
        <f t="shared" si="34"/>
        <v>1.9963009635517155E-4</v>
      </c>
      <c r="X55" s="31">
        <f t="shared" si="34"/>
        <v>1.2734103014228686E-4</v>
      </c>
      <c r="Y55" s="31">
        <f t="shared" si="34"/>
        <v>6.8355460356310898E-5</v>
      </c>
      <c r="Z55" s="31">
        <f t="shared" si="34"/>
        <v>3.2642537525041889E-5</v>
      </c>
      <c r="AA55" s="31">
        <f t="shared" si="34"/>
        <v>1.2751222445407933E-5</v>
      </c>
      <c r="AB55" s="31">
        <f t="shared" si="34"/>
        <v>3.6568749594038736E-5</v>
      </c>
      <c r="AC55" s="31">
        <f t="shared" si="34"/>
        <v>6.6816366847772326E-5</v>
      </c>
      <c r="AD55" s="31">
        <f t="shared" si="34"/>
        <v>1.0710487669474464E-4</v>
      </c>
      <c r="AE55" s="31">
        <f t="shared" si="34"/>
        <v>1.7147125420777316E-4</v>
      </c>
      <c r="AF55" s="31">
        <f t="shared" si="34"/>
        <v>8.835990410532823E-4</v>
      </c>
      <c r="AG55" s="31">
        <f t="shared" si="34"/>
        <v>2.5226529050491782E-3</v>
      </c>
      <c r="AH55" s="31">
        <f t="shared" si="34"/>
        <v>3.6495723160224333E-3</v>
      </c>
      <c r="AI55" s="31">
        <f t="shared" si="34"/>
        <v>1.2704409747880117E-3</v>
      </c>
      <c r="AJ55" s="31">
        <f t="shared" si="34"/>
        <v>7.6597224709080319E-4</v>
      </c>
    </row>
    <row r="56" spans="1:36" x14ac:dyDescent="0.25">
      <c r="E56" s="13" t="s">
        <v>31</v>
      </c>
      <c r="F56" s="32">
        <f>AVERAGE(F55:AJ55)</f>
        <v>1.3017600971118259E-3</v>
      </c>
    </row>
    <row r="57" spans="1:36" x14ac:dyDescent="0.25">
      <c r="A57" s="42"/>
      <c r="B57" s="15"/>
      <c r="C57" s="15"/>
      <c r="D57" s="15"/>
      <c r="F57" s="60">
        <f>AVERAGE(S55:X55)</f>
        <v>3.0146345640535472E-4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-17.057668506080475</v>
      </c>
    </row>
    <row r="119" spans="1:14" x14ac:dyDescent="0.25">
      <c r="L119" s="11">
        <f>L118+1</f>
        <v>2</v>
      </c>
      <c r="M119" s="11">
        <f t="shared" ref="M119:M124" si="35">INDEX($B$125:$K$126,1,L119)</f>
        <v>0</v>
      </c>
      <c r="N119" s="11">
        <f t="shared" ref="N119:N124" si="36">IF(L119=$B$3,0,INDEX($B$125:$K$126,2,L119))</f>
        <v>-13.801205867961423</v>
      </c>
    </row>
    <row r="120" spans="1:14" x14ac:dyDescent="0.25">
      <c r="L120" s="11">
        <f t="shared" ref="L120:L124" si="37">L119+1</f>
        <v>3</v>
      </c>
      <c r="M120" s="11">
        <f t="shared" si="35"/>
        <v>25</v>
      </c>
      <c r="N120" s="11">
        <f t="shared" si="36"/>
        <v>-11.300486481572344</v>
      </c>
    </row>
    <row r="121" spans="1:14" x14ac:dyDescent="0.25">
      <c r="A121" s="103">
        <f>(A165+A204+A243+A282+A321+A360+A399)*10^9</f>
        <v>1.603363580495088E+16</v>
      </c>
      <c r="L121" s="11">
        <f t="shared" si="37"/>
        <v>4</v>
      </c>
      <c r="M121" s="11">
        <f t="shared" si="35"/>
        <v>50</v>
      </c>
      <c r="N121" s="11">
        <f t="shared" si="36"/>
        <v>-8.4000967341327382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-5.6978540921375176</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5.450122461093871</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-17.057668506080475</v>
      </c>
      <c r="C126" s="107">
        <v>-13.801205867961423</v>
      </c>
      <c r="D126" s="107">
        <v>-11.300486481572344</v>
      </c>
      <c r="E126" s="107">
        <v>-8.4000967341327382</v>
      </c>
      <c r="F126" s="107">
        <v>-5.6978540921375176</v>
      </c>
      <c r="G126" s="107">
        <v>1.2497549845242616E-2</v>
      </c>
      <c r="H126" s="107">
        <v>5.450122461093871</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10761.688536065531</v>
      </c>
      <c r="C131" s="27">
        <f t="shared" ref="C131:AF131" si="40">($C$17+SUM(C132:C162))*$B$51</f>
        <v>10703.32495449059</v>
      </c>
      <c r="D131" s="27">
        <f t="shared" si="40"/>
        <v>10219.882984663591</v>
      </c>
      <c r="E131" s="27">
        <f t="shared" si="40"/>
        <v>9106.982357971594</v>
      </c>
      <c r="F131" s="27">
        <f t="shared" si="40"/>
        <v>9072.9312841326828</v>
      </c>
      <c r="G131" s="27">
        <f t="shared" si="40"/>
        <v>9072.8781051338756</v>
      </c>
      <c r="H131" s="27">
        <f t="shared" si="40"/>
        <v>9072.3465710122509</v>
      </c>
      <c r="I131" s="27">
        <f t="shared" si="40"/>
        <v>9067.0567315458029</v>
      </c>
      <c r="J131" s="27">
        <f t="shared" si="40"/>
        <v>9016.6256996371249</v>
      </c>
      <c r="K131" s="27">
        <f t="shared" si="40"/>
        <v>8693.4972396701633</v>
      </c>
      <c r="L131" s="27">
        <f t="shared" si="40"/>
        <v>8371.1338325615925</v>
      </c>
      <c r="M131" s="27">
        <f t="shared" si="40"/>
        <v>8122.1889964116754</v>
      </c>
      <c r="N131" s="27">
        <f t="shared" si="40"/>
        <v>7788.038486098103</v>
      </c>
      <c r="O131" s="27">
        <f t="shared" si="40"/>
        <v>7418.3733469167664</v>
      </c>
      <c r="P131" s="27">
        <f t="shared" si="40"/>
        <v>7060.7664882717754</v>
      </c>
      <c r="Q131" s="27">
        <f t="shared" si="40"/>
        <v>6760.5384047645175</v>
      </c>
      <c r="R131" s="27">
        <f t="shared" si="40"/>
        <v>6482.5462069333744</v>
      </c>
      <c r="S131" s="27">
        <f t="shared" si="40"/>
        <v>6192.1092590613434</v>
      </c>
      <c r="T131" s="27">
        <f t="shared" si="40"/>
        <v>5907.3658942616921</v>
      </c>
      <c r="U131" s="27">
        <f t="shared" si="40"/>
        <v>5618.5059265923983</v>
      </c>
      <c r="V131" s="27">
        <f t="shared" si="40"/>
        <v>5286.9011742298162</v>
      </c>
      <c r="W131" s="27">
        <f t="shared" si="40"/>
        <v>4902.4521416077514</v>
      </c>
      <c r="X131" s="27">
        <f t="shared" si="40"/>
        <v>4472.1695394026074</v>
      </c>
      <c r="Y131" s="27">
        <f t="shared" si="40"/>
        <v>3861.7084237492368</v>
      </c>
      <c r="Z131" s="27">
        <f t="shared" si="40"/>
        <v>3153.5384713808362</v>
      </c>
      <c r="AA131" s="27">
        <f t="shared" si="40"/>
        <v>2459.4189891013689</v>
      </c>
      <c r="AB131" s="27">
        <f t="shared" si="40"/>
        <v>1804.753476406748</v>
      </c>
      <c r="AC131" s="27">
        <f t="shared" si="40"/>
        <v>1298.1210512001928</v>
      </c>
      <c r="AD131" s="27">
        <f t="shared" si="40"/>
        <v>929.03910615734242</v>
      </c>
      <c r="AE131" s="27">
        <f t="shared" si="40"/>
        <v>744.80935235907123</v>
      </c>
      <c r="AF131" s="27">
        <f t="shared" si="40"/>
        <v>607.44213575931519</v>
      </c>
    </row>
    <row r="132" spans="1:33" x14ac:dyDescent="0.25">
      <c r="B132" s="3">
        <f t="shared" ref="B132:Z133" si="41">$C18*EXP(-B$129/$A18/EXP(-$B$126))</f>
        <v>0.15682616444867656</v>
      </c>
      <c r="C132" s="3">
        <f t="shared" ref="C132:AF132" si="42">$C18*EXP(-C$129/$A18/EXP(-$B$126))</f>
        <v>0.15140622157590991</v>
      </c>
      <c r="D132" s="3">
        <f t="shared" si="42"/>
        <v>0.10651131042463731</v>
      </c>
      <c r="E132" s="3">
        <f t="shared" si="42"/>
        <v>3.1616645637113777E-3</v>
      </c>
      <c r="F132" s="3">
        <f t="shared" si="42"/>
        <v>1.6792541448769678E-18</v>
      </c>
      <c r="G132" s="3">
        <f t="shared" si="42"/>
        <v>3.0000106875711011E-171</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5.3113464322402437E-2</v>
      </c>
      <c r="C133" s="3">
        <f t="shared" si="41"/>
        <v>5.3113463843885031E-2</v>
      </c>
      <c r="D133" s="3">
        <f t="shared" si="41"/>
        <v>5.3113459058711197E-2</v>
      </c>
      <c r="E133" s="3">
        <f t="shared" si="41"/>
        <v>5.3113411206996558E-2</v>
      </c>
      <c r="F133" s="3">
        <f t="shared" si="41"/>
        <v>5.3112932692221247E-2</v>
      </c>
      <c r="G133" s="3">
        <f t="shared" si="41"/>
        <v>5.3108147781571413E-2</v>
      </c>
      <c r="H133" s="3">
        <f t="shared" si="41"/>
        <v>5.3060322377493779E-2</v>
      </c>
      <c r="I133" s="3">
        <f t="shared" si="41"/>
        <v>5.258443069668936E-2</v>
      </c>
      <c r="J133" s="3">
        <f t="shared" si="41"/>
        <v>4.8054061250598225E-2</v>
      </c>
      <c r="K133" s="3">
        <f t="shared" si="41"/>
        <v>1.9519078451361582E-2</v>
      </c>
      <c r="L133" s="3">
        <f t="shared" si="41"/>
        <v>2.3864449986945925E-6</v>
      </c>
      <c r="M133" s="3">
        <f t="shared" si="41"/>
        <v>1.7810357140555788E-45</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1.5903248467405193E-2</v>
      </c>
      <c r="C134" s="3">
        <f t="shared" si="44"/>
        <v>1.5903248454480341E-2</v>
      </c>
      <c r="D134" s="3">
        <f t="shared" si="44"/>
        <v>1.5903248325231829E-2</v>
      </c>
      <c r="E134" s="3">
        <f t="shared" si="44"/>
        <v>1.5903247032746783E-2</v>
      </c>
      <c r="F134" s="3">
        <f t="shared" si="44"/>
        <v>1.5903234107902089E-2</v>
      </c>
      <c r="G134" s="3">
        <f t="shared" si="44"/>
        <v>1.590310486003289E-2</v>
      </c>
      <c r="H134" s="3">
        <f t="shared" si="44"/>
        <v>1.5901812439112348E-2</v>
      </c>
      <c r="I134" s="3">
        <f t="shared" si="44"/>
        <v>1.5888894005317268E-2</v>
      </c>
      <c r="J134" s="3">
        <f t="shared" si="44"/>
        <v>1.5760285475472421E-2</v>
      </c>
      <c r="K134" s="3">
        <f t="shared" si="44"/>
        <v>1.4530086499660973E-2</v>
      </c>
      <c r="L134" s="3">
        <f t="shared" si="44"/>
        <v>6.446283455199868E-3</v>
      </c>
      <c r="M134" s="3">
        <f t="shared" si="44"/>
        <v>1.9042386886611934E-6</v>
      </c>
      <c r="N134" s="3">
        <f t="shared" si="44"/>
        <v>9.6347676638731089E-42</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2.9724136400693359E-2</v>
      </c>
      <c r="C135" s="3">
        <f t="shared" si="47"/>
        <v>2.9724136398514168E-2</v>
      </c>
      <c r="D135" s="3">
        <f t="shared" si="47"/>
        <v>2.9724136376722245E-2</v>
      </c>
      <c r="E135" s="3">
        <f t="shared" si="47"/>
        <v>2.9724136158803025E-2</v>
      </c>
      <c r="F135" s="3">
        <f t="shared" si="47"/>
        <v>2.9724133979610892E-2</v>
      </c>
      <c r="G135" s="3">
        <f t="shared" si="47"/>
        <v>2.9724112187698389E-2</v>
      </c>
      <c r="H135" s="3">
        <f t="shared" si="47"/>
        <v>2.9723894269452031E-2</v>
      </c>
      <c r="I135" s="3">
        <f t="shared" si="47"/>
        <v>2.9721715174856618E-2</v>
      </c>
      <c r="J135" s="3">
        <f t="shared" si="47"/>
        <v>2.9699933013333499E-2</v>
      </c>
      <c r="K135" s="3">
        <f t="shared" si="47"/>
        <v>2.9482987462991935E-2</v>
      </c>
      <c r="L135" s="3">
        <f t="shared" si="47"/>
        <v>2.7398807907527033E-2</v>
      </c>
      <c r="M135" s="3">
        <f t="shared" si="47"/>
        <v>1.3162350921906403E-2</v>
      </c>
      <c r="N135" s="3">
        <f t="shared" si="47"/>
        <v>8.6169077483454465E-6</v>
      </c>
      <c r="O135" s="3">
        <f t="shared" si="47"/>
        <v>1.2460378204979747E-37</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3.4474581072875814E-2</v>
      </c>
      <c r="C136" s="3">
        <f t="shared" si="49"/>
        <v>3.4474581072647816E-2</v>
      </c>
      <c r="D136" s="3">
        <f t="shared" si="49"/>
        <v>3.4474581070367834E-2</v>
      </c>
      <c r="E136" s="3">
        <f t="shared" si="49"/>
        <v>3.4474581047567988E-2</v>
      </c>
      <c r="F136" s="3">
        <f t="shared" si="49"/>
        <v>3.4474580819569542E-2</v>
      </c>
      <c r="G136" s="3">
        <f t="shared" si="49"/>
        <v>3.4474578539585188E-2</v>
      </c>
      <c r="H136" s="3">
        <f t="shared" si="49"/>
        <v>3.4474555739749967E-2</v>
      </c>
      <c r="I136" s="3">
        <f t="shared" si="49"/>
        <v>3.4474327742227022E-2</v>
      </c>
      <c r="J136" s="3">
        <f t="shared" si="49"/>
        <v>3.4472047849928314E-2</v>
      </c>
      <c r="K136" s="3">
        <f t="shared" si="49"/>
        <v>3.4449257217988451E-2</v>
      </c>
      <c r="L136" s="3">
        <f t="shared" si="49"/>
        <v>3.4222177978068272E-2</v>
      </c>
      <c r="M136" s="3">
        <f t="shared" si="49"/>
        <v>3.2032104965059642E-2</v>
      </c>
      <c r="N136" s="3">
        <f t="shared" si="49"/>
        <v>1.6533462412116492E-2</v>
      </c>
      <c r="O136" s="3">
        <f t="shared" si="49"/>
        <v>2.2189481122546378E-5</v>
      </c>
      <c r="P136" s="3">
        <f t="shared" si="49"/>
        <v>4.207077297239765E-34</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3.8163539597681533E-2</v>
      </c>
      <c r="C137" s="3">
        <f t="shared" si="51"/>
        <v>3.8163539597658766E-2</v>
      </c>
      <c r="D137" s="3">
        <f t="shared" si="51"/>
        <v>3.8163539597431087E-2</v>
      </c>
      <c r="E137" s="3">
        <f t="shared" si="51"/>
        <v>3.8163539595154269E-2</v>
      </c>
      <c r="F137" s="3">
        <f t="shared" si="51"/>
        <v>3.81635395723861E-2</v>
      </c>
      <c r="G137" s="3">
        <f t="shared" si="51"/>
        <v>3.81635393447044E-2</v>
      </c>
      <c r="H137" s="3">
        <f t="shared" si="51"/>
        <v>3.8163537067887478E-2</v>
      </c>
      <c r="I137" s="3">
        <f t="shared" si="51"/>
        <v>3.8163514299725788E-2</v>
      </c>
      <c r="J137" s="3">
        <f t="shared" si="51"/>
        <v>3.8163286618855943E-2</v>
      </c>
      <c r="K137" s="3">
        <f t="shared" si="51"/>
        <v>3.8161009884864171E-2</v>
      </c>
      <c r="L137" s="3">
        <f t="shared" si="51"/>
        <v>3.8138250013969151E-2</v>
      </c>
      <c r="M137" s="3">
        <f t="shared" si="51"/>
        <v>3.7911396561203507E-2</v>
      </c>
      <c r="N137" s="3">
        <f t="shared" si="51"/>
        <v>3.5715768495606294E-2</v>
      </c>
      <c r="O137" s="3">
        <f t="shared" si="51"/>
        <v>1.9668088848235604E-2</v>
      </c>
      <c r="P137" s="3">
        <f t="shared" si="51"/>
        <v>5.0441011130681067E-5</v>
      </c>
      <c r="Q137" s="3">
        <f t="shared" si="51"/>
        <v>6.208690435524493E-31</v>
      </c>
      <c r="R137" s="3">
        <f t="shared" si="51"/>
        <v>4.9563530458211813E-290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3.1147960288591563E-2</v>
      </c>
      <c r="C138" s="3">
        <f t="shared" si="53"/>
        <v>3.1147960288589887E-2</v>
      </c>
      <c r="D138" s="3">
        <f t="shared" si="53"/>
        <v>3.1147960288573126E-2</v>
      </c>
      <c r="E138" s="3">
        <f t="shared" si="53"/>
        <v>3.1147960288405493E-2</v>
      </c>
      <c r="F138" s="3">
        <f t="shared" si="53"/>
        <v>3.1147960286729177E-2</v>
      </c>
      <c r="G138" s="3">
        <f t="shared" si="53"/>
        <v>3.1147960269966024E-2</v>
      </c>
      <c r="H138" s="3">
        <f t="shared" si="53"/>
        <v>3.1147960102334508E-2</v>
      </c>
      <c r="I138" s="3">
        <f t="shared" si="53"/>
        <v>3.1147958426019372E-2</v>
      </c>
      <c r="J138" s="3">
        <f t="shared" si="53"/>
        <v>3.1147941662872974E-2</v>
      </c>
      <c r="K138" s="3">
        <f t="shared" si="53"/>
        <v>3.1147774031905186E-2</v>
      </c>
      <c r="L138" s="3">
        <f t="shared" si="53"/>
        <v>3.1146097771844811E-2</v>
      </c>
      <c r="M138" s="3">
        <f t="shared" si="53"/>
        <v>3.1129340132002616E-2</v>
      </c>
      <c r="N138" s="3">
        <f t="shared" si="53"/>
        <v>3.0962258823342297E-2</v>
      </c>
      <c r="O138" s="3">
        <f t="shared" si="53"/>
        <v>2.933998289189867E-2</v>
      </c>
      <c r="P138" s="3">
        <f t="shared" si="53"/>
        <v>1.7129001671126447E-2</v>
      </c>
      <c r="Q138" s="3">
        <f t="shared" si="53"/>
        <v>7.8786898839974592E-5</v>
      </c>
      <c r="R138" s="3">
        <f t="shared" si="53"/>
        <v>3.3394392931601508E-28</v>
      </c>
      <c r="S138" s="3">
        <f t="shared" si="53"/>
        <v>6.2498417149740052E-262</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2.5944984110180314E-2</v>
      </c>
      <c r="C139" s="3">
        <f t="shared" si="55"/>
        <v>2.5944984110180185E-2</v>
      </c>
      <c r="D139" s="3">
        <f t="shared" si="55"/>
        <v>2.5944984110178929E-2</v>
      </c>
      <c r="E139" s="3">
        <f t="shared" si="55"/>
        <v>2.5944984110166332E-2</v>
      </c>
      <c r="F139" s="3">
        <f t="shared" si="55"/>
        <v>2.5944984110040373E-2</v>
      </c>
      <c r="G139" s="3">
        <f t="shared" si="55"/>
        <v>2.5944984108780794E-2</v>
      </c>
      <c r="H139" s="3">
        <f t="shared" si="55"/>
        <v>2.5944984096184984E-2</v>
      </c>
      <c r="I139" s="3">
        <f t="shared" si="55"/>
        <v>2.5944983970226897E-2</v>
      </c>
      <c r="J139" s="3">
        <f t="shared" si="55"/>
        <v>2.5944982710646027E-2</v>
      </c>
      <c r="K139" s="3">
        <f t="shared" si="55"/>
        <v>2.5944970114840711E-2</v>
      </c>
      <c r="L139" s="3">
        <f t="shared" si="55"/>
        <v>2.5944844157123868E-2</v>
      </c>
      <c r="M139" s="3">
        <f t="shared" si="55"/>
        <v>2.594358461358745E-2</v>
      </c>
      <c r="N139" s="3">
        <f t="shared" si="55"/>
        <v>2.5930992540819642E-2</v>
      </c>
      <c r="O139" s="3">
        <f t="shared" si="55"/>
        <v>2.5805407469545998E-2</v>
      </c>
      <c r="P139" s="3">
        <f t="shared" si="55"/>
        <v>2.4582527213474942E-2</v>
      </c>
      <c r="Q139" s="3">
        <f t="shared" si="55"/>
        <v>1.5128107594188265E-2</v>
      </c>
      <c r="R139" s="3">
        <f t="shared" si="55"/>
        <v>1.1785970912588362E-4</v>
      </c>
      <c r="S139" s="3">
        <f t="shared" si="55"/>
        <v>9.7089657243549702E-26</v>
      </c>
      <c r="T139" s="3">
        <f t="shared" si="55"/>
        <v>1.3971691815934335E-236</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2.8280666339942875E-2</v>
      </c>
      <c r="C140" s="3">
        <f t="shared" si="57"/>
        <v>2.8280666339942861E-2</v>
      </c>
      <c r="D140" s="3">
        <f t="shared" si="57"/>
        <v>2.8280666339942737E-2</v>
      </c>
      <c r="E140" s="3">
        <f t="shared" si="57"/>
        <v>2.8280666339941501E-2</v>
      </c>
      <c r="F140" s="3">
        <f t="shared" si="57"/>
        <v>2.8280666339929112E-2</v>
      </c>
      <c r="G140" s="3">
        <f t="shared" si="57"/>
        <v>2.8280666339805263E-2</v>
      </c>
      <c r="H140" s="3">
        <f t="shared" si="57"/>
        <v>2.8280666338566723E-2</v>
      </c>
      <c r="I140" s="3">
        <f t="shared" si="57"/>
        <v>2.8280666326181356E-2</v>
      </c>
      <c r="J140" s="3">
        <f t="shared" si="57"/>
        <v>2.8280666202327685E-2</v>
      </c>
      <c r="K140" s="3">
        <f t="shared" si="57"/>
        <v>2.8280664963790995E-2</v>
      </c>
      <c r="L140" s="3">
        <f t="shared" si="57"/>
        <v>2.8280652578427077E-2</v>
      </c>
      <c r="M140" s="3">
        <f t="shared" si="57"/>
        <v>2.8280528725086226E-2</v>
      </c>
      <c r="N140" s="3">
        <f t="shared" si="57"/>
        <v>2.8279290221509781E-2</v>
      </c>
      <c r="O140" s="3">
        <f t="shared" si="57"/>
        <v>2.8266908168466349E-2</v>
      </c>
      <c r="P140" s="3">
        <f t="shared" si="57"/>
        <v>2.8143385427383406E-2</v>
      </c>
      <c r="Q140" s="3">
        <f t="shared" si="57"/>
        <v>2.6937460015696343E-2</v>
      </c>
      <c r="R140" s="3">
        <f t="shared" si="57"/>
        <v>1.738439923616663E-2</v>
      </c>
      <c r="S140" s="3">
        <f t="shared" si="57"/>
        <v>2.1786633581644081E-4</v>
      </c>
      <c r="T140" s="3">
        <f t="shared" si="57"/>
        <v>2.0820662833491897E-23</v>
      </c>
      <c r="U140" s="3">
        <f t="shared" si="57"/>
        <v>1.3229358078041861E-213</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2.7707301103179493E-2</v>
      </c>
      <c r="C141" s="3">
        <f t="shared" si="59"/>
        <v>2.7707301103179493E-2</v>
      </c>
      <c r="D141" s="3">
        <f t="shared" si="59"/>
        <v>2.7707301103179479E-2</v>
      </c>
      <c r="E141" s="3">
        <f t="shared" si="59"/>
        <v>2.7707301103179371E-2</v>
      </c>
      <c r="F141" s="3">
        <f t="shared" si="59"/>
        <v>2.7707301103178279E-2</v>
      </c>
      <c r="G141" s="3">
        <f t="shared" si="59"/>
        <v>2.7707301103167329E-2</v>
      </c>
      <c r="H141" s="3">
        <f t="shared" si="59"/>
        <v>2.7707301103057868E-2</v>
      </c>
      <c r="I141" s="3">
        <f t="shared" si="59"/>
        <v>2.7707301101963257E-2</v>
      </c>
      <c r="J141" s="3">
        <f t="shared" si="59"/>
        <v>2.7707301091017142E-2</v>
      </c>
      <c r="K141" s="3">
        <f t="shared" si="59"/>
        <v>2.7707300981555976E-2</v>
      </c>
      <c r="L141" s="3">
        <f t="shared" si="59"/>
        <v>2.7707299886944356E-2</v>
      </c>
      <c r="M141" s="3">
        <f t="shared" si="59"/>
        <v>2.7707288940830511E-2</v>
      </c>
      <c r="N141" s="3">
        <f t="shared" si="59"/>
        <v>2.7707179479929924E-2</v>
      </c>
      <c r="O141" s="3">
        <f t="shared" si="59"/>
        <v>2.7706084894707887E-2</v>
      </c>
      <c r="P141" s="3">
        <f t="shared" si="59"/>
        <v>2.7695141420521499E-2</v>
      </c>
      <c r="Q141" s="3">
        <f t="shared" si="59"/>
        <v>2.7585944134821488E-2</v>
      </c>
      <c r="R141" s="3">
        <f t="shared" si="59"/>
        <v>2.6517373434452218E-2</v>
      </c>
      <c r="S141" s="3">
        <f t="shared" si="59"/>
        <v>1.7863108153205749E-2</v>
      </c>
      <c r="T141" s="3">
        <f t="shared" si="59"/>
        <v>3.4373381479804109E-4</v>
      </c>
      <c r="U141" s="3">
        <f t="shared" si="59"/>
        <v>2.3926245818105351E-21</v>
      </c>
      <c r="V141" s="3">
        <f t="shared" si="59"/>
        <v>6.3884806630066339E-193</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2.6509888121377792E-2</v>
      </c>
      <c r="C142" s="3">
        <f t="shared" si="61"/>
        <v>2.6509888121377792E-2</v>
      </c>
      <c r="D142" s="3">
        <f t="shared" si="61"/>
        <v>2.6509888121377792E-2</v>
      </c>
      <c r="E142" s="3">
        <f t="shared" si="61"/>
        <v>2.6509888121377782E-2</v>
      </c>
      <c r="F142" s="3">
        <f t="shared" si="61"/>
        <v>2.6509888121377684E-2</v>
      </c>
      <c r="G142" s="3">
        <f t="shared" si="61"/>
        <v>2.6509888121376741E-2</v>
      </c>
      <c r="H142" s="3">
        <f t="shared" si="61"/>
        <v>2.6509888121367294E-2</v>
      </c>
      <c r="I142" s="3">
        <f t="shared" si="61"/>
        <v>2.650988812127282E-2</v>
      </c>
      <c r="J142" s="3">
        <f t="shared" si="61"/>
        <v>2.6509888120328062E-2</v>
      </c>
      <c r="K142" s="3">
        <f t="shared" si="61"/>
        <v>2.6509888110880488E-2</v>
      </c>
      <c r="L142" s="3">
        <f t="shared" si="61"/>
        <v>2.6509888016404741E-2</v>
      </c>
      <c r="M142" s="3">
        <f t="shared" si="61"/>
        <v>2.6509887071647309E-2</v>
      </c>
      <c r="N142" s="3">
        <f t="shared" si="61"/>
        <v>2.6509877624074828E-2</v>
      </c>
      <c r="O142" s="3">
        <f t="shared" si="61"/>
        <v>2.6509783148535221E-2</v>
      </c>
      <c r="P142" s="3">
        <f t="shared" si="61"/>
        <v>2.650883841165692E-2</v>
      </c>
      <c r="Q142" s="3">
        <f t="shared" si="61"/>
        <v>2.6499392894408457E-2</v>
      </c>
      <c r="R142" s="3">
        <f t="shared" si="61"/>
        <v>2.640512263146768E-2</v>
      </c>
      <c r="S142" s="3">
        <f t="shared" si="61"/>
        <v>2.5480669440930116E-2</v>
      </c>
      <c r="T142" s="3">
        <f t="shared" si="61"/>
        <v>1.784174319423322E-2</v>
      </c>
      <c r="U142" s="3">
        <f t="shared" si="61"/>
        <v>5.0547745048609249E-4</v>
      </c>
      <c r="V142" s="3">
        <f t="shared" si="61"/>
        <v>1.6840183104160007E-19</v>
      </c>
      <c r="W142" s="3">
        <f t="shared" si="61"/>
        <v>2.836593078434751E-174</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3.0096089334719207E-2</v>
      </c>
      <c r="C143" s="3">
        <f t="shared" si="63"/>
        <v>3.0096089334719207E-2</v>
      </c>
      <c r="D143" s="3">
        <f t="shared" si="63"/>
        <v>3.0096089334719207E-2</v>
      </c>
      <c r="E143" s="3">
        <f t="shared" si="63"/>
        <v>3.0096089334719207E-2</v>
      </c>
      <c r="F143" s="3">
        <f t="shared" si="63"/>
        <v>3.0096089334719196E-2</v>
      </c>
      <c r="G143" s="3">
        <f t="shared" si="63"/>
        <v>3.0096089334719099E-2</v>
      </c>
      <c r="H143" s="3">
        <f t="shared" si="63"/>
        <v>3.0096089334718131E-2</v>
      </c>
      <c r="I143" s="3">
        <f t="shared" si="63"/>
        <v>3.0096089334708458E-2</v>
      </c>
      <c r="J143" s="3">
        <f t="shared" si="63"/>
        <v>3.0096089334611702E-2</v>
      </c>
      <c r="K143" s="3">
        <f t="shared" si="63"/>
        <v>3.009608933364416E-2</v>
      </c>
      <c r="L143" s="3">
        <f t="shared" si="63"/>
        <v>3.0096089323968758E-2</v>
      </c>
      <c r="M143" s="3">
        <f t="shared" si="63"/>
        <v>3.0096089227214722E-2</v>
      </c>
      <c r="N143" s="3">
        <f t="shared" si="63"/>
        <v>3.0096088259674379E-2</v>
      </c>
      <c r="O143" s="3">
        <f t="shared" si="63"/>
        <v>3.0096078584272681E-2</v>
      </c>
      <c r="P143" s="3">
        <f t="shared" si="63"/>
        <v>3.0095981830426746E-2</v>
      </c>
      <c r="Q143" s="3">
        <f t="shared" si="63"/>
        <v>3.0095014309074856E-2</v>
      </c>
      <c r="R143" s="3">
        <f t="shared" si="63"/>
        <v>3.0085340806096619E-2</v>
      </c>
      <c r="S143" s="3">
        <f t="shared" si="63"/>
        <v>2.9988776627089389E-2</v>
      </c>
      <c r="T143" s="3">
        <f t="shared" si="63"/>
        <v>2.9040018425010868E-2</v>
      </c>
      <c r="U143" s="3">
        <f t="shared" si="63"/>
        <v>2.1056116254820394E-2</v>
      </c>
      <c r="V143" s="3">
        <f t="shared" si="63"/>
        <v>8.4565280090572847E-4</v>
      </c>
      <c r="W143" s="3">
        <f t="shared" si="63"/>
        <v>9.2327337228591961E-18</v>
      </c>
      <c r="X143" s="3">
        <f t="shared" si="63"/>
        <v>2.2218385539723092E-157</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3.6902665150925024E-2</v>
      </c>
      <c r="C144" s="3">
        <f t="shared" si="65"/>
        <v>3.6902665150925024E-2</v>
      </c>
      <c r="D144" s="3">
        <f t="shared" si="65"/>
        <v>3.6902665150925024E-2</v>
      </c>
      <c r="E144" s="3">
        <f t="shared" si="65"/>
        <v>3.6902665150925024E-2</v>
      </c>
      <c r="F144" s="3">
        <f t="shared" si="65"/>
        <v>3.6902665150925024E-2</v>
      </c>
      <c r="G144" s="3">
        <f t="shared" si="65"/>
        <v>3.690266515092501E-2</v>
      </c>
      <c r="H144" s="3">
        <f t="shared" si="65"/>
        <v>3.6902665150924906E-2</v>
      </c>
      <c r="I144" s="3">
        <f t="shared" si="65"/>
        <v>3.6902665150923837E-2</v>
      </c>
      <c r="J144" s="3">
        <f t="shared" si="65"/>
        <v>3.6902665150913137E-2</v>
      </c>
      <c r="K144" s="3">
        <f t="shared" si="65"/>
        <v>3.6902665150806112E-2</v>
      </c>
      <c r="L144" s="3">
        <f t="shared" si="65"/>
        <v>3.6902665149735919E-2</v>
      </c>
      <c r="M144" s="3">
        <f t="shared" si="65"/>
        <v>3.6902665139033952E-2</v>
      </c>
      <c r="N144" s="3">
        <f t="shared" si="65"/>
        <v>3.6902665032014351E-2</v>
      </c>
      <c r="O144" s="3">
        <f t="shared" si="65"/>
        <v>3.6902663961818315E-2</v>
      </c>
      <c r="P144" s="3">
        <f t="shared" si="65"/>
        <v>3.6902653259859641E-2</v>
      </c>
      <c r="Q144" s="3">
        <f t="shared" si="65"/>
        <v>3.6902546240443632E-2</v>
      </c>
      <c r="R144" s="3">
        <f t="shared" si="65"/>
        <v>3.6901476063353277E-2</v>
      </c>
      <c r="S144" s="3">
        <f t="shared" si="65"/>
        <v>3.6890775999238852E-2</v>
      </c>
      <c r="T144" s="3">
        <f t="shared" si="65"/>
        <v>3.6783945854009535E-2</v>
      </c>
      <c r="U144" s="3">
        <f t="shared" si="65"/>
        <v>3.5732512458365839E-2</v>
      </c>
      <c r="V144" s="3">
        <f t="shared" si="65"/>
        <v>2.6737201274568349E-2</v>
      </c>
      <c r="W144" s="3">
        <f t="shared" si="65"/>
        <v>1.471092093101312E-3</v>
      </c>
      <c r="X144" s="3">
        <f t="shared" si="65"/>
        <v>3.7400638764906577E-16</v>
      </c>
      <c r="Y144" s="3">
        <f t="shared" si="65"/>
        <v>4.2195933875841877E-142</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3.6161796888491096E-2</v>
      </c>
      <c r="C145" s="3">
        <f t="shared" si="68"/>
        <v>3.6161796888491096E-2</v>
      </c>
      <c r="D145" s="3">
        <f t="shared" si="68"/>
        <v>3.6161796888491096E-2</v>
      </c>
      <c r="E145" s="3">
        <f t="shared" si="68"/>
        <v>3.6161796888491096E-2</v>
      </c>
      <c r="F145" s="3">
        <f t="shared" si="68"/>
        <v>3.6161796888491096E-2</v>
      </c>
      <c r="G145" s="3">
        <f t="shared" si="68"/>
        <v>3.6161796888491096E-2</v>
      </c>
      <c r="H145" s="3">
        <f t="shared" si="68"/>
        <v>3.6161796888491082E-2</v>
      </c>
      <c r="I145" s="3">
        <f t="shared" si="68"/>
        <v>3.6161796888490992E-2</v>
      </c>
      <c r="J145" s="3">
        <f t="shared" si="68"/>
        <v>3.6161796888490041E-2</v>
      </c>
      <c r="K145" s="3">
        <f t="shared" si="68"/>
        <v>3.6161796888480584E-2</v>
      </c>
      <c r="L145" s="3">
        <f t="shared" si="68"/>
        <v>3.6161796888385979E-2</v>
      </c>
      <c r="M145" s="3">
        <f t="shared" si="68"/>
        <v>3.6161796887439958E-2</v>
      </c>
      <c r="N145" s="3">
        <f t="shared" si="68"/>
        <v>3.616179687797972E-2</v>
      </c>
      <c r="O145" s="3">
        <f t="shared" si="68"/>
        <v>3.6161796783377304E-2</v>
      </c>
      <c r="P145" s="3">
        <f t="shared" si="68"/>
        <v>3.6161795837353204E-2</v>
      </c>
      <c r="Q145" s="3">
        <f t="shared" si="68"/>
        <v>3.6161786377113564E-2</v>
      </c>
      <c r="R145" s="3">
        <f t="shared" si="68"/>
        <v>3.616169177485324E-2</v>
      </c>
      <c r="S145" s="3">
        <f t="shared" si="68"/>
        <v>3.6160745765861743E-2</v>
      </c>
      <c r="T145" s="3">
        <f t="shared" si="68"/>
        <v>3.6151287036985252E-2</v>
      </c>
      <c r="U145" s="3">
        <f t="shared" si="68"/>
        <v>3.6056835720415334E-2</v>
      </c>
      <c r="V145" s="3">
        <f t="shared" si="68"/>
        <v>3.5125789075551576E-2</v>
      </c>
      <c r="W145" s="3">
        <f t="shared" si="68"/>
        <v>2.7040260333358993E-2</v>
      </c>
      <c r="X145" s="3">
        <f t="shared" si="68"/>
        <v>1.9763263555818106E-3</v>
      </c>
      <c r="Y145" s="3">
        <f t="shared" si="68"/>
        <v>8.5967955801707257E-15</v>
      </c>
      <c r="Z145" s="3">
        <f t="shared" si="68"/>
        <v>2.0850476122998169E-128</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5.7659888823700683E-2</v>
      </c>
      <c r="C146" s="3">
        <f t="shared" si="70"/>
        <v>5.7659888823700683E-2</v>
      </c>
      <c r="D146" s="3">
        <f t="shared" si="70"/>
        <v>5.7659888823700683E-2</v>
      </c>
      <c r="E146" s="3">
        <f t="shared" si="70"/>
        <v>5.7659888823700683E-2</v>
      </c>
      <c r="F146" s="3">
        <f t="shared" si="70"/>
        <v>5.7659888823700683E-2</v>
      </c>
      <c r="G146" s="3">
        <f t="shared" si="70"/>
        <v>5.7659888823700683E-2</v>
      </c>
      <c r="H146" s="3">
        <f t="shared" si="70"/>
        <v>5.7659888823700683E-2</v>
      </c>
      <c r="I146" s="3">
        <f t="shared" si="70"/>
        <v>5.765988882370067E-2</v>
      </c>
      <c r="J146" s="3">
        <f t="shared" si="70"/>
        <v>5.7659888823700531E-2</v>
      </c>
      <c r="K146" s="3">
        <f t="shared" si="70"/>
        <v>5.7659888823699171E-2</v>
      </c>
      <c r="L146" s="3">
        <f t="shared" si="70"/>
        <v>5.7659888823685564E-2</v>
      </c>
      <c r="M146" s="3">
        <f t="shared" si="70"/>
        <v>5.7659888823549492E-2</v>
      </c>
      <c r="N146" s="3">
        <f t="shared" si="70"/>
        <v>5.7659888822188754E-2</v>
      </c>
      <c r="O146" s="3">
        <f t="shared" si="70"/>
        <v>5.7659888808581437E-2</v>
      </c>
      <c r="P146" s="3">
        <f t="shared" si="70"/>
        <v>5.7659888672508236E-2</v>
      </c>
      <c r="Q146" s="3">
        <f t="shared" si="70"/>
        <v>5.7659887311776264E-2</v>
      </c>
      <c r="R146" s="3">
        <f t="shared" si="70"/>
        <v>5.7659873704458284E-2</v>
      </c>
      <c r="S146" s="3">
        <f t="shared" si="70"/>
        <v>5.7659737631455044E-2</v>
      </c>
      <c r="T146" s="3">
        <f t="shared" si="70"/>
        <v>5.7658376919084244E-2</v>
      </c>
      <c r="U146" s="3">
        <f t="shared" si="70"/>
        <v>5.7644771561381362E-2</v>
      </c>
      <c r="V146" s="3">
        <f t="shared" si="70"/>
        <v>5.7508894430754555E-2</v>
      </c>
      <c r="W146" s="3">
        <f t="shared" si="70"/>
        <v>5.6167614664098607E-2</v>
      </c>
      <c r="X146" s="3">
        <f t="shared" si="70"/>
        <v>4.436041492794808E-2</v>
      </c>
      <c r="Y146" s="3">
        <f t="shared" si="70"/>
        <v>4.1888208917062204E-3</v>
      </c>
      <c r="Z146" s="3">
        <f t="shared" si="70"/>
        <v>2.3607701384460292E-13</v>
      </c>
      <c r="AA146" s="3">
        <f t="shared" ref="AA146" si="71">$C32*EXP(-AA$129/$A32/EXP(-$B$126))</f>
        <v>7.6326056587709926E-116</v>
      </c>
      <c r="AB146" s="3">
        <f t="shared" si="67"/>
        <v>0</v>
      </c>
      <c r="AC146" s="3">
        <f t="shared" si="67"/>
        <v>0</v>
      </c>
      <c r="AD146" s="3">
        <f t="shared" si="67"/>
        <v>0</v>
      </c>
      <c r="AE146" s="3">
        <f t="shared" si="67"/>
        <v>0</v>
      </c>
      <c r="AF146" s="3">
        <f t="shared" si="67"/>
        <v>0</v>
      </c>
    </row>
    <row r="147" spans="1:32" x14ac:dyDescent="0.25">
      <c r="B147" s="3">
        <f t="shared" ref="B147:Z147" si="72">$C33*EXP(-B$129/$A33/EXP(-$B$126))</f>
        <v>7.0138718801303929E-2</v>
      </c>
      <c r="C147" s="3">
        <f t="shared" si="72"/>
        <v>7.0138718801303929E-2</v>
      </c>
      <c r="D147" s="3">
        <f t="shared" si="72"/>
        <v>7.0138718801303929E-2</v>
      </c>
      <c r="E147" s="3">
        <f t="shared" si="72"/>
        <v>7.0138718801303929E-2</v>
      </c>
      <c r="F147" s="3">
        <f t="shared" si="72"/>
        <v>7.0138718801303929E-2</v>
      </c>
      <c r="G147" s="3">
        <f t="shared" si="72"/>
        <v>7.0138718801303929E-2</v>
      </c>
      <c r="H147" s="3">
        <f t="shared" si="72"/>
        <v>7.0138718801303929E-2</v>
      </c>
      <c r="I147" s="3">
        <f t="shared" si="72"/>
        <v>7.0138718801303929E-2</v>
      </c>
      <c r="J147" s="3">
        <f t="shared" si="72"/>
        <v>7.0138718801303915E-2</v>
      </c>
      <c r="K147" s="3">
        <f t="shared" si="72"/>
        <v>7.0138718801303762E-2</v>
      </c>
      <c r="L147" s="3">
        <f t="shared" si="72"/>
        <v>7.0138718801302263E-2</v>
      </c>
      <c r="M147" s="3">
        <f t="shared" si="72"/>
        <v>7.0138718801287331E-2</v>
      </c>
      <c r="N147" s="3">
        <f t="shared" si="72"/>
        <v>7.013871880113802E-2</v>
      </c>
      <c r="O147" s="3">
        <f t="shared" si="72"/>
        <v>7.0138718799644881E-2</v>
      </c>
      <c r="P147" s="3">
        <f t="shared" si="72"/>
        <v>7.013871878471338E-2</v>
      </c>
      <c r="Q147" s="3">
        <f t="shared" si="72"/>
        <v>7.0138718635398459E-2</v>
      </c>
      <c r="R147" s="3">
        <f t="shared" si="72"/>
        <v>7.0138717142249243E-2</v>
      </c>
      <c r="S147" s="3">
        <f t="shared" si="72"/>
        <v>7.0138702210758866E-2</v>
      </c>
      <c r="T147" s="3">
        <f t="shared" si="72"/>
        <v>7.0138552896029924E-2</v>
      </c>
      <c r="U147" s="3">
        <f t="shared" si="72"/>
        <v>7.0137059766223128E-2</v>
      </c>
      <c r="V147" s="3">
        <f t="shared" si="72"/>
        <v>7.012213021628344E-2</v>
      </c>
      <c r="W147" s="3">
        <f t="shared" si="72"/>
        <v>6.9973009392090807E-2</v>
      </c>
      <c r="X147" s="3">
        <f t="shared" si="72"/>
        <v>6.8499131863256693E-2</v>
      </c>
      <c r="Y147" s="3">
        <f t="shared" si="72"/>
        <v>5.5364351529273763E-2</v>
      </c>
      <c r="Z147" s="3">
        <f t="shared" si="72"/>
        <v>6.5869098280652389E-3</v>
      </c>
      <c r="AA147" s="3">
        <f t="shared" ref="AA147" si="73">$C33*EXP(-AA$129/$A33/EXP(-$B$126))</f>
        <v>3.7428008991659688E-12</v>
      </c>
      <c r="AB147" s="3">
        <f t="shared" si="67"/>
        <v>1.3132481411134348E-104</v>
      </c>
      <c r="AC147" s="3">
        <f t="shared" si="67"/>
        <v>0</v>
      </c>
      <c r="AD147" s="3">
        <f t="shared" si="67"/>
        <v>0</v>
      </c>
      <c r="AE147" s="3">
        <f t="shared" si="67"/>
        <v>0</v>
      </c>
      <c r="AF147" s="3">
        <f t="shared" si="67"/>
        <v>0</v>
      </c>
    </row>
    <row r="148" spans="1:32" x14ac:dyDescent="0.25">
      <c r="B148" s="3">
        <f t="shared" ref="B148:Z148" si="74">$C34*EXP(-B$129/$A34/EXP(-$B$126))</f>
        <v>6.7659228447697881E-2</v>
      </c>
      <c r="C148" s="3">
        <f t="shared" si="74"/>
        <v>6.7659228447697881E-2</v>
      </c>
      <c r="D148" s="3">
        <f t="shared" si="74"/>
        <v>6.7659228447697881E-2</v>
      </c>
      <c r="E148" s="3">
        <f t="shared" si="74"/>
        <v>6.7659228447697881E-2</v>
      </c>
      <c r="F148" s="3">
        <f t="shared" si="74"/>
        <v>6.7659228447697881E-2</v>
      </c>
      <c r="G148" s="3">
        <f t="shared" si="74"/>
        <v>6.7659228447697881E-2</v>
      </c>
      <c r="H148" s="3">
        <f t="shared" si="74"/>
        <v>6.7659228447697881E-2</v>
      </c>
      <c r="I148" s="3">
        <f t="shared" si="74"/>
        <v>6.7659228447697881E-2</v>
      </c>
      <c r="J148" s="3">
        <f t="shared" si="74"/>
        <v>6.7659228447697881E-2</v>
      </c>
      <c r="K148" s="3">
        <f t="shared" si="74"/>
        <v>6.7659228447697867E-2</v>
      </c>
      <c r="L148" s="3">
        <f t="shared" si="74"/>
        <v>6.7659228447697742E-2</v>
      </c>
      <c r="M148" s="3">
        <f t="shared" si="74"/>
        <v>6.7659228447696437E-2</v>
      </c>
      <c r="N148" s="3">
        <f t="shared" si="74"/>
        <v>6.7659228447683448E-2</v>
      </c>
      <c r="O148" s="3">
        <f t="shared" si="74"/>
        <v>6.765922844755351E-2</v>
      </c>
      <c r="P148" s="3">
        <f t="shared" si="74"/>
        <v>6.7659228446254174E-2</v>
      </c>
      <c r="Q148" s="3">
        <f t="shared" si="74"/>
        <v>6.7659228433260901E-2</v>
      </c>
      <c r="R148" s="3">
        <f t="shared" si="74"/>
        <v>6.7659228303328031E-2</v>
      </c>
      <c r="S148" s="3">
        <f t="shared" si="74"/>
        <v>6.7659227003999386E-2</v>
      </c>
      <c r="T148" s="3">
        <f t="shared" si="74"/>
        <v>6.7659214010714286E-2</v>
      </c>
      <c r="U148" s="3">
        <f t="shared" si="74"/>
        <v>6.7659084078000586E-2</v>
      </c>
      <c r="V148" s="3">
        <f t="shared" si="74"/>
        <v>6.7657784764587309E-2</v>
      </c>
      <c r="W148" s="3">
        <f t="shared" si="74"/>
        <v>6.7644793002723982E-2</v>
      </c>
      <c r="X148" s="3">
        <f t="shared" si="74"/>
        <v>6.7515012513580455E-2</v>
      </c>
      <c r="Y148" s="3">
        <f t="shared" si="74"/>
        <v>6.6230823632479952E-2</v>
      </c>
      <c r="Z148" s="3">
        <f t="shared" si="74"/>
        <v>5.4658560487857728E-2</v>
      </c>
      <c r="AA148" s="3">
        <f>$C34*EXP(-AA$129/$A34/EXP(-$B$126))</f>
        <v>8.0101108889871122E-3</v>
      </c>
      <c r="AB148" s="3">
        <f t="shared" si="67"/>
        <v>3.6596699024680564E-11</v>
      </c>
      <c r="AC148" s="3">
        <f t="shared" si="67"/>
        <v>1.4503598692780596E-94</v>
      </c>
      <c r="AD148" s="3">
        <f t="shared" si="67"/>
        <v>0</v>
      </c>
      <c r="AE148" s="3">
        <f t="shared" si="67"/>
        <v>0</v>
      </c>
      <c r="AF148" s="3">
        <f t="shared" si="67"/>
        <v>0</v>
      </c>
    </row>
    <row r="149" spans="1:32" x14ac:dyDescent="0.25">
      <c r="B149" s="3">
        <f t="shared" ref="B149:Z149" si="75">$C35*EXP(-B$129/$A35/EXP(-$B$126))</f>
        <v>6.6765944370475505E-2</v>
      </c>
      <c r="C149" s="3">
        <f t="shared" si="75"/>
        <v>6.6765944370475505E-2</v>
      </c>
      <c r="D149" s="3">
        <f t="shared" si="75"/>
        <v>6.6765944370475505E-2</v>
      </c>
      <c r="E149" s="3">
        <f t="shared" si="75"/>
        <v>6.6765944370475505E-2</v>
      </c>
      <c r="F149" s="3">
        <f t="shared" si="75"/>
        <v>6.6765944370475505E-2</v>
      </c>
      <c r="G149" s="3">
        <f t="shared" si="75"/>
        <v>6.6765944370475505E-2</v>
      </c>
      <c r="H149" s="3">
        <f t="shared" si="75"/>
        <v>6.6765944370475505E-2</v>
      </c>
      <c r="I149" s="3">
        <f t="shared" si="75"/>
        <v>6.6765944370475505E-2</v>
      </c>
      <c r="J149" s="3">
        <f t="shared" si="75"/>
        <v>6.6765944370475505E-2</v>
      </c>
      <c r="K149" s="3">
        <f t="shared" si="75"/>
        <v>6.6765944370475505E-2</v>
      </c>
      <c r="L149" s="3">
        <f t="shared" si="75"/>
        <v>6.6765944370475491E-2</v>
      </c>
      <c r="M149" s="3">
        <f t="shared" si="75"/>
        <v>6.676594437047538E-2</v>
      </c>
      <c r="N149" s="3">
        <f t="shared" si="75"/>
        <v>6.6765944370474228E-2</v>
      </c>
      <c r="O149" s="3">
        <f t="shared" si="75"/>
        <v>6.6765944370462654E-2</v>
      </c>
      <c r="P149" s="3">
        <f t="shared" si="75"/>
        <v>6.6765944370346997E-2</v>
      </c>
      <c r="Q149" s="3">
        <f t="shared" si="75"/>
        <v>6.6765944369190366E-2</v>
      </c>
      <c r="R149" s="3">
        <f t="shared" si="75"/>
        <v>6.6765944357624091E-2</v>
      </c>
      <c r="S149" s="3">
        <f t="shared" si="75"/>
        <v>6.676594424196132E-2</v>
      </c>
      <c r="T149" s="3">
        <f t="shared" si="75"/>
        <v>6.6765943085333693E-2</v>
      </c>
      <c r="U149" s="3">
        <f t="shared" si="75"/>
        <v>6.6765931519058574E-2</v>
      </c>
      <c r="V149" s="3">
        <f t="shared" si="75"/>
        <v>6.6765815856417457E-2</v>
      </c>
      <c r="W149" s="3">
        <f t="shared" si="75"/>
        <v>6.676465924102655E-2</v>
      </c>
      <c r="X149" s="3">
        <f t="shared" si="75"/>
        <v>6.6753094189072631E-2</v>
      </c>
      <c r="Y149" s="3">
        <f t="shared" si="75"/>
        <v>6.6637553794442153E-2</v>
      </c>
      <c r="Z149" s="3">
        <f t="shared" si="75"/>
        <v>6.549309207772662E-2</v>
      </c>
      <c r="AA149" s="3">
        <f t="shared" ref="AA149" si="76">$C35*EXP(-AA$129/$A35/EXP(-$B$126))</f>
        <v>5.5075694605746274E-2</v>
      </c>
      <c r="AB149" s="3">
        <f t="shared" si="67"/>
        <v>9.7410296390405219E-3</v>
      </c>
      <c r="AC149" s="3">
        <f t="shared" si="67"/>
        <v>2.9177876480468568E-10</v>
      </c>
      <c r="AD149" s="3">
        <f t="shared" si="67"/>
        <v>1.69645306270633E-85</v>
      </c>
      <c r="AE149" s="3">
        <f t="shared" si="67"/>
        <v>0</v>
      </c>
      <c r="AF149" s="3">
        <f t="shared" si="67"/>
        <v>0</v>
      </c>
    </row>
    <row r="150" spans="1:32" x14ac:dyDescent="0.25">
      <c r="B150" s="3">
        <f t="shared" ref="B150:Z150" si="77">$C36*EXP(-B$129/$A36/EXP(-$B$126))</f>
        <v>4.8603939630861931E-2</v>
      </c>
      <c r="C150" s="3">
        <f t="shared" si="77"/>
        <v>4.8603939630861931E-2</v>
      </c>
      <c r="D150" s="3">
        <f t="shared" si="77"/>
        <v>4.8603939630861931E-2</v>
      </c>
      <c r="E150" s="3">
        <f t="shared" si="77"/>
        <v>4.8603939630861931E-2</v>
      </c>
      <c r="F150" s="3">
        <f t="shared" si="77"/>
        <v>4.8603939630861931E-2</v>
      </c>
      <c r="G150" s="3">
        <f t="shared" si="77"/>
        <v>4.8603939630861931E-2</v>
      </c>
      <c r="H150" s="3">
        <f t="shared" si="77"/>
        <v>4.8603939630861931E-2</v>
      </c>
      <c r="I150" s="3">
        <f t="shared" si="77"/>
        <v>4.8603939630861931E-2</v>
      </c>
      <c r="J150" s="3">
        <f t="shared" si="77"/>
        <v>4.8603939630861931E-2</v>
      </c>
      <c r="K150" s="3">
        <f t="shared" si="77"/>
        <v>4.8603939630861931E-2</v>
      </c>
      <c r="L150" s="3">
        <f t="shared" si="77"/>
        <v>4.8603939630861931E-2</v>
      </c>
      <c r="M150" s="3">
        <f t="shared" si="77"/>
        <v>4.8603939630861917E-2</v>
      </c>
      <c r="N150" s="3">
        <f t="shared" si="77"/>
        <v>4.8603939630861848E-2</v>
      </c>
      <c r="O150" s="3">
        <f t="shared" si="77"/>
        <v>4.8603939630861091E-2</v>
      </c>
      <c r="P150" s="3">
        <f t="shared" si="77"/>
        <v>4.8603939630853493E-2</v>
      </c>
      <c r="Q150" s="3">
        <f t="shared" si="77"/>
        <v>4.8603939630777533E-2</v>
      </c>
      <c r="R150" s="3">
        <f t="shared" si="77"/>
        <v>4.8603939630017988E-2</v>
      </c>
      <c r="S150" s="3">
        <f t="shared" si="77"/>
        <v>4.860393962242248E-2</v>
      </c>
      <c r="T150" s="3">
        <f t="shared" si="77"/>
        <v>4.8603939546467433E-2</v>
      </c>
      <c r="U150" s="3">
        <f t="shared" si="77"/>
        <v>4.8603938786916982E-2</v>
      </c>
      <c r="V150" s="3">
        <f t="shared" si="77"/>
        <v>4.860393119141309E-2</v>
      </c>
      <c r="W150" s="3">
        <f t="shared" si="77"/>
        <v>4.8603855236439418E-2</v>
      </c>
      <c r="X150" s="3">
        <f t="shared" si="77"/>
        <v>4.8603095693231069E-2</v>
      </c>
      <c r="Y150" s="3">
        <f t="shared" si="77"/>
        <v>4.8595500913942262E-2</v>
      </c>
      <c r="Z150" s="3">
        <f t="shared" si="77"/>
        <v>4.8519618362788584E-2</v>
      </c>
      <c r="AA150" s="3">
        <f t="shared" ref="AA150" si="78">$C36*EXP(-AA$129/$A36/EXP(-$B$126))</f>
        <v>4.776727945833309E-2</v>
      </c>
      <c r="AB150" s="3">
        <f t="shared" si="67"/>
        <v>4.0856561781501564E-2</v>
      </c>
      <c r="AC150" s="3">
        <f t="shared" si="67"/>
        <v>8.5619938160129729E-3</v>
      </c>
      <c r="AD150" s="3">
        <f t="shared" si="67"/>
        <v>1.3986396738724179E-9</v>
      </c>
      <c r="AE150" s="3">
        <f t="shared" si="67"/>
        <v>1.892409754601209E-77</v>
      </c>
      <c r="AF150" s="3">
        <f t="shared" si="67"/>
        <v>0</v>
      </c>
    </row>
    <row r="151" spans="1:32" x14ac:dyDescent="0.25">
      <c r="B151" s="3">
        <f t="shared" ref="B151:Z151" si="79">$C37*EXP(-B$129/$A37/EXP(-$B$126))</f>
        <v>3.7549192378247005E-2</v>
      </c>
      <c r="C151" s="3">
        <f t="shared" si="79"/>
        <v>3.7549192378247005E-2</v>
      </c>
      <c r="D151" s="3">
        <f t="shared" si="79"/>
        <v>3.7549192378247005E-2</v>
      </c>
      <c r="E151" s="3">
        <f t="shared" si="79"/>
        <v>3.7549192378247005E-2</v>
      </c>
      <c r="F151" s="3">
        <f t="shared" si="79"/>
        <v>3.7549192378247005E-2</v>
      </c>
      <c r="G151" s="3">
        <f t="shared" si="79"/>
        <v>3.7549192378247005E-2</v>
      </c>
      <c r="H151" s="3">
        <f t="shared" si="79"/>
        <v>3.7549192378247005E-2</v>
      </c>
      <c r="I151" s="3">
        <f t="shared" si="79"/>
        <v>3.7549192378247005E-2</v>
      </c>
      <c r="J151" s="3">
        <f t="shared" si="79"/>
        <v>3.7549192378247005E-2</v>
      </c>
      <c r="K151" s="3">
        <f t="shared" si="79"/>
        <v>3.7549192378247005E-2</v>
      </c>
      <c r="L151" s="3">
        <f t="shared" si="79"/>
        <v>3.7549192378247005E-2</v>
      </c>
      <c r="M151" s="3">
        <f t="shared" si="79"/>
        <v>3.7549192378247005E-2</v>
      </c>
      <c r="N151" s="3">
        <f t="shared" si="79"/>
        <v>3.7549192378246998E-2</v>
      </c>
      <c r="O151" s="3">
        <f t="shared" si="79"/>
        <v>3.754919237824695E-2</v>
      </c>
      <c r="P151" s="3">
        <f t="shared" si="79"/>
        <v>3.7549192378246415E-2</v>
      </c>
      <c r="Q151" s="3">
        <f t="shared" si="79"/>
        <v>3.7549192378241121E-2</v>
      </c>
      <c r="R151" s="3">
        <f t="shared" si="79"/>
        <v>3.7549192378188191E-2</v>
      </c>
      <c r="S151" s="3">
        <f t="shared" si="79"/>
        <v>3.7549192377658858E-2</v>
      </c>
      <c r="T151" s="3">
        <f t="shared" si="79"/>
        <v>3.7549192372365481E-2</v>
      </c>
      <c r="U151" s="3">
        <f t="shared" si="79"/>
        <v>3.7549192319431775E-2</v>
      </c>
      <c r="V151" s="3">
        <f t="shared" si="79"/>
        <v>3.7549191790094652E-2</v>
      </c>
      <c r="W151" s="3">
        <f t="shared" si="79"/>
        <v>3.7549186496723903E-2</v>
      </c>
      <c r="X151" s="3">
        <f t="shared" si="79"/>
        <v>3.7549133563057412E-2</v>
      </c>
      <c r="Y151" s="3">
        <f t="shared" si="79"/>
        <v>3.754860423049669E-2</v>
      </c>
      <c r="Z151" s="3">
        <f t="shared" si="79"/>
        <v>3.7543311315284073E-2</v>
      </c>
      <c r="AA151" s="3">
        <f t="shared" ref="AA151" si="80">$C37*EXP(-AA$129/$A37/EXP(-$B$126))</f>
        <v>3.7490423181218459E-2</v>
      </c>
      <c r="AB151" s="3">
        <f t="shared" si="67"/>
        <v>3.696562233223824E-2</v>
      </c>
      <c r="AC151" s="3">
        <f t="shared" si="67"/>
        <v>3.2105158403337108E-2</v>
      </c>
      <c r="AD151" s="3">
        <f t="shared" si="67"/>
        <v>7.8404820685185825E-3</v>
      </c>
      <c r="AE151" s="3">
        <f t="shared" si="67"/>
        <v>5.9159194865469726E-9</v>
      </c>
      <c r="AF151" s="3">
        <f t="shared" si="67"/>
        <v>3.5384832448536489E-70</v>
      </c>
    </row>
    <row r="152" spans="1:32" x14ac:dyDescent="0.25">
      <c r="B152" s="3">
        <f t="shared" ref="B152:Z152" si="81">$C38*EXP(-B$129/$A38/EXP(-$B$126))</f>
        <v>7.8409043454057813E-3</v>
      </c>
      <c r="C152" s="3">
        <f t="shared" si="81"/>
        <v>7.8409043454057813E-3</v>
      </c>
      <c r="D152" s="3">
        <f t="shared" si="81"/>
        <v>7.8409043454057813E-3</v>
      </c>
      <c r="E152" s="3">
        <f t="shared" si="81"/>
        <v>7.8409043454057813E-3</v>
      </c>
      <c r="F152" s="3">
        <f t="shared" si="81"/>
        <v>7.8409043454057813E-3</v>
      </c>
      <c r="G152" s="3">
        <f t="shared" si="81"/>
        <v>7.8409043454057813E-3</v>
      </c>
      <c r="H152" s="3">
        <f t="shared" si="81"/>
        <v>7.8409043454057813E-3</v>
      </c>
      <c r="I152" s="3">
        <f t="shared" si="81"/>
        <v>7.8409043454057813E-3</v>
      </c>
      <c r="J152" s="3">
        <f t="shared" si="81"/>
        <v>7.8409043454057813E-3</v>
      </c>
      <c r="K152" s="3">
        <f t="shared" si="81"/>
        <v>7.8409043454057813E-3</v>
      </c>
      <c r="L152" s="3">
        <f t="shared" si="81"/>
        <v>7.8409043454057813E-3</v>
      </c>
      <c r="M152" s="3">
        <f t="shared" si="81"/>
        <v>7.8409043454057813E-3</v>
      </c>
      <c r="N152" s="3">
        <f t="shared" si="81"/>
        <v>7.8409043454057813E-3</v>
      </c>
      <c r="O152" s="3">
        <f t="shared" si="81"/>
        <v>7.8409043454057796E-3</v>
      </c>
      <c r="P152" s="3">
        <f t="shared" si="81"/>
        <v>7.8409043454057692E-3</v>
      </c>
      <c r="Q152" s="3">
        <f t="shared" si="81"/>
        <v>7.8409043454056703E-3</v>
      </c>
      <c r="R152" s="3">
        <f t="shared" si="81"/>
        <v>7.8409043454046728E-3</v>
      </c>
      <c r="S152" s="3">
        <f t="shared" si="81"/>
        <v>7.8409043453947017E-3</v>
      </c>
      <c r="T152" s="3">
        <f t="shared" si="81"/>
        <v>7.8409043452949915E-3</v>
      </c>
      <c r="U152" s="3">
        <f t="shared" si="81"/>
        <v>7.8409043442978776E-3</v>
      </c>
      <c r="V152" s="3">
        <f t="shared" si="81"/>
        <v>7.8409043343267443E-3</v>
      </c>
      <c r="W152" s="3">
        <f t="shared" si="81"/>
        <v>7.8409042346154183E-3</v>
      </c>
      <c r="X152" s="3">
        <f t="shared" si="81"/>
        <v>7.8409032375022242E-3</v>
      </c>
      <c r="Y152" s="3">
        <f t="shared" si="81"/>
        <v>7.8408932663772499E-3</v>
      </c>
      <c r="Z152" s="3">
        <f t="shared" si="81"/>
        <v>7.8407935558249073E-3</v>
      </c>
      <c r="AA152" s="3">
        <f t="shared" ref="AA152" si="82">$C38*EXP(-AA$129/$A38/EXP(-$B$126))</f>
        <v>7.8397965200384164E-3</v>
      </c>
      <c r="AB152" s="3">
        <f t="shared" si="67"/>
        <v>7.8298331325863165E-3</v>
      </c>
      <c r="AC152" s="3">
        <f t="shared" si="67"/>
        <v>7.7308930307397267E-3</v>
      </c>
      <c r="AD152" s="3">
        <f t="shared" si="67"/>
        <v>6.8077130221900423E-3</v>
      </c>
      <c r="AE152" s="3">
        <f t="shared" si="67"/>
        <v>1.9086091299019016E-3</v>
      </c>
      <c r="AF152" s="3">
        <f t="shared" si="67"/>
        <v>5.7263062104842482E-9</v>
      </c>
    </row>
    <row r="153" spans="1:32" x14ac:dyDescent="0.25">
      <c r="B153" s="3">
        <f t="shared" ref="B153:Z153" si="83">$C39*EXP(-B$129/$A39/EXP(-$B$126))</f>
        <v>1.487119099211914E-2</v>
      </c>
      <c r="C153" s="3">
        <f t="shared" si="83"/>
        <v>1.487119099211914E-2</v>
      </c>
      <c r="D153" s="3">
        <f t="shared" si="83"/>
        <v>1.487119099211914E-2</v>
      </c>
      <c r="E153" s="3">
        <f t="shared" si="83"/>
        <v>1.487119099211914E-2</v>
      </c>
      <c r="F153" s="3">
        <f t="shared" si="83"/>
        <v>1.487119099211914E-2</v>
      </c>
      <c r="G153" s="3">
        <f t="shared" si="83"/>
        <v>1.487119099211914E-2</v>
      </c>
      <c r="H153" s="3">
        <f t="shared" si="83"/>
        <v>1.487119099211914E-2</v>
      </c>
      <c r="I153" s="3">
        <f t="shared" si="83"/>
        <v>1.487119099211914E-2</v>
      </c>
      <c r="J153" s="3">
        <f t="shared" si="83"/>
        <v>1.487119099211914E-2</v>
      </c>
      <c r="K153" s="3">
        <f t="shared" si="83"/>
        <v>1.487119099211914E-2</v>
      </c>
      <c r="L153" s="3">
        <f t="shared" si="83"/>
        <v>1.487119099211914E-2</v>
      </c>
      <c r="M153" s="3">
        <f t="shared" si="83"/>
        <v>1.487119099211914E-2</v>
      </c>
      <c r="N153" s="3">
        <f t="shared" si="83"/>
        <v>1.487119099211914E-2</v>
      </c>
      <c r="O153" s="3">
        <f t="shared" si="83"/>
        <v>1.487119099211914E-2</v>
      </c>
      <c r="P153" s="3">
        <f t="shared" si="83"/>
        <v>1.4871190992119133E-2</v>
      </c>
      <c r="Q153" s="3">
        <f t="shared" si="83"/>
        <v>1.4871190992119082E-2</v>
      </c>
      <c r="R153" s="3">
        <f t="shared" si="83"/>
        <v>1.4871190992118559E-2</v>
      </c>
      <c r="S153" s="3">
        <f t="shared" si="83"/>
        <v>1.4871190992113328E-2</v>
      </c>
      <c r="T153" s="3">
        <f t="shared" si="83"/>
        <v>1.4871190992061023E-2</v>
      </c>
      <c r="U153" s="3">
        <f t="shared" si="83"/>
        <v>1.4871190991537981E-2</v>
      </c>
      <c r="V153" s="3">
        <f t="shared" si="83"/>
        <v>1.4871190986307556E-2</v>
      </c>
      <c r="W153" s="3">
        <f t="shared" si="83"/>
        <v>1.487119093400331E-2</v>
      </c>
      <c r="X153" s="3">
        <f t="shared" si="83"/>
        <v>1.4871190410960852E-2</v>
      </c>
      <c r="Y153" s="3">
        <f t="shared" si="83"/>
        <v>1.4871185180537271E-2</v>
      </c>
      <c r="Z153" s="3">
        <f t="shared" si="83"/>
        <v>1.4871132876402654E-2</v>
      </c>
      <c r="AA153" s="3">
        <f t="shared" ref="AA153" si="84">$C39*EXP(-AA$129/$A39/EXP(-$B$126))</f>
        <v>1.4870609845174245E-2</v>
      </c>
      <c r="AB153" s="3">
        <f t="shared" si="67"/>
        <v>1.4865380544534949E-2</v>
      </c>
      <c r="AC153" s="3">
        <f t="shared" si="67"/>
        <v>1.4813188571095452E-2</v>
      </c>
      <c r="AD153" s="3">
        <f t="shared" si="67"/>
        <v>1.4301241880942664E-2</v>
      </c>
      <c r="AE153" s="3">
        <f t="shared" si="67"/>
        <v>1.006064346355282E-2</v>
      </c>
      <c r="AF153" s="3">
        <f t="shared" si="67"/>
        <v>2.9863851829478371E-4</v>
      </c>
    </row>
    <row r="154" spans="1:32" x14ac:dyDescent="0.25">
      <c r="B154" s="3">
        <f t="shared" ref="B154:Z154" si="85">$C40*EXP(-B$129/$A40/EXP(-$B$126))</f>
        <v>3.2949113910046581E-3</v>
      </c>
      <c r="C154" s="3">
        <f t="shared" si="85"/>
        <v>3.2949113910046581E-3</v>
      </c>
      <c r="D154" s="3">
        <f t="shared" si="85"/>
        <v>3.2949113910046581E-3</v>
      </c>
      <c r="E154" s="3">
        <f t="shared" si="85"/>
        <v>3.2949113910046581E-3</v>
      </c>
      <c r="F154" s="3">
        <f t="shared" si="85"/>
        <v>3.2949113910046581E-3</v>
      </c>
      <c r="G154" s="3">
        <f t="shared" si="85"/>
        <v>3.2949113910046581E-3</v>
      </c>
      <c r="H154" s="3">
        <f t="shared" si="85"/>
        <v>3.2949113910046581E-3</v>
      </c>
      <c r="I154" s="3">
        <f t="shared" si="85"/>
        <v>3.2949113910046581E-3</v>
      </c>
      <c r="J154" s="3">
        <f t="shared" si="85"/>
        <v>3.2949113910046581E-3</v>
      </c>
      <c r="K154" s="3">
        <f t="shared" si="85"/>
        <v>3.2949113910046581E-3</v>
      </c>
      <c r="L154" s="3">
        <f t="shared" si="85"/>
        <v>3.2949113910046581E-3</v>
      </c>
      <c r="M154" s="3">
        <f t="shared" si="85"/>
        <v>3.2949113910046581E-3</v>
      </c>
      <c r="N154" s="3">
        <f t="shared" si="85"/>
        <v>3.2949113910046581E-3</v>
      </c>
      <c r="O154" s="3">
        <f t="shared" si="85"/>
        <v>3.2949113910046581E-3</v>
      </c>
      <c r="P154" s="3">
        <f t="shared" si="85"/>
        <v>3.2949113910046581E-3</v>
      </c>
      <c r="Q154" s="3">
        <f t="shared" si="85"/>
        <v>3.2949113910046568E-3</v>
      </c>
      <c r="R154" s="3">
        <f t="shared" si="85"/>
        <v>3.2949113910046451E-3</v>
      </c>
      <c r="S154" s="3">
        <f t="shared" si="85"/>
        <v>3.2949113910045293E-3</v>
      </c>
      <c r="T154" s="3">
        <f t="shared" si="85"/>
        <v>3.2949113910033705E-3</v>
      </c>
      <c r="U154" s="3">
        <f t="shared" si="85"/>
        <v>3.2949113909917817E-3</v>
      </c>
      <c r="V154" s="3">
        <f t="shared" si="85"/>
        <v>3.2949113908758943E-3</v>
      </c>
      <c r="W154" s="3">
        <f t="shared" si="85"/>
        <v>3.294911389717024E-3</v>
      </c>
      <c r="X154" s="3">
        <f t="shared" si="85"/>
        <v>3.2949113781283179E-3</v>
      </c>
      <c r="Y154" s="3">
        <f t="shared" si="85"/>
        <v>3.2949112622412615E-3</v>
      </c>
      <c r="Z154" s="3">
        <f t="shared" si="85"/>
        <v>3.2949101033709167E-3</v>
      </c>
      <c r="AA154" s="3">
        <f t="shared" ref="AA154:AF154" si="86">$C40*EXP(-AA$129/$A40/EXP(-$B$126))</f>
        <v>3.2948985146898863E-3</v>
      </c>
      <c r="AB154" s="3">
        <f t="shared" si="86"/>
        <v>3.2947826301213102E-3</v>
      </c>
      <c r="AC154" s="3">
        <f t="shared" si="86"/>
        <v>3.2936240085789919E-3</v>
      </c>
      <c r="AD154" s="3">
        <f t="shared" si="86"/>
        <v>3.2820601783588063E-3</v>
      </c>
      <c r="AE154" s="3">
        <f t="shared" si="86"/>
        <v>3.168631537581785E-3</v>
      </c>
      <c r="AF154" s="3">
        <f t="shared" si="86"/>
        <v>2.2290702046973733E-3</v>
      </c>
    </row>
    <row r="155" spans="1:32" x14ac:dyDescent="0.25">
      <c r="B155" s="3">
        <f t="shared" ref="B155:Z155" si="87">$C41*EXP(-B$129/$A41/EXP(-$B$126))</f>
        <v>4.0317394660720415E-3</v>
      </c>
      <c r="C155" s="3">
        <f t="shared" si="87"/>
        <v>4.0317394660720415E-3</v>
      </c>
      <c r="D155" s="3">
        <f t="shared" si="87"/>
        <v>4.0317394660720415E-3</v>
      </c>
      <c r="E155" s="3">
        <f t="shared" si="87"/>
        <v>4.0317394660720415E-3</v>
      </c>
      <c r="F155" s="3">
        <f t="shared" si="87"/>
        <v>4.0317394660720415E-3</v>
      </c>
      <c r="G155" s="3">
        <f t="shared" si="87"/>
        <v>4.0317394660720415E-3</v>
      </c>
      <c r="H155" s="3">
        <f t="shared" si="87"/>
        <v>4.0317394660720415E-3</v>
      </c>
      <c r="I155" s="3">
        <f t="shared" si="87"/>
        <v>4.0317394660720415E-3</v>
      </c>
      <c r="J155" s="3">
        <f t="shared" si="87"/>
        <v>4.0317394660720415E-3</v>
      </c>
      <c r="K155" s="3">
        <f t="shared" si="87"/>
        <v>4.0317394660720415E-3</v>
      </c>
      <c r="L155" s="3">
        <f t="shared" si="87"/>
        <v>4.0317394660720415E-3</v>
      </c>
      <c r="M155" s="3">
        <f t="shared" si="87"/>
        <v>4.0317394660720415E-3</v>
      </c>
      <c r="N155" s="3">
        <f t="shared" si="87"/>
        <v>4.0317394660720415E-3</v>
      </c>
      <c r="O155" s="3">
        <f t="shared" si="87"/>
        <v>4.0317394660720415E-3</v>
      </c>
      <c r="P155" s="3">
        <f t="shared" si="87"/>
        <v>4.0317394660720415E-3</v>
      </c>
      <c r="Q155" s="3">
        <f t="shared" si="87"/>
        <v>4.0317394660720415E-3</v>
      </c>
      <c r="R155" s="3">
        <f t="shared" si="87"/>
        <v>4.0317394660720398E-3</v>
      </c>
      <c r="S155" s="3">
        <f t="shared" si="87"/>
        <v>4.0317394660720259E-3</v>
      </c>
      <c r="T155" s="3">
        <f t="shared" si="87"/>
        <v>4.0317394660718837E-3</v>
      </c>
      <c r="U155" s="3">
        <f t="shared" si="87"/>
        <v>4.0317394660704655E-3</v>
      </c>
      <c r="V155" s="3">
        <f t="shared" si="87"/>
        <v>4.0317394660562859E-3</v>
      </c>
      <c r="W155" s="3">
        <f t="shared" si="87"/>
        <v>4.0317394659144827E-3</v>
      </c>
      <c r="X155" s="3">
        <f t="shared" si="87"/>
        <v>4.031739464496459E-3</v>
      </c>
      <c r="Y155" s="3">
        <f t="shared" si="87"/>
        <v>4.0317394503162161E-3</v>
      </c>
      <c r="Z155" s="3">
        <f t="shared" si="87"/>
        <v>4.031739308513793E-3</v>
      </c>
      <c r="AA155" s="3">
        <f t="shared" ref="AA155:AF155" si="88">$C41*EXP(-AA$129/$A41/EXP(-$B$126))</f>
        <v>4.0317378904898308E-3</v>
      </c>
      <c r="AB155" s="3">
        <f t="shared" si="88"/>
        <v>4.0317237102776415E-3</v>
      </c>
      <c r="AC155" s="3">
        <f t="shared" si="88"/>
        <v>4.0315819108987837E-3</v>
      </c>
      <c r="AD155" s="3">
        <f t="shared" si="88"/>
        <v>4.0301641913779614E-3</v>
      </c>
      <c r="AE155" s="3">
        <f t="shared" si="88"/>
        <v>4.0160143872876421E-3</v>
      </c>
      <c r="AF155" s="3">
        <f t="shared" si="88"/>
        <v>3.8772201457028372E-3</v>
      </c>
    </row>
    <row r="156" spans="1:32" x14ac:dyDescent="0.25">
      <c r="B156" s="3">
        <f t="shared" ref="B156:Z156" si="89">$C42*EXP(-B$129/$A42/EXP(-$B$126))</f>
        <v>2.1502645285220883E-3</v>
      </c>
      <c r="C156" s="3">
        <f t="shared" si="89"/>
        <v>2.1502645285220883E-3</v>
      </c>
      <c r="D156" s="3">
        <f t="shared" si="89"/>
        <v>2.1502645285220883E-3</v>
      </c>
      <c r="E156" s="3">
        <f t="shared" si="89"/>
        <v>2.1502645285220883E-3</v>
      </c>
      <c r="F156" s="3">
        <f t="shared" si="89"/>
        <v>2.1502645285220883E-3</v>
      </c>
      <c r="G156" s="3">
        <f t="shared" si="89"/>
        <v>2.1502645285220883E-3</v>
      </c>
      <c r="H156" s="3">
        <f t="shared" si="89"/>
        <v>2.1502645285220883E-3</v>
      </c>
      <c r="I156" s="3">
        <f t="shared" si="89"/>
        <v>2.1502645285220883E-3</v>
      </c>
      <c r="J156" s="3">
        <f t="shared" si="89"/>
        <v>2.1502645285220883E-3</v>
      </c>
      <c r="K156" s="3">
        <f t="shared" si="89"/>
        <v>2.1502645285220883E-3</v>
      </c>
      <c r="L156" s="3">
        <f t="shared" si="89"/>
        <v>2.1502645285220883E-3</v>
      </c>
      <c r="M156" s="3">
        <f t="shared" si="89"/>
        <v>2.1502645285220883E-3</v>
      </c>
      <c r="N156" s="3">
        <f t="shared" si="89"/>
        <v>2.1502645285220883E-3</v>
      </c>
      <c r="O156" s="3">
        <f t="shared" si="89"/>
        <v>2.1502645285220883E-3</v>
      </c>
      <c r="P156" s="3">
        <f t="shared" si="89"/>
        <v>2.1502645285220883E-3</v>
      </c>
      <c r="Q156" s="3">
        <f t="shared" si="89"/>
        <v>2.1502645285220883E-3</v>
      </c>
      <c r="R156" s="3">
        <f t="shared" si="89"/>
        <v>2.1502645285220883E-3</v>
      </c>
      <c r="S156" s="3">
        <f t="shared" si="89"/>
        <v>2.1502645285220875E-3</v>
      </c>
      <c r="T156" s="3">
        <f t="shared" si="89"/>
        <v>2.1502645285220801E-3</v>
      </c>
      <c r="U156" s="3">
        <f t="shared" si="89"/>
        <v>2.1502645285220042E-3</v>
      </c>
      <c r="V156" s="3">
        <f t="shared" si="89"/>
        <v>2.1502645285212479E-3</v>
      </c>
      <c r="W156" s="3">
        <f t="shared" si="89"/>
        <v>2.1502645285136853E-3</v>
      </c>
      <c r="X156" s="3">
        <f t="shared" si="89"/>
        <v>2.150264528438057E-3</v>
      </c>
      <c r="Y156" s="3">
        <f t="shared" si="89"/>
        <v>2.1502645276817761E-3</v>
      </c>
      <c r="Z156" s="3">
        <f t="shared" si="89"/>
        <v>2.1502645201189677E-3</v>
      </c>
      <c r="AA156" s="3">
        <f t="shared" ref="AA156:AF156" si="90">$C42*EXP(-AA$129/$A42/EXP(-$B$126))</f>
        <v>2.1502644444908862E-3</v>
      </c>
      <c r="AB156" s="3">
        <f t="shared" si="90"/>
        <v>2.1502636882102162E-3</v>
      </c>
      <c r="AC156" s="3">
        <f t="shared" si="90"/>
        <v>2.1502561254181421E-3</v>
      </c>
      <c r="AD156" s="3">
        <f t="shared" si="90"/>
        <v>2.1501804989603585E-3</v>
      </c>
      <c r="AE156" s="3">
        <f t="shared" si="90"/>
        <v>2.1494243806588981E-3</v>
      </c>
      <c r="AF156" s="3">
        <f t="shared" si="90"/>
        <v>2.1418778062641513E-3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3.0564736295290245E-3</v>
      </c>
      <c r="C158" s="3">
        <f t="shared" si="93"/>
        <v>3.0564736295290245E-3</v>
      </c>
      <c r="D158" s="3">
        <f t="shared" si="93"/>
        <v>3.0564736295290245E-3</v>
      </c>
      <c r="E158" s="3">
        <f t="shared" si="93"/>
        <v>3.0564736295290245E-3</v>
      </c>
      <c r="F158" s="3">
        <f t="shared" si="93"/>
        <v>3.0564736295290245E-3</v>
      </c>
      <c r="G158" s="3">
        <f t="shared" si="93"/>
        <v>3.0564736295290245E-3</v>
      </c>
      <c r="H158" s="3">
        <f t="shared" si="93"/>
        <v>3.0564736295290245E-3</v>
      </c>
      <c r="I158" s="3">
        <f t="shared" si="93"/>
        <v>3.0564736295290245E-3</v>
      </c>
      <c r="J158" s="3">
        <f t="shared" si="93"/>
        <v>3.0564736295290245E-3</v>
      </c>
      <c r="K158" s="3">
        <f t="shared" si="93"/>
        <v>3.0564736295290245E-3</v>
      </c>
      <c r="L158" s="3">
        <f t="shared" si="93"/>
        <v>3.0564736295290245E-3</v>
      </c>
      <c r="M158" s="3">
        <f t="shared" si="93"/>
        <v>3.0564736295290245E-3</v>
      </c>
      <c r="N158" s="3">
        <f t="shared" si="93"/>
        <v>3.0564736295290245E-3</v>
      </c>
      <c r="O158" s="3">
        <f t="shared" si="93"/>
        <v>3.0564736295290245E-3</v>
      </c>
      <c r="P158" s="3">
        <f t="shared" si="93"/>
        <v>3.0564736295290245E-3</v>
      </c>
      <c r="Q158" s="3">
        <f t="shared" si="93"/>
        <v>3.0564736295290245E-3</v>
      </c>
      <c r="R158" s="3">
        <f t="shared" si="93"/>
        <v>3.0564736295290245E-3</v>
      </c>
      <c r="S158" s="3">
        <f t="shared" si="93"/>
        <v>3.0564736295290245E-3</v>
      </c>
      <c r="T158" s="3">
        <f t="shared" si="93"/>
        <v>3.0564736295290245E-3</v>
      </c>
      <c r="U158" s="3">
        <f t="shared" si="93"/>
        <v>3.0564736295290232E-3</v>
      </c>
      <c r="V158" s="3">
        <f t="shared" si="93"/>
        <v>3.0564736295290128E-3</v>
      </c>
      <c r="W158" s="3">
        <f t="shared" si="93"/>
        <v>3.0564736295289052E-3</v>
      </c>
      <c r="X158" s="3">
        <f t="shared" si="93"/>
        <v>3.0564736295278301E-3</v>
      </c>
      <c r="Y158" s="3">
        <f t="shared" si="93"/>
        <v>3.05647362951708E-3</v>
      </c>
      <c r="Z158" s="3">
        <f t="shared" si="93"/>
        <v>3.0564736294095788E-3</v>
      </c>
      <c r="AA158" s="3">
        <f t="shared" ref="AA158:AF158" si="94">$C44*EXP(-AA$129/$A44/EXP(-$B$126))</f>
        <v>3.0564736283345707E-3</v>
      </c>
      <c r="AB158" s="3">
        <f t="shared" si="94"/>
        <v>3.0564736175844867E-3</v>
      </c>
      <c r="AC158" s="3">
        <f t="shared" si="94"/>
        <v>3.0564735100836495E-3</v>
      </c>
      <c r="AD158" s="3">
        <f t="shared" si="94"/>
        <v>3.0564724350754845E-3</v>
      </c>
      <c r="AE158" s="3">
        <f t="shared" si="94"/>
        <v>3.0564616850146278E-3</v>
      </c>
      <c r="AF158" s="3">
        <f t="shared" si="94"/>
        <v>3.056354186485566E-3</v>
      </c>
    </row>
    <row r="159" spans="1:32" x14ac:dyDescent="0.25">
      <c r="A159" s="11" t="s">
        <v>75</v>
      </c>
      <c r="B159" s="3">
        <f t="shared" ref="B159:Z159" si="95">$C45*EXP(-B$129/$A45/EXP(-$B$126))</f>
        <v>1.3352216676863077E-3</v>
      </c>
      <c r="C159" s="3">
        <f t="shared" si="95"/>
        <v>1.3352216676863077E-3</v>
      </c>
      <c r="D159" s="3">
        <f t="shared" si="95"/>
        <v>1.3352216676863077E-3</v>
      </c>
      <c r="E159" s="3">
        <f t="shared" si="95"/>
        <v>1.3352216676863077E-3</v>
      </c>
      <c r="F159" s="3">
        <f t="shared" si="95"/>
        <v>1.3352216676863077E-3</v>
      </c>
      <c r="G159" s="3">
        <f t="shared" si="95"/>
        <v>1.3352216676863077E-3</v>
      </c>
      <c r="H159" s="3">
        <f t="shared" si="95"/>
        <v>1.3352216676863077E-3</v>
      </c>
      <c r="I159" s="3">
        <f t="shared" si="95"/>
        <v>1.3352216676863077E-3</v>
      </c>
      <c r="J159" s="3">
        <f t="shared" si="95"/>
        <v>1.3352216676863077E-3</v>
      </c>
      <c r="K159" s="3">
        <f t="shared" si="95"/>
        <v>1.3352216676863077E-3</v>
      </c>
      <c r="L159" s="3">
        <f t="shared" si="95"/>
        <v>1.3352216676863077E-3</v>
      </c>
      <c r="M159" s="3">
        <f t="shared" si="95"/>
        <v>1.3352216676863077E-3</v>
      </c>
      <c r="N159" s="3">
        <f t="shared" si="95"/>
        <v>1.3352216676863077E-3</v>
      </c>
      <c r="O159" s="3">
        <f t="shared" si="95"/>
        <v>1.3352216676863077E-3</v>
      </c>
      <c r="P159" s="3">
        <f t="shared" si="95"/>
        <v>1.3352216676863077E-3</v>
      </c>
      <c r="Q159" s="3">
        <f t="shared" si="95"/>
        <v>1.3352216676863077E-3</v>
      </c>
      <c r="R159" s="3">
        <f t="shared" si="95"/>
        <v>1.3352216676863077E-3</v>
      </c>
      <c r="S159" s="3">
        <f t="shared" si="95"/>
        <v>1.3352216676863077E-3</v>
      </c>
      <c r="T159" s="3">
        <f t="shared" si="95"/>
        <v>1.3352216676863077E-3</v>
      </c>
      <c r="U159" s="3">
        <f t="shared" si="95"/>
        <v>1.3352216676863077E-3</v>
      </c>
      <c r="V159" s="3">
        <f t="shared" si="95"/>
        <v>1.335221667686307E-3</v>
      </c>
      <c r="W159" s="3">
        <f t="shared" si="95"/>
        <v>1.3352216676863024E-3</v>
      </c>
      <c r="X159" s="3">
        <f t="shared" si="95"/>
        <v>1.3352216676862554E-3</v>
      </c>
      <c r="Y159" s="3">
        <f t="shared" si="95"/>
        <v>1.3352216676857859E-3</v>
      </c>
      <c r="Z159" s="3">
        <f t="shared" si="95"/>
        <v>1.3352216676810896E-3</v>
      </c>
      <c r="AA159" s="3">
        <f t="shared" ref="AA159:AF159" si="96">$C45*EXP(-AA$129/$A45/EXP(-$B$126))</f>
        <v>1.3352216676341278E-3</v>
      </c>
      <c r="AB159" s="3">
        <f t="shared" si="96"/>
        <v>1.33522166716451E-3</v>
      </c>
      <c r="AC159" s="3">
        <f t="shared" si="96"/>
        <v>1.3352216624683316E-3</v>
      </c>
      <c r="AD159" s="3">
        <f t="shared" si="96"/>
        <v>1.3352216155065502E-3</v>
      </c>
      <c r="AE159" s="3">
        <f t="shared" si="96"/>
        <v>1.3352211458888242E-3</v>
      </c>
      <c r="AF159" s="3">
        <f t="shared" si="96"/>
        <v>1.33521644972065E-3</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4.61494562142458E-2</v>
      </c>
      <c r="B163" s="80">
        <f>IF($A$64&lt;=B129,IF($B$64&gt;=B129,ABS((B131-B130)/B130),0),0)</f>
        <v>1.0080723763889321E-2</v>
      </c>
      <c r="C163" s="80">
        <f t="shared" ref="C163:AF163" si="103">IF($A$64&lt;=C129,IF($B$64&gt;=C129,ABS((C131-C130)/C130),0),0)</f>
        <v>7.6421503884437072E-3</v>
      </c>
      <c r="D163" s="80">
        <f t="shared" si="103"/>
        <v>2.5272178011931153E-2</v>
      </c>
      <c r="E163" s="80">
        <f t="shared" si="103"/>
        <v>0.11414410291831059</v>
      </c>
      <c r="F163" s="80">
        <f t="shared" si="103"/>
        <v>0.10069811763410556</v>
      </c>
      <c r="G163" s="80">
        <f t="shared" si="103"/>
        <v>8.1492264030665479E-2</v>
      </c>
      <c r="H163" s="80">
        <f t="shared" si="103"/>
        <v>6.0407631671908532E-2</v>
      </c>
      <c r="I163" s="80">
        <f t="shared" si="103"/>
        <v>3.5457452721513898E-2</v>
      </c>
      <c r="J163" s="80">
        <f t="shared" si="103"/>
        <v>1.2941359614197573E-2</v>
      </c>
      <c r="K163" s="80">
        <f t="shared" si="103"/>
        <v>1.6256877701645606E-2</v>
      </c>
      <c r="L163" s="80">
        <f t="shared" si="103"/>
        <v>2.3240481489229317E-2</v>
      </c>
      <c r="M163" s="80">
        <f t="shared" si="103"/>
        <v>1.9707654869653517E-2</v>
      </c>
      <c r="N163" s="80">
        <f t="shared" si="103"/>
        <v>1.8711129326728394E-2</v>
      </c>
      <c r="O163" s="80">
        <f t="shared" si="103"/>
        <v>1.7197205540900925E-2</v>
      </c>
      <c r="P163" s="80">
        <f t="shared" si="103"/>
        <v>1.738766909687758E-2</v>
      </c>
      <c r="Q163" s="80">
        <f t="shared" si="103"/>
        <v>1.9634140889003088E-2</v>
      </c>
      <c r="R163" s="80">
        <f t="shared" si="103"/>
        <v>1.756272482794688E-2</v>
      </c>
      <c r="S163" s="80">
        <f t="shared" si="103"/>
        <v>1.907219957231597E-2</v>
      </c>
      <c r="T163" s="80">
        <f t="shared" si="103"/>
        <v>1.6989774309110823E-2</v>
      </c>
      <c r="U163" s="80">
        <f t="shared" si="103"/>
        <v>1.6643888386022907E-2</v>
      </c>
      <c r="V163" s="80">
        <f t="shared" si="103"/>
        <v>3.901718925436279E-3</v>
      </c>
      <c r="W163" s="80">
        <f t="shared" si="103"/>
        <v>4.9868726427056906E-2</v>
      </c>
      <c r="X163" s="80">
        <f t="shared" si="103"/>
        <v>0.11383279555134845</v>
      </c>
      <c r="Y163" s="80">
        <f t="shared" si="103"/>
        <v>0.13215230682211138</v>
      </c>
      <c r="Z163" s="80">
        <f t="shared" si="103"/>
        <v>0.11643017789499222</v>
      </c>
      <c r="AA163" s="80">
        <f t="shared" si="103"/>
        <v>9.2782466638289457E-2</v>
      </c>
      <c r="AB163" s="80">
        <f t="shared" si="103"/>
        <v>7.6801232142876333E-2</v>
      </c>
      <c r="AC163" s="80">
        <f t="shared" si="103"/>
        <v>6.4557029043900246E-2</v>
      </c>
      <c r="AD163" s="80">
        <f t="shared" si="103"/>
        <v>5.5396923975363672E-2</v>
      </c>
      <c r="AE163" s="80">
        <f t="shared" si="103"/>
        <v>6.174945077368859E-2</v>
      </c>
      <c r="AF163" s="80">
        <f t="shared" si="103"/>
        <v>1.2620587682155564E-2</v>
      </c>
    </row>
    <row r="164" spans="1:34" x14ac:dyDescent="0.25">
      <c r="B164" s="21">
        <f>(B131-B130)^2</f>
        <v>12010.046896755373</v>
      </c>
      <c r="C164" s="21">
        <f t="shared" ref="C164:AF164" si="104">(C131-C130)^2</f>
        <v>6794.1004368393815</v>
      </c>
      <c r="D164" s="21">
        <f t="shared" si="104"/>
        <v>70211.857959408415</v>
      </c>
      <c r="E164" s="21">
        <f t="shared" si="104"/>
        <v>1376986.8341414772</v>
      </c>
      <c r="F164" s="21">
        <f t="shared" si="104"/>
        <v>1032112.2745802496</v>
      </c>
      <c r="G164" s="21">
        <f t="shared" si="104"/>
        <v>647973.55613709462</v>
      </c>
      <c r="H164" s="21">
        <f t="shared" si="104"/>
        <v>340207.52985600824</v>
      </c>
      <c r="I164" s="21">
        <f t="shared" si="104"/>
        <v>111097.67022764968</v>
      </c>
      <c r="J164" s="21">
        <f t="shared" si="104"/>
        <v>13975.327211356354</v>
      </c>
      <c r="K164" s="21">
        <f t="shared" si="104"/>
        <v>20639.534600847008</v>
      </c>
      <c r="L164" s="21">
        <f t="shared" si="104"/>
        <v>39671.946443917048</v>
      </c>
      <c r="M164" s="21">
        <f t="shared" si="104"/>
        <v>26662.744766674692</v>
      </c>
      <c r="N164" s="21">
        <f t="shared" si="104"/>
        <v>22052.733664431918</v>
      </c>
      <c r="O164" s="21">
        <f t="shared" si="104"/>
        <v>16850.018090660727</v>
      </c>
      <c r="P164" s="21">
        <f t="shared" si="104"/>
        <v>15610.686825994828</v>
      </c>
      <c r="Q164" s="21">
        <f t="shared" si="104"/>
        <v>18332.007117145018</v>
      </c>
      <c r="R164" s="21">
        <f t="shared" si="104"/>
        <v>13429.670956684417</v>
      </c>
      <c r="S164" s="21">
        <f t="shared" si="104"/>
        <v>14494.548797677557</v>
      </c>
      <c r="T164" s="21">
        <f t="shared" si="104"/>
        <v>10424.29975043185</v>
      </c>
      <c r="U164" s="21">
        <f t="shared" si="104"/>
        <v>9043.356123993266</v>
      </c>
      <c r="V164" s="21">
        <f t="shared" si="104"/>
        <v>422.21333863601211</v>
      </c>
      <c r="W164" s="21">
        <f t="shared" si="104"/>
        <v>54226.713171214229</v>
      </c>
      <c r="X164" s="21">
        <f t="shared" si="104"/>
        <v>208896.57500239558</v>
      </c>
      <c r="Y164" s="21">
        <f t="shared" si="104"/>
        <v>203188.32228370663</v>
      </c>
      <c r="Z164" s="21">
        <f t="shared" si="104"/>
        <v>108159.39629612181</v>
      </c>
      <c r="AA164" s="21">
        <f t="shared" si="104"/>
        <v>43604.311701556806</v>
      </c>
      <c r="AB164" s="21">
        <f t="shared" si="104"/>
        <v>16569.181742559871</v>
      </c>
      <c r="AC164" s="21">
        <f t="shared" si="104"/>
        <v>6196.9728466199504</v>
      </c>
      <c r="AD164" s="21">
        <f t="shared" si="104"/>
        <v>2377.9769624733053</v>
      </c>
      <c r="AE164" s="21">
        <f t="shared" si="104"/>
        <v>1876.3435164667533</v>
      </c>
      <c r="AF164" s="21">
        <f t="shared" si="104"/>
        <v>57.315947864335676</v>
      </c>
    </row>
    <row r="165" spans="1:34" x14ac:dyDescent="0.25">
      <c r="A165" s="71">
        <f>SUM(B165:AF165)</f>
        <v>4464156.0673949132</v>
      </c>
      <c r="B165" s="60">
        <f>IF($A$64&lt;=B129,IF($B$64&gt;=B129,ABS(B164),0),0)</f>
        <v>12010.046896755373</v>
      </c>
      <c r="C165" s="60">
        <f t="shared" ref="C165:AF165" si="105">IF($A$64&lt;=C129,IF($B$64&gt;=C129,ABS(C164),0),0)</f>
        <v>6794.1004368393815</v>
      </c>
      <c r="D165" s="60">
        <f t="shared" si="105"/>
        <v>70211.857959408415</v>
      </c>
      <c r="E165" s="60">
        <f t="shared" si="105"/>
        <v>1376986.8341414772</v>
      </c>
      <c r="F165" s="60">
        <f t="shared" si="105"/>
        <v>1032112.2745802496</v>
      </c>
      <c r="G165" s="60">
        <f t="shared" si="105"/>
        <v>647973.55613709462</v>
      </c>
      <c r="H165" s="60">
        <f t="shared" si="105"/>
        <v>340207.52985600824</v>
      </c>
      <c r="I165" s="60">
        <f t="shared" si="105"/>
        <v>111097.67022764968</v>
      </c>
      <c r="J165" s="60">
        <f t="shared" si="105"/>
        <v>13975.327211356354</v>
      </c>
      <c r="K165" s="60">
        <f t="shared" si="105"/>
        <v>20639.534600847008</v>
      </c>
      <c r="L165" s="60">
        <f t="shared" si="105"/>
        <v>39671.946443917048</v>
      </c>
      <c r="M165" s="60">
        <f t="shared" si="105"/>
        <v>26662.744766674692</v>
      </c>
      <c r="N165" s="60">
        <f t="shared" si="105"/>
        <v>22052.733664431918</v>
      </c>
      <c r="O165" s="60">
        <f t="shared" si="105"/>
        <v>16850.018090660727</v>
      </c>
      <c r="P165" s="60">
        <f t="shared" si="105"/>
        <v>15610.686825994828</v>
      </c>
      <c r="Q165" s="60">
        <f t="shared" si="105"/>
        <v>18332.007117145018</v>
      </c>
      <c r="R165" s="60">
        <f t="shared" si="105"/>
        <v>13429.670956684417</v>
      </c>
      <c r="S165" s="60">
        <f t="shared" si="105"/>
        <v>14494.548797677557</v>
      </c>
      <c r="T165" s="60">
        <f t="shared" si="105"/>
        <v>10424.29975043185</v>
      </c>
      <c r="U165" s="60">
        <f t="shared" si="105"/>
        <v>9043.356123993266</v>
      </c>
      <c r="V165" s="60">
        <f t="shared" si="105"/>
        <v>422.21333863601211</v>
      </c>
      <c r="W165" s="60">
        <f t="shared" si="105"/>
        <v>54226.713171214229</v>
      </c>
      <c r="X165" s="60">
        <f t="shared" si="105"/>
        <v>208896.57500239558</v>
      </c>
      <c r="Y165" s="60">
        <f t="shared" si="105"/>
        <v>203188.32228370663</v>
      </c>
      <c r="Z165" s="60">
        <f t="shared" si="105"/>
        <v>108159.39629612181</v>
      </c>
      <c r="AA165" s="60">
        <f t="shared" si="105"/>
        <v>43604.311701556806</v>
      </c>
      <c r="AB165" s="60">
        <f t="shared" si="105"/>
        <v>16569.181742559871</v>
      </c>
      <c r="AC165" s="60">
        <f t="shared" si="105"/>
        <v>6196.9728466199504</v>
      </c>
      <c r="AD165" s="60">
        <f t="shared" si="105"/>
        <v>2377.9769624733053</v>
      </c>
      <c r="AE165" s="60">
        <f t="shared" si="105"/>
        <v>1876.3435164667533</v>
      </c>
      <c r="AF165" s="60">
        <f t="shared" si="105"/>
        <v>57.315947864335676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10604.757228366958</v>
      </c>
      <c r="C170" s="27">
        <f t="shared" ref="C170:AF170" si="106">($C$17+SUM(C171:C201))*$B$51</f>
        <v>9687.705150177906</v>
      </c>
      <c r="D170" s="27">
        <f t="shared" si="106"/>
        <v>9073.0023012091042</v>
      </c>
      <c r="E170" s="27">
        <f t="shared" si="106"/>
        <v>9072.9218548298595</v>
      </c>
      <c r="F170" s="27">
        <f t="shared" si="106"/>
        <v>9072.7838269393324</v>
      </c>
      <c r="G170" s="27">
        <f t="shared" si="106"/>
        <v>9071.4052710322139</v>
      </c>
      <c r="H170" s="27">
        <f t="shared" si="106"/>
        <v>9057.7905335056712</v>
      </c>
      <c r="I170" s="27">
        <f t="shared" si="106"/>
        <v>8937.3383902395199</v>
      </c>
      <c r="J170" s="27">
        <f t="shared" si="106"/>
        <v>8500.2767642315812</v>
      </c>
      <c r="K170" s="27">
        <f t="shared" si="106"/>
        <v>8277.3937985061912</v>
      </c>
      <c r="L170" s="27">
        <f t="shared" si="106"/>
        <v>7976.2559618301602</v>
      </c>
      <c r="M170" s="27">
        <f t="shared" si="106"/>
        <v>7622.9832926548925</v>
      </c>
      <c r="N170" s="27">
        <f t="shared" si="106"/>
        <v>7248.4856478225183</v>
      </c>
      <c r="O170" s="27">
        <f t="shared" si="106"/>
        <v>6922.400943601835</v>
      </c>
      <c r="P170" s="27">
        <f t="shared" si="106"/>
        <v>6641.7202654021476</v>
      </c>
      <c r="Q170" s="27">
        <f t="shared" si="106"/>
        <v>6358.875861775362</v>
      </c>
      <c r="R170" s="27">
        <f t="shared" si="106"/>
        <v>6074.0227401193279</v>
      </c>
      <c r="S170" s="27">
        <f t="shared" si="106"/>
        <v>5794.1069442114294</v>
      </c>
      <c r="T170" s="27">
        <f t="shared" si="106"/>
        <v>5493.1862672868365</v>
      </c>
      <c r="U170" s="27">
        <f t="shared" si="106"/>
        <v>5142.0362205636102</v>
      </c>
      <c r="V170" s="27">
        <f t="shared" si="106"/>
        <v>4750.7395162992516</v>
      </c>
      <c r="W170" s="27">
        <f t="shared" si="106"/>
        <v>4257.7321457848748</v>
      </c>
      <c r="X170" s="27">
        <f t="shared" si="106"/>
        <v>3603.619589272414</v>
      </c>
      <c r="Y170" s="27">
        <f t="shared" si="106"/>
        <v>2891.4984356674036</v>
      </c>
      <c r="Z170" s="27">
        <f t="shared" si="106"/>
        <v>2204.0869735086053</v>
      </c>
      <c r="AA170" s="27">
        <f t="shared" si="106"/>
        <v>1588.1295886491309</v>
      </c>
      <c r="AB170" s="27">
        <f t="shared" si="106"/>
        <v>1132.3633473455002</v>
      </c>
      <c r="AC170" s="27">
        <f t="shared" si="106"/>
        <v>827.18737689009106</v>
      </c>
      <c r="AD170" s="27">
        <f t="shared" si="106"/>
        <v>673.79896659995848</v>
      </c>
      <c r="AE170" s="27">
        <f t="shared" si="106"/>
        <v>590.42546085841036</v>
      </c>
      <c r="AF170" s="27">
        <f t="shared" si="106"/>
        <v>552.03948771285457</v>
      </c>
      <c r="AG170" s="27"/>
      <c r="AH170" s="27"/>
    </row>
    <row r="171" spans="1:34" x14ac:dyDescent="0.25">
      <c r="B171" s="3">
        <f t="shared" ref="B171:AF171" si="107">$C18*EXP(-B$168/$A18/EXP(-$C$126))</f>
        <v>0.14225271475118745</v>
      </c>
      <c r="C171" s="3">
        <f t="shared" si="107"/>
        <v>5.7090539200743556E-2</v>
      </c>
      <c r="D171" s="3">
        <f t="shared" si="107"/>
        <v>6.1887075506877994E-6</v>
      </c>
      <c r="E171" s="3">
        <f t="shared" si="107"/>
        <v>1.3866220981134386E-45</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5.3113462995444262E-2</v>
      </c>
      <c r="C172" s="3">
        <f t="shared" si="108"/>
        <v>5.3113450574304874E-2</v>
      </c>
      <c r="D172" s="3">
        <f t="shared" si="108"/>
        <v>5.3113326363070722E-2</v>
      </c>
      <c r="E172" s="3">
        <f t="shared" si="108"/>
        <v>5.3112084266705564E-2</v>
      </c>
      <c r="F172" s="3">
        <f t="shared" si="108"/>
        <v>5.3099664900548238E-2</v>
      </c>
      <c r="G172" s="3">
        <f t="shared" si="108"/>
        <v>5.2975630850257027E-2</v>
      </c>
      <c r="H172" s="3">
        <f t="shared" si="108"/>
        <v>5.1751114226170118E-2</v>
      </c>
      <c r="I172" s="3">
        <f t="shared" si="108"/>
        <v>4.0959569320471095E-2</v>
      </c>
      <c r="J172" s="3">
        <f t="shared" si="108"/>
        <v>3.9510465685715385E-3</v>
      </c>
      <c r="K172" s="3">
        <f t="shared" si="108"/>
        <v>2.7560038395592248E-13</v>
      </c>
      <c r="L172" s="3">
        <f t="shared" si="108"/>
        <v>7.5154764162199738E-115</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1.5903248431563786E-2</v>
      </c>
      <c r="C173" s="3">
        <f t="shared" si="109"/>
        <v>1.5903248096066278E-2</v>
      </c>
      <c r="D173" s="3">
        <f t="shared" si="109"/>
        <v>1.5903244741091598E-2</v>
      </c>
      <c r="E173" s="3">
        <f t="shared" si="109"/>
        <v>1.5903211191383698E-2</v>
      </c>
      <c r="F173" s="3">
        <f t="shared" si="109"/>
        <v>1.5902875698197427E-2</v>
      </c>
      <c r="G173" s="3">
        <f t="shared" si="109"/>
        <v>1.5899521155574987E-2</v>
      </c>
      <c r="H173" s="3">
        <f t="shared" si="109"/>
        <v>1.586601462301418E-2</v>
      </c>
      <c r="I173" s="3">
        <f t="shared" si="109"/>
        <v>1.5534808475556215E-2</v>
      </c>
      <c r="J173" s="3">
        <f t="shared" si="109"/>
        <v>1.2580167811692917E-2</v>
      </c>
      <c r="K173" s="3">
        <f t="shared" si="109"/>
        <v>1.5257793920848493E-3</v>
      </c>
      <c r="L173" s="3">
        <f t="shared" si="109"/>
        <v>1.0508599706080466E-12</v>
      </c>
      <c r="M173" s="3">
        <f t="shared" si="109"/>
        <v>2.5239217897888601E-104</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2.9724136394650325E-2</v>
      </c>
      <c r="C174" s="3">
        <f t="shared" si="110"/>
        <v>2.9724136338083827E-2</v>
      </c>
      <c r="D174" s="3">
        <f t="shared" si="110"/>
        <v>2.972413577241885E-2</v>
      </c>
      <c r="E174" s="3">
        <f t="shared" si="110"/>
        <v>2.9724130115769673E-2</v>
      </c>
      <c r="F174" s="3">
        <f t="shared" si="110"/>
        <v>2.97240735493371E-2</v>
      </c>
      <c r="G174" s="3">
        <f t="shared" si="110"/>
        <v>2.9723507890932015E-2</v>
      </c>
      <c r="H174" s="3">
        <f t="shared" si="110"/>
        <v>2.9717851898903483E-2</v>
      </c>
      <c r="I174" s="3">
        <f t="shared" si="110"/>
        <v>2.9661351139182241E-2</v>
      </c>
      <c r="J174" s="3">
        <f t="shared" si="110"/>
        <v>2.9102218152957531E-2</v>
      </c>
      <c r="K174" s="3">
        <f t="shared" si="110"/>
        <v>2.4059007575503073E-2</v>
      </c>
      <c r="L174" s="3">
        <f t="shared" si="110"/>
        <v>3.587516265969063E-3</v>
      </c>
      <c r="M174" s="3">
        <f t="shared" si="110"/>
        <v>1.9496451712995328E-11</v>
      </c>
      <c r="N174" s="3">
        <f t="shared" si="110"/>
        <v>4.3809931530248014E-94</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3.4474581072243562E-2</v>
      </c>
      <c r="C175" s="3">
        <f t="shared" si="111"/>
        <v>3.4474581066325276E-2</v>
      </c>
      <c r="D175" s="3">
        <f t="shared" si="111"/>
        <v>3.4474581007142457E-2</v>
      </c>
      <c r="E175" s="3">
        <f t="shared" si="111"/>
        <v>3.4474580415314288E-2</v>
      </c>
      <c r="F175" s="3">
        <f t="shared" si="111"/>
        <v>3.4474574497033138E-2</v>
      </c>
      <c r="G175" s="3">
        <f t="shared" si="111"/>
        <v>3.4474515314277518E-2</v>
      </c>
      <c r="H175" s="3">
        <f t="shared" si="111"/>
        <v>3.4473923492309266E-2</v>
      </c>
      <c r="I175" s="3">
        <f t="shared" si="111"/>
        <v>3.4468005831385415E-2</v>
      </c>
      <c r="J175" s="3">
        <f t="shared" si="111"/>
        <v>3.440888506254447E-2</v>
      </c>
      <c r="K175" s="3">
        <f t="shared" si="111"/>
        <v>3.3823226107337984E-2</v>
      </c>
      <c r="L175" s="3">
        <f t="shared" si="111"/>
        <v>2.8487826239418618E-2</v>
      </c>
      <c r="M175" s="3">
        <f t="shared" si="111"/>
        <v>5.1180219033176702E-3</v>
      </c>
      <c r="N175" s="3">
        <f t="shared" si="111"/>
        <v>1.7927941438335958E-10</v>
      </c>
      <c r="O175" s="3">
        <f t="shared" si="111"/>
        <v>4.9867003480002685E-85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3.8163539597618396E-2</v>
      </c>
      <c r="C176" s="3">
        <f t="shared" si="112"/>
        <v>3.8163539597027396E-2</v>
      </c>
      <c r="D176" s="3">
        <f t="shared" si="112"/>
        <v>3.8163539591117332E-2</v>
      </c>
      <c r="E176" s="3">
        <f t="shared" si="112"/>
        <v>3.8163539532016733E-2</v>
      </c>
      <c r="F176" s="3">
        <f t="shared" si="112"/>
        <v>3.8163538941010752E-2</v>
      </c>
      <c r="G176" s="3">
        <f t="shared" si="112"/>
        <v>3.8163533030951456E-2</v>
      </c>
      <c r="H176" s="3">
        <f t="shared" si="112"/>
        <v>3.8163473930408795E-2</v>
      </c>
      <c r="I176" s="3">
        <f t="shared" si="112"/>
        <v>3.8162882930015983E-2</v>
      </c>
      <c r="J176" s="3">
        <f t="shared" si="112"/>
        <v>3.8156973429437968E-2</v>
      </c>
      <c r="K176" s="3">
        <f t="shared" si="112"/>
        <v>3.809792872983761E-2</v>
      </c>
      <c r="L176" s="3">
        <f t="shared" si="112"/>
        <v>3.7512483646023054E-2</v>
      </c>
      <c r="M176" s="3">
        <f t="shared" si="112"/>
        <v>3.2130712768525124E-2</v>
      </c>
      <c r="N176" s="3">
        <f t="shared" si="112"/>
        <v>6.829136079430983E-3</v>
      </c>
      <c r="O176" s="3">
        <f t="shared" si="112"/>
        <v>1.2847535775106514E-9</v>
      </c>
      <c r="P176" s="3">
        <f t="shared" si="112"/>
        <v>7.1344504444927912E-77</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3.1147960288586917E-2</v>
      </c>
      <c r="C177" s="3">
        <f t="shared" si="113"/>
        <v>3.1147960288543403E-2</v>
      </c>
      <c r="D177" s="3">
        <f t="shared" si="113"/>
        <v>3.1147960288108272E-2</v>
      </c>
      <c r="E177" s="3">
        <f t="shared" si="113"/>
        <v>3.1147960283756968E-2</v>
      </c>
      <c r="F177" s="3">
        <f t="shared" si="113"/>
        <v>3.1147960240243928E-2</v>
      </c>
      <c r="G177" s="3">
        <f t="shared" si="113"/>
        <v>3.114795980511352E-2</v>
      </c>
      <c r="H177" s="3">
        <f t="shared" si="113"/>
        <v>3.1147955453809804E-2</v>
      </c>
      <c r="I177" s="3">
        <f t="shared" si="113"/>
        <v>3.1147911940806051E-2</v>
      </c>
      <c r="J177" s="3">
        <f t="shared" si="113"/>
        <v>3.1147476814111775E-2</v>
      </c>
      <c r="K177" s="3">
        <f t="shared" si="113"/>
        <v>3.1143125881477232E-2</v>
      </c>
      <c r="L177" s="3">
        <f t="shared" si="113"/>
        <v>3.1099649968676583E-2</v>
      </c>
      <c r="M177" s="3">
        <f t="shared" si="113"/>
        <v>3.0668214988633667E-2</v>
      </c>
      <c r="N177" s="3">
        <f t="shared" si="113"/>
        <v>2.6669721443456511E-2</v>
      </c>
      <c r="O177" s="3">
        <f t="shared" si="113"/>
        <v>6.5965716734493803E-3</v>
      </c>
      <c r="P177" s="3">
        <f t="shared" si="113"/>
        <v>5.6534863019540675E-9</v>
      </c>
      <c r="Q177" s="3">
        <f t="shared" si="113"/>
        <v>1.2086399116693265E-69</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2.5944984110179963E-2</v>
      </c>
      <c r="C178" s="3">
        <f t="shared" si="114"/>
        <v>2.5944984110176695E-2</v>
      </c>
      <c r="D178" s="3">
        <f t="shared" si="114"/>
        <v>2.5944984110143999E-2</v>
      </c>
      <c r="E178" s="3">
        <f t="shared" si="114"/>
        <v>2.5944984109817042E-2</v>
      </c>
      <c r="F178" s="3">
        <f t="shared" si="114"/>
        <v>2.594498410654748E-2</v>
      </c>
      <c r="G178" s="3">
        <f t="shared" si="114"/>
        <v>2.5944984073851839E-2</v>
      </c>
      <c r="H178" s="3">
        <f t="shared" si="114"/>
        <v>2.5944983746895457E-2</v>
      </c>
      <c r="I178" s="3">
        <f t="shared" si="114"/>
        <v>2.5944980477331861E-2</v>
      </c>
      <c r="J178" s="3">
        <f t="shared" si="114"/>
        <v>2.5944947781718568E-2</v>
      </c>
      <c r="K178" s="3">
        <f t="shared" si="114"/>
        <v>2.5944620827851775E-2</v>
      </c>
      <c r="L178" s="3">
        <f t="shared" si="114"/>
        <v>2.594135151578722E-2</v>
      </c>
      <c r="M178" s="3">
        <f t="shared" si="114"/>
        <v>2.5908681044919606E-2</v>
      </c>
      <c r="N178" s="3">
        <f t="shared" si="114"/>
        <v>2.5584230788613237E-2</v>
      </c>
      <c r="O178" s="3">
        <f t="shared" si="114"/>
        <v>2.2555006641037191E-2</v>
      </c>
      <c r="P178" s="3">
        <f t="shared" si="114"/>
        <v>6.396595844655191E-3</v>
      </c>
      <c r="Q178" s="3">
        <f t="shared" si="114"/>
        <v>2.1528235452812476E-8</v>
      </c>
      <c r="R178" s="3">
        <f t="shared" si="114"/>
        <v>4.0142430565853595E-63</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2.8280666339942841E-2</v>
      </c>
      <c r="C179" s="3">
        <f t="shared" si="115"/>
        <v>2.8280666339942518E-2</v>
      </c>
      <c r="D179" s="3">
        <f t="shared" si="115"/>
        <v>2.8280666339939302E-2</v>
      </c>
      <c r="E179" s="3">
        <f t="shared" si="115"/>
        <v>2.8280666339907154E-2</v>
      </c>
      <c r="F179" s="3">
        <f t="shared" si="115"/>
        <v>2.8280666339585658E-2</v>
      </c>
      <c r="G179" s="3">
        <f t="shared" si="115"/>
        <v>2.8280666336370719E-2</v>
      </c>
      <c r="H179" s="3">
        <f t="shared" si="115"/>
        <v>2.8280666304221339E-2</v>
      </c>
      <c r="I179" s="3">
        <f t="shared" si="115"/>
        <v>2.828066598272751E-2</v>
      </c>
      <c r="J179" s="3">
        <f t="shared" si="115"/>
        <v>2.8280662767789434E-2</v>
      </c>
      <c r="K179" s="3">
        <f t="shared" si="115"/>
        <v>2.8280630618428778E-2</v>
      </c>
      <c r="L179" s="3">
        <f t="shared" si="115"/>
        <v>2.8280309126832284E-2</v>
      </c>
      <c r="M179" s="3">
        <f t="shared" si="115"/>
        <v>2.8277094411868278E-2</v>
      </c>
      <c r="N179" s="3">
        <f t="shared" si="115"/>
        <v>2.8244967353868142E-2</v>
      </c>
      <c r="O179" s="3">
        <f t="shared" si="115"/>
        <v>2.792569751265029E-2</v>
      </c>
      <c r="P179" s="3">
        <f t="shared" si="115"/>
        <v>2.4924907390076426E-2</v>
      </c>
      <c r="Q179" s="3">
        <f t="shared" si="115"/>
        <v>7.9970312265262283E-3</v>
      </c>
      <c r="R179" s="3">
        <f t="shared" si="115"/>
        <v>9.244452106698289E-8</v>
      </c>
      <c r="S179" s="3">
        <f t="shared" si="115"/>
        <v>3.9391727468094888E-57</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2.7707301103179489E-2</v>
      </c>
      <c r="C180" s="3">
        <f t="shared" si="116"/>
        <v>2.7707301103179462E-2</v>
      </c>
      <c r="D180" s="3">
        <f t="shared" si="116"/>
        <v>2.7707301103179177E-2</v>
      </c>
      <c r="E180" s="3">
        <f t="shared" si="116"/>
        <v>2.7707301103176336E-2</v>
      </c>
      <c r="F180" s="3">
        <f t="shared" si="116"/>
        <v>2.7707301103147921E-2</v>
      </c>
      <c r="G180" s="3">
        <f t="shared" si="116"/>
        <v>2.7707301102863787E-2</v>
      </c>
      <c r="H180" s="3">
        <f t="shared" si="116"/>
        <v>2.7707301100022445E-2</v>
      </c>
      <c r="I180" s="3">
        <f t="shared" si="116"/>
        <v>2.7707301071609004E-2</v>
      </c>
      <c r="J180" s="3">
        <f t="shared" si="116"/>
        <v>2.7707300787474604E-2</v>
      </c>
      <c r="K180" s="3">
        <f t="shared" si="116"/>
        <v>2.7707297946130763E-2</v>
      </c>
      <c r="L180" s="3">
        <f t="shared" si="116"/>
        <v>2.7707269532708374E-2</v>
      </c>
      <c r="M180" s="3">
        <f t="shared" si="116"/>
        <v>2.7706985400087019E-2</v>
      </c>
      <c r="N180" s="3">
        <f t="shared" si="116"/>
        <v>2.7704144234123398E-2</v>
      </c>
      <c r="O180" s="3">
        <f t="shared" si="116"/>
        <v>2.7675748593399548E-2</v>
      </c>
      <c r="P180" s="3">
        <f t="shared" si="116"/>
        <v>2.7393388015981811E-2</v>
      </c>
      <c r="Q180" s="3">
        <f t="shared" si="116"/>
        <v>2.4723472700271355E-2</v>
      </c>
      <c r="R180" s="3">
        <f t="shared" si="116"/>
        <v>8.8663874453750735E-3</v>
      </c>
      <c r="S180" s="3">
        <f t="shared" si="116"/>
        <v>3.1197445430068427E-7</v>
      </c>
      <c r="T180" s="3">
        <f t="shared" si="116"/>
        <v>9.0749098250781847E-52</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2.6509888121377792E-2</v>
      </c>
      <c r="C181" s="3">
        <f t="shared" si="117"/>
        <v>2.6509888121377789E-2</v>
      </c>
      <c r="D181" s="3">
        <f t="shared" si="117"/>
        <v>2.6509888121377764E-2</v>
      </c>
      <c r="E181" s="3">
        <f t="shared" si="117"/>
        <v>2.6509888121377518E-2</v>
      </c>
      <c r="F181" s="3">
        <f t="shared" si="117"/>
        <v>2.6509888121375065E-2</v>
      </c>
      <c r="G181" s="3">
        <f t="shared" si="117"/>
        <v>2.6509888121350543E-2</v>
      </c>
      <c r="H181" s="3">
        <f t="shared" si="117"/>
        <v>2.6509888121105309E-2</v>
      </c>
      <c r="I181" s="3">
        <f t="shared" si="117"/>
        <v>2.6509888118652951E-2</v>
      </c>
      <c r="J181" s="3">
        <f t="shared" si="117"/>
        <v>2.6509888094129356E-2</v>
      </c>
      <c r="K181" s="3">
        <f t="shared" si="117"/>
        <v>2.6509887848893438E-2</v>
      </c>
      <c r="L181" s="3">
        <f t="shared" si="117"/>
        <v>2.6509885396534382E-2</v>
      </c>
      <c r="M181" s="3">
        <f t="shared" si="117"/>
        <v>2.6509860872956297E-2</v>
      </c>
      <c r="N181" s="3">
        <f t="shared" si="117"/>
        <v>2.6509615638423186E-2</v>
      </c>
      <c r="O181" s="3">
        <f t="shared" si="117"/>
        <v>2.6507163417861E-2</v>
      </c>
      <c r="P181" s="3">
        <f t="shared" si="117"/>
        <v>2.6482653684862339E-2</v>
      </c>
      <c r="Q181" s="3">
        <f t="shared" si="117"/>
        <v>2.6238799358646307E-2</v>
      </c>
      <c r="R181" s="3">
        <f t="shared" si="117"/>
        <v>2.3920405190735568E-2</v>
      </c>
      <c r="S181" s="3">
        <f t="shared" si="117"/>
        <v>9.4844961670983875E-3</v>
      </c>
      <c r="T181" s="3">
        <f t="shared" si="117"/>
        <v>9.1090188227139082E-7</v>
      </c>
      <c r="U181" s="3">
        <f t="shared" si="117"/>
        <v>6.0819793439977515E-47</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3.0096089334719207E-2</v>
      </c>
      <c r="C182" s="3">
        <f t="shared" si="118"/>
        <v>3.0096089334719207E-2</v>
      </c>
      <c r="D182" s="3">
        <f t="shared" si="118"/>
        <v>3.0096089334719203E-2</v>
      </c>
      <c r="E182" s="3">
        <f t="shared" si="118"/>
        <v>3.0096089334719179E-2</v>
      </c>
      <c r="F182" s="3">
        <f t="shared" si="118"/>
        <v>3.0096089334718926E-2</v>
      </c>
      <c r="G182" s="3">
        <f t="shared" si="118"/>
        <v>3.0096089334716417E-2</v>
      </c>
      <c r="H182" s="3">
        <f t="shared" si="118"/>
        <v>3.0096089334691298E-2</v>
      </c>
      <c r="I182" s="3">
        <f t="shared" si="118"/>
        <v>3.0096089334440152E-2</v>
      </c>
      <c r="J182" s="3">
        <f t="shared" si="118"/>
        <v>3.0096089331928651E-2</v>
      </c>
      <c r="K182" s="3">
        <f t="shared" si="118"/>
        <v>3.0096089306813671E-2</v>
      </c>
      <c r="L182" s="3">
        <f t="shared" si="118"/>
        <v>3.0096089055663872E-2</v>
      </c>
      <c r="M182" s="3">
        <f t="shared" si="118"/>
        <v>3.0096086544165953E-2</v>
      </c>
      <c r="N182" s="3">
        <f t="shared" si="118"/>
        <v>3.0096061429198299E-2</v>
      </c>
      <c r="O182" s="3">
        <f t="shared" si="118"/>
        <v>3.0095810280674495E-2</v>
      </c>
      <c r="P182" s="3">
        <f t="shared" si="118"/>
        <v>3.0093298910703021E-2</v>
      </c>
      <c r="Q182" s="3">
        <f t="shared" si="118"/>
        <v>3.0068196734088205E-2</v>
      </c>
      <c r="R182" s="3">
        <f t="shared" si="118"/>
        <v>2.9818323727958576E-2</v>
      </c>
      <c r="S182" s="3">
        <f t="shared" si="118"/>
        <v>2.743100051575605E-2</v>
      </c>
      <c r="T182" s="3">
        <f t="shared" si="118"/>
        <v>1.1907644958091573E-2</v>
      </c>
      <c r="U182" s="3">
        <f t="shared" si="118"/>
        <v>2.8292294178103706E-6</v>
      </c>
      <c r="V182" s="3">
        <f t="shared" si="118"/>
        <v>1.6221501292865319E-42</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3.6902665150925024E-2</v>
      </c>
      <c r="C183" s="3">
        <f t="shared" si="119"/>
        <v>3.6902665150925024E-2</v>
      </c>
      <c r="D183" s="3">
        <f t="shared" si="119"/>
        <v>3.6902665150925024E-2</v>
      </c>
      <c r="E183" s="3">
        <f t="shared" si="119"/>
        <v>3.6902665150925017E-2</v>
      </c>
      <c r="F183" s="3">
        <f t="shared" si="119"/>
        <v>3.6902665150924989E-2</v>
      </c>
      <c r="G183" s="3">
        <f t="shared" si="119"/>
        <v>3.6902665150924718E-2</v>
      </c>
      <c r="H183" s="3">
        <f t="shared" si="119"/>
        <v>3.6902665150921936E-2</v>
      </c>
      <c r="I183" s="3">
        <f t="shared" si="119"/>
        <v>3.6902665150894159E-2</v>
      </c>
      <c r="J183" s="3">
        <f t="shared" si="119"/>
        <v>3.6902665150616361E-2</v>
      </c>
      <c r="K183" s="3">
        <f t="shared" si="119"/>
        <v>3.6902665147838395E-2</v>
      </c>
      <c r="L183" s="3">
        <f t="shared" si="119"/>
        <v>3.6902665120058721E-2</v>
      </c>
      <c r="M183" s="3">
        <f t="shared" si="119"/>
        <v>3.6902664842262012E-2</v>
      </c>
      <c r="N183" s="3">
        <f t="shared" si="119"/>
        <v>3.6902662064295023E-2</v>
      </c>
      <c r="O183" s="3">
        <f t="shared" si="119"/>
        <v>3.690263428463663E-2</v>
      </c>
      <c r="P183" s="3">
        <f t="shared" si="119"/>
        <v>3.6902356489202863E-2</v>
      </c>
      <c r="Q183" s="3">
        <f t="shared" si="119"/>
        <v>3.6899578649877862E-2</v>
      </c>
      <c r="R183" s="3">
        <f t="shared" si="119"/>
        <v>3.6871811754692944E-2</v>
      </c>
      <c r="S183" s="3">
        <f t="shared" si="119"/>
        <v>3.6595289413238918E-2</v>
      </c>
      <c r="T183" s="3">
        <f t="shared" si="119"/>
        <v>3.3941596680947213E-2</v>
      </c>
      <c r="U183" s="3">
        <f t="shared" si="119"/>
        <v>1.5988329606029052E-2</v>
      </c>
      <c r="V183" s="3">
        <f t="shared" si="119"/>
        <v>8.6002551461750201E-6</v>
      </c>
      <c r="W183" s="3">
        <f t="shared" si="119"/>
        <v>1.744189890988793E-38</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3.6161796888491096E-2</v>
      </c>
      <c r="C184" s="3">
        <f t="shared" si="120"/>
        <v>3.6161796888491096E-2</v>
      </c>
      <c r="D184" s="3">
        <f t="shared" si="120"/>
        <v>3.6161796888491096E-2</v>
      </c>
      <c r="E184" s="3">
        <f t="shared" si="120"/>
        <v>3.6161796888491096E-2</v>
      </c>
      <c r="F184" s="3">
        <f t="shared" si="120"/>
        <v>3.6161796888491089E-2</v>
      </c>
      <c r="G184" s="3">
        <f t="shared" si="120"/>
        <v>3.6161796888491068E-2</v>
      </c>
      <c r="H184" s="3">
        <f t="shared" si="120"/>
        <v>3.6161796888490826E-2</v>
      </c>
      <c r="I184" s="3">
        <f t="shared" si="120"/>
        <v>3.6161796888488369E-2</v>
      </c>
      <c r="J184" s="3">
        <f t="shared" si="120"/>
        <v>3.6161796888463812E-2</v>
      </c>
      <c r="K184" s="3">
        <f t="shared" si="120"/>
        <v>3.6161796888218245E-2</v>
      </c>
      <c r="L184" s="3">
        <f t="shared" si="120"/>
        <v>3.6161796885762598E-2</v>
      </c>
      <c r="M184" s="3">
        <f t="shared" si="120"/>
        <v>3.616179686120613E-2</v>
      </c>
      <c r="N184" s="3">
        <f t="shared" si="120"/>
        <v>3.6161796615641416E-2</v>
      </c>
      <c r="O184" s="3">
        <f t="shared" si="120"/>
        <v>3.6161794159994376E-2</v>
      </c>
      <c r="P184" s="3">
        <f t="shared" si="120"/>
        <v>3.6161769603533171E-2</v>
      </c>
      <c r="Q184" s="3">
        <f t="shared" si="120"/>
        <v>3.61615240398383E-2</v>
      </c>
      <c r="R184" s="3">
        <f t="shared" si="120"/>
        <v>3.6159068494602882E-2</v>
      </c>
      <c r="S184" s="3">
        <f t="shared" si="120"/>
        <v>3.6134522211278303E-2</v>
      </c>
      <c r="T184" s="3">
        <f t="shared" si="120"/>
        <v>3.5889973981386519E-2</v>
      </c>
      <c r="U184" s="3">
        <f t="shared" si="120"/>
        <v>3.3533695161049044E-2</v>
      </c>
      <c r="V184" s="3">
        <f t="shared" si="120"/>
        <v>1.7004509052756158E-2</v>
      </c>
      <c r="W184" s="3">
        <f t="shared" si="120"/>
        <v>1.9115732914824285E-5</v>
      </c>
      <c r="X184" s="3">
        <f t="shared" si="120"/>
        <v>6.1611178548423777E-35</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5.7659888823700683E-2</v>
      </c>
      <c r="C185" s="3">
        <f t="shared" si="121"/>
        <v>5.7659888823700683E-2</v>
      </c>
      <c r="D185" s="3">
        <f t="shared" si="121"/>
        <v>5.7659888823700683E-2</v>
      </c>
      <c r="E185" s="3">
        <f t="shared" si="121"/>
        <v>5.7659888823700683E-2</v>
      </c>
      <c r="F185" s="3">
        <f t="shared" si="121"/>
        <v>5.7659888823700683E-2</v>
      </c>
      <c r="G185" s="3">
        <f t="shared" si="121"/>
        <v>5.7659888823700677E-2</v>
      </c>
      <c r="H185" s="3">
        <f t="shared" si="121"/>
        <v>5.7659888823700642E-2</v>
      </c>
      <c r="I185" s="3">
        <f t="shared" si="121"/>
        <v>5.7659888823700295E-2</v>
      </c>
      <c r="J185" s="3">
        <f t="shared" si="121"/>
        <v>5.7659888823696756E-2</v>
      </c>
      <c r="K185" s="3">
        <f t="shared" si="121"/>
        <v>5.7659888823661437E-2</v>
      </c>
      <c r="L185" s="3">
        <f t="shared" si="121"/>
        <v>5.7659888823308227E-2</v>
      </c>
      <c r="M185" s="3">
        <f t="shared" si="121"/>
        <v>5.7659888819776094E-2</v>
      </c>
      <c r="N185" s="3">
        <f t="shared" si="121"/>
        <v>5.7659888784454827E-2</v>
      </c>
      <c r="O185" s="3">
        <f t="shared" si="121"/>
        <v>5.765988843124209E-2</v>
      </c>
      <c r="P185" s="3">
        <f t="shared" si="121"/>
        <v>5.7659884899114902E-2</v>
      </c>
      <c r="Q185" s="3">
        <f t="shared" si="121"/>
        <v>5.7659849577854853E-2</v>
      </c>
      <c r="R185" s="3">
        <f t="shared" si="121"/>
        <v>5.7659496366444449E-2</v>
      </c>
      <c r="S185" s="3">
        <f t="shared" si="121"/>
        <v>5.7655964371341399E-2</v>
      </c>
      <c r="T185" s="3">
        <f t="shared" si="121"/>
        <v>5.7620656317715319E-2</v>
      </c>
      <c r="U185" s="3">
        <f t="shared" si="121"/>
        <v>5.7268762829706374E-2</v>
      </c>
      <c r="V185" s="3">
        <f t="shared" si="121"/>
        <v>5.3865885794337896E-2</v>
      </c>
      <c r="W185" s="3">
        <f t="shared" si="121"/>
        <v>2.9192672399529315E-2</v>
      </c>
      <c r="X185" s="3">
        <f t="shared" si="121"/>
        <v>6.3807882184625244E-5</v>
      </c>
      <c r="Y185" s="3">
        <f t="shared" si="121"/>
        <v>1.5881045793796765E-31</v>
      </c>
      <c r="Z185" s="3">
        <f t="shared" si="121"/>
        <v>1.4485275998734957E-297</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7.0138718801303929E-2</v>
      </c>
      <c r="C186" s="3">
        <f t="shared" si="122"/>
        <v>7.0138718801303929E-2</v>
      </c>
      <c r="D186" s="3">
        <f t="shared" si="122"/>
        <v>7.0138718801303929E-2</v>
      </c>
      <c r="E186" s="3">
        <f t="shared" si="122"/>
        <v>7.0138718801303929E-2</v>
      </c>
      <c r="F186" s="3">
        <f t="shared" si="122"/>
        <v>7.0138718801303929E-2</v>
      </c>
      <c r="G186" s="3">
        <f t="shared" si="122"/>
        <v>7.0138718801303929E-2</v>
      </c>
      <c r="H186" s="3">
        <f t="shared" si="122"/>
        <v>7.0138718801303915E-2</v>
      </c>
      <c r="I186" s="3">
        <f t="shared" si="122"/>
        <v>7.0138718801303887E-2</v>
      </c>
      <c r="J186" s="3">
        <f t="shared" si="122"/>
        <v>7.0138718801303498E-2</v>
      </c>
      <c r="K186" s="3">
        <f t="shared" si="122"/>
        <v>7.0138718801299627E-2</v>
      </c>
      <c r="L186" s="3">
        <f t="shared" si="122"/>
        <v>7.0138718801260866E-2</v>
      </c>
      <c r="M186" s="3">
        <f t="shared" si="122"/>
        <v>7.0138718800873273E-2</v>
      </c>
      <c r="N186" s="3">
        <f t="shared" si="122"/>
        <v>7.0138718796997429E-2</v>
      </c>
      <c r="O186" s="3">
        <f t="shared" si="122"/>
        <v>7.0138718758238933E-2</v>
      </c>
      <c r="P186" s="3">
        <f t="shared" si="122"/>
        <v>7.0138718370653913E-2</v>
      </c>
      <c r="Q186" s="3">
        <f t="shared" si="122"/>
        <v>7.013871449480398E-2</v>
      </c>
      <c r="R186" s="3">
        <f t="shared" si="122"/>
        <v>7.0138675736316311E-2</v>
      </c>
      <c r="S186" s="3">
        <f t="shared" si="122"/>
        <v>7.0138288152617592E-2</v>
      </c>
      <c r="T186" s="3">
        <f t="shared" si="122"/>
        <v>7.0134412433426094E-2</v>
      </c>
      <c r="U186" s="3">
        <f t="shared" si="122"/>
        <v>7.0095667018659255E-2</v>
      </c>
      <c r="V186" s="3">
        <f t="shared" si="122"/>
        <v>6.9709388181399948E-2</v>
      </c>
      <c r="W186" s="3">
        <f t="shared" si="122"/>
        <v>6.5961762903011367E-2</v>
      </c>
      <c r="X186" s="3">
        <f t="shared" si="122"/>
        <v>3.7957891909882607E-2</v>
      </c>
      <c r="Y186" s="3">
        <f t="shared" si="122"/>
        <v>1.5114729904440867E-4</v>
      </c>
      <c r="Z186" s="3">
        <f t="shared" si="122"/>
        <v>1.5148982088304653E-28</v>
      </c>
      <c r="AA186" s="3">
        <f t="shared" si="122"/>
        <v>1.5495802206895738E-268</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6.7659228447697881E-2</v>
      </c>
      <c r="C187" s="3">
        <f t="shared" si="123"/>
        <v>6.7659228447697881E-2</v>
      </c>
      <c r="D187" s="3">
        <f t="shared" si="123"/>
        <v>6.7659228447697881E-2</v>
      </c>
      <c r="E187" s="3">
        <f t="shared" si="123"/>
        <v>6.7659228447697881E-2</v>
      </c>
      <c r="F187" s="3">
        <f t="shared" si="123"/>
        <v>6.7659228447697881E-2</v>
      </c>
      <c r="G187" s="3">
        <f t="shared" si="123"/>
        <v>6.7659228447697881E-2</v>
      </c>
      <c r="H187" s="3">
        <f t="shared" si="123"/>
        <v>6.7659228447697881E-2</v>
      </c>
      <c r="I187" s="3">
        <f t="shared" si="123"/>
        <v>6.7659228447697881E-2</v>
      </c>
      <c r="J187" s="3">
        <f t="shared" si="123"/>
        <v>6.7659228447697839E-2</v>
      </c>
      <c r="K187" s="3">
        <f t="shared" si="123"/>
        <v>6.7659228447697506E-2</v>
      </c>
      <c r="L187" s="3">
        <f t="shared" si="123"/>
        <v>6.7659228447694134E-2</v>
      </c>
      <c r="M187" s="3">
        <f t="shared" si="123"/>
        <v>6.7659228447660411E-2</v>
      </c>
      <c r="N187" s="3">
        <f t="shared" si="123"/>
        <v>6.7659228447323125E-2</v>
      </c>
      <c r="O187" s="3">
        <f t="shared" si="123"/>
        <v>6.7659228443950392E-2</v>
      </c>
      <c r="P187" s="3">
        <f t="shared" si="123"/>
        <v>6.7659228410222996E-2</v>
      </c>
      <c r="Q187" s="3">
        <f t="shared" si="123"/>
        <v>6.7659228072949079E-2</v>
      </c>
      <c r="R187" s="3">
        <f t="shared" si="123"/>
        <v>6.765922470020988E-2</v>
      </c>
      <c r="S187" s="3">
        <f t="shared" si="123"/>
        <v>6.7659190972827174E-2</v>
      </c>
      <c r="T187" s="3">
        <f t="shared" si="123"/>
        <v>6.7658853699924831E-2</v>
      </c>
      <c r="U187" s="3">
        <f t="shared" si="123"/>
        <v>6.7655481063369563E-2</v>
      </c>
      <c r="V187" s="3">
        <f t="shared" si="123"/>
        <v>6.7621763942929375E-2</v>
      </c>
      <c r="W187" s="3">
        <f t="shared" si="123"/>
        <v>6.7285515546861324E-2</v>
      </c>
      <c r="X187" s="3">
        <f t="shared" si="123"/>
        <v>6.401363283919001E-2</v>
      </c>
      <c r="Y187" s="3">
        <f t="shared" si="123"/>
        <v>3.8884934926510205E-2</v>
      </c>
      <c r="Z187" s="3">
        <f t="shared" si="123"/>
        <v>2.659931153651982E-4</v>
      </c>
      <c r="AA187" s="3">
        <f t="shared" si="123"/>
        <v>5.9670625636813007E-26</v>
      </c>
      <c r="AB187" s="3">
        <f t="shared" si="123"/>
        <v>1.9260277705679827E-242</v>
      </c>
      <c r="AC187" s="3">
        <f t="shared" si="123"/>
        <v>0</v>
      </c>
      <c r="AD187" s="3">
        <f t="shared" si="123"/>
        <v>0</v>
      </c>
      <c r="AE187" s="3">
        <f t="shared" si="123"/>
        <v>0</v>
      </c>
      <c r="AF187" s="3">
        <f t="shared" si="123"/>
        <v>0</v>
      </c>
      <c r="AG187" s="3"/>
      <c r="AH187" s="3"/>
    </row>
    <row r="188" spans="2:34" x14ac:dyDescent="0.25">
      <c r="B188" s="3">
        <f t="shared" ref="B188:AF188" si="124">$C35*EXP(-B$168/$A35/EXP(-$C$126))</f>
        <v>6.6765944370475505E-2</v>
      </c>
      <c r="C188" s="3">
        <f t="shared" si="124"/>
        <v>6.6765944370475505E-2</v>
      </c>
      <c r="D188" s="3">
        <f t="shared" si="124"/>
        <v>6.6765944370475505E-2</v>
      </c>
      <c r="E188" s="3">
        <f t="shared" si="124"/>
        <v>6.6765944370475505E-2</v>
      </c>
      <c r="F188" s="3">
        <f t="shared" si="124"/>
        <v>6.6765944370475505E-2</v>
      </c>
      <c r="G188" s="3">
        <f t="shared" si="124"/>
        <v>6.6765944370475505E-2</v>
      </c>
      <c r="H188" s="3">
        <f t="shared" si="124"/>
        <v>6.6765944370475505E-2</v>
      </c>
      <c r="I188" s="3">
        <f t="shared" si="124"/>
        <v>6.6765944370475505E-2</v>
      </c>
      <c r="J188" s="3">
        <f t="shared" si="124"/>
        <v>6.6765944370475505E-2</v>
      </c>
      <c r="K188" s="3">
        <f t="shared" si="124"/>
        <v>6.6765944370475477E-2</v>
      </c>
      <c r="L188" s="3">
        <f t="shared" si="124"/>
        <v>6.6765944370475172E-2</v>
      </c>
      <c r="M188" s="3">
        <f t="shared" si="124"/>
        <v>6.6765944370472174E-2</v>
      </c>
      <c r="N188" s="3">
        <f t="shared" si="124"/>
        <v>6.6765944370442143E-2</v>
      </c>
      <c r="O188" s="3">
        <f t="shared" si="124"/>
        <v>6.6765944370141911E-2</v>
      </c>
      <c r="P188" s="3">
        <f t="shared" si="124"/>
        <v>6.676594436713959E-2</v>
      </c>
      <c r="Q188" s="3">
        <f t="shared" si="124"/>
        <v>6.676594433711637E-2</v>
      </c>
      <c r="R188" s="3">
        <f t="shared" si="124"/>
        <v>6.6765944036884128E-2</v>
      </c>
      <c r="S188" s="3">
        <f t="shared" si="124"/>
        <v>6.6765941034561863E-2</v>
      </c>
      <c r="T188" s="3">
        <f t="shared" si="124"/>
        <v>6.6765911011346629E-2</v>
      </c>
      <c r="U188" s="3">
        <f t="shared" si="124"/>
        <v>6.6765610779936799E-2</v>
      </c>
      <c r="V188" s="3">
        <f t="shared" si="124"/>
        <v>6.6762608540091584E-2</v>
      </c>
      <c r="W188" s="3">
        <f t="shared" si="124"/>
        <v>6.6732593565709278E-2</v>
      </c>
      <c r="X188" s="3">
        <f t="shared" si="124"/>
        <v>6.6433184995126432E-2</v>
      </c>
      <c r="Y188" s="3">
        <f t="shared" si="124"/>
        <v>6.3511998133389758E-2</v>
      </c>
      <c r="Z188" s="3">
        <f t="shared" si="124"/>
        <v>4.0510051510453442E-2</v>
      </c>
      <c r="AA188" s="3">
        <f t="shared" si="124"/>
        <v>4.5147425267679512E-4</v>
      </c>
      <c r="AB188" s="3">
        <f t="shared" si="124"/>
        <v>1.334550190255091E-23</v>
      </c>
      <c r="AC188" s="3">
        <f t="shared" si="124"/>
        <v>6.7975772077592722E-219</v>
      </c>
      <c r="AD188" s="3">
        <f t="shared" si="124"/>
        <v>0</v>
      </c>
      <c r="AE188" s="3">
        <f t="shared" si="124"/>
        <v>0</v>
      </c>
      <c r="AF188" s="3">
        <f t="shared" si="124"/>
        <v>0</v>
      </c>
      <c r="AG188" s="3"/>
      <c r="AH188" s="3"/>
    </row>
    <row r="189" spans="2:34" x14ac:dyDescent="0.25">
      <c r="B189" s="3">
        <f t="shared" ref="B189:AF189" si="125">$C36*EXP(-B$168/$A36/EXP(-$C$126))</f>
        <v>4.8603939630861931E-2</v>
      </c>
      <c r="C189" s="3">
        <f t="shared" si="125"/>
        <v>4.8603939630861931E-2</v>
      </c>
      <c r="D189" s="3">
        <f t="shared" si="125"/>
        <v>4.8603939630861931E-2</v>
      </c>
      <c r="E189" s="3">
        <f t="shared" si="125"/>
        <v>4.8603939630861931E-2</v>
      </c>
      <c r="F189" s="3">
        <f t="shared" si="125"/>
        <v>4.8603939630861931E-2</v>
      </c>
      <c r="G189" s="3">
        <f t="shared" si="125"/>
        <v>4.8603939630861931E-2</v>
      </c>
      <c r="H189" s="3">
        <f t="shared" si="125"/>
        <v>4.8603939630861931E-2</v>
      </c>
      <c r="I189" s="3">
        <f t="shared" si="125"/>
        <v>4.8603939630861931E-2</v>
      </c>
      <c r="J189" s="3">
        <f t="shared" si="125"/>
        <v>4.8603939630861931E-2</v>
      </c>
      <c r="K189" s="3">
        <f t="shared" si="125"/>
        <v>4.8603939630861931E-2</v>
      </c>
      <c r="L189" s="3">
        <f t="shared" si="125"/>
        <v>4.860393963086191E-2</v>
      </c>
      <c r="M189" s="3">
        <f t="shared" si="125"/>
        <v>4.8603939630861709E-2</v>
      </c>
      <c r="N189" s="3">
        <f t="shared" si="125"/>
        <v>4.8603939630859738E-2</v>
      </c>
      <c r="O189" s="3">
        <f t="shared" si="125"/>
        <v>4.8603939630840025E-2</v>
      </c>
      <c r="P189" s="3">
        <f t="shared" si="125"/>
        <v>4.8603939630642863E-2</v>
      </c>
      <c r="Q189" s="3">
        <f t="shared" si="125"/>
        <v>4.860393962867126E-2</v>
      </c>
      <c r="R189" s="3">
        <f t="shared" si="125"/>
        <v>4.8603939608955184E-2</v>
      </c>
      <c r="S189" s="3">
        <f t="shared" si="125"/>
        <v>4.8603939411794465E-2</v>
      </c>
      <c r="T189" s="3">
        <f t="shared" si="125"/>
        <v>4.8603937440187359E-2</v>
      </c>
      <c r="U189" s="3">
        <f t="shared" si="125"/>
        <v>4.8603917724120656E-2</v>
      </c>
      <c r="V189" s="3">
        <f t="shared" si="125"/>
        <v>4.8603720563893463E-2</v>
      </c>
      <c r="W189" s="3">
        <f t="shared" si="125"/>
        <v>4.8601749005608624E-2</v>
      </c>
      <c r="X189" s="3">
        <f t="shared" si="125"/>
        <v>4.8582037820804211E-2</v>
      </c>
      <c r="Y189" s="3">
        <f t="shared" si="125"/>
        <v>4.8385365117771334E-2</v>
      </c>
      <c r="Z189" s="3">
        <f t="shared" si="125"/>
        <v>4.6461900568076822E-2</v>
      </c>
      <c r="AA189" s="3">
        <f t="shared" si="125"/>
        <v>3.0968948196799129E-2</v>
      </c>
      <c r="AB189" s="3">
        <f t="shared" si="125"/>
        <v>5.3606974999165506E-4</v>
      </c>
      <c r="AC189" s="3">
        <f t="shared" si="125"/>
        <v>1.294701809977105E-21</v>
      </c>
      <c r="AD189" s="3">
        <f t="shared" si="125"/>
        <v>8.7428755491955105E-198</v>
      </c>
      <c r="AE189" s="3">
        <f t="shared" si="125"/>
        <v>0</v>
      </c>
      <c r="AF189" s="3">
        <f t="shared" si="125"/>
        <v>0</v>
      </c>
      <c r="AG189" s="3"/>
      <c r="AH189" s="3"/>
    </row>
    <row r="190" spans="2:34" x14ac:dyDescent="0.25">
      <c r="B190" s="3">
        <f t="shared" ref="B190:AF190" si="126">$C37*EXP(-B$168/$A37/EXP(-$C$126))</f>
        <v>3.7549192378247005E-2</v>
      </c>
      <c r="C190" s="3">
        <f t="shared" si="126"/>
        <v>3.7549192378247005E-2</v>
      </c>
      <c r="D190" s="3">
        <f t="shared" si="126"/>
        <v>3.7549192378247005E-2</v>
      </c>
      <c r="E190" s="3">
        <f t="shared" si="126"/>
        <v>3.7549192378247005E-2</v>
      </c>
      <c r="F190" s="3">
        <f t="shared" si="126"/>
        <v>3.7549192378247005E-2</v>
      </c>
      <c r="G190" s="3">
        <f t="shared" si="126"/>
        <v>3.7549192378247005E-2</v>
      </c>
      <c r="H190" s="3">
        <f t="shared" si="126"/>
        <v>3.7549192378247005E-2</v>
      </c>
      <c r="I190" s="3">
        <f t="shared" si="126"/>
        <v>3.7549192378247005E-2</v>
      </c>
      <c r="J190" s="3">
        <f t="shared" si="126"/>
        <v>3.7549192378247005E-2</v>
      </c>
      <c r="K190" s="3">
        <f t="shared" si="126"/>
        <v>3.7549192378247005E-2</v>
      </c>
      <c r="L190" s="3">
        <f t="shared" si="126"/>
        <v>3.7549192378247005E-2</v>
      </c>
      <c r="M190" s="3">
        <f t="shared" si="126"/>
        <v>3.7549192378246991E-2</v>
      </c>
      <c r="N190" s="3">
        <f t="shared" si="126"/>
        <v>3.7549192378246853E-2</v>
      </c>
      <c r="O190" s="3">
        <f t="shared" si="126"/>
        <v>3.7549192378245479E-2</v>
      </c>
      <c r="P190" s="3">
        <f t="shared" si="126"/>
        <v>3.754919237823174E-2</v>
      </c>
      <c r="Q190" s="3">
        <f t="shared" si="126"/>
        <v>3.7549192378094336E-2</v>
      </c>
      <c r="R190" s="3">
        <f t="shared" si="126"/>
        <v>3.7549192376720303E-2</v>
      </c>
      <c r="S190" s="3">
        <f t="shared" si="126"/>
        <v>3.7549192362980009E-2</v>
      </c>
      <c r="T190" s="3">
        <f t="shared" si="126"/>
        <v>3.7549192225577045E-2</v>
      </c>
      <c r="U190" s="3">
        <f t="shared" si="126"/>
        <v>3.7549190851547419E-2</v>
      </c>
      <c r="V190" s="3">
        <f t="shared" si="126"/>
        <v>3.7549177111253974E-2</v>
      </c>
      <c r="W190" s="3">
        <f t="shared" si="126"/>
        <v>3.7549039708596001E-2</v>
      </c>
      <c r="X190" s="3">
        <f t="shared" si="126"/>
        <v>3.7547665709669636E-2</v>
      </c>
      <c r="Y190" s="3">
        <f t="shared" si="126"/>
        <v>3.753392848536672E-2</v>
      </c>
      <c r="Z190" s="3">
        <f t="shared" si="126"/>
        <v>3.7396832364419243E-2</v>
      </c>
      <c r="AA190" s="3">
        <f t="shared" si="126"/>
        <v>3.6053113143325627E-2</v>
      </c>
      <c r="AB190" s="3">
        <f t="shared" si="126"/>
        <v>2.5004738126818117E-2</v>
      </c>
      <c r="AC190" s="3">
        <f t="shared" si="126"/>
        <v>6.4389892699785332E-4</v>
      </c>
      <c r="AD190" s="3">
        <f t="shared" si="126"/>
        <v>8.2560365986844472E-20</v>
      </c>
      <c r="AE190" s="3">
        <f t="shared" si="126"/>
        <v>9.9154103150301899E-179</v>
      </c>
      <c r="AF190" s="3">
        <f t="shared" si="126"/>
        <v>0</v>
      </c>
      <c r="AG190" s="3"/>
      <c r="AH190" s="3"/>
    </row>
    <row r="191" spans="2:34" x14ac:dyDescent="0.25">
      <c r="B191" s="3">
        <f t="shared" ref="B191:AF191" si="127">$C38*EXP(-B$168/$A38/EXP(-$C$126))</f>
        <v>7.8409043454057813E-3</v>
      </c>
      <c r="C191" s="3">
        <f t="shared" si="127"/>
        <v>7.8409043454057813E-3</v>
      </c>
      <c r="D191" s="3">
        <f t="shared" si="127"/>
        <v>7.8409043454057813E-3</v>
      </c>
      <c r="E191" s="3">
        <f t="shared" si="127"/>
        <v>7.8409043454057813E-3</v>
      </c>
      <c r="F191" s="3">
        <f t="shared" si="127"/>
        <v>7.8409043454057813E-3</v>
      </c>
      <c r="G191" s="3">
        <f t="shared" si="127"/>
        <v>7.8409043454057813E-3</v>
      </c>
      <c r="H191" s="3">
        <f t="shared" si="127"/>
        <v>7.8409043454057813E-3</v>
      </c>
      <c r="I191" s="3">
        <f t="shared" si="127"/>
        <v>7.8409043454057813E-3</v>
      </c>
      <c r="J191" s="3">
        <f t="shared" si="127"/>
        <v>7.8409043454057813E-3</v>
      </c>
      <c r="K191" s="3">
        <f t="shared" si="127"/>
        <v>7.8409043454057813E-3</v>
      </c>
      <c r="L191" s="3">
        <f t="shared" si="127"/>
        <v>7.8409043454057813E-3</v>
      </c>
      <c r="M191" s="3">
        <f t="shared" si="127"/>
        <v>7.8409043454057813E-3</v>
      </c>
      <c r="N191" s="3">
        <f t="shared" si="127"/>
        <v>7.8409043454057779E-3</v>
      </c>
      <c r="O191" s="3">
        <f t="shared" si="127"/>
        <v>7.8409043454057518E-3</v>
      </c>
      <c r="P191" s="3">
        <f t="shared" si="127"/>
        <v>7.8409043454054934E-3</v>
      </c>
      <c r="Q191" s="3">
        <f t="shared" si="127"/>
        <v>7.8409043454029052E-3</v>
      </c>
      <c r="R191" s="3">
        <f t="shared" si="127"/>
        <v>7.8409043453770231E-3</v>
      </c>
      <c r="S191" s="3">
        <f t="shared" si="127"/>
        <v>7.8409043451181971E-3</v>
      </c>
      <c r="T191" s="3">
        <f t="shared" si="127"/>
        <v>7.8409043425299342E-3</v>
      </c>
      <c r="U191" s="3">
        <f t="shared" si="127"/>
        <v>7.8409043166473135E-3</v>
      </c>
      <c r="V191" s="3">
        <f t="shared" si="127"/>
        <v>7.84090405782111E-3</v>
      </c>
      <c r="W191" s="3">
        <f t="shared" si="127"/>
        <v>7.8409014695595414E-3</v>
      </c>
      <c r="X191" s="3">
        <f t="shared" si="127"/>
        <v>7.8408755869908524E-3</v>
      </c>
      <c r="Y191" s="3">
        <f t="shared" si="127"/>
        <v>7.8406167660029728E-3</v>
      </c>
      <c r="Z191" s="3">
        <f t="shared" si="127"/>
        <v>7.8380290259686351E-3</v>
      </c>
      <c r="AA191" s="3">
        <f t="shared" si="127"/>
        <v>7.8121985527359614E-3</v>
      </c>
      <c r="AB191" s="3">
        <f t="shared" si="127"/>
        <v>7.558529719117176E-3</v>
      </c>
      <c r="AC191" s="3">
        <f t="shared" si="127"/>
        <v>5.433477191667503E-3</v>
      </c>
      <c r="AD191" s="3">
        <f t="shared" si="127"/>
        <v>2.0020876274124964E-4</v>
      </c>
      <c r="AE191" s="3">
        <f t="shared" si="127"/>
        <v>9.2370951237134594E-19</v>
      </c>
      <c r="AF191" s="3">
        <f t="shared" si="127"/>
        <v>4.0370000843052998E-162</v>
      </c>
      <c r="AG191" s="3"/>
      <c r="AH191" s="3"/>
    </row>
    <row r="192" spans="2:34" x14ac:dyDescent="0.25">
      <c r="B192" s="3">
        <f t="shared" ref="B192:AF192" si="128">$C39*EXP(-B$168/$A39/EXP(-$C$126))</f>
        <v>1.487119099211914E-2</v>
      </c>
      <c r="C192" s="3">
        <f t="shared" si="128"/>
        <v>1.487119099211914E-2</v>
      </c>
      <c r="D192" s="3">
        <f t="shared" si="128"/>
        <v>1.487119099211914E-2</v>
      </c>
      <c r="E192" s="3">
        <f t="shared" si="128"/>
        <v>1.487119099211914E-2</v>
      </c>
      <c r="F192" s="3">
        <f t="shared" si="128"/>
        <v>1.487119099211914E-2</v>
      </c>
      <c r="G192" s="3">
        <f t="shared" si="128"/>
        <v>1.487119099211914E-2</v>
      </c>
      <c r="H192" s="3">
        <f t="shared" si="128"/>
        <v>1.487119099211914E-2</v>
      </c>
      <c r="I192" s="3">
        <f t="shared" si="128"/>
        <v>1.487119099211914E-2</v>
      </c>
      <c r="J192" s="3">
        <f t="shared" si="128"/>
        <v>1.487119099211914E-2</v>
      </c>
      <c r="K192" s="3">
        <f t="shared" si="128"/>
        <v>1.487119099211914E-2</v>
      </c>
      <c r="L192" s="3">
        <f t="shared" si="128"/>
        <v>1.487119099211914E-2</v>
      </c>
      <c r="M192" s="3">
        <f t="shared" si="128"/>
        <v>1.487119099211914E-2</v>
      </c>
      <c r="N192" s="3">
        <f t="shared" si="128"/>
        <v>1.4871190992119138E-2</v>
      </c>
      <c r="O192" s="3">
        <f t="shared" si="128"/>
        <v>1.4871190992119124E-2</v>
      </c>
      <c r="P192" s="3">
        <f t="shared" si="128"/>
        <v>1.4871190992118989E-2</v>
      </c>
      <c r="Q192" s="3">
        <f t="shared" si="128"/>
        <v>1.4871190992117631E-2</v>
      </c>
      <c r="R192" s="3">
        <f t="shared" si="128"/>
        <v>1.4871190992104055E-2</v>
      </c>
      <c r="S192" s="3">
        <f t="shared" si="128"/>
        <v>1.4871190991968285E-2</v>
      </c>
      <c r="T192" s="3">
        <f t="shared" si="128"/>
        <v>1.4871190990610595E-2</v>
      </c>
      <c r="U192" s="3">
        <f t="shared" si="128"/>
        <v>1.4871190977033693E-2</v>
      </c>
      <c r="V192" s="3">
        <f t="shared" si="128"/>
        <v>1.4871190841264665E-2</v>
      </c>
      <c r="W192" s="3">
        <f t="shared" si="128"/>
        <v>1.4871189483574462E-2</v>
      </c>
      <c r="X192" s="3">
        <f t="shared" si="128"/>
        <v>1.4871175906679237E-2</v>
      </c>
      <c r="Y192" s="3">
        <f t="shared" si="128"/>
        <v>1.4871040138408752E-2</v>
      </c>
      <c r="Z192" s="3">
        <f t="shared" si="128"/>
        <v>1.4869682523875251E-2</v>
      </c>
      <c r="AA192" s="3">
        <f t="shared" si="128"/>
        <v>1.4856113193375509E-2</v>
      </c>
      <c r="AB192" s="3">
        <f t="shared" si="128"/>
        <v>1.4721099075480918E-2</v>
      </c>
      <c r="AC192" s="3">
        <f t="shared" si="128"/>
        <v>1.3436637284138936E-2</v>
      </c>
      <c r="AD192" s="3">
        <f t="shared" si="128"/>
        <v>5.3925499343758761E-3</v>
      </c>
      <c r="AE192" s="3">
        <f t="shared" si="128"/>
        <v>5.8456120687503223E-7</v>
      </c>
      <c r="AF192" s="3">
        <f t="shared" si="128"/>
        <v>1.3097492174479713E-46</v>
      </c>
      <c r="AG192" s="3"/>
      <c r="AH192" s="3"/>
    </row>
    <row r="193" spans="1:34" x14ac:dyDescent="0.25">
      <c r="B193" s="3">
        <f t="shared" ref="B193:AF193" si="129">$C40*EXP(-B$168/$A40/EXP(-$C$126))</f>
        <v>3.2949113910046581E-3</v>
      </c>
      <c r="C193" s="3">
        <f t="shared" si="129"/>
        <v>3.2949113910046581E-3</v>
      </c>
      <c r="D193" s="3">
        <f t="shared" si="129"/>
        <v>3.2949113910046581E-3</v>
      </c>
      <c r="E193" s="3">
        <f t="shared" si="129"/>
        <v>3.2949113910046581E-3</v>
      </c>
      <c r="F193" s="3">
        <f t="shared" si="129"/>
        <v>3.2949113910046581E-3</v>
      </c>
      <c r="G193" s="3">
        <f t="shared" si="129"/>
        <v>3.2949113910046581E-3</v>
      </c>
      <c r="H193" s="3">
        <f t="shared" si="129"/>
        <v>3.2949113910046581E-3</v>
      </c>
      <c r="I193" s="3">
        <f t="shared" si="129"/>
        <v>3.2949113910046581E-3</v>
      </c>
      <c r="J193" s="3">
        <f t="shared" si="129"/>
        <v>3.2949113910046581E-3</v>
      </c>
      <c r="K193" s="3">
        <f t="shared" si="129"/>
        <v>3.2949113910046581E-3</v>
      </c>
      <c r="L193" s="3">
        <f t="shared" si="129"/>
        <v>3.2949113910046581E-3</v>
      </c>
      <c r="M193" s="3">
        <f t="shared" si="129"/>
        <v>3.2949113910046581E-3</v>
      </c>
      <c r="N193" s="3">
        <f t="shared" si="129"/>
        <v>3.2949113910046581E-3</v>
      </c>
      <c r="O193" s="3">
        <f t="shared" si="129"/>
        <v>3.2949113910046577E-3</v>
      </c>
      <c r="P193" s="3">
        <f t="shared" si="129"/>
        <v>3.2949113910046546E-3</v>
      </c>
      <c r="Q193" s="3">
        <f t="shared" si="129"/>
        <v>3.2949113910046247E-3</v>
      </c>
      <c r="R193" s="3">
        <f t="shared" si="129"/>
        <v>3.2949113910043237E-3</v>
      </c>
      <c r="S193" s="3">
        <f t="shared" si="129"/>
        <v>3.2949113910013157E-3</v>
      </c>
      <c r="T193" s="3">
        <f t="shared" si="129"/>
        <v>3.2949113909712343E-3</v>
      </c>
      <c r="U193" s="3">
        <f t="shared" si="129"/>
        <v>3.2949113906704198E-3</v>
      </c>
      <c r="V193" s="3">
        <f t="shared" si="129"/>
        <v>3.2949113876622753E-3</v>
      </c>
      <c r="W193" s="3">
        <f t="shared" si="129"/>
        <v>3.2949113575808302E-3</v>
      </c>
      <c r="X193" s="3">
        <f t="shared" si="129"/>
        <v>3.2949110567663952E-3</v>
      </c>
      <c r="Y193" s="3">
        <f t="shared" si="129"/>
        <v>3.294908048623554E-3</v>
      </c>
      <c r="Z193" s="3">
        <f t="shared" si="129"/>
        <v>3.29487796734619E-3</v>
      </c>
      <c r="AA193" s="3">
        <f t="shared" si="129"/>
        <v>3.2945771696768307E-3</v>
      </c>
      <c r="AB193" s="3">
        <f t="shared" si="129"/>
        <v>3.2915707029011975E-3</v>
      </c>
      <c r="AC193" s="3">
        <f t="shared" si="129"/>
        <v>3.2616565181373086E-3</v>
      </c>
      <c r="AD193" s="3">
        <f t="shared" si="129"/>
        <v>2.9770668178338319E-3</v>
      </c>
      <c r="AE193" s="3">
        <f t="shared" si="129"/>
        <v>1.1947916084698582E-3</v>
      </c>
      <c r="AF193" s="3">
        <f t="shared" si="129"/>
        <v>1.2951735878401956E-7</v>
      </c>
      <c r="AG193" s="3"/>
      <c r="AH193" s="3"/>
    </row>
    <row r="194" spans="1:34" x14ac:dyDescent="0.25">
      <c r="B194" s="3">
        <f t="shared" ref="B194:AF194" si="130">$C41*EXP(-B$168/$A41/EXP(-$C$126))</f>
        <v>4.0317394660720415E-3</v>
      </c>
      <c r="C194" s="3">
        <f t="shared" si="130"/>
        <v>4.0317394660720415E-3</v>
      </c>
      <c r="D194" s="3">
        <f t="shared" si="130"/>
        <v>4.0317394660720415E-3</v>
      </c>
      <c r="E194" s="3">
        <f t="shared" si="130"/>
        <v>4.0317394660720415E-3</v>
      </c>
      <c r="F194" s="3">
        <f t="shared" si="130"/>
        <v>4.0317394660720415E-3</v>
      </c>
      <c r="G194" s="3">
        <f t="shared" si="130"/>
        <v>4.0317394660720415E-3</v>
      </c>
      <c r="H194" s="3">
        <f t="shared" si="130"/>
        <v>4.0317394660720415E-3</v>
      </c>
      <c r="I194" s="3">
        <f t="shared" si="130"/>
        <v>4.0317394660720415E-3</v>
      </c>
      <c r="J194" s="3">
        <f t="shared" si="130"/>
        <v>4.0317394660720415E-3</v>
      </c>
      <c r="K194" s="3">
        <f t="shared" si="130"/>
        <v>4.0317394660720415E-3</v>
      </c>
      <c r="L194" s="3">
        <f t="shared" si="130"/>
        <v>4.0317394660720415E-3</v>
      </c>
      <c r="M194" s="3">
        <f t="shared" si="130"/>
        <v>4.0317394660720415E-3</v>
      </c>
      <c r="N194" s="3">
        <f t="shared" si="130"/>
        <v>4.0317394660720415E-3</v>
      </c>
      <c r="O194" s="3">
        <f t="shared" si="130"/>
        <v>4.0317394660720415E-3</v>
      </c>
      <c r="P194" s="3">
        <f t="shared" si="130"/>
        <v>4.0317394660720407E-3</v>
      </c>
      <c r="Q194" s="3">
        <f t="shared" si="130"/>
        <v>4.0317394660720372E-3</v>
      </c>
      <c r="R194" s="3">
        <f t="shared" si="130"/>
        <v>4.0317394660720008E-3</v>
      </c>
      <c r="S194" s="3">
        <f t="shared" si="130"/>
        <v>4.0317394660716321E-3</v>
      </c>
      <c r="T194" s="3">
        <f t="shared" si="130"/>
        <v>4.0317394660679519E-3</v>
      </c>
      <c r="U194" s="3">
        <f t="shared" si="130"/>
        <v>4.0317394660311428E-3</v>
      </c>
      <c r="V194" s="3">
        <f t="shared" si="130"/>
        <v>4.0317394656630588E-3</v>
      </c>
      <c r="W194" s="3">
        <f t="shared" si="130"/>
        <v>4.031739461982215E-3</v>
      </c>
      <c r="X194" s="3">
        <f t="shared" si="130"/>
        <v>4.0317394251737741E-3</v>
      </c>
      <c r="Y194" s="3">
        <f t="shared" si="130"/>
        <v>4.03173905708939E-3</v>
      </c>
      <c r="Z194" s="3">
        <f t="shared" si="130"/>
        <v>4.0317353762473968E-3</v>
      </c>
      <c r="AA194" s="3">
        <f t="shared" si="130"/>
        <v>4.0316985680122902E-3</v>
      </c>
      <c r="AB194" s="3">
        <f t="shared" si="130"/>
        <v>4.0313305041432069E-3</v>
      </c>
      <c r="AC194" s="3">
        <f t="shared" si="130"/>
        <v>4.0276517130273526E-3</v>
      </c>
      <c r="AD194" s="3">
        <f t="shared" si="130"/>
        <v>3.9910479367809854E-3</v>
      </c>
      <c r="AE194" s="3">
        <f t="shared" si="130"/>
        <v>3.6428165611259067E-3</v>
      </c>
      <c r="AF194" s="3">
        <f t="shared" si="130"/>
        <v>1.4619781566055511E-3</v>
      </c>
      <c r="AG194" s="3"/>
      <c r="AH194" s="3"/>
    </row>
    <row r="195" spans="1:34" x14ac:dyDescent="0.25">
      <c r="B195" s="3">
        <f t="shared" ref="B195:AF195" si="131">$C42*EXP(-B$168/$A42/EXP(-$C$126))</f>
        <v>2.1502645285220883E-3</v>
      </c>
      <c r="C195" s="3">
        <f t="shared" si="131"/>
        <v>2.1502645285220883E-3</v>
      </c>
      <c r="D195" s="3">
        <f t="shared" si="131"/>
        <v>2.1502645285220883E-3</v>
      </c>
      <c r="E195" s="3">
        <f t="shared" si="131"/>
        <v>2.1502645285220883E-3</v>
      </c>
      <c r="F195" s="3">
        <f t="shared" si="131"/>
        <v>2.1502645285220883E-3</v>
      </c>
      <c r="G195" s="3">
        <f t="shared" si="131"/>
        <v>2.1502645285220883E-3</v>
      </c>
      <c r="H195" s="3">
        <f t="shared" si="131"/>
        <v>2.1502645285220883E-3</v>
      </c>
      <c r="I195" s="3">
        <f t="shared" si="131"/>
        <v>2.1502645285220883E-3</v>
      </c>
      <c r="J195" s="3">
        <f t="shared" si="131"/>
        <v>2.1502645285220883E-3</v>
      </c>
      <c r="K195" s="3">
        <f t="shared" si="131"/>
        <v>2.1502645285220883E-3</v>
      </c>
      <c r="L195" s="3">
        <f t="shared" si="131"/>
        <v>2.1502645285220883E-3</v>
      </c>
      <c r="M195" s="3">
        <f t="shared" si="131"/>
        <v>2.1502645285220883E-3</v>
      </c>
      <c r="N195" s="3">
        <f t="shared" si="131"/>
        <v>2.1502645285220883E-3</v>
      </c>
      <c r="O195" s="3">
        <f t="shared" si="131"/>
        <v>2.1502645285220883E-3</v>
      </c>
      <c r="P195" s="3">
        <f t="shared" si="131"/>
        <v>2.1502645285220883E-3</v>
      </c>
      <c r="Q195" s="3">
        <f t="shared" si="131"/>
        <v>2.1502645285220879E-3</v>
      </c>
      <c r="R195" s="3">
        <f t="shared" si="131"/>
        <v>2.1502645285220862E-3</v>
      </c>
      <c r="S195" s="3">
        <f t="shared" si="131"/>
        <v>2.1502645285220666E-3</v>
      </c>
      <c r="T195" s="3">
        <f t="shared" si="131"/>
        <v>2.1502645285218702E-3</v>
      </c>
      <c r="U195" s="3">
        <f t="shared" si="131"/>
        <v>2.1502645285199069E-3</v>
      </c>
      <c r="V195" s="3">
        <f t="shared" si="131"/>
        <v>2.1502645285002759E-3</v>
      </c>
      <c r="W195" s="3">
        <f t="shared" si="131"/>
        <v>2.1502645283039638E-3</v>
      </c>
      <c r="X195" s="3">
        <f t="shared" si="131"/>
        <v>2.150264526340844E-3</v>
      </c>
      <c r="Y195" s="3">
        <f t="shared" si="131"/>
        <v>2.1502645067096437E-3</v>
      </c>
      <c r="Z195" s="3">
        <f t="shared" si="131"/>
        <v>2.1502643103976549E-3</v>
      </c>
      <c r="AA195" s="3">
        <f t="shared" si="131"/>
        <v>2.1502623472787479E-3</v>
      </c>
      <c r="AB195" s="3">
        <f t="shared" si="131"/>
        <v>2.1502427161882534E-3</v>
      </c>
      <c r="AC195" s="3">
        <f t="shared" si="131"/>
        <v>2.1500464151403857E-3</v>
      </c>
      <c r="AD195" s="3">
        <f t="shared" si="131"/>
        <v>2.148084390036623E-3</v>
      </c>
      <c r="AE195" s="3">
        <f t="shared" si="131"/>
        <v>2.1285623444444249E-3</v>
      </c>
      <c r="AF195" s="3">
        <f t="shared" si="131"/>
        <v>1.9428386435230752E-3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3.0564736295290245E-3</v>
      </c>
      <c r="C197" s="3">
        <f t="shared" si="133"/>
        <v>3.0564736295290245E-3</v>
      </c>
      <c r="D197" s="3">
        <f t="shared" si="133"/>
        <v>3.0564736295290245E-3</v>
      </c>
      <c r="E197" s="3">
        <f t="shared" si="133"/>
        <v>3.0564736295290245E-3</v>
      </c>
      <c r="F197" s="3">
        <f t="shared" si="133"/>
        <v>3.0564736295290245E-3</v>
      </c>
      <c r="G197" s="3">
        <f t="shared" si="133"/>
        <v>3.0564736295290245E-3</v>
      </c>
      <c r="H197" s="3">
        <f t="shared" si="133"/>
        <v>3.0564736295290245E-3</v>
      </c>
      <c r="I197" s="3">
        <f t="shared" si="133"/>
        <v>3.0564736295290245E-3</v>
      </c>
      <c r="J197" s="3">
        <f t="shared" si="133"/>
        <v>3.0564736295290245E-3</v>
      </c>
      <c r="K197" s="3">
        <f t="shared" si="133"/>
        <v>3.0564736295290245E-3</v>
      </c>
      <c r="L197" s="3">
        <f t="shared" si="133"/>
        <v>3.0564736295290245E-3</v>
      </c>
      <c r="M197" s="3">
        <f t="shared" si="133"/>
        <v>3.0564736295290245E-3</v>
      </c>
      <c r="N197" s="3">
        <f t="shared" si="133"/>
        <v>3.0564736295290245E-3</v>
      </c>
      <c r="O197" s="3">
        <f t="shared" si="133"/>
        <v>3.0564736295290245E-3</v>
      </c>
      <c r="P197" s="3">
        <f t="shared" si="133"/>
        <v>3.0564736295290245E-3</v>
      </c>
      <c r="Q197" s="3">
        <f t="shared" si="133"/>
        <v>3.0564736295290245E-3</v>
      </c>
      <c r="R197" s="3">
        <f t="shared" si="133"/>
        <v>3.0564736295290245E-3</v>
      </c>
      <c r="S197" s="3">
        <f t="shared" si="133"/>
        <v>3.0564736295290241E-3</v>
      </c>
      <c r="T197" s="3">
        <f t="shared" si="133"/>
        <v>3.0564736295290214E-3</v>
      </c>
      <c r="U197" s="3">
        <f t="shared" si="133"/>
        <v>3.0564736295289937E-3</v>
      </c>
      <c r="V197" s="3">
        <f t="shared" si="133"/>
        <v>3.0564736295287144E-3</v>
      </c>
      <c r="W197" s="3">
        <f t="shared" si="133"/>
        <v>3.0564736295259241E-3</v>
      </c>
      <c r="X197" s="3">
        <f t="shared" si="133"/>
        <v>3.0564736294980193E-3</v>
      </c>
      <c r="Y197" s="3">
        <f t="shared" si="133"/>
        <v>3.0564736292189735E-3</v>
      </c>
      <c r="Z197" s="3">
        <f t="shared" si="133"/>
        <v>3.0564736264285151E-3</v>
      </c>
      <c r="AA197" s="3">
        <f t="shared" si="133"/>
        <v>3.0564735985239271E-3</v>
      </c>
      <c r="AB197" s="3">
        <f t="shared" si="133"/>
        <v>3.0564733194780656E-3</v>
      </c>
      <c r="AC197" s="3">
        <f t="shared" si="133"/>
        <v>3.0564705290208492E-3</v>
      </c>
      <c r="AD197" s="3">
        <f t="shared" si="133"/>
        <v>3.0564426245888042E-3</v>
      </c>
      <c r="AE197" s="3">
        <f t="shared" si="133"/>
        <v>3.0561635942796036E-3</v>
      </c>
      <c r="AF197" s="3">
        <f t="shared" si="133"/>
        <v>3.0533746918396578E-3</v>
      </c>
      <c r="AG197" s="3"/>
      <c r="AH197" s="3"/>
    </row>
    <row r="198" spans="1:34" x14ac:dyDescent="0.25">
      <c r="B198" s="3">
        <f t="shared" ref="B198:AF198" si="134">$C45*EXP(-B$168/$A45/EXP(-$C$126))</f>
        <v>1.3352216676863077E-3</v>
      </c>
      <c r="C198" s="3">
        <f t="shared" si="134"/>
        <v>1.3352216676863077E-3</v>
      </c>
      <c r="D198" s="3">
        <f t="shared" si="134"/>
        <v>1.3352216676863077E-3</v>
      </c>
      <c r="E198" s="3">
        <f t="shared" si="134"/>
        <v>1.3352216676863077E-3</v>
      </c>
      <c r="F198" s="3">
        <f t="shared" si="134"/>
        <v>1.3352216676863077E-3</v>
      </c>
      <c r="G198" s="3">
        <f t="shared" si="134"/>
        <v>1.3352216676863077E-3</v>
      </c>
      <c r="H198" s="3">
        <f t="shared" si="134"/>
        <v>1.3352216676863077E-3</v>
      </c>
      <c r="I198" s="3">
        <f t="shared" si="134"/>
        <v>1.3352216676863077E-3</v>
      </c>
      <c r="J198" s="3">
        <f t="shared" si="134"/>
        <v>1.3352216676863077E-3</v>
      </c>
      <c r="K198" s="3">
        <f t="shared" si="134"/>
        <v>1.3352216676863077E-3</v>
      </c>
      <c r="L198" s="3">
        <f t="shared" si="134"/>
        <v>1.3352216676863077E-3</v>
      </c>
      <c r="M198" s="3">
        <f t="shared" si="134"/>
        <v>1.3352216676863077E-3</v>
      </c>
      <c r="N198" s="3">
        <f t="shared" si="134"/>
        <v>1.3352216676863077E-3</v>
      </c>
      <c r="O198" s="3">
        <f t="shared" si="134"/>
        <v>1.3352216676863077E-3</v>
      </c>
      <c r="P198" s="3">
        <f t="shared" si="134"/>
        <v>1.3352216676863077E-3</v>
      </c>
      <c r="Q198" s="3">
        <f t="shared" si="134"/>
        <v>1.3352216676863077E-3</v>
      </c>
      <c r="R198" s="3">
        <f t="shared" si="134"/>
        <v>1.3352216676863077E-3</v>
      </c>
      <c r="S198" s="3">
        <f t="shared" si="134"/>
        <v>1.3352216676863077E-3</v>
      </c>
      <c r="T198" s="3">
        <f t="shared" si="134"/>
        <v>1.3352216676863074E-3</v>
      </c>
      <c r="U198" s="3">
        <f t="shared" si="134"/>
        <v>1.3352216676863064E-3</v>
      </c>
      <c r="V198" s="3">
        <f t="shared" si="134"/>
        <v>1.3352216676862942E-3</v>
      </c>
      <c r="W198" s="3">
        <f t="shared" si="134"/>
        <v>1.3352216676861721E-3</v>
      </c>
      <c r="X198" s="3">
        <f t="shared" si="134"/>
        <v>1.3352216676849533E-3</v>
      </c>
      <c r="Y198" s="3">
        <f t="shared" si="134"/>
        <v>1.3352216676727629E-3</v>
      </c>
      <c r="Z198" s="3">
        <f t="shared" si="134"/>
        <v>1.3352216675508617E-3</v>
      </c>
      <c r="AA198" s="3">
        <f t="shared" si="134"/>
        <v>1.3352216663318488E-3</v>
      </c>
      <c r="AB198" s="3">
        <f t="shared" si="134"/>
        <v>1.335221654141719E-3</v>
      </c>
      <c r="AC198" s="3">
        <f t="shared" si="134"/>
        <v>1.3352215322404283E-3</v>
      </c>
      <c r="AD198" s="3">
        <f t="shared" si="134"/>
        <v>1.3352203132281318E-3</v>
      </c>
      <c r="AE198" s="3">
        <f t="shared" si="134"/>
        <v>1.3352081231663786E-3</v>
      </c>
      <c r="AF198" s="3">
        <f t="shared" si="134"/>
        <v>1.3350862286696664E-3</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4.8148845751778149E-2</v>
      </c>
      <c r="B202" s="80">
        <f>IF($A$64&lt;=B168,IF($B$64&gt;=B168,ABS((B170-B169)/B169),0),0)</f>
        <v>7.1723446957043854E-3</v>
      </c>
      <c r="C202" s="80">
        <f t="shared" ref="C202:AF202" si="138">IF($A$64&lt;=C168,IF($B$64&gt;=C168,ABS((C170-C169)/C169),0),0)</f>
        <v>6.3118122052675529E-2</v>
      </c>
      <c r="D202" s="80">
        <f t="shared" si="138"/>
        <v>0.10560018968591357</v>
      </c>
      <c r="E202" s="80">
        <f t="shared" si="138"/>
        <v>8.7767696704014284E-2</v>
      </c>
      <c r="F202" s="80">
        <f t="shared" si="138"/>
        <v>6.7865341764576814E-2</v>
      </c>
      <c r="G202" s="80">
        <f t="shared" si="138"/>
        <v>4.4953091375488773E-2</v>
      </c>
      <c r="H202" s="80">
        <f t="shared" si="138"/>
        <v>1.9976447747177172E-2</v>
      </c>
      <c r="I202" s="80">
        <f t="shared" si="138"/>
        <v>2.7981501188508598E-3</v>
      </c>
      <c r="J202" s="80">
        <f t="shared" si="138"/>
        <v>2.0603366824928013E-2</v>
      </c>
      <c r="K202" s="80">
        <f t="shared" si="138"/>
        <v>1.6024935180998724E-2</v>
      </c>
      <c r="L202" s="80">
        <f t="shared" si="138"/>
        <v>1.5850410196576341E-2</v>
      </c>
      <c r="M202" s="80">
        <f t="shared" si="138"/>
        <v>1.4925829745859254E-2</v>
      </c>
      <c r="N202" s="80">
        <f t="shared" si="138"/>
        <v>1.4710902116323902E-2</v>
      </c>
      <c r="O202" s="80">
        <f t="shared" si="138"/>
        <v>1.5219712486466945E-2</v>
      </c>
      <c r="P202" s="80">
        <f t="shared" si="138"/>
        <v>1.4641915033352522E-2</v>
      </c>
      <c r="Q202" s="80">
        <f t="shared" si="138"/>
        <v>1.4300394891025277E-2</v>
      </c>
      <c r="R202" s="80">
        <f t="shared" si="138"/>
        <v>1.3637198108173517E-2</v>
      </c>
      <c r="S202" s="80">
        <f t="shared" si="138"/>
        <v>1.1995571927939834E-2</v>
      </c>
      <c r="T202" s="80">
        <f t="shared" si="138"/>
        <v>7.1923075484646133E-4</v>
      </c>
      <c r="U202" s="80">
        <f t="shared" si="138"/>
        <v>4.0887876895017709E-2</v>
      </c>
      <c r="V202" s="80">
        <f t="shared" si="138"/>
        <v>0.10409884778839855</v>
      </c>
      <c r="W202" s="80">
        <f t="shared" si="138"/>
        <v>0.15252733928485593</v>
      </c>
      <c r="X202" s="80">
        <f t="shared" si="138"/>
        <v>0.15244514313862365</v>
      </c>
      <c r="Y202" s="80">
        <f t="shared" si="138"/>
        <v>0.12665607392947487</v>
      </c>
      <c r="Z202" s="80">
        <f t="shared" si="138"/>
        <v>0.10238947803001265</v>
      </c>
      <c r="AA202" s="80">
        <f t="shared" si="138"/>
        <v>8.0670720602035353E-2</v>
      </c>
      <c r="AB202" s="80">
        <f t="shared" si="138"/>
        <v>6.6049593819106744E-2</v>
      </c>
      <c r="AC202" s="80">
        <f t="shared" si="138"/>
        <v>4.6555720330889429E-2</v>
      </c>
      <c r="AD202" s="80">
        <f t="shared" si="138"/>
        <v>3.2593801438070814E-2</v>
      </c>
      <c r="AE202" s="80">
        <f t="shared" si="138"/>
        <v>1.9858106563097676E-2</v>
      </c>
      <c r="AF202" s="80">
        <f t="shared" si="138"/>
        <v>1.6000665074646744E-2</v>
      </c>
    </row>
    <row r="203" spans="1:34" x14ac:dyDescent="0.25">
      <c r="B203" s="21">
        <f>(B170-B169)^2</f>
        <v>5869.1611743320163</v>
      </c>
      <c r="C203" s="21">
        <f t="shared" ref="C203:AF203" si="139">(C170-C169)^2</f>
        <v>425971.24723194027</v>
      </c>
      <c r="D203" s="21">
        <f t="shared" si="139"/>
        <v>1147540.5523646297</v>
      </c>
      <c r="E203" s="21">
        <f t="shared" si="139"/>
        <v>761996.2761915006</v>
      </c>
      <c r="F203" s="21">
        <f t="shared" si="139"/>
        <v>436334.8440533643</v>
      </c>
      <c r="G203" s="21">
        <f t="shared" si="139"/>
        <v>182313.51290101965</v>
      </c>
      <c r="H203" s="21">
        <f t="shared" si="139"/>
        <v>34088.512273356129</v>
      </c>
      <c r="I203" s="21">
        <f t="shared" si="139"/>
        <v>628.9154637498599</v>
      </c>
      <c r="J203" s="21">
        <f t="shared" si="139"/>
        <v>31976.086410324468</v>
      </c>
      <c r="K203" s="21">
        <f t="shared" si="139"/>
        <v>18172.371715305264</v>
      </c>
      <c r="L203" s="21">
        <f t="shared" si="139"/>
        <v>16502.773715743435</v>
      </c>
      <c r="M203" s="21">
        <f t="shared" si="139"/>
        <v>13341.020136988716</v>
      </c>
      <c r="N203" s="21">
        <f t="shared" si="139"/>
        <v>11712.398044723908</v>
      </c>
      <c r="O203" s="21">
        <f t="shared" si="139"/>
        <v>11445.840854489737</v>
      </c>
      <c r="P203" s="21">
        <f t="shared" si="139"/>
        <v>9740.2197726215309</v>
      </c>
      <c r="Q203" s="21">
        <f t="shared" si="139"/>
        <v>8510.7452060974283</v>
      </c>
      <c r="R203" s="21">
        <f t="shared" si="139"/>
        <v>7052.2833769000872</v>
      </c>
      <c r="S203" s="21">
        <f t="shared" si="139"/>
        <v>4948.7686349642845</v>
      </c>
      <c r="T203" s="21">
        <f t="shared" si="139"/>
        <v>15.631839661451332</v>
      </c>
      <c r="U203" s="21">
        <f t="shared" si="139"/>
        <v>40799.184550119237</v>
      </c>
      <c r="V203" s="21">
        <f t="shared" si="139"/>
        <v>200631.15306038861</v>
      </c>
      <c r="W203" s="21">
        <f t="shared" si="139"/>
        <v>317504.28397689818</v>
      </c>
      <c r="X203" s="21">
        <f t="shared" si="139"/>
        <v>227229.40907754964</v>
      </c>
      <c r="Y203" s="21">
        <f t="shared" si="139"/>
        <v>105661.12781748621</v>
      </c>
      <c r="Z203" s="21">
        <f t="shared" si="139"/>
        <v>41908.102257645682</v>
      </c>
      <c r="AA203" s="21">
        <f t="shared" si="139"/>
        <v>14054.551046177292</v>
      </c>
      <c r="AB203" s="21">
        <f t="shared" si="139"/>
        <v>4922.1754668334188</v>
      </c>
      <c r="AC203" s="21">
        <f t="shared" si="139"/>
        <v>1354.0328046502852</v>
      </c>
      <c r="AD203" s="21">
        <f t="shared" si="139"/>
        <v>452.34696912401995</v>
      </c>
      <c r="AE203" s="21">
        <f t="shared" si="139"/>
        <v>132.16800165631548</v>
      </c>
      <c r="AF203" s="21">
        <f t="shared" si="139"/>
        <v>75.583739227313188</v>
      </c>
      <c r="AG203" s="3"/>
      <c r="AH203" s="3"/>
    </row>
    <row r="204" spans="1:34" x14ac:dyDescent="0.25">
      <c r="A204" s="71">
        <f>SUM(B204:AF204)</f>
        <v>4082885.2801294699</v>
      </c>
      <c r="B204" s="60">
        <f>IF($A$64&lt;=B168,IF($B$64&gt;=B168,ABS(B203),0),0)</f>
        <v>5869.1611743320163</v>
      </c>
      <c r="C204" s="60">
        <f t="shared" ref="C204" si="140">IF($A$64&lt;=C168,IF($B$64&gt;=C168,ABS(C203),0),0)</f>
        <v>425971.24723194027</v>
      </c>
      <c r="D204" s="60">
        <f t="shared" ref="D204" si="141">IF($A$64&lt;=D168,IF($B$64&gt;=D168,ABS(D203),0),0)</f>
        <v>1147540.5523646297</v>
      </c>
      <c r="E204" s="60">
        <f t="shared" ref="E204" si="142">IF($A$64&lt;=E168,IF($B$64&gt;=E168,ABS(E203),0),0)</f>
        <v>761996.2761915006</v>
      </c>
      <c r="F204" s="60">
        <f t="shared" ref="F204" si="143">IF($A$64&lt;=F168,IF($B$64&gt;=F168,ABS(F203),0),0)</f>
        <v>436334.8440533643</v>
      </c>
      <c r="G204" s="60">
        <f t="shared" ref="G204" si="144">IF($A$64&lt;=G168,IF($B$64&gt;=G168,ABS(G203),0),0)</f>
        <v>182313.51290101965</v>
      </c>
      <c r="H204" s="60">
        <f t="shared" ref="H204" si="145">IF($A$64&lt;=H168,IF($B$64&gt;=H168,ABS(H203),0),0)</f>
        <v>34088.512273356129</v>
      </c>
      <c r="I204" s="60">
        <f t="shared" ref="I204" si="146">IF($A$64&lt;=I168,IF($B$64&gt;=I168,ABS(I203),0),0)</f>
        <v>628.9154637498599</v>
      </c>
      <c r="J204" s="60">
        <f t="shared" ref="J204" si="147">IF($A$64&lt;=J168,IF($B$64&gt;=J168,ABS(J203),0),0)</f>
        <v>31976.086410324468</v>
      </c>
      <c r="K204" s="60">
        <f t="shared" ref="K204" si="148">IF($A$64&lt;=K168,IF($B$64&gt;=K168,ABS(K203),0),0)</f>
        <v>18172.371715305264</v>
      </c>
      <c r="L204" s="60">
        <f t="shared" ref="L204" si="149">IF($A$64&lt;=L168,IF($B$64&gt;=L168,ABS(L203),0),0)</f>
        <v>16502.773715743435</v>
      </c>
      <c r="M204" s="60">
        <f t="shared" ref="M204" si="150">IF($A$64&lt;=M168,IF($B$64&gt;=M168,ABS(M203),0),0)</f>
        <v>13341.020136988716</v>
      </c>
      <c r="N204" s="60">
        <f t="shared" ref="N204" si="151">IF($A$64&lt;=N168,IF($B$64&gt;=N168,ABS(N203),0),0)</f>
        <v>11712.398044723908</v>
      </c>
      <c r="O204" s="60">
        <f t="shared" ref="O204" si="152">IF($A$64&lt;=O168,IF($B$64&gt;=O168,ABS(O203),0),0)</f>
        <v>11445.840854489737</v>
      </c>
      <c r="P204" s="60">
        <f t="shared" ref="P204" si="153">IF($A$64&lt;=P168,IF($B$64&gt;=P168,ABS(P203),0),0)</f>
        <v>9740.2197726215309</v>
      </c>
      <c r="Q204" s="60">
        <f t="shared" ref="Q204" si="154">IF($A$64&lt;=Q168,IF($B$64&gt;=Q168,ABS(Q203),0),0)</f>
        <v>8510.7452060974283</v>
      </c>
      <c r="R204" s="60">
        <f t="shared" ref="R204" si="155">IF($A$64&lt;=R168,IF($B$64&gt;=R168,ABS(R203),0),0)</f>
        <v>7052.2833769000872</v>
      </c>
      <c r="S204" s="60">
        <f t="shared" ref="S204" si="156">IF($A$64&lt;=S168,IF($B$64&gt;=S168,ABS(S203),0),0)</f>
        <v>4948.7686349642845</v>
      </c>
      <c r="T204" s="60">
        <f t="shared" ref="T204" si="157">IF($A$64&lt;=T168,IF($B$64&gt;=T168,ABS(T203),0),0)</f>
        <v>15.631839661451332</v>
      </c>
      <c r="U204" s="60">
        <f t="shared" ref="U204" si="158">IF($A$64&lt;=U168,IF($B$64&gt;=U168,ABS(U203),0),0)</f>
        <v>40799.184550119237</v>
      </c>
      <c r="V204" s="60">
        <f t="shared" ref="V204" si="159">IF($A$64&lt;=V168,IF($B$64&gt;=V168,ABS(V203),0),0)</f>
        <v>200631.15306038861</v>
      </c>
      <c r="W204" s="60">
        <f t="shared" ref="W204" si="160">IF($A$64&lt;=W168,IF($B$64&gt;=W168,ABS(W203),0),0)</f>
        <v>317504.28397689818</v>
      </c>
      <c r="X204" s="60">
        <f t="shared" ref="X204" si="161">IF($A$64&lt;=X168,IF($B$64&gt;=X168,ABS(X203),0),0)</f>
        <v>227229.40907754964</v>
      </c>
      <c r="Y204" s="60">
        <f t="shared" ref="Y204" si="162">IF($A$64&lt;=Y168,IF($B$64&gt;=Y168,ABS(Y203),0),0)</f>
        <v>105661.12781748621</v>
      </c>
      <c r="Z204" s="60">
        <f t="shared" ref="Z204" si="163">IF($A$64&lt;=Z168,IF($B$64&gt;=Z168,ABS(Z203),0),0)</f>
        <v>41908.102257645682</v>
      </c>
      <c r="AA204" s="60">
        <f t="shared" ref="AA204" si="164">IF($A$64&lt;=AA168,IF($B$64&gt;=AA168,ABS(AA203),0),0)</f>
        <v>14054.551046177292</v>
      </c>
      <c r="AB204" s="60">
        <f t="shared" ref="AB204" si="165">IF($A$64&lt;=AB168,IF($B$64&gt;=AB168,ABS(AB203),0),0)</f>
        <v>4922.1754668334188</v>
      </c>
      <c r="AC204" s="60">
        <f t="shared" ref="AC204" si="166">IF($A$64&lt;=AC168,IF($B$64&gt;=AC168,ABS(AC203),0),0)</f>
        <v>1354.0328046502852</v>
      </c>
      <c r="AD204" s="60">
        <f t="shared" ref="AD204" si="167">IF($A$64&lt;=AD168,IF($B$64&gt;=AD168,ABS(AD203),0),0)</f>
        <v>452.34696912401995</v>
      </c>
      <c r="AE204" s="60">
        <f t="shared" ref="AE204" si="168">IF($A$64&lt;=AE168,IF($B$64&gt;=AE168,ABS(AE203),0),0)</f>
        <v>132.16800165631548</v>
      </c>
      <c r="AF204" s="60">
        <f t="shared" ref="AF204" si="169">IF($A$64&lt;=AF168,IF($B$64&gt;=AF168,ABS(AF203),0),0)</f>
        <v>75.583739227313188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9565.1748290440064</v>
      </c>
      <c r="C209" s="27">
        <f t="shared" ref="C209:AF209" si="170">($C$17+SUM(C210:C240))*$B$51</f>
        <v>9072.9425406841128</v>
      </c>
      <c r="D209" s="27">
        <f t="shared" si="170"/>
        <v>9072.9184938448125</v>
      </c>
      <c r="E209" s="27">
        <f t="shared" si="170"/>
        <v>9072.7502255586769</v>
      </c>
      <c r="F209" s="27">
        <f t="shared" si="170"/>
        <v>9071.070102997086</v>
      </c>
      <c r="G209" s="27">
        <f t="shared" si="170"/>
        <v>9054.522233025682</v>
      </c>
      <c r="H209" s="27">
        <f t="shared" si="170"/>
        <v>8911.9040952981286</v>
      </c>
      <c r="I209" s="27">
        <f t="shared" si="170"/>
        <v>8473.4036812467075</v>
      </c>
      <c r="J209" s="27">
        <f t="shared" si="170"/>
        <v>8257.3777843880653</v>
      </c>
      <c r="K209" s="27">
        <f t="shared" si="170"/>
        <v>7947.729267221237</v>
      </c>
      <c r="L209" s="27">
        <f t="shared" si="170"/>
        <v>7590.1369446446088</v>
      </c>
      <c r="M209" s="27">
        <f t="shared" si="170"/>
        <v>7214.8460236806295</v>
      </c>
      <c r="N209" s="27">
        <f t="shared" si="170"/>
        <v>6893.6687712242392</v>
      </c>
      <c r="O209" s="27">
        <f t="shared" si="170"/>
        <v>6615.3865895533208</v>
      </c>
      <c r="P209" s="27">
        <f t="shared" si="170"/>
        <v>6330.7806403713439</v>
      </c>
      <c r="Q209" s="27">
        <f t="shared" si="170"/>
        <v>6046.457853237177</v>
      </c>
      <c r="R209" s="27">
        <f t="shared" si="170"/>
        <v>5766.769828759021</v>
      </c>
      <c r="S209" s="27">
        <f t="shared" si="170"/>
        <v>5462.2212767365509</v>
      </c>
      <c r="T209" s="27">
        <f t="shared" si="170"/>
        <v>5106.2258909473858</v>
      </c>
      <c r="U209" s="27">
        <f t="shared" si="170"/>
        <v>4713.0643731070713</v>
      </c>
      <c r="V209" s="27">
        <f t="shared" si="170"/>
        <v>4203.5538326702226</v>
      </c>
      <c r="W209" s="27">
        <f t="shared" si="170"/>
        <v>3542.4790058835365</v>
      </c>
      <c r="X209" s="27">
        <f t="shared" si="170"/>
        <v>2834.4390915586696</v>
      </c>
      <c r="Y209" s="27">
        <f t="shared" si="170"/>
        <v>2151.5492685536469</v>
      </c>
      <c r="Z209" s="27">
        <f t="shared" si="170"/>
        <v>1549.9850314984301</v>
      </c>
      <c r="AA209" s="27">
        <f t="shared" si="170"/>
        <v>1104.7767525240208</v>
      </c>
      <c r="AB209" s="27">
        <f t="shared" si="170"/>
        <v>815.31111290844785</v>
      </c>
      <c r="AC209" s="27">
        <f t="shared" si="170"/>
        <v>660.22908528907715</v>
      </c>
      <c r="AD209" s="27">
        <f t="shared" si="170"/>
        <v>586.94154649184202</v>
      </c>
      <c r="AE209" s="27">
        <f t="shared" si="170"/>
        <v>548.43294360046525</v>
      </c>
      <c r="AF209" s="27">
        <f t="shared" si="170"/>
        <v>521.70953324799007</v>
      </c>
      <c r="AG209" s="27"/>
      <c r="AH209" s="27"/>
    </row>
    <row r="210" spans="1:34" x14ac:dyDescent="0.25">
      <c r="B210" s="3">
        <f t="shared" ref="B210:AF210" si="171">$C18*EXP(-B$207/$A18/EXP(-$D$126))</f>
        <v>4.5711744391505424E-2</v>
      </c>
      <c r="C210" s="3">
        <f t="shared" si="171"/>
        <v>6.7024943778843175E-7</v>
      </c>
      <c r="D210" s="3">
        <f t="shared" si="171"/>
        <v>3.0783861484529371E-55</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5.3113447550087671E-2</v>
      </c>
      <c r="C211" s="3">
        <f t="shared" si="172"/>
        <v>5.3113296120977205E-2</v>
      </c>
      <c r="D211" s="3">
        <f t="shared" si="172"/>
        <v>5.3111781853617611E-2</v>
      </c>
      <c r="E211" s="3">
        <f t="shared" si="172"/>
        <v>5.3096641554276972E-2</v>
      </c>
      <c r="F211" s="3">
        <f t="shared" si="172"/>
        <v>5.294547573613189E-2</v>
      </c>
      <c r="G211" s="3">
        <f t="shared" si="172"/>
        <v>5.145728678354191E-2</v>
      </c>
      <c r="H211" s="3">
        <f t="shared" si="172"/>
        <v>3.8692533340124159E-2</v>
      </c>
      <c r="I211" s="3">
        <f t="shared" si="172"/>
        <v>2.2357847437942087E-3</v>
      </c>
      <c r="J211" s="3">
        <f t="shared" si="172"/>
        <v>9.2780822256588222E-16</v>
      </c>
      <c r="K211" s="3">
        <f t="shared" si="172"/>
        <v>1.4052076461224227E-139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1.5903248014381546E-2</v>
      </c>
      <c r="C212" s="3">
        <f t="shared" si="173"/>
        <v>1.5903243924244449E-2</v>
      </c>
      <c r="D212" s="3">
        <f t="shared" si="173"/>
        <v>1.5903203022931342E-2</v>
      </c>
      <c r="E212" s="3">
        <f t="shared" si="173"/>
        <v>1.5902794015585881E-2</v>
      </c>
      <c r="F212" s="3">
        <f t="shared" si="173"/>
        <v>1.589870452063585E-2</v>
      </c>
      <c r="G212" s="3">
        <f t="shared" si="173"/>
        <v>1.585786736657991E-2</v>
      </c>
      <c r="H212" s="3">
        <f t="shared" si="173"/>
        <v>1.5455220748700401E-2</v>
      </c>
      <c r="I212" s="3">
        <f t="shared" si="173"/>
        <v>1.1950319767900383E-2</v>
      </c>
      <c r="J212" s="3">
        <f t="shared" si="173"/>
        <v>9.1289885945342541E-4</v>
      </c>
      <c r="K212" s="3">
        <f t="shared" si="173"/>
        <v>6.178087372828078E-15</v>
      </c>
      <c r="L212" s="3">
        <f t="shared" si="173"/>
        <v>1.2449957266746441E-126</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2.9724136324311385E-2</v>
      </c>
      <c r="C213" s="3">
        <f t="shared" si="174"/>
        <v>2.9724135634694449E-2</v>
      </c>
      <c r="D213" s="3">
        <f t="shared" si="174"/>
        <v>2.9724128738525955E-2</v>
      </c>
      <c r="E213" s="3">
        <f t="shared" si="174"/>
        <v>2.9724059776929004E-2</v>
      </c>
      <c r="F213" s="3">
        <f t="shared" si="174"/>
        <v>2.9723370169759129E-2</v>
      </c>
      <c r="G213" s="3">
        <f t="shared" si="174"/>
        <v>2.9716474977949384E-2</v>
      </c>
      <c r="H213" s="3">
        <f t="shared" si="174"/>
        <v>2.964761097326411E-2</v>
      </c>
      <c r="I213" s="3">
        <f t="shared" si="174"/>
        <v>2.8967687266947314E-2</v>
      </c>
      <c r="J213" s="3">
        <f t="shared" si="174"/>
        <v>2.296968408277621E-2</v>
      </c>
      <c r="K213" s="3">
        <f t="shared" si="174"/>
        <v>2.2571842480459642E-3</v>
      </c>
      <c r="L213" s="3">
        <f t="shared" si="174"/>
        <v>1.8953389967649481E-13</v>
      </c>
      <c r="M213" s="3">
        <f t="shared" si="174"/>
        <v>3.3028265977443036E-114</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3.4474581064884331E-2</v>
      </c>
      <c r="C214" s="3">
        <f t="shared" si="175"/>
        <v>3.4474580992733019E-2</v>
      </c>
      <c r="D214" s="3">
        <f t="shared" si="175"/>
        <v>3.4474580271219843E-2</v>
      </c>
      <c r="E214" s="3">
        <f t="shared" si="175"/>
        <v>3.4474573056088975E-2</v>
      </c>
      <c r="F214" s="3">
        <f t="shared" si="175"/>
        <v>3.4474500904863314E-2</v>
      </c>
      <c r="G214" s="3">
        <f t="shared" si="175"/>
        <v>3.4473779400911862E-2</v>
      </c>
      <c r="H214" s="3">
        <f t="shared" si="175"/>
        <v>3.4466565191850027E-2</v>
      </c>
      <c r="I214" s="3">
        <f t="shared" si="175"/>
        <v>3.439450608222263E-2</v>
      </c>
      <c r="J214" s="3">
        <f t="shared" si="175"/>
        <v>3.3682149185429298E-2</v>
      </c>
      <c r="K214" s="3">
        <f t="shared" si="175"/>
        <v>2.7321653183188674E-2</v>
      </c>
      <c r="L214" s="3">
        <f t="shared" si="175"/>
        <v>3.3696032219732806E-3</v>
      </c>
      <c r="M214" s="3">
        <f t="shared" si="175"/>
        <v>2.7434476079265287E-12</v>
      </c>
      <c r="N214" s="3">
        <f t="shared" si="175"/>
        <v>3.5113630218282634E-103</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3.8163539596883497E-2</v>
      </c>
      <c r="C215" s="3">
        <f t="shared" si="176"/>
        <v>3.8163539589678393E-2</v>
      </c>
      <c r="D215" s="3">
        <f t="shared" si="176"/>
        <v>3.8163539517627305E-2</v>
      </c>
      <c r="E215" s="3">
        <f t="shared" si="176"/>
        <v>3.8163538797116488E-2</v>
      </c>
      <c r="F215" s="3">
        <f t="shared" si="176"/>
        <v>3.8163531592009074E-2</v>
      </c>
      <c r="G215" s="3">
        <f t="shared" si="176"/>
        <v>3.8163459541009734E-2</v>
      </c>
      <c r="H215" s="3">
        <f t="shared" si="176"/>
        <v>3.8162739038497873E-2</v>
      </c>
      <c r="I215" s="3">
        <f t="shared" si="176"/>
        <v>3.8155534761482222E-2</v>
      </c>
      <c r="J215" s="3">
        <f t="shared" si="176"/>
        <v>3.8083566749386483E-2</v>
      </c>
      <c r="K215" s="3">
        <f t="shared" si="176"/>
        <v>3.7371310475407933E-2</v>
      </c>
      <c r="L215" s="3">
        <f t="shared" si="176"/>
        <v>3.0941790493442544E-2</v>
      </c>
      <c r="M215" s="3">
        <f t="shared" si="176"/>
        <v>4.6839967037807821E-3</v>
      </c>
      <c r="N215" s="3">
        <f t="shared" si="176"/>
        <v>2.9602471836383202E-11</v>
      </c>
      <c r="O215" s="3">
        <f t="shared" si="176"/>
        <v>3.0091368204296425E-93</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3.1147960288532808E-2</v>
      </c>
      <c r="C216" s="3">
        <f t="shared" si="177"/>
        <v>3.1147960288002329E-2</v>
      </c>
      <c r="D216" s="3">
        <f t="shared" si="177"/>
        <v>3.1147960282697541E-2</v>
      </c>
      <c r="E216" s="3">
        <f t="shared" si="177"/>
        <v>3.1147960229649656E-2</v>
      </c>
      <c r="F216" s="3">
        <f t="shared" si="177"/>
        <v>3.1147959699170821E-2</v>
      </c>
      <c r="G216" s="3">
        <f t="shared" si="177"/>
        <v>3.1147954394382976E-2</v>
      </c>
      <c r="H216" s="3">
        <f t="shared" si="177"/>
        <v>3.1147901346554183E-2</v>
      </c>
      <c r="I216" s="3">
        <f t="shared" si="177"/>
        <v>3.1147370873235259E-2</v>
      </c>
      <c r="J216" s="3">
        <f t="shared" si="177"/>
        <v>3.1142066636911471E-2</v>
      </c>
      <c r="K216" s="3">
        <f t="shared" si="177"/>
        <v>3.1089073928923322E-2</v>
      </c>
      <c r="L216" s="3">
        <f t="shared" si="177"/>
        <v>3.0564081226065506E-2</v>
      </c>
      <c r="M216" s="3">
        <f t="shared" si="177"/>
        <v>2.5777864755541394E-2</v>
      </c>
      <c r="N216" s="3">
        <f t="shared" si="177"/>
        <v>4.6946465120626347E-3</v>
      </c>
      <c r="O216" s="3">
        <f t="shared" si="177"/>
        <v>1.8843538578835189E-10</v>
      </c>
      <c r="P216" s="3">
        <f t="shared" si="177"/>
        <v>2.0453050960349085E-84</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2.5944984110175897E-2</v>
      </c>
      <c r="C217" s="3">
        <f t="shared" si="178"/>
        <v>2.5944984110136037E-2</v>
      </c>
      <c r="D217" s="3">
        <f t="shared" si="178"/>
        <v>2.5944984109737439E-2</v>
      </c>
      <c r="E217" s="3">
        <f t="shared" si="178"/>
        <v>2.5944984105751426E-2</v>
      </c>
      <c r="F217" s="3">
        <f t="shared" si="178"/>
        <v>2.5944984065891321E-2</v>
      </c>
      <c r="G217" s="3">
        <f t="shared" si="178"/>
        <v>2.5944983667290259E-2</v>
      </c>
      <c r="H217" s="3">
        <f t="shared" si="178"/>
        <v>2.5944979681280001E-2</v>
      </c>
      <c r="I217" s="3">
        <f t="shared" si="178"/>
        <v>2.5944939821211096E-2</v>
      </c>
      <c r="J217" s="3">
        <f t="shared" si="178"/>
        <v>2.5944541223890116E-2</v>
      </c>
      <c r="K217" s="3">
        <f t="shared" si="178"/>
        <v>2.594055558746999E-2</v>
      </c>
      <c r="L217" s="3">
        <f t="shared" si="178"/>
        <v>2.5900732883098573E-2</v>
      </c>
      <c r="M217" s="3">
        <f t="shared" si="178"/>
        <v>2.5505852767056022E-2</v>
      </c>
      <c r="N217" s="3">
        <f t="shared" si="178"/>
        <v>2.1873475921575229E-2</v>
      </c>
      <c r="O217" s="3">
        <f t="shared" si="178"/>
        <v>4.70649219286605E-3</v>
      </c>
      <c r="P217" s="3">
        <f t="shared" si="178"/>
        <v>1.0011352305128377E-9</v>
      </c>
      <c r="Q217" s="3">
        <f t="shared" si="178"/>
        <v>1.8986580967634585E-76</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2.8280666339942438E-2</v>
      </c>
      <c r="C218" s="3">
        <f t="shared" si="179"/>
        <v>2.8280666339938521E-2</v>
      </c>
      <c r="D218" s="3">
        <f t="shared" si="179"/>
        <v>2.8280666339899327E-2</v>
      </c>
      <c r="E218" s="3">
        <f t="shared" si="179"/>
        <v>2.8280666339507383E-2</v>
      </c>
      <c r="F218" s="3">
        <f t="shared" si="179"/>
        <v>2.828066633558797E-2</v>
      </c>
      <c r="G218" s="3">
        <f t="shared" si="179"/>
        <v>2.8280666296393815E-2</v>
      </c>
      <c r="H218" s="3">
        <f t="shared" si="179"/>
        <v>2.8280665904452301E-2</v>
      </c>
      <c r="I218" s="3">
        <f t="shared" si="179"/>
        <v>2.8280661985037432E-2</v>
      </c>
      <c r="J218" s="3">
        <f t="shared" si="179"/>
        <v>2.828062279091861E-2</v>
      </c>
      <c r="K218" s="3">
        <f t="shared" si="179"/>
        <v>2.8280230852717941E-2</v>
      </c>
      <c r="L218" s="3">
        <f t="shared" si="179"/>
        <v>2.827631176944952E-2</v>
      </c>
      <c r="M218" s="3">
        <f t="shared" si="179"/>
        <v>2.8237150795278602E-2</v>
      </c>
      <c r="N218" s="3">
        <f t="shared" si="179"/>
        <v>2.7848511650564442E-2</v>
      </c>
      <c r="O218" s="3">
        <f t="shared" si="179"/>
        <v>2.4244495605687307E-2</v>
      </c>
      <c r="P218" s="3">
        <f t="shared" si="179"/>
        <v>6.0635196754384342E-3</v>
      </c>
      <c r="Q218" s="3">
        <f t="shared" si="179"/>
        <v>5.8055205927300455E-9</v>
      </c>
      <c r="R218" s="3">
        <f t="shared" si="179"/>
        <v>3.7584169430807404E-69</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2.7707301103179451E-2</v>
      </c>
      <c r="C219" s="3">
        <f t="shared" si="180"/>
        <v>2.7707301103179108E-2</v>
      </c>
      <c r="D219" s="3">
        <f t="shared" si="180"/>
        <v>2.7707301103175645E-2</v>
      </c>
      <c r="E219" s="3">
        <f t="shared" si="180"/>
        <v>2.7707301103141003E-2</v>
      </c>
      <c r="F219" s="3">
        <f t="shared" si="180"/>
        <v>2.7707301102794606E-2</v>
      </c>
      <c r="G219" s="3">
        <f t="shared" si="180"/>
        <v>2.7707301099330655E-2</v>
      </c>
      <c r="H219" s="3">
        <f t="shared" si="180"/>
        <v>2.7707301064691086E-2</v>
      </c>
      <c r="I219" s="3">
        <f t="shared" si="180"/>
        <v>2.7707300718295424E-2</v>
      </c>
      <c r="J219" s="3">
        <f t="shared" si="180"/>
        <v>2.7707297254339024E-2</v>
      </c>
      <c r="K219" s="3">
        <f t="shared" si="180"/>
        <v>2.7707262614798858E-2</v>
      </c>
      <c r="L219" s="3">
        <f t="shared" si="180"/>
        <v>2.770691622177901E-2</v>
      </c>
      <c r="M219" s="3">
        <f t="shared" si="180"/>
        <v>2.7703452529752749E-2</v>
      </c>
      <c r="N219" s="3">
        <f t="shared" si="180"/>
        <v>2.7668839415695281E-2</v>
      </c>
      <c r="O219" s="3">
        <f t="shared" si="180"/>
        <v>2.7325077920266529E-2</v>
      </c>
      <c r="P219" s="3">
        <f t="shared" si="180"/>
        <v>2.4113823154473014E-2</v>
      </c>
      <c r="Q219" s="3">
        <f t="shared" si="180"/>
        <v>6.9073696278915461E-3</v>
      </c>
      <c r="R219" s="3">
        <f t="shared" si="180"/>
        <v>2.5690878035724004E-8</v>
      </c>
      <c r="S219" s="3">
        <f t="shared" si="180"/>
        <v>1.3014918556382263E-62</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2.6509888121377789E-2</v>
      </c>
      <c r="C220" s="3">
        <f t="shared" si="181"/>
        <v>2.6509888121377761E-2</v>
      </c>
      <c r="D220" s="3">
        <f t="shared" si="181"/>
        <v>2.6509888121377459E-2</v>
      </c>
      <c r="E220" s="3">
        <f t="shared" si="181"/>
        <v>2.6509888121374468E-2</v>
      </c>
      <c r="F220" s="3">
        <f t="shared" si="181"/>
        <v>2.6509888121344572E-2</v>
      </c>
      <c r="G220" s="3">
        <f t="shared" si="181"/>
        <v>2.6509888121045599E-2</v>
      </c>
      <c r="H220" s="3">
        <f t="shared" si="181"/>
        <v>2.6509888118055866E-2</v>
      </c>
      <c r="I220" s="3">
        <f t="shared" si="181"/>
        <v>2.6509888088158514E-2</v>
      </c>
      <c r="J220" s="3">
        <f t="shared" si="181"/>
        <v>2.6509887789185001E-2</v>
      </c>
      <c r="K220" s="3">
        <f t="shared" si="181"/>
        <v>2.6509884799450101E-2</v>
      </c>
      <c r="L220" s="3">
        <f t="shared" si="181"/>
        <v>2.6509854902119614E-2</v>
      </c>
      <c r="M220" s="3">
        <f t="shared" si="181"/>
        <v>2.6509555930669195E-2</v>
      </c>
      <c r="N220" s="3">
        <f t="shared" si="181"/>
        <v>2.6506566401603593E-2</v>
      </c>
      <c r="O220" s="3">
        <f t="shared" si="181"/>
        <v>2.6476689647069462E-2</v>
      </c>
      <c r="P220" s="3">
        <f t="shared" si="181"/>
        <v>2.6179768002461915E-2</v>
      </c>
      <c r="Q220" s="3">
        <f t="shared" si="181"/>
        <v>2.3387665959505501E-2</v>
      </c>
      <c r="R220" s="3">
        <f t="shared" si="181"/>
        <v>7.5717761956384452E-3</v>
      </c>
      <c r="S220" s="3">
        <f t="shared" si="181"/>
        <v>9.5787013588792788E-8</v>
      </c>
      <c r="T220" s="3">
        <f t="shared" si="181"/>
        <v>1.0055305686311489E-56</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3.0096089334719207E-2</v>
      </c>
      <c r="C221" s="3">
        <f t="shared" si="182"/>
        <v>3.0096089334719203E-2</v>
      </c>
      <c r="D221" s="3">
        <f t="shared" si="182"/>
        <v>3.0096089334719172E-2</v>
      </c>
      <c r="E221" s="3">
        <f t="shared" si="182"/>
        <v>3.0096089334718867E-2</v>
      </c>
      <c r="F221" s="3">
        <f t="shared" si="182"/>
        <v>3.0096089334715807E-2</v>
      </c>
      <c r="G221" s="3">
        <f t="shared" si="182"/>
        <v>3.0096089334685185E-2</v>
      </c>
      <c r="H221" s="3">
        <f t="shared" si="182"/>
        <v>3.0096089334379003E-2</v>
      </c>
      <c r="I221" s="3">
        <f t="shared" si="182"/>
        <v>3.0096089331317171E-2</v>
      </c>
      <c r="J221" s="3">
        <f t="shared" si="182"/>
        <v>3.009608930069884E-2</v>
      </c>
      <c r="K221" s="3">
        <f t="shared" si="182"/>
        <v>3.009608899451556E-2</v>
      </c>
      <c r="L221" s="3">
        <f t="shared" si="182"/>
        <v>3.0096085932682926E-2</v>
      </c>
      <c r="M221" s="3">
        <f t="shared" si="182"/>
        <v>3.0096055314373697E-2</v>
      </c>
      <c r="N221" s="3">
        <f t="shared" si="182"/>
        <v>3.0095749132994641E-2</v>
      </c>
      <c r="O221" s="3">
        <f t="shared" si="182"/>
        <v>3.0092687490519882E-2</v>
      </c>
      <c r="P221" s="3">
        <f t="shared" si="182"/>
        <v>3.0062088190904956E-2</v>
      </c>
      <c r="Q221" s="3">
        <f t="shared" si="182"/>
        <v>2.9757801279277168E-2</v>
      </c>
      <c r="R221" s="3">
        <f t="shared" si="182"/>
        <v>2.687928960691131E-2</v>
      </c>
      <c r="S221" s="3">
        <f t="shared" si="182"/>
        <v>9.7182319326907986E-3</v>
      </c>
      <c r="T221" s="3">
        <f t="shared" si="182"/>
        <v>3.7092148520078712E-7</v>
      </c>
      <c r="U221" s="3">
        <f t="shared" si="182"/>
        <v>2.4334884800917537E-51</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3.6902665150925024E-2</v>
      </c>
      <c r="C222" s="3">
        <f t="shared" si="183"/>
        <v>3.6902665150925024E-2</v>
      </c>
      <c r="D222" s="3">
        <f t="shared" si="183"/>
        <v>3.6902665150925017E-2</v>
      </c>
      <c r="E222" s="3">
        <f t="shared" si="183"/>
        <v>3.6902665150924989E-2</v>
      </c>
      <c r="F222" s="3">
        <f t="shared" si="183"/>
        <v>3.6902665150924649E-2</v>
      </c>
      <c r="G222" s="3">
        <f t="shared" si="183"/>
        <v>3.6902665150921263E-2</v>
      </c>
      <c r="H222" s="3">
        <f t="shared" si="183"/>
        <v>3.6902665150887394E-2</v>
      </c>
      <c r="I222" s="3">
        <f t="shared" si="183"/>
        <v>3.6902665150548727E-2</v>
      </c>
      <c r="J222" s="3">
        <f t="shared" si="183"/>
        <v>3.6902665147162034E-2</v>
      </c>
      <c r="K222" s="3">
        <f t="shared" si="183"/>
        <v>3.6902665113295111E-2</v>
      </c>
      <c r="L222" s="3">
        <f t="shared" si="183"/>
        <v>3.6902664774625886E-2</v>
      </c>
      <c r="M222" s="3">
        <f t="shared" si="183"/>
        <v>3.6902661387933855E-2</v>
      </c>
      <c r="N222" s="3">
        <f t="shared" si="183"/>
        <v>3.690262752103058E-2</v>
      </c>
      <c r="O222" s="3">
        <f t="shared" si="183"/>
        <v>3.6902288853707256E-2</v>
      </c>
      <c r="P222" s="3">
        <f t="shared" si="183"/>
        <v>3.6898902351412612E-2</v>
      </c>
      <c r="Q222" s="3">
        <f t="shared" si="183"/>
        <v>3.6865054416518848E-2</v>
      </c>
      <c r="R222" s="3">
        <f t="shared" si="183"/>
        <v>3.6528278084605494E-2</v>
      </c>
      <c r="S222" s="3">
        <f t="shared" si="183"/>
        <v>3.3325172888114908E-2</v>
      </c>
      <c r="T222" s="3">
        <f t="shared" si="183"/>
        <v>1.3310811066298405E-2</v>
      </c>
      <c r="U222" s="3">
        <f t="shared" si="183"/>
        <v>1.3757058953835777E-6</v>
      </c>
      <c r="V222" s="3">
        <f t="shared" si="183"/>
        <v>1.9130943594560888E-46</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3.6161796888491096E-2</v>
      </c>
      <c r="C223" s="3">
        <f t="shared" si="184"/>
        <v>3.6161796888491096E-2</v>
      </c>
      <c r="D223" s="3">
        <f t="shared" si="184"/>
        <v>3.6161796888491096E-2</v>
      </c>
      <c r="E223" s="3">
        <f t="shared" si="184"/>
        <v>3.6161796888491089E-2</v>
      </c>
      <c r="F223" s="3">
        <f t="shared" si="184"/>
        <v>3.6161796888491061E-2</v>
      </c>
      <c r="G223" s="3">
        <f t="shared" si="184"/>
        <v>3.6161796888490763E-2</v>
      </c>
      <c r="H223" s="3">
        <f t="shared" si="184"/>
        <v>3.6161796888487766E-2</v>
      </c>
      <c r="I223" s="3">
        <f t="shared" si="184"/>
        <v>3.6161796888457831E-2</v>
      </c>
      <c r="J223" s="3">
        <f t="shared" si="184"/>
        <v>3.6161796888158459E-2</v>
      </c>
      <c r="K223" s="3">
        <f t="shared" si="184"/>
        <v>3.6161796885164715E-2</v>
      </c>
      <c r="L223" s="3">
        <f t="shared" si="184"/>
        <v>3.6161796855227281E-2</v>
      </c>
      <c r="M223" s="3">
        <f t="shared" si="184"/>
        <v>3.6161796555852929E-2</v>
      </c>
      <c r="N223" s="3">
        <f t="shared" si="184"/>
        <v>3.6161793562109551E-2</v>
      </c>
      <c r="O223" s="3">
        <f t="shared" si="184"/>
        <v>3.6161763624689418E-2</v>
      </c>
      <c r="P223" s="3">
        <f t="shared" si="184"/>
        <v>3.6161464251851176E-2</v>
      </c>
      <c r="Q223" s="3">
        <f t="shared" si="184"/>
        <v>3.6158470659778598E-2</v>
      </c>
      <c r="R223" s="3">
        <f t="shared" si="184"/>
        <v>3.6128548365858652E-2</v>
      </c>
      <c r="S223" s="3">
        <f t="shared" si="184"/>
        <v>3.5830683942396198E-2</v>
      </c>
      <c r="T223" s="3">
        <f t="shared" si="184"/>
        <v>3.2983820512318046E-2</v>
      </c>
      <c r="U223" s="3">
        <f t="shared" si="184"/>
        <v>1.4413171763457569E-2</v>
      </c>
      <c r="V223" s="3">
        <f t="shared" si="184"/>
        <v>3.6588583731651912E-6</v>
      </c>
      <c r="W223" s="3">
        <f t="shared" si="184"/>
        <v>4.0663613504212642E-42</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5.7659888823700683E-2</v>
      </c>
      <c r="C224" s="3">
        <f t="shared" si="185"/>
        <v>5.7659888823700683E-2</v>
      </c>
      <c r="D224" s="3">
        <f t="shared" si="185"/>
        <v>5.7659888823700683E-2</v>
      </c>
      <c r="E224" s="3">
        <f t="shared" si="185"/>
        <v>5.7659888823700683E-2</v>
      </c>
      <c r="F224" s="3">
        <f t="shared" si="185"/>
        <v>5.7659888823700677E-2</v>
      </c>
      <c r="G224" s="3">
        <f t="shared" si="185"/>
        <v>5.7659888823700642E-2</v>
      </c>
      <c r="H224" s="3">
        <f t="shared" si="185"/>
        <v>5.7659888823700205E-2</v>
      </c>
      <c r="I224" s="3">
        <f t="shared" si="185"/>
        <v>5.7659888823695903E-2</v>
      </c>
      <c r="J224" s="3">
        <f t="shared" si="185"/>
        <v>5.765988882365284E-2</v>
      </c>
      <c r="K224" s="3">
        <f t="shared" si="185"/>
        <v>5.7659888823222226E-2</v>
      </c>
      <c r="L224" s="3">
        <f t="shared" si="185"/>
        <v>5.7659888818916122E-2</v>
      </c>
      <c r="M224" s="3">
        <f t="shared" si="185"/>
        <v>5.7659888775855032E-2</v>
      </c>
      <c r="N224" s="3">
        <f t="shared" si="185"/>
        <v>5.7659888345244173E-2</v>
      </c>
      <c r="O224" s="3">
        <f t="shared" si="185"/>
        <v>5.7659884039135745E-2</v>
      </c>
      <c r="P224" s="3">
        <f t="shared" si="185"/>
        <v>5.765984097806915E-2</v>
      </c>
      <c r="Q224" s="3">
        <f t="shared" si="185"/>
        <v>5.765941036917193E-2</v>
      </c>
      <c r="R224" s="3">
        <f t="shared" si="185"/>
        <v>5.7655104457066238E-2</v>
      </c>
      <c r="S224" s="3">
        <f t="shared" si="185"/>
        <v>5.7612063017770422E-2</v>
      </c>
      <c r="T224" s="3">
        <f t="shared" si="185"/>
        <v>5.7183411924842893E-2</v>
      </c>
      <c r="U224" s="3">
        <f t="shared" si="185"/>
        <v>5.3068454445693129E-2</v>
      </c>
      <c r="V224" s="3">
        <f t="shared" si="185"/>
        <v>2.5147811078968543E-2</v>
      </c>
      <c r="W224" s="3">
        <f t="shared" si="185"/>
        <v>1.4359446001205364E-5</v>
      </c>
      <c r="X224" s="3">
        <f t="shared" si="185"/>
        <v>5.2906939780423362E-38</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7.0138718801303929E-2</v>
      </c>
      <c r="C225" s="3">
        <f t="shared" si="186"/>
        <v>7.0138718801303929E-2</v>
      </c>
      <c r="D225" s="3">
        <f t="shared" si="186"/>
        <v>7.0138718801303929E-2</v>
      </c>
      <c r="E225" s="3">
        <f t="shared" si="186"/>
        <v>7.0138718801303929E-2</v>
      </c>
      <c r="F225" s="3">
        <f t="shared" si="186"/>
        <v>7.0138718801303929E-2</v>
      </c>
      <c r="G225" s="3">
        <f t="shared" si="186"/>
        <v>7.0138718801303915E-2</v>
      </c>
      <c r="H225" s="3">
        <f t="shared" si="186"/>
        <v>7.0138718801303873E-2</v>
      </c>
      <c r="I225" s="3">
        <f t="shared" si="186"/>
        <v>7.0138718801303401E-2</v>
      </c>
      <c r="J225" s="3">
        <f t="shared" si="186"/>
        <v>7.0138718801298683E-2</v>
      </c>
      <c r="K225" s="3">
        <f t="shared" si="186"/>
        <v>7.0138718801251429E-2</v>
      </c>
      <c r="L225" s="3">
        <f t="shared" si="186"/>
        <v>7.0138718800778904E-2</v>
      </c>
      <c r="M225" s="3">
        <f t="shared" si="186"/>
        <v>7.0138718796053767E-2</v>
      </c>
      <c r="N225" s="3">
        <f t="shared" si="186"/>
        <v>7.0138718748802259E-2</v>
      </c>
      <c r="O225" s="3">
        <f t="shared" si="186"/>
        <v>7.013871827628726E-2</v>
      </c>
      <c r="P225" s="3">
        <f t="shared" si="186"/>
        <v>7.013871355113746E-2</v>
      </c>
      <c r="Q225" s="3">
        <f t="shared" si="186"/>
        <v>7.0138666299656913E-2</v>
      </c>
      <c r="R225" s="3">
        <f t="shared" si="186"/>
        <v>7.0138193786602215E-2</v>
      </c>
      <c r="S225" s="3">
        <f t="shared" si="186"/>
        <v>7.0133468831130183E-2</v>
      </c>
      <c r="T225" s="3">
        <f t="shared" si="186"/>
        <v>7.0086236779542635E-2</v>
      </c>
      <c r="U225" s="3">
        <f t="shared" si="186"/>
        <v>6.961566222188402E-2</v>
      </c>
      <c r="V225" s="3">
        <f t="shared" si="186"/>
        <v>6.5080237736150084E-2</v>
      </c>
      <c r="W225" s="3">
        <f t="shared" si="186"/>
        <v>3.3179577434095907E-2</v>
      </c>
      <c r="X225" s="3">
        <f t="shared" si="186"/>
        <v>3.9362987295269296E-5</v>
      </c>
      <c r="Y225" s="3">
        <f t="shared" si="186"/>
        <v>2.174002522875842E-34</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6.7659228447697881E-2</v>
      </c>
      <c r="C226" s="3">
        <f t="shared" si="187"/>
        <v>6.7659228447697881E-2</v>
      </c>
      <c r="D226" s="3">
        <f t="shared" si="187"/>
        <v>6.7659228447697881E-2</v>
      </c>
      <c r="E226" s="3">
        <f t="shared" si="187"/>
        <v>6.7659228447697881E-2</v>
      </c>
      <c r="F226" s="3">
        <f t="shared" si="187"/>
        <v>6.7659228447697881E-2</v>
      </c>
      <c r="G226" s="3">
        <f t="shared" si="187"/>
        <v>6.7659228447697881E-2</v>
      </c>
      <c r="H226" s="3">
        <f t="shared" si="187"/>
        <v>6.7659228447697867E-2</v>
      </c>
      <c r="I226" s="3">
        <f t="shared" si="187"/>
        <v>6.7659228447697839E-2</v>
      </c>
      <c r="J226" s="3">
        <f t="shared" si="187"/>
        <v>6.7659228447697423E-2</v>
      </c>
      <c r="K226" s="3">
        <f t="shared" si="187"/>
        <v>6.7659228447693315E-2</v>
      </c>
      <c r="L226" s="3">
        <f t="shared" si="187"/>
        <v>6.7659228447652195E-2</v>
      </c>
      <c r="M226" s="3">
        <f t="shared" si="187"/>
        <v>6.765922844724101E-2</v>
      </c>
      <c r="N226" s="3">
        <f t="shared" si="187"/>
        <v>6.7659228443129216E-2</v>
      </c>
      <c r="O226" s="3">
        <f t="shared" si="187"/>
        <v>6.7659228402011273E-2</v>
      </c>
      <c r="P226" s="3">
        <f t="shared" si="187"/>
        <v>6.7659227990831822E-2</v>
      </c>
      <c r="Q226" s="3">
        <f t="shared" si="187"/>
        <v>6.7659223879037458E-2</v>
      </c>
      <c r="R226" s="3">
        <f t="shared" si="187"/>
        <v>6.765918276110755E-2</v>
      </c>
      <c r="S226" s="3">
        <f t="shared" si="187"/>
        <v>6.76587715831828E-2</v>
      </c>
      <c r="T226" s="3">
        <f t="shared" si="187"/>
        <v>6.765465994136724E-2</v>
      </c>
      <c r="U226" s="3">
        <f t="shared" si="187"/>
        <v>6.7613557263313598E-2</v>
      </c>
      <c r="V226" s="3">
        <f t="shared" si="187"/>
        <v>6.7203901408432756E-2</v>
      </c>
      <c r="W226" s="3">
        <f t="shared" si="187"/>
        <v>6.3241402274580236E-2</v>
      </c>
      <c r="X226" s="3">
        <f t="shared" si="187"/>
        <v>3.4440666100963954E-2</v>
      </c>
      <c r="Y226" s="3">
        <f t="shared" si="187"/>
        <v>7.9026373821475035E-5</v>
      </c>
      <c r="Z226" s="3">
        <f t="shared" si="187"/>
        <v>3.197254269625052E-31</v>
      </c>
      <c r="AA226" s="3">
        <f t="shared" si="187"/>
        <v>3.7568892357885908E-295</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6.6765944370475505E-2</v>
      </c>
      <c r="C227" s="3">
        <f t="shared" si="188"/>
        <v>6.6765944370475505E-2</v>
      </c>
      <c r="D227" s="3">
        <f t="shared" si="188"/>
        <v>6.6765944370475505E-2</v>
      </c>
      <c r="E227" s="3">
        <f t="shared" si="188"/>
        <v>6.6765944370475505E-2</v>
      </c>
      <c r="F227" s="3">
        <f t="shared" si="188"/>
        <v>6.6765944370475505E-2</v>
      </c>
      <c r="G227" s="3">
        <f t="shared" si="188"/>
        <v>6.6765944370475505E-2</v>
      </c>
      <c r="H227" s="3">
        <f t="shared" si="188"/>
        <v>6.6765944370475505E-2</v>
      </c>
      <c r="I227" s="3">
        <f t="shared" si="188"/>
        <v>6.6765944370475491E-2</v>
      </c>
      <c r="J227" s="3">
        <f t="shared" si="188"/>
        <v>6.6765944370475463E-2</v>
      </c>
      <c r="K227" s="3">
        <f t="shared" si="188"/>
        <v>6.6765944370475103E-2</v>
      </c>
      <c r="L227" s="3">
        <f t="shared" si="188"/>
        <v>6.6765944370471439E-2</v>
      </c>
      <c r="M227" s="3">
        <f t="shared" si="188"/>
        <v>6.6765944370434829E-2</v>
      </c>
      <c r="N227" s="3">
        <f t="shared" si="188"/>
        <v>6.6765944370068817E-2</v>
      </c>
      <c r="O227" s="3">
        <f t="shared" si="188"/>
        <v>6.6765944366408606E-2</v>
      </c>
      <c r="P227" s="3">
        <f t="shared" si="188"/>
        <v>6.6765944329806509E-2</v>
      </c>
      <c r="Q227" s="3">
        <f t="shared" si="188"/>
        <v>6.676594396378556E-2</v>
      </c>
      <c r="R227" s="3">
        <f t="shared" si="188"/>
        <v>6.6765940303576132E-2</v>
      </c>
      <c r="S227" s="3">
        <f t="shared" si="188"/>
        <v>6.6765903701492935E-2</v>
      </c>
      <c r="T227" s="3">
        <f t="shared" si="188"/>
        <v>6.6765537681764547E-2</v>
      </c>
      <c r="U227" s="3">
        <f t="shared" si="188"/>
        <v>6.6761877594840285E-2</v>
      </c>
      <c r="V227" s="3">
        <f t="shared" si="188"/>
        <v>6.6725287759311441E-2</v>
      </c>
      <c r="W227" s="3">
        <f t="shared" si="188"/>
        <v>6.6360490540610328E-2</v>
      </c>
      <c r="X227" s="3">
        <f t="shared" si="188"/>
        <v>6.2820430846231359E-2</v>
      </c>
      <c r="Y227" s="3">
        <f t="shared" si="188"/>
        <v>3.6308987623153821E-2</v>
      </c>
      <c r="Z227" s="3">
        <f t="shared" si="188"/>
        <v>1.5105894016996827E-4</v>
      </c>
      <c r="AA227" s="3">
        <f t="shared" si="188"/>
        <v>2.346763729217473E-28</v>
      </c>
      <c r="AB227" s="3">
        <f t="shared" si="188"/>
        <v>1.9217580394620356E-266</v>
      </c>
      <c r="AC227" s="3">
        <f t="shared" si="188"/>
        <v>0</v>
      </c>
      <c r="AD227" s="3">
        <f t="shared" si="188"/>
        <v>0</v>
      </c>
      <c r="AE227" s="3">
        <f t="shared" si="188"/>
        <v>0</v>
      </c>
      <c r="AF227" s="3">
        <f t="shared" si="188"/>
        <v>0</v>
      </c>
      <c r="AG227" s="3"/>
      <c r="AH227" s="3"/>
    </row>
    <row r="228" spans="2:34" x14ac:dyDescent="0.25">
      <c r="B228" s="3">
        <f t="shared" ref="B228:AF228" si="189">$C36*EXP(-B$207/$A36/EXP(-$D$126))</f>
        <v>4.8603939630861931E-2</v>
      </c>
      <c r="C228" s="3">
        <f t="shared" si="189"/>
        <v>4.8603939630861931E-2</v>
      </c>
      <c r="D228" s="3">
        <f t="shared" si="189"/>
        <v>4.8603939630861931E-2</v>
      </c>
      <c r="E228" s="3">
        <f t="shared" si="189"/>
        <v>4.8603939630861931E-2</v>
      </c>
      <c r="F228" s="3">
        <f t="shared" si="189"/>
        <v>4.8603939630861931E-2</v>
      </c>
      <c r="G228" s="3">
        <f t="shared" si="189"/>
        <v>4.8603939630861931E-2</v>
      </c>
      <c r="H228" s="3">
        <f t="shared" si="189"/>
        <v>4.8603939630861931E-2</v>
      </c>
      <c r="I228" s="3">
        <f t="shared" si="189"/>
        <v>4.8603939630861931E-2</v>
      </c>
      <c r="J228" s="3">
        <f t="shared" si="189"/>
        <v>4.8603939630861931E-2</v>
      </c>
      <c r="K228" s="3">
        <f t="shared" si="189"/>
        <v>4.8603939630861903E-2</v>
      </c>
      <c r="L228" s="3">
        <f t="shared" si="189"/>
        <v>4.8603939630861667E-2</v>
      </c>
      <c r="M228" s="3">
        <f t="shared" si="189"/>
        <v>4.8603939630859259E-2</v>
      </c>
      <c r="N228" s="3">
        <f t="shared" si="189"/>
        <v>4.8603939630835223E-2</v>
      </c>
      <c r="O228" s="3">
        <f t="shared" si="189"/>
        <v>4.860393963059486E-2</v>
      </c>
      <c r="P228" s="3">
        <f t="shared" si="189"/>
        <v>4.860393962819122E-2</v>
      </c>
      <c r="Q228" s="3">
        <f t="shared" si="189"/>
        <v>4.8603939604154843E-2</v>
      </c>
      <c r="R228" s="3">
        <f t="shared" si="189"/>
        <v>4.8603939363791065E-2</v>
      </c>
      <c r="S228" s="3">
        <f t="shared" si="189"/>
        <v>4.8603936960153388E-2</v>
      </c>
      <c r="T228" s="3">
        <f t="shared" si="189"/>
        <v>4.8603912923783119E-2</v>
      </c>
      <c r="U228" s="3">
        <f t="shared" si="189"/>
        <v>4.8603672560734161E-2</v>
      </c>
      <c r="V228" s="3">
        <f t="shared" si="189"/>
        <v>4.8601268995620943E-2</v>
      </c>
      <c r="W228" s="3">
        <f t="shared" si="189"/>
        <v>4.8577239880923911E-2</v>
      </c>
      <c r="X228" s="3">
        <f t="shared" si="189"/>
        <v>4.833760118302545E-2</v>
      </c>
      <c r="Y228" s="3">
        <f t="shared" si="189"/>
        <v>4.6005280899661764E-2</v>
      </c>
      <c r="Z228" s="3">
        <f t="shared" si="189"/>
        <v>2.8056507761119027E-2</v>
      </c>
      <c r="AA228" s="3">
        <f t="shared" si="189"/>
        <v>1.9966083003801374E-4</v>
      </c>
      <c r="AB228" s="3">
        <f t="shared" si="189"/>
        <v>6.6509773297689944E-26</v>
      </c>
      <c r="AC228" s="3">
        <f t="shared" si="189"/>
        <v>1.118951905614153E-240</v>
      </c>
      <c r="AD228" s="3">
        <f t="shared" si="189"/>
        <v>0</v>
      </c>
      <c r="AE228" s="3">
        <f t="shared" si="189"/>
        <v>0</v>
      </c>
      <c r="AF228" s="3">
        <f t="shared" si="189"/>
        <v>0</v>
      </c>
      <c r="AG228" s="3"/>
      <c r="AH228" s="3"/>
    </row>
    <row r="229" spans="2:34" x14ac:dyDescent="0.25">
      <c r="B229" s="3">
        <f t="shared" ref="B229:AF229" si="190">$C37*EXP(-B$207/$A37/EXP(-$D$126))</f>
        <v>3.7549192378247005E-2</v>
      </c>
      <c r="C229" s="3">
        <f t="shared" si="190"/>
        <v>3.7549192378247005E-2</v>
      </c>
      <c r="D229" s="3">
        <f t="shared" si="190"/>
        <v>3.7549192378247005E-2</v>
      </c>
      <c r="E229" s="3">
        <f t="shared" si="190"/>
        <v>3.7549192378247005E-2</v>
      </c>
      <c r="F229" s="3">
        <f t="shared" si="190"/>
        <v>3.7549192378247005E-2</v>
      </c>
      <c r="G229" s="3">
        <f t="shared" si="190"/>
        <v>3.7549192378247005E-2</v>
      </c>
      <c r="H229" s="3">
        <f t="shared" si="190"/>
        <v>3.7549192378247005E-2</v>
      </c>
      <c r="I229" s="3">
        <f t="shared" si="190"/>
        <v>3.7549192378247005E-2</v>
      </c>
      <c r="J229" s="3">
        <f t="shared" si="190"/>
        <v>3.7549192378247005E-2</v>
      </c>
      <c r="K229" s="3">
        <f t="shared" si="190"/>
        <v>3.7549192378247005E-2</v>
      </c>
      <c r="L229" s="3">
        <f t="shared" si="190"/>
        <v>3.7549192378246991E-2</v>
      </c>
      <c r="M229" s="3">
        <f t="shared" si="190"/>
        <v>3.7549192378246818E-2</v>
      </c>
      <c r="N229" s="3">
        <f t="shared" si="190"/>
        <v>3.7549192378245146E-2</v>
      </c>
      <c r="O229" s="3">
        <f t="shared" si="190"/>
        <v>3.7549192378228388E-2</v>
      </c>
      <c r="P229" s="3">
        <f t="shared" si="190"/>
        <v>3.7549192378060883E-2</v>
      </c>
      <c r="Q229" s="3">
        <f t="shared" si="190"/>
        <v>3.7549192376385765E-2</v>
      </c>
      <c r="R229" s="3">
        <f t="shared" si="190"/>
        <v>3.7549192359634609E-2</v>
      </c>
      <c r="S229" s="3">
        <f t="shared" si="190"/>
        <v>3.754919219212307E-2</v>
      </c>
      <c r="T229" s="3">
        <f t="shared" si="190"/>
        <v>3.7549190517007704E-2</v>
      </c>
      <c r="U229" s="3">
        <f t="shared" si="190"/>
        <v>3.7549173765858104E-2</v>
      </c>
      <c r="V229" s="3">
        <f t="shared" si="190"/>
        <v>3.7549006254773178E-2</v>
      </c>
      <c r="W229" s="3">
        <f t="shared" si="190"/>
        <v>3.7547331185024062E-2</v>
      </c>
      <c r="X229" s="3">
        <f t="shared" si="190"/>
        <v>3.7530584596871364E-2</v>
      </c>
      <c r="Y229" s="3">
        <f t="shared" si="190"/>
        <v>3.7363528971704779E-2</v>
      </c>
      <c r="Z229" s="3">
        <f t="shared" si="190"/>
        <v>3.5733329185368964E-2</v>
      </c>
      <c r="AA229" s="3">
        <f t="shared" si="190"/>
        <v>2.2873330118006421E-2</v>
      </c>
      <c r="AB229" s="3">
        <f t="shared" si="190"/>
        <v>2.6417308946249127E-4</v>
      </c>
      <c r="AC229" s="3">
        <f t="shared" si="190"/>
        <v>1.1155276720941019E-23</v>
      </c>
      <c r="AD229" s="3">
        <f t="shared" si="190"/>
        <v>2.0109351970609854E-217</v>
      </c>
      <c r="AE229" s="3">
        <f t="shared" si="190"/>
        <v>0</v>
      </c>
      <c r="AF229" s="3">
        <f t="shared" si="190"/>
        <v>0</v>
      </c>
      <c r="AG229" s="3"/>
      <c r="AH229" s="3"/>
    </row>
    <row r="230" spans="2:34" x14ac:dyDescent="0.25">
      <c r="B230" s="3">
        <f t="shared" ref="B230:AF230" si="191">$C38*EXP(-B$207/$A38/EXP(-$D$126))</f>
        <v>7.8409043454057813E-3</v>
      </c>
      <c r="C230" s="3">
        <f t="shared" si="191"/>
        <v>7.8409043454057813E-3</v>
      </c>
      <c r="D230" s="3">
        <f t="shared" si="191"/>
        <v>7.8409043454057813E-3</v>
      </c>
      <c r="E230" s="3">
        <f t="shared" si="191"/>
        <v>7.8409043454057813E-3</v>
      </c>
      <c r="F230" s="3">
        <f t="shared" si="191"/>
        <v>7.8409043454057813E-3</v>
      </c>
      <c r="G230" s="3">
        <f t="shared" si="191"/>
        <v>7.8409043454057813E-3</v>
      </c>
      <c r="H230" s="3">
        <f t="shared" si="191"/>
        <v>7.8409043454057813E-3</v>
      </c>
      <c r="I230" s="3">
        <f t="shared" si="191"/>
        <v>7.8409043454057813E-3</v>
      </c>
      <c r="J230" s="3">
        <f t="shared" si="191"/>
        <v>7.8409043454057813E-3</v>
      </c>
      <c r="K230" s="3">
        <f t="shared" si="191"/>
        <v>7.8409043454057813E-3</v>
      </c>
      <c r="L230" s="3">
        <f t="shared" si="191"/>
        <v>7.8409043454057813E-3</v>
      </c>
      <c r="M230" s="3">
        <f t="shared" si="191"/>
        <v>7.8409043454057779E-3</v>
      </c>
      <c r="N230" s="3">
        <f t="shared" si="191"/>
        <v>7.8409043454057466E-3</v>
      </c>
      <c r="O230" s="3">
        <f t="shared" si="191"/>
        <v>7.8409043454054309E-3</v>
      </c>
      <c r="P230" s="3">
        <f t="shared" si="191"/>
        <v>7.8409043454022755E-3</v>
      </c>
      <c r="Q230" s="3">
        <f t="shared" si="191"/>
        <v>7.8409043453707208E-3</v>
      </c>
      <c r="R230" s="3">
        <f t="shared" si="191"/>
        <v>7.8409043450551798E-3</v>
      </c>
      <c r="S230" s="3">
        <f t="shared" si="191"/>
        <v>7.8409043418997612E-3</v>
      </c>
      <c r="T230" s="3">
        <f t="shared" si="191"/>
        <v>7.8409043103455835E-3</v>
      </c>
      <c r="U230" s="3">
        <f t="shared" si="191"/>
        <v>7.8409039948038016E-3</v>
      </c>
      <c r="V230" s="3">
        <f t="shared" si="191"/>
        <v>7.8409008393867021E-3</v>
      </c>
      <c r="W230" s="3">
        <f t="shared" si="191"/>
        <v>7.8408692852855368E-3</v>
      </c>
      <c r="X230" s="3">
        <f t="shared" si="191"/>
        <v>7.8405537512578703E-3</v>
      </c>
      <c r="Y230" s="3">
        <f t="shared" si="191"/>
        <v>7.8373991092754117E-3</v>
      </c>
      <c r="Z230" s="3">
        <f t="shared" si="191"/>
        <v>7.8059224150093089E-3</v>
      </c>
      <c r="AA230" s="3">
        <f t="shared" si="191"/>
        <v>7.4980253154729101E-3</v>
      </c>
      <c r="AB230" s="3">
        <f t="shared" si="191"/>
        <v>5.0138763828966731E-3</v>
      </c>
      <c r="AC230" s="3">
        <f t="shared" si="191"/>
        <v>8.9627404625890249E-5</v>
      </c>
      <c r="AD230" s="3">
        <f t="shared" si="191"/>
        <v>2.9861581460580796E-22</v>
      </c>
      <c r="AE230" s="3">
        <f t="shared" si="191"/>
        <v>5.0330661614058232E-197</v>
      </c>
      <c r="AF230" s="3">
        <f t="shared" si="191"/>
        <v>0</v>
      </c>
      <c r="AG230" s="3"/>
      <c r="AH230" s="3"/>
    </row>
    <row r="231" spans="2:34" x14ac:dyDescent="0.25">
      <c r="B231" s="3">
        <f t="shared" ref="B231:AF231" si="192">$C39*EXP(-B$207/$A39/EXP(-$D$126))</f>
        <v>1.487119099211914E-2</v>
      </c>
      <c r="C231" s="3">
        <f t="shared" si="192"/>
        <v>1.487119099211914E-2</v>
      </c>
      <c r="D231" s="3">
        <f t="shared" si="192"/>
        <v>1.487119099211914E-2</v>
      </c>
      <c r="E231" s="3">
        <f t="shared" si="192"/>
        <v>1.487119099211914E-2</v>
      </c>
      <c r="F231" s="3">
        <f t="shared" si="192"/>
        <v>1.487119099211914E-2</v>
      </c>
      <c r="G231" s="3">
        <f t="shared" si="192"/>
        <v>1.487119099211914E-2</v>
      </c>
      <c r="H231" s="3">
        <f t="shared" si="192"/>
        <v>1.487119099211914E-2</v>
      </c>
      <c r="I231" s="3">
        <f t="shared" si="192"/>
        <v>1.487119099211914E-2</v>
      </c>
      <c r="J231" s="3">
        <f t="shared" si="192"/>
        <v>1.487119099211914E-2</v>
      </c>
      <c r="K231" s="3">
        <f t="shared" si="192"/>
        <v>1.487119099211914E-2</v>
      </c>
      <c r="L231" s="3">
        <f t="shared" si="192"/>
        <v>1.487119099211914E-2</v>
      </c>
      <c r="M231" s="3">
        <f t="shared" si="192"/>
        <v>1.4871190992119138E-2</v>
      </c>
      <c r="N231" s="3">
        <f t="shared" si="192"/>
        <v>1.4871190992119122E-2</v>
      </c>
      <c r="O231" s="3">
        <f t="shared" si="192"/>
        <v>1.4871190992118956E-2</v>
      </c>
      <c r="P231" s="3">
        <f t="shared" si="192"/>
        <v>1.4871190992117301E-2</v>
      </c>
      <c r="Q231" s="3">
        <f t="shared" si="192"/>
        <v>1.4871190992100748E-2</v>
      </c>
      <c r="R231" s="3">
        <f t="shared" si="192"/>
        <v>1.487119099193523E-2</v>
      </c>
      <c r="S231" s="3">
        <f t="shared" si="192"/>
        <v>1.4871190990280033E-2</v>
      </c>
      <c r="T231" s="3">
        <f t="shared" si="192"/>
        <v>1.4871190973728077E-2</v>
      </c>
      <c r="U231" s="3">
        <f t="shared" si="192"/>
        <v>1.4871190808208512E-2</v>
      </c>
      <c r="V231" s="3">
        <f t="shared" si="192"/>
        <v>1.4871189153012963E-2</v>
      </c>
      <c r="W231" s="3">
        <f t="shared" si="192"/>
        <v>1.4871172601067618E-2</v>
      </c>
      <c r="X231" s="3">
        <f t="shared" si="192"/>
        <v>1.4871007082627409E-2</v>
      </c>
      <c r="Y231" s="3">
        <f t="shared" si="192"/>
        <v>1.4869351999545428E-2</v>
      </c>
      <c r="Z231" s="3">
        <f t="shared" si="192"/>
        <v>1.4852811296567472E-2</v>
      </c>
      <c r="AA231" s="3">
        <f t="shared" si="192"/>
        <v>1.468841289253205E-2</v>
      </c>
      <c r="AB231" s="3">
        <f t="shared" si="192"/>
        <v>1.3141258511800433E-2</v>
      </c>
      <c r="AC231" s="3">
        <f t="shared" si="192"/>
        <v>4.3177533032549981E-3</v>
      </c>
      <c r="AD231" s="3">
        <f t="shared" si="192"/>
        <v>6.3309150909445183E-8</v>
      </c>
      <c r="AE231" s="3">
        <f t="shared" si="192"/>
        <v>2.9077236360393827E-56</v>
      </c>
      <c r="AF231" s="3">
        <f t="shared" si="192"/>
        <v>0</v>
      </c>
      <c r="AG231" s="3"/>
      <c r="AH231" s="3"/>
    </row>
    <row r="232" spans="2:34" x14ac:dyDescent="0.25">
      <c r="B232" s="3">
        <f t="shared" ref="B232:AF232" si="193">$C40*EXP(-B$207/$A40/EXP(-$D$126))</f>
        <v>3.2949113910046581E-3</v>
      </c>
      <c r="C232" s="3">
        <f t="shared" si="193"/>
        <v>3.2949113910046581E-3</v>
      </c>
      <c r="D232" s="3">
        <f t="shared" si="193"/>
        <v>3.2949113910046581E-3</v>
      </c>
      <c r="E232" s="3">
        <f t="shared" si="193"/>
        <v>3.2949113910046581E-3</v>
      </c>
      <c r="F232" s="3">
        <f t="shared" si="193"/>
        <v>3.2949113910046581E-3</v>
      </c>
      <c r="G232" s="3">
        <f t="shared" si="193"/>
        <v>3.2949113910046581E-3</v>
      </c>
      <c r="H232" s="3">
        <f t="shared" si="193"/>
        <v>3.2949113910046581E-3</v>
      </c>
      <c r="I232" s="3">
        <f t="shared" si="193"/>
        <v>3.2949113910046581E-3</v>
      </c>
      <c r="J232" s="3">
        <f t="shared" si="193"/>
        <v>3.2949113910046581E-3</v>
      </c>
      <c r="K232" s="3">
        <f t="shared" si="193"/>
        <v>3.2949113910046581E-3</v>
      </c>
      <c r="L232" s="3">
        <f t="shared" si="193"/>
        <v>3.2949113910046581E-3</v>
      </c>
      <c r="M232" s="3">
        <f t="shared" si="193"/>
        <v>3.2949113910046581E-3</v>
      </c>
      <c r="N232" s="3">
        <f t="shared" si="193"/>
        <v>3.2949113910046577E-3</v>
      </c>
      <c r="O232" s="3">
        <f t="shared" si="193"/>
        <v>3.2949113910046542E-3</v>
      </c>
      <c r="P232" s="3">
        <f t="shared" si="193"/>
        <v>3.2949113910046173E-3</v>
      </c>
      <c r="Q232" s="3">
        <f t="shared" si="193"/>
        <v>3.2949113910042504E-3</v>
      </c>
      <c r="R232" s="3">
        <f t="shared" si="193"/>
        <v>3.2949113910005832E-3</v>
      </c>
      <c r="S232" s="3">
        <f t="shared" si="193"/>
        <v>3.2949113909639103E-3</v>
      </c>
      <c r="T232" s="3">
        <f t="shared" si="193"/>
        <v>3.2949113905971794E-3</v>
      </c>
      <c r="U232" s="3">
        <f t="shared" si="193"/>
        <v>3.294911386929872E-3</v>
      </c>
      <c r="V232" s="3">
        <f t="shared" si="193"/>
        <v>3.2949113502567969E-3</v>
      </c>
      <c r="W232" s="3">
        <f t="shared" si="193"/>
        <v>3.2949109835260712E-3</v>
      </c>
      <c r="X232" s="3">
        <f t="shared" si="193"/>
        <v>3.294907316221059E-3</v>
      </c>
      <c r="Y232" s="3">
        <f t="shared" si="193"/>
        <v>3.2948706433954355E-3</v>
      </c>
      <c r="Z232" s="3">
        <f t="shared" si="193"/>
        <v>3.2945039375880283E-3</v>
      </c>
      <c r="AA232" s="3">
        <f t="shared" si="193"/>
        <v>3.2908391234728594E-3</v>
      </c>
      <c r="AB232" s="3">
        <f t="shared" si="193"/>
        <v>3.2544144568535977E-3</v>
      </c>
      <c r="AC232" s="3">
        <f t="shared" si="193"/>
        <v>2.9116216976578578E-3</v>
      </c>
      <c r="AD232" s="3">
        <f t="shared" si="193"/>
        <v>9.5665603044047757E-4</v>
      </c>
      <c r="AE232" s="3">
        <f t="shared" si="193"/>
        <v>1.4026989673988358E-8</v>
      </c>
      <c r="AF232" s="3">
        <f t="shared" si="193"/>
        <v>6.4424508671543861E-57</v>
      </c>
      <c r="AG232" s="3"/>
      <c r="AH232" s="3"/>
    </row>
    <row r="233" spans="2:34" x14ac:dyDescent="0.25">
      <c r="B233" s="3">
        <f t="shared" ref="B233:AF233" si="194">$C41*EXP(-B$207/$A41/EXP(-$D$126))</f>
        <v>4.0317394660720415E-3</v>
      </c>
      <c r="C233" s="3">
        <f t="shared" si="194"/>
        <v>4.0317394660720415E-3</v>
      </c>
      <c r="D233" s="3">
        <f t="shared" si="194"/>
        <v>4.0317394660720415E-3</v>
      </c>
      <c r="E233" s="3">
        <f t="shared" si="194"/>
        <v>4.0317394660720415E-3</v>
      </c>
      <c r="F233" s="3">
        <f t="shared" si="194"/>
        <v>4.0317394660720415E-3</v>
      </c>
      <c r="G233" s="3">
        <f t="shared" si="194"/>
        <v>4.0317394660720415E-3</v>
      </c>
      <c r="H233" s="3">
        <f t="shared" si="194"/>
        <v>4.0317394660720415E-3</v>
      </c>
      <c r="I233" s="3">
        <f t="shared" si="194"/>
        <v>4.0317394660720415E-3</v>
      </c>
      <c r="J233" s="3">
        <f t="shared" si="194"/>
        <v>4.0317394660720415E-3</v>
      </c>
      <c r="K233" s="3">
        <f t="shared" si="194"/>
        <v>4.0317394660720415E-3</v>
      </c>
      <c r="L233" s="3">
        <f t="shared" si="194"/>
        <v>4.0317394660720415E-3</v>
      </c>
      <c r="M233" s="3">
        <f t="shared" si="194"/>
        <v>4.0317394660720415E-3</v>
      </c>
      <c r="N233" s="3">
        <f t="shared" si="194"/>
        <v>4.0317394660720415E-3</v>
      </c>
      <c r="O233" s="3">
        <f t="shared" si="194"/>
        <v>4.0317394660720407E-3</v>
      </c>
      <c r="P233" s="3">
        <f t="shared" si="194"/>
        <v>4.0317394660720363E-3</v>
      </c>
      <c r="Q233" s="3">
        <f t="shared" si="194"/>
        <v>4.0317394660719921E-3</v>
      </c>
      <c r="R233" s="3">
        <f t="shared" si="194"/>
        <v>4.0317394660715428E-3</v>
      </c>
      <c r="S233" s="3">
        <f t="shared" si="194"/>
        <v>4.0317394660670559E-3</v>
      </c>
      <c r="T233" s="3">
        <f t="shared" si="194"/>
        <v>4.0317394660221812E-3</v>
      </c>
      <c r="U233" s="3">
        <f t="shared" si="194"/>
        <v>4.0317394655734404E-3</v>
      </c>
      <c r="V233" s="3">
        <f t="shared" si="194"/>
        <v>4.0317394610860273E-3</v>
      </c>
      <c r="W233" s="3">
        <f t="shared" si="194"/>
        <v>4.0317394162118969E-3</v>
      </c>
      <c r="X233" s="3">
        <f t="shared" si="194"/>
        <v>4.031738967470621E-3</v>
      </c>
      <c r="Y233" s="3">
        <f t="shared" si="194"/>
        <v>4.0317344800606131E-3</v>
      </c>
      <c r="Z233" s="3">
        <f t="shared" si="194"/>
        <v>4.0316896062352336E-3</v>
      </c>
      <c r="AA233" s="3">
        <f t="shared" si="194"/>
        <v>4.0312408954504162E-3</v>
      </c>
      <c r="AB233" s="3">
        <f t="shared" si="194"/>
        <v>4.0267565333688493E-3</v>
      </c>
      <c r="AC233" s="3">
        <f t="shared" si="194"/>
        <v>3.9821863618163403E-3</v>
      </c>
      <c r="AD233" s="3">
        <f t="shared" si="194"/>
        <v>3.562736206128909E-3</v>
      </c>
      <c r="AE233" s="3">
        <f t="shared" si="194"/>
        <v>1.1705892558787894E-3</v>
      </c>
      <c r="AF233" s="3">
        <f t="shared" si="194"/>
        <v>1.7163790204858928E-8</v>
      </c>
      <c r="AG233" s="3"/>
      <c r="AH233" s="3"/>
    </row>
    <row r="234" spans="2:34" x14ac:dyDescent="0.25">
      <c r="B234" s="3">
        <f t="shared" ref="B234:AF234" si="195">$C42*EXP(-B$207/$A42/EXP(-$D$126))</f>
        <v>2.1502645285220883E-3</v>
      </c>
      <c r="C234" s="3">
        <f t="shared" si="195"/>
        <v>2.1502645285220883E-3</v>
      </c>
      <c r="D234" s="3">
        <f t="shared" si="195"/>
        <v>2.1502645285220883E-3</v>
      </c>
      <c r="E234" s="3">
        <f t="shared" si="195"/>
        <v>2.1502645285220883E-3</v>
      </c>
      <c r="F234" s="3">
        <f t="shared" si="195"/>
        <v>2.1502645285220883E-3</v>
      </c>
      <c r="G234" s="3">
        <f t="shared" si="195"/>
        <v>2.1502645285220883E-3</v>
      </c>
      <c r="H234" s="3">
        <f t="shared" si="195"/>
        <v>2.1502645285220883E-3</v>
      </c>
      <c r="I234" s="3">
        <f t="shared" si="195"/>
        <v>2.1502645285220883E-3</v>
      </c>
      <c r="J234" s="3">
        <f t="shared" si="195"/>
        <v>2.1502645285220883E-3</v>
      </c>
      <c r="K234" s="3">
        <f t="shared" si="195"/>
        <v>2.1502645285220883E-3</v>
      </c>
      <c r="L234" s="3">
        <f t="shared" si="195"/>
        <v>2.1502645285220883E-3</v>
      </c>
      <c r="M234" s="3">
        <f t="shared" si="195"/>
        <v>2.1502645285220883E-3</v>
      </c>
      <c r="N234" s="3">
        <f t="shared" si="195"/>
        <v>2.1502645285220883E-3</v>
      </c>
      <c r="O234" s="3">
        <f t="shared" si="195"/>
        <v>2.1502645285220883E-3</v>
      </c>
      <c r="P234" s="3">
        <f t="shared" si="195"/>
        <v>2.1502645285220879E-3</v>
      </c>
      <c r="Q234" s="3">
        <f t="shared" si="195"/>
        <v>2.1502645285220857E-3</v>
      </c>
      <c r="R234" s="3">
        <f t="shared" si="195"/>
        <v>2.1502645285220619E-3</v>
      </c>
      <c r="S234" s="3">
        <f t="shared" si="195"/>
        <v>2.1502645285218225E-3</v>
      </c>
      <c r="T234" s="3">
        <f t="shared" si="195"/>
        <v>2.150264528519429E-3</v>
      </c>
      <c r="U234" s="3">
        <f t="shared" si="195"/>
        <v>2.1502645284954963E-3</v>
      </c>
      <c r="V234" s="3">
        <f t="shared" si="195"/>
        <v>2.1502645282561669E-3</v>
      </c>
      <c r="W234" s="3">
        <f t="shared" si="195"/>
        <v>2.1502645258628765E-3</v>
      </c>
      <c r="X234" s="3">
        <f t="shared" si="195"/>
        <v>2.1502645019299679E-3</v>
      </c>
      <c r="Y234" s="3">
        <f t="shared" si="195"/>
        <v>2.1502642626009005E-3</v>
      </c>
      <c r="Z234" s="3">
        <f t="shared" si="195"/>
        <v>2.1502618693116896E-3</v>
      </c>
      <c r="AA234" s="3">
        <f t="shared" si="195"/>
        <v>2.1502379365660883E-3</v>
      </c>
      <c r="AB234" s="3">
        <f t="shared" si="195"/>
        <v>2.1499986237602194E-3</v>
      </c>
      <c r="AC234" s="3">
        <f t="shared" si="195"/>
        <v>2.1476069601127573E-3</v>
      </c>
      <c r="AD234" s="3">
        <f t="shared" si="195"/>
        <v>2.1238361634811796E-3</v>
      </c>
      <c r="AE234" s="3">
        <f t="shared" si="195"/>
        <v>1.9001290517375569E-3</v>
      </c>
      <c r="AF234" s="3">
        <f t="shared" si="195"/>
        <v>6.2431528018290126E-4</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3.0564736295290245E-3</v>
      </c>
      <c r="C236" s="3">
        <f t="shared" si="197"/>
        <v>3.0564736295290245E-3</v>
      </c>
      <c r="D236" s="3">
        <f t="shared" si="197"/>
        <v>3.0564736295290245E-3</v>
      </c>
      <c r="E236" s="3">
        <f t="shared" si="197"/>
        <v>3.0564736295290245E-3</v>
      </c>
      <c r="F236" s="3">
        <f t="shared" si="197"/>
        <v>3.0564736295290245E-3</v>
      </c>
      <c r="G236" s="3">
        <f t="shared" si="197"/>
        <v>3.0564736295290245E-3</v>
      </c>
      <c r="H236" s="3">
        <f t="shared" si="197"/>
        <v>3.0564736295290245E-3</v>
      </c>
      <c r="I236" s="3">
        <f t="shared" si="197"/>
        <v>3.0564736295290245E-3</v>
      </c>
      <c r="J236" s="3">
        <f t="shared" si="197"/>
        <v>3.0564736295290245E-3</v>
      </c>
      <c r="K236" s="3">
        <f t="shared" si="197"/>
        <v>3.0564736295290245E-3</v>
      </c>
      <c r="L236" s="3">
        <f t="shared" si="197"/>
        <v>3.0564736295290245E-3</v>
      </c>
      <c r="M236" s="3">
        <f t="shared" si="197"/>
        <v>3.0564736295290245E-3</v>
      </c>
      <c r="N236" s="3">
        <f t="shared" si="197"/>
        <v>3.0564736295290245E-3</v>
      </c>
      <c r="O236" s="3">
        <f t="shared" si="197"/>
        <v>3.0564736295290245E-3</v>
      </c>
      <c r="P236" s="3">
        <f t="shared" si="197"/>
        <v>3.0564736295290245E-3</v>
      </c>
      <c r="Q236" s="3">
        <f t="shared" si="197"/>
        <v>3.0564736295290245E-3</v>
      </c>
      <c r="R236" s="3">
        <f t="shared" si="197"/>
        <v>3.0564736295290241E-3</v>
      </c>
      <c r="S236" s="3">
        <f t="shared" si="197"/>
        <v>3.0564736295290206E-3</v>
      </c>
      <c r="T236" s="3">
        <f t="shared" si="197"/>
        <v>3.0564736295289868E-3</v>
      </c>
      <c r="U236" s="3">
        <f t="shared" si="197"/>
        <v>3.0564736295286463E-3</v>
      </c>
      <c r="V236" s="3">
        <f t="shared" si="197"/>
        <v>3.0564736295252445E-3</v>
      </c>
      <c r="W236" s="3">
        <f t="shared" si="197"/>
        <v>3.0564736294912253E-3</v>
      </c>
      <c r="X236" s="3">
        <f t="shared" si="197"/>
        <v>3.056473629151033E-3</v>
      </c>
      <c r="Y236" s="3">
        <f t="shared" si="197"/>
        <v>3.0564736257491123E-3</v>
      </c>
      <c r="Z236" s="3">
        <f t="shared" si="197"/>
        <v>3.0564735917299008E-3</v>
      </c>
      <c r="AA236" s="3">
        <f t="shared" si="197"/>
        <v>3.0564732515378111E-3</v>
      </c>
      <c r="AB236" s="3">
        <f t="shared" si="197"/>
        <v>3.0564698496189941E-3</v>
      </c>
      <c r="AC236" s="3">
        <f t="shared" si="197"/>
        <v>3.0564358306390772E-3</v>
      </c>
      <c r="AD236" s="3">
        <f t="shared" si="197"/>
        <v>3.056095661664216E-3</v>
      </c>
      <c r="AE236" s="3">
        <f t="shared" si="197"/>
        <v>3.0526960534894045E-3</v>
      </c>
      <c r="AF236" s="3">
        <f t="shared" si="197"/>
        <v>3.0189072744375308E-3</v>
      </c>
      <c r="AG236" s="3"/>
      <c r="AH236" s="3"/>
    </row>
    <row r="237" spans="2:34" x14ac:dyDescent="0.25">
      <c r="B237" s="3">
        <f t="shared" ref="B237:AF237" si="198">$C45*EXP(-B$207/$A45/EXP(-$D$126))</f>
        <v>1.3352216676863077E-3</v>
      </c>
      <c r="C237" s="3">
        <f t="shared" si="198"/>
        <v>1.3352216676863077E-3</v>
      </c>
      <c r="D237" s="3">
        <f t="shared" si="198"/>
        <v>1.3352216676863077E-3</v>
      </c>
      <c r="E237" s="3">
        <f t="shared" si="198"/>
        <v>1.3352216676863077E-3</v>
      </c>
      <c r="F237" s="3">
        <f t="shared" si="198"/>
        <v>1.3352216676863077E-3</v>
      </c>
      <c r="G237" s="3">
        <f t="shared" si="198"/>
        <v>1.3352216676863077E-3</v>
      </c>
      <c r="H237" s="3">
        <f t="shared" si="198"/>
        <v>1.3352216676863077E-3</v>
      </c>
      <c r="I237" s="3">
        <f t="shared" si="198"/>
        <v>1.3352216676863077E-3</v>
      </c>
      <c r="J237" s="3">
        <f t="shared" si="198"/>
        <v>1.3352216676863077E-3</v>
      </c>
      <c r="K237" s="3">
        <f t="shared" si="198"/>
        <v>1.3352216676863077E-3</v>
      </c>
      <c r="L237" s="3">
        <f t="shared" si="198"/>
        <v>1.3352216676863077E-3</v>
      </c>
      <c r="M237" s="3">
        <f t="shared" si="198"/>
        <v>1.3352216676863077E-3</v>
      </c>
      <c r="N237" s="3">
        <f t="shared" si="198"/>
        <v>1.3352216676863077E-3</v>
      </c>
      <c r="O237" s="3">
        <f t="shared" si="198"/>
        <v>1.3352216676863077E-3</v>
      </c>
      <c r="P237" s="3">
        <f t="shared" si="198"/>
        <v>1.3352216676863077E-3</v>
      </c>
      <c r="Q237" s="3">
        <f t="shared" si="198"/>
        <v>1.3352216676863077E-3</v>
      </c>
      <c r="R237" s="3">
        <f t="shared" si="198"/>
        <v>1.3352216676863077E-3</v>
      </c>
      <c r="S237" s="3">
        <f t="shared" si="198"/>
        <v>1.3352216676863074E-3</v>
      </c>
      <c r="T237" s="3">
        <f t="shared" si="198"/>
        <v>1.3352216676863059E-3</v>
      </c>
      <c r="U237" s="3">
        <f t="shared" si="198"/>
        <v>1.3352216676862912E-3</v>
      </c>
      <c r="V237" s="3">
        <f t="shared" si="198"/>
        <v>1.3352216676861424E-3</v>
      </c>
      <c r="W237" s="3">
        <f t="shared" si="198"/>
        <v>1.3352216676846564E-3</v>
      </c>
      <c r="X237" s="3">
        <f t="shared" si="198"/>
        <v>1.335221667669795E-3</v>
      </c>
      <c r="Y237" s="3">
        <f t="shared" si="198"/>
        <v>1.3352216675211819E-3</v>
      </c>
      <c r="Z237" s="3">
        <f t="shared" si="198"/>
        <v>1.3352216660350515E-3</v>
      </c>
      <c r="AA237" s="3">
        <f t="shared" si="198"/>
        <v>1.3352216511737462E-3</v>
      </c>
      <c r="AB237" s="3">
        <f t="shared" si="198"/>
        <v>1.3352215025607022E-3</v>
      </c>
      <c r="AC237" s="3">
        <f t="shared" si="198"/>
        <v>1.3352200164311731E-3</v>
      </c>
      <c r="AD237" s="3">
        <f t="shared" si="198"/>
        <v>1.3352051552268562E-3</v>
      </c>
      <c r="AE237" s="3">
        <f t="shared" si="198"/>
        <v>1.3350565522807941E-3</v>
      </c>
      <c r="AF237" s="3">
        <f t="shared" si="198"/>
        <v>1.333571432156479E-3</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4.5129135424352637E-2</v>
      </c>
      <c r="B241" s="80">
        <f>IF($A$64&lt;=B207,IF($B$64&gt;=B207,ABS((B209-B208)/B208),0),0)</f>
        <v>7.4467151893747197E-2</v>
      </c>
      <c r="C241" s="80">
        <f t="shared" ref="C241:AF241" si="202">IF($A$64&lt;=C207,IF($B$64&gt;=C207,ABS((C209-C208)/C208),0),0)</f>
        <v>0.10095683541424477</v>
      </c>
      <c r="D241" s="80">
        <f t="shared" si="202"/>
        <v>8.2458889355010445E-2</v>
      </c>
      <c r="E241" s="80">
        <f t="shared" si="202"/>
        <v>6.2302148436929591E-2</v>
      </c>
      <c r="F241" s="80">
        <f t="shared" si="202"/>
        <v>3.8866162679017359E-2</v>
      </c>
      <c r="G241" s="80">
        <f t="shared" si="202"/>
        <v>1.3949805926262491E-2</v>
      </c>
      <c r="H241" s="80">
        <f t="shared" si="202"/>
        <v>1.3567300322760282E-3</v>
      </c>
      <c r="I241" s="80">
        <f t="shared" si="202"/>
        <v>1.7189729934863597E-2</v>
      </c>
      <c r="J241" s="80">
        <f t="shared" si="202"/>
        <v>1.1610894770160559E-2</v>
      </c>
      <c r="K241" s="80">
        <f t="shared" si="202"/>
        <v>1.1696550282544724E-2</v>
      </c>
      <c r="L241" s="80">
        <f t="shared" si="202"/>
        <v>1.0826957046231564E-2</v>
      </c>
      <c r="M241" s="80">
        <f t="shared" si="202"/>
        <v>1.105498681789795E-2</v>
      </c>
      <c r="N241" s="80">
        <f t="shared" si="202"/>
        <v>1.2067639028977084E-2</v>
      </c>
      <c r="O241" s="80">
        <f t="shared" si="202"/>
        <v>1.0945829153393068E-2</v>
      </c>
      <c r="P241" s="80">
        <f t="shared" si="202"/>
        <v>1.1196634318938879E-2</v>
      </c>
      <c r="Q241" s="80">
        <f t="shared" si="202"/>
        <v>1.0170670503898718E-2</v>
      </c>
      <c r="R241" s="80">
        <f t="shared" si="202"/>
        <v>9.4589996762706532E-3</v>
      </c>
      <c r="S241" s="80">
        <f t="shared" si="202"/>
        <v>1.2085494711877965E-4</v>
      </c>
      <c r="T241" s="80">
        <f t="shared" si="202"/>
        <v>3.436225550717853E-2</v>
      </c>
      <c r="U241" s="80">
        <f t="shared" si="202"/>
        <v>9.6835921581937254E-2</v>
      </c>
      <c r="V241" s="80">
        <f t="shared" si="202"/>
        <v>0.14254606073754814</v>
      </c>
      <c r="W241" s="80">
        <f t="shared" si="202"/>
        <v>0.14361457037836972</v>
      </c>
      <c r="X241" s="80">
        <f t="shared" si="202"/>
        <v>0.12117789919545868</v>
      </c>
      <c r="Y241" s="80">
        <f t="shared" si="202"/>
        <v>0.10132370399623726</v>
      </c>
      <c r="Z241" s="80">
        <f t="shared" si="202"/>
        <v>8.2102812212123774E-2</v>
      </c>
      <c r="AA241" s="80">
        <f t="shared" si="202"/>
        <v>6.9122677483424058E-2</v>
      </c>
      <c r="AB241" s="80">
        <f t="shared" si="202"/>
        <v>5.0428267413552302E-2</v>
      </c>
      <c r="AC241" s="80">
        <f t="shared" si="202"/>
        <v>2.5703298235660393E-2</v>
      </c>
      <c r="AD241" s="80">
        <f t="shared" si="202"/>
        <v>1.9280003122426045E-2</v>
      </c>
      <c r="AE241" s="80">
        <f t="shared" si="202"/>
        <v>1.4901048167599048E-2</v>
      </c>
      <c r="AF241" s="80">
        <f t="shared" si="202"/>
        <v>6.9072099056329758E-3</v>
      </c>
    </row>
    <row r="242" spans="1:34" x14ac:dyDescent="0.25">
      <c r="B242" s="21">
        <f>(B209-B208)^2</f>
        <v>592286.2337854146</v>
      </c>
      <c r="C242" s="21">
        <f t="shared" ref="C242:AF242" si="203">(C209-C208)^2</f>
        <v>1038022.3189665308</v>
      </c>
      <c r="D242" s="21">
        <f t="shared" si="203"/>
        <v>664841.18778983888</v>
      </c>
      <c r="E242" s="21">
        <f t="shared" si="203"/>
        <v>363377.56815148634</v>
      </c>
      <c r="F242" s="21">
        <f t="shared" si="203"/>
        <v>134552.76927107145</v>
      </c>
      <c r="G242" s="21">
        <f t="shared" si="203"/>
        <v>16408.518247268661</v>
      </c>
      <c r="H242" s="21">
        <f t="shared" si="203"/>
        <v>145.79755584897092</v>
      </c>
      <c r="I242" s="21">
        <f t="shared" si="203"/>
        <v>21964.156489429337</v>
      </c>
      <c r="J242" s="21">
        <f t="shared" si="203"/>
        <v>9409.3535654857442</v>
      </c>
      <c r="K242" s="21">
        <f t="shared" si="203"/>
        <v>8847.5105944218558</v>
      </c>
      <c r="L242" s="21">
        <f t="shared" si="203"/>
        <v>6901.8816219684286</v>
      </c>
      <c r="M242" s="21">
        <f t="shared" si="203"/>
        <v>6504.6854855040492</v>
      </c>
      <c r="N242" s="21">
        <f t="shared" si="203"/>
        <v>7090.731226430411</v>
      </c>
      <c r="O242" s="21">
        <f t="shared" si="203"/>
        <v>5360.0350561735522</v>
      </c>
      <c r="P242" s="21">
        <f t="shared" si="203"/>
        <v>5138.8938638127065</v>
      </c>
      <c r="Q242" s="21">
        <f t="shared" si="203"/>
        <v>3859.9403494685316</v>
      </c>
      <c r="R242" s="21">
        <f t="shared" si="203"/>
        <v>3032.5693649300347</v>
      </c>
      <c r="S242" s="21">
        <f t="shared" si="203"/>
        <v>0.43567483722745243</v>
      </c>
      <c r="T242" s="21">
        <f t="shared" si="203"/>
        <v>28775.179622952259</v>
      </c>
      <c r="U242" s="21">
        <f t="shared" si="203"/>
        <v>173139.59321437619</v>
      </c>
      <c r="V242" s="21">
        <f t="shared" si="203"/>
        <v>275040.23644735274</v>
      </c>
      <c r="W242" s="21">
        <f t="shared" si="203"/>
        <v>197902.9268544435</v>
      </c>
      <c r="X242" s="21">
        <f t="shared" si="203"/>
        <v>93849.516496826851</v>
      </c>
      <c r="Y242" s="21">
        <f t="shared" si="203"/>
        <v>39182.733697853175</v>
      </c>
      <c r="Z242" s="21">
        <f t="shared" si="203"/>
        <v>13830.377132298405</v>
      </c>
      <c r="AA242" s="21">
        <f t="shared" si="203"/>
        <v>5101.9368091976294</v>
      </c>
      <c r="AB242" s="21">
        <f t="shared" si="203"/>
        <v>1532.0114728579999</v>
      </c>
      <c r="AC242" s="21">
        <f t="shared" si="203"/>
        <v>273.73070236447325</v>
      </c>
      <c r="AD242" s="21">
        <f t="shared" si="203"/>
        <v>123.25850496832111</v>
      </c>
      <c r="AE242" s="21">
        <f t="shared" si="203"/>
        <v>64.838551454732553</v>
      </c>
      <c r="AF242" s="21">
        <f t="shared" si="203"/>
        <v>12.808077667173484</v>
      </c>
      <c r="AG242" s="3"/>
      <c r="AH242" s="3"/>
    </row>
    <row r="243" spans="1:34" x14ac:dyDescent="0.25">
      <c r="A243" s="71">
        <f>SUM(B243:AF243)</f>
        <v>3716573.7346445345</v>
      </c>
      <c r="B243" s="60">
        <f>IF($A$64&lt;=B207,IF($B$64&gt;=B207,ABS(B242),0),0)</f>
        <v>592286.2337854146</v>
      </c>
      <c r="C243" s="60">
        <f t="shared" ref="C243" si="204">IF($A$64&lt;=C207,IF($B$64&gt;=C207,ABS(C242),0),0)</f>
        <v>1038022.3189665308</v>
      </c>
      <c r="D243" s="60">
        <f t="shared" ref="D243" si="205">IF($A$64&lt;=D207,IF($B$64&gt;=D207,ABS(D242),0),0)</f>
        <v>664841.18778983888</v>
      </c>
      <c r="E243" s="60">
        <f t="shared" ref="E243" si="206">IF($A$64&lt;=E207,IF($B$64&gt;=E207,ABS(E242),0),0)</f>
        <v>363377.56815148634</v>
      </c>
      <c r="F243" s="60">
        <f t="shared" ref="F243" si="207">IF($A$64&lt;=F207,IF($B$64&gt;=F207,ABS(F242),0),0)</f>
        <v>134552.76927107145</v>
      </c>
      <c r="G243" s="60">
        <f t="shared" ref="G243" si="208">IF($A$64&lt;=G207,IF($B$64&gt;=G207,ABS(G242),0),0)</f>
        <v>16408.518247268661</v>
      </c>
      <c r="H243" s="60">
        <f t="shared" ref="H243" si="209">IF($A$64&lt;=H207,IF($B$64&gt;=H207,ABS(H242),0),0)</f>
        <v>145.79755584897092</v>
      </c>
      <c r="I243" s="60">
        <f t="shared" ref="I243" si="210">IF($A$64&lt;=I207,IF($B$64&gt;=I207,ABS(I242),0),0)</f>
        <v>21964.156489429337</v>
      </c>
      <c r="J243" s="60">
        <f t="shared" ref="J243" si="211">IF($A$64&lt;=J207,IF($B$64&gt;=J207,ABS(J242),0),0)</f>
        <v>9409.3535654857442</v>
      </c>
      <c r="K243" s="60">
        <f t="shared" ref="K243" si="212">IF($A$64&lt;=K207,IF($B$64&gt;=K207,ABS(K242),0),0)</f>
        <v>8847.5105944218558</v>
      </c>
      <c r="L243" s="60">
        <f t="shared" ref="L243" si="213">IF($A$64&lt;=L207,IF($B$64&gt;=L207,ABS(L242),0),0)</f>
        <v>6901.8816219684286</v>
      </c>
      <c r="M243" s="60">
        <f t="shared" ref="M243" si="214">IF($A$64&lt;=M207,IF($B$64&gt;=M207,ABS(M242),0),0)</f>
        <v>6504.6854855040492</v>
      </c>
      <c r="N243" s="60">
        <f t="shared" ref="N243" si="215">IF($A$64&lt;=N207,IF($B$64&gt;=N207,ABS(N242),0),0)</f>
        <v>7090.731226430411</v>
      </c>
      <c r="O243" s="60">
        <f t="shared" ref="O243" si="216">IF($A$64&lt;=O207,IF($B$64&gt;=O207,ABS(O242),0),0)</f>
        <v>5360.0350561735522</v>
      </c>
      <c r="P243" s="60">
        <f t="shared" ref="P243" si="217">IF($A$64&lt;=P207,IF($B$64&gt;=P207,ABS(P242),0),0)</f>
        <v>5138.8938638127065</v>
      </c>
      <c r="Q243" s="60">
        <f t="shared" ref="Q243" si="218">IF($A$64&lt;=Q207,IF($B$64&gt;=Q207,ABS(Q242),0),0)</f>
        <v>3859.9403494685316</v>
      </c>
      <c r="R243" s="60">
        <f t="shared" ref="R243" si="219">IF($A$64&lt;=R207,IF($B$64&gt;=R207,ABS(R242),0),0)</f>
        <v>3032.5693649300347</v>
      </c>
      <c r="S243" s="60">
        <f t="shared" ref="S243" si="220">IF($A$64&lt;=S207,IF($B$64&gt;=S207,ABS(S242),0),0)</f>
        <v>0.43567483722745243</v>
      </c>
      <c r="T243" s="60">
        <f t="shared" ref="T243" si="221">IF($A$64&lt;=T207,IF($B$64&gt;=T207,ABS(T242),0),0)</f>
        <v>28775.179622952259</v>
      </c>
      <c r="U243" s="60">
        <f t="shared" ref="U243" si="222">IF($A$64&lt;=U207,IF($B$64&gt;=U207,ABS(U242),0),0)</f>
        <v>173139.59321437619</v>
      </c>
      <c r="V243" s="60">
        <f t="shared" ref="V243" si="223">IF($A$64&lt;=V207,IF($B$64&gt;=V207,ABS(V242),0),0)</f>
        <v>275040.23644735274</v>
      </c>
      <c r="W243" s="60">
        <f t="shared" ref="W243" si="224">IF($A$64&lt;=W207,IF($B$64&gt;=W207,ABS(W242),0),0)</f>
        <v>197902.9268544435</v>
      </c>
      <c r="X243" s="60">
        <f t="shared" ref="X243" si="225">IF($A$64&lt;=X207,IF($B$64&gt;=X207,ABS(X242),0),0)</f>
        <v>93849.516496826851</v>
      </c>
      <c r="Y243" s="60">
        <f t="shared" ref="Y243" si="226">IF($A$64&lt;=Y207,IF($B$64&gt;=Y207,ABS(Y242),0),0)</f>
        <v>39182.733697853175</v>
      </c>
      <c r="Z243" s="60">
        <f t="shared" ref="Z243" si="227">IF($A$64&lt;=Z207,IF($B$64&gt;=Z207,ABS(Z242),0),0)</f>
        <v>13830.377132298405</v>
      </c>
      <c r="AA243" s="60">
        <f t="shared" ref="AA243" si="228">IF($A$64&lt;=AA207,IF($B$64&gt;=AA207,ABS(AA242),0),0)</f>
        <v>5101.9368091976294</v>
      </c>
      <c r="AB243" s="60">
        <f t="shared" ref="AB243" si="229">IF($A$64&lt;=AB207,IF($B$64&gt;=AB207,ABS(AB242),0),0)</f>
        <v>1532.0114728579999</v>
      </c>
      <c r="AC243" s="60">
        <f t="shared" ref="AC243" si="230">IF($A$64&lt;=AC207,IF($B$64&gt;=AC207,ABS(AC242),0),0)</f>
        <v>273.73070236447325</v>
      </c>
      <c r="AD243" s="60">
        <f t="shared" ref="AD243" si="231">IF($A$64&lt;=AD207,IF($B$64&gt;=AD207,ABS(AD242),0),0)</f>
        <v>123.25850496832111</v>
      </c>
      <c r="AE243" s="60">
        <f t="shared" ref="AE243" si="232">IF($A$64&lt;=AE207,IF($B$64&gt;=AE207,ABS(AE242),0),0)</f>
        <v>64.838551454732553</v>
      </c>
      <c r="AF243" s="60">
        <f t="shared" ref="AF243" si="233">IF($A$64&lt;=AF207,IF($B$64&gt;=AF207,ABS(AF242),0),0)</f>
        <v>12.808077667173484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9072.9337936737484</v>
      </c>
      <c r="C248" s="27">
        <f t="shared" ref="C248:AF248" si="234">($C$17+SUM(C249:C279))*$B$51</f>
        <v>9072.9031959019831</v>
      </c>
      <c r="D248" s="27">
        <f t="shared" si="234"/>
        <v>9072.5973058109084</v>
      </c>
      <c r="E248" s="27">
        <f t="shared" si="234"/>
        <v>9069.5468600649328</v>
      </c>
      <c r="F248" s="27">
        <f t="shared" si="234"/>
        <v>9039.8719611301021</v>
      </c>
      <c r="G248" s="27">
        <f t="shared" si="234"/>
        <v>8812.1828577658798</v>
      </c>
      <c r="H248" s="27">
        <f t="shared" si="234"/>
        <v>8417.0140958031152</v>
      </c>
      <c r="I248" s="27">
        <f t="shared" si="234"/>
        <v>8193.8706836729398</v>
      </c>
      <c r="J248" s="27">
        <f t="shared" si="234"/>
        <v>7867.9939784220314</v>
      </c>
      <c r="K248" s="27">
        <f t="shared" si="234"/>
        <v>7501.2338169855002</v>
      </c>
      <c r="L248" s="27">
        <f t="shared" si="234"/>
        <v>7129.4315547653396</v>
      </c>
      <c r="M248" s="27">
        <f t="shared" si="234"/>
        <v>6819.0387387491683</v>
      </c>
      <c r="N248" s="27">
        <f t="shared" si="234"/>
        <v>6542.69276654027</v>
      </c>
      <c r="O248" s="27">
        <f t="shared" si="234"/>
        <v>6252.9051173612861</v>
      </c>
      <c r="P248" s="27">
        <f t="shared" si="234"/>
        <v>5968.095632098747</v>
      </c>
      <c r="Q248" s="27">
        <f t="shared" si="234"/>
        <v>5685.3085452777914</v>
      </c>
      <c r="R248" s="27">
        <f t="shared" si="234"/>
        <v>5366.989235300477</v>
      </c>
      <c r="S248" s="27">
        <f t="shared" si="234"/>
        <v>4994.7027074565021</v>
      </c>
      <c r="T248" s="27">
        <f t="shared" si="234"/>
        <v>4588.446367778226</v>
      </c>
      <c r="U248" s="27">
        <f t="shared" si="234"/>
        <v>4024.0623391638051</v>
      </c>
      <c r="V248" s="27">
        <f t="shared" si="234"/>
        <v>3338.2996169339849</v>
      </c>
      <c r="W248" s="27">
        <f t="shared" si="234"/>
        <v>2641.2120394501881</v>
      </c>
      <c r="X248" s="27">
        <f t="shared" si="234"/>
        <v>1973.8012306129574</v>
      </c>
      <c r="Y248" s="27">
        <f t="shared" si="234"/>
        <v>1423.2122475185977</v>
      </c>
      <c r="Z248" s="27">
        <f t="shared" si="234"/>
        <v>1016.0052158270266</v>
      </c>
      <c r="AA248" s="27">
        <f t="shared" si="234"/>
        <v>781.95848351332018</v>
      </c>
      <c r="AB248" s="27">
        <f t="shared" si="234"/>
        <v>626.22599660729702</v>
      </c>
      <c r="AC248" s="27">
        <f t="shared" si="234"/>
        <v>576.45931873191614</v>
      </c>
      <c r="AD248" s="27">
        <f t="shared" si="234"/>
        <v>538.40690987113419</v>
      </c>
      <c r="AE248" s="27">
        <f t="shared" si="234"/>
        <v>517.08901895458052</v>
      </c>
      <c r="AF248" s="27">
        <f t="shared" si="234"/>
        <v>508.4617700395861</v>
      </c>
      <c r="AG248" s="27"/>
      <c r="AH248" s="27"/>
    </row>
    <row r="249" spans="1:34" x14ac:dyDescent="0.25">
      <c r="B249" s="3">
        <f t="shared" ref="B249:AF249" si="235">$C18*EXP(-B$246/$A18/EXP(-$E$126))</f>
        <v>2.7051824569975747E-11</v>
      </c>
      <c r="C249" s="3">
        <f t="shared" si="235"/>
        <v>3.5312148026138327E-99</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5.3113158468419255E-2</v>
      </c>
      <c r="C250" s="3">
        <f t="shared" si="236"/>
        <v>5.3110405383336244E-2</v>
      </c>
      <c r="D250" s="3">
        <f t="shared" si="236"/>
        <v>5.3082882380023753E-2</v>
      </c>
      <c r="E250" s="3">
        <f t="shared" si="236"/>
        <v>5.2808435595647095E-2</v>
      </c>
      <c r="F250" s="3">
        <f t="shared" si="236"/>
        <v>5.0140811019516104E-2</v>
      </c>
      <c r="G250" s="3">
        <f t="shared" si="236"/>
        <v>2.9858767475703773E-2</v>
      </c>
      <c r="H250" s="3">
        <f t="shared" si="236"/>
        <v>1.6744689586567106E-4</v>
      </c>
      <c r="I250" s="3">
        <f t="shared" si="236"/>
        <v>5.1514482741773481E-27</v>
      </c>
      <c r="J250" s="3">
        <f t="shared" si="236"/>
        <v>3.9124767318763512E-252</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1.590324020620618E-2</v>
      </c>
      <c r="C251" s="3">
        <f t="shared" si="237"/>
        <v>1.5903165842683399E-2</v>
      </c>
      <c r="D251" s="3">
        <f t="shared" si="237"/>
        <v>1.5902422226580133E-2</v>
      </c>
      <c r="E251" s="3">
        <f t="shared" si="237"/>
        <v>1.5894987977670125E-2</v>
      </c>
      <c r="F251" s="3">
        <f t="shared" si="237"/>
        <v>1.5820836370430948E-2</v>
      </c>
      <c r="G251" s="3">
        <f t="shared" si="237"/>
        <v>1.5098082324914381E-2</v>
      </c>
      <c r="H251" s="3">
        <f t="shared" si="237"/>
        <v>9.459001453404732E-3</v>
      </c>
      <c r="I251" s="3">
        <f t="shared" si="237"/>
        <v>8.8121183875017133E-5</v>
      </c>
      <c r="J251" s="3">
        <f t="shared" si="237"/>
        <v>4.3394094670840932E-25</v>
      </c>
      <c r="K251" s="3">
        <f t="shared" si="237"/>
        <v>3.6385950338115193E-228</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2.9724135007815036E-2</v>
      </c>
      <c r="C252" s="3">
        <f t="shared" si="238"/>
        <v>2.9724122469733886E-2</v>
      </c>
      <c r="D252" s="3">
        <f t="shared" si="238"/>
        <v>2.9723997089213257E-2</v>
      </c>
      <c r="E252" s="3">
        <f t="shared" si="238"/>
        <v>2.9722743313094602E-2</v>
      </c>
      <c r="F252" s="3">
        <f t="shared" si="238"/>
        <v>2.9710208460216801E-2</v>
      </c>
      <c r="G252" s="3">
        <f t="shared" si="238"/>
        <v>2.9585150308921913E-2</v>
      </c>
      <c r="H252" s="3">
        <f t="shared" si="238"/>
        <v>2.836315841567558E-2</v>
      </c>
      <c r="I252" s="3">
        <f t="shared" si="238"/>
        <v>1.8602130898495141E-2</v>
      </c>
      <c r="J252" s="3">
        <f t="shared" si="238"/>
        <v>2.7393261955153427E-4</v>
      </c>
      <c r="K252" s="3">
        <f t="shared" si="238"/>
        <v>1.3135732495333874E-22</v>
      </c>
      <c r="L252" s="3">
        <f t="shared" si="238"/>
        <v>8.4442240122494265E-206</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3.4474580927145622E-2</v>
      </c>
      <c r="C253" s="3">
        <f t="shared" si="239"/>
        <v>3.4474579615345939E-2</v>
      </c>
      <c r="D253" s="3">
        <f t="shared" si="239"/>
        <v>3.4474566497351873E-2</v>
      </c>
      <c r="E253" s="3">
        <f t="shared" si="239"/>
        <v>3.447443531768573E-2</v>
      </c>
      <c r="F253" s="3">
        <f t="shared" si="239"/>
        <v>3.4473123548477425E-2</v>
      </c>
      <c r="G253" s="3">
        <f t="shared" si="239"/>
        <v>3.4460008601321493E-2</v>
      </c>
      <c r="H253" s="3">
        <f t="shared" si="239"/>
        <v>3.4329133236410528E-2</v>
      </c>
      <c r="I253" s="3">
        <f t="shared" si="239"/>
        <v>3.3047408235158914E-2</v>
      </c>
      <c r="J253" s="3">
        <f t="shared" si="239"/>
        <v>2.2588275517362737E-2</v>
      </c>
      <c r="K253" s="3">
        <f t="shared" si="239"/>
        <v>5.0273576982466065E-4</v>
      </c>
      <c r="L253" s="3">
        <f t="shared" si="239"/>
        <v>1.4993633414566427E-20</v>
      </c>
      <c r="M253" s="3">
        <f t="shared" si="239"/>
        <v>8.3479128609664937E-186</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3.8163539583128764E-2</v>
      </c>
      <c r="C254" s="3">
        <f t="shared" si="240"/>
        <v>3.816353945213103E-2</v>
      </c>
      <c r="D254" s="3">
        <f t="shared" si="240"/>
        <v>3.8163538142153751E-2</v>
      </c>
      <c r="E254" s="3">
        <f t="shared" si="240"/>
        <v>3.816352504238342E-2</v>
      </c>
      <c r="F254" s="3">
        <f t="shared" si="240"/>
        <v>3.8163394044927447E-2</v>
      </c>
      <c r="G254" s="3">
        <f t="shared" si="240"/>
        <v>3.8162084095098324E-2</v>
      </c>
      <c r="H254" s="3">
        <f t="shared" si="240"/>
        <v>3.8148987069557619E-2</v>
      </c>
      <c r="I254" s="3">
        <f t="shared" si="240"/>
        <v>3.8018263775442381E-2</v>
      </c>
      <c r="J254" s="3">
        <f t="shared" si="240"/>
        <v>3.6735416172115086E-2</v>
      </c>
      <c r="K254" s="3">
        <f t="shared" si="240"/>
        <v>2.6062244317574531E-2</v>
      </c>
      <c r="L254" s="3">
        <f t="shared" si="240"/>
        <v>8.4193833838769024E-4</v>
      </c>
      <c r="M254" s="3">
        <f t="shared" si="240"/>
        <v>1.0422334996981719E-18</v>
      </c>
      <c r="N254" s="3">
        <f t="shared" si="240"/>
        <v>8.8066847687621254E-168</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3.1147960287520111E-2</v>
      </c>
      <c r="C255" s="3">
        <f t="shared" si="241"/>
        <v>3.1147960277875354E-2</v>
      </c>
      <c r="D255" s="3">
        <f t="shared" si="241"/>
        <v>3.1147960181427774E-2</v>
      </c>
      <c r="E255" s="3">
        <f t="shared" si="241"/>
        <v>3.1147959216952008E-2</v>
      </c>
      <c r="F255" s="3">
        <f t="shared" si="241"/>
        <v>3.1147949572195993E-2</v>
      </c>
      <c r="G255" s="3">
        <f t="shared" si="241"/>
        <v>3.1147853124800087E-2</v>
      </c>
      <c r="H255" s="3">
        <f t="shared" si="241"/>
        <v>3.1146888667266226E-2</v>
      </c>
      <c r="I255" s="3">
        <f t="shared" si="241"/>
        <v>3.1137245734257694E-2</v>
      </c>
      <c r="J255" s="3">
        <f t="shared" si="241"/>
        <v>3.1040980449178468E-2</v>
      </c>
      <c r="K255" s="3">
        <f t="shared" si="241"/>
        <v>3.0094545702354755E-2</v>
      </c>
      <c r="L255" s="3">
        <f t="shared" si="241"/>
        <v>2.2080627253923749E-2</v>
      </c>
      <c r="M255" s="3">
        <f t="shared" si="241"/>
        <v>9.9826892739690132E-4</v>
      </c>
      <c r="N255" s="3">
        <f t="shared" si="241"/>
        <v>3.5613037880757104E-17</v>
      </c>
      <c r="O255" s="3">
        <f t="shared" si="241"/>
        <v>1.1891145839612383E-151</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2.5944984110099805E-2</v>
      </c>
      <c r="C256" s="3">
        <f t="shared" si="242"/>
        <v>2.59449841093751E-2</v>
      </c>
      <c r="D256" s="3">
        <f t="shared" si="242"/>
        <v>2.5944984102128039E-2</v>
      </c>
      <c r="E256" s="3">
        <f t="shared" si="242"/>
        <v>2.5944984029657465E-2</v>
      </c>
      <c r="F256" s="3">
        <f t="shared" si="242"/>
        <v>2.5944983304951715E-2</v>
      </c>
      <c r="G256" s="3">
        <f t="shared" si="242"/>
        <v>2.5944976057895308E-2</v>
      </c>
      <c r="H256" s="3">
        <f t="shared" si="242"/>
        <v>2.594490358744261E-2</v>
      </c>
      <c r="I256" s="3">
        <f t="shared" si="242"/>
        <v>2.5944178894049E-2</v>
      </c>
      <c r="J256" s="3">
        <f t="shared" si="242"/>
        <v>2.5936933073337606E-2</v>
      </c>
      <c r="K256" s="3">
        <f t="shared" si="242"/>
        <v>2.5864586073729837E-2</v>
      </c>
      <c r="L256" s="3">
        <f t="shared" si="242"/>
        <v>2.5152122749100631E-2</v>
      </c>
      <c r="M256" s="3">
        <f t="shared" si="242"/>
        <v>1.9022419588359922E-2</v>
      </c>
      <c r="N256" s="3">
        <f t="shared" si="242"/>
        <v>1.1646002735932733E-3</v>
      </c>
      <c r="O256" s="3">
        <f t="shared" si="242"/>
        <v>8.6156529470165022E-16</v>
      </c>
      <c r="P256" s="3">
        <f t="shared" si="242"/>
        <v>4.2305933641214323E-137</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2.8280666339934958E-2</v>
      </c>
      <c r="C257" s="3">
        <f t="shared" si="243"/>
        <v>2.8280666339863696E-2</v>
      </c>
      <c r="D257" s="3">
        <f t="shared" si="243"/>
        <v>2.8280666339151099E-2</v>
      </c>
      <c r="E257" s="3">
        <f t="shared" si="243"/>
        <v>2.8280666332025119E-2</v>
      </c>
      <c r="F257" s="3">
        <f t="shared" si="243"/>
        <v>2.8280666260765332E-2</v>
      </c>
      <c r="G257" s="3">
        <f t="shared" si="243"/>
        <v>2.8280665548167449E-2</v>
      </c>
      <c r="H257" s="3">
        <f t="shared" si="243"/>
        <v>2.8280658422189589E-2</v>
      </c>
      <c r="I257" s="3">
        <f t="shared" si="243"/>
        <v>2.8280587162509772E-2</v>
      </c>
      <c r="J257" s="3">
        <f t="shared" si="243"/>
        <v>2.8279874575587075E-2</v>
      </c>
      <c r="K257" s="3">
        <f t="shared" si="243"/>
        <v>2.8272749693814676E-2</v>
      </c>
      <c r="L257" s="3">
        <f t="shared" si="243"/>
        <v>2.8201599529551608E-2</v>
      </c>
      <c r="M257" s="3">
        <f t="shared" si="243"/>
        <v>2.7499871874807898E-2</v>
      </c>
      <c r="N257" s="3">
        <f t="shared" si="243"/>
        <v>2.1374696775607618E-2</v>
      </c>
      <c r="O257" s="3">
        <f t="shared" si="243"/>
        <v>1.720255215641898E-3</v>
      </c>
      <c r="P257" s="3">
        <f t="shared" si="243"/>
        <v>1.9612009322343361E-14</v>
      </c>
      <c r="Q257" s="3">
        <f t="shared" si="243"/>
        <v>7.2746845945606721E-124</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2.7707301103178796E-2</v>
      </c>
      <c r="C258" s="3">
        <f t="shared" si="244"/>
        <v>2.7707301103172495E-2</v>
      </c>
      <c r="D258" s="3">
        <f t="shared" si="244"/>
        <v>2.7707301103109518E-2</v>
      </c>
      <c r="E258" s="3">
        <f t="shared" si="244"/>
        <v>2.7707301102479726E-2</v>
      </c>
      <c r="F258" s="3">
        <f t="shared" si="244"/>
        <v>2.7707301096181827E-2</v>
      </c>
      <c r="G258" s="3">
        <f t="shared" si="244"/>
        <v>2.7707301033202833E-2</v>
      </c>
      <c r="H258" s="3">
        <f t="shared" si="244"/>
        <v>2.7707300403412915E-2</v>
      </c>
      <c r="I258" s="3">
        <f t="shared" si="244"/>
        <v>2.7707294105514479E-2</v>
      </c>
      <c r="J258" s="3">
        <f t="shared" si="244"/>
        <v>2.7707231126608889E-2</v>
      </c>
      <c r="K258" s="3">
        <f t="shared" si="244"/>
        <v>2.7706601345426289E-2</v>
      </c>
      <c r="L258" s="3">
        <f t="shared" si="244"/>
        <v>2.7700304320862301E-2</v>
      </c>
      <c r="M258" s="3">
        <f t="shared" si="244"/>
        <v>2.7637412735256255E-2</v>
      </c>
      <c r="N258" s="3">
        <f t="shared" si="244"/>
        <v>2.7016297128685637E-2</v>
      </c>
      <c r="O258" s="3">
        <f t="shared" si="244"/>
        <v>2.1523367533723369E-2</v>
      </c>
      <c r="P258" s="3">
        <f t="shared" si="244"/>
        <v>2.2169413239143195E-3</v>
      </c>
      <c r="Q258" s="3">
        <f t="shared" si="244"/>
        <v>2.9798470171685617E-13</v>
      </c>
      <c r="R258" s="3">
        <f t="shared" si="244"/>
        <v>5.7357691575147035E-112</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2.650988812137773E-2</v>
      </c>
      <c r="C259" s="3">
        <f t="shared" si="245"/>
        <v>2.6509888121377188E-2</v>
      </c>
      <c r="D259" s="3">
        <f t="shared" si="245"/>
        <v>2.6509888121371752E-2</v>
      </c>
      <c r="E259" s="3">
        <f t="shared" si="245"/>
        <v>2.6509888121317396E-2</v>
      </c>
      <c r="F259" s="3">
        <f t="shared" si="245"/>
        <v>2.6509888120773827E-2</v>
      </c>
      <c r="G259" s="3">
        <f t="shared" si="245"/>
        <v>2.650988811533812E-2</v>
      </c>
      <c r="H259" s="3">
        <f t="shared" si="245"/>
        <v>2.6509888060981056E-2</v>
      </c>
      <c r="I259" s="3">
        <f t="shared" si="245"/>
        <v>2.6509887517410444E-2</v>
      </c>
      <c r="J259" s="3">
        <f t="shared" si="245"/>
        <v>2.6509882081704936E-2</v>
      </c>
      <c r="K259" s="3">
        <f t="shared" si="245"/>
        <v>2.6509827724711159E-2</v>
      </c>
      <c r="L259" s="3">
        <f t="shared" si="245"/>
        <v>2.6509284160903406E-2</v>
      </c>
      <c r="M259" s="3">
        <f t="shared" si="245"/>
        <v>2.6503849135783068E-2</v>
      </c>
      <c r="N259" s="3">
        <f t="shared" si="245"/>
        <v>2.6449560133819949E-2</v>
      </c>
      <c r="O259" s="3">
        <f t="shared" si="245"/>
        <v>2.5912748824347586E-2</v>
      </c>
      <c r="P259" s="3">
        <f t="shared" si="245"/>
        <v>2.1108812378103817E-2</v>
      </c>
      <c r="Q259" s="3">
        <f t="shared" si="245"/>
        <v>2.7162325138977332E-3</v>
      </c>
      <c r="R259" s="3">
        <f t="shared" si="245"/>
        <v>3.3806357593243979E-12</v>
      </c>
      <c r="S259" s="3">
        <f t="shared" si="245"/>
        <v>3.0151766122520744E-101</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3.00960893347192E-2</v>
      </c>
      <c r="C260" s="3">
        <f t="shared" si="246"/>
        <v>3.0096089334719144E-2</v>
      </c>
      <c r="D260" s="3">
        <f t="shared" si="246"/>
        <v>3.0096089334718589E-2</v>
      </c>
      <c r="E260" s="3">
        <f t="shared" si="246"/>
        <v>3.0096089334713021E-2</v>
      </c>
      <c r="F260" s="3">
        <f t="shared" si="246"/>
        <v>3.0096089334657353E-2</v>
      </c>
      <c r="G260" s="3">
        <f t="shared" si="246"/>
        <v>3.0096089334100674E-2</v>
      </c>
      <c r="H260" s="3">
        <f t="shared" si="246"/>
        <v>3.0096089328533887E-2</v>
      </c>
      <c r="I260" s="3">
        <f t="shared" si="246"/>
        <v>3.0096089272865997E-2</v>
      </c>
      <c r="J260" s="3">
        <f t="shared" si="246"/>
        <v>3.0096088716187134E-2</v>
      </c>
      <c r="K260" s="3">
        <f t="shared" si="246"/>
        <v>3.0096083149399058E-2</v>
      </c>
      <c r="L260" s="3">
        <f t="shared" si="246"/>
        <v>3.0096027481574909E-2</v>
      </c>
      <c r="M260" s="3">
        <f t="shared" si="246"/>
        <v>3.0095470808996588E-2</v>
      </c>
      <c r="N260" s="3">
        <f t="shared" si="246"/>
        <v>3.0089904649490597E-2</v>
      </c>
      <c r="O260" s="3">
        <f t="shared" si="246"/>
        <v>3.003429964341468E-2</v>
      </c>
      <c r="P260" s="3">
        <f t="shared" si="246"/>
        <v>2.9483869943635645E-2</v>
      </c>
      <c r="Q260" s="3">
        <f t="shared" si="246"/>
        <v>2.4504974908547486E-2</v>
      </c>
      <c r="R260" s="3">
        <f t="shared" si="246"/>
        <v>3.8543576923930575E-3</v>
      </c>
      <c r="S260" s="3">
        <f t="shared" si="246"/>
        <v>3.5721488724921566E-11</v>
      </c>
      <c r="T260" s="3">
        <f t="shared" si="246"/>
        <v>1.6699554906822574E-91</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3.6902665150925024E-2</v>
      </c>
      <c r="C261" s="3">
        <f t="shared" si="247"/>
        <v>3.6902665150925017E-2</v>
      </c>
      <c r="D261" s="3">
        <f t="shared" si="247"/>
        <v>3.6902665150924954E-2</v>
      </c>
      <c r="E261" s="3">
        <f t="shared" si="247"/>
        <v>3.6902665150924337E-2</v>
      </c>
      <c r="F261" s="3">
        <f t="shared" si="247"/>
        <v>3.6902665150918182E-2</v>
      </c>
      <c r="G261" s="3">
        <f t="shared" si="247"/>
        <v>3.6902665150856606E-2</v>
      </c>
      <c r="H261" s="3">
        <f t="shared" si="247"/>
        <v>3.690266515024087E-2</v>
      </c>
      <c r="I261" s="3">
        <f t="shared" si="247"/>
        <v>3.6902665144083441E-2</v>
      </c>
      <c r="J261" s="3">
        <f t="shared" si="247"/>
        <v>3.6902665082509216E-2</v>
      </c>
      <c r="K261" s="3">
        <f t="shared" si="247"/>
        <v>3.6902664466766912E-2</v>
      </c>
      <c r="L261" s="3">
        <f t="shared" si="247"/>
        <v>3.6902658309344485E-2</v>
      </c>
      <c r="M261" s="3">
        <f t="shared" si="247"/>
        <v>3.6902596735176693E-2</v>
      </c>
      <c r="N261" s="3">
        <f t="shared" si="247"/>
        <v>3.6901980999149431E-2</v>
      </c>
      <c r="O261" s="3">
        <f t="shared" si="247"/>
        <v>3.6895824203909022E-2</v>
      </c>
      <c r="P261" s="3">
        <f t="shared" si="247"/>
        <v>3.6834312719851485E-2</v>
      </c>
      <c r="Q261" s="3">
        <f t="shared" si="247"/>
        <v>3.6224810007326018E-2</v>
      </c>
      <c r="R261" s="3">
        <f t="shared" si="247"/>
        <v>3.0657841237569101E-2</v>
      </c>
      <c r="S261" s="3">
        <f t="shared" si="247"/>
        <v>5.779577826141284E-3</v>
      </c>
      <c r="T261" s="3">
        <f t="shared" si="247"/>
        <v>3.2767368807463317E-10</v>
      </c>
      <c r="U261" s="3">
        <f t="shared" si="247"/>
        <v>1.1243359580685776E-82</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3.6161796888491096E-2</v>
      </c>
      <c r="C262" s="3">
        <f t="shared" si="248"/>
        <v>3.6161796888491096E-2</v>
      </c>
      <c r="D262" s="3">
        <f t="shared" si="248"/>
        <v>3.6161796888491089E-2</v>
      </c>
      <c r="E262" s="3">
        <f t="shared" si="248"/>
        <v>3.6161796888491034E-2</v>
      </c>
      <c r="F262" s="3">
        <f t="shared" si="248"/>
        <v>3.6161796888490493E-2</v>
      </c>
      <c r="G262" s="3">
        <f t="shared" si="248"/>
        <v>3.6161796888485052E-2</v>
      </c>
      <c r="H262" s="3">
        <f t="shared" si="248"/>
        <v>3.6161796888430617E-2</v>
      </c>
      <c r="I262" s="3">
        <f t="shared" si="248"/>
        <v>3.6161796887886323E-2</v>
      </c>
      <c r="J262" s="3">
        <f t="shared" si="248"/>
        <v>3.6161796882443323E-2</v>
      </c>
      <c r="K262" s="3">
        <f t="shared" si="248"/>
        <v>3.6161796828013383E-2</v>
      </c>
      <c r="L262" s="3">
        <f t="shared" si="248"/>
        <v>3.6161796283713993E-2</v>
      </c>
      <c r="M262" s="3">
        <f t="shared" si="248"/>
        <v>3.6161790840720499E-2</v>
      </c>
      <c r="N262" s="3">
        <f t="shared" si="248"/>
        <v>3.6161736410830689E-2</v>
      </c>
      <c r="O262" s="3">
        <f t="shared" si="248"/>
        <v>3.6161192116438499E-2</v>
      </c>
      <c r="P262" s="3">
        <f t="shared" si="248"/>
        <v>3.6155749623085792E-2</v>
      </c>
      <c r="Q262" s="3">
        <f t="shared" si="248"/>
        <v>3.6101369721398172E-2</v>
      </c>
      <c r="R262" s="3">
        <f t="shared" si="248"/>
        <v>3.5562048910173109E-2</v>
      </c>
      <c r="S262" s="3">
        <f t="shared" si="248"/>
        <v>3.0592694260713059E-2</v>
      </c>
      <c r="T262" s="3">
        <f t="shared" si="248"/>
        <v>6.7908985356261824E-3</v>
      </c>
      <c r="U262" s="3">
        <f t="shared" si="248"/>
        <v>1.9725244420802832E-9</v>
      </c>
      <c r="V262" s="3">
        <f t="shared" si="248"/>
        <v>8.4328409816912424E-75</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5.7659888823700683E-2</v>
      </c>
      <c r="C263" s="3">
        <f t="shared" si="249"/>
        <v>5.7659888823700683E-2</v>
      </c>
      <c r="D263" s="3">
        <f t="shared" si="249"/>
        <v>5.7659888823700683E-2</v>
      </c>
      <c r="E263" s="3">
        <f t="shared" si="249"/>
        <v>5.7659888823700677E-2</v>
      </c>
      <c r="F263" s="3">
        <f t="shared" si="249"/>
        <v>5.7659888823700593E-2</v>
      </c>
      <c r="G263" s="3">
        <f t="shared" si="249"/>
        <v>5.7659888823699816E-2</v>
      </c>
      <c r="H263" s="3">
        <f t="shared" si="249"/>
        <v>5.7659888823691982E-2</v>
      </c>
      <c r="I263" s="3">
        <f t="shared" si="249"/>
        <v>5.7659888823613691E-2</v>
      </c>
      <c r="J263" s="3">
        <f t="shared" si="249"/>
        <v>5.7659888822830789E-2</v>
      </c>
      <c r="K263" s="3">
        <f t="shared" si="249"/>
        <v>5.7659888815001753E-2</v>
      </c>
      <c r="L263" s="3">
        <f t="shared" si="249"/>
        <v>5.76598887367114E-2</v>
      </c>
      <c r="M263" s="3">
        <f t="shared" si="249"/>
        <v>5.7659887953807894E-2</v>
      </c>
      <c r="N263" s="3">
        <f t="shared" si="249"/>
        <v>5.7659880124773376E-2</v>
      </c>
      <c r="O263" s="3">
        <f t="shared" si="249"/>
        <v>5.7659801834486706E-2</v>
      </c>
      <c r="P263" s="3">
        <f t="shared" si="249"/>
        <v>5.7659018937466548E-2</v>
      </c>
      <c r="Q263" s="3">
        <f t="shared" si="249"/>
        <v>5.7651190551895007E-2</v>
      </c>
      <c r="R263" s="3">
        <f t="shared" si="249"/>
        <v>5.7572965129824329E-2</v>
      </c>
      <c r="S263" s="3">
        <f t="shared" si="249"/>
        <v>5.6796525023750946E-2</v>
      </c>
      <c r="T263" s="3">
        <f t="shared" si="249"/>
        <v>4.958535709606976E-2</v>
      </c>
      <c r="U263" s="3">
        <f t="shared" si="249"/>
        <v>1.2754699939952811E-2</v>
      </c>
      <c r="V263" s="3">
        <f t="shared" si="249"/>
        <v>1.6174775252101363E-8</v>
      </c>
      <c r="W263" s="3">
        <f t="shared" si="249"/>
        <v>1.7398761813124516E-67</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7.0138718801303929E-2</v>
      </c>
      <c r="C264" s="3">
        <f t="shared" si="250"/>
        <v>7.0138718801303929E-2</v>
      </c>
      <c r="D264" s="3">
        <f t="shared" si="250"/>
        <v>7.0138718801303929E-2</v>
      </c>
      <c r="E264" s="3">
        <f t="shared" si="250"/>
        <v>7.0138718801303929E-2</v>
      </c>
      <c r="F264" s="3">
        <f t="shared" si="250"/>
        <v>7.0138718801303915E-2</v>
      </c>
      <c r="G264" s="3">
        <f t="shared" si="250"/>
        <v>7.0138718801303832E-2</v>
      </c>
      <c r="H264" s="3">
        <f t="shared" si="250"/>
        <v>7.0138718801302971E-2</v>
      </c>
      <c r="I264" s="3">
        <f t="shared" si="250"/>
        <v>7.0138718801294381E-2</v>
      </c>
      <c r="J264" s="3">
        <f t="shared" si="250"/>
        <v>7.0138718801208477E-2</v>
      </c>
      <c r="K264" s="3">
        <f t="shared" si="250"/>
        <v>7.0138718800349387E-2</v>
      </c>
      <c r="L264" s="3">
        <f t="shared" si="250"/>
        <v>7.0138718791758481E-2</v>
      </c>
      <c r="M264" s="3">
        <f t="shared" si="250"/>
        <v>7.0138718705849437E-2</v>
      </c>
      <c r="N264" s="3">
        <f t="shared" si="250"/>
        <v>7.0138717846759055E-2</v>
      </c>
      <c r="O264" s="3">
        <f t="shared" si="250"/>
        <v>7.0138709255855761E-2</v>
      </c>
      <c r="P264" s="3">
        <f t="shared" si="250"/>
        <v>7.0138623346880771E-2</v>
      </c>
      <c r="Q264" s="3">
        <f t="shared" si="250"/>
        <v>7.0137764262918165E-2</v>
      </c>
      <c r="R264" s="3">
        <f t="shared" si="250"/>
        <v>7.0129174002001735E-2</v>
      </c>
      <c r="S264" s="3">
        <f t="shared" si="250"/>
        <v>7.0043329237583371E-2</v>
      </c>
      <c r="T264" s="3">
        <f t="shared" si="250"/>
        <v>6.9190639938856796E-2</v>
      </c>
      <c r="U264" s="3">
        <f t="shared" si="250"/>
        <v>6.1214318257174237E-2</v>
      </c>
      <c r="V264" s="3">
        <f t="shared" si="250"/>
        <v>1.7984969870600553E-2</v>
      </c>
      <c r="W264" s="3">
        <f t="shared" si="250"/>
        <v>8.6193931310144447E-8</v>
      </c>
      <c r="X264" s="3">
        <f t="shared" si="250"/>
        <v>5.5099345099673186E-61</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6.7659228447697881E-2</v>
      </c>
      <c r="C265" s="3">
        <f t="shared" si="251"/>
        <v>6.7659228447697881E-2</v>
      </c>
      <c r="D265" s="3">
        <f t="shared" si="251"/>
        <v>6.7659228447697881E-2</v>
      </c>
      <c r="E265" s="3">
        <f t="shared" si="251"/>
        <v>6.7659228447697881E-2</v>
      </c>
      <c r="F265" s="3">
        <f t="shared" si="251"/>
        <v>6.7659228447697881E-2</v>
      </c>
      <c r="G265" s="3">
        <f t="shared" si="251"/>
        <v>6.7659228447697867E-2</v>
      </c>
      <c r="H265" s="3">
        <f t="shared" si="251"/>
        <v>6.7659228447697797E-2</v>
      </c>
      <c r="I265" s="3">
        <f t="shared" si="251"/>
        <v>6.7659228447697048E-2</v>
      </c>
      <c r="J265" s="3">
        <f t="shared" si="251"/>
        <v>6.7659228447689568E-2</v>
      </c>
      <c r="K265" s="3">
        <f t="shared" si="251"/>
        <v>6.7659228447614822E-2</v>
      </c>
      <c r="L265" s="3">
        <f t="shared" si="251"/>
        <v>6.7659228446867239E-2</v>
      </c>
      <c r="M265" s="3">
        <f t="shared" si="251"/>
        <v>6.7659228439391497E-2</v>
      </c>
      <c r="N265" s="3">
        <f t="shared" si="251"/>
        <v>6.7659228364634005E-2</v>
      </c>
      <c r="O265" s="3">
        <f t="shared" si="251"/>
        <v>6.7659227617059198E-2</v>
      </c>
      <c r="P265" s="3">
        <f t="shared" si="251"/>
        <v>6.7659220141311482E-2</v>
      </c>
      <c r="Q265" s="3">
        <f t="shared" si="251"/>
        <v>6.7659145383879807E-2</v>
      </c>
      <c r="R265" s="3">
        <f t="shared" si="251"/>
        <v>6.7658397814105986E-2</v>
      </c>
      <c r="S265" s="3">
        <f t="shared" si="251"/>
        <v>6.7650922570649502E-2</v>
      </c>
      <c r="T265" s="3">
        <f t="shared" si="251"/>
        <v>6.7576215545689544E-2</v>
      </c>
      <c r="U265" s="3">
        <f t="shared" si="251"/>
        <v>6.683366774707164E-2</v>
      </c>
      <c r="V265" s="3">
        <f t="shared" si="251"/>
        <v>5.9842480104782568E-2</v>
      </c>
      <c r="W265" s="3">
        <f t="shared" si="251"/>
        <v>1.9822228209676267E-2</v>
      </c>
      <c r="X265" s="3">
        <f t="shared" si="251"/>
        <v>3.1519647275332953E-7</v>
      </c>
      <c r="Y265" s="3">
        <f t="shared" si="251"/>
        <v>3.2573927029365903E-55</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6.6765944370475505E-2</v>
      </c>
      <c r="C266" s="3">
        <f t="shared" si="252"/>
        <v>6.6765944370475505E-2</v>
      </c>
      <c r="D266" s="3">
        <f t="shared" si="252"/>
        <v>6.6765944370475505E-2</v>
      </c>
      <c r="E266" s="3">
        <f t="shared" si="252"/>
        <v>6.6765944370475505E-2</v>
      </c>
      <c r="F266" s="3">
        <f t="shared" si="252"/>
        <v>6.6765944370475505E-2</v>
      </c>
      <c r="G266" s="3">
        <f t="shared" si="252"/>
        <v>6.6765944370475505E-2</v>
      </c>
      <c r="H266" s="3">
        <f t="shared" si="252"/>
        <v>6.6765944370475491E-2</v>
      </c>
      <c r="I266" s="3">
        <f t="shared" si="252"/>
        <v>6.6765944370475436E-2</v>
      </c>
      <c r="J266" s="3">
        <f t="shared" si="252"/>
        <v>6.676594437047477E-2</v>
      </c>
      <c r="K266" s="3">
        <f t="shared" si="252"/>
        <v>6.6765944370468108E-2</v>
      </c>
      <c r="L266" s="3">
        <f t="shared" si="252"/>
        <v>6.6765944370401564E-2</v>
      </c>
      <c r="M266" s="3">
        <f t="shared" si="252"/>
        <v>6.6765944369736097E-2</v>
      </c>
      <c r="N266" s="3">
        <f t="shared" si="252"/>
        <v>6.6765944363081378E-2</v>
      </c>
      <c r="O266" s="3">
        <f t="shared" si="252"/>
        <v>6.6765944296534263E-2</v>
      </c>
      <c r="P266" s="3">
        <f t="shared" si="252"/>
        <v>6.6765943631063154E-2</v>
      </c>
      <c r="Q266" s="3">
        <f t="shared" si="252"/>
        <v>6.6765936976352372E-2</v>
      </c>
      <c r="R266" s="3">
        <f t="shared" si="252"/>
        <v>6.6765870429281018E-2</v>
      </c>
      <c r="S266" s="3">
        <f t="shared" si="252"/>
        <v>6.6765204962215566E-2</v>
      </c>
      <c r="T266" s="3">
        <f t="shared" si="252"/>
        <v>6.6758550656355511E-2</v>
      </c>
      <c r="U266" s="3">
        <f t="shared" si="252"/>
        <v>6.6692044063758782E-2</v>
      </c>
      <c r="V266" s="3">
        <f t="shared" si="252"/>
        <v>6.6030611325749985E-2</v>
      </c>
      <c r="W266" s="3">
        <f t="shared" si="252"/>
        <v>5.9766553776939429E-2</v>
      </c>
      <c r="X266" s="3">
        <f t="shared" si="252"/>
        <v>2.2059068990818543E-2</v>
      </c>
      <c r="Y266" s="3">
        <f t="shared" si="252"/>
        <v>1.0348486165081069E-6</v>
      </c>
      <c r="Z266" s="3">
        <f t="shared" si="252"/>
        <v>5.3428535189596491E-50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4.8603939630861931E-2</v>
      </c>
      <c r="C267" s="3">
        <f t="shared" si="253"/>
        <v>4.8603939630861931E-2</v>
      </c>
      <c r="D267" s="3">
        <f t="shared" si="253"/>
        <v>4.8603939630861931E-2</v>
      </c>
      <c r="E267" s="3">
        <f t="shared" si="253"/>
        <v>4.8603939630861931E-2</v>
      </c>
      <c r="F267" s="3">
        <f t="shared" si="253"/>
        <v>4.8603939630861931E-2</v>
      </c>
      <c r="G267" s="3">
        <f t="shared" si="253"/>
        <v>4.8603939630861931E-2</v>
      </c>
      <c r="H267" s="3">
        <f t="shared" si="253"/>
        <v>4.8603939630861931E-2</v>
      </c>
      <c r="I267" s="3">
        <f t="shared" si="253"/>
        <v>4.8603939630861924E-2</v>
      </c>
      <c r="J267" s="3">
        <f t="shared" si="253"/>
        <v>4.8603939630861882E-2</v>
      </c>
      <c r="K267" s="3">
        <f t="shared" si="253"/>
        <v>4.8603939630861445E-2</v>
      </c>
      <c r="L267" s="3">
        <f t="shared" si="253"/>
        <v>4.8603939630857074E-2</v>
      </c>
      <c r="M267" s="3">
        <f t="shared" si="253"/>
        <v>4.8603939630813379E-2</v>
      </c>
      <c r="N267" s="3">
        <f t="shared" si="253"/>
        <v>4.8603939630376361E-2</v>
      </c>
      <c r="O267" s="3">
        <f t="shared" si="253"/>
        <v>4.8603939626006253E-2</v>
      </c>
      <c r="P267" s="3">
        <f t="shared" si="253"/>
        <v>4.8603939582305168E-2</v>
      </c>
      <c r="Q267" s="3">
        <f t="shared" si="253"/>
        <v>4.8603939145294255E-2</v>
      </c>
      <c r="R267" s="3">
        <f t="shared" si="253"/>
        <v>4.8603934775185396E-2</v>
      </c>
      <c r="S267" s="3">
        <f t="shared" si="253"/>
        <v>4.8603891074118381E-2</v>
      </c>
      <c r="T267" s="3">
        <f t="shared" si="253"/>
        <v>4.8603454065609397E-2</v>
      </c>
      <c r="U267" s="3">
        <f t="shared" si="253"/>
        <v>4.8599084196621969E-2</v>
      </c>
      <c r="V267" s="3">
        <f t="shared" si="253"/>
        <v>4.855540710980679E-2</v>
      </c>
      <c r="W267" s="3">
        <f t="shared" si="253"/>
        <v>4.8120789377979464E-2</v>
      </c>
      <c r="X267" s="3">
        <f t="shared" si="253"/>
        <v>4.3982931732776148E-2</v>
      </c>
      <c r="Y267" s="3">
        <f t="shared" si="253"/>
        <v>1.7897752120399402E-2</v>
      </c>
      <c r="Z267" s="3">
        <f t="shared" si="253"/>
        <v>2.2281356848891226E-6</v>
      </c>
      <c r="AA267" s="3">
        <f t="shared" si="253"/>
        <v>1.9923841894981113E-45</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3.7549192378247005E-2</v>
      </c>
      <c r="C268" s="3">
        <f t="shared" si="254"/>
        <v>3.7549192378247005E-2</v>
      </c>
      <c r="D268" s="3">
        <f t="shared" si="254"/>
        <v>3.7549192378247005E-2</v>
      </c>
      <c r="E268" s="3">
        <f t="shared" si="254"/>
        <v>3.7549192378247005E-2</v>
      </c>
      <c r="F268" s="3">
        <f t="shared" si="254"/>
        <v>3.7549192378247005E-2</v>
      </c>
      <c r="G268" s="3">
        <f t="shared" si="254"/>
        <v>3.7549192378247005E-2</v>
      </c>
      <c r="H268" s="3">
        <f t="shared" si="254"/>
        <v>3.7549192378247005E-2</v>
      </c>
      <c r="I268" s="3">
        <f t="shared" si="254"/>
        <v>3.7549192378247005E-2</v>
      </c>
      <c r="J268" s="3">
        <f t="shared" si="254"/>
        <v>3.7549192378246998E-2</v>
      </c>
      <c r="K268" s="3">
        <f t="shared" si="254"/>
        <v>3.7549192378246971E-2</v>
      </c>
      <c r="L268" s="3">
        <f t="shared" si="254"/>
        <v>3.7549192378246665E-2</v>
      </c>
      <c r="M268" s="3">
        <f t="shared" si="254"/>
        <v>3.7549192378243619E-2</v>
      </c>
      <c r="N268" s="3">
        <f t="shared" si="254"/>
        <v>3.7549192378213164E-2</v>
      </c>
      <c r="O268" s="3">
        <f t="shared" si="254"/>
        <v>3.7549192377908609E-2</v>
      </c>
      <c r="P268" s="3">
        <f t="shared" si="254"/>
        <v>3.7549192374863045E-2</v>
      </c>
      <c r="Q268" s="3">
        <f t="shared" si="254"/>
        <v>3.7549192344407387E-2</v>
      </c>
      <c r="R268" s="3">
        <f t="shared" si="254"/>
        <v>3.7549192039850798E-2</v>
      </c>
      <c r="S268" s="3">
        <f t="shared" si="254"/>
        <v>3.7549188994285068E-2</v>
      </c>
      <c r="T268" s="3">
        <f t="shared" si="254"/>
        <v>3.7549158538641381E-2</v>
      </c>
      <c r="U268" s="3">
        <f t="shared" si="254"/>
        <v>3.7548853983563113E-2</v>
      </c>
      <c r="V268" s="3">
        <f t="shared" si="254"/>
        <v>3.7545808568637949E-2</v>
      </c>
      <c r="W268" s="3">
        <f t="shared" si="254"/>
        <v>3.751536800105959E-2</v>
      </c>
      <c r="X268" s="3">
        <f t="shared" si="254"/>
        <v>3.7212316425545823E-2</v>
      </c>
      <c r="Y268" s="3">
        <f t="shared" si="254"/>
        <v>3.4313233675956747E-2</v>
      </c>
      <c r="Z268" s="3">
        <f t="shared" si="254"/>
        <v>1.5247936485936605E-2</v>
      </c>
      <c r="AA268" s="3">
        <f t="shared" si="254"/>
        <v>4.5783115058241364E-6</v>
      </c>
      <c r="AB268" s="3">
        <f t="shared" si="254"/>
        <v>2.7267666944506514E-41</v>
      </c>
      <c r="AC268" s="3">
        <f t="shared" si="254"/>
        <v>0</v>
      </c>
      <c r="AD268" s="3">
        <f t="shared" si="254"/>
        <v>0</v>
      </c>
      <c r="AE268" s="3">
        <f t="shared" si="254"/>
        <v>0</v>
      </c>
      <c r="AF268" s="3">
        <f t="shared" si="254"/>
        <v>0</v>
      </c>
      <c r="AG268" s="3"/>
      <c r="AH268" s="3"/>
    </row>
    <row r="269" spans="2:34" x14ac:dyDescent="0.25">
      <c r="B269" s="3">
        <f t="shared" ref="B269:AF269" si="255">$C38*EXP(-B$246/$A38/EXP(-$E$126))</f>
        <v>7.8409043454057813E-3</v>
      </c>
      <c r="C269" s="3">
        <f t="shared" si="255"/>
        <v>7.8409043454057813E-3</v>
      </c>
      <c r="D269" s="3">
        <f t="shared" si="255"/>
        <v>7.8409043454057813E-3</v>
      </c>
      <c r="E269" s="3">
        <f t="shared" si="255"/>
        <v>7.8409043454057813E-3</v>
      </c>
      <c r="F269" s="3">
        <f t="shared" si="255"/>
        <v>7.8409043454057813E-3</v>
      </c>
      <c r="G269" s="3">
        <f t="shared" si="255"/>
        <v>7.8409043454057813E-3</v>
      </c>
      <c r="H269" s="3">
        <f t="shared" si="255"/>
        <v>7.8409043454057813E-3</v>
      </c>
      <c r="I269" s="3">
        <f t="shared" si="255"/>
        <v>7.8409043454057813E-3</v>
      </c>
      <c r="J269" s="3">
        <f t="shared" si="255"/>
        <v>7.8409043454057813E-3</v>
      </c>
      <c r="K269" s="3">
        <f t="shared" si="255"/>
        <v>7.8409043454057796E-3</v>
      </c>
      <c r="L269" s="3">
        <f t="shared" si="255"/>
        <v>7.8409043454057744E-3</v>
      </c>
      <c r="M269" s="3">
        <f t="shared" si="255"/>
        <v>7.8409043454057172E-3</v>
      </c>
      <c r="N269" s="3">
        <f t="shared" si="255"/>
        <v>7.8409043454051447E-3</v>
      </c>
      <c r="O269" s="3">
        <f t="shared" si="255"/>
        <v>7.8409043453994062E-3</v>
      </c>
      <c r="P269" s="3">
        <f t="shared" si="255"/>
        <v>7.8409043453420372E-3</v>
      </c>
      <c r="Q269" s="3">
        <f t="shared" si="255"/>
        <v>7.8409043447683433E-3</v>
      </c>
      <c r="R269" s="3">
        <f t="shared" si="255"/>
        <v>7.8409043390314064E-3</v>
      </c>
      <c r="S269" s="3">
        <f t="shared" si="255"/>
        <v>7.840904281662028E-3</v>
      </c>
      <c r="T269" s="3">
        <f t="shared" si="255"/>
        <v>7.8409037079682706E-3</v>
      </c>
      <c r="U269" s="3">
        <f t="shared" si="255"/>
        <v>7.8408979710329948E-3</v>
      </c>
      <c r="V269" s="3">
        <f t="shared" si="255"/>
        <v>7.8408406019111077E-3</v>
      </c>
      <c r="W269" s="3">
        <f t="shared" si="255"/>
        <v>7.8402669337779753E-3</v>
      </c>
      <c r="X269" s="3">
        <f t="shared" si="255"/>
        <v>7.8345325603955875E-3</v>
      </c>
      <c r="Y269" s="3">
        <f t="shared" si="255"/>
        <v>7.7774189978847101E-3</v>
      </c>
      <c r="Z269" s="3">
        <f t="shared" si="255"/>
        <v>7.2286893984891461E-3</v>
      </c>
      <c r="AA269" s="3">
        <f t="shared" si="255"/>
        <v>3.4777650815703246E-3</v>
      </c>
      <c r="AB269" s="3">
        <f t="shared" si="255"/>
        <v>2.3105055960739495E-6</v>
      </c>
      <c r="AC269" s="3">
        <f t="shared" si="255"/>
        <v>3.8705692815724222E-38</v>
      </c>
      <c r="AD269" s="3">
        <f t="shared" si="255"/>
        <v>0</v>
      </c>
      <c r="AE269" s="3">
        <f t="shared" si="255"/>
        <v>0</v>
      </c>
      <c r="AF269" s="3">
        <f t="shared" si="255"/>
        <v>0</v>
      </c>
      <c r="AG269" s="3"/>
      <c r="AH269" s="3"/>
    </row>
    <row r="270" spans="2:34" x14ac:dyDescent="0.25">
      <c r="B270" s="3">
        <f t="shared" ref="B270:AF270" si="256">$C39*EXP(-B$246/$A39/EXP(-$E$126))</f>
        <v>1.487119099211914E-2</v>
      </c>
      <c r="C270" s="3">
        <f t="shared" si="256"/>
        <v>1.487119099211914E-2</v>
      </c>
      <c r="D270" s="3">
        <f t="shared" si="256"/>
        <v>1.487119099211914E-2</v>
      </c>
      <c r="E270" s="3">
        <f t="shared" si="256"/>
        <v>1.487119099211914E-2</v>
      </c>
      <c r="F270" s="3">
        <f t="shared" si="256"/>
        <v>1.487119099211914E-2</v>
      </c>
      <c r="G270" s="3">
        <f t="shared" si="256"/>
        <v>1.487119099211914E-2</v>
      </c>
      <c r="H270" s="3">
        <f t="shared" si="256"/>
        <v>1.487119099211914E-2</v>
      </c>
      <c r="I270" s="3">
        <f t="shared" si="256"/>
        <v>1.487119099211914E-2</v>
      </c>
      <c r="J270" s="3">
        <f t="shared" si="256"/>
        <v>1.487119099211914E-2</v>
      </c>
      <c r="K270" s="3">
        <f t="shared" si="256"/>
        <v>1.487119099211914E-2</v>
      </c>
      <c r="L270" s="3">
        <f t="shared" si="256"/>
        <v>1.4871190992119136E-2</v>
      </c>
      <c r="M270" s="3">
        <f t="shared" si="256"/>
        <v>1.4871190992119107E-2</v>
      </c>
      <c r="N270" s="3">
        <f t="shared" si="256"/>
        <v>1.4871190992118805E-2</v>
      </c>
      <c r="O270" s="3">
        <f t="shared" si="256"/>
        <v>1.4871190992115797E-2</v>
      </c>
      <c r="P270" s="3">
        <f t="shared" si="256"/>
        <v>1.4871190992085703E-2</v>
      </c>
      <c r="Q270" s="3">
        <f t="shared" si="256"/>
        <v>1.4871190991784767E-2</v>
      </c>
      <c r="R270" s="3">
        <f t="shared" si="256"/>
        <v>1.4871190988775419E-2</v>
      </c>
      <c r="S270" s="3">
        <f t="shared" si="256"/>
        <v>1.4871190958681925E-2</v>
      </c>
      <c r="T270" s="3">
        <f t="shared" si="256"/>
        <v>1.4871190657746999E-2</v>
      </c>
      <c r="U270" s="3">
        <f t="shared" si="256"/>
        <v>1.4871187648398057E-2</v>
      </c>
      <c r="V270" s="3">
        <f t="shared" si="256"/>
        <v>1.4871157554942149E-2</v>
      </c>
      <c r="W270" s="3">
        <f t="shared" si="256"/>
        <v>1.4870856623732404E-2</v>
      </c>
      <c r="X270" s="3">
        <f t="shared" si="256"/>
        <v>1.4867847646543341E-2</v>
      </c>
      <c r="Y270" s="3">
        <f t="shared" si="256"/>
        <v>1.4837791340428274E-2</v>
      </c>
      <c r="Z270" s="3">
        <f t="shared" si="256"/>
        <v>1.4540549934866323E-2</v>
      </c>
      <c r="AA270" s="3">
        <f t="shared" si="256"/>
        <v>1.1876721145644644E-2</v>
      </c>
      <c r="AB270" s="3">
        <f t="shared" si="256"/>
        <v>1.5698343779293003E-3</v>
      </c>
      <c r="AC270" s="3">
        <f t="shared" si="256"/>
        <v>2.5552099673928201E-12</v>
      </c>
      <c r="AD270" s="3">
        <f t="shared" si="256"/>
        <v>3.3354479426345648E-100</v>
      </c>
      <c r="AE270" s="3">
        <f t="shared" si="256"/>
        <v>0</v>
      </c>
      <c r="AF270" s="3">
        <f t="shared" si="256"/>
        <v>0</v>
      </c>
      <c r="AG270" s="3"/>
      <c r="AH270" s="3"/>
    </row>
    <row r="271" spans="2:34" x14ac:dyDescent="0.25">
      <c r="B271" s="3">
        <f t="shared" ref="B271:AF271" si="257">$C40*EXP(-B$246/$A40/EXP(-$E$126))</f>
        <v>3.2949113910046581E-3</v>
      </c>
      <c r="C271" s="3">
        <f t="shared" si="257"/>
        <v>3.2949113910046581E-3</v>
      </c>
      <c r="D271" s="3">
        <f t="shared" si="257"/>
        <v>3.2949113910046581E-3</v>
      </c>
      <c r="E271" s="3">
        <f t="shared" si="257"/>
        <v>3.2949113910046581E-3</v>
      </c>
      <c r="F271" s="3">
        <f t="shared" si="257"/>
        <v>3.2949113910046581E-3</v>
      </c>
      <c r="G271" s="3">
        <f t="shared" si="257"/>
        <v>3.2949113910046581E-3</v>
      </c>
      <c r="H271" s="3">
        <f t="shared" si="257"/>
        <v>3.2949113910046581E-3</v>
      </c>
      <c r="I271" s="3">
        <f t="shared" si="257"/>
        <v>3.2949113910046581E-3</v>
      </c>
      <c r="J271" s="3">
        <f t="shared" si="257"/>
        <v>3.2949113910046581E-3</v>
      </c>
      <c r="K271" s="3">
        <f t="shared" si="257"/>
        <v>3.2949113910046581E-3</v>
      </c>
      <c r="L271" s="3">
        <f t="shared" si="257"/>
        <v>3.2949113910046581E-3</v>
      </c>
      <c r="M271" s="3">
        <f t="shared" si="257"/>
        <v>3.2949113910046572E-3</v>
      </c>
      <c r="N271" s="3">
        <f t="shared" si="257"/>
        <v>3.2949113910046507E-3</v>
      </c>
      <c r="O271" s="3">
        <f t="shared" si="257"/>
        <v>3.2949113910045839E-3</v>
      </c>
      <c r="P271" s="3">
        <f t="shared" si="257"/>
        <v>3.2949113910039174E-3</v>
      </c>
      <c r="Q271" s="3">
        <f t="shared" si="257"/>
        <v>3.2949113909972495E-3</v>
      </c>
      <c r="R271" s="3">
        <f t="shared" si="257"/>
        <v>3.2949113909305733E-3</v>
      </c>
      <c r="S271" s="3">
        <f t="shared" si="257"/>
        <v>3.2949113902638119E-3</v>
      </c>
      <c r="T271" s="3">
        <f t="shared" si="257"/>
        <v>3.2949113835961958E-3</v>
      </c>
      <c r="U271" s="3">
        <f t="shared" si="257"/>
        <v>3.2949113169200351E-3</v>
      </c>
      <c r="V271" s="3">
        <f t="shared" si="257"/>
        <v>3.294910650158502E-3</v>
      </c>
      <c r="W271" s="3">
        <f t="shared" si="257"/>
        <v>3.2949039825505939E-3</v>
      </c>
      <c r="X271" s="3">
        <f t="shared" si="257"/>
        <v>3.2948373072136002E-3</v>
      </c>
      <c r="Y271" s="3">
        <f t="shared" si="257"/>
        <v>3.2941706280470982E-3</v>
      </c>
      <c r="Z271" s="3">
        <f t="shared" si="257"/>
        <v>3.2875112511725397E-3</v>
      </c>
      <c r="AA271" s="3">
        <f t="shared" si="257"/>
        <v>3.2216534396775948E-3</v>
      </c>
      <c r="AB271" s="3">
        <f t="shared" si="257"/>
        <v>2.6314465204104022E-3</v>
      </c>
      <c r="AC271" s="3">
        <f t="shared" si="257"/>
        <v>3.4781781610975654E-4</v>
      </c>
      <c r="AD271" s="3">
        <f t="shared" si="257"/>
        <v>5.6614096560476709E-13</v>
      </c>
      <c r="AE271" s="3">
        <f t="shared" si="257"/>
        <v>7.3901313123567163E-101</v>
      </c>
      <c r="AF271" s="3">
        <f t="shared" si="257"/>
        <v>0</v>
      </c>
      <c r="AG271" s="3"/>
      <c r="AH271" s="3"/>
    </row>
    <row r="272" spans="2:34" x14ac:dyDescent="0.25">
      <c r="B272" s="3">
        <f t="shared" ref="B272:AF272" si="258">$C41*EXP(-B$246/$A41/EXP(-$E$126))</f>
        <v>4.0317394660720415E-3</v>
      </c>
      <c r="C272" s="3">
        <f t="shared" si="258"/>
        <v>4.0317394660720415E-3</v>
      </c>
      <c r="D272" s="3">
        <f t="shared" si="258"/>
        <v>4.0317394660720415E-3</v>
      </c>
      <c r="E272" s="3">
        <f t="shared" si="258"/>
        <v>4.0317394660720415E-3</v>
      </c>
      <c r="F272" s="3">
        <f t="shared" si="258"/>
        <v>4.0317394660720415E-3</v>
      </c>
      <c r="G272" s="3">
        <f t="shared" si="258"/>
        <v>4.0317394660720415E-3</v>
      </c>
      <c r="H272" s="3">
        <f t="shared" si="258"/>
        <v>4.0317394660720415E-3</v>
      </c>
      <c r="I272" s="3">
        <f t="shared" si="258"/>
        <v>4.0317394660720415E-3</v>
      </c>
      <c r="J272" s="3">
        <f t="shared" si="258"/>
        <v>4.0317394660720415E-3</v>
      </c>
      <c r="K272" s="3">
        <f t="shared" si="258"/>
        <v>4.0317394660720415E-3</v>
      </c>
      <c r="L272" s="3">
        <f t="shared" si="258"/>
        <v>4.0317394660720415E-3</v>
      </c>
      <c r="M272" s="3">
        <f t="shared" si="258"/>
        <v>4.0317394660720415E-3</v>
      </c>
      <c r="N272" s="3">
        <f t="shared" si="258"/>
        <v>4.0317394660720407E-3</v>
      </c>
      <c r="O272" s="3">
        <f t="shared" si="258"/>
        <v>4.0317394660720329E-3</v>
      </c>
      <c r="P272" s="3">
        <f t="shared" si="258"/>
        <v>4.0317394660719505E-3</v>
      </c>
      <c r="Q272" s="3">
        <f t="shared" si="258"/>
        <v>4.0317394660711351E-3</v>
      </c>
      <c r="R272" s="3">
        <f t="shared" si="258"/>
        <v>4.0317394660629767E-3</v>
      </c>
      <c r="S272" s="3">
        <f t="shared" si="258"/>
        <v>4.0317394659813892E-3</v>
      </c>
      <c r="T272" s="3">
        <f t="shared" si="258"/>
        <v>4.0317394651655227E-3</v>
      </c>
      <c r="U272" s="3">
        <f t="shared" si="258"/>
        <v>4.0317394570068537E-3</v>
      </c>
      <c r="V272" s="3">
        <f t="shared" si="258"/>
        <v>4.0317393754201658E-3</v>
      </c>
      <c r="W272" s="3">
        <f t="shared" si="258"/>
        <v>4.0317385595533732E-3</v>
      </c>
      <c r="X272" s="3">
        <f t="shared" si="258"/>
        <v>4.0317304008945336E-3</v>
      </c>
      <c r="Y272" s="3">
        <f t="shared" si="258"/>
        <v>4.0316488152141701E-3</v>
      </c>
      <c r="Z272" s="3">
        <f t="shared" si="258"/>
        <v>4.0308330492077969E-3</v>
      </c>
      <c r="AA272" s="3">
        <f t="shared" si="258"/>
        <v>4.0226844620749515E-3</v>
      </c>
      <c r="AB272" s="3">
        <f t="shared" si="258"/>
        <v>3.9420991272224896E-3</v>
      </c>
      <c r="AC272" s="3">
        <f t="shared" si="258"/>
        <v>3.2199065559579921E-3</v>
      </c>
      <c r="AD272" s="3">
        <f t="shared" si="258"/>
        <v>4.2559894631494531E-4</v>
      </c>
      <c r="AE272" s="3">
        <f t="shared" si="258"/>
        <v>6.9274484303898142E-13</v>
      </c>
      <c r="AF272" s="3">
        <f t="shared" si="258"/>
        <v>9.0427573114184602E-101</v>
      </c>
      <c r="AG272" s="3"/>
      <c r="AH272" s="3"/>
    </row>
    <row r="273" spans="1:34" x14ac:dyDescent="0.25">
      <c r="B273" s="3">
        <f t="shared" ref="B273:AF273" si="259">$C42*EXP(-B$246/$A42/EXP(-$E$126))</f>
        <v>2.1502645285220883E-3</v>
      </c>
      <c r="C273" s="3">
        <f t="shared" si="259"/>
        <v>2.1502645285220883E-3</v>
      </c>
      <c r="D273" s="3">
        <f t="shared" si="259"/>
        <v>2.1502645285220883E-3</v>
      </c>
      <c r="E273" s="3">
        <f t="shared" si="259"/>
        <v>2.1502645285220883E-3</v>
      </c>
      <c r="F273" s="3">
        <f t="shared" si="259"/>
        <v>2.1502645285220883E-3</v>
      </c>
      <c r="G273" s="3">
        <f t="shared" si="259"/>
        <v>2.1502645285220883E-3</v>
      </c>
      <c r="H273" s="3">
        <f t="shared" si="259"/>
        <v>2.1502645285220883E-3</v>
      </c>
      <c r="I273" s="3">
        <f t="shared" si="259"/>
        <v>2.1502645285220883E-3</v>
      </c>
      <c r="J273" s="3">
        <f t="shared" si="259"/>
        <v>2.1502645285220883E-3</v>
      </c>
      <c r="K273" s="3">
        <f t="shared" si="259"/>
        <v>2.1502645285220883E-3</v>
      </c>
      <c r="L273" s="3">
        <f t="shared" si="259"/>
        <v>2.1502645285220883E-3</v>
      </c>
      <c r="M273" s="3">
        <f t="shared" si="259"/>
        <v>2.1502645285220883E-3</v>
      </c>
      <c r="N273" s="3">
        <f t="shared" si="259"/>
        <v>2.1502645285220883E-3</v>
      </c>
      <c r="O273" s="3">
        <f t="shared" si="259"/>
        <v>2.1502645285220879E-3</v>
      </c>
      <c r="P273" s="3">
        <f t="shared" si="259"/>
        <v>2.1502645285220836E-3</v>
      </c>
      <c r="Q273" s="3">
        <f t="shared" si="259"/>
        <v>2.1502645285220398E-3</v>
      </c>
      <c r="R273" s="3">
        <f t="shared" si="259"/>
        <v>2.1502645285216048E-3</v>
      </c>
      <c r="S273" s="3">
        <f t="shared" si="259"/>
        <v>2.1502645285172537E-3</v>
      </c>
      <c r="T273" s="3">
        <f t="shared" si="259"/>
        <v>2.1502645284737407E-3</v>
      </c>
      <c r="U273" s="3">
        <f t="shared" si="259"/>
        <v>2.1502645280386109E-3</v>
      </c>
      <c r="V273" s="3">
        <f t="shared" si="259"/>
        <v>2.1502645236873138E-3</v>
      </c>
      <c r="W273" s="3">
        <f t="shared" si="259"/>
        <v>2.1502644801743428E-3</v>
      </c>
      <c r="X273" s="3">
        <f t="shared" si="259"/>
        <v>2.1502640450446831E-3</v>
      </c>
      <c r="Y273" s="3">
        <f t="shared" si="259"/>
        <v>2.1502596937529261E-3</v>
      </c>
      <c r="Z273" s="3">
        <f t="shared" si="259"/>
        <v>2.1502161813196459E-3</v>
      </c>
      <c r="AA273" s="3">
        <f t="shared" si="259"/>
        <v>2.1497811054121277E-3</v>
      </c>
      <c r="AB273" s="3">
        <f t="shared" si="259"/>
        <v>2.1454351852412496E-3</v>
      </c>
      <c r="AC273" s="3">
        <f t="shared" si="259"/>
        <v>2.1024562704302823E-3</v>
      </c>
      <c r="AD273" s="3">
        <f t="shared" si="259"/>
        <v>1.7172862757368651E-3</v>
      </c>
      <c r="AE273" s="3">
        <f t="shared" si="259"/>
        <v>2.2698647205222238E-4</v>
      </c>
      <c r="AF273" s="3">
        <f t="shared" si="259"/>
        <v>3.6946451422233509E-13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3.0564736295290245E-3</v>
      </c>
      <c r="C275" s="3">
        <f t="shared" si="261"/>
        <v>3.0564736295290245E-3</v>
      </c>
      <c r="D275" s="3">
        <f t="shared" si="261"/>
        <v>3.0564736295290245E-3</v>
      </c>
      <c r="E275" s="3">
        <f t="shared" si="261"/>
        <v>3.0564736295290245E-3</v>
      </c>
      <c r="F275" s="3">
        <f t="shared" si="261"/>
        <v>3.0564736295290245E-3</v>
      </c>
      <c r="G275" s="3">
        <f t="shared" si="261"/>
        <v>3.0564736295290245E-3</v>
      </c>
      <c r="H275" s="3">
        <f t="shared" si="261"/>
        <v>3.0564736295290245E-3</v>
      </c>
      <c r="I275" s="3">
        <f t="shared" si="261"/>
        <v>3.0564736295290245E-3</v>
      </c>
      <c r="J275" s="3">
        <f t="shared" si="261"/>
        <v>3.0564736295290245E-3</v>
      </c>
      <c r="K275" s="3">
        <f t="shared" si="261"/>
        <v>3.0564736295290245E-3</v>
      </c>
      <c r="L275" s="3">
        <f t="shared" si="261"/>
        <v>3.0564736295290245E-3</v>
      </c>
      <c r="M275" s="3">
        <f t="shared" si="261"/>
        <v>3.0564736295290245E-3</v>
      </c>
      <c r="N275" s="3">
        <f t="shared" si="261"/>
        <v>3.0564736295290245E-3</v>
      </c>
      <c r="O275" s="3">
        <f t="shared" si="261"/>
        <v>3.0564736295290245E-3</v>
      </c>
      <c r="P275" s="3">
        <f t="shared" si="261"/>
        <v>3.0564736295290245E-3</v>
      </c>
      <c r="Q275" s="3">
        <f t="shared" si="261"/>
        <v>3.0564736295290236E-3</v>
      </c>
      <c r="R275" s="3">
        <f t="shared" si="261"/>
        <v>3.0564736295290175E-3</v>
      </c>
      <c r="S275" s="3">
        <f t="shared" si="261"/>
        <v>3.0564736295289555E-3</v>
      </c>
      <c r="T275" s="3">
        <f t="shared" si="261"/>
        <v>3.0564736295283375E-3</v>
      </c>
      <c r="U275" s="3">
        <f t="shared" si="261"/>
        <v>3.0564736295221524E-3</v>
      </c>
      <c r="V275" s="3">
        <f t="shared" si="261"/>
        <v>3.0564736294603008E-3</v>
      </c>
      <c r="W275" s="3">
        <f t="shared" si="261"/>
        <v>3.0564736288417899E-3</v>
      </c>
      <c r="X275" s="3">
        <f t="shared" si="261"/>
        <v>3.0564736226566789E-3</v>
      </c>
      <c r="Y275" s="3">
        <f t="shared" si="261"/>
        <v>3.0564735608055692E-3</v>
      </c>
      <c r="Z275" s="3">
        <f t="shared" si="261"/>
        <v>3.0564729422945373E-3</v>
      </c>
      <c r="AA275" s="3">
        <f t="shared" si="261"/>
        <v>3.0564667571911083E-3</v>
      </c>
      <c r="AB275" s="3">
        <f t="shared" si="261"/>
        <v>3.0564049068452026E-3</v>
      </c>
      <c r="AC275" s="3">
        <f t="shared" si="261"/>
        <v>3.0557864722198188E-3</v>
      </c>
      <c r="AD275" s="3">
        <f t="shared" si="261"/>
        <v>3.0496090041817552E-3</v>
      </c>
      <c r="AE275" s="3">
        <f t="shared" si="261"/>
        <v>2.9885170231705705E-3</v>
      </c>
      <c r="AF275" s="3">
        <f t="shared" si="261"/>
        <v>2.4410206960673113E-3</v>
      </c>
      <c r="AG275" s="3"/>
      <c r="AH275" s="3"/>
    </row>
    <row r="276" spans="1:34" x14ac:dyDescent="0.25">
      <c r="B276" s="3">
        <f t="shared" ref="B276:AF276" si="262">$C45*EXP(-B$246/$A45/EXP(-$E$126))</f>
        <v>1.3352216676863077E-3</v>
      </c>
      <c r="C276" s="3">
        <f t="shared" si="262"/>
        <v>1.3352216676863077E-3</v>
      </c>
      <c r="D276" s="3">
        <f t="shared" si="262"/>
        <v>1.3352216676863077E-3</v>
      </c>
      <c r="E276" s="3">
        <f t="shared" si="262"/>
        <v>1.3352216676863077E-3</v>
      </c>
      <c r="F276" s="3">
        <f t="shared" si="262"/>
        <v>1.3352216676863077E-3</v>
      </c>
      <c r="G276" s="3">
        <f t="shared" si="262"/>
        <v>1.3352216676863077E-3</v>
      </c>
      <c r="H276" s="3">
        <f t="shared" si="262"/>
        <v>1.3352216676863077E-3</v>
      </c>
      <c r="I276" s="3">
        <f t="shared" si="262"/>
        <v>1.3352216676863077E-3</v>
      </c>
      <c r="J276" s="3">
        <f t="shared" si="262"/>
        <v>1.3352216676863077E-3</v>
      </c>
      <c r="K276" s="3">
        <f t="shared" si="262"/>
        <v>1.3352216676863077E-3</v>
      </c>
      <c r="L276" s="3">
        <f t="shared" si="262"/>
        <v>1.3352216676863077E-3</v>
      </c>
      <c r="M276" s="3">
        <f t="shared" si="262"/>
        <v>1.3352216676863077E-3</v>
      </c>
      <c r="N276" s="3">
        <f t="shared" si="262"/>
        <v>1.3352216676863077E-3</v>
      </c>
      <c r="O276" s="3">
        <f t="shared" si="262"/>
        <v>1.3352216676863077E-3</v>
      </c>
      <c r="P276" s="3">
        <f t="shared" si="262"/>
        <v>1.3352216676863077E-3</v>
      </c>
      <c r="Q276" s="3">
        <f t="shared" si="262"/>
        <v>1.3352216676863077E-3</v>
      </c>
      <c r="R276" s="3">
        <f t="shared" si="262"/>
        <v>1.3352216676863074E-3</v>
      </c>
      <c r="S276" s="3">
        <f t="shared" si="262"/>
        <v>1.3352216676863046E-3</v>
      </c>
      <c r="T276" s="3">
        <f t="shared" si="262"/>
        <v>1.3352216676862775E-3</v>
      </c>
      <c r="U276" s="3">
        <f t="shared" si="262"/>
        <v>1.3352216676860075E-3</v>
      </c>
      <c r="V276" s="3">
        <f t="shared" si="262"/>
        <v>1.3352216676833055E-3</v>
      </c>
      <c r="W276" s="3">
        <f t="shared" si="262"/>
        <v>1.3352216676562857E-3</v>
      </c>
      <c r="X276" s="3">
        <f t="shared" si="262"/>
        <v>1.335221667386089E-3</v>
      </c>
      <c r="Y276" s="3">
        <f t="shared" si="262"/>
        <v>1.3352216646841208E-3</v>
      </c>
      <c r="Z276" s="3">
        <f t="shared" si="262"/>
        <v>1.3352216376644401E-3</v>
      </c>
      <c r="AA276" s="3">
        <f t="shared" si="262"/>
        <v>1.3352213674676606E-3</v>
      </c>
      <c r="AB276" s="3">
        <f t="shared" si="262"/>
        <v>1.3352186655028748E-3</v>
      </c>
      <c r="AC276" s="3">
        <f t="shared" si="262"/>
        <v>1.3351916461557393E-3</v>
      </c>
      <c r="AD276" s="3">
        <f t="shared" si="262"/>
        <v>1.3349214827543992E-3</v>
      </c>
      <c r="AE276" s="3">
        <f t="shared" si="262"/>
        <v>1.3322228534921752E-3</v>
      </c>
      <c r="AF276" s="3">
        <f t="shared" si="262"/>
        <v>1.3055347983491692E-3</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2.4746137447039952E-2</v>
      </c>
      <c r="B280" s="80">
        <f>IF($D$61&lt;=B246,IF($E$61&gt;=B246,ABS((B248-B247)/B247),0),0)</f>
        <v>0.10246402173622711</v>
      </c>
      <c r="C280" s="80">
        <f t="shared" ref="C280:AF280" si="266">IF($D$61&lt;=C246,IF($E$61&gt;=C246,ABS((C248-C247)/C247),0),0)</f>
        <v>8.0135927524793482E-2</v>
      </c>
      <c r="D280" s="80">
        <f t="shared" si="266"/>
        <v>5.9615672299555098E-2</v>
      </c>
      <c r="E280" s="80">
        <f t="shared" si="266"/>
        <v>3.6417198629722078E-2</v>
      </c>
      <c r="F280" s="80">
        <f t="shared" si="266"/>
        <v>1.2934231657497946E-2</v>
      </c>
      <c r="G280" s="80">
        <f t="shared" si="266"/>
        <v>7.4765381713563592E-3</v>
      </c>
      <c r="H280" s="80">
        <f t="shared" si="266"/>
        <v>2.1270687937262587E-2</v>
      </c>
      <c r="I280" s="80">
        <f t="shared" si="266"/>
        <v>1.6894774029855012E-2</v>
      </c>
      <c r="J280" s="80">
        <f t="shared" si="266"/>
        <v>1.9744830022470197E-2</v>
      </c>
      <c r="K280" s="80">
        <f t="shared" si="266"/>
        <v>2.0911297656735422E-2</v>
      </c>
      <c r="L280" s="80">
        <f t="shared" si="266"/>
        <v>2.1289663438745544E-2</v>
      </c>
      <c r="M280" s="80">
        <f t="shared" si="266"/>
        <v>2.0936846976365615E-2</v>
      </c>
      <c r="N280" s="80">
        <f t="shared" si="266"/>
        <v>2.0222564792587248E-2</v>
      </c>
      <c r="O280" s="80">
        <f t="shared" si="266"/>
        <v>2.1799618199580088E-2</v>
      </c>
      <c r="P280" s="80">
        <f t="shared" si="266"/>
        <v>2.179181336512331E-2</v>
      </c>
      <c r="Q280" s="80">
        <f t="shared" si="266"/>
        <v>2.2572798098322404E-2</v>
      </c>
      <c r="R280" s="80">
        <f t="shared" si="266"/>
        <v>2.0644991801632782E-2</v>
      </c>
      <c r="S280" s="80">
        <f t="shared" si="266"/>
        <v>1.3299430661771331E-3</v>
      </c>
      <c r="T280" s="80">
        <f t="shared" si="266"/>
        <v>4.790492412529139E-2</v>
      </c>
      <c r="U280" s="80">
        <f t="shared" si="266"/>
        <v>7.4342737642152434E-2</v>
      </c>
      <c r="V280" s="80">
        <f t="shared" si="266"/>
        <v>6.0277913614337091E-2</v>
      </c>
      <c r="W280" s="80">
        <f t="shared" si="266"/>
        <v>2.8797533305567027E-2</v>
      </c>
      <c r="X280" s="80">
        <f t="shared" si="266"/>
        <v>6.1763163531709485E-3</v>
      </c>
      <c r="Y280" s="80">
        <f t="shared" si="266"/>
        <v>2.1177416413710227E-2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1072838.9848563105</v>
      </c>
      <c r="C281" s="21">
        <f t="shared" ref="C281:AF281" si="267">(C248-C247)^2</f>
        <v>624740.6667834135</v>
      </c>
      <c r="D281" s="21">
        <f t="shared" si="267"/>
        <v>330806.01394069247</v>
      </c>
      <c r="E281" s="21">
        <f t="shared" si="267"/>
        <v>117491.42419598222</v>
      </c>
      <c r="F281" s="21">
        <f t="shared" si="267"/>
        <v>14031.808441647176</v>
      </c>
      <c r="G281" s="21">
        <f t="shared" si="267"/>
        <v>4406.4266726430524</v>
      </c>
      <c r="H281" s="21">
        <f t="shared" si="267"/>
        <v>33462.161479286522</v>
      </c>
      <c r="I281" s="21">
        <f t="shared" si="267"/>
        <v>19828.185651216791</v>
      </c>
      <c r="J281" s="21">
        <f t="shared" si="267"/>
        <v>25116.351567746082</v>
      </c>
      <c r="K281" s="21">
        <f t="shared" si="267"/>
        <v>25667.483702390535</v>
      </c>
      <c r="L281" s="21">
        <f t="shared" si="267"/>
        <v>24051.327360306372</v>
      </c>
      <c r="M281" s="21">
        <f t="shared" si="267"/>
        <v>21264.122260053387</v>
      </c>
      <c r="N281" s="21">
        <f t="shared" si="267"/>
        <v>18236.045152245686</v>
      </c>
      <c r="O281" s="21">
        <f t="shared" si="267"/>
        <v>19418.05809854986</v>
      </c>
      <c r="P281" s="21">
        <f t="shared" si="267"/>
        <v>17676.47659305494</v>
      </c>
      <c r="Q281" s="21">
        <f t="shared" si="267"/>
        <v>17238.919024637304</v>
      </c>
      <c r="R281" s="21">
        <f t="shared" si="267"/>
        <v>12800.0180132323</v>
      </c>
      <c r="S281" s="21">
        <f t="shared" si="267"/>
        <v>44.242670040009749</v>
      </c>
      <c r="T281" s="21">
        <f t="shared" si="267"/>
        <v>43999.513105171485</v>
      </c>
      <c r="U281" s="21">
        <f t="shared" si="267"/>
        <v>77539.106947506167</v>
      </c>
      <c r="V281" s="21">
        <f t="shared" si="267"/>
        <v>36018.665587023388</v>
      </c>
      <c r="W281" s="21">
        <f t="shared" si="267"/>
        <v>5465.844679424391</v>
      </c>
      <c r="X281" s="21">
        <f t="shared" si="267"/>
        <v>150.46906135261358</v>
      </c>
      <c r="Y281" s="21">
        <f t="shared" si="267"/>
        <v>948.15062480898632</v>
      </c>
      <c r="Z281" s="21">
        <f t="shared" si="267"/>
        <v>1100.5792945713897</v>
      </c>
      <c r="AA281" s="21">
        <f t="shared" si="267"/>
        <v>4.7013839611164512</v>
      </c>
      <c r="AB281" s="21">
        <f t="shared" si="267"/>
        <v>501.5749445421522</v>
      </c>
      <c r="AC281" s="21">
        <f t="shared" si="267"/>
        <v>1.9772026181896691</v>
      </c>
      <c r="AD281" s="21">
        <f t="shared" si="267"/>
        <v>13.862453533766896</v>
      </c>
      <c r="AE281" s="21">
        <f t="shared" si="267"/>
        <v>3.9019679335677657</v>
      </c>
      <c r="AF281" s="21">
        <f t="shared" si="267"/>
        <v>3.5913594761046612</v>
      </c>
      <c r="AG281" s="3"/>
      <c r="AH281" s="3"/>
    </row>
    <row r="282" spans="1:34" s="3" customFormat="1" x14ac:dyDescent="0.25">
      <c r="A282" s="71">
        <f>SUM(B282:AF282)</f>
        <v>2563240.4664687356</v>
      </c>
      <c r="B282" s="21">
        <f>IF($D$61&lt;=B246,IF($E$61&gt;=B246,ABS(B281),0),0)</f>
        <v>1072838.9848563105</v>
      </c>
      <c r="C282" s="21">
        <f t="shared" ref="C282:AF282" si="268">IF($D$61&lt;=C246,IF($E$61&gt;=C246,ABS(C281),0),0)</f>
        <v>624740.6667834135</v>
      </c>
      <c r="D282" s="21">
        <f t="shared" si="268"/>
        <v>330806.01394069247</v>
      </c>
      <c r="E282" s="21">
        <f t="shared" si="268"/>
        <v>117491.42419598222</v>
      </c>
      <c r="F282" s="21">
        <f t="shared" si="268"/>
        <v>14031.808441647176</v>
      </c>
      <c r="G282" s="21">
        <f t="shared" si="268"/>
        <v>4406.4266726430524</v>
      </c>
      <c r="H282" s="21">
        <f t="shared" si="268"/>
        <v>33462.161479286522</v>
      </c>
      <c r="I282" s="21">
        <f t="shared" si="268"/>
        <v>19828.185651216791</v>
      </c>
      <c r="J282" s="21">
        <f t="shared" si="268"/>
        <v>25116.351567746082</v>
      </c>
      <c r="K282" s="21">
        <f t="shared" si="268"/>
        <v>25667.483702390535</v>
      </c>
      <c r="L282" s="21">
        <f t="shared" si="268"/>
        <v>24051.327360306372</v>
      </c>
      <c r="M282" s="21">
        <f t="shared" si="268"/>
        <v>21264.122260053387</v>
      </c>
      <c r="N282" s="21">
        <f t="shared" si="268"/>
        <v>18236.045152245686</v>
      </c>
      <c r="O282" s="21">
        <f t="shared" si="268"/>
        <v>19418.05809854986</v>
      </c>
      <c r="P282" s="21">
        <f t="shared" si="268"/>
        <v>17676.47659305494</v>
      </c>
      <c r="Q282" s="21">
        <f t="shared" si="268"/>
        <v>17238.919024637304</v>
      </c>
      <c r="R282" s="21">
        <f t="shared" si="268"/>
        <v>12800.0180132323</v>
      </c>
      <c r="S282" s="21">
        <f t="shared" si="268"/>
        <v>44.242670040009749</v>
      </c>
      <c r="T282" s="21">
        <f t="shared" si="268"/>
        <v>43999.513105171485</v>
      </c>
      <c r="U282" s="21">
        <f t="shared" si="268"/>
        <v>77539.106947506167</v>
      </c>
      <c r="V282" s="21">
        <f t="shared" si="268"/>
        <v>36018.665587023388</v>
      </c>
      <c r="W282" s="21">
        <f t="shared" si="268"/>
        <v>5465.844679424391</v>
      </c>
      <c r="X282" s="21">
        <f t="shared" si="268"/>
        <v>150.46906135261358</v>
      </c>
      <c r="Y282" s="21">
        <f t="shared" si="268"/>
        <v>948.15062480898632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9072.8864932545566</v>
      </c>
      <c r="C287" s="27">
        <f t="shared" ref="C287:AF287" si="269">($C$17+SUM(C288:C318))*$B$51</f>
        <v>9072.4303840553293</v>
      </c>
      <c r="D287" s="27">
        <f t="shared" si="269"/>
        <v>9067.8880768801246</v>
      </c>
      <c r="E287" s="27">
        <f t="shared" si="269"/>
        <v>9024.2909695218896</v>
      </c>
      <c r="F287" s="27">
        <f t="shared" si="269"/>
        <v>8728.02326782417</v>
      </c>
      <c r="G287" s="27">
        <f t="shared" si="269"/>
        <v>8384.5672200199951</v>
      </c>
      <c r="H287" s="27">
        <f t="shared" si="269"/>
        <v>8143.6512504328284</v>
      </c>
      <c r="I287" s="27">
        <f t="shared" si="269"/>
        <v>7811.7603680932589</v>
      </c>
      <c r="J287" s="27">
        <f t="shared" si="269"/>
        <v>7442.6410127281033</v>
      </c>
      <c r="K287" s="27">
        <f t="shared" si="269"/>
        <v>7080.2222260069693</v>
      </c>
      <c r="L287" s="27">
        <f t="shared" si="269"/>
        <v>6776.8518845751041</v>
      </c>
      <c r="M287" s="27">
        <f t="shared" si="269"/>
        <v>6499.3591162709999</v>
      </c>
      <c r="N287" s="27">
        <f t="shared" si="269"/>
        <v>6208.5433762899374</v>
      </c>
      <c r="O287" s="27">
        <f t="shared" si="269"/>
        <v>5923.4663829592382</v>
      </c>
      <c r="P287" s="27">
        <f t="shared" si="269"/>
        <v>5636.3574097523997</v>
      </c>
      <c r="Q287" s="27">
        <f t="shared" si="269"/>
        <v>5308.2147133416065</v>
      </c>
      <c r="R287" s="27">
        <f t="shared" si="269"/>
        <v>4926.4407601449775</v>
      </c>
      <c r="S287" s="27">
        <f t="shared" si="269"/>
        <v>4503.8804839674758</v>
      </c>
      <c r="T287" s="27">
        <f t="shared" si="269"/>
        <v>3904.7850510056051</v>
      </c>
      <c r="U287" s="27">
        <f t="shared" si="269"/>
        <v>3202.0141847732966</v>
      </c>
      <c r="V287" s="27">
        <f t="shared" si="269"/>
        <v>2507.7287641265102</v>
      </c>
      <c r="W287" s="27">
        <f t="shared" si="269"/>
        <v>1849.6079992138057</v>
      </c>
      <c r="X287" s="27">
        <f t="shared" si="269"/>
        <v>1331.9263475432274</v>
      </c>
      <c r="Y287" s="27">
        <f t="shared" si="269"/>
        <v>952.42888241232117</v>
      </c>
      <c r="Z287" s="27">
        <f t="shared" si="269"/>
        <v>755.77057877205561</v>
      </c>
      <c r="AA287" s="27">
        <f t="shared" si="269"/>
        <v>611.44192216909096</v>
      </c>
      <c r="AB287" s="27">
        <f t="shared" si="269"/>
        <v>570.07596416636954</v>
      </c>
      <c r="AC287" s="27">
        <f t="shared" si="269"/>
        <v>533.37043637910881</v>
      </c>
      <c r="AD287" s="27">
        <f t="shared" si="269"/>
        <v>515.08518215921242</v>
      </c>
      <c r="AE287" s="27">
        <f t="shared" si="269"/>
        <v>505.55819593722288</v>
      </c>
      <c r="AF287" s="27">
        <f t="shared" si="269"/>
        <v>479.55076712526346</v>
      </c>
      <c r="AG287" s="27"/>
      <c r="AH287" s="27"/>
    </row>
    <row r="288" spans="1:34" x14ac:dyDescent="0.25">
      <c r="B288" s="3">
        <f t="shared" ref="B288:AF288" si="270">$C18*EXP(-B$285/$A18/EXP(-$F$126))</f>
        <v>3.7283629334541266E-147</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5.3108902522449861E-2</v>
      </c>
      <c r="C289" s="3">
        <f t="shared" si="271"/>
        <v>5.3067863471871118E-2</v>
      </c>
      <c r="D289" s="3">
        <f t="shared" si="271"/>
        <v>5.265921310363663E-2</v>
      </c>
      <c r="E289" s="3">
        <f t="shared" si="271"/>
        <v>4.8741847244367795E-2</v>
      </c>
      <c r="F289" s="3">
        <f t="shared" si="271"/>
        <v>2.2499775062791591E-2</v>
      </c>
      <c r="G289" s="3">
        <f t="shared" si="271"/>
        <v>9.8841675141116185E-6</v>
      </c>
      <c r="H289" s="3">
        <f t="shared" si="271"/>
        <v>2.6458139654249928E-39</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1.5903125247460115E-2</v>
      </c>
      <c r="C290" s="3">
        <f t="shared" si="272"/>
        <v>1.5902016297992101E-2</v>
      </c>
      <c r="D290" s="3">
        <f t="shared" si="272"/>
        <v>1.5890931055504036E-2</v>
      </c>
      <c r="E290" s="3">
        <f t="shared" si="272"/>
        <v>1.5780502754743422E-2</v>
      </c>
      <c r="F290" s="3">
        <f t="shared" si="272"/>
        <v>1.4717557965079387E-2</v>
      </c>
      <c r="G290" s="3">
        <f t="shared" si="272"/>
        <v>7.3279913948710428E-3</v>
      </c>
      <c r="H290" s="3">
        <f t="shared" si="272"/>
        <v>6.8624138890419625E-6</v>
      </c>
      <c r="I290" s="3">
        <f t="shared" si="272"/>
        <v>3.5595613284572703E-36</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2.9724115625143172E-2</v>
      </c>
      <c r="C291" s="3">
        <f t="shared" si="273"/>
        <v>2.9723928643665746E-2</v>
      </c>
      <c r="D291" s="3">
        <f t="shared" si="273"/>
        <v>2.9722058893582308E-2</v>
      </c>
      <c r="E291" s="3">
        <f t="shared" si="273"/>
        <v>2.9703367860325555E-2</v>
      </c>
      <c r="F291" s="3">
        <f t="shared" si="273"/>
        <v>2.9517102782708395E-2</v>
      </c>
      <c r="G291" s="3">
        <f t="shared" si="273"/>
        <v>2.7717500596388611E-2</v>
      </c>
      <c r="H291" s="3">
        <f t="shared" si="273"/>
        <v>1.4776019151310738E-2</v>
      </c>
      <c r="I291" s="3">
        <f t="shared" si="273"/>
        <v>2.7389950231205243E-5</v>
      </c>
      <c r="J291" s="3">
        <f t="shared" si="273"/>
        <v>1.3119860613690608E-32</v>
      </c>
      <c r="K291" s="3">
        <f t="shared" si="273"/>
        <v>8.3427456031739654E-306</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3.4474578899228822E-2</v>
      </c>
      <c r="C292" s="3">
        <f t="shared" si="274"/>
        <v>3.4474559336184055E-2</v>
      </c>
      <c r="D292" s="3">
        <f t="shared" si="274"/>
        <v>3.4474363706346961E-2</v>
      </c>
      <c r="E292" s="3">
        <f t="shared" si="274"/>
        <v>3.4472407469031761E-2</v>
      </c>
      <c r="F292" s="3">
        <f t="shared" si="274"/>
        <v>3.4452851200175695E-2</v>
      </c>
      <c r="G292" s="3">
        <f t="shared" si="274"/>
        <v>3.425789766148328E-2</v>
      </c>
      <c r="H292" s="3">
        <f t="shared" si="274"/>
        <v>3.2368017463727326E-2</v>
      </c>
      <c r="I292" s="3">
        <f t="shared" si="274"/>
        <v>1.8351434608612601E-2</v>
      </c>
      <c r="J292" s="3">
        <f t="shared" si="274"/>
        <v>6.2980953080056442E-5</v>
      </c>
      <c r="K292" s="3">
        <f t="shared" si="274"/>
        <v>1.4275828027968983E-29</v>
      </c>
      <c r="L292" s="3">
        <f t="shared" si="274"/>
        <v>5.1111908715249764E-276</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3.8163539380618804E-2</v>
      </c>
      <c r="C293" s="3">
        <f t="shared" si="275"/>
        <v>3.8163537427031484E-2</v>
      </c>
      <c r="D293" s="3">
        <f t="shared" si="275"/>
        <v>3.816351789116381E-2</v>
      </c>
      <c r="E293" s="3">
        <f t="shared" si="275"/>
        <v>3.8163322533037107E-2</v>
      </c>
      <c r="F293" s="3">
        <f t="shared" si="275"/>
        <v>3.816136900677105E-2</v>
      </c>
      <c r="G293" s="3">
        <f t="shared" si="275"/>
        <v>3.8141839243168885E-2</v>
      </c>
      <c r="H293" s="3">
        <f t="shared" si="275"/>
        <v>3.7947090472874138E-2</v>
      </c>
      <c r="I293" s="3">
        <f t="shared" si="275"/>
        <v>3.6053463857593192E-2</v>
      </c>
      <c r="J293" s="3">
        <f t="shared" si="275"/>
        <v>2.160887366224128E-2</v>
      </c>
      <c r="K293" s="3">
        <f t="shared" si="275"/>
        <v>1.2926575066059411E-4</v>
      </c>
      <c r="L293" s="3">
        <f t="shared" si="275"/>
        <v>7.5857214995611714E-27</v>
      </c>
      <c r="M293" s="3">
        <f t="shared" si="275"/>
        <v>3.6739319639971197E-249</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3.1147960272610235E-2</v>
      </c>
      <c r="C294" s="3">
        <f t="shared" si="276"/>
        <v>3.1147960128776624E-2</v>
      </c>
      <c r="D294" s="3">
        <f t="shared" si="276"/>
        <v>3.1147958690440514E-2</v>
      </c>
      <c r="E294" s="3">
        <f t="shared" si="276"/>
        <v>3.1147944307083061E-2</v>
      </c>
      <c r="F294" s="3">
        <f t="shared" si="276"/>
        <v>3.1147800473873857E-2</v>
      </c>
      <c r="G294" s="3">
        <f t="shared" si="276"/>
        <v>3.114636217831146E-2</v>
      </c>
      <c r="H294" s="3">
        <f t="shared" si="276"/>
        <v>3.1131982875029399E-2</v>
      </c>
      <c r="I294" s="3">
        <f t="shared" si="276"/>
        <v>3.0988554453140853E-2</v>
      </c>
      <c r="J294" s="3">
        <f t="shared" si="276"/>
        <v>2.9590115984429816E-2</v>
      </c>
      <c r="K294" s="3">
        <f t="shared" si="276"/>
        <v>1.8646621859198378E-2</v>
      </c>
      <c r="L294" s="3">
        <f t="shared" si="276"/>
        <v>1.8413448275403368E-4</v>
      </c>
      <c r="M294" s="3">
        <f t="shared" si="276"/>
        <v>1.6236213403180723E-24</v>
      </c>
      <c r="N294" s="3">
        <f t="shared" si="276"/>
        <v>4.6129739066438684E-225</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2.5944984108979479E-2</v>
      </c>
      <c r="C295" s="3">
        <f t="shared" si="277"/>
        <v>2.5944984098171843E-2</v>
      </c>
      <c r="D295" s="3">
        <f t="shared" si="277"/>
        <v>2.5944983990095462E-2</v>
      </c>
      <c r="E295" s="3">
        <f t="shared" si="277"/>
        <v>2.5944982909331706E-2</v>
      </c>
      <c r="F295" s="3">
        <f t="shared" si="277"/>
        <v>2.5944972101696603E-2</v>
      </c>
      <c r="G295" s="3">
        <f t="shared" si="277"/>
        <v>2.5944864025593192E-2</v>
      </c>
      <c r="H295" s="3">
        <f t="shared" si="277"/>
        <v>2.5943783289319816E-2</v>
      </c>
      <c r="I295" s="3">
        <f t="shared" si="277"/>
        <v>2.5932978402277269E-2</v>
      </c>
      <c r="J295" s="3">
        <f t="shared" si="277"/>
        <v>2.5825176719827335E-2</v>
      </c>
      <c r="K295" s="3">
        <f t="shared" si="277"/>
        <v>2.4771501916950159E-2</v>
      </c>
      <c r="L295" s="3">
        <f t="shared" si="277"/>
        <v>1.6332125510846989E-2</v>
      </c>
      <c r="M295" s="3">
        <f t="shared" si="277"/>
        <v>2.5348158046805986E-4</v>
      </c>
      <c r="N295" s="3">
        <f t="shared" si="277"/>
        <v>2.0558119282659798E-22</v>
      </c>
      <c r="O295" s="3">
        <f t="shared" si="277"/>
        <v>2.5313554616021521E-203</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2.8280666339824796E-2</v>
      </c>
      <c r="C296" s="3">
        <f t="shared" si="278"/>
        <v>2.8280666338762091E-2</v>
      </c>
      <c r="D296" s="3">
        <f t="shared" si="278"/>
        <v>2.8280666328135019E-2</v>
      </c>
      <c r="E296" s="3">
        <f t="shared" si="278"/>
        <v>2.8280666221864301E-2</v>
      </c>
      <c r="F296" s="3">
        <f t="shared" si="278"/>
        <v>2.8280665159157177E-2</v>
      </c>
      <c r="G296" s="3">
        <f t="shared" si="278"/>
        <v>2.8280654532088091E-2</v>
      </c>
      <c r="H296" s="3">
        <f t="shared" si="278"/>
        <v>2.828054826161688E-2</v>
      </c>
      <c r="I296" s="3">
        <f t="shared" si="278"/>
        <v>2.8279485578867881E-2</v>
      </c>
      <c r="J296" s="3">
        <f t="shared" si="278"/>
        <v>2.8268860947382096E-2</v>
      </c>
      <c r="K296" s="3">
        <f t="shared" si="278"/>
        <v>2.8162833927929721E-2</v>
      </c>
      <c r="L296" s="3">
        <f t="shared" si="278"/>
        <v>2.7124191415877345E-2</v>
      </c>
      <c r="M296" s="3">
        <f t="shared" si="278"/>
        <v>1.8627787020993988E-2</v>
      </c>
      <c r="N296" s="3">
        <f t="shared" si="278"/>
        <v>4.3471627197532998E-4</v>
      </c>
      <c r="O296" s="3">
        <f t="shared" si="278"/>
        <v>2.0828223306828657E-20</v>
      </c>
      <c r="P296" s="3">
        <f t="shared" si="278"/>
        <v>1.3277475569211244E-183</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2.770730110316906E-2</v>
      </c>
      <c r="C297" s="3">
        <f t="shared" si="279"/>
        <v>2.7707301103075135E-2</v>
      </c>
      <c r="D297" s="3">
        <f t="shared" si="279"/>
        <v>2.7707301102135921E-2</v>
      </c>
      <c r="E297" s="3">
        <f t="shared" si="279"/>
        <v>2.7707301092743778E-2</v>
      </c>
      <c r="F297" s="3">
        <f t="shared" si="279"/>
        <v>2.7707300998822328E-2</v>
      </c>
      <c r="G297" s="3">
        <f t="shared" si="279"/>
        <v>2.7707300059607864E-2</v>
      </c>
      <c r="H297" s="3">
        <f t="shared" si="279"/>
        <v>2.7707290667464982E-2</v>
      </c>
      <c r="I297" s="3">
        <f t="shared" si="279"/>
        <v>2.7707196746211249E-2</v>
      </c>
      <c r="J297" s="3">
        <f t="shared" si="279"/>
        <v>2.7706257551184159E-2</v>
      </c>
      <c r="K297" s="3">
        <f t="shared" si="279"/>
        <v>2.7696867351717176E-2</v>
      </c>
      <c r="L297" s="3">
        <f t="shared" si="279"/>
        <v>2.7603140218048133E-2</v>
      </c>
      <c r="M297" s="3">
        <f t="shared" si="279"/>
        <v>2.6683137642346009E-2</v>
      </c>
      <c r="N297" s="3">
        <f t="shared" si="279"/>
        <v>1.9011699701891566E-2</v>
      </c>
      <c r="O297" s="3">
        <f t="shared" si="279"/>
        <v>6.4100503231886215E-4</v>
      </c>
      <c r="P297" s="3">
        <f t="shared" si="279"/>
        <v>1.216932168188176E-18</v>
      </c>
      <c r="Q297" s="3">
        <f t="shared" si="279"/>
        <v>7.4014309908101016E-166</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2.650988812137689E-2</v>
      </c>
      <c r="C298" s="3">
        <f t="shared" si="280"/>
        <v>2.6509888121368785E-2</v>
      </c>
      <c r="D298" s="3">
        <f t="shared" si="280"/>
        <v>2.6509888121287722E-2</v>
      </c>
      <c r="E298" s="3">
        <f t="shared" si="280"/>
        <v>2.6509888120477089E-2</v>
      </c>
      <c r="F298" s="3">
        <f t="shared" si="280"/>
        <v>2.6509888112370743E-2</v>
      </c>
      <c r="G298" s="3">
        <f t="shared" si="280"/>
        <v>2.6509888031307299E-2</v>
      </c>
      <c r="H298" s="3">
        <f t="shared" si="280"/>
        <v>2.6509887220672892E-2</v>
      </c>
      <c r="I298" s="3">
        <f t="shared" si="280"/>
        <v>2.6509879114330163E-2</v>
      </c>
      <c r="J298" s="3">
        <f t="shared" si="280"/>
        <v>2.6509798051039236E-2</v>
      </c>
      <c r="K298" s="3">
        <f t="shared" si="280"/>
        <v>2.6508987431763217E-2</v>
      </c>
      <c r="L298" s="3">
        <f t="shared" si="280"/>
        <v>2.6500882602173842E-2</v>
      </c>
      <c r="M298" s="3">
        <f t="shared" si="280"/>
        <v>2.6419970469259216E-2</v>
      </c>
      <c r="N298" s="3">
        <f t="shared" si="280"/>
        <v>2.5624312634227885E-2</v>
      </c>
      <c r="O298" s="3">
        <f t="shared" si="280"/>
        <v>1.8873445426603561E-2</v>
      </c>
      <c r="P298" s="3">
        <f t="shared" si="280"/>
        <v>8.8683095267974175E-4</v>
      </c>
      <c r="Q298" s="3">
        <f t="shared" si="280"/>
        <v>4.6530462882801248E-17</v>
      </c>
      <c r="R298" s="3">
        <f t="shared" si="280"/>
        <v>7.357032504754828E-150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3.0096089334719113E-2</v>
      </c>
      <c r="C299" s="3">
        <f t="shared" si="281"/>
        <v>3.0096089334718284E-2</v>
      </c>
      <c r="D299" s="3">
        <f t="shared" si="281"/>
        <v>3.0096089334709981E-2</v>
      </c>
      <c r="E299" s="3">
        <f t="shared" si="281"/>
        <v>3.0096089334626965E-2</v>
      </c>
      <c r="F299" s="3">
        <f t="shared" si="281"/>
        <v>3.0096089333796781E-2</v>
      </c>
      <c r="G299" s="3">
        <f t="shared" si="281"/>
        <v>3.009608932549495E-2</v>
      </c>
      <c r="H299" s="3">
        <f t="shared" si="281"/>
        <v>3.0096089242476656E-2</v>
      </c>
      <c r="I299" s="3">
        <f t="shared" si="281"/>
        <v>3.009608841229373E-2</v>
      </c>
      <c r="J299" s="3">
        <f t="shared" si="281"/>
        <v>3.0096080110465703E-2</v>
      </c>
      <c r="K299" s="3">
        <f t="shared" si="281"/>
        <v>3.0095997092311415E-2</v>
      </c>
      <c r="L299" s="3">
        <f t="shared" si="281"/>
        <v>3.0095166923363444E-2</v>
      </c>
      <c r="M299" s="3">
        <f t="shared" si="281"/>
        <v>3.0086866493246905E-2</v>
      </c>
      <c r="N299" s="3">
        <f t="shared" si="281"/>
        <v>3.0003987999958671E-2</v>
      </c>
      <c r="O299" s="3">
        <f t="shared" si="281"/>
        <v>2.9187656394254965E-2</v>
      </c>
      <c r="P299" s="3">
        <f t="shared" si="281"/>
        <v>2.2151423678395902E-2</v>
      </c>
      <c r="Q299" s="3">
        <f t="shared" si="281"/>
        <v>1.4041898546013555E-3</v>
      </c>
      <c r="R299" s="3">
        <f t="shared" si="281"/>
        <v>1.4711864048084204E-15</v>
      </c>
      <c r="S299" s="3">
        <f t="shared" si="281"/>
        <v>2.3446953571696597E-135</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3.6902665150925017E-2</v>
      </c>
      <c r="C300" s="3">
        <f t="shared" si="282"/>
        <v>3.690266515092492E-2</v>
      </c>
      <c r="D300" s="3">
        <f t="shared" si="282"/>
        <v>3.6902665150924004E-2</v>
      </c>
      <c r="E300" s="3">
        <f t="shared" si="282"/>
        <v>3.6902665150914823E-2</v>
      </c>
      <c r="F300" s="3">
        <f t="shared" si="282"/>
        <v>3.6902665150822994E-2</v>
      </c>
      <c r="G300" s="3">
        <f t="shared" si="282"/>
        <v>3.6902665149904729E-2</v>
      </c>
      <c r="H300" s="3">
        <f t="shared" si="282"/>
        <v>3.6902665140722081E-2</v>
      </c>
      <c r="I300" s="3">
        <f t="shared" si="282"/>
        <v>3.6902665048895569E-2</v>
      </c>
      <c r="J300" s="3">
        <f t="shared" si="282"/>
        <v>3.6902664130630522E-2</v>
      </c>
      <c r="K300" s="3">
        <f t="shared" si="282"/>
        <v>3.690265494798127E-2</v>
      </c>
      <c r="L300" s="3">
        <f t="shared" si="282"/>
        <v>3.6902563121614454E-2</v>
      </c>
      <c r="M300" s="3">
        <f t="shared" si="282"/>
        <v>3.6901644870513457E-2</v>
      </c>
      <c r="N300" s="3">
        <f t="shared" si="282"/>
        <v>3.6892463616102274E-2</v>
      </c>
      <c r="O300" s="3">
        <f t="shared" si="282"/>
        <v>3.6800776616257781E-2</v>
      </c>
      <c r="P300" s="3">
        <f t="shared" si="282"/>
        <v>3.5896346222874853E-2</v>
      </c>
      <c r="Q300" s="3">
        <f t="shared" si="282"/>
        <v>2.7988708617309652E-2</v>
      </c>
      <c r="R300" s="3">
        <f t="shared" si="282"/>
        <v>2.3243900929075228E-3</v>
      </c>
      <c r="S300" s="3">
        <f t="shared" si="282"/>
        <v>3.6271921629183935E-14</v>
      </c>
      <c r="T300" s="3">
        <f t="shared" si="282"/>
        <v>3.1058898654591195E-122</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3.6161796888491096E-2</v>
      </c>
      <c r="C301" s="3">
        <f t="shared" si="283"/>
        <v>3.6161796888491089E-2</v>
      </c>
      <c r="D301" s="3">
        <f t="shared" si="283"/>
        <v>3.6161796888491006E-2</v>
      </c>
      <c r="E301" s="3">
        <f t="shared" si="283"/>
        <v>3.6161796888490194E-2</v>
      </c>
      <c r="F301" s="3">
        <f t="shared" si="283"/>
        <v>3.6161796888482076E-2</v>
      </c>
      <c r="G301" s="3">
        <f t="shared" si="283"/>
        <v>3.6161796888400904E-2</v>
      </c>
      <c r="H301" s="3">
        <f t="shared" si="283"/>
        <v>3.6161796887589186E-2</v>
      </c>
      <c r="I301" s="3">
        <f t="shared" si="283"/>
        <v>3.616179687947197E-2</v>
      </c>
      <c r="J301" s="3">
        <f t="shared" si="283"/>
        <v>3.6161796798299846E-2</v>
      </c>
      <c r="K301" s="3">
        <f t="shared" si="283"/>
        <v>3.6161795986578593E-2</v>
      </c>
      <c r="L301" s="3">
        <f t="shared" si="283"/>
        <v>3.6161787869367072E-2</v>
      </c>
      <c r="M301" s="3">
        <f t="shared" si="283"/>
        <v>3.6161706697352046E-2</v>
      </c>
      <c r="N301" s="3">
        <f t="shared" si="283"/>
        <v>3.6160894987223115E-2</v>
      </c>
      <c r="O301" s="3">
        <f t="shared" si="283"/>
        <v>3.6152778887977015E-2</v>
      </c>
      <c r="P301" s="3">
        <f t="shared" si="283"/>
        <v>3.6071718016665026E-2</v>
      </c>
      <c r="Q301" s="3">
        <f t="shared" si="283"/>
        <v>3.5271038761117007E-2</v>
      </c>
      <c r="R301" s="3">
        <f t="shared" si="283"/>
        <v>2.8179447834003515E-2</v>
      </c>
      <c r="S301" s="3">
        <f t="shared" si="283"/>
        <v>2.9858966209132488E-3</v>
      </c>
      <c r="T301" s="3">
        <f t="shared" si="283"/>
        <v>5.3271834200208722E-13</v>
      </c>
      <c r="U301" s="3">
        <f t="shared" si="283"/>
        <v>1.74071022073326E-110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5.7659888823700683E-2</v>
      </c>
      <c r="C302" s="3">
        <f t="shared" si="284"/>
        <v>5.7659888823700683E-2</v>
      </c>
      <c r="D302" s="3">
        <f t="shared" si="284"/>
        <v>5.765988882370067E-2</v>
      </c>
      <c r="E302" s="3">
        <f t="shared" si="284"/>
        <v>5.7659888823700559E-2</v>
      </c>
      <c r="F302" s="3">
        <f t="shared" si="284"/>
        <v>5.7659888823699386E-2</v>
      </c>
      <c r="G302" s="3">
        <f t="shared" si="284"/>
        <v>5.7659888823687708E-2</v>
      </c>
      <c r="H302" s="3">
        <f t="shared" si="284"/>
        <v>5.7659888823570954E-2</v>
      </c>
      <c r="I302" s="3">
        <f t="shared" si="284"/>
        <v>5.7659888822403402E-2</v>
      </c>
      <c r="J302" s="3">
        <f t="shared" si="284"/>
        <v>5.7659888810727852E-2</v>
      </c>
      <c r="K302" s="3">
        <f t="shared" si="284"/>
        <v>5.7659888693972365E-2</v>
      </c>
      <c r="L302" s="3">
        <f t="shared" si="284"/>
        <v>5.7659887526417472E-2</v>
      </c>
      <c r="M302" s="3">
        <f t="shared" si="284"/>
        <v>5.7659875850869888E-2</v>
      </c>
      <c r="N302" s="3">
        <f t="shared" si="284"/>
        <v>5.7659759095524087E-2</v>
      </c>
      <c r="O302" s="3">
        <f t="shared" si="284"/>
        <v>5.7658591555068965E-2</v>
      </c>
      <c r="P302" s="3">
        <f t="shared" si="284"/>
        <v>5.764691745070933E-2</v>
      </c>
      <c r="Q302" s="3">
        <f t="shared" si="284"/>
        <v>5.7530306328914919E-2</v>
      </c>
      <c r="R302" s="3">
        <f t="shared" si="284"/>
        <v>5.6377090477049016E-2</v>
      </c>
      <c r="S302" s="3">
        <f t="shared" si="284"/>
        <v>4.6042869632452771E-2</v>
      </c>
      <c r="T302" s="3">
        <f t="shared" si="284"/>
        <v>6.077985042746952E-3</v>
      </c>
      <c r="U302" s="3">
        <f t="shared" si="284"/>
        <v>9.7663450459794925E-12</v>
      </c>
      <c r="V302" s="3">
        <f t="shared" si="284"/>
        <v>1.1206150036224639E-99</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7.0138718801303929E-2</v>
      </c>
      <c r="C303" s="3">
        <f t="shared" si="285"/>
        <v>7.0138718801303929E-2</v>
      </c>
      <c r="D303" s="3">
        <f t="shared" si="285"/>
        <v>7.0138718801303929E-2</v>
      </c>
      <c r="E303" s="3">
        <f t="shared" si="285"/>
        <v>7.0138718801303915E-2</v>
      </c>
      <c r="F303" s="3">
        <f t="shared" si="285"/>
        <v>7.013871880130379E-2</v>
      </c>
      <c r="G303" s="3">
        <f t="shared" si="285"/>
        <v>7.0138718801302499E-2</v>
      </c>
      <c r="H303" s="3">
        <f t="shared" si="285"/>
        <v>7.013871880128969E-2</v>
      </c>
      <c r="I303" s="3">
        <f t="shared" si="285"/>
        <v>7.013871880116157E-2</v>
      </c>
      <c r="J303" s="3">
        <f t="shared" si="285"/>
        <v>7.0138718799880401E-2</v>
      </c>
      <c r="K303" s="3">
        <f t="shared" si="285"/>
        <v>7.0138718787068663E-2</v>
      </c>
      <c r="L303" s="3">
        <f t="shared" si="285"/>
        <v>7.0138718658951327E-2</v>
      </c>
      <c r="M303" s="3">
        <f t="shared" si="285"/>
        <v>7.0138717377777882E-2</v>
      </c>
      <c r="N303" s="3">
        <f t="shared" si="285"/>
        <v>7.0138704566044804E-2</v>
      </c>
      <c r="O303" s="3">
        <f t="shared" si="285"/>
        <v>7.0138576448842666E-2</v>
      </c>
      <c r="P303" s="3">
        <f t="shared" si="285"/>
        <v>7.0137295289692411E-2</v>
      </c>
      <c r="Q303" s="3">
        <f t="shared" si="285"/>
        <v>7.0124484985218297E-2</v>
      </c>
      <c r="R303" s="3">
        <f t="shared" si="285"/>
        <v>6.9996510556369324E-2</v>
      </c>
      <c r="S303" s="3">
        <f t="shared" si="285"/>
        <v>6.8729541354833487E-2</v>
      </c>
      <c r="T303" s="3">
        <f t="shared" si="285"/>
        <v>5.7255076759339392E-2</v>
      </c>
      <c r="U303" s="3">
        <f t="shared" si="285"/>
        <v>9.215513842196538E-3</v>
      </c>
      <c r="V303" s="3">
        <f t="shared" si="285"/>
        <v>1.0754125522009311E-10</v>
      </c>
      <c r="W303" s="3">
        <f t="shared" si="285"/>
        <v>5.0365199185226005E-90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6.7659228447697881E-2</v>
      </c>
      <c r="C304" s="3">
        <f t="shared" si="286"/>
        <v>6.7659228447697881E-2</v>
      </c>
      <c r="D304" s="3">
        <f t="shared" si="286"/>
        <v>6.7659228447697881E-2</v>
      </c>
      <c r="E304" s="3">
        <f t="shared" si="286"/>
        <v>6.7659228447697881E-2</v>
      </c>
      <c r="F304" s="3">
        <f t="shared" si="286"/>
        <v>6.7659228447697867E-2</v>
      </c>
      <c r="G304" s="3">
        <f t="shared" si="286"/>
        <v>6.7659228447697756E-2</v>
      </c>
      <c r="H304" s="3">
        <f t="shared" si="286"/>
        <v>6.7659228447696645E-2</v>
      </c>
      <c r="I304" s="3">
        <f t="shared" si="286"/>
        <v>6.7659228447685488E-2</v>
      </c>
      <c r="J304" s="3">
        <f t="shared" si="286"/>
        <v>6.7659228447574007E-2</v>
      </c>
      <c r="K304" s="3">
        <f t="shared" si="286"/>
        <v>6.7659228446459135E-2</v>
      </c>
      <c r="L304" s="3">
        <f t="shared" si="286"/>
        <v>6.7659228435310456E-2</v>
      </c>
      <c r="M304" s="3">
        <f t="shared" si="286"/>
        <v>6.7659228323823581E-2</v>
      </c>
      <c r="N304" s="3">
        <f t="shared" si="286"/>
        <v>6.7659227208954856E-2</v>
      </c>
      <c r="O304" s="3">
        <f t="shared" si="286"/>
        <v>6.7659216060268687E-2</v>
      </c>
      <c r="P304" s="3">
        <f t="shared" si="286"/>
        <v>6.7659104573508072E-2</v>
      </c>
      <c r="Q304" s="3">
        <f t="shared" si="286"/>
        <v>6.7657989716005479E-2</v>
      </c>
      <c r="R304" s="3">
        <f t="shared" si="286"/>
        <v>6.7646842151287495E-2</v>
      </c>
      <c r="S304" s="3">
        <f t="shared" si="286"/>
        <v>6.7535467473316707E-2</v>
      </c>
      <c r="T304" s="3">
        <f t="shared" si="286"/>
        <v>6.643175632650089E-2</v>
      </c>
      <c r="U304" s="3">
        <f t="shared" si="286"/>
        <v>5.6339628109881544E-2</v>
      </c>
      <c r="V304" s="3">
        <f t="shared" si="286"/>
        <v>1.0844171826955828E-2</v>
      </c>
      <c r="W304" s="3">
        <f t="shared" si="286"/>
        <v>7.5686868164162927E-10</v>
      </c>
      <c r="X304" s="3">
        <f t="shared" si="286"/>
        <v>2.0761655524962303E-81</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6.6765944370475505E-2</v>
      </c>
      <c r="C305" s="3">
        <f t="shared" si="287"/>
        <v>6.6765944370475505E-2</v>
      </c>
      <c r="D305" s="3">
        <f t="shared" si="287"/>
        <v>6.6765944370475505E-2</v>
      </c>
      <c r="E305" s="3">
        <f t="shared" si="287"/>
        <v>6.6765944370475505E-2</v>
      </c>
      <c r="F305" s="3">
        <f t="shared" si="287"/>
        <v>6.6765944370475505E-2</v>
      </c>
      <c r="G305" s="3">
        <f t="shared" si="287"/>
        <v>6.6765944370475491E-2</v>
      </c>
      <c r="H305" s="3">
        <f t="shared" si="287"/>
        <v>6.6765944370475394E-2</v>
      </c>
      <c r="I305" s="3">
        <f t="shared" si="287"/>
        <v>6.6765944370474395E-2</v>
      </c>
      <c r="J305" s="3">
        <f t="shared" si="287"/>
        <v>6.6765944370464472E-2</v>
      </c>
      <c r="K305" s="3">
        <f t="shared" si="287"/>
        <v>6.6765944370365232E-2</v>
      </c>
      <c r="L305" s="3">
        <f t="shared" si="287"/>
        <v>6.6765944369372818E-2</v>
      </c>
      <c r="M305" s="3">
        <f t="shared" si="287"/>
        <v>6.6765944359448548E-2</v>
      </c>
      <c r="N305" s="3">
        <f t="shared" si="287"/>
        <v>6.6765944260205906E-2</v>
      </c>
      <c r="O305" s="3">
        <f t="shared" si="287"/>
        <v>6.6765943267779584E-2</v>
      </c>
      <c r="P305" s="3">
        <f t="shared" si="287"/>
        <v>6.6765933343517131E-2</v>
      </c>
      <c r="Q305" s="3">
        <f t="shared" si="287"/>
        <v>6.6765834100973767E-2</v>
      </c>
      <c r="R305" s="3">
        <f t="shared" si="287"/>
        <v>6.6764841683653514E-2</v>
      </c>
      <c r="S305" s="3">
        <f t="shared" si="287"/>
        <v>6.6754918321743892E-2</v>
      </c>
      <c r="T305" s="3">
        <f t="shared" si="287"/>
        <v>6.6655765787343543E-2</v>
      </c>
      <c r="U305" s="3">
        <f t="shared" si="287"/>
        <v>6.5672304494912237E-2</v>
      </c>
      <c r="V305" s="3">
        <f t="shared" si="287"/>
        <v>5.6601455181750811E-2</v>
      </c>
      <c r="W305" s="3">
        <f t="shared" si="287"/>
        <v>1.2802093682171403E-2</v>
      </c>
      <c r="X305" s="3">
        <f t="shared" si="287"/>
        <v>4.4855431914167318E-9</v>
      </c>
      <c r="Y305" s="3">
        <f t="shared" si="287"/>
        <v>1.2507066596293381E-73</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4.8603939630861931E-2</v>
      </c>
      <c r="C306" s="3">
        <f t="shared" si="288"/>
        <v>4.8603939630861931E-2</v>
      </c>
      <c r="D306" s="3">
        <f t="shared" si="288"/>
        <v>4.8603939630861931E-2</v>
      </c>
      <c r="E306" s="3">
        <f t="shared" si="288"/>
        <v>4.8603939630861931E-2</v>
      </c>
      <c r="F306" s="3">
        <f t="shared" si="288"/>
        <v>4.8603939630861931E-2</v>
      </c>
      <c r="G306" s="3">
        <f t="shared" si="288"/>
        <v>4.8603939630861931E-2</v>
      </c>
      <c r="H306" s="3">
        <f t="shared" si="288"/>
        <v>4.8603939630861924E-2</v>
      </c>
      <c r="I306" s="3">
        <f t="shared" si="288"/>
        <v>4.8603939630861862E-2</v>
      </c>
      <c r="J306" s="3">
        <f t="shared" si="288"/>
        <v>4.8603939630861209E-2</v>
      </c>
      <c r="K306" s="3">
        <f t="shared" si="288"/>
        <v>4.8603939630854687E-2</v>
      </c>
      <c r="L306" s="3">
        <f t="shared" si="288"/>
        <v>4.8603939630789517E-2</v>
      </c>
      <c r="M306" s="3">
        <f t="shared" si="288"/>
        <v>4.8603939630137802E-2</v>
      </c>
      <c r="N306" s="3">
        <f t="shared" si="288"/>
        <v>4.8603939623620598E-2</v>
      </c>
      <c r="O306" s="3">
        <f t="shared" si="288"/>
        <v>4.8603939558448543E-2</v>
      </c>
      <c r="P306" s="3">
        <f t="shared" si="288"/>
        <v>4.8603938906728102E-2</v>
      </c>
      <c r="Q306" s="3">
        <f t="shared" si="288"/>
        <v>4.8603932389524152E-2</v>
      </c>
      <c r="R306" s="3">
        <f t="shared" si="288"/>
        <v>4.8603867217532709E-2</v>
      </c>
      <c r="S306" s="3">
        <f t="shared" si="288"/>
        <v>4.8603215502424607E-2</v>
      </c>
      <c r="T306" s="3">
        <f t="shared" si="288"/>
        <v>4.8596698831950412E-2</v>
      </c>
      <c r="U306" s="3">
        <f t="shared" si="288"/>
        <v>4.8531580164059555E-2</v>
      </c>
      <c r="V306" s="3">
        <f t="shared" si="288"/>
        <v>4.7885173423192082E-2</v>
      </c>
      <c r="W306" s="3">
        <f t="shared" si="288"/>
        <v>4.1876212142401073E-2</v>
      </c>
      <c r="X306" s="3">
        <f t="shared" si="288"/>
        <v>1.0955461009213761E-2</v>
      </c>
      <c r="Y306" s="3">
        <f t="shared" si="288"/>
        <v>1.6453690368286283E-8</v>
      </c>
      <c r="Z306" s="3">
        <f t="shared" si="288"/>
        <v>9.6070477293980138E-67</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3.7549192378247005E-2</v>
      </c>
      <c r="C307" s="3">
        <f t="shared" si="289"/>
        <v>3.7549192378247005E-2</v>
      </c>
      <c r="D307" s="3">
        <f t="shared" si="289"/>
        <v>3.7549192378247005E-2</v>
      </c>
      <c r="E307" s="3">
        <f t="shared" si="289"/>
        <v>3.7549192378247005E-2</v>
      </c>
      <c r="F307" s="3">
        <f t="shared" si="289"/>
        <v>3.7549192378247005E-2</v>
      </c>
      <c r="G307" s="3">
        <f t="shared" si="289"/>
        <v>3.7549192378247005E-2</v>
      </c>
      <c r="H307" s="3">
        <f t="shared" si="289"/>
        <v>3.7549192378247005E-2</v>
      </c>
      <c r="I307" s="3">
        <f t="shared" si="289"/>
        <v>3.7549192378246998E-2</v>
      </c>
      <c r="J307" s="3">
        <f t="shared" si="289"/>
        <v>3.7549192378246957E-2</v>
      </c>
      <c r="K307" s="3">
        <f t="shared" si="289"/>
        <v>3.7549192378246499E-2</v>
      </c>
      <c r="L307" s="3">
        <f t="shared" si="289"/>
        <v>3.7549192378241954E-2</v>
      </c>
      <c r="M307" s="3">
        <f t="shared" si="289"/>
        <v>3.7549192378196539E-2</v>
      </c>
      <c r="N307" s="3">
        <f t="shared" si="289"/>
        <v>3.7549192377742353E-2</v>
      </c>
      <c r="O307" s="3">
        <f t="shared" si="289"/>
        <v>3.7549192373200452E-2</v>
      </c>
      <c r="P307" s="3">
        <f t="shared" si="289"/>
        <v>3.7549192327781505E-2</v>
      </c>
      <c r="Q307" s="3">
        <f t="shared" si="289"/>
        <v>3.7549191873592035E-2</v>
      </c>
      <c r="R307" s="3">
        <f t="shared" si="289"/>
        <v>3.7549187331697619E-2</v>
      </c>
      <c r="S307" s="3">
        <f t="shared" si="289"/>
        <v>3.7549141912783662E-2</v>
      </c>
      <c r="T307" s="3">
        <f t="shared" si="289"/>
        <v>3.7548687726665676E-2</v>
      </c>
      <c r="U307" s="3">
        <f t="shared" si="289"/>
        <v>3.7544146167630313E-2</v>
      </c>
      <c r="V307" s="3">
        <f t="shared" si="289"/>
        <v>3.7498760778203966E-2</v>
      </c>
      <c r="W307" s="3">
        <f t="shared" si="289"/>
        <v>3.7047913503971734E-2</v>
      </c>
      <c r="X307" s="3">
        <f t="shared" si="289"/>
        <v>3.282707112154587E-2</v>
      </c>
      <c r="Y307" s="3">
        <f t="shared" si="289"/>
        <v>9.7930045551538579E-3</v>
      </c>
      <c r="Z307" s="3">
        <f t="shared" si="289"/>
        <v>5.4670640364272572E-8</v>
      </c>
      <c r="AA307" s="3">
        <f t="shared" si="289"/>
        <v>1.6074453045395273E-60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7.8409043454057813E-3</v>
      </c>
      <c r="C308" s="3">
        <f t="shared" si="290"/>
        <v>7.8409043454057813E-3</v>
      </c>
      <c r="D308" s="3">
        <f t="shared" si="290"/>
        <v>7.8409043454057813E-3</v>
      </c>
      <c r="E308" s="3">
        <f t="shared" si="290"/>
        <v>7.8409043454057813E-3</v>
      </c>
      <c r="F308" s="3">
        <f t="shared" si="290"/>
        <v>7.8409043454057813E-3</v>
      </c>
      <c r="G308" s="3">
        <f t="shared" si="290"/>
        <v>7.8409043454057813E-3</v>
      </c>
      <c r="H308" s="3">
        <f t="shared" si="290"/>
        <v>7.8409043454057813E-3</v>
      </c>
      <c r="I308" s="3">
        <f t="shared" si="290"/>
        <v>7.8409043454057813E-3</v>
      </c>
      <c r="J308" s="3">
        <f t="shared" si="290"/>
        <v>7.8409043454057796E-3</v>
      </c>
      <c r="K308" s="3">
        <f t="shared" si="290"/>
        <v>7.8409043454057709E-3</v>
      </c>
      <c r="L308" s="3">
        <f t="shared" si="290"/>
        <v>7.8409043454056859E-3</v>
      </c>
      <c r="M308" s="3">
        <f t="shared" si="290"/>
        <v>7.8409043454048307E-3</v>
      </c>
      <c r="N308" s="3">
        <f t="shared" si="290"/>
        <v>7.8409043453962751E-3</v>
      </c>
      <c r="O308" s="3">
        <f t="shared" si="290"/>
        <v>7.8409043453107185E-3</v>
      </c>
      <c r="P308" s="3">
        <f t="shared" si="290"/>
        <v>7.8409043444551615E-3</v>
      </c>
      <c r="Q308" s="3">
        <f t="shared" si="290"/>
        <v>7.8409043358995869E-3</v>
      </c>
      <c r="R308" s="3">
        <f t="shared" si="290"/>
        <v>7.8409042503438352E-3</v>
      </c>
      <c r="S308" s="3">
        <f t="shared" si="290"/>
        <v>7.8409033947863735E-3</v>
      </c>
      <c r="T308" s="3">
        <f t="shared" si="290"/>
        <v>7.8408948392168863E-3</v>
      </c>
      <c r="U308" s="3">
        <f t="shared" si="290"/>
        <v>7.8408092840354607E-3</v>
      </c>
      <c r="V308" s="3">
        <f t="shared" si="290"/>
        <v>7.8399537835635268E-3</v>
      </c>
      <c r="W308" s="3">
        <f t="shared" si="290"/>
        <v>7.8314039110038303E-3</v>
      </c>
      <c r="X308" s="3">
        <f t="shared" si="290"/>
        <v>7.7464163354284635E-3</v>
      </c>
      <c r="Y308" s="3">
        <f t="shared" si="290"/>
        <v>6.9456508025996537E-3</v>
      </c>
      <c r="Z308" s="3">
        <f t="shared" si="290"/>
        <v>2.3325665802821022E-3</v>
      </c>
      <c r="AA308" s="3">
        <f t="shared" si="290"/>
        <v>4.256426009713705E-8</v>
      </c>
      <c r="AB308" s="3">
        <f t="shared" si="290"/>
        <v>1.7424305702604751E-55</v>
      </c>
      <c r="AC308" s="3">
        <f t="shared" si="290"/>
        <v>0</v>
      </c>
      <c r="AD308" s="3">
        <f t="shared" si="290"/>
        <v>0</v>
      </c>
      <c r="AE308" s="3">
        <f t="shared" si="290"/>
        <v>0</v>
      </c>
      <c r="AF308" s="3">
        <f t="shared" si="290"/>
        <v>0</v>
      </c>
      <c r="AG308" s="3"/>
      <c r="AH308" s="3"/>
    </row>
    <row r="309" spans="1:34" x14ac:dyDescent="0.25">
      <c r="B309" s="3">
        <f t="shared" ref="B309:AF309" si="291">$C39*EXP(-B$285/$A39/EXP(-$F$126))</f>
        <v>1.487119099211914E-2</v>
      </c>
      <c r="C309" s="3">
        <f t="shared" si="291"/>
        <v>1.487119099211914E-2</v>
      </c>
      <c r="D309" s="3">
        <f t="shared" si="291"/>
        <v>1.487119099211914E-2</v>
      </c>
      <c r="E309" s="3">
        <f t="shared" si="291"/>
        <v>1.487119099211914E-2</v>
      </c>
      <c r="F309" s="3">
        <f t="shared" si="291"/>
        <v>1.487119099211914E-2</v>
      </c>
      <c r="G309" s="3">
        <f t="shared" si="291"/>
        <v>1.487119099211914E-2</v>
      </c>
      <c r="H309" s="3">
        <f t="shared" si="291"/>
        <v>1.487119099211914E-2</v>
      </c>
      <c r="I309" s="3">
        <f t="shared" si="291"/>
        <v>1.487119099211914E-2</v>
      </c>
      <c r="J309" s="3">
        <f t="shared" si="291"/>
        <v>1.487119099211914E-2</v>
      </c>
      <c r="K309" s="3">
        <f t="shared" si="291"/>
        <v>1.4871190992119135E-2</v>
      </c>
      <c r="L309" s="3">
        <f t="shared" si="291"/>
        <v>1.4871190992119089E-2</v>
      </c>
      <c r="M309" s="3">
        <f t="shared" si="291"/>
        <v>1.4871190992118642E-2</v>
      </c>
      <c r="N309" s="3">
        <f t="shared" si="291"/>
        <v>1.4871190992114154E-2</v>
      </c>
      <c r="O309" s="3">
        <f t="shared" si="291"/>
        <v>1.4871190992069273E-2</v>
      </c>
      <c r="P309" s="3">
        <f t="shared" si="291"/>
        <v>1.4871190991620487E-2</v>
      </c>
      <c r="Q309" s="3">
        <f t="shared" si="291"/>
        <v>1.4871190987132601E-2</v>
      </c>
      <c r="R309" s="3">
        <f t="shared" si="291"/>
        <v>1.4871190942253757E-2</v>
      </c>
      <c r="S309" s="3">
        <f t="shared" si="291"/>
        <v>1.4871190493465317E-2</v>
      </c>
      <c r="T309" s="3">
        <f t="shared" si="291"/>
        <v>1.487118600558166E-2</v>
      </c>
      <c r="U309" s="3">
        <f t="shared" si="291"/>
        <v>1.4871141126819584E-2</v>
      </c>
      <c r="V309" s="3">
        <f t="shared" si="291"/>
        <v>1.4870692346647781E-2</v>
      </c>
      <c r="W309" s="3">
        <f t="shared" si="291"/>
        <v>1.4866205289741285E-2</v>
      </c>
      <c r="X309" s="3">
        <f t="shared" si="291"/>
        <v>1.4821409118731877E-2</v>
      </c>
      <c r="Y309" s="3">
        <f t="shared" si="291"/>
        <v>1.438080480764649E-2</v>
      </c>
      <c r="Z309" s="3">
        <f t="shared" si="291"/>
        <v>1.063457537610968E-2</v>
      </c>
      <c r="AA309" s="3">
        <f t="shared" si="291"/>
        <v>5.2010349953943733E-4</v>
      </c>
      <c r="AB309" s="3">
        <f t="shared" si="291"/>
        <v>4.0717958690388786E-17</v>
      </c>
      <c r="AC309" s="3">
        <f t="shared" si="291"/>
        <v>3.5216663870404732E-148</v>
      </c>
      <c r="AD309" s="3">
        <f t="shared" si="291"/>
        <v>0</v>
      </c>
      <c r="AE309" s="3">
        <f t="shared" si="291"/>
        <v>0</v>
      </c>
      <c r="AF309" s="3">
        <f t="shared" si="291"/>
        <v>0</v>
      </c>
      <c r="AG309" s="3"/>
      <c r="AH309" s="3"/>
    </row>
    <row r="310" spans="1:34" x14ac:dyDescent="0.25">
      <c r="B310" s="3">
        <f t="shared" ref="B310:AF310" si="292">$C40*EXP(-B$285/$A40/EXP(-$F$126))</f>
        <v>3.2949113910046581E-3</v>
      </c>
      <c r="C310" s="3">
        <f t="shared" si="292"/>
        <v>3.2949113910046581E-3</v>
      </c>
      <c r="D310" s="3">
        <f t="shared" si="292"/>
        <v>3.2949113910046581E-3</v>
      </c>
      <c r="E310" s="3">
        <f t="shared" si="292"/>
        <v>3.2949113910046581E-3</v>
      </c>
      <c r="F310" s="3">
        <f t="shared" si="292"/>
        <v>3.2949113910046581E-3</v>
      </c>
      <c r="G310" s="3">
        <f t="shared" si="292"/>
        <v>3.2949113910046581E-3</v>
      </c>
      <c r="H310" s="3">
        <f t="shared" si="292"/>
        <v>3.2949113910046581E-3</v>
      </c>
      <c r="I310" s="3">
        <f t="shared" si="292"/>
        <v>3.2949113910046581E-3</v>
      </c>
      <c r="J310" s="3">
        <f t="shared" si="292"/>
        <v>3.2949113910046581E-3</v>
      </c>
      <c r="K310" s="3">
        <f t="shared" si="292"/>
        <v>3.2949113910046581E-3</v>
      </c>
      <c r="L310" s="3">
        <f t="shared" si="292"/>
        <v>3.2949113910046568E-3</v>
      </c>
      <c r="M310" s="3">
        <f t="shared" si="292"/>
        <v>3.2949113910046473E-3</v>
      </c>
      <c r="N310" s="3">
        <f t="shared" si="292"/>
        <v>3.2949113910045475E-3</v>
      </c>
      <c r="O310" s="3">
        <f t="shared" si="292"/>
        <v>3.2949113910035535E-3</v>
      </c>
      <c r="P310" s="3">
        <f t="shared" si="292"/>
        <v>3.2949113909936096E-3</v>
      </c>
      <c r="Q310" s="3">
        <f t="shared" si="292"/>
        <v>3.2949113908941749E-3</v>
      </c>
      <c r="R310" s="3">
        <f t="shared" si="292"/>
        <v>3.294911389899824E-3</v>
      </c>
      <c r="S310" s="3">
        <f t="shared" si="292"/>
        <v>3.2949113799563149E-3</v>
      </c>
      <c r="T310" s="3">
        <f t="shared" si="292"/>
        <v>3.2949112805212297E-3</v>
      </c>
      <c r="U310" s="3">
        <f t="shared" si="292"/>
        <v>3.2949102861705424E-3</v>
      </c>
      <c r="V310" s="3">
        <f t="shared" si="292"/>
        <v>3.2949003426801758E-3</v>
      </c>
      <c r="W310" s="3">
        <f t="shared" si="292"/>
        <v>3.2948009094269201E-3</v>
      </c>
      <c r="X310" s="3">
        <f t="shared" si="292"/>
        <v>3.2938067419173282E-3</v>
      </c>
      <c r="Y310" s="3">
        <f t="shared" si="292"/>
        <v>3.2838815507063141E-3</v>
      </c>
      <c r="Z310" s="3">
        <f t="shared" si="292"/>
        <v>3.1862597688133679E-3</v>
      </c>
      <c r="AA310" s="3">
        <f t="shared" si="292"/>
        <v>2.356232501069388E-3</v>
      </c>
      <c r="AB310" s="3">
        <f t="shared" si="292"/>
        <v>1.1523589106225828E-4</v>
      </c>
      <c r="AC310" s="3">
        <f t="shared" si="292"/>
        <v>9.0216086914973494E-18</v>
      </c>
      <c r="AD310" s="3">
        <f t="shared" si="292"/>
        <v>7.8027231982475993E-149</v>
      </c>
      <c r="AE310" s="3">
        <f t="shared" si="292"/>
        <v>0</v>
      </c>
      <c r="AF310" s="3">
        <f t="shared" si="292"/>
        <v>0</v>
      </c>
      <c r="AG310" s="3"/>
      <c r="AH310" s="3"/>
    </row>
    <row r="311" spans="1:34" x14ac:dyDescent="0.25">
      <c r="B311" s="3">
        <f t="shared" ref="B311:AF311" si="293">$C41*EXP(-B$285/$A41/EXP(-$F$126))</f>
        <v>4.0317394660720415E-3</v>
      </c>
      <c r="C311" s="3">
        <f t="shared" si="293"/>
        <v>4.0317394660720415E-3</v>
      </c>
      <c r="D311" s="3">
        <f t="shared" si="293"/>
        <v>4.0317394660720415E-3</v>
      </c>
      <c r="E311" s="3">
        <f t="shared" si="293"/>
        <v>4.0317394660720415E-3</v>
      </c>
      <c r="F311" s="3">
        <f t="shared" si="293"/>
        <v>4.0317394660720415E-3</v>
      </c>
      <c r="G311" s="3">
        <f t="shared" si="293"/>
        <v>4.0317394660720415E-3</v>
      </c>
      <c r="H311" s="3">
        <f t="shared" si="293"/>
        <v>4.0317394660720415E-3</v>
      </c>
      <c r="I311" s="3">
        <f t="shared" si="293"/>
        <v>4.0317394660720415E-3</v>
      </c>
      <c r="J311" s="3">
        <f t="shared" si="293"/>
        <v>4.0317394660720415E-3</v>
      </c>
      <c r="K311" s="3">
        <f t="shared" si="293"/>
        <v>4.0317394660720415E-3</v>
      </c>
      <c r="L311" s="3">
        <f t="shared" si="293"/>
        <v>4.0317394660720415E-3</v>
      </c>
      <c r="M311" s="3">
        <f t="shared" si="293"/>
        <v>4.0317394660720398E-3</v>
      </c>
      <c r="N311" s="3">
        <f t="shared" si="293"/>
        <v>4.0317394660720285E-3</v>
      </c>
      <c r="O311" s="3">
        <f t="shared" si="293"/>
        <v>4.0317394660719062E-3</v>
      </c>
      <c r="P311" s="3">
        <f t="shared" si="293"/>
        <v>4.0317394660706893E-3</v>
      </c>
      <c r="Q311" s="3">
        <f t="shared" si="293"/>
        <v>4.031739466058522E-3</v>
      </c>
      <c r="R311" s="3">
        <f t="shared" si="293"/>
        <v>4.0317394659368511E-3</v>
      </c>
      <c r="S311" s="3">
        <f t="shared" si="293"/>
        <v>4.0317394647201377E-3</v>
      </c>
      <c r="T311" s="3">
        <f t="shared" si="293"/>
        <v>4.0317394525530006E-3</v>
      </c>
      <c r="U311" s="3">
        <f t="shared" si="293"/>
        <v>4.0317393308816393E-3</v>
      </c>
      <c r="V311" s="3">
        <f t="shared" si="293"/>
        <v>4.0317381141682183E-3</v>
      </c>
      <c r="W311" s="3">
        <f t="shared" si="293"/>
        <v>4.0317259470542093E-3</v>
      </c>
      <c r="X311" s="3">
        <f t="shared" si="293"/>
        <v>4.0316042779336122E-3</v>
      </c>
      <c r="Y311" s="3">
        <f t="shared" si="293"/>
        <v>4.0303877886540369E-3</v>
      </c>
      <c r="Z311" s="3">
        <f t="shared" si="293"/>
        <v>4.0182430659695349E-3</v>
      </c>
      <c r="AA311" s="3">
        <f t="shared" si="293"/>
        <v>3.8987905089506772E-3</v>
      </c>
      <c r="AB311" s="3">
        <f t="shared" si="293"/>
        <v>2.8831475079232733E-3</v>
      </c>
      <c r="AC311" s="3">
        <f t="shared" si="293"/>
        <v>1.4100564014318538E-4</v>
      </c>
      <c r="AD311" s="3">
        <f t="shared" si="293"/>
        <v>1.1039075560049558E-17</v>
      </c>
      <c r="AE311" s="3">
        <f t="shared" si="293"/>
        <v>9.5476154979750807E-149</v>
      </c>
      <c r="AF311" s="3">
        <f t="shared" si="293"/>
        <v>0</v>
      </c>
      <c r="AG311" s="3"/>
      <c r="AH311" s="3"/>
    </row>
    <row r="312" spans="1:34" x14ac:dyDescent="0.25">
      <c r="B312" s="3">
        <f t="shared" ref="B312:AF312" si="294">$C42*EXP(-B$285/$A42/EXP(-$F$126))</f>
        <v>2.1502645285220883E-3</v>
      </c>
      <c r="C312" s="3">
        <f t="shared" si="294"/>
        <v>2.1502645285220883E-3</v>
      </c>
      <c r="D312" s="3">
        <f t="shared" si="294"/>
        <v>2.1502645285220883E-3</v>
      </c>
      <c r="E312" s="3">
        <f t="shared" si="294"/>
        <v>2.1502645285220883E-3</v>
      </c>
      <c r="F312" s="3">
        <f t="shared" si="294"/>
        <v>2.1502645285220883E-3</v>
      </c>
      <c r="G312" s="3">
        <f t="shared" si="294"/>
        <v>2.1502645285220883E-3</v>
      </c>
      <c r="H312" s="3">
        <f t="shared" si="294"/>
        <v>2.1502645285220883E-3</v>
      </c>
      <c r="I312" s="3">
        <f t="shared" si="294"/>
        <v>2.1502645285220883E-3</v>
      </c>
      <c r="J312" s="3">
        <f t="shared" si="294"/>
        <v>2.1502645285220883E-3</v>
      </c>
      <c r="K312" s="3">
        <f t="shared" si="294"/>
        <v>2.1502645285220883E-3</v>
      </c>
      <c r="L312" s="3">
        <f t="shared" si="294"/>
        <v>2.1502645285220883E-3</v>
      </c>
      <c r="M312" s="3">
        <f t="shared" si="294"/>
        <v>2.1502645285220883E-3</v>
      </c>
      <c r="N312" s="3">
        <f t="shared" si="294"/>
        <v>2.1502645285220875E-3</v>
      </c>
      <c r="O312" s="3">
        <f t="shared" si="294"/>
        <v>2.150264528522081E-3</v>
      </c>
      <c r="P312" s="3">
        <f t="shared" si="294"/>
        <v>2.1502645285220163E-3</v>
      </c>
      <c r="Q312" s="3">
        <f t="shared" si="294"/>
        <v>2.1502645285213676E-3</v>
      </c>
      <c r="R312" s="3">
        <f t="shared" si="294"/>
        <v>2.150264528514878E-3</v>
      </c>
      <c r="S312" s="3">
        <f t="shared" si="294"/>
        <v>2.1502645284499867E-3</v>
      </c>
      <c r="T312" s="3">
        <f t="shared" si="294"/>
        <v>2.1502645278010718E-3</v>
      </c>
      <c r="U312" s="3">
        <f t="shared" si="294"/>
        <v>2.1502645213119218E-3</v>
      </c>
      <c r="V312" s="3">
        <f t="shared" si="294"/>
        <v>2.1502644564204234E-3</v>
      </c>
      <c r="W312" s="3">
        <f t="shared" si="294"/>
        <v>2.1502638075055489E-3</v>
      </c>
      <c r="X312" s="3">
        <f t="shared" si="294"/>
        <v>2.1502573183675758E-3</v>
      </c>
      <c r="Y312" s="3">
        <f t="shared" si="294"/>
        <v>2.1501924280649064E-3</v>
      </c>
      <c r="Z312" s="3">
        <f t="shared" si="294"/>
        <v>2.1495436327324674E-3</v>
      </c>
      <c r="AA312" s="3">
        <f t="shared" si="294"/>
        <v>2.1430664368181532E-3</v>
      </c>
      <c r="AB312" s="3">
        <f t="shared" si="294"/>
        <v>2.0793583033039717E-3</v>
      </c>
      <c r="AC312" s="3">
        <f t="shared" si="294"/>
        <v>1.5376811594485838E-3</v>
      </c>
      <c r="AD312" s="3">
        <f t="shared" si="294"/>
        <v>7.5203129783789447E-5</v>
      </c>
      <c r="AE312" s="3">
        <f t="shared" si="294"/>
        <v>5.887516493613014E-18</v>
      </c>
      <c r="AF312" s="3">
        <f t="shared" si="294"/>
        <v>5.092069839836405E-149</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3.0564736295290245E-3</v>
      </c>
      <c r="C314" s="3">
        <f t="shared" si="296"/>
        <v>3.0564736295290245E-3</v>
      </c>
      <c r="D314" s="3">
        <f t="shared" si="296"/>
        <v>3.0564736295290245E-3</v>
      </c>
      <c r="E314" s="3">
        <f t="shared" si="296"/>
        <v>3.0564736295290245E-3</v>
      </c>
      <c r="F314" s="3">
        <f t="shared" si="296"/>
        <v>3.0564736295290245E-3</v>
      </c>
      <c r="G314" s="3">
        <f t="shared" si="296"/>
        <v>3.0564736295290245E-3</v>
      </c>
      <c r="H314" s="3">
        <f t="shared" si="296"/>
        <v>3.0564736295290245E-3</v>
      </c>
      <c r="I314" s="3">
        <f t="shared" si="296"/>
        <v>3.0564736295290245E-3</v>
      </c>
      <c r="J314" s="3">
        <f t="shared" si="296"/>
        <v>3.0564736295290245E-3</v>
      </c>
      <c r="K314" s="3">
        <f t="shared" si="296"/>
        <v>3.0564736295290245E-3</v>
      </c>
      <c r="L314" s="3">
        <f t="shared" si="296"/>
        <v>3.0564736295290245E-3</v>
      </c>
      <c r="M314" s="3">
        <f t="shared" si="296"/>
        <v>3.0564736295290245E-3</v>
      </c>
      <c r="N314" s="3">
        <f t="shared" si="296"/>
        <v>3.0564736295290245E-3</v>
      </c>
      <c r="O314" s="3">
        <f t="shared" si="296"/>
        <v>3.0564736295290245E-3</v>
      </c>
      <c r="P314" s="3">
        <f t="shared" si="296"/>
        <v>3.0564736295290236E-3</v>
      </c>
      <c r="Q314" s="3">
        <f t="shared" si="296"/>
        <v>3.0564736295290145E-3</v>
      </c>
      <c r="R314" s="3">
        <f t="shared" si="296"/>
        <v>3.0564736295289221E-3</v>
      </c>
      <c r="S314" s="3">
        <f t="shared" si="296"/>
        <v>3.0564736295279997E-3</v>
      </c>
      <c r="T314" s="3">
        <f t="shared" si="296"/>
        <v>3.0564736295187753E-3</v>
      </c>
      <c r="U314" s="3">
        <f t="shared" si="296"/>
        <v>3.0564736294265362E-3</v>
      </c>
      <c r="V314" s="3">
        <f t="shared" si="296"/>
        <v>3.056473628504142E-3</v>
      </c>
      <c r="W314" s="3">
        <f t="shared" si="296"/>
        <v>3.0564736192801997E-3</v>
      </c>
      <c r="X314" s="3">
        <f t="shared" si="296"/>
        <v>3.05647352704078E-3</v>
      </c>
      <c r="Y314" s="3">
        <f t="shared" si="296"/>
        <v>3.0564726046467322E-3</v>
      </c>
      <c r="Z314" s="3">
        <f t="shared" si="296"/>
        <v>3.0564633807215686E-3</v>
      </c>
      <c r="AA314" s="3">
        <f t="shared" si="296"/>
        <v>3.0563711430009115E-3</v>
      </c>
      <c r="AB314" s="3">
        <f t="shared" si="296"/>
        <v>3.0554489188753405E-3</v>
      </c>
      <c r="AC314" s="3">
        <f t="shared" si="296"/>
        <v>3.0462419686407101E-3</v>
      </c>
      <c r="AD314" s="3">
        <f t="shared" si="296"/>
        <v>2.9556846313969778E-3</v>
      </c>
      <c r="AE314" s="3">
        <f t="shared" si="296"/>
        <v>2.1857226644149295E-3</v>
      </c>
      <c r="AF314" s="3">
        <f t="shared" si="296"/>
        <v>1.0689679339136252E-4</v>
      </c>
      <c r="AG314" s="3"/>
      <c r="AH314" s="3"/>
    </row>
    <row r="315" spans="1:34" x14ac:dyDescent="0.25">
      <c r="B315" s="3">
        <f t="shared" ref="B315:AF315" si="297">$C45*EXP(-B$285/$A45/EXP(-$F$126))</f>
        <v>1.3352216676863077E-3</v>
      </c>
      <c r="C315" s="3">
        <f t="shared" si="297"/>
        <v>1.3352216676863077E-3</v>
      </c>
      <c r="D315" s="3">
        <f t="shared" si="297"/>
        <v>1.3352216676863077E-3</v>
      </c>
      <c r="E315" s="3">
        <f t="shared" si="297"/>
        <v>1.3352216676863077E-3</v>
      </c>
      <c r="F315" s="3">
        <f t="shared" si="297"/>
        <v>1.3352216676863077E-3</v>
      </c>
      <c r="G315" s="3">
        <f t="shared" si="297"/>
        <v>1.3352216676863077E-3</v>
      </c>
      <c r="H315" s="3">
        <f t="shared" si="297"/>
        <v>1.3352216676863077E-3</v>
      </c>
      <c r="I315" s="3">
        <f t="shared" si="297"/>
        <v>1.3352216676863077E-3</v>
      </c>
      <c r="J315" s="3">
        <f t="shared" si="297"/>
        <v>1.3352216676863077E-3</v>
      </c>
      <c r="K315" s="3">
        <f t="shared" si="297"/>
        <v>1.3352216676863077E-3</v>
      </c>
      <c r="L315" s="3">
        <f t="shared" si="297"/>
        <v>1.3352216676863077E-3</v>
      </c>
      <c r="M315" s="3">
        <f t="shared" si="297"/>
        <v>1.3352216676863077E-3</v>
      </c>
      <c r="N315" s="3">
        <f t="shared" si="297"/>
        <v>1.3352216676863077E-3</v>
      </c>
      <c r="O315" s="3">
        <f t="shared" si="297"/>
        <v>1.3352216676863077E-3</v>
      </c>
      <c r="P315" s="3">
        <f t="shared" si="297"/>
        <v>1.3352216676863077E-3</v>
      </c>
      <c r="Q315" s="3">
        <f t="shared" si="297"/>
        <v>1.3352216676863072E-3</v>
      </c>
      <c r="R315" s="3">
        <f t="shared" si="297"/>
        <v>1.3352216676863031E-3</v>
      </c>
      <c r="S315" s="3">
        <f t="shared" si="297"/>
        <v>1.335221667686263E-3</v>
      </c>
      <c r="T315" s="3">
        <f t="shared" si="297"/>
        <v>1.3352216676858599E-3</v>
      </c>
      <c r="U315" s="3">
        <f t="shared" si="297"/>
        <v>1.3352216676818303E-3</v>
      </c>
      <c r="V315" s="3">
        <f t="shared" si="297"/>
        <v>1.3352216676415357E-3</v>
      </c>
      <c r="W315" s="3">
        <f t="shared" si="297"/>
        <v>1.3352216672385874E-3</v>
      </c>
      <c r="X315" s="3">
        <f t="shared" si="297"/>
        <v>1.3352216632091048E-3</v>
      </c>
      <c r="Y315" s="3">
        <f t="shared" si="297"/>
        <v>1.3352216229142789E-3</v>
      </c>
      <c r="Z315" s="3">
        <f t="shared" si="297"/>
        <v>1.3352212199660885E-3</v>
      </c>
      <c r="AA315" s="3">
        <f t="shared" si="297"/>
        <v>1.3352171904908721E-3</v>
      </c>
      <c r="AB315" s="3">
        <f t="shared" si="297"/>
        <v>1.3351768964075174E-3</v>
      </c>
      <c r="AC315" s="3">
        <f t="shared" si="297"/>
        <v>1.3347740224474646E-3</v>
      </c>
      <c r="AD315" s="3">
        <f t="shared" si="297"/>
        <v>1.3307519627353112E-3</v>
      </c>
      <c r="AE315" s="3">
        <f t="shared" si="297"/>
        <v>1.2911919555140352E-3</v>
      </c>
      <c r="AF315" s="3">
        <f t="shared" si="297"/>
        <v>9.5483377735850622E-4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1.8203372311263781E-2</v>
      </c>
      <c r="B319" s="80">
        <f>IF($A$64&lt;=B285,IF($B$64&gt;=B285,ABS((B287-B286)/B286),0),0)</f>
        <v>7.6742738637995814E-2</v>
      </c>
      <c r="C319" s="80">
        <f t="shared" ref="C319:AF319" si="301">IF($A$64&lt;=C285,IF($B$64&gt;=C285,ABS((C287-C286)/C286),0),0)</f>
        <v>5.0465962149587325E-2</v>
      </c>
      <c r="D319" s="80">
        <f t="shared" si="301"/>
        <v>2.5746788997842902E-2</v>
      </c>
      <c r="E319" s="80">
        <f t="shared" si="301"/>
        <v>3.1481119478536279E-3</v>
      </c>
      <c r="F319" s="80">
        <f t="shared" si="301"/>
        <v>4.3206465112882644E-3</v>
      </c>
      <c r="G319" s="80">
        <f t="shared" si="301"/>
        <v>1.3301274004010937E-2</v>
      </c>
      <c r="H319" s="80">
        <f t="shared" si="301"/>
        <v>1.0398991598838446E-2</v>
      </c>
      <c r="I319" s="80">
        <f t="shared" si="301"/>
        <v>1.2044679828180355E-2</v>
      </c>
      <c r="J319" s="80">
        <f t="shared" si="301"/>
        <v>1.2250854906776945E-2</v>
      </c>
      <c r="K319" s="80">
        <f t="shared" si="301"/>
        <v>1.208909586137044E-2</v>
      </c>
      <c r="L319" s="80">
        <f t="shared" si="301"/>
        <v>1.3229215166945172E-2</v>
      </c>
      <c r="M319" s="80">
        <f t="shared" si="301"/>
        <v>1.2048238318774386E-2</v>
      </c>
      <c r="N319" s="80">
        <f t="shared" si="301"/>
        <v>1.4280289413922811E-2</v>
      </c>
      <c r="O319" s="80">
        <f t="shared" si="301"/>
        <v>1.3464495089856766E-2</v>
      </c>
      <c r="P319" s="80">
        <f t="shared" si="301"/>
        <v>1.6163311178282395E-2</v>
      </c>
      <c r="Q319" s="80">
        <f t="shared" si="301"/>
        <v>1.4094968188191587E-2</v>
      </c>
      <c r="R319" s="80">
        <f t="shared" si="301"/>
        <v>4.1372569548982756E-3</v>
      </c>
      <c r="S319" s="80">
        <f t="shared" si="301"/>
        <v>3.7427021998097068E-2</v>
      </c>
      <c r="T319" s="80">
        <f t="shared" si="301"/>
        <v>5.6583604022247713E-2</v>
      </c>
      <c r="U319" s="80">
        <f t="shared" si="301"/>
        <v>4.3424187646135072E-2</v>
      </c>
      <c r="V319" s="80">
        <f t="shared" si="301"/>
        <v>1.6441335241977759E-2</v>
      </c>
      <c r="W319" s="80">
        <f t="shared" si="301"/>
        <v>1.1036417625580228E-2</v>
      </c>
      <c r="X319" s="80">
        <f t="shared" si="301"/>
        <v>2.1825869631746004E-2</v>
      </c>
      <c r="Y319" s="80">
        <f t="shared" si="301"/>
        <v>2.6891105458170573E-2</v>
      </c>
      <c r="Z319" s="80">
        <f t="shared" si="301"/>
        <v>7.6272848333032222E-3</v>
      </c>
      <c r="AA319" s="80">
        <f t="shared" si="301"/>
        <v>2.5468941770047982E-2</v>
      </c>
      <c r="AB319" s="80">
        <f t="shared" si="301"/>
        <v>3.7339956212439972E-4</v>
      </c>
      <c r="AC319" s="80">
        <f t="shared" si="301"/>
        <v>3.0289787631163339E-3</v>
      </c>
      <c r="AD319" s="80">
        <f t="shared" si="301"/>
        <v>1.9047846774817832E-3</v>
      </c>
      <c r="AE319" s="80">
        <f t="shared" si="301"/>
        <v>2.7463703825091213E-3</v>
      </c>
      <c r="AF319" s="80">
        <f t="shared" si="301"/>
        <v>1.5983212820234144E-3</v>
      </c>
    </row>
    <row r="320" spans="1:34" x14ac:dyDescent="0.25">
      <c r="B320" s="21">
        <f>(B287-B286)^2</f>
        <v>568748.25597548729</v>
      </c>
      <c r="C320" s="21">
        <f t="shared" ref="C320:AF320" si="302">(C287-C286)^2</f>
        <v>232500.19909316977</v>
      </c>
      <c r="D320" s="21">
        <f t="shared" si="302"/>
        <v>57426.818708754239</v>
      </c>
      <c r="E320" s="21">
        <f t="shared" si="302"/>
        <v>812.20422304867441</v>
      </c>
      <c r="F320" s="21">
        <f t="shared" si="302"/>
        <v>1434.4660045503911</v>
      </c>
      <c r="G320" s="21">
        <f t="shared" si="302"/>
        <v>12775.521780639659</v>
      </c>
      <c r="H320" s="21">
        <f t="shared" si="302"/>
        <v>7323.1938449890504</v>
      </c>
      <c r="I320" s="21">
        <f t="shared" si="302"/>
        <v>9070.1346960431983</v>
      </c>
      <c r="J320" s="21">
        <f t="shared" si="302"/>
        <v>8521.0597637027986</v>
      </c>
      <c r="K320" s="21">
        <f t="shared" si="302"/>
        <v>7506.6447381751696</v>
      </c>
      <c r="L320" s="21">
        <f t="shared" si="302"/>
        <v>8254.5153962984896</v>
      </c>
      <c r="M320" s="21">
        <f t="shared" si="302"/>
        <v>6282.2712973780381</v>
      </c>
      <c r="N320" s="21">
        <f t="shared" si="302"/>
        <v>8089.9637598436766</v>
      </c>
      <c r="O320" s="21">
        <f t="shared" si="302"/>
        <v>6535.9174887666077</v>
      </c>
      <c r="P320" s="21">
        <f t="shared" si="302"/>
        <v>8574.5569515928437</v>
      </c>
      <c r="Q320" s="21">
        <f t="shared" si="302"/>
        <v>5759.1049994770747</v>
      </c>
      <c r="R320" s="21">
        <f t="shared" si="302"/>
        <v>418.88282045720695</v>
      </c>
      <c r="S320" s="21">
        <f t="shared" si="302"/>
        <v>26401.533189273596</v>
      </c>
      <c r="T320" s="21">
        <f t="shared" si="302"/>
        <v>43728.818319720915</v>
      </c>
      <c r="U320" s="21">
        <f t="shared" si="302"/>
        <v>17757.756991779697</v>
      </c>
      <c r="V320" s="21">
        <f t="shared" si="302"/>
        <v>1645.3968302687938</v>
      </c>
      <c r="W320" s="21">
        <f t="shared" si="302"/>
        <v>426.0445786764019</v>
      </c>
      <c r="X320" s="21">
        <f t="shared" si="302"/>
        <v>883.22466313398752</v>
      </c>
      <c r="Y320" s="21">
        <f t="shared" si="302"/>
        <v>692.72289435919038</v>
      </c>
      <c r="Z320" s="21">
        <f t="shared" si="302"/>
        <v>32.728044334023593</v>
      </c>
      <c r="AA320" s="21">
        <f t="shared" si="302"/>
        <v>255.35293588524908</v>
      </c>
      <c r="AB320" s="21">
        <f t="shared" si="302"/>
        <v>4.5345840996264514E-2</v>
      </c>
      <c r="AC320" s="21">
        <f t="shared" si="302"/>
        <v>2.6259428308492954</v>
      </c>
      <c r="AD320" s="21">
        <f t="shared" si="302"/>
        <v>0.96628656915574873</v>
      </c>
      <c r="AE320" s="21">
        <f t="shared" si="302"/>
        <v>1.917248149876206</v>
      </c>
      <c r="AF320" s="21">
        <f t="shared" si="302"/>
        <v>0.58936825445468277</v>
      </c>
      <c r="AG320" s="3"/>
      <c r="AH320" s="3"/>
    </row>
    <row r="321" spans="1:34" x14ac:dyDescent="0.25">
      <c r="A321" s="71">
        <f>SUM(B321:AF321)</f>
        <v>1041863.4341814509</v>
      </c>
      <c r="B321" s="60">
        <f>IF($A$64&lt;=B285,IF($B$64&gt;=B285,ABS(B320),0),0)</f>
        <v>568748.25597548729</v>
      </c>
      <c r="C321" s="60">
        <f t="shared" ref="C321" si="303">IF($A$64&lt;=C285,IF($B$64&gt;=C285,ABS(C320),0),0)</f>
        <v>232500.19909316977</v>
      </c>
      <c r="D321" s="60">
        <f t="shared" ref="D321" si="304">IF($A$64&lt;=D285,IF($B$64&gt;=D285,ABS(D320),0),0)</f>
        <v>57426.818708754239</v>
      </c>
      <c r="E321" s="60">
        <f t="shared" ref="E321" si="305">IF($A$64&lt;=E285,IF($B$64&gt;=E285,ABS(E320),0),0)</f>
        <v>812.20422304867441</v>
      </c>
      <c r="F321" s="60">
        <f t="shared" ref="F321" si="306">IF($A$64&lt;=F285,IF($B$64&gt;=F285,ABS(F320),0),0)</f>
        <v>1434.4660045503911</v>
      </c>
      <c r="G321" s="60">
        <f t="shared" ref="G321" si="307">IF($A$64&lt;=G285,IF($B$64&gt;=G285,ABS(G320),0),0)</f>
        <v>12775.521780639659</v>
      </c>
      <c r="H321" s="60">
        <f t="shared" ref="H321" si="308">IF($A$64&lt;=H285,IF($B$64&gt;=H285,ABS(H320),0),0)</f>
        <v>7323.1938449890504</v>
      </c>
      <c r="I321" s="60">
        <f t="shared" ref="I321" si="309">IF($A$64&lt;=I285,IF($B$64&gt;=I285,ABS(I320),0),0)</f>
        <v>9070.1346960431983</v>
      </c>
      <c r="J321" s="60">
        <f t="shared" ref="J321" si="310">IF($A$64&lt;=J285,IF($B$64&gt;=J285,ABS(J320),0),0)</f>
        <v>8521.0597637027986</v>
      </c>
      <c r="K321" s="60">
        <f t="shared" ref="K321" si="311">IF($A$64&lt;=K285,IF($B$64&gt;=K285,ABS(K320),0),0)</f>
        <v>7506.6447381751696</v>
      </c>
      <c r="L321" s="60">
        <f t="shared" ref="L321" si="312">IF($A$64&lt;=L285,IF($B$64&gt;=L285,ABS(L320),0),0)</f>
        <v>8254.5153962984896</v>
      </c>
      <c r="M321" s="60">
        <f t="shared" ref="M321" si="313">IF($A$64&lt;=M285,IF($B$64&gt;=M285,ABS(M320),0),0)</f>
        <v>6282.2712973780381</v>
      </c>
      <c r="N321" s="60">
        <f t="shared" ref="N321" si="314">IF($A$64&lt;=N285,IF($B$64&gt;=N285,ABS(N320),0),0)</f>
        <v>8089.9637598436766</v>
      </c>
      <c r="O321" s="60">
        <f t="shared" ref="O321" si="315">IF($A$64&lt;=O285,IF($B$64&gt;=O285,ABS(O320),0),0)</f>
        <v>6535.9174887666077</v>
      </c>
      <c r="P321" s="60">
        <f t="shared" ref="P321" si="316">IF($A$64&lt;=P285,IF($B$64&gt;=P285,ABS(P320),0),0)</f>
        <v>8574.5569515928437</v>
      </c>
      <c r="Q321" s="60">
        <f t="shared" ref="Q321" si="317">IF($A$64&lt;=Q285,IF($B$64&gt;=Q285,ABS(Q320),0),0)</f>
        <v>5759.1049994770747</v>
      </c>
      <c r="R321" s="60">
        <f t="shared" ref="R321" si="318">IF($A$64&lt;=R285,IF($B$64&gt;=R285,ABS(R320),0),0)</f>
        <v>418.88282045720695</v>
      </c>
      <c r="S321" s="60">
        <f t="shared" ref="S321" si="319">IF($A$64&lt;=S285,IF($B$64&gt;=S285,ABS(S320),0),0)</f>
        <v>26401.533189273596</v>
      </c>
      <c r="T321" s="60">
        <f t="shared" ref="T321" si="320">IF($A$64&lt;=T285,IF($B$64&gt;=T285,ABS(T320),0),0)</f>
        <v>43728.818319720915</v>
      </c>
      <c r="U321" s="60">
        <f t="shared" ref="U321" si="321">IF($A$64&lt;=U285,IF($B$64&gt;=U285,ABS(U320),0),0)</f>
        <v>17757.756991779697</v>
      </c>
      <c r="V321" s="60">
        <f t="shared" ref="V321" si="322">IF($A$64&lt;=V285,IF($B$64&gt;=V285,ABS(V320),0),0)</f>
        <v>1645.3968302687938</v>
      </c>
      <c r="W321" s="60">
        <f t="shared" ref="W321" si="323">IF($A$64&lt;=W285,IF($B$64&gt;=W285,ABS(W320),0),0)</f>
        <v>426.0445786764019</v>
      </c>
      <c r="X321" s="60">
        <f t="shared" ref="X321" si="324">IF($A$64&lt;=X285,IF($B$64&gt;=X285,ABS(X320),0),0)</f>
        <v>883.22466313398752</v>
      </c>
      <c r="Y321" s="60">
        <f t="shared" ref="Y321" si="325">IF($A$64&lt;=Y285,IF($B$64&gt;=Y285,ABS(Y320),0),0)</f>
        <v>692.72289435919038</v>
      </c>
      <c r="Z321" s="60">
        <f t="shared" ref="Z321" si="326">IF($A$64&lt;=Z285,IF($B$64&gt;=Z285,ABS(Z320),0),0)</f>
        <v>32.728044334023593</v>
      </c>
      <c r="AA321" s="60">
        <f t="shared" ref="AA321" si="327">IF($A$64&lt;=AA285,IF($B$64&gt;=AA285,ABS(AA320),0),0)</f>
        <v>255.35293588524908</v>
      </c>
      <c r="AB321" s="60">
        <f t="shared" ref="AB321" si="328">IF($A$64&lt;=AB285,IF($B$64&gt;=AB285,ABS(AB320),0),0)</f>
        <v>4.5345840996264514E-2</v>
      </c>
      <c r="AC321" s="60">
        <f t="shared" ref="AC321" si="329">IF($A$64&lt;=AC285,IF($B$64&gt;=AC285,ABS(AC320),0),0)</f>
        <v>2.6259428308492954</v>
      </c>
      <c r="AD321" s="60">
        <f t="shared" ref="AD321" si="330">IF($A$64&lt;=AD285,IF($B$64&gt;=AD285,ABS(AD320),0),0)</f>
        <v>0.96628656915574873</v>
      </c>
      <c r="AE321" s="60">
        <f t="shared" ref="AE321" si="331">IF($A$64&lt;=AE285,IF($B$64&gt;=AE285,ABS(AE320),0),0)</f>
        <v>1.917248149876206</v>
      </c>
      <c r="AF321" s="60">
        <f t="shared" ref="AF321" si="332">IF($A$64&lt;=AF285,IF($B$64&gt;=AF285,ABS(AF320),0),0)</f>
        <v>0.58936825445468277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9057.8175380411176</v>
      </c>
      <c r="C326" s="27">
        <f t="shared" ref="C326:AF326" si="333">($C$17+SUM(C327:C357))*$B$51</f>
        <v>8937.5538062656979</v>
      </c>
      <c r="D326" s="27">
        <f t="shared" si="333"/>
        <v>8500.5475609634595</v>
      </c>
      <c r="E326" s="27">
        <f t="shared" si="333"/>
        <v>8277.5763271628439</v>
      </c>
      <c r="F326" s="27">
        <f t="shared" si="333"/>
        <v>7976.5229610834849</v>
      </c>
      <c r="G326" s="27">
        <f t="shared" si="333"/>
        <v>7623.2909661841622</v>
      </c>
      <c r="H326" s="27">
        <f t="shared" si="333"/>
        <v>7248.8026863943624</v>
      </c>
      <c r="I326" s="27">
        <f t="shared" si="333"/>
        <v>6922.6692362533367</v>
      </c>
      <c r="J326" s="27">
        <f t="shared" si="333"/>
        <v>6641.9624991789469</v>
      </c>
      <c r="K326" s="27">
        <f t="shared" si="333"/>
        <v>6359.1331077634932</v>
      </c>
      <c r="L326" s="27">
        <f t="shared" si="333"/>
        <v>6074.2732262700256</v>
      </c>
      <c r="M326" s="27">
        <f t="shared" si="333"/>
        <v>5794.3527484001243</v>
      </c>
      <c r="N326" s="27">
        <f t="shared" si="333"/>
        <v>5493.4626107594413</v>
      </c>
      <c r="O326" s="27">
        <f t="shared" si="333"/>
        <v>5142.3546245495418</v>
      </c>
      <c r="P326" s="27">
        <f t="shared" si="333"/>
        <v>4751.070951580652</v>
      </c>
      <c r="Q326" s="27">
        <f t="shared" si="333"/>
        <v>4258.2082066130088</v>
      </c>
      <c r="R326" s="27">
        <f t="shared" si="333"/>
        <v>3604.1573057366904</v>
      </c>
      <c r="S326" s="27">
        <f t="shared" si="333"/>
        <v>2892.0017704899119</v>
      </c>
      <c r="T326" s="27">
        <f t="shared" si="333"/>
        <v>2204.5532191880657</v>
      </c>
      <c r="U326" s="27">
        <f t="shared" si="333"/>
        <v>1588.474493932255</v>
      </c>
      <c r="V326" s="27">
        <f t="shared" si="333"/>
        <v>1132.6166156309084</v>
      </c>
      <c r="W326" s="27">
        <f t="shared" si="333"/>
        <v>827.30445239161043</v>
      </c>
      <c r="X326" s="27">
        <f t="shared" si="333"/>
        <v>673.92644419775957</v>
      </c>
      <c r="Y326" s="27">
        <f t="shared" si="333"/>
        <v>590.45677417853051</v>
      </c>
      <c r="Z326" s="27">
        <f t="shared" si="333"/>
        <v>552.07226853019733</v>
      </c>
      <c r="AA326" s="27">
        <f t="shared" si="333"/>
        <v>523.47611187205575</v>
      </c>
      <c r="AB326" s="27">
        <f t="shared" si="333"/>
        <v>512.0953847517892</v>
      </c>
      <c r="AC326" s="27">
        <f t="shared" si="333"/>
        <v>493.06790625572501</v>
      </c>
      <c r="AD326" s="27">
        <f t="shared" si="333"/>
        <v>473.34234358671068</v>
      </c>
      <c r="AE326" s="27">
        <f t="shared" si="333"/>
        <v>468.11830838265917</v>
      </c>
      <c r="AF326" s="27">
        <f t="shared" si="333"/>
        <v>468.11773275852704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5.1753542198489773E-2</v>
      </c>
      <c r="C328" s="3">
        <f t="shared" si="335"/>
        <v>4.0978790104526784E-2</v>
      </c>
      <c r="D328" s="3">
        <f t="shared" si="335"/>
        <v>3.9696265440669941E-3</v>
      </c>
      <c r="E328" s="3">
        <f t="shared" si="335"/>
        <v>2.8883834193039204E-13</v>
      </c>
      <c r="F328" s="3">
        <f t="shared" si="335"/>
        <v>1.2014529448824939E-114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1.5866081770413855E-2</v>
      </c>
      <c r="C329" s="3">
        <f t="shared" si="336"/>
        <v>1.5535465944923627E-2</v>
      </c>
      <c r="D329" s="3">
        <f t="shared" si="336"/>
        <v>1.2585493046564233E-2</v>
      </c>
      <c r="E329" s="3">
        <f t="shared" si="336"/>
        <v>1.532250393534149E-3</v>
      </c>
      <c r="F329" s="3">
        <f t="shared" si="336"/>
        <v>1.0962883949057808E-12</v>
      </c>
      <c r="G329" s="3">
        <f t="shared" si="336"/>
        <v>3.8536792883607453E-104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2.9717863244426407E-2</v>
      </c>
      <c r="C330" s="3">
        <f t="shared" si="337"/>
        <v>2.9661464378900441E-2</v>
      </c>
      <c r="D330" s="3">
        <f t="shared" si="337"/>
        <v>2.9103329222909976E-2</v>
      </c>
      <c r="E330" s="3">
        <f t="shared" si="337"/>
        <v>2.4068194446828936E-2</v>
      </c>
      <c r="F330" s="3">
        <f t="shared" si="337"/>
        <v>3.6012386691828039E-3</v>
      </c>
      <c r="G330" s="3">
        <f t="shared" si="337"/>
        <v>2.0255167469757093E-11</v>
      </c>
      <c r="H330" s="3">
        <f t="shared" si="337"/>
        <v>6.4176373573411566E-94</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3.4473924679565157E-2</v>
      </c>
      <c r="C331" s="3">
        <f t="shared" si="338"/>
        <v>3.446801770190816E-2</v>
      </c>
      <c r="D331" s="3">
        <f t="shared" si="338"/>
        <v>3.4409003564347986E-2</v>
      </c>
      <c r="E331" s="3">
        <f t="shared" si="338"/>
        <v>3.3824390973739279E-2</v>
      </c>
      <c r="F331" s="3">
        <f t="shared" si="338"/>
        <v>2.8497638921068404E-2</v>
      </c>
      <c r="G331" s="3">
        <f t="shared" si="338"/>
        <v>5.1356783702396084E-3</v>
      </c>
      <c r="H331" s="3">
        <f t="shared" si="338"/>
        <v>1.8556121120820571E-10</v>
      </c>
      <c r="I331" s="3">
        <f t="shared" si="338"/>
        <v>7.0368940020868205E-85</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3.8163474048971503E-2</v>
      </c>
      <c r="C332" s="3">
        <f t="shared" si="339"/>
        <v>3.8162884115624698E-2</v>
      </c>
      <c r="D332" s="3">
        <f t="shared" si="339"/>
        <v>3.8156985283690908E-2</v>
      </c>
      <c r="E332" s="3">
        <f t="shared" si="339"/>
        <v>3.8098047089097885E-2</v>
      </c>
      <c r="F332" s="3">
        <f t="shared" si="339"/>
        <v>3.7513649066830752E-2</v>
      </c>
      <c r="G332" s="3">
        <f t="shared" si="339"/>
        <v>3.2140696388134236E-2</v>
      </c>
      <c r="H332" s="3">
        <f t="shared" si="339"/>
        <v>6.850385190012985E-3</v>
      </c>
      <c r="I332" s="3">
        <f t="shared" si="339"/>
        <v>1.32529356687391E-9</v>
      </c>
      <c r="J332" s="3">
        <f t="shared" si="339"/>
        <v>9.733814542272537E-77</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3.114795546253904E-2</v>
      </c>
      <c r="C333" s="3">
        <f t="shared" si="340"/>
        <v>3.1147912028098312E-2</v>
      </c>
      <c r="D333" s="3">
        <f t="shared" si="340"/>
        <v>3.1147477687022182E-2</v>
      </c>
      <c r="E333" s="3">
        <f t="shared" si="340"/>
        <v>3.1143134609363042E-2</v>
      </c>
      <c r="F333" s="3">
        <f t="shared" si="340"/>
        <v>3.1099737125802999E-2</v>
      </c>
      <c r="G333" s="3">
        <f t="shared" si="340"/>
        <v>3.0669074479722204E-2</v>
      </c>
      <c r="H333" s="3">
        <f t="shared" si="340"/>
        <v>2.6677196700489538E-2</v>
      </c>
      <c r="I333" s="3">
        <f t="shared" si="340"/>
        <v>6.6150845445776723E-3</v>
      </c>
      <c r="J333" s="3">
        <f t="shared" si="340"/>
        <v>5.8141667070153504E-9</v>
      </c>
      <c r="K333" s="3">
        <f t="shared" si="340"/>
        <v>1.5995885563663274E-69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2.5944983747551373E-2</v>
      </c>
      <c r="C334" s="3">
        <f t="shared" si="341"/>
        <v>2.5944980483891E-2</v>
      </c>
      <c r="D334" s="3">
        <f t="shared" si="341"/>
        <v>2.5944947847309861E-2</v>
      </c>
      <c r="E334" s="3">
        <f t="shared" si="341"/>
        <v>2.5944621483756439E-2</v>
      </c>
      <c r="F334" s="3">
        <f t="shared" si="341"/>
        <v>2.5941358074008075E-2</v>
      </c>
      <c r="G334" s="3">
        <f t="shared" si="341"/>
        <v>2.5908746544608615E-2</v>
      </c>
      <c r="H334" s="3">
        <f t="shared" si="341"/>
        <v>2.5584877590440591E-2</v>
      </c>
      <c r="I334" s="3">
        <f t="shared" si="341"/>
        <v>2.2560709481755165E-2</v>
      </c>
      <c r="J334" s="3">
        <f t="shared" si="341"/>
        <v>6.4127875048343606E-3</v>
      </c>
      <c r="K334" s="3">
        <f t="shared" si="341"/>
        <v>2.207942766509286E-8</v>
      </c>
      <c r="L334" s="3">
        <f t="shared" si="341"/>
        <v>5.1688917181931026E-63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2.8280666304285836E-2</v>
      </c>
      <c r="C335" s="3">
        <f t="shared" si="342"/>
        <v>2.8280665983372467E-2</v>
      </c>
      <c r="D335" s="3">
        <f t="shared" si="342"/>
        <v>2.8280662774238987E-2</v>
      </c>
      <c r="E335" s="3">
        <f t="shared" si="342"/>
        <v>2.8280630682924225E-2</v>
      </c>
      <c r="F335" s="3">
        <f t="shared" si="342"/>
        <v>2.8280309771779442E-2</v>
      </c>
      <c r="G335" s="3">
        <f t="shared" si="342"/>
        <v>2.8277100860607376E-2</v>
      </c>
      <c r="H335" s="3">
        <f t="shared" si="342"/>
        <v>2.8245031768057805E-2</v>
      </c>
      <c r="I335" s="3">
        <f t="shared" si="342"/>
        <v>2.7926334379959738E-2</v>
      </c>
      <c r="J335" s="3">
        <f t="shared" si="342"/>
        <v>2.4930592292976502E-2</v>
      </c>
      <c r="K335" s="3">
        <f t="shared" si="342"/>
        <v>8.0152896836874297E-3</v>
      </c>
      <c r="L335" s="3">
        <f t="shared" si="342"/>
        <v>9.4576990031273757E-8</v>
      </c>
      <c r="M335" s="3">
        <f t="shared" si="342"/>
        <v>4.9482102051630563E-57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2.7707301100028146E-2</v>
      </c>
      <c r="C336" s="3">
        <f t="shared" si="343"/>
        <v>2.7707301071666003E-2</v>
      </c>
      <c r="D336" s="3">
        <f t="shared" si="343"/>
        <v>2.7707300788044613E-2</v>
      </c>
      <c r="E336" s="3">
        <f t="shared" si="343"/>
        <v>2.7707297951830839E-2</v>
      </c>
      <c r="F336" s="3">
        <f t="shared" si="343"/>
        <v>2.7707269589709087E-2</v>
      </c>
      <c r="G336" s="3">
        <f t="shared" si="343"/>
        <v>2.7706985970088319E-2</v>
      </c>
      <c r="H336" s="3">
        <f t="shared" si="343"/>
        <v>2.7704149933552434E-2</v>
      </c>
      <c r="I336" s="3">
        <f t="shared" si="343"/>
        <v>2.7675805529325741E-2</v>
      </c>
      <c r="J336" s="3">
        <f t="shared" si="343"/>
        <v>2.7393951571598702E-2</v>
      </c>
      <c r="K336" s="3">
        <f t="shared" si="343"/>
        <v>2.4728559453999419E-2</v>
      </c>
      <c r="L336" s="3">
        <f t="shared" si="343"/>
        <v>8.8846465750851127E-3</v>
      </c>
      <c r="M336" s="3">
        <f t="shared" si="343"/>
        <v>3.1845901432955376E-7</v>
      </c>
      <c r="N336" s="3">
        <f t="shared" si="343"/>
        <v>1.1147755803201424E-51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2.6509888121105801E-2</v>
      </c>
      <c r="C337" s="3">
        <f t="shared" si="344"/>
        <v>2.6509888118657867E-2</v>
      </c>
      <c r="D337" s="3">
        <f t="shared" si="344"/>
        <v>2.6509888094178553E-2</v>
      </c>
      <c r="E337" s="3">
        <f t="shared" si="344"/>
        <v>2.6509887849385412E-2</v>
      </c>
      <c r="F337" s="3">
        <f t="shared" si="344"/>
        <v>2.650988540145411E-2</v>
      </c>
      <c r="G337" s="3">
        <f t="shared" si="344"/>
        <v>2.6509860922153523E-2</v>
      </c>
      <c r="H337" s="3">
        <f t="shared" si="344"/>
        <v>2.6509616130390889E-2</v>
      </c>
      <c r="I337" s="3">
        <f t="shared" si="344"/>
        <v>2.6507168337083348E-2</v>
      </c>
      <c r="J337" s="3">
        <f t="shared" si="344"/>
        <v>2.6482702831641489E-2</v>
      </c>
      <c r="K337" s="3">
        <f t="shared" si="344"/>
        <v>2.6239286305030866E-2</v>
      </c>
      <c r="L337" s="3">
        <f t="shared" si="344"/>
        <v>2.3924844771777219E-2</v>
      </c>
      <c r="M337" s="3">
        <f t="shared" si="344"/>
        <v>9.5021139181385491E-3</v>
      </c>
      <c r="N337" s="3">
        <f t="shared" si="344"/>
        <v>9.2796431003748795E-7</v>
      </c>
      <c r="O337" s="3">
        <f t="shared" si="344"/>
        <v>7.3222015576817482E-47</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3.0096089334691351E-2</v>
      </c>
      <c r="C338" s="3">
        <f t="shared" si="345"/>
        <v>3.0096089334440655E-2</v>
      </c>
      <c r="D338" s="3">
        <f t="shared" si="345"/>
        <v>3.0096089331933692E-2</v>
      </c>
      <c r="E338" s="3">
        <f t="shared" si="345"/>
        <v>3.0096089306864054E-2</v>
      </c>
      <c r="F338" s="3">
        <f t="shared" si="345"/>
        <v>3.0096089056167709E-2</v>
      </c>
      <c r="G338" s="3">
        <f t="shared" si="345"/>
        <v>3.0096086549204318E-2</v>
      </c>
      <c r="H338" s="3">
        <f t="shared" si="345"/>
        <v>3.0096061479581927E-2</v>
      </c>
      <c r="I338" s="3">
        <f t="shared" si="345"/>
        <v>3.0095810784506547E-2</v>
      </c>
      <c r="J338" s="3">
        <f t="shared" si="345"/>
        <v>3.0093303948603496E-2</v>
      </c>
      <c r="K338" s="3">
        <f t="shared" si="345"/>
        <v>3.0068247071107453E-2</v>
      </c>
      <c r="L338" s="3">
        <f t="shared" si="345"/>
        <v>2.9818822918800017E-2</v>
      </c>
      <c r="M338" s="3">
        <f t="shared" si="345"/>
        <v>2.7435593106534449E-2</v>
      </c>
      <c r="N338" s="3">
        <f t="shared" si="345"/>
        <v>1.1927596166295327E-2</v>
      </c>
      <c r="O338" s="3">
        <f t="shared" si="345"/>
        <v>2.8769920478263092E-6</v>
      </c>
      <c r="P338" s="3">
        <f t="shared" si="345"/>
        <v>1.9177677398875155E-42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3.6902665150921943E-2</v>
      </c>
      <c r="C339" s="3">
        <f t="shared" si="346"/>
        <v>3.6902665150894215E-2</v>
      </c>
      <c r="D339" s="3">
        <f t="shared" si="346"/>
        <v>3.6902665150616923E-2</v>
      </c>
      <c r="E339" s="3">
        <f t="shared" si="346"/>
        <v>3.6902665147843967E-2</v>
      </c>
      <c r="F339" s="3">
        <f t="shared" si="346"/>
        <v>3.6902665120114447E-2</v>
      </c>
      <c r="G339" s="3">
        <f t="shared" si="346"/>
        <v>3.6902664842819309E-2</v>
      </c>
      <c r="H339" s="3">
        <f t="shared" si="346"/>
        <v>3.6902662069867954E-2</v>
      </c>
      <c r="I339" s="3">
        <f t="shared" si="346"/>
        <v>3.6902634340365947E-2</v>
      </c>
      <c r="J339" s="3">
        <f t="shared" si="346"/>
        <v>3.6902357046491828E-2</v>
      </c>
      <c r="K339" s="3">
        <f t="shared" si="346"/>
        <v>3.6899584222348375E-2</v>
      </c>
      <c r="L339" s="3">
        <f t="shared" si="346"/>
        <v>3.6871867437503113E-2</v>
      </c>
      <c r="M339" s="3">
        <f t="shared" si="346"/>
        <v>3.6595842069130906E-2</v>
      </c>
      <c r="N339" s="3">
        <f t="shared" si="346"/>
        <v>3.3946722832018467E-2</v>
      </c>
      <c r="O339" s="3">
        <f t="shared" si="346"/>
        <v>1.6012492970396211E-2</v>
      </c>
      <c r="P339" s="3">
        <f t="shared" si="346"/>
        <v>8.7311194195305352E-6</v>
      </c>
      <c r="Q339" s="3">
        <f t="shared" si="346"/>
        <v>2.028521851860977E-38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3.6161796888490826E-2</v>
      </c>
      <c r="C340" s="3">
        <f t="shared" si="347"/>
        <v>3.6161796888488376E-2</v>
      </c>
      <c r="D340" s="3">
        <f t="shared" si="347"/>
        <v>3.6161796888463861E-2</v>
      </c>
      <c r="E340" s="3">
        <f t="shared" si="347"/>
        <v>3.6161796888218738E-2</v>
      </c>
      <c r="F340" s="3">
        <f t="shared" si="347"/>
        <v>3.6161796885767525E-2</v>
      </c>
      <c r="G340" s="3">
        <f t="shared" si="347"/>
        <v>3.6161796861255389E-2</v>
      </c>
      <c r="H340" s="3">
        <f t="shared" si="347"/>
        <v>3.616179661613405E-2</v>
      </c>
      <c r="I340" s="3">
        <f t="shared" si="347"/>
        <v>3.6161794164920706E-2</v>
      </c>
      <c r="J340" s="3">
        <f t="shared" si="347"/>
        <v>3.6161769652796369E-2</v>
      </c>
      <c r="K340" s="3">
        <f t="shared" si="347"/>
        <v>3.6161524532466946E-2</v>
      </c>
      <c r="L340" s="3">
        <f t="shared" si="347"/>
        <v>3.6159073420555091E-2</v>
      </c>
      <c r="M340" s="3">
        <f t="shared" si="347"/>
        <v>3.6134571437391093E-2</v>
      </c>
      <c r="N340" s="3">
        <f t="shared" si="347"/>
        <v>3.5890462914027615E-2</v>
      </c>
      <c r="O340" s="3">
        <f t="shared" si="347"/>
        <v>3.3538263769348445E-2</v>
      </c>
      <c r="P340" s="3">
        <f t="shared" si="347"/>
        <v>1.7027690090872318E-2</v>
      </c>
      <c r="Q340" s="3">
        <f t="shared" si="347"/>
        <v>1.9377928539518316E-5</v>
      </c>
      <c r="R340" s="3">
        <f t="shared" si="347"/>
        <v>7.0603052379715018E-35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5.7659888823700642E-2</v>
      </c>
      <c r="C341" s="3">
        <f t="shared" si="348"/>
        <v>5.7659888823700295E-2</v>
      </c>
      <c r="D341" s="3">
        <f t="shared" si="348"/>
        <v>5.7659888823696763E-2</v>
      </c>
      <c r="E341" s="3">
        <f t="shared" si="348"/>
        <v>5.7659888823661506E-2</v>
      </c>
      <c r="F341" s="3">
        <f t="shared" si="348"/>
        <v>5.7659888823308934E-2</v>
      </c>
      <c r="G341" s="3">
        <f t="shared" si="348"/>
        <v>5.7659888819783185E-2</v>
      </c>
      <c r="H341" s="3">
        <f t="shared" si="348"/>
        <v>5.7659888784525687E-2</v>
      </c>
      <c r="I341" s="3">
        <f t="shared" si="348"/>
        <v>5.7659888431950676E-2</v>
      </c>
      <c r="J341" s="3">
        <f t="shared" si="348"/>
        <v>5.7659884906200769E-2</v>
      </c>
      <c r="K341" s="3">
        <f t="shared" si="348"/>
        <v>5.7659849648713533E-2</v>
      </c>
      <c r="L341" s="3">
        <f t="shared" si="348"/>
        <v>5.7659497075026857E-2</v>
      </c>
      <c r="M341" s="3">
        <f t="shared" si="348"/>
        <v>5.7655971456731861E-2</v>
      </c>
      <c r="N341" s="3">
        <f t="shared" si="348"/>
        <v>5.7620727128268719E-2</v>
      </c>
      <c r="O341" s="3">
        <f t="shared" si="348"/>
        <v>5.7269466614680999E-2</v>
      </c>
      <c r="P341" s="3">
        <f t="shared" si="348"/>
        <v>5.3872505825176956E-2</v>
      </c>
      <c r="Q341" s="3">
        <f t="shared" si="348"/>
        <v>2.9228569573184513E-2</v>
      </c>
      <c r="R341" s="3">
        <f t="shared" si="348"/>
        <v>6.4596860605127096E-5</v>
      </c>
      <c r="S341" s="3">
        <f t="shared" si="348"/>
        <v>1.7957666952051308E-31</v>
      </c>
      <c r="T341" s="3">
        <f t="shared" si="348"/>
        <v>4.9503387828124872E-297</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7.0138718801303915E-2</v>
      </c>
      <c r="C342" s="3">
        <f t="shared" si="349"/>
        <v>7.0138718801303887E-2</v>
      </c>
      <c r="D342" s="3">
        <f t="shared" si="349"/>
        <v>7.0138718801303498E-2</v>
      </c>
      <c r="E342" s="3">
        <f t="shared" si="349"/>
        <v>7.0138718801299627E-2</v>
      </c>
      <c r="F342" s="3">
        <f t="shared" si="349"/>
        <v>7.0138718801260949E-2</v>
      </c>
      <c r="G342" s="3">
        <f t="shared" si="349"/>
        <v>7.013871880087405E-2</v>
      </c>
      <c r="H342" s="3">
        <f t="shared" si="349"/>
        <v>7.0138718797005201E-2</v>
      </c>
      <c r="I342" s="3">
        <f t="shared" si="349"/>
        <v>7.0138718758316676E-2</v>
      </c>
      <c r="J342" s="3">
        <f t="shared" si="349"/>
        <v>7.0138718371431458E-2</v>
      </c>
      <c r="K342" s="3">
        <f t="shared" si="349"/>
        <v>7.01387145025794E-2</v>
      </c>
      <c r="L342" s="3">
        <f t="shared" si="349"/>
        <v>7.0138675814070475E-2</v>
      </c>
      <c r="M342" s="3">
        <f t="shared" si="349"/>
        <v>7.0138288930154974E-2</v>
      </c>
      <c r="N342" s="3">
        <f t="shared" si="349"/>
        <v>7.0134420208370615E-2</v>
      </c>
      <c r="O342" s="3">
        <f t="shared" si="349"/>
        <v>7.009574472519095E-2</v>
      </c>
      <c r="P342" s="3">
        <f t="shared" si="349"/>
        <v>6.9710160968368851E-2</v>
      </c>
      <c r="Q342" s="3">
        <f t="shared" si="349"/>
        <v>6.5969075681841322E-2</v>
      </c>
      <c r="R342" s="3">
        <f t="shared" si="349"/>
        <v>3.7999994512537098E-2</v>
      </c>
      <c r="S342" s="3">
        <f t="shared" si="349"/>
        <v>1.5283220619083414E-4</v>
      </c>
      <c r="T342" s="3">
        <f t="shared" si="349"/>
        <v>1.6924987903742391E-28</v>
      </c>
      <c r="U342" s="3">
        <f t="shared" si="349"/>
        <v>4.6952985606022483E-268</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6.7659228447697881E-2</v>
      </c>
      <c r="C343" s="3">
        <f t="shared" si="350"/>
        <v>6.7659228447697881E-2</v>
      </c>
      <c r="D343" s="3">
        <f t="shared" si="350"/>
        <v>6.7659228447697839E-2</v>
      </c>
      <c r="E343" s="3">
        <f t="shared" si="350"/>
        <v>6.7659228447697506E-2</v>
      </c>
      <c r="F343" s="3">
        <f t="shared" si="350"/>
        <v>6.7659228447694134E-2</v>
      </c>
      <c r="G343" s="3">
        <f t="shared" si="350"/>
        <v>6.7659228447660466E-2</v>
      </c>
      <c r="H343" s="3">
        <f t="shared" si="350"/>
        <v>6.7659228447323805E-2</v>
      </c>
      <c r="I343" s="3">
        <f t="shared" si="350"/>
        <v>6.7659228443957165E-2</v>
      </c>
      <c r="J343" s="3">
        <f t="shared" si="350"/>
        <v>6.7659228410290664E-2</v>
      </c>
      <c r="K343" s="3">
        <f t="shared" si="350"/>
        <v>6.7659228073625677E-2</v>
      </c>
      <c r="L343" s="3">
        <f t="shared" si="350"/>
        <v>6.7659224706975996E-2</v>
      </c>
      <c r="M343" s="3">
        <f t="shared" si="350"/>
        <v>6.7659191040488342E-2</v>
      </c>
      <c r="N343" s="3">
        <f t="shared" si="350"/>
        <v>6.7658854376533156E-2</v>
      </c>
      <c r="O343" s="3">
        <f t="shared" si="350"/>
        <v>6.7655487829115901E-2</v>
      </c>
      <c r="P343" s="3">
        <f t="shared" si="350"/>
        <v>6.7621831566705051E-2</v>
      </c>
      <c r="Q343" s="3">
        <f t="shared" si="350"/>
        <v>6.728618842506208E-2</v>
      </c>
      <c r="R343" s="3">
        <f t="shared" si="350"/>
        <v>6.4020034709809312E-2</v>
      </c>
      <c r="S343" s="3">
        <f t="shared" si="350"/>
        <v>3.8923840448896442E-2</v>
      </c>
      <c r="T343" s="3">
        <f t="shared" si="350"/>
        <v>2.6866646920192518E-4</v>
      </c>
      <c r="U343" s="3">
        <f t="shared" si="350"/>
        <v>6.5946433008101743E-26</v>
      </c>
      <c r="V343" s="3">
        <f t="shared" si="350"/>
        <v>5.2356394283752261E-242</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6.6765944370475505E-2</v>
      </c>
      <c r="C344" s="3">
        <f t="shared" si="351"/>
        <v>6.6765944370475505E-2</v>
      </c>
      <c r="D344" s="3">
        <f t="shared" si="351"/>
        <v>6.6765944370475505E-2</v>
      </c>
      <c r="E344" s="3">
        <f t="shared" si="351"/>
        <v>6.6765944370475477E-2</v>
      </c>
      <c r="F344" s="3">
        <f t="shared" si="351"/>
        <v>6.6765944370475172E-2</v>
      </c>
      <c r="G344" s="3">
        <f t="shared" si="351"/>
        <v>6.6765944370472174E-2</v>
      </c>
      <c r="H344" s="3">
        <f t="shared" si="351"/>
        <v>6.6765944370442212E-2</v>
      </c>
      <c r="I344" s="3">
        <f t="shared" si="351"/>
        <v>6.6765944370142508E-2</v>
      </c>
      <c r="J344" s="3">
        <f t="shared" si="351"/>
        <v>6.6765944367145613E-2</v>
      </c>
      <c r="K344" s="3">
        <f t="shared" si="351"/>
        <v>6.67659443371766E-2</v>
      </c>
      <c r="L344" s="3">
        <f t="shared" si="351"/>
        <v>6.6765944037486438E-2</v>
      </c>
      <c r="M344" s="3">
        <f t="shared" si="351"/>
        <v>6.6765941040584892E-2</v>
      </c>
      <c r="N344" s="3">
        <f t="shared" si="351"/>
        <v>6.6765911071576797E-2</v>
      </c>
      <c r="O344" s="3">
        <f t="shared" si="351"/>
        <v>6.6765611382235773E-2</v>
      </c>
      <c r="P344" s="3">
        <f t="shared" si="351"/>
        <v>6.6762614562810726E-2</v>
      </c>
      <c r="Q344" s="3">
        <f t="shared" si="351"/>
        <v>6.6732653765848221E-2</v>
      </c>
      <c r="R344" s="3">
        <f t="shared" si="351"/>
        <v>6.6433784297954185E-2</v>
      </c>
      <c r="S344" s="3">
        <f t="shared" si="351"/>
        <v>6.3517727870009436E-2</v>
      </c>
      <c r="T344" s="3">
        <f t="shared" si="351"/>
        <v>4.0546612504443282E-2</v>
      </c>
      <c r="U344" s="3">
        <f t="shared" si="351"/>
        <v>4.5556547104178192E-4</v>
      </c>
      <c r="V344" s="3">
        <f t="shared" si="351"/>
        <v>1.4605385779451635E-23</v>
      </c>
      <c r="W344" s="3">
        <f t="shared" si="351"/>
        <v>1.6754650027873184E-218</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4.8603939630861931E-2</v>
      </c>
      <c r="C345" s="3">
        <f t="shared" si="352"/>
        <v>4.8603939630861931E-2</v>
      </c>
      <c r="D345" s="3">
        <f t="shared" si="352"/>
        <v>4.8603939630861931E-2</v>
      </c>
      <c r="E345" s="3">
        <f t="shared" si="352"/>
        <v>4.8603939630861931E-2</v>
      </c>
      <c r="F345" s="3">
        <f t="shared" si="352"/>
        <v>4.860393963086191E-2</v>
      </c>
      <c r="G345" s="3">
        <f t="shared" si="352"/>
        <v>4.8603939630861709E-2</v>
      </c>
      <c r="H345" s="3">
        <f t="shared" si="352"/>
        <v>4.8603939630859745E-2</v>
      </c>
      <c r="I345" s="3">
        <f t="shared" si="352"/>
        <v>4.8603939630840066E-2</v>
      </c>
      <c r="J345" s="3">
        <f t="shared" si="352"/>
        <v>4.8603939630643259E-2</v>
      </c>
      <c r="K345" s="3">
        <f t="shared" si="352"/>
        <v>4.8603939628675215E-2</v>
      </c>
      <c r="L345" s="3">
        <f t="shared" si="352"/>
        <v>4.8603939608994735E-2</v>
      </c>
      <c r="M345" s="3">
        <f t="shared" si="352"/>
        <v>4.8603939412189996E-2</v>
      </c>
      <c r="N345" s="3">
        <f t="shared" si="352"/>
        <v>4.8603937444142639E-2</v>
      </c>
      <c r="O345" s="3">
        <f t="shared" si="352"/>
        <v>4.8603917763673447E-2</v>
      </c>
      <c r="P345" s="3">
        <f t="shared" si="352"/>
        <v>4.8603720959419797E-2</v>
      </c>
      <c r="Q345" s="3">
        <f t="shared" si="352"/>
        <v>4.8601752960711647E-2</v>
      </c>
      <c r="R345" s="3">
        <f t="shared" si="352"/>
        <v>4.8582077355808398E-2</v>
      </c>
      <c r="S345" s="3">
        <f t="shared" si="352"/>
        <v>4.8385758868775483E-2</v>
      </c>
      <c r="T345" s="3">
        <f t="shared" si="352"/>
        <v>4.6465681688652817E-2</v>
      </c>
      <c r="U345" s="3">
        <f t="shared" si="352"/>
        <v>3.0994160299169259E-2</v>
      </c>
      <c r="V345" s="3">
        <f t="shared" si="352"/>
        <v>5.4044996551760589E-4</v>
      </c>
      <c r="W345" s="3">
        <f t="shared" si="352"/>
        <v>1.4044674542354581E-21</v>
      </c>
      <c r="X345" s="3">
        <f t="shared" si="352"/>
        <v>1.972756769813683E-197</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3.7549192378247005E-2</v>
      </c>
      <c r="C346" s="3">
        <f t="shared" si="353"/>
        <v>3.7549192378247005E-2</v>
      </c>
      <c r="D346" s="3">
        <f t="shared" si="353"/>
        <v>3.7549192378247005E-2</v>
      </c>
      <c r="E346" s="3">
        <f t="shared" si="353"/>
        <v>3.7549192378247005E-2</v>
      </c>
      <c r="F346" s="3">
        <f t="shared" si="353"/>
        <v>3.7549192378247005E-2</v>
      </c>
      <c r="G346" s="3">
        <f t="shared" si="353"/>
        <v>3.7549192378246991E-2</v>
      </c>
      <c r="H346" s="3">
        <f t="shared" si="353"/>
        <v>3.7549192378246853E-2</v>
      </c>
      <c r="I346" s="3">
        <f t="shared" si="353"/>
        <v>3.7549192378245479E-2</v>
      </c>
      <c r="J346" s="3">
        <f t="shared" si="353"/>
        <v>3.7549192378231767E-2</v>
      </c>
      <c r="K346" s="3">
        <f t="shared" si="353"/>
        <v>3.7549192378094613E-2</v>
      </c>
      <c r="L346" s="3">
        <f t="shared" si="353"/>
        <v>3.7549192376723065E-2</v>
      </c>
      <c r="M346" s="3">
        <f t="shared" si="353"/>
        <v>3.7549192363007571E-2</v>
      </c>
      <c r="N346" s="3">
        <f t="shared" si="353"/>
        <v>3.7549192225852693E-2</v>
      </c>
      <c r="O346" s="3">
        <f t="shared" si="353"/>
        <v>3.7549190854303888E-2</v>
      </c>
      <c r="P346" s="3">
        <f t="shared" si="353"/>
        <v>3.7549177138818647E-2</v>
      </c>
      <c r="Q346" s="3">
        <f t="shared" si="353"/>
        <v>3.7549039984241757E-2</v>
      </c>
      <c r="R346" s="3">
        <f t="shared" si="353"/>
        <v>3.7547668466026432E-2</v>
      </c>
      <c r="S346" s="3">
        <f t="shared" si="353"/>
        <v>3.7533956038859353E-2</v>
      </c>
      <c r="T346" s="3">
        <f t="shared" si="353"/>
        <v>3.7397106893835887E-2</v>
      </c>
      <c r="U346" s="3">
        <f t="shared" si="353"/>
        <v>3.6055759882758519E-2</v>
      </c>
      <c r="V346" s="3">
        <f t="shared" si="353"/>
        <v>2.5023100728034289E-2</v>
      </c>
      <c r="W346" s="3">
        <f t="shared" si="353"/>
        <v>6.4864315136637502E-4</v>
      </c>
      <c r="X346" s="3">
        <f t="shared" si="353"/>
        <v>8.8849086228485302E-20</v>
      </c>
      <c r="Y346" s="3">
        <f t="shared" si="353"/>
        <v>2.0659711481738766E-178</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7.8409043454057813E-3</v>
      </c>
      <c r="C347" s="3">
        <f t="shared" si="354"/>
        <v>7.8409043454057813E-3</v>
      </c>
      <c r="D347" s="3">
        <f t="shared" si="354"/>
        <v>7.8409043454057813E-3</v>
      </c>
      <c r="E347" s="3">
        <f t="shared" si="354"/>
        <v>7.8409043454057813E-3</v>
      </c>
      <c r="F347" s="3">
        <f t="shared" si="354"/>
        <v>7.8409043454057813E-3</v>
      </c>
      <c r="G347" s="3">
        <f t="shared" si="354"/>
        <v>7.8409043454057813E-3</v>
      </c>
      <c r="H347" s="3">
        <f t="shared" si="354"/>
        <v>7.8409043454057779E-3</v>
      </c>
      <c r="I347" s="3">
        <f t="shared" si="354"/>
        <v>7.8409043454057518E-3</v>
      </c>
      <c r="J347" s="3">
        <f t="shared" si="354"/>
        <v>7.8409043454054934E-3</v>
      </c>
      <c r="K347" s="3">
        <f t="shared" si="354"/>
        <v>7.8409043454029104E-3</v>
      </c>
      <c r="L347" s="3">
        <f t="shared" si="354"/>
        <v>7.8409043453770751E-3</v>
      </c>
      <c r="M347" s="3">
        <f t="shared" si="354"/>
        <v>7.8409043451187158E-3</v>
      </c>
      <c r="N347" s="3">
        <f t="shared" si="354"/>
        <v>7.8409043425351262E-3</v>
      </c>
      <c r="O347" s="3">
        <f t="shared" si="354"/>
        <v>7.8409043166992373E-3</v>
      </c>
      <c r="P347" s="3">
        <f t="shared" si="354"/>
        <v>7.8409040583403457E-3</v>
      </c>
      <c r="Q347" s="3">
        <f t="shared" si="354"/>
        <v>7.8409014747519053E-3</v>
      </c>
      <c r="R347" s="3">
        <f t="shared" si="354"/>
        <v>7.8408756389143127E-3</v>
      </c>
      <c r="S347" s="3">
        <f t="shared" si="354"/>
        <v>7.840617285220456E-3</v>
      </c>
      <c r="T347" s="3">
        <f t="shared" si="354"/>
        <v>7.8380342164313752E-3</v>
      </c>
      <c r="U347" s="3">
        <f t="shared" si="354"/>
        <v>7.8122502864641742E-3</v>
      </c>
      <c r="V347" s="3">
        <f t="shared" si="354"/>
        <v>7.5590302729271926E-3</v>
      </c>
      <c r="W347" s="3">
        <f t="shared" si="354"/>
        <v>5.437076513833441E-3</v>
      </c>
      <c r="X347" s="3">
        <f t="shared" si="354"/>
        <v>2.0153897493192549E-4</v>
      </c>
      <c r="Y347" s="3">
        <f t="shared" si="354"/>
        <v>9.8694977310399208E-19</v>
      </c>
      <c r="Z347" s="3">
        <f t="shared" si="354"/>
        <v>7.8280774468233174E-162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1.487119099211914E-2</v>
      </c>
      <c r="C348" s="3">
        <f t="shared" si="355"/>
        <v>1.487119099211914E-2</v>
      </c>
      <c r="D348" s="3">
        <f t="shared" si="355"/>
        <v>1.487119099211914E-2</v>
      </c>
      <c r="E348" s="3">
        <f t="shared" si="355"/>
        <v>1.487119099211914E-2</v>
      </c>
      <c r="F348" s="3">
        <f t="shared" si="355"/>
        <v>1.487119099211914E-2</v>
      </c>
      <c r="G348" s="3">
        <f t="shared" si="355"/>
        <v>1.487119099211914E-2</v>
      </c>
      <c r="H348" s="3">
        <f t="shared" si="355"/>
        <v>1.4871190992119138E-2</v>
      </c>
      <c r="I348" s="3">
        <f t="shared" si="355"/>
        <v>1.4871190992119124E-2</v>
      </c>
      <c r="J348" s="3">
        <f t="shared" si="355"/>
        <v>1.4871190992118989E-2</v>
      </c>
      <c r="K348" s="3">
        <f t="shared" si="355"/>
        <v>1.4871190992117634E-2</v>
      </c>
      <c r="L348" s="3">
        <f t="shared" si="355"/>
        <v>1.4871190992104082E-2</v>
      </c>
      <c r="M348" s="3">
        <f t="shared" si="355"/>
        <v>1.4871190991968557E-2</v>
      </c>
      <c r="N348" s="3">
        <f t="shared" si="355"/>
        <v>1.487119099061332E-2</v>
      </c>
      <c r="O348" s="3">
        <f t="shared" si="355"/>
        <v>1.4871190977060928E-2</v>
      </c>
      <c r="P348" s="3">
        <f t="shared" si="355"/>
        <v>1.4871190841537034E-2</v>
      </c>
      <c r="Q348" s="3">
        <f t="shared" si="355"/>
        <v>1.4871189486298149E-2</v>
      </c>
      <c r="R348" s="3">
        <f t="shared" si="355"/>
        <v>1.4871175933916111E-2</v>
      </c>
      <c r="S348" s="3">
        <f t="shared" si="355"/>
        <v>1.4871040410774992E-2</v>
      </c>
      <c r="T348" s="3">
        <f t="shared" si="355"/>
        <v>1.4869685247289242E-2</v>
      </c>
      <c r="U348" s="3">
        <f t="shared" si="355"/>
        <v>1.4856140402685328E-2</v>
      </c>
      <c r="V348" s="3">
        <f t="shared" si="355"/>
        <v>1.4721368697986945E-2</v>
      </c>
      <c r="W348" s="3">
        <f t="shared" si="355"/>
        <v>1.3439098457997666E-2</v>
      </c>
      <c r="X348" s="3">
        <f t="shared" si="355"/>
        <v>5.4024355535047548E-3</v>
      </c>
      <c r="Y348" s="3">
        <f t="shared" si="355"/>
        <v>5.9536621472897942E-7</v>
      </c>
      <c r="Z348" s="3">
        <f t="shared" si="355"/>
        <v>1.5730049841771948E-46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3.2949113910046581E-3</v>
      </c>
      <c r="C349" s="3">
        <f t="shared" si="356"/>
        <v>3.2949113910046581E-3</v>
      </c>
      <c r="D349" s="3">
        <f t="shared" si="356"/>
        <v>3.2949113910046581E-3</v>
      </c>
      <c r="E349" s="3">
        <f t="shared" si="356"/>
        <v>3.2949113910046581E-3</v>
      </c>
      <c r="F349" s="3">
        <f t="shared" si="356"/>
        <v>3.2949113910046581E-3</v>
      </c>
      <c r="G349" s="3">
        <f t="shared" si="356"/>
        <v>3.2949113910046581E-3</v>
      </c>
      <c r="H349" s="3">
        <f t="shared" si="356"/>
        <v>3.2949113910046581E-3</v>
      </c>
      <c r="I349" s="3">
        <f t="shared" si="356"/>
        <v>3.2949113910046577E-3</v>
      </c>
      <c r="J349" s="3">
        <f t="shared" si="356"/>
        <v>3.2949113910046546E-3</v>
      </c>
      <c r="K349" s="3">
        <f t="shared" si="356"/>
        <v>3.2949113910046247E-3</v>
      </c>
      <c r="L349" s="3">
        <f t="shared" si="356"/>
        <v>3.2949113910043246E-3</v>
      </c>
      <c r="M349" s="3">
        <f t="shared" si="356"/>
        <v>3.2949113910013218E-3</v>
      </c>
      <c r="N349" s="3">
        <f t="shared" si="356"/>
        <v>3.2949113909712946E-3</v>
      </c>
      <c r="O349" s="3">
        <f t="shared" si="356"/>
        <v>3.2949113906710235E-3</v>
      </c>
      <c r="P349" s="3">
        <f t="shared" si="356"/>
        <v>3.29491138766831E-3</v>
      </c>
      <c r="Q349" s="3">
        <f t="shared" si="356"/>
        <v>3.2949113576411773E-3</v>
      </c>
      <c r="R349" s="3">
        <f t="shared" si="356"/>
        <v>3.2949110573698647E-3</v>
      </c>
      <c r="S349" s="3">
        <f t="shared" si="356"/>
        <v>3.2949080546582476E-3</v>
      </c>
      <c r="T349" s="3">
        <f t="shared" si="356"/>
        <v>3.2948780276925759E-3</v>
      </c>
      <c r="U349" s="3">
        <f t="shared" si="356"/>
        <v>3.2945777730856488E-3</v>
      </c>
      <c r="V349" s="3">
        <f t="shared" si="356"/>
        <v>3.2915767314879401E-3</v>
      </c>
      <c r="W349" s="3">
        <f t="shared" si="356"/>
        <v>3.2617162566119773E-3</v>
      </c>
      <c r="X349" s="3">
        <f t="shared" si="356"/>
        <v>2.9776121238410422E-3</v>
      </c>
      <c r="Y349" s="3">
        <f t="shared" si="356"/>
        <v>1.1969818996907927E-3</v>
      </c>
      <c r="Z349" s="3">
        <f t="shared" si="356"/>
        <v>1.3191135288151532E-7</v>
      </c>
      <c r="AA349" s="3">
        <f t="shared" si="356"/>
        <v>3.4852030635738461E-47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4.0317394660720415E-3</v>
      </c>
      <c r="C350" s="3">
        <f t="shared" si="357"/>
        <v>4.0317394660720415E-3</v>
      </c>
      <c r="D350" s="3">
        <f t="shared" si="357"/>
        <v>4.0317394660720415E-3</v>
      </c>
      <c r="E350" s="3">
        <f t="shared" si="357"/>
        <v>4.0317394660720415E-3</v>
      </c>
      <c r="F350" s="3">
        <f t="shared" si="357"/>
        <v>4.0317394660720415E-3</v>
      </c>
      <c r="G350" s="3">
        <f t="shared" si="357"/>
        <v>4.0317394660720415E-3</v>
      </c>
      <c r="H350" s="3">
        <f t="shared" si="357"/>
        <v>4.0317394660720415E-3</v>
      </c>
      <c r="I350" s="3">
        <f t="shared" si="357"/>
        <v>4.0317394660720415E-3</v>
      </c>
      <c r="J350" s="3">
        <f t="shared" si="357"/>
        <v>4.0317394660720407E-3</v>
      </c>
      <c r="K350" s="3">
        <f t="shared" si="357"/>
        <v>4.0317394660720372E-3</v>
      </c>
      <c r="L350" s="3">
        <f t="shared" si="357"/>
        <v>4.0317394660720008E-3</v>
      </c>
      <c r="M350" s="3">
        <f t="shared" si="357"/>
        <v>4.031739466071633E-3</v>
      </c>
      <c r="N350" s="3">
        <f t="shared" si="357"/>
        <v>4.0317394660679597E-3</v>
      </c>
      <c r="O350" s="3">
        <f t="shared" si="357"/>
        <v>4.0317394660312174E-3</v>
      </c>
      <c r="P350" s="3">
        <f t="shared" si="357"/>
        <v>4.0317394656637978E-3</v>
      </c>
      <c r="Q350" s="3">
        <f t="shared" si="357"/>
        <v>4.0317394619895988E-3</v>
      </c>
      <c r="R350" s="3">
        <f t="shared" si="357"/>
        <v>4.031739425247617E-3</v>
      </c>
      <c r="S350" s="3">
        <f t="shared" si="357"/>
        <v>4.0317390578278114E-3</v>
      </c>
      <c r="T350" s="3">
        <f t="shared" si="357"/>
        <v>4.0317353836316055E-3</v>
      </c>
      <c r="U350" s="3">
        <f t="shared" si="357"/>
        <v>4.0316986418537006E-3</v>
      </c>
      <c r="V350" s="3">
        <f t="shared" si="357"/>
        <v>4.0313312424899656E-3</v>
      </c>
      <c r="W350" s="3">
        <f t="shared" si="357"/>
        <v>4.0276590897632379E-3</v>
      </c>
      <c r="X350" s="3">
        <f t="shared" si="357"/>
        <v>3.9911210343357845E-3</v>
      </c>
      <c r="Y350" s="3">
        <f t="shared" si="357"/>
        <v>3.6434838117707512E-3</v>
      </c>
      <c r="Z350" s="3">
        <f t="shared" si="357"/>
        <v>1.4646582540375308E-3</v>
      </c>
      <c r="AA350" s="3">
        <f t="shared" si="357"/>
        <v>1.6141016990238368E-7</v>
      </c>
      <c r="AB350" s="3">
        <f t="shared" si="357"/>
        <v>4.2645853169366754E-47</v>
      </c>
      <c r="AC350" s="3">
        <f t="shared" si="357"/>
        <v>0</v>
      </c>
      <c r="AD350" s="3">
        <f t="shared" si="357"/>
        <v>0</v>
      </c>
      <c r="AE350" s="3">
        <f t="shared" si="357"/>
        <v>0</v>
      </c>
      <c r="AF350" s="3">
        <f t="shared" si="357"/>
        <v>0</v>
      </c>
      <c r="AG350" s="3"/>
      <c r="AH350" s="3"/>
    </row>
    <row r="351" spans="2:34" x14ac:dyDescent="0.25">
      <c r="B351" s="3">
        <f t="shared" ref="B351:AF351" si="358">$C42*EXP(-B$363/$A42/EXP(-$G$126))</f>
        <v>2.1502645285220883E-3</v>
      </c>
      <c r="C351" s="3">
        <f t="shared" si="358"/>
        <v>2.1502645285220883E-3</v>
      </c>
      <c r="D351" s="3">
        <f t="shared" si="358"/>
        <v>2.1502645285220883E-3</v>
      </c>
      <c r="E351" s="3">
        <f t="shared" si="358"/>
        <v>2.1502645285220883E-3</v>
      </c>
      <c r="F351" s="3">
        <f t="shared" si="358"/>
        <v>2.1502645285220883E-3</v>
      </c>
      <c r="G351" s="3">
        <f t="shared" si="358"/>
        <v>2.1502645285220883E-3</v>
      </c>
      <c r="H351" s="3">
        <f t="shared" si="358"/>
        <v>2.1502645285220883E-3</v>
      </c>
      <c r="I351" s="3">
        <f t="shared" si="358"/>
        <v>2.1502645285220883E-3</v>
      </c>
      <c r="J351" s="3">
        <f t="shared" si="358"/>
        <v>2.1502645285220883E-3</v>
      </c>
      <c r="K351" s="3">
        <f t="shared" si="358"/>
        <v>2.1502645285220879E-3</v>
      </c>
      <c r="L351" s="3">
        <f t="shared" si="358"/>
        <v>2.1502645285220862E-3</v>
      </c>
      <c r="M351" s="3">
        <f t="shared" si="358"/>
        <v>2.1502645285220666E-3</v>
      </c>
      <c r="N351" s="3">
        <f t="shared" si="358"/>
        <v>2.1502645285218706E-3</v>
      </c>
      <c r="O351" s="3">
        <f t="shared" si="358"/>
        <v>2.1502645285199113E-3</v>
      </c>
      <c r="P351" s="3">
        <f t="shared" si="358"/>
        <v>2.1502645285003154E-3</v>
      </c>
      <c r="Q351" s="3">
        <f t="shared" si="358"/>
        <v>2.150264528304358E-3</v>
      </c>
      <c r="R351" s="3">
        <f t="shared" si="358"/>
        <v>2.1502645263447818E-3</v>
      </c>
      <c r="S351" s="3">
        <f t="shared" si="358"/>
        <v>2.1502645067490267E-3</v>
      </c>
      <c r="T351" s="3">
        <f t="shared" si="358"/>
        <v>2.15026431079148E-3</v>
      </c>
      <c r="U351" s="3">
        <f t="shared" si="358"/>
        <v>2.1502623512169986E-3</v>
      </c>
      <c r="V351" s="3">
        <f t="shared" si="358"/>
        <v>2.1502427555704028E-3</v>
      </c>
      <c r="W351" s="3">
        <f t="shared" si="358"/>
        <v>2.150046808925961E-3</v>
      </c>
      <c r="X351" s="3">
        <f t="shared" si="358"/>
        <v>2.1480883243021288E-3</v>
      </c>
      <c r="Y351" s="3">
        <f t="shared" si="358"/>
        <v>2.1286013298700782E-3</v>
      </c>
      <c r="Z351" s="3">
        <f t="shared" si="358"/>
        <v>1.943194511109589E-3</v>
      </c>
      <c r="AA351" s="3">
        <f t="shared" si="358"/>
        <v>7.8115233302322739E-4</v>
      </c>
      <c r="AB351" s="3">
        <f t="shared" si="358"/>
        <v>8.608556326730103E-8</v>
      </c>
      <c r="AC351" s="3">
        <f t="shared" si="358"/>
        <v>2.274449183294823E-47</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3.0564736295290245E-3</v>
      </c>
      <c r="C353" s="3">
        <f t="shared" si="360"/>
        <v>3.0564736295290245E-3</v>
      </c>
      <c r="D353" s="3">
        <f t="shared" si="360"/>
        <v>3.0564736295290245E-3</v>
      </c>
      <c r="E353" s="3">
        <f t="shared" si="360"/>
        <v>3.0564736295290245E-3</v>
      </c>
      <c r="F353" s="3">
        <f t="shared" si="360"/>
        <v>3.0564736295290245E-3</v>
      </c>
      <c r="G353" s="3">
        <f t="shared" si="360"/>
        <v>3.0564736295290245E-3</v>
      </c>
      <c r="H353" s="3">
        <f t="shared" si="360"/>
        <v>3.0564736295290245E-3</v>
      </c>
      <c r="I353" s="3">
        <f t="shared" si="360"/>
        <v>3.0564736295290245E-3</v>
      </c>
      <c r="J353" s="3">
        <f t="shared" si="360"/>
        <v>3.0564736295290245E-3</v>
      </c>
      <c r="K353" s="3">
        <f t="shared" si="360"/>
        <v>3.0564736295290245E-3</v>
      </c>
      <c r="L353" s="3">
        <f t="shared" si="360"/>
        <v>3.0564736295290245E-3</v>
      </c>
      <c r="M353" s="3">
        <f t="shared" si="360"/>
        <v>3.0564736295290241E-3</v>
      </c>
      <c r="N353" s="3">
        <f t="shared" si="360"/>
        <v>3.0564736295290214E-3</v>
      </c>
      <c r="O353" s="3">
        <f t="shared" si="360"/>
        <v>3.0564736295289937E-3</v>
      </c>
      <c r="P353" s="3">
        <f t="shared" si="360"/>
        <v>3.0564736295287148E-3</v>
      </c>
      <c r="Q353" s="3">
        <f t="shared" si="360"/>
        <v>3.0564736295259297E-3</v>
      </c>
      <c r="R353" s="3">
        <f t="shared" si="360"/>
        <v>3.0564736294980753E-3</v>
      </c>
      <c r="S353" s="3">
        <f t="shared" si="360"/>
        <v>3.0564736292195333E-3</v>
      </c>
      <c r="T353" s="3">
        <f t="shared" si="360"/>
        <v>3.0564736264341126E-3</v>
      </c>
      <c r="U353" s="3">
        <f t="shared" si="360"/>
        <v>3.0564735985799071E-3</v>
      </c>
      <c r="V353" s="3">
        <f t="shared" si="360"/>
        <v>3.0564733200378648E-3</v>
      </c>
      <c r="W353" s="3">
        <f t="shared" si="360"/>
        <v>3.0564705346188396E-3</v>
      </c>
      <c r="X353" s="3">
        <f t="shared" si="360"/>
        <v>3.0564426805681963E-3</v>
      </c>
      <c r="Y353" s="3">
        <f t="shared" si="360"/>
        <v>3.0561641540224681E-3</v>
      </c>
      <c r="Z353" s="3">
        <f t="shared" si="360"/>
        <v>3.0533802841649785E-3</v>
      </c>
      <c r="AA353" s="3">
        <f t="shared" si="360"/>
        <v>3.0256806761352261E-3</v>
      </c>
      <c r="AB353" s="3">
        <f t="shared" si="360"/>
        <v>2.7621358681548806E-3</v>
      </c>
      <c r="AC353" s="3">
        <f t="shared" si="360"/>
        <v>1.1103617600814843E-3</v>
      </c>
      <c r="AD353" s="3">
        <f t="shared" si="360"/>
        <v>1.2236552783136104E-7</v>
      </c>
      <c r="AE353" s="3">
        <f t="shared" si="360"/>
        <v>3.232994758660012E-47</v>
      </c>
      <c r="AF353" s="3">
        <f t="shared" si="360"/>
        <v>0</v>
      </c>
      <c r="AG353" s="3"/>
      <c r="AH353" s="3"/>
    </row>
    <row r="354" spans="1:34" x14ac:dyDescent="0.25">
      <c r="B354" s="3">
        <f t="shared" ref="B354:AF354" si="361">$C45*EXP(-B$363/$A45/EXP(-$G$126))</f>
        <v>1.3352216676863077E-3</v>
      </c>
      <c r="C354" s="3">
        <f t="shared" si="361"/>
        <v>1.3352216676863077E-3</v>
      </c>
      <c r="D354" s="3">
        <f t="shared" si="361"/>
        <v>1.3352216676863077E-3</v>
      </c>
      <c r="E354" s="3">
        <f t="shared" si="361"/>
        <v>1.3352216676863077E-3</v>
      </c>
      <c r="F354" s="3">
        <f t="shared" si="361"/>
        <v>1.3352216676863077E-3</v>
      </c>
      <c r="G354" s="3">
        <f t="shared" si="361"/>
        <v>1.3352216676863077E-3</v>
      </c>
      <c r="H354" s="3">
        <f t="shared" si="361"/>
        <v>1.3352216676863077E-3</v>
      </c>
      <c r="I354" s="3">
        <f t="shared" si="361"/>
        <v>1.3352216676863077E-3</v>
      </c>
      <c r="J354" s="3">
        <f t="shared" si="361"/>
        <v>1.3352216676863077E-3</v>
      </c>
      <c r="K354" s="3">
        <f t="shared" si="361"/>
        <v>1.3352216676863077E-3</v>
      </c>
      <c r="L354" s="3">
        <f t="shared" si="361"/>
        <v>1.3352216676863077E-3</v>
      </c>
      <c r="M354" s="3">
        <f t="shared" si="361"/>
        <v>1.3352216676863077E-3</v>
      </c>
      <c r="N354" s="3">
        <f t="shared" si="361"/>
        <v>1.3352216676863074E-3</v>
      </c>
      <c r="O354" s="3">
        <f t="shared" si="361"/>
        <v>1.3352216676863064E-3</v>
      </c>
      <c r="P354" s="3">
        <f t="shared" si="361"/>
        <v>1.3352216676862942E-3</v>
      </c>
      <c r="Q354" s="3">
        <f t="shared" si="361"/>
        <v>1.3352216676861726E-3</v>
      </c>
      <c r="R354" s="3">
        <f t="shared" si="361"/>
        <v>1.3352216676849557E-3</v>
      </c>
      <c r="S354" s="3">
        <f t="shared" si="361"/>
        <v>1.3352216676727874E-3</v>
      </c>
      <c r="T354" s="3">
        <f t="shared" si="361"/>
        <v>1.3352216675511063E-3</v>
      </c>
      <c r="U354" s="3">
        <f t="shared" si="361"/>
        <v>1.3352216663342941E-3</v>
      </c>
      <c r="V354" s="3">
        <f t="shared" si="361"/>
        <v>1.3352216541661739E-3</v>
      </c>
      <c r="W354" s="3">
        <f t="shared" si="361"/>
        <v>1.3352215324849768E-3</v>
      </c>
      <c r="X354" s="3">
        <f t="shared" si="361"/>
        <v>1.335220315673616E-3</v>
      </c>
      <c r="Y354" s="3">
        <f t="shared" si="361"/>
        <v>1.3352081476209973E-3</v>
      </c>
      <c r="Z354" s="3">
        <f t="shared" si="361"/>
        <v>1.3350864731935495E-3</v>
      </c>
      <c r="AA354" s="3">
        <f t="shared" si="361"/>
        <v>1.3338703385873724E-3</v>
      </c>
      <c r="AB354" s="3">
        <f t="shared" si="361"/>
        <v>1.3217697542831518E-3</v>
      </c>
      <c r="AC354" s="3">
        <f t="shared" si="361"/>
        <v>1.2066401046693228E-3</v>
      </c>
      <c r="AD354" s="3">
        <f t="shared" si="361"/>
        <v>4.8506195725286059E-4</v>
      </c>
      <c r="AE354" s="3">
        <f t="shared" si="361"/>
        <v>5.3455427378734297E-8</v>
      </c>
      <c r="AF354" s="3">
        <f t="shared" si="361"/>
        <v>1.412334990092582E-47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1.6500810461255934E-3</v>
      </c>
      <c r="B358" s="80">
        <f>IF($A$64&lt;=B324,IF($B$64&gt;=B324,ABS((B326-B325)/B325),0),0)</f>
        <v>1.0056685694278401E-2</v>
      </c>
      <c r="C358" s="80">
        <f t="shared" ref="C358:AF358" si="365">IF($A$64&lt;=C324,IF($B$64&gt;=C324,ABS((C326-C325)/C325),0),0)</f>
        <v>1.3296056540754161E-2</v>
      </c>
      <c r="D358" s="80">
        <f t="shared" si="365"/>
        <v>3.9049916090012002E-3</v>
      </c>
      <c r="E358" s="80">
        <f t="shared" si="365"/>
        <v>4.6832150385768447E-4</v>
      </c>
      <c r="F358" s="80">
        <f t="shared" si="365"/>
        <v>3.2124746172597211E-4</v>
      </c>
      <c r="G358" s="80">
        <f t="shared" si="365"/>
        <v>2.6596227688109136E-4</v>
      </c>
      <c r="H358" s="80">
        <f t="shared" si="365"/>
        <v>3.1171063853434561E-4</v>
      </c>
      <c r="I358" s="80">
        <f t="shared" si="365"/>
        <v>2.4899953814276935E-4</v>
      </c>
      <c r="J358" s="80">
        <f t="shared" si="365"/>
        <v>3.0079953438597246E-4</v>
      </c>
      <c r="K358" s="80">
        <f t="shared" si="365"/>
        <v>1.7355272148241111E-4</v>
      </c>
      <c r="L358" s="80">
        <f t="shared" si="365"/>
        <v>4.7764988562605976E-4</v>
      </c>
      <c r="M358" s="80">
        <f t="shared" si="365"/>
        <v>6.1187475575970219E-7</v>
      </c>
      <c r="N358" s="80">
        <f t="shared" si="365"/>
        <v>7.27316614833203E-4</v>
      </c>
      <c r="O358" s="80">
        <f t="shared" si="365"/>
        <v>1.6167939002827684E-6</v>
      </c>
      <c r="P358" s="80">
        <f t="shared" si="365"/>
        <v>8.9503622702458499E-4</v>
      </c>
      <c r="Q358" s="80">
        <f t="shared" si="365"/>
        <v>4.1010211162951441E-4</v>
      </c>
      <c r="R358" s="80">
        <f t="shared" si="365"/>
        <v>1.3089146927361855E-3</v>
      </c>
      <c r="S358" s="80">
        <f t="shared" si="365"/>
        <v>1.0001289814870337E-3</v>
      </c>
      <c r="T358" s="80">
        <f t="shared" si="365"/>
        <v>1.58523387943064E-3</v>
      </c>
      <c r="U358" s="80">
        <f t="shared" si="365"/>
        <v>1.4311065213328438E-3</v>
      </c>
      <c r="V358" s="80">
        <f t="shared" si="365"/>
        <v>1.5784351316845745E-3</v>
      </c>
      <c r="W358" s="80">
        <f t="shared" si="365"/>
        <v>9.7145186042945774E-4</v>
      </c>
      <c r="X358" s="80">
        <f t="shared" si="365"/>
        <v>1.3453874265976706E-3</v>
      </c>
      <c r="Y358" s="80">
        <f t="shared" si="365"/>
        <v>2.9936314614924275E-4</v>
      </c>
      <c r="Z358" s="80">
        <f t="shared" si="365"/>
        <v>5.172605135864883E-4</v>
      </c>
      <c r="AA358" s="80">
        <f t="shared" si="365"/>
        <v>4.0496034929046282E-5</v>
      </c>
      <c r="AB358" s="80">
        <f t="shared" si="365"/>
        <v>8.0670921761354347E-4</v>
      </c>
      <c r="AC358" s="80">
        <f t="shared" si="365"/>
        <v>2.861729351815008E-3</v>
      </c>
      <c r="AD358" s="80">
        <f t="shared" si="365"/>
        <v>3.5090568471312991E-3</v>
      </c>
      <c r="AE358" s="80">
        <f t="shared" si="365"/>
        <v>1.2706055510661482E-3</v>
      </c>
      <c r="AF358" s="80">
        <f t="shared" si="365"/>
        <v>7.6597224709080319E-4</v>
      </c>
    </row>
    <row r="359" spans="1:34" x14ac:dyDescent="0.25">
      <c r="B359" s="21">
        <f>(B326-B325)^2</f>
        <v>8467.1301673200905</v>
      </c>
      <c r="C359" s="21">
        <f t="shared" ref="C359:AF359" si="366">(C326-C325)^2</f>
        <v>13753.408429695412</v>
      </c>
      <c r="D359" s="21">
        <f t="shared" si="366"/>
        <v>1110.5356014087622</v>
      </c>
      <c r="E359" s="21">
        <f t="shared" si="366"/>
        <v>15.013705882164695</v>
      </c>
      <c r="F359" s="21">
        <f t="shared" si="366"/>
        <v>6.5703079578935135</v>
      </c>
      <c r="G359" s="21">
        <f t="shared" si="366"/>
        <v>4.1129754727907528</v>
      </c>
      <c r="H359" s="21">
        <f t="shared" si="366"/>
        <v>5.1086552611484111</v>
      </c>
      <c r="I359" s="21">
        <f t="shared" si="366"/>
        <v>2.9727648105535609</v>
      </c>
      <c r="J359" s="21">
        <f t="shared" si="366"/>
        <v>3.9940037494524314</v>
      </c>
      <c r="K359" s="21">
        <f t="shared" si="366"/>
        <v>1.2184548662657602</v>
      </c>
      <c r="L359" s="21">
        <f t="shared" si="366"/>
        <v>8.4260296433083735</v>
      </c>
      <c r="M359" s="21">
        <f t="shared" si="366"/>
        <v>1.2569974636897745E-5</v>
      </c>
      <c r="N359" s="21">
        <f t="shared" si="366"/>
        <v>15.98716040640929</v>
      </c>
      <c r="O359" s="21">
        <f t="shared" si="366"/>
        <v>6.9124941105225472E-5</v>
      </c>
      <c r="P359" s="21">
        <f t="shared" si="366"/>
        <v>18.11515385343931</v>
      </c>
      <c r="Q359" s="21">
        <f t="shared" si="366"/>
        <v>3.0520671142322091</v>
      </c>
      <c r="R359" s="21">
        <f t="shared" si="366"/>
        <v>22.313506032686679</v>
      </c>
      <c r="S359" s="21">
        <f t="shared" si="366"/>
        <v>8.3825908572972256</v>
      </c>
      <c r="T359" s="21">
        <f t="shared" si="366"/>
        <v>12.251968594139116</v>
      </c>
      <c r="U359" s="21">
        <f t="shared" si="366"/>
        <v>5.1826078277888605</v>
      </c>
      <c r="V359" s="21">
        <f t="shared" si="366"/>
        <v>3.2062060451736611</v>
      </c>
      <c r="W359" s="21">
        <f t="shared" si="366"/>
        <v>0.64716868467743538</v>
      </c>
      <c r="X359" s="21">
        <f t="shared" si="366"/>
        <v>0.82430721419268216</v>
      </c>
      <c r="Y359" s="21">
        <f t="shared" si="366"/>
        <v>3.1263165544054519E-2</v>
      </c>
      <c r="Z359" s="21">
        <f t="shared" si="366"/>
        <v>8.1631903052521798E-2</v>
      </c>
      <c r="AA359" s="21">
        <f t="shared" si="366"/>
        <v>4.494215735403653E-4</v>
      </c>
      <c r="AB359" s="21">
        <f t="shared" si="366"/>
        <v>0.17038656433879518</v>
      </c>
      <c r="AC359" s="21">
        <f t="shared" si="366"/>
        <v>2.0024414035706255</v>
      </c>
      <c r="AD359" s="21">
        <f t="shared" si="366"/>
        <v>2.7396111705589998</v>
      </c>
      <c r="AE359" s="21">
        <f t="shared" si="366"/>
        <v>0.35468031570956793</v>
      </c>
      <c r="AF359" s="21">
        <f t="shared" si="366"/>
        <v>0.12876618377052135</v>
      </c>
      <c r="AG359" s="3"/>
      <c r="AH359" s="3"/>
    </row>
    <row r="360" spans="1:34" x14ac:dyDescent="0.25">
      <c r="A360" s="71">
        <f>SUM(B360:AF360)</f>
        <v>23473.963144520916</v>
      </c>
      <c r="B360" s="60">
        <f>IF($A$64&lt;=B324,IF($B$64&gt;=B324,ABS(B359),0),0)</f>
        <v>8467.1301673200905</v>
      </c>
      <c r="C360" s="60">
        <f t="shared" ref="C360:AF360" si="367">IF($A$64&lt;=C324,IF($B$64&gt;=C324,ABS(C359),0),0)</f>
        <v>13753.408429695412</v>
      </c>
      <c r="D360" s="60">
        <f t="shared" si="367"/>
        <v>1110.5356014087622</v>
      </c>
      <c r="E360" s="60">
        <f t="shared" si="367"/>
        <v>15.013705882164695</v>
      </c>
      <c r="F360" s="60">
        <f t="shared" si="367"/>
        <v>6.5703079578935135</v>
      </c>
      <c r="G360" s="60">
        <f t="shared" si="367"/>
        <v>4.1129754727907528</v>
      </c>
      <c r="H360" s="60">
        <f t="shared" si="367"/>
        <v>5.1086552611484111</v>
      </c>
      <c r="I360" s="60">
        <f t="shared" si="367"/>
        <v>2.9727648105535609</v>
      </c>
      <c r="J360" s="60">
        <f t="shared" si="367"/>
        <v>3.9940037494524314</v>
      </c>
      <c r="K360" s="60">
        <f t="shared" si="367"/>
        <v>1.2184548662657602</v>
      </c>
      <c r="L360" s="60">
        <f t="shared" si="367"/>
        <v>8.4260296433083735</v>
      </c>
      <c r="M360" s="60">
        <f t="shared" si="367"/>
        <v>1.2569974636897745E-5</v>
      </c>
      <c r="N360" s="60">
        <f t="shared" si="367"/>
        <v>15.98716040640929</v>
      </c>
      <c r="O360" s="60">
        <f t="shared" si="367"/>
        <v>6.9124941105225472E-5</v>
      </c>
      <c r="P360" s="60">
        <f t="shared" si="367"/>
        <v>18.11515385343931</v>
      </c>
      <c r="Q360" s="60">
        <f t="shared" si="367"/>
        <v>3.0520671142322091</v>
      </c>
      <c r="R360" s="60">
        <f t="shared" si="367"/>
        <v>22.313506032686679</v>
      </c>
      <c r="S360" s="60">
        <f t="shared" si="367"/>
        <v>8.3825908572972256</v>
      </c>
      <c r="T360" s="60">
        <f t="shared" si="367"/>
        <v>12.251968594139116</v>
      </c>
      <c r="U360" s="60">
        <f t="shared" si="367"/>
        <v>5.1826078277888605</v>
      </c>
      <c r="V360" s="60">
        <f t="shared" si="367"/>
        <v>3.2062060451736611</v>
      </c>
      <c r="W360" s="60">
        <f t="shared" si="367"/>
        <v>0.64716868467743538</v>
      </c>
      <c r="X360" s="60">
        <f t="shared" si="367"/>
        <v>0.82430721419268216</v>
      </c>
      <c r="Y360" s="60">
        <f t="shared" si="367"/>
        <v>3.1263165544054519E-2</v>
      </c>
      <c r="Z360" s="60">
        <f t="shared" si="367"/>
        <v>8.1631903052521798E-2</v>
      </c>
      <c r="AA360" s="60">
        <f t="shared" si="367"/>
        <v>4.494215735403653E-4</v>
      </c>
      <c r="AB360" s="60">
        <f t="shared" si="367"/>
        <v>0.17038656433879518</v>
      </c>
      <c r="AC360" s="60">
        <f t="shared" si="367"/>
        <v>2.0024414035706255</v>
      </c>
      <c r="AD360" s="60">
        <f t="shared" si="367"/>
        <v>2.7396111705589998</v>
      </c>
      <c r="AE360" s="60">
        <f t="shared" si="367"/>
        <v>0.35468031570956793</v>
      </c>
      <c r="AF360" s="60">
        <f t="shared" si="367"/>
        <v>0.12876618377052135</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8414.2638871351464</v>
      </c>
      <c r="C365" s="27">
        <f t="shared" ref="C365:AF365" si="368">($C$17+SUM(C366:C396))*$B$51</f>
        <v>8189.8325749000878</v>
      </c>
      <c r="D365" s="27">
        <f t="shared" si="368"/>
        <v>7863.3624076724063</v>
      </c>
      <c r="E365" s="27">
        <f t="shared" si="368"/>
        <v>7496.3005721146264</v>
      </c>
      <c r="F365" s="27">
        <f t="shared" si="368"/>
        <v>7125.0876491912959</v>
      </c>
      <c r="G365" s="27">
        <f t="shared" si="368"/>
        <v>6815.253963915633</v>
      </c>
      <c r="H365" s="27">
        <f t="shared" si="368"/>
        <v>6538.8411626490742</v>
      </c>
      <c r="I365" s="27">
        <f t="shared" si="368"/>
        <v>6248.8521595209168</v>
      </c>
      <c r="J365" s="27">
        <f t="shared" si="368"/>
        <v>5963.9777759851631</v>
      </c>
      <c r="K365" s="27">
        <f t="shared" si="368"/>
        <v>5680.8568104904343</v>
      </c>
      <c r="L365" s="27">
        <f t="shared" si="368"/>
        <v>5361.6656182837723</v>
      </c>
      <c r="M365" s="27">
        <f t="shared" si="368"/>
        <v>4988.4525499506617</v>
      </c>
      <c r="N365" s="27">
        <f t="shared" si="368"/>
        <v>4581.0220567470678</v>
      </c>
      <c r="O365" s="27">
        <f t="shared" si="368"/>
        <v>4013.4328468079307</v>
      </c>
      <c r="P365" s="27">
        <f t="shared" si="368"/>
        <v>3326.1251053542078</v>
      </c>
      <c r="Q365" s="27">
        <f t="shared" si="368"/>
        <v>2629.4459599681463</v>
      </c>
      <c r="R365" s="27">
        <f t="shared" si="368"/>
        <v>1962.888979383484</v>
      </c>
      <c r="S365" s="27">
        <f t="shared" si="368"/>
        <v>1415.3157920955182</v>
      </c>
      <c r="T365" s="27">
        <f t="shared" si="368"/>
        <v>1010.5036151839276</v>
      </c>
      <c r="U365" s="27">
        <f t="shared" si="368"/>
        <v>779.84232323423112</v>
      </c>
      <c r="V365" s="27">
        <f t="shared" si="368"/>
        <v>624.66961762869596</v>
      </c>
      <c r="W365" s="27">
        <f t="shared" si="368"/>
        <v>575.88090035920811</v>
      </c>
      <c r="X365" s="27">
        <f t="shared" si="368"/>
        <v>537.90805731051137</v>
      </c>
      <c r="Y365" s="27">
        <f t="shared" si="368"/>
        <v>516.875740348166</v>
      </c>
      <c r="Z365" s="27">
        <f t="shared" si="368"/>
        <v>508.24270026898046</v>
      </c>
      <c r="AA365" s="27">
        <f t="shared" si="368"/>
        <v>482.71893770672648</v>
      </c>
      <c r="AB365" s="27">
        <f t="shared" si="368"/>
        <v>469.5196452000103</v>
      </c>
      <c r="AC365" s="27">
        <f t="shared" si="368"/>
        <v>468.11773275964367</v>
      </c>
      <c r="AD365" s="27">
        <f t="shared" si="368"/>
        <v>468.11773275852704</v>
      </c>
      <c r="AE365" s="27">
        <f t="shared" si="368"/>
        <v>468.11773275852704</v>
      </c>
      <c r="AF365" s="27">
        <f t="shared" si="368"/>
        <v>468.11773275852704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1.3662657641071532E-4</v>
      </c>
      <c r="C367" s="3">
        <f t="shared" si="370"/>
        <v>6.7376770833412601E-28</v>
      </c>
      <c r="D367" s="3">
        <f t="shared" si="370"/>
        <v>5.7313939464021771E-261</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9.2870143482530476E-3</v>
      </c>
      <c r="C368" s="3">
        <f t="shared" si="371"/>
        <v>7.3348048987172286E-5</v>
      </c>
      <c r="D368" s="3">
        <f t="shared" si="371"/>
        <v>6.9264876594227777E-26</v>
      </c>
      <c r="E368" s="3">
        <f t="shared" si="371"/>
        <v>3.9062321405807242E-236</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2.831624782759095E-2</v>
      </c>
      <c r="C369" s="3">
        <f t="shared" si="372"/>
        <v>1.8296745052353743E-2</v>
      </c>
      <c r="D369" s="3">
        <f t="shared" si="372"/>
        <v>2.3214276679889588E-4</v>
      </c>
      <c r="E369" s="3">
        <f t="shared" si="372"/>
        <v>2.5093910963021772E-23</v>
      </c>
      <c r="F369" s="3">
        <f t="shared" si="372"/>
        <v>5.4663862719259207E-213</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3.4324007542299279E-2</v>
      </c>
      <c r="C370" s="3">
        <f t="shared" si="373"/>
        <v>3.2998098182158368E-2</v>
      </c>
      <c r="D370" s="3">
        <f t="shared" si="373"/>
        <v>2.2253489810983733E-2</v>
      </c>
      <c r="E370" s="3">
        <f t="shared" si="373"/>
        <v>4.3300239043388112E-4</v>
      </c>
      <c r="F370" s="3">
        <f t="shared" si="373"/>
        <v>3.3683092842323051E-21</v>
      </c>
      <c r="G370" s="3">
        <f t="shared" si="373"/>
        <v>2.7329308727065977E-192</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3.8148473204664343E-2</v>
      </c>
      <c r="C371" s="3">
        <f t="shared" si="374"/>
        <v>3.8013143045269641E-2</v>
      </c>
      <c r="D371" s="3">
        <f t="shared" si="374"/>
        <v>3.6685966734019117E-2</v>
      </c>
      <c r="E371" s="3">
        <f t="shared" si="374"/>
        <v>2.5713538674813904E-2</v>
      </c>
      <c r="F371" s="3">
        <f t="shared" si="374"/>
        <v>7.3583535148438338E-4</v>
      </c>
      <c r="G371" s="3">
        <f t="shared" si="374"/>
        <v>2.7099960345005233E-19</v>
      </c>
      <c r="H371" s="3">
        <f t="shared" si="374"/>
        <v>1.2440811865977493E-173</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3.1146850820405709E-2</v>
      </c>
      <c r="C372" s="3">
        <f t="shared" si="375"/>
        <v>3.1136867384893463E-2</v>
      </c>
      <c r="D372" s="3">
        <f t="shared" si="375"/>
        <v>3.1037208858985955E-2</v>
      </c>
      <c r="E372" s="3">
        <f t="shared" si="375"/>
        <v>3.0057999739056786E-2</v>
      </c>
      <c r="F372" s="3">
        <f t="shared" si="375"/>
        <v>2.1813946942127866E-2</v>
      </c>
      <c r="G372" s="3">
        <f t="shared" si="375"/>
        <v>8.8404834148235239E-4</v>
      </c>
      <c r="H372" s="3">
        <f t="shared" si="375"/>
        <v>1.0565586898949099E-17</v>
      </c>
      <c r="I372" s="3">
        <f t="shared" si="375"/>
        <v>6.281592396334934E-157</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2.5944900743544178E-2</v>
      </c>
      <c r="C373" s="3">
        <f t="shared" si="376"/>
        <v>2.5944150455873099E-2</v>
      </c>
      <c r="D373" s="3">
        <f t="shared" si="376"/>
        <v>2.5936648772404501E-2</v>
      </c>
      <c r="E373" s="3">
        <f t="shared" si="376"/>
        <v>2.5861751134364473E-2</v>
      </c>
      <c r="F373" s="3">
        <f t="shared" si="376"/>
        <v>2.5124567858704549E-2</v>
      </c>
      <c r="G373" s="3">
        <f t="shared" si="376"/>
        <v>1.8815047758906182E-2</v>
      </c>
      <c r="H373" s="3">
        <f t="shared" si="376"/>
        <v>1.0436925152420959E-3</v>
      </c>
      <c r="I373" s="3">
        <f t="shared" si="376"/>
        <v>2.8790221637497371E-16</v>
      </c>
      <c r="J373" s="3">
        <f t="shared" si="376"/>
        <v>7.3446211849752205E-142</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2.8280658142550329E-2</v>
      </c>
      <c r="C374" s="3">
        <f t="shared" si="377"/>
        <v>2.8280584366124312E-2</v>
      </c>
      <c r="D374" s="3">
        <f t="shared" si="377"/>
        <v>2.8279846612449516E-2</v>
      </c>
      <c r="E374" s="3">
        <f t="shared" si="377"/>
        <v>2.8272470134133858E-2</v>
      </c>
      <c r="F374" s="3">
        <f t="shared" si="377"/>
        <v>2.8198811092115729E-2</v>
      </c>
      <c r="G374" s="3">
        <f t="shared" si="377"/>
        <v>2.7472693429653507E-2</v>
      </c>
      <c r="H374" s="3">
        <f t="shared" si="377"/>
        <v>2.1164385182207691E-2</v>
      </c>
      <c r="I374" s="3">
        <f t="shared" si="377"/>
        <v>1.5582955389306066E-3</v>
      </c>
      <c r="J374" s="3">
        <f t="shared" si="377"/>
        <v>7.2961126741812188E-15</v>
      </c>
      <c r="K374" s="3">
        <f t="shared" si="377"/>
        <v>3.6940994278715971E-128</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2.7707300378698549E-2</v>
      </c>
      <c r="C375" s="3">
        <f t="shared" si="378"/>
        <v>2.7707293858370896E-2</v>
      </c>
      <c r="D375" s="3">
        <f t="shared" si="378"/>
        <v>2.7707228655178776E-2</v>
      </c>
      <c r="E375" s="3">
        <f t="shared" si="378"/>
        <v>2.7706576631696837E-2</v>
      </c>
      <c r="F375" s="3">
        <f t="shared" si="378"/>
        <v>2.770005724072774E-2</v>
      </c>
      <c r="G375" s="3">
        <f t="shared" si="378"/>
        <v>2.7634947642638481E-2</v>
      </c>
      <c r="H375" s="3">
        <f t="shared" si="378"/>
        <v>2.6992209870198649E-2</v>
      </c>
      <c r="I375" s="3">
        <f t="shared" si="378"/>
        <v>2.1332237042127233E-2</v>
      </c>
      <c r="J375" s="3">
        <f t="shared" si="378"/>
        <v>2.02775737592556E-3</v>
      </c>
      <c r="K375" s="3">
        <f t="shared" si="378"/>
        <v>1.2212705347027669E-13</v>
      </c>
      <c r="L375" s="3">
        <f t="shared" si="378"/>
        <v>7.6695656991625086E-116</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2.6509888058847964E-2</v>
      </c>
      <c r="C376" s="3">
        <f t="shared" si="379"/>
        <v>2.6509887496079517E-2</v>
      </c>
      <c r="D376" s="3">
        <f t="shared" si="379"/>
        <v>2.6509881868395726E-2</v>
      </c>
      <c r="E376" s="3">
        <f t="shared" si="379"/>
        <v>2.6509825591623491E-2</v>
      </c>
      <c r="F376" s="3">
        <f t="shared" si="379"/>
        <v>2.6509262830471836E-2</v>
      </c>
      <c r="G376" s="3">
        <f t="shared" si="379"/>
        <v>2.6503635875971938E-2</v>
      </c>
      <c r="H376" s="3">
        <f t="shared" si="379"/>
        <v>2.6447431981062058E-2</v>
      </c>
      <c r="I376" s="3">
        <f t="shared" si="379"/>
        <v>2.5891906766912689E-2</v>
      </c>
      <c r="J376" s="3">
        <f t="shared" si="379"/>
        <v>2.0939643864390203E-2</v>
      </c>
      <c r="K376" s="3">
        <f t="shared" si="379"/>
        <v>2.5062353789428202E-3</v>
      </c>
      <c r="L376" s="3">
        <f t="shared" si="379"/>
        <v>1.5119850931378691E-12</v>
      </c>
      <c r="M376" s="3">
        <f t="shared" si="379"/>
        <v>9.6561508125904373E-105</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3.0096089328315433E-2</v>
      </c>
      <c r="C377" s="3">
        <f t="shared" si="380"/>
        <v>3.009608927068147E-2</v>
      </c>
      <c r="D377" s="3">
        <f t="shared" si="380"/>
        <v>3.009608869434181E-2</v>
      </c>
      <c r="E377" s="3">
        <f t="shared" si="380"/>
        <v>3.0096082930945869E-2</v>
      </c>
      <c r="F377" s="3">
        <f t="shared" si="380"/>
        <v>3.0096025297047156E-2</v>
      </c>
      <c r="G377" s="3">
        <f t="shared" si="380"/>
        <v>3.0095448964130252E-2</v>
      </c>
      <c r="H377" s="3">
        <f t="shared" si="380"/>
        <v>3.0089686241942699E-2</v>
      </c>
      <c r="I377" s="3">
        <f t="shared" si="380"/>
        <v>3.0032119675230399E-2</v>
      </c>
      <c r="J377" s="3">
        <f t="shared" si="380"/>
        <v>2.9462476766502776E-2</v>
      </c>
      <c r="K377" s="3">
        <f t="shared" si="380"/>
        <v>2.4327748900861573E-2</v>
      </c>
      <c r="L377" s="3">
        <f t="shared" si="380"/>
        <v>3.5845004550227738E-3</v>
      </c>
      <c r="M377" s="3">
        <f t="shared" si="380"/>
        <v>1.7286051101382026E-11</v>
      </c>
      <c r="N377" s="3">
        <f t="shared" si="380"/>
        <v>1.1758916849883211E-94</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3.6902665150216701E-2</v>
      </c>
      <c r="C378" s="3">
        <f t="shared" si="381"/>
        <v>3.6902665143841808E-2</v>
      </c>
      <c r="D378" s="3">
        <f t="shared" si="381"/>
        <v>3.6902665080092899E-2</v>
      </c>
      <c r="E378" s="3">
        <f t="shared" si="381"/>
        <v>3.6902664442603809E-2</v>
      </c>
      <c r="F378" s="3">
        <f t="shared" si="381"/>
        <v>3.6902658067713486E-2</v>
      </c>
      <c r="G378" s="3">
        <f t="shared" si="381"/>
        <v>3.6902594318870809E-2</v>
      </c>
      <c r="H378" s="3">
        <f t="shared" si="381"/>
        <v>3.6901956836500875E-2</v>
      </c>
      <c r="I378" s="3">
        <f t="shared" si="381"/>
        <v>3.689558261844865E-2</v>
      </c>
      <c r="J378" s="3">
        <f t="shared" si="381"/>
        <v>3.6831900963942961E-2</v>
      </c>
      <c r="K378" s="3">
        <f t="shared" si="381"/>
        <v>3.62010985122065E-2</v>
      </c>
      <c r="L378" s="3">
        <f t="shared" si="381"/>
        <v>3.0457755786865798E-2</v>
      </c>
      <c r="M378" s="3">
        <f t="shared" si="381"/>
        <v>5.4132665053895244E-3</v>
      </c>
      <c r="N378" s="3">
        <f t="shared" si="381"/>
        <v>1.7024505063516248E-10</v>
      </c>
      <c r="O378" s="3">
        <f t="shared" si="381"/>
        <v>1.6114816217500564E-85</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3.616179688842848E-2</v>
      </c>
      <c r="C379" s="3">
        <f t="shared" si="382"/>
        <v>3.6161796887864958E-2</v>
      </c>
      <c r="D379" s="3">
        <f t="shared" si="382"/>
        <v>3.616179688222973E-2</v>
      </c>
      <c r="E379" s="3">
        <f t="shared" si="382"/>
        <v>3.6161796825877432E-2</v>
      </c>
      <c r="F379" s="3">
        <f t="shared" si="382"/>
        <v>3.6161796262354468E-2</v>
      </c>
      <c r="G379" s="3">
        <f t="shared" si="382"/>
        <v>3.6161790627125288E-2</v>
      </c>
      <c r="H379" s="3">
        <f t="shared" si="382"/>
        <v>3.616173427488182E-2</v>
      </c>
      <c r="I379" s="3">
        <f t="shared" si="382"/>
        <v>3.6161170757276949E-2</v>
      </c>
      <c r="J379" s="3">
        <f t="shared" si="382"/>
        <v>3.6155536064184861E-2</v>
      </c>
      <c r="K379" s="3">
        <f t="shared" si="382"/>
        <v>3.6099237401089827E-2</v>
      </c>
      <c r="L379" s="3">
        <f t="shared" si="382"/>
        <v>3.5541049837848802E-2</v>
      </c>
      <c r="M379" s="3">
        <f t="shared" si="382"/>
        <v>3.0412526395174288E-2</v>
      </c>
      <c r="N379" s="3">
        <f t="shared" si="382"/>
        <v>6.4014000043879742E-3</v>
      </c>
      <c r="O379" s="3">
        <f t="shared" si="382"/>
        <v>1.0926967094913209E-9</v>
      </c>
      <c r="P379" s="3">
        <f t="shared" si="382"/>
        <v>2.2948078654250525E-77</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5.7659888823691677E-2</v>
      </c>
      <c r="C380" s="3">
        <f t="shared" si="383"/>
        <v>5.7659888823610624E-2</v>
      </c>
      <c r="D380" s="3">
        <f t="shared" si="383"/>
        <v>5.7659888822800071E-2</v>
      </c>
      <c r="E380" s="3">
        <f t="shared" si="383"/>
        <v>5.7659888814694527E-2</v>
      </c>
      <c r="F380" s="3">
        <f t="shared" si="383"/>
        <v>5.7659888733639114E-2</v>
      </c>
      <c r="G380" s="3">
        <f t="shared" si="383"/>
        <v>5.7659887923085011E-2</v>
      </c>
      <c r="H380" s="3">
        <f t="shared" si="383"/>
        <v>5.7659879817544585E-2</v>
      </c>
      <c r="I380" s="3">
        <f t="shared" si="383"/>
        <v>5.7659798762203021E-2</v>
      </c>
      <c r="J380" s="3">
        <f t="shared" si="383"/>
        <v>5.7658988215054233E-2</v>
      </c>
      <c r="K380" s="3">
        <f t="shared" si="383"/>
        <v>5.7650883370220354E-2</v>
      </c>
      <c r="L380" s="3">
        <f t="shared" si="383"/>
        <v>5.7569897554699927E-2</v>
      </c>
      <c r="M380" s="3">
        <f t="shared" si="383"/>
        <v>5.6766270226407421E-2</v>
      </c>
      <c r="N380" s="3">
        <f t="shared" si="383"/>
        <v>4.9321854368511893E-2</v>
      </c>
      <c r="O380" s="3">
        <f t="shared" si="383"/>
        <v>1.2092880443900977E-2</v>
      </c>
      <c r="P380" s="3">
        <f t="shared" si="383"/>
        <v>9.4936537111023414E-9</v>
      </c>
      <c r="Q380" s="3">
        <f t="shared" si="383"/>
        <v>8.4424725675799394E-70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7.0138718801302943E-2</v>
      </c>
      <c r="C381" s="3">
        <f t="shared" si="384"/>
        <v>7.0138718801294048E-2</v>
      </c>
      <c r="D381" s="3">
        <f t="shared" si="384"/>
        <v>7.0138718801205105E-2</v>
      </c>
      <c r="E381" s="3">
        <f t="shared" si="384"/>
        <v>7.0138718800315664E-2</v>
      </c>
      <c r="F381" s="3">
        <f t="shared" si="384"/>
        <v>7.0138718791421362E-2</v>
      </c>
      <c r="G381" s="3">
        <f t="shared" si="384"/>
        <v>7.0138718702478176E-2</v>
      </c>
      <c r="H381" s="3">
        <f t="shared" si="384"/>
        <v>7.0138717813046425E-2</v>
      </c>
      <c r="I381" s="3">
        <f t="shared" si="384"/>
        <v>7.0138708918729531E-2</v>
      </c>
      <c r="J381" s="3">
        <f t="shared" si="384"/>
        <v>7.0138619975622707E-2</v>
      </c>
      <c r="K381" s="3">
        <f t="shared" si="384"/>
        <v>7.0137730550757726E-2</v>
      </c>
      <c r="L381" s="3">
        <f t="shared" si="384"/>
        <v>7.0128836922416157E-2</v>
      </c>
      <c r="M381" s="3">
        <f t="shared" si="384"/>
        <v>7.0039962640720044E-2</v>
      </c>
      <c r="N381" s="3">
        <f t="shared" si="384"/>
        <v>6.9157391003034821E-2</v>
      </c>
      <c r="O381" s="3">
        <f t="shared" si="384"/>
        <v>6.0920793677843837E-2</v>
      </c>
      <c r="P381" s="3">
        <f t="shared" si="384"/>
        <v>1.7140957194278238E-2</v>
      </c>
      <c r="Q381" s="3">
        <f t="shared" si="384"/>
        <v>5.3300372842643391E-8</v>
      </c>
      <c r="R381" s="3">
        <f t="shared" si="384"/>
        <v>4.5048674106776328E-63</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6.7659228447697797E-2</v>
      </c>
      <c r="C382" s="3">
        <f t="shared" si="385"/>
        <v>6.765922844769702E-2</v>
      </c>
      <c r="D382" s="3">
        <f t="shared" si="385"/>
        <v>6.7659228447689276E-2</v>
      </c>
      <c r="E382" s="3">
        <f t="shared" si="385"/>
        <v>6.765922844761188E-2</v>
      </c>
      <c r="F382" s="3">
        <f t="shared" si="385"/>
        <v>6.7659228446837902E-2</v>
      </c>
      <c r="G382" s="3">
        <f t="shared" si="385"/>
        <v>6.7659228439098135E-2</v>
      </c>
      <c r="H382" s="3">
        <f t="shared" si="385"/>
        <v>6.7659228361700366E-2</v>
      </c>
      <c r="I382" s="3">
        <f t="shared" si="385"/>
        <v>6.7659227587722692E-2</v>
      </c>
      <c r="J382" s="3">
        <f t="shared" si="385"/>
        <v>6.7659219847946456E-2</v>
      </c>
      <c r="K382" s="3">
        <f t="shared" si="385"/>
        <v>6.7659142450232759E-2</v>
      </c>
      <c r="L382" s="3">
        <f t="shared" si="385"/>
        <v>6.7658368477965455E-2</v>
      </c>
      <c r="M382" s="3">
        <f t="shared" si="385"/>
        <v>6.7650629242228602E-2</v>
      </c>
      <c r="N382" s="3">
        <f t="shared" si="385"/>
        <v>6.7573285557880336E-2</v>
      </c>
      <c r="O382" s="3">
        <f t="shared" si="385"/>
        <v>6.6804695478152876E-2</v>
      </c>
      <c r="P382" s="3">
        <f t="shared" si="385"/>
        <v>5.958356955122162E-2</v>
      </c>
      <c r="Q382" s="3">
        <f t="shared" si="385"/>
        <v>1.8981118743406415E-2</v>
      </c>
      <c r="R382" s="3">
        <f t="shared" si="385"/>
        <v>2.0430297547603621E-7</v>
      </c>
      <c r="S382" s="3">
        <f t="shared" si="385"/>
        <v>4.2638660085323019E-57</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6.6765944370475491E-2</v>
      </c>
      <c r="C383" s="3">
        <f t="shared" si="386"/>
        <v>6.6765944370475436E-2</v>
      </c>
      <c r="D383" s="3">
        <f t="shared" si="386"/>
        <v>6.6765944370474742E-2</v>
      </c>
      <c r="E383" s="3">
        <f t="shared" si="386"/>
        <v>6.6765944370467845E-2</v>
      </c>
      <c r="F383" s="3">
        <f t="shared" si="386"/>
        <v>6.6765944370398955E-2</v>
      </c>
      <c r="G383" s="3">
        <f t="shared" si="386"/>
        <v>6.6765944369709979E-2</v>
      </c>
      <c r="H383" s="3">
        <f t="shared" si="386"/>
        <v>6.676594436282024E-2</v>
      </c>
      <c r="I383" s="3">
        <f t="shared" si="386"/>
        <v>6.676594429392281E-2</v>
      </c>
      <c r="J383" s="3">
        <f t="shared" si="386"/>
        <v>6.6765943604948572E-2</v>
      </c>
      <c r="K383" s="3">
        <f t="shared" si="386"/>
        <v>6.6765936715206656E-2</v>
      </c>
      <c r="L383" s="3">
        <f t="shared" si="386"/>
        <v>6.6765867817826535E-2</v>
      </c>
      <c r="M383" s="3">
        <f t="shared" si="386"/>
        <v>6.6765178847935647E-2</v>
      </c>
      <c r="N383" s="3">
        <f t="shared" si="386"/>
        <v>6.6758289540043411E-2</v>
      </c>
      <c r="O383" s="3">
        <f t="shared" si="386"/>
        <v>6.6689435547858986E-2</v>
      </c>
      <c r="P383" s="3">
        <f t="shared" si="386"/>
        <v>6.6004789417128895E-2</v>
      </c>
      <c r="Q383" s="3">
        <f t="shared" si="386"/>
        <v>5.9533241762623E-2</v>
      </c>
      <c r="R383" s="3">
        <f t="shared" si="386"/>
        <v>2.1212915009355036E-2</v>
      </c>
      <c r="S383" s="3">
        <f t="shared" si="386"/>
        <v>6.998557790314486E-7</v>
      </c>
      <c r="T383" s="3">
        <f t="shared" si="386"/>
        <v>1.06927783613967E-51</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4.8603939630861931E-2</v>
      </c>
      <c r="C384" s="3">
        <f t="shared" si="387"/>
        <v>4.8603939630861924E-2</v>
      </c>
      <c r="D384" s="3">
        <f t="shared" si="387"/>
        <v>4.8603939630861882E-2</v>
      </c>
      <c r="E384" s="3">
        <f t="shared" si="387"/>
        <v>4.8603939630861431E-2</v>
      </c>
      <c r="F384" s="3">
        <f t="shared" si="387"/>
        <v>4.86039396308569E-2</v>
      </c>
      <c r="G384" s="3">
        <f t="shared" si="387"/>
        <v>4.8603939630811659E-2</v>
      </c>
      <c r="H384" s="3">
        <f t="shared" si="387"/>
        <v>4.8603939630359215E-2</v>
      </c>
      <c r="I384" s="3">
        <f t="shared" si="387"/>
        <v>4.8603939625834758E-2</v>
      </c>
      <c r="J384" s="3">
        <f t="shared" si="387"/>
        <v>4.8603939580590234E-2</v>
      </c>
      <c r="K384" s="3">
        <f t="shared" si="387"/>
        <v>4.8603939128144973E-2</v>
      </c>
      <c r="L384" s="3">
        <f t="shared" si="387"/>
        <v>4.8603934603692556E-2</v>
      </c>
      <c r="M384" s="3">
        <f t="shared" si="387"/>
        <v>4.8603889359191632E-2</v>
      </c>
      <c r="N384" s="3">
        <f t="shared" si="387"/>
        <v>4.8603436916498786E-2</v>
      </c>
      <c r="O384" s="3">
        <f t="shared" si="387"/>
        <v>4.8598912721206644E-2</v>
      </c>
      <c r="P384" s="3">
        <f t="shared" si="387"/>
        <v>4.8553693923943132E-2</v>
      </c>
      <c r="Q384" s="3">
        <f t="shared" si="387"/>
        <v>4.8103813561496366E-2</v>
      </c>
      <c r="R384" s="3">
        <f t="shared" si="387"/>
        <v>4.3828016983942501E-2</v>
      </c>
      <c r="S384" s="3">
        <f t="shared" si="387"/>
        <v>1.7277263536951994E-2</v>
      </c>
      <c r="T384" s="3">
        <f t="shared" si="387"/>
        <v>1.5656919646003579E-6</v>
      </c>
      <c r="U384" s="3">
        <f t="shared" si="387"/>
        <v>5.8481697779694439E-47</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3.7549192378247005E-2</v>
      </c>
      <c r="C385" s="3">
        <f t="shared" si="388"/>
        <v>3.7549192378247005E-2</v>
      </c>
      <c r="D385" s="3">
        <f t="shared" si="388"/>
        <v>3.7549192378246998E-2</v>
      </c>
      <c r="E385" s="3">
        <f t="shared" si="388"/>
        <v>3.7549192378246971E-2</v>
      </c>
      <c r="F385" s="3">
        <f t="shared" si="388"/>
        <v>3.7549192378246658E-2</v>
      </c>
      <c r="G385" s="3">
        <f t="shared" si="388"/>
        <v>3.7549192378243501E-2</v>
      </c>
      <c r="H385" s="3">
        <f t="shared" si="388"/>
        <v>3.7549192378211971E-2</v>
      </c>
      <c r="I385" s="3">
        <f t="shared" si="388"/>
        <v>3.754919237789666E-2</v>
      </c>
      <c r="J385" s="3">
        <f t="shared" si="388"/>
        <v>3.754919237474353E-2</v>
      </c>
      <c r="K385" s="3">
        <f t="shared" si="388"/>
        <v>3.7549192343212238E-2</v>
      </c>
      <c r="L385" s="3">
        <f t="shared" si="388"/>
        <v>3.7549192027899317E-2</v>
      </c>
      <c r="M385" s="3">
        <f t="shared" si="388"/>
        <v>3.7549188874770267E-2</v>
      </c>
      <c r="N385" s="3">
        <f t="shared" si="388"/>
        <v>3.7549157343494351E-2</v>
      </c>
      <c r="O385" s="3">
        <f t="shared" si="388"/>
        <v>3.754884203219145E-2</v>
      </c>
      <c r="P385" s="3">
        <f t="shared" si="388"/>
        <v>3.7545689064785628E-2</v>
      </c>
      <c r="Q385" s="3">
        <f t="shared" si="388"/>
        <v>3.7514173948525978E-2</v>
      </c>
      <c r="R385" s="3">
        <f t="shared" si="388"/>
        <v>3.7200474052801372E-2</v>
      </c>
      <c r="S385" s="3">
        <f t="shared" si="388"/>
        <v>3.4204192177436796E-2</v>
      </c>
      <c r="T385" s="3">
        <f t="shared" si="388"/>
        <v>1.4770254359517889E-2</v>
      </c>
      <c r="U385" s="3">
        <f t="shared" si="388"/>
        <v>3.3302308498513252E-6</v>
      </c>
      <c r="V385" s="3">
        <f t="shared" si="388"/>
        <v>1.1306755262585781E-42</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7.8409043454057813E-3</v>
      </c>
      <c r="C386" s="3">
        <f t="shared" si="389"/>
        <v>7.8409043454057813E-3</v>
      </c>
      <c r="D386" s="3">
        <f t="shared" si="389"/>
        <v>7.8409043454057813E-3</v>
      </c>
      <c r="E386" s="3">
        <f t="shared" si="389"/>
        <v>7.8409043454057796E-3</v>
      </c>
      <c r="F386" s="3">
        <f t="shared" si="389"/>
        <v>7.8409043454057744E-3</v>
      </c>
      <c r="G386" s="3">
        <f t="shared" si="389"/>
        <v>7.8409043454057154E-3</v>
      </c>
      <c r="H386" s="3">
        <f t="shared" si="389"/>
        <v>7.8409043454051221E-3</v>
      </c>
      <c r="I386" s="3">
        <f t="shared" si="389"/>
        <v>7.8409043453991824E-3</v>
      </c>
      <c r="J386" s="3">
        <f t="shared" si="389"/>
        <v>7.8409043453397873E-3</v>
      </c>
      <c r="K386" s="3">
        <f t="shared" si="389"/>
        <v>7.8409043447458301E-3</v>
      </c>
      <c r="L386" s="3">
        <f t="shared" si="389"/>
        <v>7.8409043388062757E-3</v>
      </c>
      <c r="M386" s="3">
        <f t="shared" si="389"/>
        <v>7.8409042794107247E-3</v>
      </c>
      <c r="N386" s="3">
        <f t="shared" si="389"/>
        <v>7.8409036854552444E-3</v>
      </c>
      <c r="O386" s="3">
        <f t="shared" si="389"/>
        <v>7.8408977459029153E-3</v>
      </c>
      <c r="P386" s="3">
        <f t="shared" si="389"/>
        <v>7.8408383506270874E-3</v>
      </c>
      <c r="Q386" s="3">
        <f t="shared" si="389"/>
        <v>7.8402444226139904E-3</v>
      </c>
      <c r="R386" s="3">
        <f t="shared" si="389"/>
        <v>7.8343076163088637E-3</v>
      </c>
      <c r="S386" s="3">
        <f t="shared" si="389"/>
        <v>7.77518624388439E-3</v>
      </c>
      <c r="T386" s="3">
        <f t="shared" si="389"/>
        <v>7.2079639489013017E-3</v>
      </c>
      <c r="U386" s="3">
        <f t="shared" si="389"/>
        <v>3.37933041072407E-3</v>
      </c>
      <c r="V386" s="3">
        <f t="shared" si="389"/>
        <v>1.733848567649945E-6</v>
      </c>
      <c r="W386" s="3">
        <f t="shared" si="389"/>
        <v>2.1918772975502763E-39</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1.487119099211914E-2</v>
      </c>
      <c r="C387" s="3">
        <f t="shared" si="390"/>
        <v>1.487119099211914E-2</v>
      </c>
      <c r="D387" s="3">
        <f t="shared" si="390"/>
        <v>1.487119099211914E-2</v>
      </c>
      <c r="E387" s="3">
        <f t="shared" si="390"/>
        <v>1.487119099211914E-2</v>
      </c>
      <c r="F387" s="3">
        <f t="shared" si="390"/>
        <v>1.4871190992119136E-2</v>
      </c>
      <c r="G387" s="3">
        <f t="shared" si="390"/>
        <v>1.4871190992119105E-2</v>
      </c>
      <c r="H387" s="3">
        <f t="shared" si="390"/>
        <v>1.4871190992118793E-2</v>
      </c>
      <c r="I387" s="3">
        <f t="shared" si="390"/>
        <v>1.4871190992115677E-2</v>
      </c>
      <c r="J387" s="3">
        <f t="shared" si="390"/>
        <v>1.4871190992084522E-2</v>
      </c>
      <c r="K387" s="3">
        <f t="shared" si="390"/>
        <v>1.4871190991772958E-2</v>
      </c>
      <c r="L387" s="3">
        <f t="shared" si="390"/>
        <v>1.4871190988657324E-2</v>
      </c>
      <c r="M387" s="3">
        <f t="shared" si="390"/>
        <v>1.4871190957500989E-2</v>
      </c>
      <c r="N387" s="3">
        <f t="shared" si="390"/>
        <v>1.4871190645937638E-2</v>
      </c>
      <c r="O387" s="3">
        <f t="shared" si="390"/>
        <v>1.4871187530304491E-2</v>
      </c>
      <c r="P387" s="3">
        <f t="shared" si="390"/>
        <v>1.4871156374008914E-2</v>
      </c>
      <c r="Q387" s="3">
        <f t="shared" si="390"/>
        <v>1.4870844814643241E-2</v>
      </c>
      <c r="R387" s="3">
        <f t="shared" si="390"/>
        <v>1.4867729579968188E-2</v>
      </c>
      <c r="S387" s="3">
        <f t="shared" si="390"/>
        <v>1.4836613103572845E-2</v>
      </c>
      <c r="T387" s="3">
        <f t="shared" si="390"/>
        <v>1.4529007724309817E-2</v>
      </c>
      <c r="U387" s="3">
        <f t="shared" si="390"/>
        <v>1.1782780422072817E-2</v>
      </c>
      <c r="V387" s="3">
        <f t="shared" si="390"/>
        <v>1.4499935906156268E-3</v>
      </c>
      <c r="W387" s="3">
        <f t="shared" si="390"/>
        <v>1.1549124503826393E-12</v>
      </c>
      <c r="X387" s="3">
        <f t="shared" si="390"/>
        <v>1.1868036413594429E-103</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3.2949113910046581E-3</v>
      </c>
      <c r="C388" s="3">
        <f t="shared" si="391"/>
        <v>3.2949113910046581E-3</v>
      </c>
      <c r="D388" s="3">
        <f t="shared" si="391"/>
        <v>3.2949113910046581E-3</v>
      </c>
      <c r="E388" s="3">
        <f t="shared" si="391"/>
        <v>3.2949113910046581E-3</v>
      </c>
      <c r="F388" s="3">
        <f t="shared" si="391"/>
        <v>3.2949113910046581E-3</v>
      </c>
      <c r="G388" s="3">
        <f t="shared" si="391"/>
        <v>3.2949113910046572E-3</v>
      </c>
      <c r="H388" s="3">
        <f t="shared" si="391"/>
        <v>3.2949113910046503E-3</v>
      </c>
      <c r="I388" s="3">
        <f t="shared" si="391"/>
        <v>3.2949113910045813E-3</v>
      </c>
      <c r="J388" s="3">
        <f t="shared" si="391"/>
        <v>3.2949113910038909E-3</v>
      </c>
      <c r="K388" s="3">
        <f t="shared" si="391"/>
        <v>3.294911390996988E-3</v>
      </c>
      <c r="L388" s="3">
        <f t="shared" si="391"/>
        <v>3.2949113909279569E-3</v>
      </c>
      <c r="M388" s="3">
        <f t="shared" si="391"/>
        <v>3.2949113902376466E-3</v>
      </c>
      <c r="N388" s="3">
        <f t="shared" si="391"/>
        <v>3.2949113833345436E-3</v>
      </c>
      <c r="O388" s="3">
        <f t="shared" si="391"/>
        <v>3.2949113143035135E-3</v>
      </c>
      <c r="P388" s="3">
        <f t="shared" si="391"/>
        <v>3.2949106239932918E-3</v>
      </c>
      <c r="Q388" s="3">
        <f t="shared" si="391"/>
        <v>3.2949037208990306E-3</v>
      </c>
      <c r="R388" s="3">
        <f t="shared" si="391"/>
        <v>3.2948346907518506E-3</v>
      </c>
      <c r="S388" s="3">
        <f t="shared" si="391"/>
        <v>3.2941444688172434E-3</v>
      </c>
      <c r="T388" s="3">
        <f t="shared" si="391"/>
        <v>3.2872501970284355E-3</v>
      </c>
      <c r="U388" s="3">
        <f t="shared" si="391"/>
        <v>3.2190961084550876E-3</v>
      </c>
      <c r="V388" s="3">
        <f t="shared" si="391"/>
        <v>2.6106326958592911E-3</v>
      </c>
      <c r="W388" s="3">
        <f t="shared" si="391"/>
        <v>3.2126548580641744E-4</v>
      </c>
      <c r="X388" s="3">
        <f t="shared" si="391"/>
        <v>2.558863100067415E-13</v>
      </c>
      <c r="Y388" s="3">
        <f t="shared" si="391"/>
        <v>2.6295223017936664E-104</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4.0317394660720415E-3</v>
      </c>
      <c r="C389" s="3">
        <f t="shared" si="392"/>
        <v>4.0317394660720415E-3</v>
      </c>
      <c r="D389" s="3">
        <f t="shared" si="392"/>
        <v>4.0317394660720415E-3</v>
      </c>
      <c r="E389" s="3">
        <f t="shared" si="392"/>
        <v>4.0317394660720415E-3</v>
      </c>
      <c r="F389" s="3">
        <f t="shared" si="392"/>
        <v>4.0317394660720415E-3</v>
      </c>
      <c r="G389" s="3">
        <f t="shared" si="392"/>
        <v>4.0317394660720415E-3</v>
      </c>
      <c r="H389" s="3">
        <f t="shared" si="392"/>
        <v>4.0317394660720407E-3</v>
      </c>
      <c r="I389" s="3">
        <f t="shared" si="392"/>
        <v>4.031739466072032E-3</v>
      </c>
      <c r="J389" s="3">
        <f t="shared" si="392"/>
        <v>4.0317394660719479E-3</v>
      </c>
      <c r="K389" s="3">
        <f t="shared" si="392"/>
        <v>4.031739466071103E-3</v>
      </c>
      <c r="L389" s="3">
        <f t="shared" si="392"/>
        <v>4.0317394660626558E-3</v>
      </c>
      <c r="M389" s="3">
        <f t="shared" si="392"/>
        <v>4.0317394659781878E-3</v>
      </c>
      <c r="N389" s="3">
        <f t="shared" si="392"/>
        <v>4.0317394651335067E-3</v>
      </c>
      <c r="O389" s="3">
        <f t="shared" si="392"/>
        <v>4.0317394566866897E-3</v>
      </c>
      <c r="P389" s="3">
        <f t="shared" si="392"/>
        <v>4.031739372218522E-3</v>
      </c>
      <c r="Q389" s="3">
        <f t="shared" si="392"/>
        <v>4.0317385275369403E-3</v>
      </c>
      <c r="R389" s="3">
        <f t="shared" si="392"/>
        <v>4.0317300807308602E-3</v>
      </c>
      <c r="S389" s="3">
        <f t="shared" si="392"/>
        <v>4.03164561364337E-3</v>
      </c>
      <c r="T389" s="3">
        <f t="shared" si="392"/>
        <v>4.0308010400922573E-3</v>
      </c>
      <c r="U389" s="3">
        <f t="shared" si="392"/>
        <v>4.022365029419361E-3</v>
      </c>
      <c r="V389" s="3">
        <f t="shared" si="392"/>
        <v>3.9389699100770004E-3</v>
      </c>
      <c r="W389" s="3">
        <f t="shared" si="392"/>
        <v>3.1944382176859192E-3</v>
      </c>
      <c r="X389" s="3">
        <f t="shared" si="392"/>
        <v>3.9310882281954186E-4</v>
      </c>
      <c r="Y389" s="3">
        <f t="shared" si="392"/>
        <v>3.1310915908034698E-13</v>
      </c>
      <c r="Z389" s="3">
        <f t="shared" si="392"/>
        <v>3.2175520319001911E-104</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2.1502645285220883E-3</v>
      </c>
      <c r="C390" s="3">
        <f t="shared" si="393"/>
        <v>2.1502645285220883E-3</v>
      </c>
      <c r="D390" s="3">
        <f t="shared" si="393"/>
        <v>2.1502645285220883E-3</v>
      </c>
      <c r="E390" s="3">
        <f t="shared" si="393"/>
        <v>2.1502645285220883E-3</v>
      </c>
      <c r="F390" s="3">
        <f t="shared" si="393"/>
        <v>2.1502645285220883E-3</v>
      </c>
      <c r="G390" s="3">
        <f t="shared" si="393"/>
        <v>2.1502645285220883E-3</v>
      </c>
      <c r="H390" s="3">
        <f t="shared" si="393"/>
        <v>2.1502645285220883E-3</v>
      </c>
      <c r="I390" s="3">
        <f t="shared" si="393"/>
        <v>2.1502645285220879E-3</v>
      </c>
      <c r="J390" s="3">
        <f t="shared" si="393"/>
        <v>2.1502645285220831E-3</v>
      </c>
      <c r="K390" s="3">
        <f t="shared" si="393"/>
        <v>2.150264528522038E-3</v>
      </c>
      <c r="L390" s="3">
        <f t="shared" si="393"/>
        <v>2.1502645285215879E-3</v>
      </c>
      <c r="M390" s="3">
        <f t="shared" si="393"/>
        <v>2.1502645285170828E-3</v>
      </c>
      <c r="N390" s="3">
        <f t="shared" si="393"/>
        <v>2.1502645284720329E-3</v>
      </c>
      <c r="O390" s="3">
        <f t="shared" si="393"/>
        <v>2.1502645280215356E-3</v>
      </c>
      <c r="P390" s="3">
        <f t="shared" si="393"/>
        <v>2.1502645235165594E-3</v>
      </c>
      <c r="Q390" s="3">
        <f t="shared" si="393"/>
        <v>2.1502644784667968E-3</v>
      </c>
      <c r="R390" s="3">
        <f t="shared" si="393"/>
        <v>2.150264027969224E-3</v>
      </c>
      <c r="S390" s="3">
        <f t="shared" si="393"/>
        <v>2.1502595229986906E-3</v>
      </c>
      <c r="T390" s="3">
        <f t="shared" si="393"/>
        <v>2.150214473812456E-3</v>
      </c>
      <c r="U390" s="3">
        <f t="shared" si="393"/>
        <v>2.1497640338562119E-3</v>
      </c>
      <c r="V390" s="3">
        <f t="shared" si="393"/>
        <v>2.1452648208825529E-3</v>
      </c>
      <c r="W390" s="3">
        <f t="shared" si="393"/>
        <v>2.1007873519184065E-3</v>
      </c>
      <c r="X390" s="3">
        <f t="shared" si="393"/>
        <v>1.7037031400090514E-3</v>
      </c>
      <c r="Y390" s="3">
        <f t="shared" si="393"/>
        <v>2.096583781445245E-4</v>
      </c>
      <c r="Z390" s="3">
        <f t="shared" si="393"/>
        <v>1.669918217661487E-13</v>
      </c>
      <c r="AA390" s="3">
        <f t="shared" si="393"/>
        <v>1.7160305275404235E-104</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3.0564736295290245E-3</v>
      </c>
      <c r="C392" s="3">
        <f t="shared" si="395"/>
        <v>3.0564736295290245E-3</v>
      </c>
      <c r="D392" s="3">
        <f t="shared" si="395"/>
        <v>3.0564736295290245E-3</v>
      </c>
      <c r="E392" s="3">
        <f t="shared" si="395"/>
        <v>3.0564736295290245E-3</v>
      </c>
      <c r="F392" s="3">
        <f t="shared" si="395"/>
        <v>3.0564736295290245E-3</v>
      </c>
      <c r="G392" s="3">
        <f t="shared" si="395"/>
        <v>3.0564736295290245E-3</v>
      </c>
      <c r="H392" s="3">
        <f t="shared" si="395"/>
        <v>3.0564736295290245E-3</v>
      </c>
      <c r="I392" s="3">
        <f t="shared" si="395"/>
        <v>3.0564736295290245E-3</v>
      </c>
      <c r="J392" s="3">
        <f t="shared" si="395"/>
        <v>3.0564736295290245E-3</v>
      </c>
      <c r="K392" s="3">
        <f t="shared" si="395"/>
        <v>3.0564736295290236E-3</v>
      </c>
      <c r="L392" s="3">
        <f t="shared" si="395"/>
        <v>3.0564736295290175E-3</v>
      </c>
      <c r="M392" s="3">
        <f t="shared" si="395"/>
        <v>3.0564736295289534E-3</v>
      </c>
      <c r="N392" s="3">
        <f t="shared" si="395"/>
        <v>3.0564736295283128E-3</v>
      </c>
      <c r="O392" s="3">
        <f t="shared" si="395"/>
        <v>3.0564736295219091E-3</v>
      </c>
      <c r="P392" s="3">
        <f t="shared" si="395"/>
        <v>3.0564736294578735E-3</v>
      </c>
      <c r="Q392" s="3">
        <f t="shared" si="395"/>
        <v>3.0564736288175181E-3</v>
      </c>
      <c r="R392" s="3">
        <f t="shared" si="395"/>
        <v>3.0564736224139612E-3</v>
      </c>
      <c r="S392" s="3">
        <f t="shared" si="395"/>
        <v>3.0564735583783931E-3</v>
      </c>
      <c r="T392" s="3">
        <f t="shared" si="395"/>
        <v>3.0564729180227847E-3</v>
      </c>
      <c r="U392" s="3">
        <f t="shared" si="395"/>
        <v>3.0564665144740795E-3</v>
      </c>
      <c r="V392" s="3">
        <f t="shared" si="395"/>
        <v>3.056402479724898E-3</v>
      </c>
      <c r="W392" s="3">
        <f t="shared" si="395"/>
        <v>3.055762206014531E-3</v>
      </c>
      <c r="X392" s="3">
        <f t="shared" si="395"/>
        <v>3.0493668413395275E-3</v>
      </c>
      <c r="Y392" s="3">
        <f t="shared" si="395"/>
        <v>2.9861447543851629E-3</v>
      </c>
      <c r="Z392" s="3">
        <f t="shared" si="395"/>
        <v>2.4217130733968526E-3</v>
      </c>
      <c r="AA392" s="3">
        <f t="shared" si="395"/>
        <v>2.9801696280085419E-4</v>
      </c>
      <c r="AB392" s="3">
        <f t="shared" si="395"/>
        <v>2.3736898079514658E-13</v>
      </c>
      <c r="AC392" s="3">
        <f t="shared" si="395"/>
        <v>2.4392357244059919E-104</v>
      </c>
      <c r="AD392" s="3">
        <f t="shared" si="395"/>
        <v>0</v>
      </c>
      <c r="AE392" s="3">
        <f t="shared" si="395"/>
        <v>0</v>
      </c>
      <c r="AF392" s="3">
        <f t="shared" si="395"/>
        <v>0</v>
      </c>
      <c r="AG392" s="3"/>
      <c r="AH392" s="3"/>
    </row>
    <row r="393" spans="1:34" x14ac:dyDescent="0.25">
      <c r="B393" s="3">
        <f t="shared" ref="B393:AF393" si="396">$C45*EXP(-B$363/$A45/EXP(-$H$126))</f>
        <v>1.3352216676863077E-3</v>
      </c>
      <c r="C393" s="3">
        <f t="shared" si="396"/>
        <v>1.3352216676863077E-3</v>
      </c>
      <c r="D393" s="3">
        <f t="shared" si="396"/>
        <v>1.3352216676863077E-3</v>
      </c>
      <c r="E393" s="3">
        <f t="shared" si="396"/>
        <v>1.3352216676863077E-3</v>
      </c>
      <c r="F393" s="3">
        <f t="shared" si="396"/>
        <v>1.3352216676863077E-3</v>
      </c>
      <c r="G393" s="3">
        <f t="shared" si="396"/>
        <v>1.3352216676863077E-3</v>
      </c>
      <c r="H393" s="3">
        <f t="shared" si="396"/>
        <v>1.3352216676863077E-3</v>
      </c>
      <c r="I393" s="3">
        <f t="shared" si="396"/>
        <v>1.3352216676863077E-3</v>
      </c>
      <c r="J393" s="3">
        <f t="shared" si="396"/>
        <v>1.3352216676863077E-3</v>
      </c>
      <c r="K393" s="3">
        <f t="shared" si="396"/>
        <v>1.3352216676863077E-3</v>
      </c>
      <c r="L393" s="3">
        <f t="shared" si="396"/>
        <v>1.3352216676863074E-3</v>
      </c>
      <c r="M393" s="3">
        <f t="shared" si="396"/>
        <v>1.3352216676863046E-3</v>
      </c>
      <c r="N393" s="3">
        <f t="shared" si="396"/>
        <v>1.3352216676862764E-3</v>
      </c>
      <c r="O393" s="3">
        <f t="shared" si="396"/>
        <v>1.3352216676859967E-3</v>
      </c>
      <c r="P393" s="3">
        <f t="shared" si="396"/>
        <v>1.3352216676831995E-3</v>
      </c>
      <c r="Q393" s="3">
        <f t="shared" si="396"/>
        <v>1.3352216676552253E-3</v>
      </c>
      <c r="R393" s="3">
        <f t="shared" si="396"/>
        <v>1.3352216673754858E-3</v>
      </c>
      <c r="S393" s="3">
        <f t="shared" si="396"/>
        <v>1.3352216645780895E-3</v>
      </c>
      <c r="T393" s="3">
        <f t="shared" si="396"/>
        <v>1.3352216366041272E-3</v>
      </c>
      <c r="U393" s="3">
        <f t="shared" si="396"/>
        <v>1.3352213568645361E-3</v>
      </c>
      <c r="V393" s="3">
        <f t="shared" si="396"/>
        <v>1.3352185594718484E-3</v>
      </c>
      <c r="W393" s="3">
        <f t="shared" si="396"/>
        <v>1.3351905858673108E-3</v>
      </c>
      <c r="X393" s="3">
        <f t="shared" si="396"/>
        <v>1.3349108820533888E-3</v>
      </c>
      <c r="Y393" s="3">
        <f t="shared" si="396"/>
        <v>1.332117064562434E-3</v>
      </c>
      <c r="Z393" s="3">
        <f t="shared" si="396"/>
        <v>1.3044984718278965E-3</v>
      </c>
      <c r="AA393" s="3">
        <f t="shared" si="396"/>
        <v>1.057926277288686E-3</v>
      </c>
      <c r="AB393" s="3">
        <f t="shared" si="396"/>
        <v>1.301888235597441E-4</v>
      </c>
      <c r="AC393" s="3">
        <f t="shared" si="396"/>
        <v>1.0369472955116986E-13</v>
      </c>
      <c r="AD393" s="3">
        <f t="shared" si="396"/>
        <v>1.0655810540473239E-104</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1.2732628915488146E-2</v>
      </c>
      <c r="B397" s="80">
        <f>IF($A$64&lt;=B363,IF($B$64&gt;=B363,ABS((B365-B364)/B364),0),0)</f>
        <v>1.4492247223132622E-3</v>
      </c>
      <c r="C397" s="80">
        <f t="shared" ref="C397:AF397" si="400">IF($A$64&lt;=C363,IF($B$64&gt;=C363,ABS((C365-C364)/C364),0),0)</f>
        <v>1.2949333433167873E-2</v>
      </c>
      <c r="D397" s="80">
        <f t="shared" si="400"/>
        <v>1.4413157268777704E-2</v>
      </c>
      <c r="E397" s="80">
        <f t="shared" si="400"/>
        <v>1.5782739308127763E-2</v>
      </c>
      <c r="F397" s="80">
        <f t="shared" si="400"/>
        <v>1.448271914857349E-2</v>
      </c>
      <c r="G397" s="80">
        <f t="shared" si="400"/>
        <v>1.1356497328979448E-2</v>
      </c>
      <c r="H397" s="80">
        <f t="shared" si="400"/>
        <v>1.3314223626430602E-2</v>
      </c>
      <c r="I397" s="80">
        <f t="shared" si="400"/>
        <v>1.1366088257471357E-2</v>
      </c>
      <c r="J397" s="80">
        <f t="shared" si="400"/>
        <v>1.2913867647570174E-2</v>
      </c>
      <c r="K397" s="80">
        <f t="shared" si="400"/>
        <v>1.0966719309405489E-2</v>
      </c>
      <c r="L397" s="80">
        <f t="shared" si="400"/>
        <v>1.5396554761164749E-2</v>
      </c>
      <c r="M397" s="80">
        <f t="shared" si="400"/>
        <v>1.272222831162023E-2</v>
      </c>
      <c r="N397" s="80">
        <f t="shared" si="400"/>
        <v>1.4349693820220886E-2</v>
      </c>
      <c r="O397" s="80">
        <f t="shared" si="400"/>
        <v>1.0180909068557209E-2</v>
      </c>
      <c r="P397" s="80">
        <f t="shared" si="400"/>
        <v>4.4484825485002356E-2</v>
      </c>
      <c r="Q397" s="80">
        <f t="shared" si="400"/>
        <v>5.3076032558391086E-2</v>
      </c>
      <c r="R397" s="80">
        <f t="shared" si="400"/>
        <v>2.9023787915953905E-2</v>
      </c>
      <c r="S397" s="80">
        <f t="shared" si="400"/>
        <v>6.813449248269138E-3</v>
      </c>
      <c r="T397" s="80">
        <f t="shared" si="400"/>
        <v>1.0185953267458404E-2</v>
      </c>
      <c r="U397" s="80">
        <f t="shared" si="400"/>
        <v>1.7366889663312811E-2</v>
      </c>
      <c r="V397" s="80">
        <f t="shared" si="400"/>
        <v>2.0439677431828788E-2</v>
      </c>
      <c r="W397" s="80">
        <f t="shared" si="400"/>
        <v>8.5034845129898489E-3</v>
      </c>
      <c r="X397" s="80">
        <f t="shared" si="400"/>
        <v>5.3327256424442375E-3</v>
      </c>
      <c r="Y397" s="80">
        <f t="shared" si="400"/>
        <v>5.7820999653981986E-3</v>
      </c>
      <c r="Z397" s="80">
        <f t="shared" si="400"/>
        <v>2.1669613497105212E-3</v>
      </c>
      <c r="AA397" s="80">
        <f t="shared" si="400"/>
        <v>4.4981126557164181E-3</v>
      </c>
      <c r="AB397" s="80">
        <f t="shared" si="400"/>
        <v>4.2872200924891669E-3</v>
      </c>
      <c r="AC397" s="80">
        <f t="shared" si="400"/>
        <v>2.7392088614205767E-3</v>
      </c>
      <c r="AD397" s="80">
        <f t="shared" si="400"/>
        <v>2.0139741226251734E-3</v>
      </c>
      <c r="AE397" s="80">
        <f t="shared" si="400"/>
        <v>2.1534506806539008E-3</v>
      </c>
      <c r="AF397" s="80">
        <f t="shared" si="400"/>
        <v>4.1996869140877597E-3</v>
      </c>
    </row>
    <row r="398" spans="1:34" x14ac:dyDescent="0.25">
      <c r="B398" s="21">
        <f>(B365-B364)^2</f>
        <v>149.12945066381451</v>
      </c>
      <c r="C398" s="21">
        <f t="shared" ref="C398:AF398" si="401">(C365-C364)^2</f>
        <v>10961.485873318197</v>
      </c>
      <c r="D398" s="21">
        <f t="shared" si="401"/>
        <v>12482.600972293223</v>
      </c>
      <c r="E398" s="21">
        <f t="shared" si="401"/>
        <v>13566.164910488927</v>
      </c>
      <c r="F398" s="21">
        <f t="shared" si="401"/>
        <v>10346.449274284434</v>
      </c>
      <c r="G398" s="21">
        <f t="shared" si="401"/>
        <v>5856.5837281004769</v>
      </c>
      <c r="H398" s="21">
        <f t="shared" si="401"/>
        <v>7381.5062608694352</v>
      </c>
      <c r="I398" s="21">
        <f t="shared" si="401"/>
        <v>4931.8035974138784</v>
      </c>
      <c r="J398" s="21">
        <f t="shared" si="401"/>
        <v>5781.4884311887436</v>
      </c>
      <c r="K398" s="21">
        <f t="shared" si="401"/>
        <v>3797.5843014122529</v>
      </c>
      <c r="L398" s="21">
        <f t="shared" si="401"/>
        <v>6609.6000689220846</v>
      </c>
      <c r="M398" s="21">
        <f t="shared" si="401"/>
        <v>3927.1489757938107</v>
      </c>
      <c r="N398" s="21">
        <f t="shared" si="401"/>
        <v>4199.8582236715238</v>
      </c>
      <c r="O398" s="21">
        <f t="shared" si="401"/>
        <v>1704.0936834250213</v>
      </c>
      <c r="P398" s="21">
        <f t="shared" si="401"/>
        <v>23978.707273523349</v>
      </c>
      <c r="Q398" s="21">
        <f t="shared" si="401"/>
        <v>21721.768701192697</v>
      </c>
      <c r="R398" s="21">
        <f t="shared" si="401"/>
        <v>3442.5675966160884</v>
      </c>
      <c r="S398" s="21">
        <f t="shared" si="401"/>
        <v>94.271213142864852</v>
      </c>
      <c r="T398" s="21">
        <f t="shared" si="401"/>
        <v>103.81890673027222</v>
      </c>
      <c r="U398" s="21">
        <f t="shared" si="401"/>
        <v>177.21582224963726</v>
      </c>
      <c r="V398" s="21">
        <f t="shared" si="401"/>
        <v>169.89729768653552</v>
      </c>
      <c r="W398" s="21">
        <f t="shared" si="401"/>
        <v>24.393651535406288</v>
      </c>
      <c r="X398" s="21">
        <f t="shared" si="401"/>
        <v>8.3168510165014666</v>
      </c>
      <c r="Y398" s="21">
        <f t="shared" si="401"/>
        <v>9.0360855421091966</v>
      </c>
      <c r="Z398" s="21">
        <f t="shared" si="401"/>
        <v>1.2182288238879433</v>
      </c>
      <c r="AA398" s="21">
        <f t="shared" si="401"/>
        <v>4.6725190469101543</v>
      </c>
      <c r="AB398" s="21">
        <f t="shared" si="401"/>
        <v>4.0868710301582523</v>
      </c>
      <c r="AC398" s="21">
        <f t="shared" si="401"/>
        <v>1.6532669842432028</v>
      </c>
      <c r="AD398" s="21">
        <f t="shared" si="401"/>
        <v>0.89241947166044699</v>
      </c>
      <c r="AE398" s="21">
        <f t="shared" si="401"/>
        <v>1.0118394155496153</v>
      </c>
      <c r="AF398" s="21">
        <f t="shared" si="401"/>
        <v>3.832691403995844</v>
      </c>
      <c r="AG398" s="3"/>
      <c r="AH398" s="3"/>
    </row>
    <row r="399" spans="1:34" x14ac:dyDescent="0.25">
      <c r="A399" s="71">
        <f>SUM(B399:AF399)</f>
        <v>141442.85898725776</v>
      </c>
      <c r="B399" s="60">
        <f>IF($A$64&lt;=B363,IF($B$64&gt;=B363,ABS(B398),0),0)</f>
        <v>149.12945066381451</v>
      </c>
      <c r="C399" s="60">
        <f t="shared" ref="C399" si="402">IF($A$64&lt;=C363,IF($B$64&gt;=C363,ABS(C398),0),0)</f>
        <v>10961.485873318197</v>
      </c>
      <c r="D399" s="60">
        <f t="shared" ref="D399" si="403">IF($A$64&lt;=D363,IF($B$64&gt;=D363,ABS(D398),0),0)</f>
        <v>12482.600972293223</v>
      </c>
      <c r="E399" s="60">
        <f t="shared" ref="E399" si="404">IF($A$64&lt;=E363,IF($B$64&gt;=E363,ABS(E398),0),0)</f>
        <v>13566.164910488927</v>
      </c>
      <c r="F399" s="60">
        <f t="shared" ref="F399" si="405">IF($A$64&lt;=F363,IF($B$64&gt;=F363,ABS(F398),0),0)</f>
        <v>10346.449274284434</v>
      </c>
      <c r="G399" s="60">
        <f t="shared" ref="G399" si="406">IF($A$64&lt;=G363,IF($B$64&gt;=G363,ABS(G398),0),0)</f>
        <v>5856.5837281004769</v>
      </c>
      <c r="H399" s="60">
        <f t="shared" ref="H399" si="407">IF($A$64&lt;=H363,IF($B$64&gt;=H363,ABS(H398),0),0)</f>
        <v>7381.5062608694352</v>
      </c>
      <c r="I399" s="60">
        <f t="shared" ref="I399" si="408">IF($A$64&lt;=I363,IF($B$64&gt;=I363,ABS(I398),0),0)</f>
        <v>4931.8035974138784</v>
      </c>
      <c r="J399" s="60">
        <f t="shared" ref="J399" si="409">IF($A$64&lt;=J363,IF($B$64&gt;=J363,ABS(J398),0),0)</f>
        <v>5781.4884311887436</v>
      </c>
      <c r="K399" s="60">
        <f t="shared" ref="K399" si="410">IF($A$64&lt;=K363,IF($B$64&gt;=K363,ABS(K398),0),0)</f>
        <v>3797.5843014122529</v>
      </c>
      <c r="L399" s="60">
        <f t="shared" ref="L399" si="411">IF($A$64&lt;=L363,IF($B$64&gt;=L363,ABS(L398),0),0)</f>
        <v>6609.6000689220846</v>
      </c>
      <c r="M399" s="60">
        <f t="shared" ref="M399" si="412">IF($A$64&lt;=M363,IF($B$64&gt;=M363,ABS(M398),0),0)</f>
        <v>3927.1489757938107</v>
      </c>
      <c r="N399" s="60">
        <f t="shared" ref="N399" si="413">IF($A$64&lt;=N363,IF($B$64&gt;=N363,ABS(N398),0),0)</f>
        <v>4199.8582236715238</v>
      </c>
      <c r="O399" s="60">
        <f t="shared" ref="O399" si="414">IF($A$64&lt;=O363,IF($B$64&gt;=O363,ABS(O398),0),0)</f>
        <v>1704.0936834250213</v>
      </c>
      <c r="P399" s="60">
        <f t="shared" ref="P399" si="415">IF($A$64&lt;=P363,IF($B$64&gt;=P363,ABS(P398),0),0)</f>
        <v>23978.707273523349</v>
      </c>
      <c r="Q399" s="60">
        <f t="shared" ref="Q399" si="416">IF($A$64&lt;=Q363,IF($B$64&gt;=Q363,ABS(Q398),0),0)</f>
        <v>21721.768701192697</v>
      </c>
      <c r="R399" s="60">
        <f t="shared" ref="R399" si="417">IF($A$64&lt;=R363,IF($B$64&gt;=R363,ABS(R398),0),0)</f>
        <v>3442.5675966160884</v>
      </c>
      <c r="S399" s="60">
        <f t="shared" ref="S399" si="418">IF($A$64&lt;=S363,IF($B$64&gt;=S363,ABS(S398),0),0)</f>
        <v>94.271213142864852</v>
      </c>
      <c r="T399" s="60">
        <f t="shared" ref="T399" si="419">IF($A$64&lt;=T363,IF($B$64&gt;=T363,ABS(T398),0),0)</f>
        <v>103.81890673027222</v>
      </c>
      <c r="U399" s="60">
        <f t="shared" ref="U399" si="420">IF($A$64&lt;=U363,IF($B$64&gt;=U363,ABS(U398),0),0)</f>
        <v>177.21582224963726</v>
      </c>
      <c r="V399" s="60">
        <f t="shared" ref="V399" si="421">IF($A$64&lt;=V363,IF($B$64&gt;=V363,ABS(V398),0),0)</f>
        <v>169.89729768653552</v>
      </c>
      <c r="W399" s="60">
        <f t="shared" ref="W399" si="422">IF($A$64&lt;=W363,IF($B$64&gt;=W363,ABS(W398),0),0)</f>
        <v>24.393651535406288</v>
      </c>
      <c r="X399" s="60">
        <f t="shared" ref="X399" si="423">IF($A$64&lt;=X363,IF($B$64&gt;=X363,ABS(X398),0),0)</f>
        <v>8.3168510165014666</v>
      </c>
      <c r="Y399" s="60">
        <f t="shared" ref="Y399" si="424">IF($A$64&lt;=Y363,IF($B$64&gt;=Y363,ABS(Y398),0),0)</f>
        <v>9.0360855421091966</v>
      </c>
      <c r="Z399" s="60">
        <f t="shared" ref="Z399" si="425">IF($A$64&lt;=Z363,IF($B$64&gt;=Z363,ABS(Z398),0),0)</f>
        <v>1.2182288238879433</v>
      </c>
      <c r="AA399" s="60">
        <f t="shared" ref="AA399" si="426">IF($A$64&lt;=AA363,IF($B$64&gt;=AA363,ABS(AA398),0),0)</f>
        <v>4.6725190469101543</v>
      </c>
      <c r="AB399" s="60">
        <f t="shared" ref="AB399" si="427">IF($A$64&lt;=AB363,IF($B$64&gt;=AB363,ABS(AB398),0),0)</f>
        <v>4.0868710301582523</v>
      </c>
      <c r="AC399" s="60">
        <f t="shared" ref="AC399" si="428">IF($A$64&lt;=AC363,IF($B$64&gt;=AC363,ABS(AC398),0),0)</f>
        <v>1.6532669842432028</v>
      </c>
      <c r="AD399" s="60">
        <f t="shared" ref="AD399" si="429">IF($A$64&lt;=AD363,IF($B$64&gt;=AD363,ABS(AD398),0),0)</f>
        <v>0.89241947166044699</v>
      </c>
      <c r="AE399" s="60">
        <f t="shared" ref="AE399" si="430">IF($A$64&lt;=AE363,IF($B$64&gt;=AE363,ABS(AE398),0),0)</f>
        <v>1.0118394155496153</v>
      </c>
      <c r="AF399" s="60">
        <f t="shared" ref="AF399" si="431">IF($A$64&lt;=AF363,IF($B$64&gt;=AF363,ABS(AF398),0),0)</f>
        <v>3.832691403995844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-17.057668506080475</v>
      </c>
      <c r="C403" s="107">
        <f t="shared" ref="C403:H403" si="432">IF(C125=$B$2,0,C126)</f>
        <v>-13.801205867961423</v>
      </c>
      <c r="D403" s="107">
        <f t="shared" si="432"/>
        <v>-11.300486481572344</v>
      </c>
      <c r="E403" s="107">
        <f t="shared" si="432"/>
        <v>-8.4000967341327382</v>
      </c>
      <c r="F403" s="107">
        <f t="shared" si="432"/>
        <v>-5.6978540921375176</v>
      </c>
      <c r="G403" s="107">
        <f t="shared" si="432"/>
        <v>0</v>
      </c>
      <c r="H403" s="107">
        <f t="shared" si="432"/>
        <v>5.450122461093871</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3.9079472567817324E-23</v>
      </c>
      <c r="C404" s="3">
        <f t="shared" ref="C404:H419" si="433">$A404/EXP(-C$403)</f>
        <v>1.0144074916780399E-21</v>
      </c>
      <c r="D404" s="3">
        <f t="shared" si="433"/>
        <v>1.2366906526016326E-20</v>
      </c>
      <c r="E404" s="3">
        <f t="shared" si="433"/>
        <v>2.2484557288532589E-19</v>
      </c>
      <c r="F404" s="3">
        <f t="shared" si="433"/>
        <v>3.3531533005202248E-18</v>
      </c>
      <c r="G404" s="3">
        <f t="shared" si="433"/>
        <v>1.0000000000000001E-15</v>
      </c>
      <c r="H404" s="3">
        <f t="shared" si="433"/>
        <v>2.3278667147264222E-13</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3.9079472567817322E-22</v>
      </c>
      <c r="C405" s="3">
        <f t="shared" si="433"/>
        <v>1.0144074916780398E-20</v>
      </c>
      <c r="D405" s="3">
        <f t="shared" si="433"/>
        <v>1.2366906526016325E-19</v>
      </c>
      <c r="E405" s="3">
        <f t="shared" si="433"/>
        <v>2.2484557288532588E-18</v>
      </c>
      <c r="F405" s="3">
        <f t="shared" si="433"/>
        <v>3.3531533005202246E-17</v>
      </c>
      <c r="G405" s="3">
        <f t="shared" si="433"/>
        <v>1E-14</v>
      </c>
      <c r="H405" s="3">
        <f t="shared" si="433"/>
        <v>2.327866714726422E-12</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3.9079472567817323E-21</v>
      </c>
      <c r="C406" s="3">
        <f t="shared" si="433"/>
        <v>1.0144074916780399E-19</v>
      </c>
      <c r="D406" s="3">
        <f t="shared" si="433"/>
        <v>1.2366906526016326E-18</v>
      </c>
      <c r="E406" s="3">
        <f t="shared" si="433"/>
        <v>2.248455728853259E-17</v>
      </c>
      <c r="F406" s="3">
        <f t="shared" si="433"/>
        <v>3.3531533005202246E-16</v>
      </c>
      <c r="G406" s="3">
        <f t="shared" si="433"/>
        <v>1E-13</v>
      </c>
      <c r="H406" s="3">
        <f t="shared" si="433"/>
        <v>2.3278667147264223E-11</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3.907947256781732E-20</v>
      </c>
      <c r="C407" s="3">
        <f t="shared" si="433"/>
        <v>1.0144074916780397E-18</v>
      </c>
      <c r="D407" s="3">
        <f t="shared" si="433"/>
        <v>1.2366906526016325E-17</v>
      </c>
      <c r="E407" s="3">
        <f t="shared" si="433"/>
        <v>2.2484557288532587E-16</v>
      </c>
      <c r="F407" s="3">
        <f t="shared" si="433"/>
        <v>3.3531533005202244E-15</v>
      </c>
      <c r="G407" s="3">
        <f t="shared" si="433"/>
        <v>9.9999999999999998E-13</v>
      </c>
      <c r="H407" s="3">
        <f t="shared" si="433"/>
        <v>2.3278667147264222E-10</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3.9079472567817321E-19</v>
      </c>
      <c r="C408" s="3">
        <f t="shared" si="433"/>
        <v>1.0144074916780397E-17</v>
      </c>
      <c r="D408" s="3">
        <f t="shared" si="433"/>
        <v>1.2366906526016324E-16</v>
      </c>
      <c r="E408" s="3">
        <f t="shared" si="433"/>
        <v>2.2484557288532588E-15</v>
      </c>
      <c r="F408" s="3">
        <f t="shared" si="433"/>
        <v>3.353153300520224E-14</v>
      </c>
      <c r="G408" s="3">
        <f t="shared" si="433"/>
        <v>9.9999999999999994E-12</v>
      </c>
      <c r="H408" s="3">
        <f t="shared" si="433"/>
        <v>2.3278667147264221E-9</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3.9079472567817327E-18</v>
      </c>
      <c r="C409" s="3">
        <f t="shared" si="433"/>
        <v>1.0144074916780399E-16</v>
      </c>
      <c r="D409" s="3">
        <f t="shared" si="433"/>
        <v>1.2366906526016326E-15</v>
      </c>
      <c r="E409" s="3">
        <f t="shared" si="433"/>
        <v>2.248455728853259E-14</v>
      </c>
      <c r="F409" s="3">
        <f t="shared" si="433"/>
        <v>3.3531533005202246E-13</v>
      </c>
      <c r="G409" s="3">
        <f t="shared" si="433"/>
        <v>1E-10</v>
      </c>
      <c r="H409" s="3">
        <f t="shared" si="433"/>
        <v>2.3278667147264221E-8</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3.9079472567817325E-17</v>
      </c>
      <c r="C410" s="3">
        <f t="shared" si="433"/>
        <v>1.01440749167804E-15</v>
      </c>
      <c r="D410" s="3">
        <f t="shared" si="433"/>
        <v>1.2366906526016325E-14</v>
      </c>
      <c r="E410" s="3">
        <f t="shared" si="433"/>
        <v>2.2484557288532591E-13</v>
      </c>
      <c r="F410" s="3">
        <f t="shared" si="433"/>
        <v>3.3531533005202247E-12</v>
      </c>
      <c r="G410" s="3">
        <f t="shared" si="433"/>
        <v>1.0000000000000001E-9</v>
      </c>
      <c r="H410" s="3">
        <f t="shared" si="433"/>
        <v>2.3278667147264222E-7</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3.9079472567817324E-16</v>
      </c>
      <c r="C411" s="3">
        <f t="shared" si="433"/>
        <v>1.0144074916780398E-14</v>
      </c>
      <c r="D411" s="3">
        <f t="shared" si="433"/>
        <v>1.2366906526016325E-13</v>
      </c>
      <c r="E411" s="3">
        <f t="shared" si="433"/>
        <v>2.2484557288532588E-12</v>
      </c>
      <c r="F411" s="3">
        <f t="shared" si="433"/>
        <v>3.3531533005202248E-11</v>
      </c>
      <c r="G411" s="3">
        <f t="shared" si="433"/>
        <v>1E-8</v>
      </c>
      <c r="H411" s="3">
        <f t="shared" si="433"/>
        <v>2.3278667147264222E-6</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3.9079472567817319E-15</v>
      </c>
      <c r="C412" s="3">
        <f t="shared" si="433"/>
        <v>1.0144074916780397E-13</v>
      </c>
      <c r="D412" s="3">
        <f t="shared" si="433"/>
        <v>1.2366906526016325E-12</v>
      </c>
      <c r="E412" s="3">
        <f t="shared" si="433"/>
        <v>2.2484557288532588E-11</v>
      </c>
      <c r="F412" s="3">
        <f t="shared" si="433"/>
        <v>3.3531533005202244E-10</v>
      </c>
      <c r="G412" s="3">
        <f t="shared" si="433"/>
        <v>9.9999999999999995E-8</v>
      </c>
      <c r="H412" s="3">
        <f t="shared" si="433"/>
        <v>2.3278667147264221E-5</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3.9079472567817324E-14</v>
      </c>
      <c r="C413" s="3">
        <f t="shared" si="433"/>
        <v>1.0144074916780399E-12</v>
      </c>
      <c r="D413" s="3">
        <f t="shared" si="433"/>
        <v>1.2366906526016324E-11</v>
      </c>
      <c r="E413" s="3">
        <f t="shared" si="433"/>
        <v>2.2484557288532588E-10</v>
      </c>
      <c r="F413" s="3">
        <f t="shared" si="433"/>
        <v>3.3531533005202242E-9</v>
      </c>
      <c r="G413" s="3">
        <f t="shared" si="433"/>
        <v>9.9999999999999995E-7</v>
      </c>
      <c r="H413" s="3">
        <f t="shared" si="433"/>
        <v>2.3278667147264221E-4</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3.9079472567817329E-13</v>
      </c>
      <c r="C414" s="3">
        <f t="shared" si="433"/>
        <v>1.0144074916780399E-11</v>
      </c>
      <c r="D414" s="3">
        <f t="shared" si="433"/>
        <v>1.2366906526016326E-10</v>
      </c>
      <c r="E414" s="3">
        <f t="shared" si="433"/>
        <v>2.248455728853259E-9</v>
      </c>
      <c r="F414" s="3">
        <f t="shared" si="433"/>
        <v>3.3531533005202244E-8</v>
      </c>
      <c r="G414" s="3">
        <f t="shared" si="433"/>
        <v>1.0000000000000001E-5</v>
      </c>
      <c r="H414" s="3">
        <f t="shared" si="433"/>
        <v>2.3278667147264222E-3</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3.9079472567817325E-12</v>
      </c>
      <c r="C415" s="3">
        <f t="shared" si="433"/>
        <v>1.0144074916780399E-10</v>
      </c>
      <c r="D415" s="3">
        <f t="shared" si="433"/>
        <v>1.2366906526016325E-9</v>
      </c>
      <c r="E415" s="3">
        <f t="shared" si="433"/>
        <v>2.2484557288532589E-8</v>
      </c>
      <c r="F415" s="3">
        <f t="shared" si="433"/>
        <v>3.3531533005202245E-7</v>
      </c>
      <c r="G415" s="3">
        <f t="shared" si="433"/>
        <v>1E-4</v>
      </c>
      <c r="H415" s="3">
        <f t="shared" si="433"/>
        <v>2.3278667147264221E-2</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3.9079472567817325E-11</v>
      </c>
      <c r="C416" s="3">
        <f t="shared" si="433"/>
        <v>1.0144074916780399E-9</v>
      </c>
      <c r="D416" s="3">
        <f t="shared" si="433"/>
        <v>1.2366906526016325E-8</v>
      </c>
      <c r="E416" s="3">
        <f t="shared" si="433"/>
        <v>2.2484557288532589E-7</v>
      </c>
      <c r="F416" s="3">
        <f t="shared" si="433"/>
        <v>3.3531533005202243E-6</v>
      </c>
      <c r="G416" s="3">
        <f t="shared" si="433"/>
        <v>1E-3</v>
      </c>
      <c r="H416" s="3">
        <f t="shared" si="433"/>
        <v>0.23278667147264223</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3.9079472567817324E-10</v>
      </c>
      <c r="C417" s="3">
        <f t="shared" si="433"/>
        <v>1.0144074916780398E-8</v>
      </c>
      <c r="D417" s="3">
        <f t="shared" si="433"/>
        <v>1.2366906526016325E-7</v>
      </c>
      <c r="E417" s="3">
        <f t="shared" si="433"/>
        <v>2.2484557288532587E-6</v>
      </c>
      <c r="F417" s="3">
        <f t="shared" si="433"/>
        <v>3.3531533005202245E-5</v>
      </c>
      <c r="G417" s="3">
        <f t="shared" si="433"/>
        <v>0.01</v>
      </c>
      <c r="H417" s="3">
        <f t="shared" si="433"/>
        <v>2.3278667147264223</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3.9079472567817328E-9</v>
      </c>
      <c r="C418" s="3">
        <f t="shared" si="433"/>
        <v>1.0144074916780399E-7</v>
      </c>
      <c r="D418" s="3">
        <f t="shared" si="433"/>
        <v>1.2366906526016326E-6</v>
      </c>
      <c r="E418" s="3">
        <f t="shared" si="433"/>
        <v>2.2484557288532589E-5</v>
      </c>
      <c r="F418" s="3">
        <f t="shared" si="433"/>
        <v>3.3531533005202248E-4</v>
      </c>
      <c r="G418" s="3">
        <f t="shared" si="433"/>
        <v>0.1</v>
      </c>
      <c r="H418" s="3">
        <f t="shared" si="433"/>
        <v>23.278667147264223</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3.9079472567817324E-8</v>
      </c>
      <c r="C419" s="3">
        <f t="shared" si="433"/>
        <v>1.0144074916780399E-6</v>
      </c>
      <c r="D419" s="3">
        <f t="shared" si="433"/>
        <v>1.2366906526016325E-5</v>
      </c>
      <c r="E419" s="3">
        <f t="shared" si="433"/>
        <v>2.2484557288532589E-4</v>
      </c>
      <c r="F419" s="3">
        <f t="shared" si="433"/>
        <v>3.3531533005202244E-3</v>
      </c>
      <c r="G419" s="3">
        <f t="shared" si="433"/>
        <v>1</v>
      </c>
      <c r="H419" s="3">
        <f t="shared" si="433"/>
        <v>232.78667147264221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3.9079472567817323E-7</v>
      </c>
      <c r="C420" s="3">
        <f t="shared" si="434"/>
        <v>1.0144074916780399E-5</v>
      </c>
      <c r="D420" s="3">
        <f t="shared" si="434"/>
        <v>1.2366906526016324E-4</v>
      </c>
      <c r="E420" s="3">
        <f t="shared" si="434"/>
        <v>2.2484557288532589E-3</v>
      </c>
      <c r="F420" s="3">
        <f t="shared" si="434"/>
        <v>3.3531533005202244E-2</v>
      </c>
      <c r="G420" s="3">
        <f t="shared" si="434"/>
        <v>10</v>
      </c>
      <c r="H420" s="3">
        <f t="shared" si="434"/>
        <v>2327.8667147264223</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3.9079472567817324E-6</v>
      </c>
      <c r="C421" s="3">
        <f t="shared" si="434"/>
        <v>1.0144074916780398E-4</v>
      </c>
      <c r="D421" s="3">
        <f t="shared" si="434"/>
        <v>1.2366906526016326E-3</v>
      </c>
      <c r="E421" s="3">
        <f t="shared" si="434"/>
        <v>2.2484557288532589E-2</v>
      </c>
      <c r="F421" s="3">
        <f t="shared" si="434"/>
        <v>0.33531533005202246</v>
      </c>
      <c r="G421" s="3">
        <f t="shared" si="434"/>
        <v>100</v>
      </c>
      <c r="H421" s="3">
        <f t="shared" si="434"/>
        <v>23278.667147264223</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3.9079472567817326E-5</v>
      </c>
      <c r="C422" s="3">
        <f t="shared" si="434"/>
        <v>1.0144074916780398E-3</v>
      </c>
      <c r="D422" s="3">
        <f t="shared" si="434"/>
        <v>1.2366906526016325E-2</v>
      </c>
      <c r="E422" s="3">
        <f t="shared" si="434"/>
        <v>0.22484557288532589</v>
      </c>
      <c r="F422" s="3">
        <f t="shared" si="434"/>
        <v>3.3531533005202245</v>
      </c>
      <c r="G422" s="3">
        <f t="shared" si="434"/>
        <v>1000</v>
      </c>
      <c r="H422" s="3">
        <f t="shared" si="434"/>
        <v>232786.67147264222</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3.9079472567817323E-4</v>
      </c>
      <c r="C423" s="3">
        <f t="shared" si="434"/>
        <v>1.0144074916780398E-2</v>
      </c>
      <c r="D423" s="3">
        <f t="shared" si="434"/>
        <v>0.12366906526016325</v>
      </c>
      <c r="E423" s="3">
        <f t="shared" si="434"/>
        <v>2.248455728853259</v>
      </c>
      <c r="F423" s="3">
        <f t="shared" si="434"/>
        <v>33.531533005202242</v>
      </c>
      <c r="G423" s="3">
        <f t="shared" si="434"/>
        <v>10000</v>
      </c>
      <c r="H423" s="3">
        <f t="shared" si="434"/>
        <v>2327866.714726422</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3.9079472567817323E-3</v>
      </c>
      <c r="C424" s="3">
        <f t="shared" si="434"/>
        <v>0.10144074916780398</v>
      </c>
      <c r="D424" s="3">
        <f t="shared" si="434"/>
        <v>1.2366906526016326</v>
      </c>
      <c r="E424" s="3">
        <f t="shared" si="434"/>
        <v>22.484557288532589</v>
      </c>
      <c r="F424" s="3">
        <f t="shared" si="434"/>
        <v>335.31533005202243</v>
      </c>
      <c r="G424" s="3">
        <f t="shared" si="434"/>
        <v>100000</v>
      </c>
      <c r="H424" s="3">
        <f t="shared" si="434"/>
        <v>23278667.14726422</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3.9079472567817325E-2</v>
      </c>
      <c r="C425" s="3">
        <f t="shared" si="434"/>
        <v>1.0144074916780399</v>
      </c>
      <c r="D425" s="3">
        <f t="shared" si="434"/>
        <v>12.366906526016326</v>
      </c>
      <c r="E425" s="3">
        <f t="shared" si="434"/>
        <v>224.84557288532588</v>
      </c>
      <c r="F425" s="3">
        <f t="shared" si="434"/>
        <v>3353.1533005202245</v>
      </c>
      <c r="G425" s="3">
        <f t="shared" si="434"/>
        <v>1000000</v>
      </c>
      <c r="H425" s="3">
        <f t="shared" si="434"/>
        <v>232786671.47264221</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0.39079472567817325</v>
      </c>
      <c r="C426" s="3">
        <f t="shared" si="434"/>
        <v>10.144074916780399</v>
      </c>
      <c r="D426" s="3">
        <f t="shared" si="434"/>
        <v>123.66906526016325</v>
      </c>
      <c r="E426" s="3">
        <f t="shared" si="434"/>
        <v>2248.4557288532587</v>
      </c>
      <c r="F426" s="3">
        <f t="shared" si="434"/>
        <v>33531.533005202247</v>
      </c>
      <c r="G426" s="3">
        <f t="shared" si="434"/>
        <v>10000000</v>
      </c>
      <c r="H426" s="3">
        <f t="shared" si="434"/>
        <v>2327866714.7264223</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3.9079472567817324</v>
      </c>
      <c r="C427" s="3">
        <f t="shared" si="434"/>
        <v>101.44074916780399</v>
      </c>
      <c r="D427" s="3">
        <f t="shared" si="434"/>
        <v>1236.6906526016326</v>
      </c>
      <c r="E427" s="3">
        <f t="shared" si="434"/>
        <v>22484.557288532589</v>
      </c>
      <c r="F427" s="3">
        <f t="shared" si="434"/>
        <v>335315.33005202241</v>
      </c>
      <c r="G427" s="3">
        <f t="shared" si="434"/>
        <v>100000000</v>
      </c>
      <c r="H427" s="3">
        <f t="shared" si="434"/>
        <v>23278667147.264221</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39.079472567817326</v>
      </c>
      <c r="C428" s="3">
        <f t="shared" si="434"/>
        <v>1014.4074916780398</v>
      </c>
      <c r="D428" s="3">
        <f t="shared" si="434"/>
        <v>12366.906526016324</v>
      </c>
      <c r="E428" s="3">
        <f t="shared" si="434"/>
        <v>224845.57288532588</v>
      </c>
      <c r="F428" s="3">
        <f t="shared" si="434"/>
        <v>3353153.3005202245</v>
      </c>
      <c r="G428" s="3">
        <f t="shared" si="434"/>
        <v>1000000000</v>
      </c>
      <c r="H428" s="3">
        <f t="shared" si="434"/>
        <v>232786671472.64221</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390.79472567817322</v>
      </c>
      <c r="C429" s="3">
        <f t="shared" si="434"/>
        <v>10144.074916780399</v>
      </c>
      <c r="D429" s="3">
        <f t="shared" si="434"/>
        <v>123669.06526016325</v>
      </c>
      <c r="E429" s="3">
        <f t="shared" si="434"/>
        <v>2248455.7288532588</v>
      </c>
      <c r="F429" s="3">
        <f t="shared" si="434"/>
        <v>33531533.005202245</v>
      </c>
      <c r="G429" s="3">
        <f t="shared" si="434"/>
        <v>10000000000</v>
      </c>
      <c r="H429" s="3">
        <f t="shared" si="434"/>
        <v>2327866714726.4224</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3907.9472567817324</v>
      </c>
      <c r="C430" s="3">
        <f t="shared" si="434"/>
        <v>101440.74916780398</v>
      </c>
      <c r="D430" s="3">
        <f t="shared" si="434"/>
        <v>1236690.6526016325</v>
      </c>
      <c r="E430" s="3">
        <f t="shared" si="434"/>
        <v>22484557.288532589</v>
      </c>
      <c r="F430" s="3">
        <f t="shared" si="434"/>
        <v>335315330.05202246</v>
      </c>
      <c r="G430" s="3">
        <f t="shared" si="434"/>
        <v>100000000000</v>
      </c>
      <c r="H430" s="3">
        <f t="shared" si="434"/>
        <v>23278667147264.223</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39079.47256781732</v>
      </c>
      <c r="C431" s="3">
        <f t="shared" si="434"/>
        <v>1014407.4916780398</v>
      </c>
      <c r="D431" s="3">
        <f t="shared" si="434"/>
        <v>12366906.526016325</v>
      </c>
      <c r="E431" s="3">
        <f t="shared" si="434"/>
        <v>224845572.88532588</v>
      </c>
      <c r="F431" s="3">
        <f t="shared" si="434"/>
        <v>3353153300.5202246</v>
      </c>
      <c r="G431" s="3">
        <f t="shared" si="434"/>
        <v>1000000000000</v>
      </c>
      <c r="H431" s="3">
        <f t="shared" si="434"/>
        <v>232786671472642.22</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390794.72567817324</v>
      </c>
      <c r="C432" s="3">
        <f t="shared" si="434"/>
        <v>10144074.916780399</v>
      </c>
      <c r="D432" s="3">
        <f t="shared" si="434"/>
        <v>123669065.26016325</v>
      </c>
      <c r="E432" s="3">
        <f t="shared" si="434"/>
        <v>2248455728.8532586</v>
      </c>
      <c r="F432" s="3">
        <f t="shared" si="434"/>
        <v>33531533005.202244</v>
      </c>
      <c r="G432" s="3">
        <f t="shared" si="434"/>
        <v>10000000000000</v>
      </c>
      <c r="H432" s="3">
        <f t="shared" si="434"/>
        <v>2327866714726422</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3907947.2567817322</v>
      </c>
      <c r="C433" s="3">
        <f t="shared" si="434"/>
        <v>101440749.16780399</v>
      </c>
      <c r="D433" s="3">
        <f t="shared" si="434"/>
        <v>1236690652.6016326</v>
      </c>
      <c r="E433" s="3">
        <f t="shared" si="434"/>
        <v>22484557288.532589</v>
      </c>
      <c r="F433" s="3">
        <f t="shared" si="434"/>
        <v>335315330052.02246</v>
      </c>
      <c r="G433" s="3">
        <f t="shared" si="434"/>
        <v>100000000000000</v>
      </c>
      <c r="H433" s="3">
        <f t="shared" si="434"/>
        <v>2.327866714726422E+16</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39079472.567817323</v>
      </c>
      <c r="C434" s="3">
        <f t="shared" si="434"/>
        <v>1014407491.6780398</v>
      </c>
      <c r="D434" s="3">
        <f t="shared" si="434"/>
        <v>12366906526.016325</v>
      </c>
      <c r="E434" s="3">
        <f t="shared" si="434"/>
        <v>224845572885.3259</v>
      </c>
      <c r="F434" s="3">
        <f t="shared" si="434"/>
        <v>3353153300520.2246</v>
      </c>
      <c r="G434" s="3">
        <f t="shared" si="434"/>
        <v>1000000000000000</v>
      </c>
      <c r="H434" s="3">
        <f t="shared" si="434"/>
        <v>2.3278667147264221E+17</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-17.057668506080475</v>
      </c>
      <c r="M1" s="54">
        <v>1</v>
      </c>
      <c r="N1" s="56">
        <f>INDEX($H$217:$P$217,1,Q1)</f>
        <v>0.15882304433366709</v>
      </c>
      <c r="O1" s="11"/>
      <c r="P1" s="55">
        <v>1</v>
      </c>
      <c r="Q1" s="11">
        <v>2</v>
      </c>
    </row>
    <row r="2" spans="1:17" x14ac:dyDescent="0.25">
      <c r="A2" s="11">
        <f>'Mastercurve bestimmen'!M119</f>
        <v>0</v>
      </c>
      <c r="B2" s="11">
        <f>'Mastercurve bestimmen'!N119</f>
        <v>-13.801205867961423</v>
      </c>
      <c r="M2" s="54">
        <v>2</v>
      </c>
      <c r="N2" s="56">
        <f t="shared" ref="N2:N9" si="0">INDEX($H$217:$P$217,1,Q2)</f>
        <v>-2.2473666012154908E-3</v>
      </c>
      <c r="O2" s="11"/>
      <c r="P2" s="55">
        <v>2</v>
      </c>
      <c r="Q2" s="11">
        <f>Q1+1</f>
        <v>3</v>
      </c>
    </row>
    <row r="3" spans="1:17" x14ac:dyDescent="0.25">
      <c r="A3" s="11">
        <f>'Mastercurve bestimmen'!M120</f>
        <v>25</v>
      </c>
      <c r="B3" s="11">
        <f>'Mastercurve bestimmen'!N120</f>
        <v>-11.300486481572344</v>
      </c>
      <c r="M3" s="54">
        <v>3</v>
      </c>
      <c r="N3" s="56">
        <f t="shared" si="0"/>
        <v>9.3797175358172126E-5</v>
      </c>
      <c r="O3" s="11"/>
      <c r="P3" s="55">
        <v>3</v>
      </c>
      <c r="Q3" s="11">
        <f t="shared" ref="Q3:Q8" si="1">Q2+1</f>
        <v>4</v>
      </c>
    </row>
    <row r="4" spans="1:17" x14ac:dyDescent="0.25">
      <c r="A4" s="11">
        <f>'Mastercurve bestimmen'!M121</f>
        <v>50</v>
      </c>
      <c r="B4" s="11">
        <f>'Mastercurve bestimmen'!N121</f>
        <v>-8.4000967341327382</v>
      </c>
      <c r="M4" s="54">
        <v>4</v>
      </c>
      <c r="N4" s="56">
        <f t="shared" si="0"/>
        <v>-2.3672309852293566E-8</v>
      </c>
      <c r="O4" s="11"/>
      <c r="P4" s="55">
        <v>4</v>
      </c>
      <c r="Q4" s="11">
        <f t="shared" si="1"/>
        <v>5</v>
      </c>
    </row>
    <row r="5" spans="1:17" x14ac:dyDescent="0.25">
      <c r="A5" s="11">
        <f>'Mastercurve bestimmen'!M122</f>
        <v>80</v>
      </c>
      <c r="B5" s="11">
        <f>'Mastercurve bestimmen'!N122</f>
        <v>-5.6978540921375176</v>
      </c>
      <c r="M5" s="54">
        <v>5</v>
      </c>
      <c r="N5" s="56">
        <f t="shared" si="0"/>
        <v>-4.1530049034911423E-8</v>
      </c>
      <c r="O5" s="11"/>
      <c r="P5" s="55">
        <v>5</v>
      </c>
      <c r="Q5" s="11">
        <f t="shared" si="1"/>
        <v>6</v>
      </c>
    </row>
    <row r="6" spans="1:17" x14ac:dyDescent="0.25">
      <c r="A6" s="11">
        <f>'Mastercurve bestimmen'!M123</f>
        <v>125</v>
      </c>
      <c r="B6" s="11">
        <f>'Mastercurve bestimmen'!N123</f>
        <v>0</v>
      </c>
      <c r="M6" s="54">
        <v>6</v>
      </c>
      <c r="N6" s="56">
        <f t="shared" si="0"/>
        <v>-5.3257153969519148E-10</v>
      </c>
      <c r="O6" s="11"/>
      <c r="P6" s="55">
        <v>6</v>
      </c>
      <c r="Q6" s="11">
        <f t="shared" si="1"/>
        <v>7</v>
      </c>
    </row>
    <row r="7" spans="1:17" x14ac:dyDescent="0.25">
      <c r="A7" s="11">
        <f>'Mastercurve bestimmen'!M124</f>
        <v>160</v>
      </c>
      <c r="B7" s="11">
        <f>'Mastercurve bestimmen'!N124</f>
        <v>5.450122461093871</v>
      </c>
      <c r="M7" s="54">
        <v>7</v>
      </c>
      <c r="N7" s="56">
        <f t="shared" si="0"/>
        <v>-2.5905758048188227E-12</v>
      </c>
      <c r="O7" s="11"/>
      <c r="P7" s="55">
        <v>7</v>
      </c>
      <c r="Q7" s="11">
        <f t="shared" si="1"/>
        <v>8</v>
      </c>
    </row>
    <row r="8" spans="1:17" x14ac:dyDescent="0.25">
      <c r="A8" s="11"/>
      <c r="B8" s="11"/>
      <c r="M8" s="54">
        <v>8</v>
      </c>
      <c r="N8" s="56">
        <f t="shared" si="0"/>
        <v>-4.5088247571058237E-15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-165</v>
      </c>
      <c r="F15" s="11">
        <f>B15</f>
        <v>-45.801625734711926</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-45.738092888466561</v>
      </c>
      <c r="E16" s="11">
        <f>A16-'Mastercurve bestimmen'!$B$2</f>
        <v>-164</v>
      </c>
      <c r="F16" s="11">
        <f t="shared" ref="F16:F79" si="4">B16</f>
        <v>-45.738092888466561</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-45.67441338219669</v>
      </c>
      <c r="E17" s="11">
        <f>A17-'Mastercurve bestimmen'!$B$2</f>
        <v>-163</v>
      </c>
      <c r="F17" s="11">
        <f t="shared" si="4"/>
        <v>-45.67441338219669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-45.610440555877801</v>
      </c>
      <c r="E18" s="11">
        <f>A18-'Mastercurve bestimmen'!$B$2</f>
        <v>-162</v>
      </c>
      <c r="F18" s="11">
        <f t="shared" si="4"/>
        <v>-45.610440555877801</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-45.54602774948539</v>
      </c>
      <c r="E19" s="11">
        <f>A19-'Mastercurve bestimmen'!$B$2</f>
        <v>-161</v>
      </c>
      <c r="F19" s="11">
        <f t="shared" si="4"/>
        <v>-45.54602774948539</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-45.481028302994957</v>
      </c>
      <c r="E20" s="11">
        <f>A20-'Mastercurve bestimmen'!$B$2</f>
        <v>-160</v>
      </c>
      <c r="F20" s="11">
        <f t="shared" si="4"/>
        <v>-45.481028302994957</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-45.415295556381992</v>
      </c>
      <c r="E21" s="11">
        <f>A21-'Mastercurve bestimmen'!$B$2</f>
        <v>-159</v>
      </c>
      <c r="F21" s="11">
        <f t="shared" si="4"/>
        <v>-45.415295556381992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-45.34868284962198</v>
      </c>
      <c r="E22" s="11">
        <f>A22-'Mastercurve bestimmen'!$B$2</f>
        <v>-158</v>
      </c>
      <c r="F22" s="11">
        <f t="shared" si="4"/>
        <v>-45.34868284962198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-45.281043522690418</v>
      </c>
      <c r="E23" s="11">
        <f>A23-'Mastercurve bestimmen'!$B$2</f>
        <v>-157</v>
      </c>
      <c r="F23" s="11">
        <f t="shared" si="4"/>
        <v>-45.281043522690418</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-45.212230915562813</v>
      </c>
      <c r="E24" s="11">
        <f>A24-'Mastercurve bestimmen'!$B$2</f>
        <v>-156</v>
      </c>
      <c r="F24" s="11">
        <f t="shared" si="4"/>
        <v>-45.212230915562813</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-45.14209836821464</v>
      </c>
      <c r="E25" s="11">
        <f>A25-'Mastercurve bestimmen'!$B$2</f>
        <v>-155</v>
      </c>
      <c r="F25" s="11">
        <f t="shared" si="4"/>
        <v>-45.14209836821464</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-45.0704992206214</v>
      </c>
      <c r="E26" s="11">
        <f>A26-'Mastercurve bestimmen'!$B$2</f>
        <v>-154</v>
      </c>
      <c r="F26" s="11">
        <f t="shared" si="4"/>
        <v>-45.0704992206214</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-44.997286812758588</v>
      </c>
      <c r="E27" s="11">
        <f>A27-'Mastercurve bestimmen'!$B$2</f>
        <v>-153</v>
      </c>
      <c r="F27" s="11">
        <f t="shared" si="4"/>
        <v>-44.997286812758588</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-44.922314484601692</v>
      </c>
      <c r="E28" s="11">
        <f>A28-'Mastercurve bestimmen'!$B$2</f>
        <v>-152</v>
      </c>
      <c r="F28" s="11">
        <f t="shared" si="4"/>
        <v>-44.922314484601692</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-44.845435576126206</v>
      </c>
      <c r="E29" s="11">
        <f>A29-'Mastercurve bestimmen'!$B$2</f>
        <v>-151</v>
      </c>
      <c r="F29" s="11">
        <f t="shared" si="4"/>
        <v>-44.845435576126206</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-44.766503427307626</v>
      </c>
      <c r="E30" s="11">
        <f>A30-'Mastercurve bestimmen'!$B$2</f>
        <v>-150</v>
      </c>
      <c r="F30" s="11">
        <f t="shared" si="4"/>
        <v>-44.766503427307626</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-44.685371378121459</v>
      </c>
      <c r="E31" s="11">
        <f>A31-'Mastercurve bestimmen'!$B$2</f>
        <v>-149</v>
      </c>
      <c r="F31" s="11">
        <f t="shared" si="4"/>
        <v>-44.685371378121459</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-44.601892768543166</v>
      </c>
      <c r="E32" s="11">
        <f>A32-'Mastercurve bestimmen'!$B$2</f>
        <v>-148</v>
      </c>
      <c r="F32" s="11">
        <f t="shared" si="4"/>
        <v>-44.601892768543166</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-44.515920938548263</v>
      </c>
      <c r="E33" s="11">
        <f>A33-'Mastercurve bestimmen'!$B$2</f>
        <v>-147</v>
      </c>
      <c r="F33" s="11">
        <f t="shared" si="4"/>
        <v>-44.515920938548263</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-44.427309228112236</v>
      </c>
      <c r="E34" s="11">
        <f>A34-'Mastercurve bestimmen'!$B$2</f>
        <v>-146</v>
      </c>
      <c r="F34" s="11">
        <f t="shared" si="4"/>
        <v>-44.427309228112236</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-44.335910977210588</v>
      </c>
      <c r="E35" s="11">
        <f>A35-'Mastercurve bestimmen'!$B$2</f>
        <v>-145</v>
      </c>
      <c r="F35" s="11">
        <f t="shared" si="4"/>
        <v>-44.335910977210588</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-44.2415795258188</v>
      </c>
      <c r="E36" s="11">
        <f>A36-'Mastercurve bestimmen'!$B$2</f>
        <v>-144</v>
      </c>
      <c r="F36" s="11">
        <f t="shared" si="4"/>
        <v>-44.2415795258188</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-44.144168213912366</v>
      </c>
      <c r="E37" s="11">
        <f>A37-'Mastercurve bestimmen'!$B$2</f>
        <v>-143</v>
      </c>
      <c r="F37" s="11">
        <f t="shared" si="4"/>
        <v>-44.144168213912366</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-44.043530381466795</v>
      </c>
      <c r="E38" s="11">
        <f>A38-'Mastercurve bestimmen'!$B$2</f>
        <v>-142</v>
      </c>
      <c r="F38" s="11">
        <f t="shared" si="4"/>
        <v>-44.043530381466795</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-43.939519368457553</v>
      </c>
      <c r="E39" s="11">
        <f>A39-'Mastercurve bestimmen'!$B$2</f>
        <v>-141</v>
      </c>
      <c r="F39" s="11">
        <f t="shared" si="4"/>
        <v>-43.939519368457553</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-43.831988514860157</v>
      </c>
      <c r="E40" s="11">
        <f>A40-'Mastercurve bestimmen'!$B$2</f>
        <v>-140</v>
      </c>
      <c r="F40" s="11">
        <f t="shared" si="4"/>
        <v>-43.831988514860157</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-43.720791160650094</v>
      </c>
      <c r="E41" s="11">
        <f>A41-'Mastercurve bestimmen'!$B$2</f>
        <v>-139</v>
      </c>
      <c r="F41" s="11">
        <f t="shared" si="4"/>
        <v>-43.720791160650094</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-43.605780645802852</v>
      </c>
      <c r="E42" s="11">
        <f>A42-'Mastercurve bestimmen'!$B$2</f>
        <v>-138</v>
      </c>
      <c r="F42" s="11">
        <f t="shared" si="4"/>
        <v>-43.605780645802852</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-43.486810310293926</v>
      </c>
      <c r="E43" s="11">
        <f>A43-'Mastercurve bestimmen'!$B$2</f>
        <v>-137</v>
      </c>
      <c r="F43" s="11">
        <f t="shared" si="4"/>
        <v>-43.486810310293926</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-43.36373349409881</v>
      </c>
      <c r="E44" s="11">
        <f>A44-'Mastercurve bestimmen'!$B$2</f>
        <v>-136</v>
      </c>
      <c r="F44" s="11">
        <f t="shared" si="4"/>
        <v>-43.36373349409881</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-43.236403537192999</v>
      </c>
      <c r="E45" s="11">
        <f>A45-'Mastercurve bestimmen'!$B$2</f>
        <v>-135</v>
      </c>
      <c r="F45" s="11">
        <f t="shared" si="4"/>
        <v>-43.236403537192999</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-43.104673779551987</v>
      </c>
      <c r="E46" s="11">
        <f>A46-'Mastercurve bestimmen'!$B$2</f>
        <v>-134</v>
      </c>
      <c r="F46" s="11">
        <f t="shared" si="4"/>
        <v>-43.104673779551987</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-42.968397561151264</v>
      </c>
      <c r="E47" s="11">
        <f>A47-'Mastercurve bestimmen'!$B$2</f>
        <v>-133</v>
      </c>
      <c r="F47" s="11">
        <f t="shared" si="4"/>
        <v>-42.968397561151264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-42.827428221966329</v>
      </c>
      <c r="E48" s="11">
        <f>A48-'Mastercurve bestimmen'!$B$2</f>
        <v>-132</v>
      </c>
      <c r="F48" s="11">
        <f t="shared" si="4"/>
        <v>-42.827428221966329</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-42.681619101972665</v>
      </c>
      <c r="E49" s="11">
        <f>A49-'Mastercurve bestimmen'!$B$2</f>
        <v>-131</v>
      </c>
      <c r="F49" s="11">
        <f t="shared" si="4"/>
        <v>-42.681619101972665</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-42.530823541145764</v>
      </c>
      <c r="E50" s="11">
        <f>A50-'Mastercurve bestimmen'!$B$2</f>
        <v>-130</v>
      </c>
      <c r="F50" s="11">
        <f t="shared" si="4"/>
        <v>-42.530823541145764</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-42.374894879461138</v>
      </c>
      <c r="E51" s="11">
        <f>A51-'Mastercurve bestimmen'!$B$2</f>
        <v>-129</v>
      </c>
      <c r="F51" s="11">
        <f t="shared" si="4"/>
        <v>-42.374894879461138</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-42.213686456894266</v>
      </c>
      <c r="E52" s="11">
        <f>A52-'Mastercurve bestimmen'!$B$2</f>
        <v>-128</v>
      </c>
      <c r="F52" s="11">
        <f t="shared" si="4"/>
        <v>-42.213686456894266</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-42.047051613420642</v>
      </c>
      <c r="E53" s="11">
        <f>A53-'Mastercurve bestimmen'!$B$2</f>
        <v>-127</v>
      </c>
      <c r="F53" s="11">
        <f t="shared" si="4"/>
        <v>-42.047051613420642</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-41.874843689015755</v>
      </c>
      <c r="E54" s="11">
        <f>A54-'Mastercurve bestimmen'!$B$2</f>
        <v>-126</v>
      </c>
      <c r="F54" s="11">
        <f t="shared" si="4"/>
        <v>-41.874843689015755</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-41.696916023655113</v>
      </c>
      <c r="E55" s="11">
        <f>A55-'Mastercurve bestimmen'!$B$2</f>
        <v>-125</v>
      </c>
      <c r="F55" s="11">
        <f t="shared" si="4"/>
        <v>-41.696916023655113</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-41.565532961159505</v>
      </c>
      <c r="E56" s="11">
        <f>A56-'Mastercurve bestimmen'!$B$2</f>
        <v>-124</v>
      </c>
      <c r="F56" s="11">
        <f t="shared" si="4"/>
        <v>-41.565532961159505</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-41.428597079596727</v>
      </c>
      <c r="E57" s="11">
        <f>A57-'Mastercurve bestimmen'!$B$2</f>
        <v>-123</v>
      </c>
      <c r="F57" s="11">
        <f t="shared" si="4"/>
        <v>-41.428597079596727</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-41.286421960879899</v>
      </c>
      <c r="E58" s="11">
        <f>A58-'Mastercurve bestimmen'!$B$2</f>
        <v>-122</v>
      </c>
      <c r="F58" s="11">
        <f t="shared" si="4"/>
        <v>-41.286421960879899</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-41.139321186922089</v>
      </c>
      <c r="E59" s="11">
        <f>A59-'Mastercurve bestimmen'!$B$2</f>
        <v>-121</v>
      </c>
      <c r="F59" s="11">
        <f t="shared" si="4"/>
        <v>-41.139321186922089</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-40.987608339636431</v>
      </c>
      <c r="E60" s="11">
        <f>A60-'Mastercurve bestimmen'!$B$2</f>
        <v>-120</v>
      </c>
      <c r="F60" s="11">
        <f t="shared" si="4"/>
        <v>-40.987608339636431</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-40.831597000936014</v>
      </c>
      <c r="E61" s="11">
        <f>A61-'Mastercurve bestimmen'!$B$2</f>
        <v>-119</v>
      </c>
      <c r="F61" s="11">
        <f t="shared" si="4"/>
        <v>-40.831597000936014</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-40.671600752733944</v>
      </c>
      <c r="E62" s="11">
        <f>A62-'Mastercurve bestimmen'!$B$2</f>
        <v>-118</v>
      </c>
      <c r="F62" s="11">
        <f t="shared" si="4"/>
        <v>-40.671600752733944</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-40.507933176943325</v>
      </c>
      <c r="E63" s="11">
        <f>A63-'Mastercurve bestimmen'!$B$2</f>
        <v>-117</v>
      </c>
      <c r="F63" s="11">
        <f t="shared" si="4"/>
        <v>-40.507933176943325</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-40.340907855477255</v>
      </c>
      <c r="E64" s="11">
        <f>A64-'Mastercurve bestimmen'!$B$2</f>
        <v>-116</v>
      </c>
      <c r="F64" s="11">
        <f t="shared" si="4"/>
        <v>-40.340907855477255</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-40.170838370248845</v>
      </c>
      <c r="E65" s="11">
        <f>A65-'Mastercurve bestimmen'!$B$2</f>
        <v>-115</v>
      </c>
      <c r="F65" s="11">
        <f t="shared" si="4"/>
        <v>-40.170838370248845</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-39.998038303171192</v>
      </c>
      <c r="E66" s="11">
        <f>A66-'Mastercurve bestimmen'!$B$2</f>
        <v>-114</v>
      </c>
      <c r="F66" s="11">
        <f t="shared" si="4"/>
        <v>-39.998038303171192</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-39.822821236157395</v>
      </c>
      <c r="E67" s="11">
        <f>A67-'Mastercurve bestimmen'!$B$2</f>
        <v>-113</v>
      </c>
      <c r="F67" s="11">
        <f t="shared" si="4"/>
        <v>-39.822821236157395</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-39.645500751120565</v>
      </c>
      <c r="E68" s="11">
        <f>A68-'Mastercurve bestimmen'!$B$2</f>
        <v>-112</v>
      </c>
      <c r="F68" s="11">
        <f t="shared" si="4"/>
        <v>-39.645500751120565</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-39.466390429973806</v>
      </c>
      <c r="E69" s="11">
        <f>A69-'Mastercurve bestimmen'!$B$2</f>
        <v>-111</v>
      </c>
      <c r="F69" s="11">
        <f t="shared" si="4"/>
        <v>-39.466390429973806</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-39.285803854630217</v>
      </c>
      <c r="E70" s="11">
        <f>A70-'Mastercurve bestimmen'!$B$2</f>
        <v>-110</v>
      </c>
      <c r="F70" s="11">
        <f t="shared" si="4"/>
        <v>-39.285803854630217</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-39.104054607002894</v>
      </c>
      <c r="E71" s="11">
        <f>A71-'Mastercurve bestimmen'!$B$2</f>
        <v>-109</v>
      </c>
      <c r="F71" s="11">
        <f t="shared" si="4"/>
        <v>-39.104054607002894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-38.921456269004949</v>
      </c>
      <c r="E72" s="11">
        <f>A72-'Mastercurve bestimmen'!$B$2</f>
        <v>-108</v>
      </c>
      <c r="F72" s="11">
        <f t="shared" si="4"/>
        <v>-38.921456269004949</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-38.738322422549487</v>
      </c>
      <c r="E73" s="11">
        <f>A73-'Mastercurve bestimmen'!$B$2</f>
        <v>-107</v>
      </c>
      <c r="F73" s="11">
        <f t="shared" si="4"/>
        <v>-38.738322422549487</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-38.554966649549606</v>
      </c>
      <c r="E74" s="11">
        <f>A74-'Mastercurve bestimmen'!$B$2</f>
        <v>-106</v>
      </c>
      <c r="F74" s="11">
        <f t="shared" si="4"/>
        <v>-38.554966649549606</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-38.371702531918402</v>
      </c>
      <c r="E75" s="11">
        <f>A75-'Mastercurve bestimmen'!$B$2</f>
        <v>-105</v>
      </c>
      <c r="F75" s="11">
        <f t="shared" si="4"/>
        <v>-38.371702531918402</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-38.188843651568995</v>
      </c>
      <c r="E76" s="11">
        <f>A76-'Mastercurve bestimmen'!$B$2</f>
        <v>-104</v>
      </c>
      <c r="F76" s="11">
        <f t="shared" si="4"/>
        <v>-38.188843651568995</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-38.006703590414475</v>
      </c>
      <c r="E77" s="11">
        <f>A77-'Mastercurve bestimmen'!$B$2</f>
        <v>-103</v>
      </c>
      <c r="F77" s="11">
        <f t="shared" si="4"/>
        <v>-38.006703590414475</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-37.825595930367939</v>
      </c>
      <c r="E78" s="11">
        <f>A78-'Mastercurve bestimmen'!$B$2</f>
        <v>-102</v>
      </c>
      <c r="F78" s="11">
        <f t="shared" si="4"/>
        <v>-37.825595930367939</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-37.645834253342514</v>
      </c>
      <c r="E79" s="11">
        <f>A79-'Mastercurve bestimmen'!$B$2</f>
        <v>-101</v>
      </c>
      <c r="F79" s="11">
        <f t="shared" si="4"/>
        <v>-37.645834253342514</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-37.467732141251275</v>
      </c>
      <c r="E80" s="11">
        <f>A80-'Mastercurve bestimmen'!$B$2</f>
        <v>-100</v>
      </c>
      <c r="F80" s="11">
        <f t="shared" ref="F80:F143" si="10">B80</f>
        <v>-37.467732141251275</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-37.291414253640276</v>
      </c>
      <c r="E81" s="11">
        <f>A81-'Mastercurve bestimmen'!$B$2</f>
        <v>-99</v>
      </c>
      <c r="F81" s="11">
        <f t="shared" si="10"/>
        <v>-37.291414253640276</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-37.116249560587271</v>
      </c>
      <c r="E82" s="11">
        <f>A82-'Mastercurve bestimmen'!$B$2</f>
        <v>-98</v>
      </c>
      <c r="F82" s="11">
        <f t="shared" si="10"/>
        <v>-37.116249560587271</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-36.941418109802967</v>
      </c>
      <c r="E83" s="11">
        <f>A83-'Mastercurve bestimmen'!$B$2</f>
        <v>-97</v>
      </c>
      <c r="F83" s="11">
        <f t="shared" si="10"/>
        <v>-36.941418109802967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-36.766099948998033</v>
      </c>
      <c r="E84" s="11">
        <f>A84-'Mastercurve bestimmen'!$B$2</f>
        <v>-96</v>
      </c>
      <c r="F84" s="11">
        <f t="shared" si="10"/>
        <v>-36.766099948998033</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-36.589475125883204</v>
      </c>
      <c r="E85" s="11">
        <f>A85-'Mastercurve bestimmen'!$B$2</f>
        <v>-95</v>
      </c>
      <c r="F85" s="11">
        <f t="shared" si="10"/>
        <v>-36.589475125883204</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-36.410723688169142</v>
      </c>
      <c r="E86" s="11">
        <f>A86-'Mastercurve bestimmen'!$B$2</f>
        <v>-94</v>
      </c>
      <c r="F86" s="11">
        <f t="shared" si="10"/>
        <v>-36.410723688169142</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-36.229025683566562</v>
      </c>
      <c r="E87" s="11">
        <f>A87-'Mastercurve bestimmen'!$B$2</f>
        <v>-93</v>
      </c>
      <c r="F87" s="11">
        <f t="shared" si="10"/>
        <v>-36.229025683566562</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-36.043561159786151</v>
      </c>
      <c r="E88" s="11">
        <f>A88-'Mastercurve bestimmen'!$B$2</f>
        <v>-92</v>
      </c>
      <c r="F88" s="11">
        <f t="shared" si="10"/>
        <v>-36.043561159786151</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-35.853510164538605</v>
      </c>
      <c r="E89" s="11">
        <f>A89-'Mastercurve bestimmen'!$B$2</f>
        <v>-91</v>
      </c>
      <c r="F89" s="11">
        <f t="shared" si="10"/>
        <v>-35.853510164538605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-35.658052745534626</v>
      </c>
      <c r="E90" s="11">
        <f>A90-'Mastercurve bestimmen'!$B$2</f>
        <v>-90</v>
      </c>
      <c r="F90" s="11">
        <f t="shared" si="10"/>
        <v>-35.658052745534626</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-35.456368950484901</v>
      </c>
      <c r="E91" s="11">
        <f>A91-'Mastercurve bestimmen'!$B$2</f>
        <v>-89</v>
      </c>
      <c r="F91" s="11">
        <f t="shared" si="10"/>
        <v>-35.456368950484901</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-35.247638827100133</v>
      </c>
      <c r="E92" s="11">
        <f>A92-'Mastercurve bestimmen'!$B$2</f>
        <v>-88</v>
      </c>
      <c r="F92" s="11">
        <f t="shared" si="10"/>
        <v>-35.247638827100133</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-35.031042423091009</v>
      </c>
      <c r="E93" s="11">
        <f>A93-'Mastercurve bestimmen'!$B$2</f>
        <v>-87</v>
      </c>
      <c r="F93" s="11">
        <f t="shared" si="10"/>
        <v>-35.031042423091009</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-34.805759786168238</v>
      </c>
      <c r="E94" s="11">
        <f>A94-'Mastercurve bestimmen'!$B$2</f>
        <v>-86</v>
      </c>
      <c r="F94" s="11">
        <f t="shared" si="10"/>
        <v>-34.805759786168238</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-34.570970964042495</v>
      </c>
      <c r="E95" s="11">
        <f>A95-'Mastercurve bestimmen'!$B$2</f>
        <v>-85</v>
      </c>
      <c r="F95" s="11">
        <f t="shared" si="10"/>
        <v>-34.570970964042495</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-34.325856004424494</v>
      </c>
      <c r="E96" s="11">
        <f>A96-'Mastercurve bestimmen'!$B$2</f>
        <v>-84</v>
      </c>
      <c r="F96" s="11">
        <f t="shared" si="10"/>
        <v>-34.325856004424494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-34.069594955024925</v>
      </c>
      <c r="E97" s="11">
        <f>A97-'Mastercurve bestimmen'!$B$2</f>
        <v>-83</v>
      </c>
      <c r="F97" s="11">
        <f t="shared" si="10"/>
        <v>-34.069594955024925</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-33.801367863554489</v>
      </c>
      <c r="E98" s="11">
        <f>A98-'Mastercurve bestimmen'!$B$2</f>
        <v>-82</v>
      </c>
      <c r="F98" s="11">
        <f t="shared" si="10"/>
        <v>-33.801367863554489</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-33.520354777723867</v>
      </c>
      <c r="E99" s="11">
        <f>A99-'Mastercurve bestimmen'!$B$2</f>
        <v>-81</v>
      </c>
      <c r="F99" s="11">
        <f t="shared" si="10"/>
        <v>-33.520354777723867</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-33.225735745243767</v>
      </c>
      <c r="E100" s="11">
        <f>A100-'Mastercurve bestimmen'!$B$2</f>
        <v>-80</v>
      </c>
      <c r="F100" s="11">
        <f t="shared" si="10"/>
        <v>-33.225735745243767</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-32.916690813824886</v>
      </c>
      <c r="E101" s="11">
        <f>A101-'Mastercurve bestimmen'!$B$2</f>
        <v>-79</v>
      </c>
      <c r="F101" s="11">
        <f t="shared" si="10"/>
        <v>-32.916690813824886</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-32.592400031177917</v>
      </c>
      <c r="E102" s="11">
        <f>A102-'Mastercurve bestimmen'!$B$2</f>
        <v>-78</v>
      </c>
      <c r="F102" s="11">
        <f t="shared" si="10"/>
        <v>-32.592400031177917</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-32.252043445013541</v>
      </c>
      <c r="E103" s="11">
        <f>A103-'Mastercurve bestimmen'!$B$2</f>
        <v>-77</v>
      </c>
      <c r="F103" s="11">
        <f t="shared" si="10"/>
        <v>-32.252043445013541</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-31.894801103042475</v>
      </c>
      <c r="E104" s="11">
        <f>A104-'Mastercurve bestimmen'!$B$2</f>
        <v>-76</v>
      </c>
      <c r="F104" s="11">
        <f t="shared" si="10"/>
        <v>-31.894801103042475</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-31.519853052975407</v>
      </c>
      <c r="E105" s="11">
        <f>A105-'Mastercurve bestimmen'!$B$2</f>
        <v>-75</v>
      </c>
      <c r="F105" s="11">
        <f t="shared" si="10"/>
        <v>-31.519853052975407</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-31.126667810396924</v>
      </c>
      <c r="E106" s="11">
        <f>A106-'Mastercurve bestimmen'!$B$2</f>
        <v>-74</v>
      </c>
      <c r="F106" s="11">
        <f t="shared" si="10"/>
        <v>-31.126667810396924</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-30.715867762387184</v>
      </c>
      <c r="E107" s="11">
        <f>A107-'Mastercurve bestimmen'!$B$2</f>
        <v>-73</v>
      </c>
      <c r="F107" s="11">
        <f t="shared" si="10"/>
        <v>-30.715867762387184</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-30.288363763900247</v>
      </c>
      <c r="E108" s="11">
        <f>A108-'Mastercurve bestimmen'!$B$2</f>
        <v>-72</v>
      </c>
      <c r="F108" s="11">
        <f t="shared" si="10"/>
        <v>-30.288363763900247</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-29.845066669890162</v>
      </c>
      <c r="E109" s="11">
        <f>A109-'Mastercurve bestimmen'!$B$2</f>
        <v>-71</v>
      </c>
      <c r="F109" s="11">
        <f t="shared" si="10"/>
        <v>-29.845066669890162</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-29.386887335310995</v>
      </c>
      <c r="E110" s="11">
        <f>A110-'Mastercurve bestimmen'!$B$2</f>
        <v>-70</v>
      </c>
      <c r="F110" s="11">
        <f t="shared" si="10"/>
        <v>-29.386887335310995</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-28.914736615116791</v>
      </c>
      <c r="E111" s="11">
        <f>A111-'Mastercurve bestimmen'!$B$2</f>
        <v>-69</v>
      </c>
      <c r="F111" s="11">
        <f t="shared" si="10"/>
        <v>-28.914736615116791</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-28.429525364261607</v>
      </c>
      <c r="E112" s="11">
        <f>A112-'Mastercurve bestimmen'!$B$2</f>
        <v>-68</v>
      </c>
      <c r="F112" s="11">
        <f t="shared" si="10"/>
        <v>-28.429525364261607</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-27.932164437699502</v>
      </c>
      <c r="E113" s="11">
        <f>A113-'Mastercurve bestimmen'!$B$2</f>
        <v>-67</v>
      </c>
      <c r="F113" s="11">
        <f t="shared" si="10"/>
        <v>-27.932164437699502</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-27.42356469038452</v>
      </c>
      <c r="E114" s="11">
        <f>A114-'Mastercurve bestimmen'!$B$2</f>
        <v>-66</v>
      </c>
      <c r="F114" s="11">
        <f t="shared" si="10"/>
        <v>-27.42356469038452</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-26.904636977270727</v>
      </c>
      <c r="E115" s="11">
        <f>A115-'Mastercurve bestimmen'!$B$2</f>
        <v>-65</v>
      </c>
      <c r="F115" s="11">
        <f t="shared" si="10"/>
        <v>-26.904636977270727</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-26.376292153312171</v>
      </c>
      <c r="E116" s="11">
        <f>A116-'Mastercurve bestimmen'!$B$2</f>
        <v>-64</v>
      </c>
      <c r="F116" s="11">
        <f t="shared" si="10"/>
        <v>-26.376292153312171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-25.839441073462908</v>
      </c>
      <c r="E117" s="11">
        <f>A117-'Mastercurve bestimmen'!$B$2</f>
        <v>-63</v>
      </c>
      <c r="F117" s="11">
        <f t="shared" si="10"/>
        <v>-25.839441073462908</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-25.294994592676993</v>
      </c>
      <c r="E118" s="11">
        <f>A118-'Mastercurve bestimmen'!$B$2</f>
        <v>-62</v>
      </c>
      <c r="F118" s="11">
        <f t="shared" si="10"/>
        <v>-25.294994592676993</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-24.743863565908484</v>
      </c>
      <c r="E119" s="11">
        <f>A119-'Mastercurve bestimmen'!$B$2</f>
        <v>-61</v>
      </c>
      <c r="F119" s="11">
        <f t="shared" si="10"/>
        <v>-24.743863565908484</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-24.186958848111431</v>
      </c>
      <c r="E120" s="11">
        <f>A120-'Mastercurve bestimmen'!$B$2</f>
        <v>-60</v>
      </c>
      <c r="F120" s="11">
        <f t="shared" si="10"/>
        <v>-24.186958848111431</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-23.62519129423989</v>
      </c>
      <c r="E121" s="11">
        <f>A121-'Mastercurve bestimmen'!$B$2</f>
        <v>-59</v>
      </c>
      <c r="F121" s="11">
        <f t="shared" si="10"/>
        <v>-23.62519129423989</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-23.059471759247913</v>
      </c>
      <c r="E122" s="11">
        <f>A122-'Mastercurve bestimmen'!$B$2</f>
        <v>-58</v>
      </c>
      <c r="F122" s="11">
        <f t="shared" si="10"/>
        <v>-23.059471759247913</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-22.490711098089562</v>
      </c>
      <c r="E123" s="11">
        <f>A123-'Mastercurve bestimmen'!$B$2</f>
        <v>-57</v>
      </c>
      <c r="F123" s="11">
        <f t="shared" si="10"/>
        <v>-22.490711098089562</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-21.919820165718889</v>
      </c>
      <c r="E124" s="11">
        <f>A124-'Mastercurve bestimmen'!$B$2</f>
        <v>-56</v>
      </c>
      <c r="F124" s="11">
        <f t="shared" si="10"/>
        <v>-21.919820165718889</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-21.347709817089942</v>
      </c>
      <c r="E125" s="11">
        <f>A125-'Mastercurve bestimmen'!$B$2</f>
        <v>-55</v>
      </c>
      <c r="F125" s="11">
        <f t="shared" si="10"/>
        <v>-21.347709817089942</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-20.77529090715678</v>
      </c>
      <c r="E126" s="11">
        <f>A126-'Mastercurve bestimmen'!$B$2</f>
        <v>-54</v>
      </c>
      <c r="F126" s="11">
        <f t="shared" si="10"/>
        <v>-20.77529090715678</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-20.203474290873459</v>
      </c>
      <c r="E127" s="11">
        <f>A127-'Mastercurve bestimmen'!$B$2</f>
        <v>-53</v>
      </c>
      <c r="F127" s="11">
        <f t="shared" si="10"/>
        <v>-20.203474290873459</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-19.633170823194035</v>
      </c>
      <c r="E128" s="11">
        <f>A128-'Mastercurve bestimmen'!$B$2</f>
        <v>-52</v>
      </c>
      <c r="F128" s="11">
        <f t="shared" si="10"/>
        <v>-19.633170823194035</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-19.06529135907256</v>
      </c>
      <c r="E129" s="11">
        <f>A129-'Mastercurve bestimmen'!$B$2</f>
        <v>-51</v>
      </c>
      <c r="F129" s="11">
        <f t="shared" si="10"/>
        <v>-19.06529135907256</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-18.500746753463087</v>
      </c>
      <c r="E130" s="11">
        <f>A130-'Mastercurve bestimmen'!$B$2</f>
        <v>-50</v>
      </c>
      <c r="F130" s="11">
        <f t="shared" si="10"/>
        <v>-18.500746753463087</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-17.940447861319676</v>
      </c>
      <c r="E131" s="11">
        <f>A131-'Mastercurve bestimmen'!$B$2</f>
        <v>-49</v>
      </c>
      <c r="F131" s="11">
        <f t="shared" si="10"/>
        <v>-17.940447861319676</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-17.385305537596373</v>
      </c>
      <c r="E132" s="11">
        <f>A132-'Mastercurve bestimmen'!$B$2</f>
        <v>-48</v>
      </c>
      <c r="F132" s="11">
        <f t="shared" si="10"/>
        <v>-17.385305537596373</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-16.836230637247244</v>
      </c>
      <c r="E133" s="11">
        <f>A133-'Mastercurve bestimmen'!$B$2</f>
        <v>-47</v>
      </c>
      <c r="F133" s="11">
        <f t="shared" si="10"/>
        <v>-16.836230637247244</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-16.294134015226334</v>
      </c>
      <c r="E134" s="11">
        <f>A134-'Mastercurve bestimmen'!$B$2</f>
        <v>-46</v>
      </c>
      <c r="F134" s="11">
        <f t="shared" si="10"/>
        <v>-16.294134015226334</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-15.759926526487703</v>
      </c>
      <c r="E135" s="11">
        <f>A135-'Mastercurve bestimmen'!$B$2</f>
        <v>-45</v>
      </c>
      <c r="F135" s="11">
        <f t="shared" si="10"/>
        <v>-15.759926526487703</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-15.234358199038235</v>
      </c>
      <c r="E136" s="11">
        <f>A136-'Mastercurve bestimmen'!$B$2</f>
        <v>-44</v>
      </c>
      <c r="F136" s="11">
        <f t="shared" si="10"/>
        <v>-15.234358199038235</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-14.717535753096168</v>
      </c>
      <c r="E137" s="11">
        <f>A137-'Mastercurve bestimmen'!$B$2</f>
        <v>-43</v>
      </c>
      <c r="F137" s="11">
        <f t="shared" si="10"/>
        <v>-14.717535753096168</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-14.209405081932562</v>
      </c>
      <c r="E138" s="11">
        <f>A138-'Mastercurve bestimmen'!$B$2</f>
        <v>-42</v>
      </c>
      <c r="F138" s="11">
        <f t="shared" si="10"/>
        <v>-14.209405081932562</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-13.709912078818485</v>
      </c>
      <c r="E139" s="11">
        <f>A139-'Mastercurve bestimmen'!$B$2</f>
        <v>-41</v>
      </c>
      <c r="F139" s="11">
        <f t="shared" si="10"/>
        <v>-13.709912078818485</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-13.219002637025</v>
      </c>
      <c r="E140" s="11">
        <f>A140-'Mastercurve bestimmen'!$B$2</f>
        <v>-40</v>
      </c>
      <c r="F140" s="11">
        <f t="shared" si="10"/>
        <v>-13.219002637025</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-12.736622649823172</v>
      </c>
      <c r="E141" s="11">
        <f>A141-'Mastercurve bestimmen'!$B$2</f>
        <v>-39</v>
      </c>
      <c r="F141" s="11">
        <f t="shared" si="10"/>
        <v>-12.736622649823172</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-12.262718010484072</v>
      </c>
      <c r="E142" s="11">
        <f>A142-'Mastercurve bestimmen'!$B$2</f>
        <v>-38</v>
      </c>
      <c r="F142" s="11">
        <f t="shared" si="10"/>
        <v>-12.262718010484072</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-11.797234612278755</v>
      </c>
      <c r="E143" s="11">
        <f>A143-'Mastercurve bestimmen'!$B$2</f>
        <v>-37</v>
      </c>
      <c r="F143" s="11">
        <f t="shared" si="10"/>
        <v>-11.797234612278755</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-11.340118348478292</v>
      </c>
      <c r="E144" s="11">
        <f>A144-'Mastercurve bestimmen'!$B$2</f>
        <v>-36</v>
      </c>
      <c r="F144" s="11">
        <f t="shared" ref="F144:F207" si="15">B144</f>
        <v>-11.340118348478292</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-10.891315112353752</v>
      </c>
      <c r="E145" s="11">
        <f>A145-'Mastercurve bestimmen'!$B$2</f>
        <v>-35</v>
      </c>
      <c r="F145" s="11">
        <f t="shared" si="15"/>
        <v>-10.891315112353752</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-10.450770797176192</v>
      </c>
      <c r="E146" s="11">
        <f>A146-'Mastercurve bestimmen'!$B$2</f>
        <v>-34</v>
      </c>
      <c r="F146" s="11">
        <f t="shared" si="15"/>
        <v>-10.450770797176192</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-10.018431296216681</v>
      </c>
      <c r="E147" s="11">
        <f>A147-'Mastercurve bestimmen'!$B$2</f>
        <v>-33</v>
      </c>
      <c r="F147" s="11">
        <f t="shared" si="15"/>
        <v>-10.018431296216681</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-9.594242502746285</v>
      </c>
      <c r="E148" s="11">
        <f>A148-'Mastercurve bestimmen'!$B$2</f>
        <v>-32</v>
      </c>
      <c r="F148" s="11">
        <f t="shared" si="15"/>
        <v>-9.594242502746285</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-9.1781503100360666</v>
      </c>
      <c r="E149" s="11">
        <f>A149-'Mastercurve bestimmen'!$B$2</f>
        <v>-31</v>
      </c>
      <c r="F149" s="11">
        <f t="shared" si="15"/>
        <v>-9.1781503100360666</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-8.7701006113570976</v>
      </c>
      <c r="E150" s="11">
        <f>A150-'Mastercurve bestimmen'!$B$2</f>
        <v>-30</v>
      </c>
      <c r="F150" s="11">
        <f t="shared" si="15"/>
        <v>-8.7701006113570976</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-8.3700392999804354</v>
      </c>
      <c r="E151" s="11">
        <f>A151-'Mastercurve bestimmen'!$B$2</f>
        <v>-29</v>
      </c>
      <c r="F151" s="11">
        <f t="shared" si="15"/>
        <v>-8.3700392999804354</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-7.977912269177148</v>
      </c>
      <c r="E152" s="11">
        <f>A152-'Mastercurve bestimmen'!$B$2</f>
        <v>-28</v>
      </c>
      <c r="F152" s="11">
        <f t="shared" si="15"/>
        <v>-7.977912269177148</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-7.5936654122183009</v>
      </c>
      <c r="E153" s="11">
        <f>A153-'Mastercurve bestimmen'!$B$2</f>
        <v>-27</v>
      </c>
      <c r="F153" s="11">
        <f t="shared" si="15"/>
        <v>-7.5936654122183009</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-7.2172446223749596</v>
      </c>
      <c r="E154" s="11">
        <f>A154-'Mastercurve bestimmen'!$B$2</f>
        <v>-26</v>
      </c>
      <c r="F154" s="11">
        <f t="shared" si="15"/>
        <v>-7.2172446223749596</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-6.8485957929181875</v>
      </c>
      <c r="E155" s="11">
        <f>A155-'Mastercurve bestimmen'!$B$2</f>
        <v>-25</v>
      </c>
      <c r="F155" s="11">
        <f t="shared" si="15"/>
        <v>-6.8485957929181875</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-6.4876648171190521</v>
      </c>
      <c r="E156" s="11">
        <f>A156-'Mastercurve bestimmen'!$B$2</f>
        <v>-24</v>
      </c>
      <c r="F156" s="11">
        <f t="shared" si="15"/>
        <v>-6.4876648171190521</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-6.1343975882486186</v>
      </c>
      <c r="E157" s="11">
        <f>A157-'Mastercurve bestimmen'!$B$2</f>
        <v>-23</v>
      </c>
      <c r="F157" s="11">
        <f t="shared" si="15"/>
        <v>-6.1343975882486186</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-5.7887399995779507</v>
      </c>
      <c r="E158" s="11">
        <f>A158-'Mastercurve bestimmen'!$B$2</f>
        <v>-22</v>
      </c>
      <c r="F158" s="11">
        <f t="shared" si="15"/>
        <v>-5.7887399995779507</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-5.4506379443781121</v>
      </c>
      <c r="E159" s="11">
        <f>A159-'Mastercurve bestimmen'!$B$2</f>
        <v>-21</v>
      </c>
      <c r="F159" s="11">
        <f t="shared" si="15"/>
        <v>-5.4506379443781121</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-5.1200373159201717</v>
      </c>
      <c r="E160" s="11">
        <f>A160-'Mastercurve bestimmen'!$B$2</f>
        <v>-20</v>
      </c>
      <c r="F160" s="11">
        <f t="shared" si="15"/>
        <v>-5.1200373159201717</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-4.7968840074751924</v>
      </c>
      <c r="E161" s="11">
        <f>A161-'Mastercurve bestimmen'!$B$2</f>
        <v>-19</v>
      </c>
      <c r="F161" s="11">
        <f t="shared" si="15"/>
        <v>-4.7968840074751924</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-4.4811239123142403</v>
      </c>
      <c r="E162" s="11">
        <f>A162-'Mastercurve bestimmen'!$B$2</f>
        <v>-18</v>
      </c>
      <c r="F162" s="11">
        <f t="shared" si="15"/>
        <v>-4.4811239123142403</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-4.1727029237083801</v>
      </c>
      <c r="E163" s="11">
        <f>A163-'Mastercurve bestimmen'!$B$2</f>
        <v>-17</v>
      </c>
      <c r="F163" s="11">
        <f t="shared" si="15"/>
        <v>-4.1727029237083801</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-3.8715669349286768</v>
      </c>
      <c r="E164" s="11">
        <f>A164-'Mastercurve bestimmen'!$B$2</f>
        <v>-16</v>
      </c>
      <c r="F164" s="11">
        <f t="shared" si="15"/>
        <v>-3.8715669349286768</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-3.577661839246197</v>
      </c>
      <c r="E165" s="11">
        <f>A165-'Mastercurve bestimmen'!$B$2</f>
        <v>-15</v>
      </c>
      <c r="F165" s="11">
        <f t="shared" si="15"/>
        <v>-3.577661839246197</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-3.2909335299320035</v>
      </c>
      <c r="E166" s="11">
        <f>A166-'Mastercurve bestimmen'!$B$2</f>
        <v>-14</v>
      </c>
      <c r="F166" s="11">
        <f t="shared" si="15"/>
        <v>-3.2909335299320035</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-3.0113279002571627</v>
      </c>
      <c r="E167" s="11">
        <f>A167-'Mastercurve bestimmen'!$B$2</f>
        <v>-13</v>
      </c>
      <c r="F167" s="11">
        <f t="shared" si="15"/>
        <v>-3.0113279002571627</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-2.7387908434927408</v>
      </c>
      <c r="E168" s="11">
        <f>A168-'Mastercurve bestimmen'!$B$2</f>
        <v>-12</v>
      </c>
      <c r="F168" s="11">
        <f t="shared" si="15"/>
        <v>-2.7387908434927408</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-2.4732682529098016</v>
      </c>
      <c r="E169" s="11">
        <f>A169-'Mastercurve bestimmen'!$B$2</f>
        <v>-11</v>
      </c>
      <c r="F169" s="11">
        <f t="shared" si="15"/>
        <v>-2.4732682529098016</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-2.2147060217794103</v>
      </c>
      <c r="E170" s="11">
        <f>A170-'Mastercurve bestimmen'!$B$2</f>
        <v>-10</v>
      </c>
      <c r="F170" s="11">
        <f t="shared" si="15"/>
        <v>-2.2147060217794103</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-1.963050043372633</v>
      </c>
      <c r="E171" s="11">
        <f>A171-'Mastercurve bestimmen'!$B$2</f>
        <v>-9</v>
      </c>
      <c r="F171" s="11">
        <f t="shared" si="15"/>
        <v>-1.963050043372633</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-1.7182462109605345</v>
      </c>
      <c r="E172" s="11">
        <f>A172-'Mastercurve bestimmen'!$B$2</f>
        <v>-8</v>
      </c>
      <c r="F172" s="11">
        <f t="shared" si="15"/>
        <v>-1.7182462109605345</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-1.4802404178141799</v>
      </c>
      <c r="E173" s="11">
        <f>A173-'Mastercurve bestimmen'!$B$2</f>
        <v>-7</v>
      </c>
      <c r="F173" s="11">
        <f t="shared" si="15"/>
        <v>-1.4802404178141799</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-1.2489785572046341</v>
      </c>
      <c r="E174" s="11">
        <f>A174-'Mastercurve bestimmen'!$B$2</f>
        <v>-6</v>
      </c>
      <c r="F174" s="11">
        <f t="shared" si="15"/>
        <v>-1.2489785572046341</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-1.0244065224029626</v>
      </c>
      <c r="E175" s="11">
        <f>A175-'Mastercurve bestimmen'!$B$2</f>
        <v>-5</v>
      </c>
      <c r="F175" s="11">
        <f t="shared" si="15"/>
        <v>-1.0244065224029626</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-0.80647020668023028</v>
      </c>
      <c r="E176" s="11">
        <f>A176-'Mastercurve bestimmen'!$B$2</f>
        <v>-4</v>
      </c>
      <c r="F176" s="11">
        <f t="shared" si="15"/>
        <v>-0.80647020668023028</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-0.59511550330750262</v>
      </c>
      <c r="E177" s="11">
        <f>A177-'Mastercurve bestimmen'!$B$2</f>
        <v>-3</v>
      </c>
      <c r="F177" s="11">
        <f t="shared" si="15"/>
        <v>-0.59511550330750262</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-0.39028830555584504</v>
      </c>
      <c r="E178" s="11">
        <f>A178-'Mastercurve bestimmen'!$B$2</f>
        <v>-2</v>
      </c>
      <c r="F178" s="11">
        <f t="shared" si="15"/>
        <v>-0.39028830555584504</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-0.19193450669632295</v>
      </c>
      <c r="E179" s="11">
        <f>A179-'Mastercurve bestimmen'!$B$2</f>
        <v>-1</v>
      </c>
      <c r="F179" s="11">
        <f t="shared" si="15"/>
        <v>-0.19193450669632295</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0.1855906138807312</v>
      </c>
      <c r="E181" s="11">
        <f>A181-'Mastercurve bestimmen'!$B$2</f>
        <v>1</v>
      </c>
      <c r="F181" s="11">
        <f t="shared" si="15"/>
        <v>0.1855906138807312</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0.36499790476817601</v>
      </c>
      <c r="E182" s="11">
        <f>A182-'Mastercurve bestimmen'!$B$2</f>
        <v>2</v>
      </c>
      <c r="F182" s="11">
        <f t="shared" si="15"/>
        <v>0.36499790476817601</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0.53840373510331363</v>
      </c>
      <c r="E183" s="11">
        <f>A183-'Mastercurve bestimmen'!$B$2</f>
        <v>3</v>
      </c>
      <c r="F183" s="11">
        <f t="shared" si="15"/>
        <v>0.53840373510331363</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0.70598996732712282</v>
      </c>
      <c r="E184" s="11">
        <f>A184-'Mastercurve bestimmen'!$B$2</f>
        <v>4</v>
      </c>
      <c r="F184" s="11">
        <f t="shared" si="15"/>
        <v>0.70598996732712282</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0.8679384638805826</v>
      </c>
      <c r="E185" s="11">
        <f>A185-'Mastercurve bestimmen'!$B$2</f>
        <v>5</v>
      </c>
      <c r="F185" s="11">
        <f t="shared" si="15"/>
        <v>0.8679384638805826</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1.0244310872046722</v>
      </c>
      <c r="E186" s="11">
        <f>A186-'Mastercurve bestimmen'!$B$2</f>
        <v>6</v>
      </c>
      <c r="F186" s="11">
        <f t="shared" si="15"/>
        <v>1.0244310872046722</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1.1756496997403705</v>
      </c>
      <c r="E187" s="11">
        <f>A187-'Mastercurve bestimmen'!$B$2</f>
        <v>7</v>
      </c>
      <c r="F187" s="11">
        <f t="shared" si="15"/>
        <v>1.1756496997403705</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1.3217761639286563</v>
      </c>
      <c r="E188" s="11">
        <f>A188-'Mastercurve bestimmen'!$B$2</f>
        <v>8</v>
      </c>
      <c r="F188" s="11">
        <f t="shared" si="15"/>
        <v>1.3217761639286563</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1.4629923422105091</v>
      </c>
      <c r="E189" s="11">
        <f>A189-'Mastercurve bestimmen'!$B$2</f>
        <v>9</v>
      </c>
      <c r="F189" s="11">
        <f t="shared" si="15"/>
        <v>1.4629923422105091</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1.5994800970269076</v>
      </c>
      <c r="E190" s="11">
        <f>A190-'Mastercurve bestimmen'!$B$2</f>
        <v>10</v>
      </c>
      <c r="F190" s="11">
        <f t="shared" si="15"/>
        <v>1.5994800970269076</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1.7314212908188309</v>
      </c>
      <c r="E191" s="11">
        <f>A191-'Mastercurve bestimmen'!$B$2</f>
        <v>11</v>
      </c>
      <c r="F191" s="11">
        <f t="shared" si="15"/>
        <v>1.7314212908188309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1.8589977860272577</v>
      </c>
      <c r="E192" s="11">
        <f>A192-'Mastercurve bestimmen'!$B$2</f>
        <v>12</v>
      </c>
      <c r="F192" s="11">
        <f t="shared" si="15"/>
        <v>1.8589977860272577</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1.9823914450931674</v>
      </c>
      <c r="E193" s="11">
        <f>A193-'Mastercurve bestimmen'!$B$2</f>
        <v>13</v>
      </c>
      <c r="F193" s="11">
        <f t="shared" si="15"/>
        <v>1.9823914450931674</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2.1017841304575389</v>
      </c>
      <c r="E194" s="11">
        <f>A194-'Mastercurve bestimmen'!$B$2</f>
        <v>14</v>
      </c>
      <c r="F194" s="11">
        <f t="shared" si="15"/>
        <v>2.1017841304575389</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2.2173577045613508</v>
      </c>
      <c r="E195" s="11">
        <f>A195-'Mastercurve bestimmen'!$B$2</f>
        <v>15</v>
      </c>
      <c r="F195" s="11">
        <f t="shared" si="15"/>
        <v>2.2173577045613508</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2.3292940298455829</v>
      </c>
      <c r="E196" s="11">
        <f>A196-'Mastercurve bestimmen'!$B$2</f>
        <v>16</v>
      </c>
      <c r="F196" s="11">
        <f t="shared" si="15"/>
        <v>2.3292940298455829</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2.437774968751214</v>
      </c>
      <c r="E197" s="11">
        <f>A197-'Mastercurve bestimmen'!$B$2</f>
        <v>17</v>
      </c>
      <c r="F197" s="11">
        <f t="shared" si="15"/>
        <v>2.437774968751214</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2.5429823837192229</v>
      </c>
      <c r="E198" s="11">
        <f>A198-'Mastercurve bestimmen'!$B$2</f>
        <v>18</v>
      </c>
      <c r="F198" s="11">
        <f t="shared" si="15"/>
        <v>2.5429823837192229</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2.6450981371905882</v>
      </c>
      <c r="E199" s="11">
        <f>A199-'Mastercurve bestimmen'!$B$2</f>
        <v>19</v>
      </c>
      <c r="F199" s="11">
        <f t="shared" si="15"/>
        <v>2.6450981371905882</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2.7443040916062893</v>
      </c>
      <c r="E200" s="11">
        <f>A200-'Mastercurve bestimmen'!$B$2</f>
        <v>20</v>
      </c>
      <c r="F200" s="11">
        <f t="shared" si="15"/>
        <v>2.7443040916062893</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2.8407821094073058</v>
      </c>
      <c r="E201" s="11">
        <f>A201-'Mastercurve bestimmen'!$B$2</f>
        <v>21</v>
      </c>
      <c r="F201" s="11">
        <f t="shared" si="15"/>
        <v>2.8407821094073058</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2.9347140530346154</v>
      </c>
      <c r="E202" s="11">
        <f>A202-'Mastercurve bestimmen'!$B$2</f>
        <v>22</v>
      </c>
      <c r="F202" s="11">
        <f t="shared" si="15"/>
        <v>2.9347140530346154</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3.0262817849291981</v>
      </c>
      <c r="E203" s="11">
        <f>A203-'Mastercurve bestimmen'!$B$2</f>
        <v>23</v>
      </c>
      <c r="F203" s="11">
        <f t="shared" si="15"/>
        <v>3.0262817849291981</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3.1156671675320333</v>
      </c>
      <c r="E204" s="11">
        <f>A204-'Mastercurve bestimmen'!$B$2</f>
        <v>24</v>
      </c>
      <c r="F204" s="11">
        <f t="shared" si="15"/>
        <v>3.1156671675320333</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3.2030520632840989</v>
      </c>
      <c r="E205" s="11">
        <f>A205-'Mastercurve bestimmen'!$B$2</f>
        <v>25</v>
      </c>
      <c r="F205" s="11">
        <f t="shared" si="15"/>
        <v>3.2030520632840989</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3.2886183346263742</v>
      </c>
      <c r="E206" s="11">
        <f>A206-'Mastercurve bestimmen'!$B$2</f>
        <v>26</v>
      </c>
      <c r="F206" s="11">
        <f t="shared" si="15"/>
        <v>3.2886183346263742</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3.3725478439998384</v>
      </c>
      <c r="E207" s="11">
        <f>A207-'Mastercurve bestimmen'!$B$2</f>
        <v>27</v>
      </c>
      <c r="F207" s="11">
        <f t="shared" si="15"/>
        <v>3.3725478439998384</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3.455022453845471</v>
      </c>
      <c r="E208" s="11">
        <f>A208-'Mastercurve bestimmen'!$B$2</f>
        <v>28</v>
      </c>
      <c r="F208" s="11">
        <f t="shared" ref="F208:F215" si="21">B208</f>
        <v>3.455022453845471</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3.5362240266042502</v>
      </c>
      <c r="E209" s="11">
        <f>A209-'Mastercurve bestimmen'!$B$2</f>
        <v>29</v>
      </c>
      <c r="F209" s="11">
        <f t="shared" si="21"/>
        <v>3.5362240266042502</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3.6163344247171554</v>
      </c>
      <c r="E210" s="11">
        <f>A210-'Mastercurve bestimmen'!$B$2</f>
        <v>30</v>
      </c>
      <c r="F210" s="11">
        <f t="shared" si="21"/>
        <v>3.6163344247171554</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3.6955355106251657</v>
      </c>
      <c r="E211" s="11">
        <f>A211-'Mastercurve bestimmen'!$B$2</f>
        <v>31</v>
      </c>
      <c r="F211" s="11">
        <f t="shared" si="21"/>
        <v>3.6955355106251657</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3.7740091467692598</v>
      </c>
      <c r="E212" s="11">
        <f>A212-'Mastercurve bestimmen'!$B$2</f>
        <v>32</v>
      </c>
      <c r="F212" s="11">
        <f t="shared" si="21"/>
        <v>3.7740091467692598</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3.8519371955904167</v>
      </c>
      <c r="E213" s="11">
        <f>A213-'Mastercurve bestimmen'!$B$2</f>
        <v>33</v>
      </c>
      <c r="F213" s="11">
        <f t="shared" si="21"/>
        <v>3.8519371955904167</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3.9295015195296163</v>
      </c>
      <c r="E214" s="11">
        <f>A214-'Mastercurve bestimmen'!$B$2</f>
        <v>34</v>
      </c>
      <c r="F214" s="11">
        <f t="shared" si="21"/>
        <v>3.9295015195296163</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4.0068839810278361</v>
      </c>
      <c r="E215" s="11">
        <f>A215-'Mastercurve bestimmen'!$B$2</f>
        <v>35</v>
      </c>
      <c r="F215" s="11">
        <f t="shared" si="21"/>
        <v>4.0068839810278361</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0.15882304433366709</v>
      </c>
      <c r="J217" s="98">
        <v>-2.2473666012154908E-3</v>
      </c>
      <c r="K217" s="98">
        <v>9.3797175358172126E-5</v>
      </c>
      <c r="L217" s="98">
        <v>-2.3672309852293566E-8</v>
      </c>
      <c r="M217" s="98">
        <v>-4.1530049034911423E-8</v>
      </c>
      <c r="N217" s="98">
        <v>-5.3257153969519148E-10</v>
      </c>
      <c r="O217" s="98">
        <v>-2.5905758048188227E-12</v>
      </c>
      <c r="P217" s="98">
        <v>-4.5088247571058237E-15</v>
      </c>
    </row>
    <row r="218" spans="1:16" x14ac:dyDescent="0.25">
      <c r="G218" s="11"/>
      <c r="H218" s="11">
        <v>0</v>
      </c>
      <c r="I218" s="11">
        <v>2.9002136003903945E-3</v>
      </c>
      <c r="J218" s="11">
        <v>1.1780559966038461E-4</v>
      </c>
      <c r="K218" s="3">
        <v>3.6309857701707143E-6</v>
      </c>
      <c r="L218" s="3">
        <v>9.3307085819943636E-8</v>
      </c>
      <c r="M218" s="3">
        <v>2.5987285449881236E-9</v>
      </c>
      <c r="N218" s="3">
        <v>3.0822377463255845E-11</v>
      </c>
      <c r="O218" s="11">
        <v>1.6194923196664509E-13</v>
      </c>
      <c r="P218" s="11">
        <v>3.1616014351094474E-16</v>
      </c>
    </row>
    <row r="219" spans="1:16" x14ac:dyDescent="0.25">
      <c r="G219" s="11"/>
      <c r="H219" s="11">
        <v>0.99992982535650121</v>
      </c>
      <c r="I219" s="11">
        <v>0.2493321207842355</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-45.657433000000765</v>
      </c>
      <c r="G222">
        <f>F15</f>
        <v>-45.801625734711926</v>
      </c>
    </row>
    <row r="223" spans="1:16" x14ac:dyDescent="0.25">
      <c r="E223" s="11">
        <f t="shared" ref="E223:E286" si="25">E16</f>
        <v>-164</v>
      </c>
      <c r="F223" s="11">
        <f t="shared" ref="F223:F286" si="26">$H$217*0+E223*$I$217+E223^2*$J$217+E223^3*$K$217+E223^4*$L$217+E223^5*$M$217+E223^6*$N$217+E223^7*$O$217+E223^8*$P$217</f>
        <v>-45.618932631081407</v>
      </c>
      <c r="G223" s="11">
        <f t="shared" ref="G223:G286" si="27">F16</f>
        <v>-45.738092888466561</v>
      </c>
    </row>
    <row r="224" spans="1:16" x14ac:dyDescent="0.25">
      <c r="E224" s="11">
        <f t="shared" si="25"/>
        <v>-163</v>
      </c>
      <c r="F224" s="11">
        <f t="shared" si="26"/>
        <v>-45.583392394542898</v>
      </c>
      <c r="G224" s="11">
        <f t="shared" si="27"/>
        <v>-45.67441338219669</v>
      </c>
    </row>
    <row r="225" spans="5:7" x14ac:dyDescent="0.25">
      <c r="E225" s="11">
        <f t="shared" si="25"/>
        <v>-162</v>
      </c>
      <c r="F225" s="11">
        <f t="shared" si="26"/>
        <v>-45.549196575952465</v>
      </c>
      <c r="G225" s="11">
        <f t="shared" si="27"/>
        <v>-45.610440555877801</v>
      </c>
    </row>
    <row r="226" spans="5:7" x14ac:dyDescent="0.25">
      <c r="E226" s="11">
        <f t="shared" si="25"/>
        <v>-161</v>
      </c>
      <c r="F226" s="11">
        <f t="shared" si="26"/>
        <v>-45.514934865155055</v>
      </c>
      <c r="G226" s="11">
        <f t="shared" si="27"/>
        <v>-45.54602774948539</v>
      </c>
    </row>
    <row r="227" spans="5:7" x14ac:dyDescent="0.25">
      <c r="E227" s="11">
        <f t="shared" si="25"/>
        <v>-160</v>
      </c>
      <c r="F227" s="11">
        <f t="shared" si="26"/>
        <v>-45.479387397437677</v>
      </c>
      <c r="G227" s="11">
        <f t="shared" si="27"/>
        <v>-45.481028302994957</v>
      </c>
    </row>
    <row r="228" spans="5:7" x14ac:dyDescent="0.25">
      <c r="E228" s="11">
        <f t="shared" si="25"/>
        <v>-159</v>
      </c>
      <c r="F228" s="11">
        <f t="shared" si="26"/>
        <v>-45.44151044853129</v>
      </c>
      <c r="G228" s="11">
        <f t="shared" si="27"/>
        <v>-45.415295556381992</v>
      </c>
    </row>
    <row r="229" spans="5:7" x14ac:dyDescent="0.25">
      <c r="E229" s="11">
        <f t="shared" si="25"/>
        <v>-158</v>
      </c>
      <c r="F229" s="11">
        <f t="shared" si="26"/>
        <v>-45.400422767207147</v>
      </c>
      <c r="G229" s="11">
        <f t="shared" si="27"/>
        <v>-45.34868284962198</v>
      </c>
    </row>
    <row r="230" spans="5:7" x14ac:dyDescent="0.25">
      <c r="E230" s="11">
        <f t="shared" si="25"/>
        <v>-157</v>
      </c>
      <c r="F230" s="11">
        <f t="shared" si="26"/>
        <v>-45.355392529294022</v>
      </c>
      <c r="G230" s="11">
        <f t="shared" si="27"/>
        <v>-45.281043522690418</v>
      </c>
    </row>
    <row r="231" spans="5:7" x14ac:dyDescent="0.25">
      <c r="E231" s="11">
        <f t="shared" si="25"/>
        <v>-156</v>
      </c>
      <c r="F231" s="11">
        <f t="shared" si="26"/>
        <v>-45.305824897214734</v>
      </c>
      <c r="G231" s="11">
        <f t="shared" si="27"/>
        <v>-45.212230915562813</v>
      </c>
    </row>
    <row r="232" spans="5:7" x14ac:dyDescent="0.25">
      <c r="E232" s="11">
        <f t="shared" si="25"/>
        <v>-155</v>
      </c>
      <c r="F232" s="11">
        <f t="shared" si="26"/>
        <v>-45.251250169256082</v>
      </c>
      <c r="G232" s="11">
        <f t="shared" si="27"/>
        <v>-45.14209836821464</v>
      </c>
    </row>
    <row r="233" spans="5:7" x14ac:dyDescent="0.25">
      <c r="E233" s="11">
        <f t="shared" si="25"/>
        <v>-154</v>
      </c>
      <c r="F233" s="11">
        <f t="shared" si="26"/>
        <v>-45.191312503013251</v>
      </c>
      <c r="G233" s="11">
        <f t="shared" si="27"/>
        <v>-45.0704992206214</v>
      </c>
    </row>
    <row r="234" spans="5:7" x14ac:dyDescent="0.25">
      <c r="E234" s="11">
        <f t="shared" si="25"/>
        <v>-153</v>
      </c>
      <c r="F234" s="11">
        <f t="shared" si="26"/>
        <v>-45.125759197605475</v>
      </c>
      <c r="G234" s="11">
        <f t="shared" si="27"/>
        <v>-44.997286812758588</v>
      </c>
    </row>
    <row r="235" spans="5:7" x14ac:dyDescent="0.25">
      <c r="E235" s="11">
        <f t="shared" si="25"/>
        <v>-152</v>
      </c>
      <c r="F235" s="11">
        <f t="shared" si="26"/>
        <v>-45.05443051945781</v>
      </c>
      <c r="G235" s="11">
        <f t="shared" si="27"/>
        <v>-44.922314484601692</v>
      </c>
    </row>
    <row r="236" spans="5:7" x14ac:dyDescent="0.25">
      <c r="E236" s="11">
        <f t="shared" si="25"/>
        <v>-151</v>
      </c>
      <c r="F236" s="11">
        <f t="shared" si="26"/>
        <v>-44.977250056605044</v>
      </c>
      <c r="G236" s="11">
        <f t="shared" si="27"/>
        <v>-44.845435576126206</v>
      </c>
    </row>
    <row r="237" spans="5:7" x14ac:dyDescent="0.25">
      <c r="E237" s="11">
        <f t="shared" si="25"/>
        <v>-150</v>
      </c>
      <c r="F237" s="11">
        <f t="shared" si="26"/>
        <v>-44.894215586688915</v>
      </c>
      <c r="G237" s="11">
        <f t="shared" si="27"/>
        <v>-44.766503427307626</v>
      </c>
    </row>
    <row r="238" spans="5:7" x14ac:dyDescent="0.25">
      <c r="E238" s="11">
        <f t="shared" si="25"/>
        <v>-149</v>
      </c>
      <c r="F238" s="11">
        <f t="shared" si="26"/>
        <v>-44.805390443953002</v>
      </c>
      <c r="G238" s="11">
        <f t="shared" si="27"/>
        <v>-44.685371378121459</v>
      </c>
    </row>
    <row r="239" spans="5:7" x14ac:dyDescent="0.25">
      <c r="E239" s="11">
        <f t="shared" si="25"/>
        <v>-148</v>
      </c>
      <c r="F239" s="11">
        <f t="shared" si="26"/>
        <v>-44.710895370783419</v>
      </c>
      <c r="G239" s="11">
        <f t="shared" si="27"/>
        <v>-44.601892768543166</v>
      </c>
    </row>
    <row r="240" spans="5:7" x14ac:dyDescent="0.25">
      <c r="E240" s="11">
        <f t="shared" si="25"/>
        <v>-147</v>
      </c>
      <c r="F240" s="11">
        <f t="shared" si="26"/>
        <v>-44.610900839461351</v>
      </c>
      <c r="G240" s="11">
        <f t="shared" si="27"/>
        <v>-44.515920938548263</v>
      </c>
    </row>
    <row r="241" spans="5:7" x14ac:dyDescent="0.25">
      <c r="E241" s="11">
        <f t="shared" si="25"/>
        <v>-146</v>
      </c>
      <c r="F241" s="11">
        <f t="shared" si="26"/>
        <v>-44.505619830021715</v>
      </c>
      <c r="G241" s="11">
        <f t="shared" si="27"/>
        <v>-44.427309228112236</v>
      </c>
    </row>
    <row r="242" spans="5:7" x14ac:dyDescent="0.25">
      <c r="E242" s="11">
        <f t="shared" si="25"/>
        <v>-145</v>
      </c>
      <c r="F242" s="11">
        <f t="shared" si="26"/>
        <v>-44.395301050279386</v>
      </c>
      <c r="G242" s="11">
        <f t="shared" si="27"/>
        <v>-44.335910977210588</v>
      </c>
    </row>
    <row r="243" spans="5:7" x14ac:dyDescent="0.25">
      <c r="E243" s="11">
        <f t="shared" si="25"/>
        <v>-144</v>
      </c>
      <c r="F243" s="11">
        <f t="shared" si="26"/>
        <v>-44.280222584252442</v>
      </c>
      <c r="G243" s="11">
        <f t="shared" si="27"/>
        <v>-44.2415795258188</v>
      </c>
    </row>
    <row r="244" spans="5:7" x14ac:dyDescent="0.25">
      <c r="E244" s="11">
        <f t="shared" si="25"/>
        <v>-143</v>
      </c>
      <c r="F244" s="11">
        <f t="shared" si="26"/>
        <v>-44.160685955411964</v>
      </c>
      <c r="G244" s="11">
        <f t="shared" si="27"/>
        <v>-44.144168213912366</v>
      </c>
    </row>
    <row r="245" spans="5:7" x14ac:dyDescent="0.25">
      <c r="E245" s="11">
        <f t="shared" si="25"/>
        <v>-142</v>
      </c>
      <c r="F245" s="11">
        <f t="shared" si="26"/>
        <v>-44.037010591374951</v>
      </c>
      <c r="G245" s="11">
        <f t="shared" si="27"/>
        <v>-44.043530381466795</v>
      </c>
    </row>
    <row r="246" spans="5:7" x14ac:dyDescent="0.25">
      <c r="E246" s="11">
        <f t="shared" si="25"/>
        <v>-141</v>
      </c>
      <c r="F246" s="11">
        <f t="shared" si="26"/>
        <v>-43.909528676806417</v>
      </c>
      <c r="G246" s="11">
        <f t="shared" si="27"/>
        <v>-43.939519368457553</v>
      </c>
    </row>
    <row r="247" spans="5:7" x14ac:dyDescent="0.25">
      <c r="E247" s="11">
        <f t="shared" si="25"/>
        <v>-140</v>
      </c>
      <c r="F247" s="11">
        <f t="shared" si="26"/>
        <v>-43.778580381513052</v>
      </c>
      <c r="G247" s="11">
        <f t="shared" si="27"/>
        <v>-43.831988514860157</v>
      </c>
    </row>
    <row r="248" spans="5:7" x14ac:dyDescent="0.25">
      <c r="E248" s="11">
        <f t="shared" si="25"/>
        <v>-139</v>
      </c>
      <c r="F248" s="11">
        <f t="shared" si="26"/>
        <v>-43.644509450877536</v>
      </c>
      <c r="G248" s="11">
        <f t="shared" si="27"/>
        <v>-43.720791160650094</v>
      </c>
    </row>
    <row r="249" spans="5:7" x14ac:dyDescent="0.25">
      <c r="E249" s="11">
        <f t="shared" si="25"/>
        <v>-138</v>
      </c>
      <c r="F249" s="11">
        <f t="shared" si="26"/>
        <v>-43.507659145962748</v>
      </c>
      <c r="G249" s="11">
        <f t="shared" si="27"/>
        <v>-43.605780645802852</v>
      </c>
    </row>
    <row r="250" spans="5:7" x14ac:dyDescent="0.25">
      <c r="E250" s="11">
        <f t="shared" si="25"/>
        <v>-137</v>
      </c>
      <c r="F250" s="11">
        <f t="shared" si="26"/>
        <v>-43.368368520802619</v>
      </c>
      <c r="G250" s="11">
        <f t="shared" si="27"/>
        <v>-43.486810310293926</v>
      </c>
    </row>
    <row r="251" spans="5:7" x14ac:dyDescent="0.25">
      <c r="E251" s="11">
        <f t="shared" si="25"/>
        <v>-136</v>
      </c>
      <c r="F251" s="11">
        <f t="shared" si="26"/>
        <v>-43.226969024572782</v>
      </c>
      <c r="G251" s="11">
        <f t="shared" si="27"/>
        <v>-43.36373349409881</v>
      </c>
    </row>
    <row r="252" spans="5:7" x14ac:dyDescent="0.25">
      <c r="E252" s="11">
        <f t="shared" si="25"/>
        <v>-135</v>
      </c>
      <c r="F252" s="11">
        <f t="shared" si="26"/>
        <v>-43.083781416525142</v>
      </c>
      <c r="G252" s="11">
        <f t="shared" si="27"/>
        <v>-43.236403537192999</v>
      </c>
    </row>
    <row r="253" spans="5:7" x14ac:dyDescent="0.25">
      <c r="E253" s="11">
        <f t="shared" si="25"/>
        <v>-134</v>
      </c>
      <c r="F253" s="11">
        <f t="shared" si="26"/>
        <v>-42.939112981733217</v>
      </c>
      <c r="G253" s="11">
        <f t="shared" si="27"/>
        <v>-43.104673779551987</v>
      </c>
    </row>
    <row r="254" spans="5:7" x14ac:dyDescent="0.25">
      <c r="E254" s="11">
        <f t="shared" si="25"/>
        <v>-133</v>
      </c>
      <c r="F254" s="11">
        <f t="shared" si="26"/>
        <v>-42.793255035907521</v>
      </c>
      <c r="G254" s="11">
        <f t="shared" si="27"/>
        <v>-42.968397561151264</v>
      </c>
    </row>
    <row r="255" spans="5:7" x14ac:dyDescent="0.25">
      <c r="E255" s="11">
        <f t="shared" si="25"/>
        <v>-132</v>
      </c>
      <c r="F255" s="11">
        <f t="shared" si="26"/>
        <v>-42.646480707687317</v>
      </c>
      <c r="G255" s="11">
        <f t="shared" si="27"/>
        <v>-42.827428221966329</v>
      </c>
    </row>
    <row r="256" spans="5:7" x14ac:dyDescent="0.25">
      <c r="E256" s="11">
        <f t="shared" si="25"/>
        <v>-131</v>
      </c>
      <c r="F256" s="11">
        <f t="shared" si="26"/>
        <v>-42.499042987024097</v>
      </c>
      <c r="G256" s="11">
        <f t="shared" si="27"/>
        <v>-42.681619101972665</v>
      </c>
    </row>
    <row r="257" spans="5:7" x14ac:dyDescent="0.25">
      <c r="E257" s="11">
        <f t="shared" si="25"/>
        <v>-130</v>
      </c>
      <c r="F257" s="11">
        <f t="shared" si="26"/>
        <v>-42.351173028439575</v>
      </c>
      <c r="G257" s="11">
        <f t="shared" si="27"/>
        <v>-42.530823541145764</v>
      </c>
    </row>
    <row r="258" spans="5:7" x14ac:dyDescent="0.25">
      <c r="E258" s="11">
        <f t="shared" si="25"/>
        <v>-129</v>
      </c>
      <c r="F258" s="11">
        <f t="shared" si="26"/>
        <v>-42.203078698127797</v>
      </c>
      <c r="G258" s="11">
        <f t="shared" si="27"/>
        <v>-42.374894879461138</v>
      </c>
    </row>
    <row r="259" spans="5:7" x14ac:dyDescent="0.25">
      <c r="E259" s="11">
        <f t="shared" si="25"/>
        <v>-128</v>
      </c>
      <c r="F259" s="11">
        <f t="shared" si="26"/>
        <v>-42.054943354050351</v>
      </c>
      <c r="G259" s="11">
        <f t="shared" si="27"/>
        <v>-42.213686456894266</v>
      </c>
    </row>
    <row r="260" spans="5:7" x14ac:dyDescent="0.25">
      <c r="E260" s="11">
        <f t="shared" si="25"/>
        <v>-127</v>
      </c>
      <c r="F260" s="11">
        <f t="shared" si="26"/>
        <v>-41.906924848360006</v>
      </c>
      <c r="G260" s="11">
        <f t="shared" si="27"/>
        <v>-42.047051613420642</v>
      </c>
    </row>
    <row r="261" spans="5:7" x14ac:dyDescent="0.25">
      <c r="E261" s="11">
        <f t="shared" si="25"/>
        <v>-126</v>
      </c>
      <c r="F261" s="11">
        <f t="shared" si="26"/>
        <v>-41.759154741662314</v>
      </c>
      <c r="G261" s="11">
        <f t="shared" si="27"/>
        <v>-41.874843689015755</v>
      </c>
    </row>
    <row r="262" spans="5:7" x14ac:dyDescent="0.25">
      <c r="E262" s="11">
        <f t="shared" si="25"/>
        <v>-125</v>
      </c>
      <c r="F262" s="11">
        <f t="shared" si="26"/>
        <v>-41.611737718814538</v>
      </c>
      <c r="G262" s="11">
        <f t="shared" si="27"/>
        <v>-41.696916023655113</v>
      </c>
    </row>
    <row r="263" spans="5:7" x14ac:dyDescent="0.25">
      <c r="E263" s="11">
        <f t="shared" si="25"/>
        <v>-124</v>
      </c>
      <c r="F263" s="11">
        <f t="shared" si="26"/>
        <v>-41.464751196137456</v>
      </c>
      <c r="G263" s="11">
        <f t="shared" si="27"/>
        <v>-41.565532961159505</v>
      </c>
    </row>
    <row r="264" spans="5:7" x14ac:dyDescent="0.25">
      <c r="E264" s="11">
        <f t="shared" si="25"/>
        <v>-123</v>
      </c>
      <c r="F264" s="11">
        <f t="shared" si="26"/>
        <v>-41.318245110101515</v>
      </c>
      <c r="G264" s="11">
        <f t="shared" si="27"/>
        <v>-41.428597079596727</v>
      </c>
    </row>
    <row r="265" spans="5:7" x14ac:dyDescent="0.25">
      <c r="E265" s="11">
        <f t="shared" si="25"/>
        <v>-122</v>
      </c>
      <c r="F265" s="11">
        <f t="shared" si="26"/>
        <v>-41.172241877723962</v>
      </c>
      <c r="G265" s="11">
        <f t="shared" si="27"/>
        <v>-41.286421960879899</v>
      </c>
    </row>
    <row r="266" spans="5:7" x14ac:dyDescent="0.25">
      <c r="E266" s="11">
        <f t="shared" si="25"/>
        <v>-121</v>
      </c>
      <c r="F266" s="11">
        <f t="shared" si="26"/>
        <v>-41.026736519107487</v>
      </c>
      <c r="G266" s="11">
        <f t="shared" si="27"/>
        <v>-41.139321186922089</v>
      </c>
    </row>
    <row r="267" spans="5:7" x14ac:dyDescent="0.25">
      <c r="E267" s="11">
        <f t="shared" si="25"/>
        <v>-120</v>
      </c>
      <c r="F267" s="11">
        <f t="shared" si="26"/>
        <v>-40.881696932714618</v>
      </c>
      <c r="G267" s="11">
        <f t="shared" si="27"/>
        <v>-40.987608339636431</v>
      </c>
    </row>
    <row r="268" spans="5:7" x14ac:dyDescent="0.25">
      <c r="E268" s="11">
        <f t="shared" si="25"/>
        <v>-119</v>
      </c>
      <c r="F268" s="11">
        <f t="shared" si="26"/>
        <v>-40.737064314176081</v>
      </c>
      <c r="G268" s="11">
        <f t="shared" si="27"/>
        <v>-40.831597000936014</v>
      </c>
    </row>
    <row r="269" spans="5:7" x14ac:dyDescent="0.25">
      <c r="E269" s="11">
        <f t="shared" si="25"/>
        <v>-118</v>
      </c>
      <c r="F269" s="11">
        <f t="shared" si="26"/>
        <v>-40.592753709591875</v>
      </c>
      <c r="G269" s="11">
        <f t="shared" si="27"/>
        <v>-40.671600752733944</v>
      </c>
    </row>
    <row r="270" spans="5:7" x14ac:dyDescent="0.25">
      <c r="E270" s="11">
        <f t="shared" si="25"/>
        <v>-117</v>
      </c>
      <c r="F270" s="11">
        <f t="shared" si="26"/>
        <v>-40.448654694480496</v>
      </c>
      <c r="G270" s="11">
        <f t="shared" si="27"/>
        <v>-40.507933176943325</v>
      </c>
    </row>
    <row r="271" spans="5:7" x14ac:dyDescent="0.25">
      <c r="E271" s="11">
        <f t="shared" si="25"/>
        <v>-116</v>
      </c>
      <c r="F271" s="11">
        <f t="shared" si="26"/>
        <v>-40.304632169705002</v>
      </c>
      <c r="G271" s="11">
        <f t="shared" si="27"/>
        <v>-40.340907855477255</v>
      </c>
    </row>
    <row r="272" spans="5:7" x14ac:dyDescent="0.25">
      <c r="E272" s="11">
        <f t="shared" si="25"/>
        <v>-115</v>
      </c>
      <c r="F272" s="11">
        <f t="shared" si="26"/>
        <v>-40.160527265894217</v>
      </c>
      <c r="G272" s="11">
        <f t="shared" si="27"/>
        <v>-40.170838370248845</v>
      </c>
    </row>
    <row r="273" spans="5:7" x14ac:dyDescent="0.25">
      <c r="E273" s="11">
        <f t="shared" si="25"/>
        <v>-114</v>
      </c>
      <c r="F273" s="11">
        <f t="shared" si="26"/>
        <v>-40.016158348048918</v>
      </c>
      <c r="G273" s="11">
        <f t="shared" si="27"/>
        <v>-39.998038303171192</v>
      </c>
    </row>
    <row r="274" spans="5:7" x14ac:dyDescent="0.25">
      <c r="E274" s="11">
        <f t="shared" si="25"/>
        <v>-113</v>
      </c>
      <c r="F274" s="11">
        <f t="shared" si="26"/>
        <v>-39.871322112213718</v>
      </c>
      <c r="G274" s="11">
        <f t="shared" si="27"/>
        <v>-39.822821236157395</v>
      </c>
    </row>
    <row r="275" spans="5:7" x14ac:dyDescent="0.25">
      <c r="E275" s="11">
        <f t="shared" si="25"/>
        <v>-112</v>
      </c>
      <c r="F275" s="11">
        <f t="shared" si="26"/>
        <v>-39.725794766273538</v>
      </c>
      <c r="G275" s="11">
        <f t="shared" si="27"/>
        <v>-39.645500751120565</v>
      </c>
    </row>
    <row r="276" spans="5:7" x14ac:dyDescent="0.25">
      <c r="E276" s="11">
        <f t="shared" si="25"/>
        <v>-111</v>
      </c>
      <c r="F276" s="11">
        <f t="shared" si="26"/>
        <v>-39.579333287114764</v>
      </c>
      <c r="G276" s="11">
        <f t="shared" si="27"/>
        <v>-39.466390429973806</v>
      </c>
    </row>
    <row r="277" spans="5:7" x14ac:dyDescent="0.25">
      <c r="E277" s="11">
        <f t="shared" si="25"/>
        <v>-110</v>
      </c>
      <c r="F277" s="11">
        <f t="shared" si="26"/>
        <v>-39.431676746573316</v>
      </c>
      <c r="G277" s="11">
        <f t="shared" si="27"/>
        <v>-39.285803854630217</v>
      </c>
    </row>
    <row r="278" spans="5:7" x14ac:dyDescent="0.25">
      <c r="E278" s="11">
        <f t="shared" si="25"/>
        <v>-109</v>
      </c>
      <c r="F278" s="11">
        <f t="shared" si="26"/>
        <v>-39.282547698775645</v>
      </c>
      <c r="G278" s="11">
        <f t="shared" si="27"/>
        <v>-39.104054607002894</v>
      </c>
    </row>
    <row r="279" spans="5:7" x14ac:dyDescent="0.25">
      <c r="E279" s="11">
        <f t="shared" si="25"/>
        <v>-108</v>
      </c>
      <c r="F279" s="11">
        <f t="shared" si="26"/>
        <v>-39.131653621658117</v>
      </c>
      <c r="G279" s="11">
        <f t="shared" si="27"/>
        <v>-38.921456269004949</v>
      </c>
    </row>
    <row r="280" spans="5:7" x14ac:dyDescent="0.25">
      <c r="E280" s="11">
        <f t="shared" si="25"/>
        <v>-107</v>
      </c>
      <c r="F280" s="11">
        <f t="shared" si="26"/>
        <v>-38.978688405632198</v>
      </c>
      <c r="G280" s="11">
        <f t="shared" si="27"/>
        <v>-38.738322422549487</v>
      </c>
    </row>
    <row r="281" spans="5:7" x14ac:dyDescent="0.25">
      <c r="E281" s="11">
        <f t="shared" si="25"/>
        <v>-106</v>
      </c>
      <c r="F281" s="11">
        <f t="shared" si="26"/>
        <v>-38.82333388254564</v>
      </c>
      <c r="G281" s="11">
        <f t="shared" si="27"/>
        <v>-38.554966649549606</v>
      </c>
    </row>
    <row r="282" spans="5:7" x14ac:dyDescent="0.25">
      <c r="E282" s="11">
        <f t="shared" si="25"/>
        <v>-105</v>
      </c>
      <c r="F282" s="11">
        <f t="shared" si="26"/>
        <v>-38.665261388273322</v>
      </c>
      <c r="G282" s="11">
        <f t="shared" si="27"/>
        <v>-38.371702531918402</v>
      </c>
    </row>
    <row r="283" spans="5:7" x14ac:dyDescent="0.25">
      <c r="E283" s="11">
        <f t="shared" si="25"/>
        <v>-104</v>
      </c>
      <c r="F283" s="11">
        <f t="shared" si="26"/>
        <v>-38.504133352447035</v>
      </c>
      <c r="G283" s="11">
        <f t="shared" si="27"/>
        <v>-38.188843651568995</v>
      </c>
    </row>
    <row r="284" spans="5:7" x14ac:dyDescent="0.25">
      <c r="E284" s="11">
        <f t="shared" si="25"/>
        <v>-103</v>
      </c>
      <c r="F284" s="11">
        <f t="shared" si="26"/>
        <v>-38.339604909023791</v>
      </c>
      <c r="G284" s="11">
        <f t="shared" si="27"/>
        <v>-38.006703590414475</v>
      </c>
    </row>
    <row r="285" spans="5:7" x14ac:dyDescent="0.25">
      <c r="E285" s="11">
        <f t="shared" si="25"/>
        <v>-102</v>
      </c>
      <c r="F285" s="11">
        <f t="shared" si="26"/>
        <v>-38.171325521567162</v>
      </c>
      <c r="G285" s="11">
        <f t="shared" si="27"/>
        <v>-37.825595930367939</v>
      </c>
    </row>
    <row r="286" spans="5:7" x14ac:dyDescent="0.25">
      <c r="E286" s="11">
        <f t="shared" si="25"/>
        <v>-101</v>
      </c>
      <c r="F286" s="11">
        <f t="shared" si="26"/>
        <v>-37.998940617301102</v>
      </c>
      <c r="G286" s="11">
        <f t="shared" si="27"/>
        <v>-37.645834253342514</v>
      </c>
    </row>
    <row r="287" spans="5:7" x14ac:dyDescent="0.25">
      <c r="E287" s="11">
        <f t="shared" ref="E287:E350" si="28">E80</f>
        <v>-100</v>
      </c>
      <c r="F287" s="11">
        <f t="shared" ref="F287:F350" si="29">$H$217*0+E287*$I$217+E287^2*$J$217+E287^3*$K$217+E287^4*$L$217+E287^5*$M$217+E287^6*$N$217+E287^7*$O$217+E287^8*$P$217</f>
        <v>-37.822093224176363</v>
      </c>
      <c r="G287" s="11">
        <f t="shared" ref="G287:G350" si="30">F80</f>
        <v>-37.467732141251275</v>
      </c>
    </row>
    <row r="288" spans="5:7" x14ac:dyDescent="0.25">
      <c r="E288" s="11">
        <f t="shared" si="28"/>
        <v>-99</v>
      </c>
      <c r="F288" s="11">
        <f t="shared" si="29"/>
        <v>-37.640425605373537</v>
      </c>
      <c r="G288" s="11">
        <f t="shared" si="30"/>
        <v>-37.291414253640276</v>
      </c>
    </row>
    <row r="289" spans="5:7" x14ac:dyDescent="0.25">
      <c r="E289" s="11">
        <f t="shared" si="28"/>
        <v>-98</v>
      </c>
      <c r="F289" s="11">
        <f t="shared" si="29"/>
        <v>-37.453580885845554</v>
      </c>
      <c r="G289" s="11">
        <f t="shared" si="30"/>
        <v>-37.116249560587271</v>
      </c>
    </row>
    <row r="290" spans="5:7" x14ac:dyDescent="0.25">
      <c r="E290" s="11">
        <f t="shared" si="28"/>
        <v>-97</v>
      </c>
      <c r="F290" s="11">
        <f t="shared" si="29"/>
        <v>-37.261204665685277</v>
      </c>
      <c r="G290" s="11">
        <f t="shared" si="30"/>
        <v>-36.941418109802967</v>
      </c>
    </row>
    <row r="291" spans="5:7" x14ac:dyDescent="0.25">
      <c r="E291" s="11">
        <f t="shared" si="28"/>
        <v>-96</v>
      </c>
      <c r="F291" s="11">
        <f t="shared" si="29"/>
        <v>-37.062946615287743</v>
      </c>
      <c r="G291" s="11">
        <f t="shared" si="30"/>
        <v>-36.766099948998033</v>
      </c>
    </row>
    <row r="292" spans="5:7" x14ac:dyDescent="0.25">
      <c r="E292" s="11">
        <f t="shared" si="28"/>
        <v>-95</v>
      </c>
      <c r="F292" s="11">
        <f t="shared" si="29"/>
        <v>-36.858462047454964</v>
      </c>
      <c r="G292" s="11">
        <f t="shared" si="30"/>
        <v>-36.589475125883204</v>
      </c>
    </row>
    <row r="293" spans="5:7" x14ac:dyDescent="0.25">
      <c r="E293" s="11">
        <f t="shared" si="28"/>
        <v>-94</v>
      </c>
      <c r="F293" s="11">
        <f t="shared" si="29"/>
        <v>-36.647413461775919</v>
      </c>
      <c r="G293" s="11">
        <f t="shared" si="30"/>
        <v>-36.410723688169142</v>
      </c>
    </row>
    <row r="294" spans="5:7" x14ac:dyDescent="0.25">
      <c r="E294" s="11">
        <f t="shared" si="28"/>
        <v>-93</v>
      </c>
      <c r="F294" s="11">
        <f t="shared" si="29"/>
        <v>-36.429472056793756</v>
      </c>
      <c r="G294" s="11">
        <f t="shared" si="30"/>
        <v>-36.229025683566562</v>
      </c>
    </row>
    <row r="295" spans="5:7" x14ac:dyDescent="0.25">
      <c r="E295" s="11">
        <f t="shared" si="28"/>
        <v>-92</v>
      </c>
      <c r="F295" s="11">
        <f t="shared" si="29"/>
        <v>-36.204319205656674</v>
      </c>
      <c r="G295" s="11">
        <f t="shared" si="30"/>
        <v>-36.043561159786151</v>
      </c>
    </row>
    <row r="296" spans="5:7" x14ac:dyDescent="0.25">
      <c r="E296" s="11">
        <f t="shared" si="28"/>
        <v>-91</v>
      </c>
      <c r="F296" s="11">
        <f t="shared" si="29"/>
        <v>-35.971647891127816</v>
      </c>
      <c r="G296" s="11">
        <f t="shared" si="30"/>
        <v>-35.853510164538605</v>
      </c>
    </row>
    <row r="297" spans="5:7" x14ac:dyDescent="0.25">
      <c r="E297" s="11">
        <f t="shared" si="28"/>
        <v>-90</v>
      </c>
      <c r="F297" s="11">
        <f t="shared" si="29"/>
        <v>-35.731164096013678</v>
      </c>
      <c r="G297" s="11">
        <f t="shared" si="30"/>
        <v>-35.658052745534626</v>
      </c>
    </row>
    <row r="298" spans="5:7" x14ac:dyDescent="0.25">
      <c r="E298" s="11">
        <f t="shared" si="28"/>
        <v>-89</v>
      </c>
      <c r="F298" s="11">
        <f t="shared" si="29"/>
        <v>-35.482588145251349</v>
      </c>
      <c r="G298" s="11">
        <f t="shared" si="30"/>
        <v>-35.456368950484901</v>
      </c>
    </row>
    <row r="299" spans="5:7" x14ac:dyDescent="0.25">
      <c r="E299" s="11">
        <f t="shared" si="28"/>
        <v>-88</v>
      </c>
      <c r="F299" s="11">
        <f t="shared" si="29"/>
        <v>-35.225655996076078</v>
      </c>
      <c r="G299" s="11">
        <f t="shared" si="30"/>
        <v>-35.247638827100133</v>
      </c>
    </row>
    <row r="300" spans="5:7" x14ac:dyDescent="0.25">
      <c r="E300" s="11">
        <f t="shared" si="28"/>
        <v>-87</v>
      </c>
      <c r="F300" s="11">
        <f t="shared" si="29"/>
        <v>-34.960120472874401</v>
      </c>
      <c r="G300" s="11">
        <f t="shared" si="30"/>
        <v>-35.031042423091009</v>
      </c>
    </row>
    <row r="301" spans="5:7" x14ac:dyDescent="0.25">
      <c r="E301" s="11">
        <f t="shared" si="28"/>
        <v>-86</v>
      </c>
      <c r="F301" s="11">
        <f t="shared" si="29"/>
        <v>-34.685752443507099</v>
      </c>
      <c r="G301" s="11">
        <f t="shared" si="30"/>
        <v>-34.805759786168238</v>
      </c>
    </row>
    <row r="302" spans="5:7" x14ac:dyDescent="0.25">
      <c r="E302" s="11">
        <f t="shared" si="28"/>
        <v>-85</v>
      </c>
      <c r="F302" s="11">
        <f t="shared" si="29"/>
        <v>-34.402341934070932</v>
      </c>
      <c r="G302" s="11">
        <f t="shared" si="30"/>
        <v>-34.570970964042495</v>
      </c>
    </row>
    <row r="303" spans="5:7" x14ac:dyDescent="0.25">
      <c r="E303" s="11">
        <f t="shared" si="28"/>
        <v>-84</v>
      </c>
      <c r="F303" s="11">
        <f t="shared" si="29"/>
        <v>-34.109699179247407</v>
      </c>
      <c r="G303" s="11">
        <f t="shared" si="30"/>
        <v>-34.325856004424494</v>
      </c>
    </row>
    <row r="304" spans="5:7" x14ac:dyDescent="0.25">
      <c r="E304" s="11">
        <f t="shared" si="28"/>
        <v>-83</v>
      </c>
      <c r="F304" s="11">
        <f t="shared" si="29"/>
        <v>-33.807655605570822</v>
      </c>
      <c r="G304" s="11">
        <f t="shared" si="30"/>
        <v>-34.069594955024925</v>
      </c>
    </row>
    <row r="305" spans="5:7" x14ac:dyDescent="0.25">
      <c r="E305" s="11">
        <f t="shared" si="28"/>
        <v>-82</v>
      </c>
      <c r="F305" s="11">
        <f t="shared" si="29"/>
        <v>-33.496064745127342</v>
      </c>
      <c r="G305" s="11">
        <f t="shared" si="30"/>
        <v>-33.801367863554489</v>
      </c>
    </row>
    <row r="306" spans="5:7" x14ac:dyDescent="0.25">
      <c r="E306" s="11">
        <f t="shared" si="28"/>
        <v>-81</v>
      </c>
      <c r="F306" s="11">
        <f t="shared" si="29"/>
        <v>-33.174803077380957</v>
      </c>
      <c r="G306" s="11">
        <f t="shared" si="30"/>
        <v>-33.520354777723867</v>
      </c>
    </row>
    <row r="307" spans="5:7" x14ac:dyDescent="0.25">
      <c r="E307" s="11">
        <f t="shared" si="28"/>
        <v>-80</v>
      </c>
      <c r="F307" s="11">
        <f t="shared" si="29"/>
        <v>-32.843770797002264</v>
      </c>
      <c r="G307" s="11">
        <f t="shared" si="30"/>
        <v>-33.225735745243767</v>
      </c>
    </row>
    <row r="308" spans="5:7" x14ac:dyDescent="0.25">
      <c r="E308" s="11">
        <f t="shared" si="28"/>
        <v>-79</v>
      </c>
      <c r="F308" s="11">
        <f t="shared" si="29"/>
        <v>-32.502892505758489</v>
      </c>
      <c r="G308" s="11">
        <f t="shared" si="30"/>
        <v>-32.916690813824886</v>
      </c>
    </row>
    <row r="309" spans="5:7" x14ac:dyDescent="0.25">
      <c r="E309" s="11">
        <f t="shared" si="28"/>
        <v>-78</v>
      </c>
      <c r="F309" s="11">
        <f t="shared" si="29"/>
        <v>-32.15211782670508</v>
      </c>
      <c r="G309" s="11">
        <f t="shared" si="30"/>
        <v>-32.592400031177917</v>
      </c>
    </row>
    <row r="310" spans="5:7" x14ac:dyDescent="0.25">
      <c r="E310" s="11">
        <f t="shared" si="28"/>
        <v>-77</v>
      </c>
      <c r="F310" s="11">
        <f t="shared" si="29"/>
        <v>-31.791421939100573</v>
      </c>
      <c r="G310" s="11">
        <f t="shared" si="30"/>
        <v>-32.252043445013541</v>
      </c>
    </row>
    <row r="311" spans="5:7" x14ac:dyDescent="0.25">
      <c r="E311" s="11">
        <f t="shared" si="28"/>
        <v>-76</v>
      </c>
      <c r="F311" s="11">
        <f t="shared" si="29"/>
        <v>-31.420806032648755</v>
      </c>
      <c r="G311" s="11">
        <f t="shared" si="30"/>
        <v>-31.894801103042475</v>
      </c>
    </row>
    <row r="312" spans="5:7" x14ac:dyDescent="0.25">
      <c r="E312" s="11">
        <f t="shared" si="28"/>
        <v>-75</v>
      </c>
      <c r="F312" s="11">
        <f t="shared" si="29"/>
        <v>-31.040297679853406</v>
      </c>
      <c r="G312" s="11">
        <f t="shared" si="30"/>
        <v>-31.519853052975407</v>
      </c>
    </row>
    <row r="313" spans="5:7" x14ac:dyDescent="0.25">
      <c r="E313" s="11">
        <f t="shared" si="28"/>
        <v>-74</v>
      </c>
      <c r="F313" s="11">
        <f t="shared" si="29"/>
        <v>-30.649951125452972</v>
      </c>
      <c r="G313" s="11">
        <f t="shared" si="30"/>
        <v>-31.126667810396924</v>
      </c>
    </row>
    <row r="314" spans="5:7" x14ac:dyDescent="0.25">
      <c r="E314" s="11">
        <f t="shared" si="28"/>
        <v>-73</v>
      </c>
      <c r="F314" s="11">
        <f t="shared" si="29"/>
        <v>-30.249847492084406</v>
      </c>
      <c r="G314" s="11">
        <f t="shared" si="30"/>
        <v>-30.715867762387184</v>
      </c>
    </row>
    <row r="315" spans="5:7" x14ac:dyDescent="0.25">
      <c r="E315" s="11">
        <f t="shared" si="28"/>
        <v>-72</v>
      </c>
      <c r="F315" s="11">
        <f t="shared" si="29"/>
        <v>-29.840094901507111</v>
      </c>
      <c r="G315" s="11">
        <f t="shared" si="30"/>
        <v>-30.288363763900247</v>
      </c>
    </row>
    <row r="316" spans="5:7" x14ac:dyDescent="0.25">
      <c r="E316" s="11">
        <f t="shared" si="28"/>
        <v>-71</v>
      </c>
      <c r="F316" s="11">
        <f t="shared" si="29"/>
        <v>-29.420828510899511</v>
      </c>
      <c r="G316" s="11">
        <f t="shared" si="30"/>
        <v>-29.845066669890162</v>
      </c>
    </row>
    <row r="317" spans="5:7" x14ac:dyDescent="0.25">
      <c r="E317" s="11">
        <f t="shared" si="28"/>
        <v>-70</v>
      </c>
      <c r="F317" s="11">
        <f t="shared" si="29"/>
        <v>-28.992210463922923</v>
      </c>
      <c r="G317" s="11">
        <f t="shared" si="30"/>
        <v>-29.386887335310995</v>
      </c>
    </row>
    <row r="318" spans="5:7" x14ac:dyDescent="0.25">
      <c r="E318" s="11">
        <f t="shared" si="28"/>
        <v>-69</v>
      </c>
      <c r="F318" s="11">
        <f t="shared" si="29"/>
        <v>-28.554429756429034</v>
      </c>
      <c r="G318" s="11">
        <f t="shared" si="30"/>
        <v>-28.914736615116791</v>
      </c>
    </row>
    <row r="319" spans="5:7" x14ac:dyDescent="0.25">
      <c r="E319" s="11">
        <f t="shared" si="28"/>
        <v>-68</v>
      </c>
      <c r="F319" s="11">
        <f t="shared" si="29"/>
        <v>-28.107702016868924</v>
      </c>
      <c r="G319" s="11">
        <f t="shared" si="30"/>
        <v>-28.429525364261607</v>
      </c>
    </row>
    <row r="320" spans="5:7" x14ac:dyDescent="0.25">
      <c r="E320" s="11">
        <f t="shared" si="28"/>
        <v>-67</v>
      </c>
      <c r="F320" s="11">
        <f t="shared" si="29"/>
        <v>-27.652269201643804</v>
      </c>
      <c r="G320" s="11">
        <f t="shared" si="30"/>
        <v>-27.932164437699502</v>
      </c>
    </row>
    <row r="321" spans="5:7" x14ac:dyDescent="0.25">
      <c r="E321" s="11">
        <f t="shared" si="28"/>
        <v>-66</v>
      </c>
      <c r="F321" s="11">
        <f t="shared" si="29"/>
        <v>-27.188399205818847</v>
      </c>
      <c r="G321" s="11">
        <f t="shared" si="30"/>
        <v>-27.42356469038452</v>
      </c>
    </row>
    <row r="322" spans="5:7" x14ac:dyDescent="0.25">
      <c r="E322" s="11">
        <f t="shared" si="28"/>
        <v>-65</v>
      </c>
      <c r="F322" s="11">
        <f t="shared" si="29"/>
        <v>-26.716385389803865</v>
      </c>
      <c r="G322" s="11">
        <f t="shared" si="30"/>
        <v>-26.904636977270727</v>
      </c>
    </row>
    <row r="323" spans="5:7" x14ac:dyDescent="0.25">
      <c r="E323" s="11">
        <f t="shared" si="28"/>
        <v>-64</v>
      </c>
      <c r="F323" s="11">
        <f t="shared" si="29"/>
        <v>-26.236546022785987</v>
      </c>
      <c r="G323" s="11">
        <f t="shared" si="30"/>
        <v>-26.376292153312171</v>
      </c>
    </row>
    <row r="324" spans="5:7" x14ac:dyDescent="0.25">
      <c r="E324" s="11">
        <f t="shared" si="28"/>
        <v>-63</v>
      </c>
      <c r="F324" s="11">
        <f t="shared" si="29"/>
        <v>-25.749223643881432</v>
      </c>
      <c r="G324" s="11">
        <f t="shared" si="30"/>
        <v>-25.839441073462908</v>
      </c>
    </row>
    <row r="325" spans="5:7" x14ac:dyDescent="0.25">
      <c r="E325" s="11">
        <f t="shared" si="28"/>
        <v>-62</v>
      </c>
      <c r="F325" s="11">
        <f t="shared" si="29"/>
        <v>-25.254784342155236</v>
      </c>
      <c r="G325" s="11">
        <f t="shared" si="30"/>
        <v>-25.294994592676993</v>
      </c>
    </row>
    <row r="326" spans="5:7" x14ac:dyDescent="0.25">
      <c r="E326" s="11">
        <f t="shared" si="28"/>
        <v>-61</v>
      </c>
      <c r="F326" s="11">
        <f t="shared" si="29"/>
        <v>-24.7536169568397</v>
      </c>
      <c r="G326" s="11">
        <f t="shared" si="30"/>
        <v>-24.743863565908484</v>
      </c>
    </row>
    <row r="327" spans="5:7" x14ac:dyDescent="0.25">
      <c r="E327" s="11">
        <f t="shared" si="28"/>
        <v>-60</v>
      </c>
      <c r="F327" s="11">
        <f t="shared" si="29"/>
        <v>-24.246132199263908</v>
      </c>
      <c r="G327" s="11">
        <f t="shared" si="30"/>
        <v>-24.186958848111431</v>
      </c>
    </row>
    <row r="328" spans="5:7" x14ac:dyDescent="0.25">
      <c r="E328" s="11">
        <f t="shared" si="28"/>
        <v>-59</v>
      </c>
      <c r="F328" s="11">
        <f t="shared" si="29"/>
        <v>-23.732761698188629</v>
      </c>
      <c r="G328" s="11">
        <f t="shared" si="30"/>
        <v>-23.62519129423989</v>
      </c>
    </row>
    <row r="329" spans="5:7" x14ac:dyDescent="0.25">
      <c r="E329" s="11">
        <f t="shared" si="28"/>
        <v>-58</v>
      </c>
      <c r="F329" s="11">
        <f t="shared" si="29"/>
        <v>-23.213956970422693</v>
      </c>
      <c r="G329" s="11">
        <f t="shared" si="30"/>
        <v>-23.059471759247913</v>
      </c>
    </row>
    <row r="330" spans="5:7" x14ac:dyDescent="0.25">
      <c r="E330" s="11">
        <f t="shared" si="28"/>
        <v>-57</v>
      </c>
      <c r="F330" s="11">
        <f t="shared" si="29"/>
        <v>-22.690188318778638</v>
      </c>
      <c r="G330" s="11">
        <f t="shared" si="30"/>
        <v>-22.490711098089562</v>
      </c>
    </row>
    <row r="331" spans="5:7" x14ac:dyDescent="0.25">
      <c r="E331" s="11">
        <f t="shared" si="28"/>
        <v>-56</v>
      </c>
      <c r="F331" s="11">
        <f t="shared" si="29"/>
        <v>-22.161943659607335</v>
      </c>
      <c r="G331" s="11">
        <f t="shared" si="30"/>
        <v>-21.919820165718889</v>
      </c>
    </row>
    <row r="332" spans="5:7" x14ac:dyDescent="0.25">
      <c r="E332" s="11">
        <f t="shared" si="28"/>
        <v>-55</v>
      </c>
      <c r="F332" s="11">
        <f t="shared" si="29"/>
        <v>-21.629727282333011</v>
      </c>
      <c r="G332" s="11">
        <f t="shared" si="30"/>
        <v>-21.347709817089942</v>
      </c>
    </row>
    <row r="333" spans="5:7" x14ac:dyDescent="0.25">
      <c r="E333" s="11">
        <f t="shared" si="28"/>
        <v>-54</v>
      </c>
      <c r="F333" s="11">
        <f t="shared" si="29"/>
        <v>-21.094058543591839</v>
      </c>
      <c r="G333" s="11">
        <f t="shared" si="30"/>
        <v>-20.77529090715678</v>
      </c>
    </row>
    <row r="334" spans="5:7" x14ac:dyDescent="0.25">
      <c r="E334" s="11">
        <f t="shared" si="28"/>
        <v>-53</v>
      </c>
      <c r="F334" s="11">
        <f t="shared" si="29"/>
        <v>-20.555470498759338</v>
      </c>
      <c r="G334" s="11">
        <f t="shared" si="30"/>
        <v>-20.203474290873459</v>
      </c>
    </row>
    <row r="335" spans="5:7" x14ac:dyDescent="0.25">
      <c r="E335" s="11">
        <f t="shared" si="28"/>
        <v>-52</v>
      </c>
      <c r="F335" s="11">
        <f t="shared" si="29"/>
        <v>-20.01450847383316</v>
      </c>
      <c r="G335" s="11">
        <f t="shared" si="30"/>
        <v>-19.633170823194035</v>
      </c>
    </row>
    <row r="336" spans="5:7" x14ac:dyDescent="0.25">
      <c r="E336" s="11">
        <f t="shared" si="28"/>
        <v>-51</v>
      </c>
      <c r="F336" s="11">
        <f t="shared" si="29"/>
        <v>-19.471728580820127</v>
      </c>
      <c r="G336" s="11">
        <f t="shared" si="30"/>
        <v>-19.06529135907256</v>
      </c>
    </row>
    <row r="337" spans="5:7" x14ac:dyDescent="0.25">
      <c r="E337" s="11">
        <f t="shared" si="28"/>
        <v>-50</v>
      </c>
      <c r="F337" s="11">
        <f t="shared" si="29"/>
        <v>-18.927696179957721</v>
      </c>
      <c r="G337" s="11">
        <f t="shared" si="30"/>
        <v>-18.500746753463087</v>
      </c>
    </row>
    <row r="338" spans="5:7" x14ac:dyDescent="0.25">
      <c r="E338" s="11">
        <f t="shared" si="28"/>
        <v>-49</v>
      </c>
      <c r="F338" s="11">
        <f t="shared" si="29"/>
        <v>-18.382984292282494</v>
      </c>
      <c r="G338" s="11">
        <f t="shared" si="30"/>
        <v>-17.940447861319676</v>
      </c>
    </row>
    <row r="339" spans="5:7" x14ac:dyDescent="0.25">
      <c r="E339" s="11">
        <f t="shared" si="28"/>
        <v>-48</v>
      </c>
      <c r="F339" s="11">
        <f t="shared" si="29"/>
        <v>-17.83817196623918</v>
      </c>
      <c r="G339" s="11">
        <f t="shared" si="30"/>
        <v>-17.385305537596373</v>
      </c>
    </row>
    <row r="340" spans="5:7" x14ac:dyDescent="0.25">
      <c r="E340" s="11">
        <f t="shared" si="28"/>
        <v>-47</v>
      </c>
      <c r="F340" s="11">
        <f t="shared" si="29"/>
        <v>-17.293842602206496</v>
      </c>
      <c r="G340" s="11">
        <f t="shared" si="30"/>
        <v>-16.836230637247244</v>
      </c>
    </row>
    <row r="341" spans="5:7" x14ac:dyDescent="0.25">
      <c r="E341" s="11">
        <f t="shared" si="28"/>
        <v>-46</v>
      </c>
      <c r="F341" s="11">
        <f t="shared" si="29"/>
        <v>-16.750582238997143</v>
      </c>
      <c r="G341" s="11">
        <f t="shared" si="30"/>
        <v>-16.294134015226334</v>
      </c>
    </row>
    <row r="342" spans="5:7" x14ac:dyDescent="0.25">
      <c r="E342" s="11">
        <f t="shared" si="28"/>
        <v>-45</v>
      </c>
      <c r="F342" s="11">
        <f t="shared" si="29"/>
        <v>-16.208977806571458</v>
      </c>
      <c r="G342" s="11">
        <f t="shared" si="30"/>
        <v>-15.759926526487703</v>
      </c>
    </row>
    <row r="343" spans="5:7" x14ac:dyDescent="0.25">
      <c r="E343" s="11">
        <f t="shared" si="28"/>
        <v>-44</v>
      </c>
      <c r="F343" s="11">
        <f t="shared" si="29"/>
        <v>-15.669615349385881</v>
      </c>
      <c r="G343" s="11">
        <f t="shared" si="30"/>
        <v>-15.234358199038235</v>
      </c>
    </row>
    <row r="344" spans="5:7" x14ac:dyDescent="0.25">
      <c r="E344" s="11">
        <f t="shared" si="28"/>
        <v>-43</v>
      </c>
      <c r="F344" s="11">
        <f t="shared" si="29"/>
        <v>-15.133078224979299</v>
      </c>
      <c r="G344" s="11">
        <f t="shared" si="30"/>
        <v>-14.717535753096168</v>
      </c>
    </row>
    <row r="345" spans="5:7" x14ac:dyDescent="0.25">
      <c r="E345" s="11">
        <f t="shared" si="28"/>
        <v>-42</v>
      </c>
      <c r="F345" s="11">
        <f t="shared" si="29"/>
        <v>-14.599945282581968</v>
      </c>
      <c r="G345" s="11">
        <f t="shared" si="30"/>
        <v>-14.209405081932562</v>
      </c>
    </row>
    <row r="346" spans="5:7" x14ac:dyDescent="0.25">
      <c r="E346" s="11">
        <f t="shared" si="28"/>
        <v>-41</v>
      </c>
      <c r="F346" s="11">
        <f t="shared" si="29"/>
        <v>-14.070789026713694</v>
      </c>
      <c r="G346" s="11">
        <f t="shared" si="30"/>
        <v>-13.709912078818485</v>
      </c>
    </row>
    <row r="347" spans="5:7" x14ac:dyDescent="0.25">
      <c r="E347" s="11">
        <f t="shared" si="28"/>
        <v>-40</v>
      </c>
      <c r="F347" s="11">
        <f t="shared" si="29"/>
        <v>-13.546173770919584</v>
      </c>
      <c r="G347" s="11">
        <f t="shared" si="30"/>
        <v>-13.219002637025</v>
      </c>
    </row>
    <row r="348" spans="5:7" x14ac:dyDescent="0.25">
      <c r="E348" s="11">
        <f t="shared" si="28"/>
        <v>-39</v>
      </c>
      <c r="F348" s="11">
        <f t="shared" si="29"/>
        <v>-13.026653786973572</v>
      </c>
      <c r="G348" s="11">
        <f t="shared" si="30"/>
        <v>-12.736622649823172</v>
      </c>
    </row>
    <row r="349" spans="5:7" x14ac:dyDescent="0.25">
      <c r="E349" s="11">
        <f t="shared" si="28"/>
        <v>-38</v>
      </c>
      <c r="F349" s="11">
        <f t="shared" si="29"/>
        <v>-12.512771455061735</v>
      </c>
      <c r="G349" s="11">
        <f t="shared" si="30"/>
        <v>-12.262718010484072</v>
      </c>
    </row>
    <row r="350" spans="5:7" x14ac:dyDescent="0.25">
      <c r="E350" s="11">
        <f t="shared" si="28"/>
        <v>-37</v>
      </c>
      <c r="F350" s="11">
        <f t="shared" si="29"/>
        <v>-12.005055420639101</v>
      </c>
      <c r="G350" s="11">
        <f t="shared" si="30"/>
        <v>-11.797234612278755</v>
      </c>
    </row>
    <row r="351" spans="5:7" x14ac:dyDescent="0.25">
      <c r="E351" s="11">
        <f t="shared" ref="E351:E414" si="31">E144</f>
        <v>-36</v>
      </c>
      <c r="F351" s="11">
        <f t="shared" ref="F351:F414" si="32">$H$217*0+E351*$I$217+E351^2*$J$217+E351^3*$K$217+E351^4*$L$217+E351^5*$M$217+E351^6*$N$217+E351^7*$O$217+E351^8*$P$217</f>
        <v>-11.50401876383558</v>
      </c>
      <c r="G351" s="11">
        <f t="shared" ref="G351:G414" si="33">F144</f>
        <v>-11.340118348478292</v>
      </c>
    </row>
    <row r="352" spans="5:7" x14ac:dyDescent="0.25">
      <c r="E352" s="11">
        <f t="shared" si="31"/>
        <v>-35</v>
      </c>
      <c r="F352" s="11">
        <f t="shared" si="32"/>
        <v>-11.010157187468293</v>
      </c>
      <c r="G352" s="11">
        <f t="shared" si="33"/>
        <v>-10.891315112353752</v>
      </c>
    </row>
    <row r="353" spans="5:7" x14ac:dyDescent="0.25">
      <c r="E353" s="11">
        <f t="shared" si="31"/>
        <v>-34</v>
      </c>
      <c r="F353" s="11">
        <f t="shared" si="32"/>
        <v>-10.523947229899631</v>
      </c>
      <c r="G353" s="11">
        <f t="shared" si="33"/>
        <v>-10.450770797176192</v>
      </c>
    </row>
    <row r="354" spans="5:7" x14ac:dyDescent="0.25">
      <c r="E354" s="11">
        <f t="shared" si="31"/>
        <v>-33</v>
      </c>
      <c r="F354" s="11">
        <f t="shared" si="32"/>
        <v>-10.045844509161745</v>
      </c>
      <c r="G354" s="11">
        <f t="shared" si="33"/>
        <v>-10.018431296216681</v>
      </c>
    </row>
    <row r="355" spans="5:7" x14ac:dyDescent="0.25">
      <c r="E355" s="11">
        <f t="shared" si="31"/>
        <v>-32</v>
      </c>
      <c r="F355" s="11">
        <f t="shared" si="32"/>
        <v>-9.5762820049504693</v>
      </c>
      <c r="G355" s="11">
        <f t="shared" si="33"/>
        <v>-9.594242502746285</v>
      </c>
    </row>
    <row r="356" spans="5:7" x14ac:dyDescent="0.25">
      <c r="E356" s="11">
        <f t="shared" si="31"/>
        <v>-31</v>
      </c>
      <c r="F356" s="11">
        <f t="shared" si="32"/>
        <v>-9.1156683852730609</v>
      </c>
      <c r="G356" s="11">
        <f t="shared" si="33"/>
        <v>-9.1781503100360666</v>
      </c>
    </row>
    <row r="357" spans="5:7" x14ac:dyDescent="0.25">
      <c r="E357" s="11">
        <f t="shared" si="31"/>
        <v>-30</v>
      </c>
      <c r="F357" s="11">
        <f t="shared" si="32"/>
        <v>-8.6643863847161562</v>
      </c>
      <c r="G357" s="11">
        <f t="shared" si="33"/>
        <v>-8.7701006113570976</v>
      </c>
    </row>
    <row r="358" spans="5:7" x14ac:dyDescent="0.25">
      <c r="E358" s="11">
        <f t="shared" si="31"/>
        <v>-29</v>
      </c>
      <c r="F358" s="11">
        <f t="shared" si="32"/>
        <v>-8.2227912414820725</v>
      </c>
      <c r="G358" s="11">
        <f t="shared" si="33"/>
        <v>-8.3700392999804354</v>
      </c>
    </row>
    <row r="359" spans="5:7" x14ac:dyDescent="0.25">
      <c r="E359" s="11">
        <f t="shared" si="31"/>
        <v>-28</v>
      </c>
      <c r="F359" s="11">
        <f t="shared" si="32"/>
        <v>-7.7912092005234257</v>
      </c>
      <c r="G359" s="11">
        <f t="shared" si="33"/>
        <v>-7.977912269177148</v>
      </c>
    </row>
    <row r="360" spans="5:7" x14ac:dyDescent="0.25">
      <c r="E360" s="11">
        <f t="shared" si="31"/>
        <v>-27</v>
      </c>
      <c r="F360" s="11">
        <f t="shared" si="32"/>
        <v>-7.3699360902877009</v>
      </c>
      <c r="G360" s="11">
        <f t="shared" si="33"/>
        <v>-7.5936654122183009</v>
      </c>
    </row>
    <row r="361" spans="5:7" x14ac:dyDescent="0.25">
      <c r="E361" s="11">
        <f t="shared" si="31"/>
        <v>-26</v>
      </c>
      <c r="F361" s="11">
        <f t="shared" si="32"/>
        <v>-6.9592359807654161</v>
      </c>
      <c r="G361" s="11">
        <f t="shared" si="33"/>
        <v>-7.2172446223749596</v>
      </c>
    </row>
    <row r="362" spans="5:7" x14ac:dyDescent="0.25">
      <c r="E362" s="11">
        <f t="shared" si="31"/>
        <v>-25</v>
      </c>
      <c r="F362" s="11">
        <f t="shared" si="32"/>
        <v>-6.5593399307171163</v>
      </c>
      <c r="G362" s="11">
        <f t="shared" si="33"/>
        <v>-6.8485957929181875</v>
      </c>
    </row>
    <row r="363" spans="5:7" x14ac:dyDescent="0.25">
      <c r="E363" s="11">
        <f t="shared" si="31"/>
        <v>-24</v>
      </c>
      <c r="F363" s="11">
        <f t="shared" si="32"/>
        <v>-6.1704448321363445</v>
      </c>
      <c r="G363" s="11">
        <f t="shared" si="33"/>
        <v>-6.4876648171190521</v>
      </c>
    </row>
    <row r="364" spans="5:7" x14ac:dyDescent="0.25">
      <c r="E364" s="11">
        <f t="shared" si="31"/>
        <v>-23</v>
      </c>
      <c r="F364" s="11">
        <f t="shared" si="32"/>
        <v>-5.7927123601875197</v>
      </c>
      <c r="G364" s="11">
        <f t="shared" si="33"/>
        <v>-6.1343975882486186</v>
      </c>
    </row>
    <row r="365" spans="5:7" x14ac:dyDescent="0.25">
      <c r="E365" s="11">
        <f t="shared" si="31"/>
        <v>-22</v>
      </c>
      <c r="F365" s="11">
        <f t="shared" si="32"/>
        <v>-5.4262680370393896</v>
      </c>
      <c r="G365" s="11">
        <f t="shared" si="33"/>
        <v>-5.7887399995779507</v>
      </c>
    </row>
    <row r="366" spans="5:7" x14ac:dyDescent="0.25">
      <c r="E366" s="11">
        <f t="shared" si="31"/>
        <v>-21</v>
      </c>
      <c r="F366" s="11">
        <f t="shared" si="32"/>
        <v>-5.0712004181966011</v>
      </c>
      <c r="G366" s="11">
        <f t="shared" si="33"/>
        <v>-5.4506379443781121</v>
      </c>
    </row>
    <row r="367" spans="5:7" x14ac:dyDescent="0.25">
      <c r="E367" s="11">
        <f t="shared" si="31"/>
        <v>-20</v>
      </c>
      <c r="F367" s="11">
        <f t="shared" si="32"/>
        <v>-4.7275604101136723</v>
      </c>
      <c r="G367" s="11">
        <f t="shared" si="33"/>
        <v>-5.1200373159201717</v>
      </c>
    </row>
    <row r="368" spans="5:7" x14ac:dyDescent="0.25">
      <c r="E368" s="11">
        <f t="shared" si="31"/>
        <v>-19</v>
      </c>
      <c r="F368" s="11">
        <f t="shared" si="32"/>
        <v>-4.3953607280574598</v>
      </c>
      <c r="G368" s="11">
        <f t="shared" si="33"/>
        <v>-4.7968840074751924</v>
      </c>
    </row>
    <row r="369" spans="5:7" x14ac:dyDescent="0.25">
      <c r="E369" s="11">
        <f t="shared" si="31"/>
        <v>-18</v>
      </c>
      <c r="F369" s="11">
        <f t="shared" si="32"/>
        <v>-4.0745755033660211</v>
      </c>
      <c r="G369" s="11">
        <f t="shared" si="33"/>
        <v>-4.4811239123142403</v>
      </c>
    </row>
    <row r="370" spans="5:7" x14ac:dyDescent="0.25">
      <c r="E370" s="11">
        <f t="shared" si="31"/>
        <v>-17</v>
      </c>
      <c r="F370" s="11">
        <f t="shared" si="32"/>
        <v>-3.7651400494335516</v>
      </c>
      <c r="G370" s="11">
        <f t="shared" si="33"/>
        <v>-4.1727029237083801</v>
      </c>
    </row>
    <row r="371" spans="5:7" x14ac:dyDescent="0.25">
      <c r="E371" s="11">
        <f t="shared" si="31"/>
        <v>-16</v>
      </c>
      <c r="F371" s="11">
        <f t="shared" si="32"/>
        <v>-3.4669507959328865</v>
      </c>
      <c r="G371" s="11">
        <f t="shared" si="33"/>
        <v>-3.8715669349286768</v>
      </c>
    </row>
    <row r="372" spans="5:7" x14ac:dyDescent="0.25">
      <c r="E372" s="11">
        <f t="shared" si="31"/>
        <v>-15</v>
      </c>
      <c r="F372" s="11">
        <f t="shared" si="32"/>
        <v>-3.1798654009688487</v>
      </c>
      <c r="G372" s="11">
        <f t="shared" si="33"/>
        <v>-3.577661839246197</v>
      </c>
    </row>
    <row r="373" spans="5:7" x14ac:dyDescent="0.25">
      <c r="E373" s="11">
        <f t="shared" si="31"/>
        <v>-14</v>
      </c>
      <c r="F373" s="11">
        <f t="shared" si="32"/>
        <v>-2.9037030510375121</v>
      </c>
      <c r="G373" s="11">
        <f t="shared" si="33"/>
        <v>-3.2909335299320035</v>
      </c>
    </row>
    <row r="374" spans="5:7" x14ac:dyDescent="0.25">
      <c r="E374" s="11">
        <f t="shared" si="31"/>
        <v>-13</v>
      </c>
      <c r="F374" s="11">
        <f t="shared" si="32"/>
        <v>-2.6382449588482522</v>
      </c>
      <c r="G374" s="11">
        <f t="shared" si="33"/>
        <v>-3.0113279002571627</v>
      </c>
    </row>
    <row r="375" spans="5:7" x14ac:dyDescent="0.25">
      <c r="E375" s="11">
        <f t="shared" si="31"/>
        <v>-12</v>
      </c>
      <c r="F375" s="11">
        <f t="shared" si="32"/>
        <v>-2.3832350692472528</v>
      </c>
      <c r="G375" s="11">
        <f t="shared" si="33"/>
        <v>-2.7387908434927408</v>
      </c>
    </row>
    <row r="376" spans="5:7" x14ac:dyDescent="0.25">
      <c r="E376" s="11">
        <f t="shared" si="31"/>
        <v>-11</v>
      </c>
      <c r="F376" s="11">
        <f t="shared" si="32"/>
        <v>-2.1383809836629322</v>
      </c>
      <c r="G376" s="11">
        <f t="shared" si="33"/>
        <v>-2.4732682529098016</v>
      </c>
    </row>
    <row r="377" spans="5:7" x14ac:dyDescent="0.25">
      <c r="E377" s="11">
        <f t="shared" si="31"/>
        <v>-10</v>
      </c>
      <c r="F377" s="11">
        <f t="shared" si="32"/>
        <v>-1.9033551136755464</v>
      </c>
      <c r="G377" s="11">
        <f t="shared" si="33"/>
        <v>-2.2147060217794103</v>
      </c>
    </row>
    <row r="378" spans="5:7" x14ac:dyDescent="0.25">
      <c r="E378" s="11">
        <f t="shared" si="31"/>
        <v>-9</v>
      </c>
      <c r="F378" s="11">
        <f t="shared" si="32"/>
        <v>-1.6777960744950264</v>
      </c>
      <c r="G378" s="11">
        <f t="shared" si="33"/>
        <v>-1.963050043372633</v>
      </c>
    </row>
    <row r="379" spans="5:7" x14ac:dyDescent="0.25">
      <c r="E379" s="11">
        <f t="shared" si="31"/>
        <v>-8</v>
      </c>
      <c r="F379" s="11">
        <f t="shared" si="32"/>
        <v>-1.46131032931289</v>
      </c>
      <c r="G379" s="11">
        <f t="shared" si="33"/>
        <v>-1.7182462109605345</v>
      </c>
    </row>
    <row r="380" spans="5:7" x14ac:dyDescent="0.25">
      <c r="E380" s="11">
        <f t="shared" si="31"/>
        <v>-7</v>
      </c>
      <c r="F380" s="11">
        <f t="shared" si="32"/>
        <v>-1.2534740956758883</v>
      </c>
      <c r="G380" s="11">
        <f t="shared" si="33"/>
        <v>-1.4802404178141799</v>
      </c>
    </row>
    <row r="381" spans="5:7" x14ac:dyDescent="0.25">
      <c r="E381" s="11">
        <f t="shared" si="31"/>
        <v>-6</v>
      </c>
      <c r="F381" s="11">
        <f t="shared" si="32"/>
        <v>-1.0538355252108198</v>
      </c>
      <c r="G381" s="11">
        <f t="shared" si="33"/>
        <v>-1.2489785572046341</v>
      </c>
    </row>
    <row r="382" spans="5:7" x14ac:dyDescent="0.25">
      <c r="E382" s="11">
        <f t="shared" si="31"/>
        <v>-5</v>
      </c>
      <c r="F382" s="11">
        <f t="shared" si="32"/>
        <v>-0.86191716821175046</v>
      </c>
      <c r="G382" s="11">
        <f t="shared" si="33"/>
        <v>-1.0244065224029626</v>
      </c>
    </row>
    <row r="383" spans="5:7" x14ac:dyDescent="0.25">
      <c r="E383" s="11">
        <f t="shared" si="31"/>
        <v>-4</v>
      </c>
      <c r="F383" s="11">
        <f t="shared" si="32"/>
        <v>-0.67721873478267247</v>
      </c>
      <c r="G383" s="11">
        <f t="shared" si="33"/>
        <v>-0.80647020668023028</v>
      </c>
    </row>
    <row r="384" spans="5:7" x14ac:dyDescent="0.25">
      <c r="E384" s="11">
        <f t="shared" si="31"/>
        <v>-3</v>
      </c>
      <c r="F384" s="11">
        <f t="shared" si="32"/>
        <v>-0.49922016441043943</v>
      </c>
      <c r="G384" s="11">
        <f t="shared" si="33"/>
        <v>-0.59511550330750262</v>
      </c>
    </row>
    <row r="385" spans="5:7" x14ac:dyDescent="0.25">
      <c r="E385" s="11">
        <f t="shared" si="31"/>
        <v>-2</v>
      </c>
      <c r="F385" s="11">
        <f t="shared" si="32"/>
        <v>-0.32738501602458914</v>
      </c>
      <c r="G385" s="11">
        <f t="shared" si="33"/>
        <v>-0.39028830555584504</v>
      </c>
    </row>
    <row r="386" spans="5:7" x14ac:dyDescent="0.25">
      <c r="E386" s="11">
        <f t="shared" si="31"/>
        <v>-1</v>
      </c>
      <c r="F386" s="11">
        <f t="shared" si="32"/>
        <v>-0.16116419078248706</v>
      </c>
      <c r="G386" s="11">
        <f t="shared" si="33"/>
        <v>-0.19193450669632295</v>
      </c>
    </row>
    <row r="387" spans="5:7" x14ac:dyDescent="0.25">
      <c r="E387" s="11">
        <f t="shared" si="31"/>
        <v>0</v>
      </c>
      <c r="F387" s="11">
        <f t="shared" si="32"/>
        <v>0</v>
      </c>
      <c r="G387" s="11">
        <f t="shared" si="33"/>
        <v>0</v>
      </c>
    </row>
    <row r="388" spans="5:7" x14ac:dyDescent="0.25">
      <c r="E388" s="11">
        <f t="shared" si="31"/>
        <v>1</v>
      </c>
      <c r="F388" s="11">
        <f t="shared" si="32"/>
        <v>0.15666940917028427</v>
      </c>
      <c r="G388" s="11">
        <f t="shared" si="33"/>
        <v>0.1855906138807312</v>
      </c>
    </row>
    <row r="389" spans="5:7" x14ac:dyDescent="0.25">
      <c r="E389" s="11">
        <f t="shared" si="31"/>
        <v>2</v>
      </c>
      <c r="F389" s="11">
        <f t="shared" si="32"/>
        <v>0.30940525752948433</v>
      </c>
      <c r="G389" s="11">
        <f t="shared" si="33"/>
        <v>0.36499790476817601</v>
      </c>
    </row>
    <row r="390" spans="5:7" x14ac:dyDescent="0.25">
      <c r="E390" s="11">
        <f t="shared" si="31"/>
        <v>3</v>
      </c>
      <c r="F390" s="11">
        <f t="shared" si="32"/>
        <v>0.45876295412589491</v>
      </c>
      <c r="G390" s="11">
        <f t="shared" si="33"/>
        <v>0.53840373510331363</v>
      </c>
    </row>
    <row r="391" spans="5:7" x14ac:dyDescent="0.25">
      <c r="E391" s="11">
        <f t="shared" si="31"/>
        <v>4</v>
      </c>
      <c r="F391" s="11">
        <f t="shared" si="32"/>
        <v>0.60528651990409876</v>
      </c>
      <c r="G391" s="11">
        <f t="shared" si="33"/>
        <v>0.70598996732712282</v>
      </c>
    </row>
    <row r="392" spans="5:7" x14ac:dyDescent="0.25">
      <c r="E392" s="11">
        <f t="shared" si="31"/>
        <v>5</v>
      </c>
      <c r="F392" s="11">
        <f t="shared" si="32"/>
        <v>0.74950260138052582</v>
      </c>
      <c r="G392" s="11">
        <f t="shared" si="33"/>
        <v>0.8679384638805826</v>
      </c>
    </row>
    <row r="393" spans="5:7" x14ac:dyDescent="0.25">
      <c r="E393" s="11">
        <f t="shared" si="31"/>
        <v>6</v>
      </c>
      <c r="F393" s="11">
        <f t="shared" si="32"/>
        <v>0.89191406083446734</v>
      </c>
      <c r="G393" s="11">
        <f t="shared" si="33"/>
        <v>1.0244310872046722</v>
      </c>
    </row>
    <row r="394" spans="5:7" x14ac:dyDescent="0.25">
      <c r="E394" s="11">
        <f t="shared" si="31"/>
        <v>7</v>
      </c>
      <c r="F394" s="11">
        <f t="shared" si="32"/>
        <v>1.0329931293217576</v>
      </c>
      <c r="G394" s="11">
        <f t="shared" si="33"/>
        <v>1.1756496997403705</v>
      </c>
    </row>
    <row r="395" spans="5:7" x14ac:dyDescent="0.25">
      <c r="E395" s="11">
        <f t="shared" si="31"/>
        <v>8</v>
      </c>
      <c r="F395" s="11">
        <f t="shared" si="32"/>
        <v>1.1731741086365393</v>
      </c>
      <c r="G395" s="11">
        <f t="shared" si="33"/>
        <v>1.3217761639286563</v>
      </c>
    </row>
    <row r="396" spans="5:7" x14ac:dyDescent="0.25">
      <c r="E396" s="11">
        <f t="shared" si="31"/>
        <v>9</v>
      </c>
      <c r="F396" s="11">
        <f t="shared" si="32"/>
        <v>1.3128456081647379</v>
      </c>
      <c r="G396" s="11">
        <f t="shared" si="33"/>
        <v>1.4629923422105091</v>
      </c>
    </row>
    <row r="397" spans="5:7" x14ac:dyDescent="0.25">
      <c r="E397" s="11">
        <f t="shared" si="31"/>
        <v>10</v>
      </c>
      <c r="F397" s="11">
        <f t="shared" si="32"/>
        <v>1.4523423023910607</v>
      </c>
      <c r="G397" s="11">
        <f t="shared" si="33"/>
        <v>1.5994800970269076</v>
      </c>
    </row>
    <row r="398" spans="5:7" x14ac:dyDescent="0.25">
      <c r="E398" s="11">
        <f t="shared" si="31"/>
        <v>11</v>
      </c>
      <c r="F398" s="11">
        <f t="shared" si="32"/>
        <v>1.5919361946395614</v>
      </c>
      <c r="G398" s="11">
        <f t="shared" si="33"/>
        <v>1.7314212908188309</v>
      </c>
    </row>
    <row r="399" spans="5:7" x14ac:dyDescent="0.25">
      <c r="E399" s="11">
        <f t="shared" si="31"/>
        <v>12</v>
      </c>
      <c r="F399" s="11">
        <f t="shared" si="32"/>
        <v>1.7318273724459945</v>
      </c>
      <c r="G399" s="11">
        <f t="shared" si="33"/>
        <v>1.8589977860272577</v>
      </c>
    </row>
    <row r="400" spans="5:7" x14ac:dyDescent="0.25">
      <c r="E400" s="11">
        <f t="shared" si="31"/>
        <v>13</v>
      </c>
      <c r="F400" s="11">
        <f t="shared" si="32"/>
        <v>1.8721342397784049</v>
      </c>
      <c r="G400" s="11">
        <f t="shared" si="33"/>
        <v>1.9823914450931674</v>
      </c>
    </row>
    <row r="401" spans="5:7" x14ac:dyDescent="0.25">
      <c r="E401" s="11">
        <f t="shared" si="31"/>
        <v>14</v>
      </c>
      <c r="F401" s="11">
        <f t="shared" si="32"/>
        <v>2.0128832111405837</v>
      </c>
      <c r="G401" s="11">
        <f t="shared" si="33"/>
        <v>2.1017841304575389</v>
      </c>
    </row>
    <row r="402" spans="5:7" x14ac:dyDescent="0.25">
      <c r="E402" s="11">
        <f t="shared" si="31"/>
        <v>15</v>
      </c>
      <c r="F402" s="11">
        <f t="shared" si="32"/>
        <v>2.1539978524112513</v>
      </c>
      <c r="G402" s="11">
        <f t="shared" si="33"/>
        <v>2.2173577045613508</v>
      </c>
    </row>
    <row r="403" spans="5:7" x14ac:dyDescent="0.25">
      <c r="E403" s="11">
        <f t="shared" si="31"/>
        <v>16</v>
      </c>
      <c r="F403" s="11">
        <f t="shared" si="32"/>
        <v>2.2952874530900065</v>
      </c>
      <c r="G403" s="11">
        <f t="shared" si="33"/>
        <v>2.3292940298455829</v>
      </c>
    </row>
    <row r="404" spans="5:7" x14ac:dyDescent="0.25">
      <c r="E404" s="11">
        <f t="shared" si="31"/>
        <v>17</v>
      </c>
      <c r="F404" s="11">
        <f t="shared" si="32"/>
        <v>2.4364350144392932</v>
      </c>
      <c r="G404" s="11">
        <f t="shared" si="33"/>
        <v>2.437774968751214</v>
      </c>
    </row>
    <row r="405" spans="5:7" x14ac:dyDescent="0.25">
      <c r="E405" s="11">
        <f t="shared" si="31"/>
        <v>18</v>
      </c>
      <c r="F405" s="11">
        <f t="shared" si="32"/>
        <v>2.5769846378298649</v>
      </c>
      <c r="G405" s="11">
        <f t="shared" si="33"/>
        <v>2.5429823837192229</v>
      </c>
    </row>
    <row r="406" spans="5:7" x14ac:dyDescent="0.25">
      <c r="E406" s="11">
        <f t="shared" si="31"/>
        <v>19</v>
      </c>
      <c r="F406" s="11">
        <f t="shared" si="32"/>
        <v>2.7163282974153744</v>
      </c>
      <c r="G406" s="11">
        <f t="shared" si="33"/>
        <v>2.6450981371905882</v>
      </c>
    </row>
    <row r="407" spans="5:7" x14ac:dyDescent="0.25">
      <c r="E407" s="11">
        <f t="shared" si="31"/>
        <v>20</v>
      </c>
      <c r="F407" s="11">
        <f t="shared" si="32"/>
        <v>2.8536919810799959</v>
      </c>
      <c r="G407" s="11">
        <f t="shared" si="33"/>
        <v>2.7443040916062893</v>
      </c>
    </row>
    <row r="408" spans="5:7" x14ac:dyDescent="0.25">
      <c r="E408" s="11">
        <f t="shared" si="31"/>
        <v>21</v>
      </c>
      <c r="F408" s="11">
        <f t="shared" si="32"/>
        <v>2.9881211834211179</v>
      </c>
      <c r="G408" s="11">
        <f t="shared" si="33"/>
        <v>2.8407821094073058</v>
      </c>
    </row>
    <row r="409" spans="5:7" x14ac:dyDescent="0.25">
      <c r="E409" s="11">
        <f t="shared" si="31"/>
        <v>22</v>
      </c>
      <c r="F409" s="11">
        <f t="shared" si="32"/>
        <v>3.1184657343473967</v>
      </c>
      <c r="G409" s="11">
        <f t="shared" si="33"/>
        <v>2.9347140530346154</v>
      </c>
    </row>
    <row r="410" spans="5:7" x14ac:dyDescent="0.25">
      <c r="E410" s="11">
        <f t="shared" si="31"/>
        <v>23</v>
      </c>
      <c r="F410" s="11">
        <f t="shared" si="32"/>
        <v>3.2433639466906499</v>
      </c>
      <c r="G410" s="11">
        <f t="shared" si="33"/>
        <v>3.0262817849291981</v>
      </c>
    </row>
    <row r="411" spans="5:7" x14ac:dyDescent="0.25">
      <c r="E411" s="11">
        <f t="shared" si="31"/>
        <v>24</v>
      </c>
      <c r="F411" s="11">
        <f t="shared" si="32"/>
        <v>3.3612260660482778</v>
      </c>
      <c r="G411" s="11">
        <f t="shared" si="33"/>
        <v>3.1156671675320333</v>
      </c>
    </row>
    <row r="412" spans="5:7" x14ac:dyDescent="0.25">
      <c r="E412" s="11">
        <f t="shared" si="31"/>
        <v>25</v>
      </c>
      <c r="F412" s="11">
        <f t="shared" si="32"/>
        <v>3.4702170058910871</v>
      </c>
      <c r="G412" s="11">
        <f t="shared" si="33"/>
        <v>3.2030520632840989</v>
      </c>
    </row>
    <row r="413" spans="5:7" x14ac:dyDescent="0.25">
      <c r="E413" s="11">
        <f t="shared" si="31"/>
        <v>26</v>
      </c>
      <c r="F413" s="11">
        <f t="shared" si="32"/>
        <v>3.5682383507896129</v>
      </c>
      <c r="G413" s="11">
        <f t="shared" si="33"/>
        <v>3.2886183346263742</v>
      </c>
    </row>
    <row r="414" spans="5:7" x14ac:dyDescent="0.25">
      <c r="E414" s="11">
        <f t="shared" si="31"/>
        <v>27</v>
      </c>
      <c r="F414" s="11">
        <f t="shared" si="32"/>
        <v>3.6529096104302554</v>
      </c>
      <c r="G414" s="11">
        <f t="shared" si="33"/>
        <v>3.3725478439998384</v>
      </c>
    </row>
    <row r="415" spans="5:7" x14ac:dyDescent="0.25">
      <c r="E415" s="11">
        <f t="shared" ref="E415:E422" si="34">E208</f>
        <v>28</v>
      </c>
      <c r="F415" s="11">
        <f t="shared" ref="F415:F422" si="35">$H$217*0+E415*$I$217+E415^2*$J$217+E415^3*$K$217+E415^4*$L$217+E415^5*$M$217+E415^6*$N$217+E415^7*$O$217+E415^8*$P$217</f>
        <v>3.7215487069107032</v>
      </c>
      <c r="G415" s="11">
        <f t="shared" ref="G415:G422" si="36">F208</f>
        <v>3.455022453845471</v>
      </c>
    </row>
    <row r="416" spans="5:7" x14ac:dyDescent="0.25">
      <c r="E416" s="11">
        <f t="shared" si="34"/>
        <v>29</v>
      </c>
      <c r="F416" s="11">
        <f t="shared" si="35"/>
        <v>3.7711516776223601</v>
      </c>
      <c r="G416" s="11">
        <f t="shared" si="36"/>
        <v>3.5362240266042502</v>
      </c>
    </row>
    <row r="417" spans="5:7" x14ac:dyDescent="0.25">
      <c r="E417" s="11">
        <f t="shared" si="34"/>
        <v>30</v>
      </c>
      <c r="F417" s="11">
        <f t="shared" si="35"/>
        <v>3.7983715758456942</v>
      </c>
      <c r="G417" s="11">
        <f t="shared" si="36"/>
        <v>3.6163344247171554</v>
      </c>
    </row>
    <row r="418" spans="5:7" x14ac:dyDescent="0.25">
      <c r="E418" s="11">
        <f t="shared" si="34"/>
        <v>31</v>
      </c>
      <c r="F418" s="11">
        <f t="shared" si="35"/>
        <v>3.7994965510025929</v>
      </c>
      <c r="G418" s="11">
        <f t="shared" si="36"/>
        <v>3.6955355106251657</v>
      </c>
    </row>
    <row r="419" spans="5:7" x14ac:dyDescent="0.25">
      <c r="E419" s="11">
        <f t="shared" si="34"/>
        <v>32</v>
      </c>
      <c r="F419" s="11">
        <f t="shared" si="35"/>
        <v>3.7704270903280981</v>
      </c>
      <c r="G419" s="11">
        <f t="shared" si="36"/>
        <v>3.7740091467692598</v>
      </c>
    </row>
    <row r="420" spans="5:7" x14ac:dyDescent="0.25">
      <c r="E420" s="11">
        <f t="shared" si="34"/>
        <v>33</v>
      </c>
      <c r="F420" s="11">
        <f t="shared" si="35"/>
        <v>3.706652403541955</v>
      </c>
      <c r="G420" s="11">
        <f t="shared" si="36"/>
        <v>3.8519371955904167</v>
      </c>
    </row>
    <row r="421" spans="5:7" x14ac:dyDescent="0.25">
      <c r="E421" s="11">
        <f t="shared" si="34"/>
        <v>34</v>
      </c>
      <c r="F421" s="11">
        <f t="shared" si="35"/>
        <v>3.6032259319187956</v>
      </c>
      <c r="G421" s="11">
        <f t="shared" si="36"/>
        <v>3.9295015195296163</v>
      </c>
    </row>
    <row r="422" spans="5:7" x14ac:dyDescent="0.25">
      <c r="E422" s="11">
        <f t="shared" si="34"/>
        <v>35</v>
      </c>
      <c r="F422" s="11">
        <f t="shared" si="35"/>
        <v>3.4547399629738242</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2022-01-09T09:36:37Z</dcterms:modified>
</cp:coreProperties>
</file>