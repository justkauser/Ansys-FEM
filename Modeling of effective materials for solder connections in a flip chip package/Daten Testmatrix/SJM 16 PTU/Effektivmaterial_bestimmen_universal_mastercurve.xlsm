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J73" i="52" l="1"/>
  <c r="J74" i="52"/>
  <c r="J75" i="52"/>
  <c r="J76" i="52"/>
  <c r="J77" i="52" s="1"/>
  <c r="J78" i="52"/>
  <c r="J79" i="52"/>
  <c r="J80" i="52"/>
  <c r="J81" i="52"/>
  <c r="J82" i="52"/>
  <c r="J83" i="52"/>
  <c r="J84" i="52"/>
  <c r="J85" i="52"/>
  <c r="J86" i="52"/>
  <c r="J87" i="52"/>
  <c r="J88" i="52"/>
  <c r="J89" i="52"/>
  <c r="J90" i="52"/>
  <c r="J91" i="52"/>
  <c r="J92" i="52"/>
  <c r="J93" i="52"/>
  <c r="J94" i="52"/>
  <c r="J95" i="52"/>
  <c r="J96" i="52"/>
  <c r="J97" i="52"/>
  <c r="J98" i="52"/>
  <c r="J99" i="52" s="1"/>
  <c r="J100" i="52" s="1"/>
  <c r="J101" i="52" s="1"/>
  <c r="J102" i="52" s="1"/>
  <c r="J72" i="52"/>
  <c r="K72" i="52"/>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N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C120" i="52" l="1"/>
  <c r="B83" i="39" s="1"/>
  <c r="C127" i="52"/>
  <c r="I127" i="52" s="1"/>
  <c r="C123" i="52"/>
  <c r="L123" i="52" s="1"/>
  <c r="C137" i="52"/>
  <c r="B100" i="39" s="1"/>
  <c r="AI140" i="52"/>
  <c r="C128" i="52"/>
  <c r="Y128" i="52" s="1"/>
  <c r="C135" i="52"/>
  <c r="L135" i="52" s="1"/>
  <c r="F140" i="52"/>
  <c r="H140" i="52"/>
  <c r="M140" i="52"/>
  <c r="C122" i="52"/>
  <c r="G122" i="52" s="1"/>
  <c r="Y140" i="52"/>
  <c r="U140" i="52"/>
  <c r="AC140" i="52"/>
  <c r="T140" i="52"/>
  <c r="C139" i="52"/>
  <c r="G139" i="52" s="1"/>
  <c r="Q140" i="52"/>
  <c r="V140" i="52"/>
  <c r="C126" i="52"/>
  <c r="Z126" i="52" s="1"/>
  <c r="G140" i="52"/>
  <c r="P140" i="52"/>
  <c r="C134" i="52"/>
  <c r="M134" i="52" s="1"/>
  <c r="C131" i="52"/>
  <c r="O131" i="52" s="1"/>
  <c r="AF140" i="52"/>
  <c r="C110" i="52"/>
  <c r="C116" i="52"/>
  <c r="M116" i="52" s="1"/>
  <c r="AJ140" i="52"/>
  <c r="L140" i="52"/>
  <c r="C132" i="52"/>
  <c r="B95" i="39" s="1"/>
  <c r="W140" i="52"/>
  <c r="C125" i="52"/>
  <c r="B88" i="39" s="1"/>
  <c r="C138" i="52"/>
  <c r="B101" i="39" s="1"/>
  <c r="AD140" i="52"/>
  <c r="AH140" i="52"/>
  <c r="AE140" i="52"/>
  <c r="C119" i="52"/>
  <c r="G119" i="52" s="1"/>
  <c r="C129" i="52"/>
  <c r="M129" i="52" s="1"/>
  <c r="X140" i="52"/>
  <c r="Z140" i="52"/>
  <c r="C133" i="52"/>
  <c r="P133" i="52" s="1"/>
  <c r="C118" i="52"/>
  <c r="V118" i="52" s="1"/>
  <c r="I140" i="52"/>
  <c r="K140" i="52"/>
  <c r="C141" i="52"/>
  <c r="T141" i="52" s="1"/>
  <c r="C115" i="52"/>
  <c r="O115" i="52" s="1"/>
  <c r="C124" i="52"/>
  <c r="AD124" i="52" s="1"/>
  <c r="O140" i="52"/>
  <c r="J140" i="52"/>
  <c r="C112" i="52"/>
  <c r="G112" i="52" s="1"/>
  <c r="AA140" i="52"/>
  <c r="C113" i="52"/>
  <c r="G113" i="52" s="1"/>
  <c r="C121" i="52"/>
  <c r="H121" i="52" s="1"/>
  <c r="C136" i="52"/>
  <c r="H136" i="52" s="1"/>
  <c r="AB140" i="52"/>
  <c r="R140" i="52"/>
  <c r="AG140" i="52"/>
  <c r="C130" i="52"/>
  <c r="O130" i="52" s="1"/>
  <c r="C111" i="52"/>
  <c r="AC111" i="52" s="1"/>
  <c r="C114" i="52"/>
  <c r="AI114" i="52" s="1"/>
  <c r="C117" i="52"/>
  <c r="I117"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AI139" i="52" l="1"/>
  <c r="G135" i="52"/>
  <c r="T120" i="52"/>
  <c r="O120" i="52"/>
  <c r="Q120" i="52"/>
  <c r="AE135" i="52"/>
  <c r="K127" i="52"/>
  <c r="AE127" i="52"/>
  <c r="U127" i="52"/>
  <c r="M123" i="52"/>
  <c r="S127" i="52"/>
  <c r="Q141" i="52"/>
  <c r="P112" i="52"/>
  <c r="Y120" i="52"/>
  <c r="U135" i="52"/>
  <c r="AD123" i="52"/>
  <c r="K120" i="52"/>
  <c r="M120" i="52"/>
  <c r="Y138" i="52"/>
  <c r="AH127" i="52"/>
  <c r="AC127" i="52"/>
  <c r="O123" i="52"/>
  <c r="AD127" i="52"/>
  <c r="J127" i="52"/>
  <c r="W127" i="52"/>
  <c r="L127" i="52"/>
  <c r="R127" i="52"/>
  <c r="P127" i="52"/>
  <c r="M141" i="52"/>
  <c r="Y127" i="52"/>
  <c r="AF127" i="52"/>
  <c r="G127" i="52"/>
  <c r="O137" i="52"/>
  <c r="AH122" i="52"/>
  <c r="N137" i="52"/>
  <c r="AH134" i="52"/>
  <c r="X137" i="52"/>
  <c r="N134" i="52"/>
  <c r="V137" i="52"/>
  <c r="F123" i="52"/>
  <c r="Q137" i="52"/>
  <c r="T137" i="52"/>
  <c r="Q127" i="52"/>
  <c r="N127" i="52"/>
  <c r="Z127" i="52"/>
  <c r="AG123" i="52"/>
  <c r="W134" i="52"/>
  <c r="R137" i="52"/>
  <c r="AJ127" i="52"/>
  <c r="F127" i="52"/>
  <c r="X127" i="52"/>
  <c r="AB127" i="52"/>
  <c r="M127" i="52"/>
  <c r="K137" i="52"/>
  <c r="U134" i="52"/>
  <c r="AA127" i="52"/>
  <c r="H127" i="52"/>
  <c r="B90" i="39"/>
  <c r="H123" i="52"/>
  <c r="R134" i="52"/>
  <c r="F137" i="52"/>
  <c r="M137" i="52"/>
  <c r="V127" i="52"/>
  <c r="AG127" i="52"/>
  <c r="AI127" i="52"/>
  <c r="T127" i="52"/>
  <c r="O127" i="52"/>
  <c r="V122" i="52"/>
  <c r="AD134" i="52"/>
  <c r="AD137" i="52"/>
  <c r="AB137" i="52"/>
  <c r="X138" i="52"/>
  <c r="AJ134" i="52"/>
  <c r="L134" i="52"/>
  <c r="L137" i="52"/>
  <c r="AA137" i="52"/>
  <c r="AD141" i="52"/>
  <c r="H139" i="52"/>
  <c r="I137" i="52"/>
  <c r="Z122" i="52"/>
  <c r="AC134" i="52"/>
  <c r="Z134" i="52"/>
  <c r="S137" i="52"/>
  <c r="AE137" i="52"/>
  <c r="AG137" i="52"/>
  <c r="R129" i="52"/>
  <c r="Q122" i="52"/>
  <c r="N138" i="52"/>
  <c r="AB134" i="52"/>
  <c r="AE134" i="52"/>
  <c r="O141" i="52"/>
  <c r="AI137" i="52"/>
  <c r="H137" i="52"/>
  <c r="AF137" i="52"/>
  <c r="AD125" i="52"/>
  <c r="G137" i="52"/>
  <c r="X120" i="52"/>
  <c r="V112" i="52"/>
  <c r="AF125" i="52"/>
  <c r="AI120" i="52"/>
  <c r="AJ120" i="52"/>
  <c r="S120" i="52"/>
  <c r="AC135" i="52"/>
  <c r="AI123" i="52"/>
  <c r="AA134" i="52"/>
  <c r="Y134" i="52"/>
  <c r="P134" i="52"/>
  <c r="J137" i="52"/>
  <c r="F130" i="52"/>
  <c r="Y137" i="52"/>
  <c r="AJ137" i="52"/>
  <c r="P137" i="52"/>
  <c r="Z137" i="52"/>
  <c r="U120" i="52"/>
  <c r="AG120" i="52"/>
  <c r="AA120" i="52"/>
  <c r="AC120" i="52"/>
  <c r="H120" i="52"/>
  <c r="AH135" i="52"/>
  <c r="G120" i="52"/>
  <c r="L120" i="52"/>
  <c r="F120" i="52"/>
  <c r="AF120" i="52"/>
  <c r="R120" i="52"/>
  <c r="V120" i="52"/>
  <c r="AF135" i="52"/>
  <c r="N135" i="52"/>
  <c r="I120" i="52"/>
  <c r="AD112" i="52"/>
  <c r="J135" i="52"/>
  <c r="AD120" i="52"/>
  <c r="W120" i="52"/>
  <c r="AH120" i="52"/>
  <c r="N120" i="52"/>
  <c r="AJ135" i="52"/>
  <c r="B98" i="39"/>
  <c r="K123" i="52"/>
  <c r="S134" i="52"/>
  <c r="Q134" i="52"/>
  <c r="J120" i="52"/>
  <c r="S112" i="52"/>
  <c r="AC137" i="52"/>
  <c r="W137" i="52"/>
  <c r="AH137" i="52"/>
  <c r="U137" i="52"/>
  <c r="V129" i="52"/>
  <c r="AE125" i="52"/>
  <c r="P120" i="52"/>
  <c r="AB120" i="52"/>
  <c r="Z120" i="52"/>
  <c r="AE120" i="52"/>
  <c r="R135" i="52"/>
  <c r="K135" i="52"/>
  <c r="AJ122" i="52"/>
  <c r="F122" i="52"/>
  <c r="AJ123" i="52"/>
  <c r="Q123" i="52"/>
  <c r="T123" i="52"/>
  <c r="AG131" i="52"/>
  <c r="I123" i="52"/>
  <c r="S122" i="52"/>
  <c r="R122" i="52"/>
  <c r="AF115" i="52"/>
  <c r="U123" i="52"/>
  <c r="N123" i="52"/>
  <c r="X122" i="52"/>
  <c r="T122" i="52"/>
  <c r="AB123" i="52"/>
  <c r="R123" i="52"/>
  <c r="P123" i="52"/>
  <c r="N122" i="52"/>
  <c r="AE123" i="52"/>
  <c r="AH123" i="52"/>
  <c r="AF123" i="52"/>
  <c r="G123" i="52"/>
  <c r="AD115" i="52"/>
  <c r="P115" i="52"/>
  <c r="Z115" i="52"/>
  <c r="B91" i="39"/>
  <c r="AD128" i="52"/>
  <c r="AB122" i="52"/>
  <c r="AD122" i="52"/>
  <c r="AC138" i="52"/>
  <c r="AA115" i="52"/>
  <c r="S123" i="52"/>
  <c r="AC123" i="52"/>
  <c r="Y123" i="52"/>
  <c r="W123" i="52"/>
  <c r="K136" i="52"/>
  <c r="V131" i="52"/>
  <c r="AE136" i="52"/>
  <c r="N128" i="52"/>
  <c r="M128" i="52"/>
  <c r="J123" i="52"/>
  <c r="B86" i="39"/>
  <c r="AG128" i="52"/>
  <c r="AF128" i="52"/>
  <c r="AI122" i="52"/>
  <c r="P122" i="52"/>
  <c r="AF122" i="52"/>
  <c r="AB138" i="52"/>
  <c r="AE115" i="52"/>
  <c r="V123" i="52"/>
  <c r="AA123" i="52"/>
  <c r="X123" i="52"/>
  <c r="Z123" i="52"/>
  <c r="R116" i="52"/>
  <c r="AE128" i="52"/>
  <c r="L128" i="52"/>
  <c r="I122" i="52"/>
  <c r="AB128" i="52"/>
  <c r="AC122" i="52"/>
  <c r="AE122" i="52"/>
  <c r="AG122" i="52"/>
  <c r="L122" i="52"/>
  <c r="Q121" i="52"/>
  <c r="AA128" i="52"/>
  <c r="U122" i="52"/>
  <c r="AA122" i="52"/>
  <c r="W122" i="52"/>
  <c r="Y122" i="52"/>
  <c r="R121" i="52"/>
  <c r="AH128" i="52"/>
  <c r="O122" i="52"/>
  <c r="AC128" i="52"/>
  <c r="AJ128" i="52"/>
  <c r="F128" i="52"/>
  <c r="R128" i="52"/>
  <c r="U113" i="52"/>
  <c r="W128" i="52"/>
  <c r="S128" i="52"/>
  <c r="X128" i="52"/>
  <c r="Z128" i="52"/>
  <c r="K128" i="52"/>
  <c r="O128" i="52"/>
  <c r="G128" i="52"/>
  <c r="U128" i="52"/>
  <c r="AI128" i="52"/>
  <c r="P128" i="52"/>
  <c r="T128" i="52"/>
  <c r="I128" i="52"/>
  <c r="J128" i="52"/>
  <c r="AB136" i="52"/>
  <c r="H128" i="52"/>
  <c r="V128" i="52"/>
  <c r="Q128" i="52"/>
  <c r="I112" i="52"/>
  <c r="AA112" i="52"/>
  <c r="J112" i="52"/>
  <c r="U129" i="52"/>
  <c r="O135" i="52"/>
  <c r="Y125" i="52"/>
  <c r="F135" i="52"/>
  <c r="AI135" i="52"/>
  <c r="V135" i="52"/>
  <c r="T135" i="52"/>
  <c r="J126" i="52"/>
  <c r="L126" i="52"/>
  <c r="Y112" i="52"/>
  <c r="AF112" i="52"/>
  <c r="AD129" i="52"/>
  <c r="M135" i="52"/>
  <c r="Q125" i="52"/>
  <c r="Z125" i="52"/>
  <c r="AD135" i="52"/>
  <c r="Z135" i="52"/>
  <c r="W135" i="52"/>
  <c r="AG135" i="52"/>
  <c r="H126" i="52"/>
  <c r="G134" i="52"/>
  <c r="Q112" i="52"/>
  <c r="Z112" i="52"/>
  <c r="K129" i="52"/>
  <c r="X125" i="52"/>
  <c r="Q135" i="52"/>
  <c r="X135" i="52"/>
  <c r="P135" i="52"/>
  <c r="AA135" i="52"/>
  <c r="R126" i="52"/>
  <c r="O125" i="52"/>
  <c r="F112" i="52"/>
  <c r="W112" i="52"/>
  <c r="S130" i="52"/>
  <c r="F129" i="52"/>
  <c r="I135" i="52"/>
  <c r="AC125" i="52"/>
  <c r="S135" i="52"/>
  <c r="Y135" i="52"/>
  <c r="AB135" i="52"/>
  <c r="H135" i="52"/>
  <c r="AG126" i="52"/>
  <c r="M121" i="52"/>
  <c r="W131" i="52"/>
  <c r="J132" i="52"/>
  <c r="T115" i="52"/>
  <c r="V115" i="52"/>
  <c r="S121" i="52"/>
  <c r="AJ131" i="52"/>
  <c r="Y131" i="52"/>
  <c r="J121" i="52"/>
  <c r="Q131" i="52"/>
  <c r="Z131" i="52"/>
  <c r="H122" i="52"/>
  <c r="N115" i="52"/>
  <c r="AI121" i="52"/>
  <c r="AF113" i="52"/>
  <c r="AI131" i="52"/>
  <c r="I130" i="52"/>
  <c r="Q130" i="52"/>
  <c r="AB130" i="52"/>
  <c r="O134" i="52"/>
  <c r="V139" i="52"/>
  <c r="AC139" i="52"/>
  <c r="AA130" i="52"/>
  <c r="J130" i="52"/>
  <c r="AI115" i="52"/>
  <c r="J115" i="52"/>
  <c r="R113" i="52"/>
  <c r="H134" i="52"/>
  <c r="AI134" i="52"/>
  <c r="X134" i="52"/>
  <c r="AF134" i="52"/>
  <c r="X131" i="52"/>
  <c r="T131" i="52"/>
  <c r="AJ130" i="52"/>
  <c r="Z130" i="52"/>
  <c r="AG139" i="52"/>
  <c r="Y139" i="52"/>
  <c r="Q139" i="52"/>
  <c r="K134" i="52"/>
  <c r="H130" i="52"/>
  <c r="N130" i="52"/>
  <c r="AG115" i="52"/>
  <c r="AH115" i="52"/>
  <c r="V134" i="52"/>
  <c r="AG134" i="52"/>
  <c r="F134" i="52"/>
  <c r="T134" i="52"/>
  <c r="AH131" i="52"/>
  <c r="AD131" i="52"/>
  <c r="R130" i="52"/>
  <c r="V130" i="52"/>
  <c r="U139" i="52"/>
  <c r="J122" i="52"/>
  <c r="F139" i="52"/>
  <c r="F113" i="52"/>
  <c r="AJ113" i="52"/>
  <c r="AG113" i="52"/>
  <c r="AH119" i="52"/>
  <c r="M122" i="52"/>
  <c r="P113" i="52"/>
  <c r="AH113" i="52"/>
  <c r="N113" i="52"/>
  <c r="AE113" i="52"/>
  <c r="Q113" i="52"/>
  <c r="Y136" i="52"/>
  <c r="K122" i="52"/>
  <c r="AB117" i="52"/>
  <c r="B85" i="39"/>
  <c r="AI113" i="52"/>
  <c r="L113" i="52"/>
  <c r="U119" i="52"/>
  <c r="X113" i="52"/>
  <c r="S113" i="52"/>
  <c r="T113" i="52"/>
  <c r="U136" i="52"/>
  <c r="AA119" i="52"/>
  <c r="AG141" i="52"/>
  <c r="K132" i="52"/>
  <c r="R132" i="52"/>
  <c r="S132" i="52"/>
  <c r="L139" i="52"/>
  <c r="AE138" i="52"/>
  <c r="U138" i="52"/>
  <c r="V121" i="52"/>
  <c r="V113" i="52"/>
  <c r="AD113" i="52"/>
  <c r="Z113" i="52"/>
  <c r="AB113" i="52"/>
  <c r="G141" i="52"/>
  <c r="AF136" i="52"/>
  <c r="AJ129" i="52"/>
  <c r="AH116" i="52"/>
  <c r="I129" i="52"/>
  <c r="AI141" i="52"/>
  <c r="X124" i="52"/>
  <c r="V132" i="52"/>
  <c r="X132" i="52"/>
  <c r="AA133" i="52"/>
  <c r="H132" i="52"/>
  <c r="AC132" i="52"/>
  <c r="AD133" i="52"/>
  <c r="B87" i="39"/>
  <c r="W117" i="52"/>
  <c r="G117" i="52"/>
  <c r="AB111" i="52"/>
  <c r="AF117" i="52"/>
  <c r="H138" i="52"/>
  <c r="AF121" i="52"/>
  <c r="AH121" i="52"/>
  <c r="W113" i="52"/>
  <c r="AC113" i="52"/>
  <c r="Y113" i="52"/>
  <c r="AA113" i="52"/>
  <c r="AH136" i="52"/>
  <c r="H129" i="52"/>
  <c r="T129" i="52"/>
  <c r="AB119" i="52"/>
  <c r="AA117" i="52"/>
  <c r="I132" i="52"/>
  <c r="Q117" i="52"/>
  <c r="Y132" i="52"/>
  <c r="H111" i="52"/>
  <c r="I138" i="52"/>
  <c r="H116" i="52"/>
  <c r="L121" i="52"/>
  <c r="J111" i="52"/>
  <c r="Q138" i="52"/>
  <c r="W138" i="52"/>
  <c r="V138" i="52"/>
  <c r="AF138" i="52"/>
  <c r="X121" i="52"/>
  <c r="N121" i="52"/>
  <c r="AC121" i="52"/>
  <c r="AA121" i="52"/>
  <c r="O129" i="52"/>
  <c r="X136" i="52"/>
  <c r="AG136" i="52"/>
  <c r="Y129" i="52"/>
  <c r="X129" i="52"/>
  <c r="AB129" i="52"/>
  <c r="W129" i="52"/>
  <c r="P116" i="52"/>
  <c r="P141" i="52"/>
  <c r="T111" i="52"/>
  <c r="O113" i="52"/>
  <c r="AG129" i="52"/>
  <c r="S129" i="52"/>
  <c r="P129" i="52"/>
  <c r="T116" i="52"/>
  <c r="N116" i="52"/>
  <c r="L129" i="52"/>
  <c r="U141" i="52"/>
  <c r="U111" i="52"/>
  <c r="B84" i="39"/>
  <c r="AD138" i="52"/>
  <c r="P138" i="52"/>
  <c r="AG121" i="52"/>
  <c r="U121" i="52"/>
  <c r="T121" i="52"/>
  <c r="AH129" i="52"/>
  <c r="R138" i="52"/>
  <c r="F138" i="52"/>
  <c r="AG138" i="52"/>
  <c r="T138" i="52"/>
  <c r="F121" i="52"/>
  <c r="P121" i="52"/>
  <c r="AJ121" i="52"/>
  <c r="AE121" i="52"/>
  <c r="AJ136" i="52"/>
  <c r="J136" i="52"/>
  <c r="N136" i="52"/>
  <c r="Q129" i="52"/>
  <c r="N129" i="52"/>
  <c r="AI129" i="52"/>
  <c r="AF129" i="52"/>
  <c r="L116" i="52"/>
  <c r="W116" i="52"/>
  <c r="Z119" i="52"/>
  <c r="AF141" i="52"/>
  <c r="AI111" i="52"/>
  <c r="F124" i="52"/>
  <c r="I121" i="52"/>
  <c r="T118" i="52"/>
  <c r="W124" i="52"/>
  <c r="S138" i="52"/>
  <c r="Z138" i="52"/>
  <c r="W121" i="52"/>
  <c r="AH138" i="52"/>
  <c r="AJ138" i="52"/>
  <c r="AI138" i="52"/>
  <c r="AA138" i="52"/>
  <c r="K138" i="52"/>
  <c r="Z121" i="52"/>
  <c r="AD121" i="52"/>
  <c r="AB121" i="52"/>
  <c r="Y121" i="52"/>
  <c r="G129" i="52"/>
  <c r="AD136" i="52"/>
  <c r="W136" i="52"/>
  <c r="AE129" i="52"/>
  <c r="AC129" i="52"/>
  <c r="AA129" i="52"/>
  <c r="Z129" i="52"/>
  <c r="AJ116" i="52"/>
  <c r="V119" i="52"/>
  <c r="Y119" i="52"/>
  <c r="R141" i="52"/>
  <c r="AA141" i="52"/>
  <c r="L124" i="52"/>
  <c r="Q124" i="52"/>
  <c r="AH124" i="52"/>
  <c r="M113" i="52"/>
  <c r="V124" i="52"/>
  <c r="B93" i="39"/>
  <c r="H113" i="52"/>
  <c r="B82" i="39"/>
  <c r="L118" i="52"/>
  <c r="S124" i="52"/>
  <c r="I124" i="52"/>
  <c r="AA124" i="52"/>
  <c r="W119" i="52"/>
  <c r="AI125" i="52"/>
  <c r="AJ125" i="52"/>
  <c r="AI124" i="52"/>
  <c r="K113" i="52"/>
  <c r="X117" i="52"/>
  <c r="L117" i="52"/>
  <c r="Q111" i="52"/>
  <c r="P111" i="52"/>
  <c r="AC124" i="52"/>
  <c r="AG130" i="52"/>
  <c r="AD130" i="52"/>
  <c r="M130" i="52"/>
  <c r="AB116" i="52"/>
  <c r="F116" i="52"/>
  <c r="T119" i="52"/>
  <c r="X119" i="52"/>
  <c r="F125" i="52"/>
  <c r="AB125" i="52"/>
  <c r="Z124" i="52"/>
  <c r="N117" i="52"/>
  <c r="AG118" i="52"/>
  <c r="G121" i="52"/>
  <c r="K121" i="52"/>
  <c r="I113" i="52"/>
  <c r="AC117" i="52"/>
  <c r="J117" i="52"/>
  <c r="O121" i="52"/>
  <c r="J116" i="52"/>
  <c r="B92" i="39"/>
  <c r="I134" i="52"/>
  <c r="Q118" i="52"/>
  <c r="O139" i="52"/>
  <c r="T139" i="52"/>
  <c r="AB132" i="52"/>
  <c r="AG132" i="52"/>
  <c r="M126" i="52"/>
  <c r="S126" i="52"/>
  <c r="W126" i="52"/>
  <c r="AA132" i="52"/>
  <c r="AB126" i="52"/>
  <c r="AE118" i="52"/>
  <c r="N139" i="52"/>
  <c r="P139" i="52"/>
  <c r="K118" i="52"/>
  <c r="G118" i="52"/>
  <c r="AB139" i="52"/>
  <c r="N141" i="52"/>
  <c r="AH141" i="52"/>
  <c r="Z139" i="52"/>
  <c r="P132" i="52"/>
  <c r="O132" i="52"/>
  <c r="AJ126" i="52"/>
  <c r="L132" i="52"/>
  <c r="P126" i="52"/>
  <c r="Z132" i="52"/>
  <c r="G138" i="52"/>
  <c r="AE126" i="52"/>
  <c r="AD126" i="52"/>
  <c r="J119" i="52"/>
  <c r="S117" i="52"/>
  <c r="P118" i="52"/>
  <c r="O119" i="52"/>
  <c r="M132" i="52"/>
  <c r="AJ118" i="52"/>
  <c r="B102" i="39"/>
  <c r="AJ139" i="52"/>
  <c r="O118" i="52"/>
  <c r="AE139" i="52"/>
  <c r="S139" i="52"/>
  <c r="AH132" i="52"/>
  <c r="G132" i="52"/>
  <c r="T132" i="52"/>
  <c r="V126" i="52"/>
  <c r="N132" i="52"/>
  <c r="K126" i="52"/>
  <c r="Q132" i="52"/>
  <c r="X126" i="52"/>
  <c r="U126" i="52"/>
  <c r="U132" i="52"/>
  <c r="M118" i="52"/>
  <c r="AI118" i="52"/>
  <c r="AB118" i="52"/>
  <c r="AI126" i="52"/>
  <c r="O126" i="52"/>
  <c r="AI132" i="52"/>
  <c r="I126" i="52"/>
  <c r="AA126" i="52"/>
  <c r="AD132" i="52"/>
  <c r="N126" i="52"/>
  <c r="Q126" i="52"/>
  <c r="T126" i="52"/>
  <c r="L130" i="52"/>
  <c r="B89" i="39"/>
  <c r="M139" i="52"/>
  <c r="AH139" i="52"/>
  <c r="U118" i="52"/>
  <c r="I139" i="52"/>
  <c r="AA118" i="52"/>
  <c r="J139" i="52"/>
  <c r="AF139" i="52"/>
  <c r="AD139" i="52"/>
  <c r="K139" i="52"/>
  <c r="AH130" i="52"/>
  <c r="AE130" i="52"/>
  <c r="U130" i="52"/>
  <c r="AE116" i="52"/>
  <c r="V116" i="52"/>
  <c r="L119" i="52"/>
  <c r="AF119" i="52"/>
  <c r="Z141" i="52"/>
  <c r="AB141" i="52"/>
  <c r="W141" i="52"/>
  <c r="AC126" i="52"/>
  <c r="AH126" i="52"/>
  <c r="J138" i="52"/>
  <c r="AF126" i="52"/>
  <c r="W132" i="52"/>
  <c r="AE132" i="52"/>
  <c r="Y126" i="52"/>
  <c r="AF132" i="52"/>
  <c r="F126" i="52"/>
  <c r="G126" i="52"/>
  <c r="R118" i="52"/>
  <c r="AF133" i="52"/>
  <c r="F132" i="52"/>
  <c r="AJ132" i="52"/>
  <c r="Y111" i="52"/>
  <c r="M138" i="52"/>
  <c r="AJ111" i="52"/>
  <c r="B81" i="39"/>
  <c r="B104" i="39"/>
  <c r="AF118" i="52"/>
  <c r="L111" i="52"/>
  <c r="U114" i="52"/>
  <c r="J124" i="52"/>
  <c r="AG111" i="52"/>
  <c r="K117" i="52"/>
  <c r="R124" i="52"/>
  <c r="N124" i="52"/>
  <c r="M124" i="52"/>
  <c r="J113" i="52"/>
  <c r="R111" i="52"/>
  <c r="W111" i="52"/>
  <c r="B74" i="39"/>
  <c r="B96" i="39"/>
  <c r="AD111" i="52"/>
  <c r="B97" i="39"/>
  <c r="U124" i="52"/>
  <c r="H115" i="52"/>
  <c r="AF124" i="52"/>
  <c r="J134" i="52"/>
  <c r="Y124" i="52"/>
  <c r="AG124" i="52"/>
  <c r="AE124" i="52"/>
  <c r="O117" i="52"/>
  <c r="P124" i="52"/>
  <c r="J129" i="52"/>
  <c r="B76" i="39"/>
  <c r="X139" i="52"/>
  <c r="W139" i="52"/>
  <c r="AA139" i="52"/>
  <c r="R139" i="52"/>
  <c r="C142" i="52"/>
  <c r="AH114" i="52"/>
  <c r="R115" i="52"/>
  <c r="W115" i="52"/>
  <c r="X115" i="52"/>
  <c r="AC115" i="52"/>
  <c r="S115" i="52"/>
  <c r="M115" i="52"/>
  <c r="Q115" i="52"/>
  <c r="AC131" i="52"/>
  <c r="F131" i="52"/>
  <c r="AE131" i="52"/>
  <c r="AF131" i="52"/>
  <c r="R112" i="52"/>
  <c r="U112" i="52"/>
  <c r="X112" i="52"/>
  <c r="AC112" i="52"/>
  <c r="M112" i="52"/>
  <c r="P130" i="52"/>
  <c r="Y130" i="52"/>
  <c r="AC130" i="52"/>
  <c r="AF130" i="52"/>
  <c r="S136" i="52"/>
  <c r="M136" i="52"/>
  <c r="AC136" i="52"/>
  <c r="P136" i="52"/>
  <c r="AF116" i="52"/>
  <c r="S116" i="52"/>
  <c r="Y116" i="52"/>
  <c r="AC116" i="52"/>
  <c r="AJ119" i="52"/>
  <c r="AI119" i="52"/>
  <c r="AG119" i="52"/>
  <c r="AE119" i="52"/>
  <c r="P125" i="52"/>
  <c r="W125" i="52"/>
  <c r="H125" i="52"/>
  <c r="AG125" i="52"/>
  <c r="L125" i="52"/>
  <c r="F141" i="52"/>
  <c r="Y141" i="52"/>
  <c r="S141" i="52"/>
  <c r="J141" i="52"/>
  <c r="K115" i="52"/>
  <c r="K119" i="52"/>
  <c r="M119" i="52"/>
  <c r="L138" i="52"/>
  <c r="G116" i="52"/>
  <c r="H112" i="52"/>
  <c r="K112" i="52"/>
  <c r="Z133" i="52"/>
  <c r="G133" i="52"/>
  <c r="O138" i="52"/>
  <c r="AI133" i="52"/>
  <c r="G136" i="52"/>
  <c r="F114" i="52"/>
  <c r="S133" i="52"/>
  <c r="O112" i="52"/>
  <c r="AF114" i="52"/>
  <c r="T133" i="52"/>
  <c r="I114" i="52"/>
  <c r="B77" i="39"/>
  <c r="G125" i="52"/>
  <c r="X118" i="52"/>
  <c r="S118" i="52"/>
  <c r="Z118" i="52"/>
  <c r="AD118" i="52"/>
  <c r="AH118" i="52"/>
  <c r="J118" i="52"/>
  <c r="F118" i="52"/>
  <c r="N118" i="52"/>
  <c r="Y118" i="52"/>
  <c r="W118" i="52"/>
  <c r="I118" i="52"/>
  <c r="V114" i="52"/>
  <c r="AC114" i="52"/>
  <c r="X114" i="52"/>
  <c r="H114" i="52"/>
  <c r="AG114" i="52"/>
  <c r="N114" i="52"/>
  <c r="AE114" i="52"/>
  <c r="J114" i="52"/>
  <c r="AB114" i="52"/>
  <c r="AA114" i="52"/>
  <c r="G114" i="52"/>
  <c r="Z114" i="52"/>
  <c r="Q114" i="52"/>
  <c r="L114" i="52"/>
  <c r="O114" i="52"/>
  <c r="M114" i="52"/>
  <c r="X133" i="52"/>
  <c r="F133" i="52"/>
  <c r="M133" i="52"/>
  <c r="K133" i="52"/>
  <c r="H133" i="52"/>
  <c r="O133" i="52"/>
  <c r="AG133" i="52"/>
  <c r="F115" i="52"/>
  <c r="Y115" i="52"/>
  <c r="U115" i="52"/>
  <c r="AB115" i="52"/>
  <c r="I136" i="52"/>
  <c r="K130" i="52"/>
  <c r="U131" i="52"/>
  <c r="S131" i="52"/>
  <c r="N131" i="52"/>
  <c r="R131" i="52"/>
  <c r="AB112" i="52"/>
  <c r="AH112" i="52"/>
  <c r="AE112" i="52"/>
  <c r="N112" i="52"/>
  <c r="I141" i="52"/>
  <c r="X130" i="52"/>
  <c r="W130" i="52"/>
  <c r="AI130" i="52"/>
  <c r="T130" i="52"/>
  <c r="R136" i="52"/>
  <c r="T136" i="52"/>
  <c r="Q136" i="52"/>
  <c r="AA136" i="52"/>
  <c r="X116" i="52"/>
  <c r="Z116" i="52"/>
  <c r="AD116" i="52"/>
  <c r="Q116" i="52"/>
  <c r="AD119" i="52"/>
  <c r="R119" i="52"/>
  <c r="N119" i="52"/>
  <c r="S119" i="52"/>
  <c r="N125" i="52"/>
  <c r="AH125" i="52"/>
  <c r="U125" i="52"/>
  <c r="R125" i="52"/>
  <c r="V141" i="52"/>
  <c r="AJ141" i="52"/>
  <c r="X141" i="52"/>
  <c r="AC141" i="52"/>
  <c r="I125" i="52"/>
  <c r="I119" i="52"/>
  <c r="J125" i="52"/>
  <c r="R114" i="52"/>
  <c r="G130" i="52"/>
  <c r="AH133" i="52"/>
  <c r="L133" i="52"/>
  <c r="G115" i="52"/>
  <c r="R133" i="52"/>
  <c r="I133" i="52"/>
  <c r="G131" i="52"/>
  <c r="B79" i="39"/>
  <c r="B75" i="39"/>
  <c r="Q133" i="52"/>
  <c r="L141" i="52"/>
  <c r="U133" i="52"/>
  <c r="Z111" i="52"/>
  <c r="S111" i="52"/>
  <c r="AF111" i="52"/>
  <c r="I111" i="52"/>
  <c r="O111" i="52"/>
  <c r="X111" i="52"/>
  <c r="AA111" i="52"/>
  <c r="V111" i="52"/>
  <c r="K111" i="52"/>
  <c r="F111" i="52"/>
  <c r="AE111" i="52"/>
  <c r="G111" i="52"/>
  <c r="AH111" i="52"/>
  <c r="N111" i="52"/>
  <c r="M111" i="52"/>
  <c r="AJ114" i="52"/>
  <c r="P114" i="52"/>
  <c r="AC133" i="52"/>
  <c r="W133" i="52"/>
  <c r="AB133" i="52"/>
  <c r="N133" i="52"/>
  <c r="L112" i="52"/>
  <c r="B78" i="39"/>
  <c r="B94" i="39"/>
  <c r="K116" i="52"/>
  <c r="O116" i="52"/>
  <c r="I116" i="52"/>
  <c r="L115" i="52"/>
  <c r="K131" i="52"/>
  <c r="AE133" i="52"/>
  <c r="I131" i="52"/>
  <c r="T114" i="52"/>
  <c r="S114" i="52"/>
  <c r="B99" i="39"/>
  <c r="I115" i="52"/>
  <c r="J131" i="52"/>
  <c r="J133" i="52"/>
  <c r="AJ115" i="52"/>
  <c r="L136" i="52"/>
  <c r="AA131" i="52"/>
  <c r="AB131" i="52"/>
  <c r="P131" i="52"/>
  <c r="H131" i="52"/>
  <c r="L131" i="52"/>
  <c r="AI112" i="52"/>
  <c r="AG112" i="52"/>
  <c r="AJ112" i="52"/>
  <c r="T112" i="52"/>
  <c r="F136" i="52"/>
  <c r="Z136" i="52"/>
  <c r="AI136" i="52"/>
  <c r="V136" i="52"/>
  <c r="U116" i="52"/>
  <c r="AA116" i="52"/>
  <c r="AG116" i="52"/>
  <c r="AI116" i="52"/>
  <c r="F119" i="52"/>
  <c r="AC119" i="52"/>
  <c r="P119" i="52"/>
  <c r="Q119" i="52"/>
  <c r="AA125" i="52"/>
  <c r="V125" i="52"/>
  <c r="S125" i="52"/>
  <c r="T125" i="52"/>
  <c r="O136" i="52"/>
  <c r="AE141" i="52"/>
  <c r="H141" i="52"/>
  <c r="K141" i="52"/>
  <c r="K125" i="52"/>
  <c r="M125" i="52"/>
  <c r="V133" i="52"/>
  <c r="M131" i="52"/>
  <c r="Y133" i="52"/>
  <c r="Y114" i="52"/>
  <c r="H119" i="52"/>
  <c r="W114" i="52"/>
  <c r="K114" i="52"/>
  <c r="AD114" i="52"/>
  <c r="AC118" i="52"/>
  <c r="AJ133" i="52"/>
  <c r="H118" i="52"/>
  <c r="AJ124" i="52"/>
  <c r="T124" i="52"/>
  <c r="G124" i="52"/>
  <c r="O124" i="52"/>
  <c r="H124" i="52"/>
  <c r="K124" i="52"/>
  <c r="AB124" i="52"/>
  <c r="AD117" i="52"/>
  <c r="B80" i="39"/>
  <c r="T117" i="52"/>
  <c r="AG117" i="52"/>
  <c r="Y117" i="52"/>
  <c r="M117" i="52"/>
  <c r="AE117" i="52"/>
  <c r="F117" i="52"/>
  <c r="R117" i="52"/>
  <c r="Z117" i="52"/>
  <c r="U117" i="52"/>
  <c r="P117" i="52"/>
  <c r="AI117" i="52"/>
  <c r="AH117" i="52"/>
  <c r="H117" i="52"/>
  <c r="AJ117" i="52"/>
  <c r="V117" i="52"/>
  <c r="A136" i="52"/>
  <c r="N122" i="43"/>
  <c r="O33" i="11"/>
  <c r="N33" i="11"/>
  <c r="P33" i="11" s="1"/>
  <c r="O32" i="11"/>
  <c r="N32" i="11"/>
  <c r="O31" i="11"/>
  <c r="N31" i="11"/>
  <c r="O30" i="11"/>
  <c r="N30" i="11"/>
  <c r="O29" i="11"/>
  <c r="N29" i="11"/>
  <c r="P29" i="11" s="1"/>
  <c r="O28" i="11"/>
  <c r="N28" i="11"/>
  <c r="P28" i="11" s="1"/>
  <c r="O27" i="11"/>
  <c r="N27" i="11"/>
  <c r="O26" i="11"/>
  <c r="N26" i="11"/>
  <c r="P26" i="11" s="1"/>
  <c r="O25" i="11"/>
  <c r="N25" i="11"/>
  <c r="P25" i="11" s="1"/>
  <c r="O24" i="11"/>
  <c r="N24" i="11"/>
  <c r="P24" i="11" s="1"/>
  <c r="O23" i="11"/>
  <c r="N23" i="11"/>
  <c r="O22" i="11"/>
  <c r="N22" i="11"/>
  <c r="O21" i="11"/>
  <c r="N21" i="11"/>
  <c r="P21" i="11" s="1"/>
  <c r="O20" i="11"/>
  <c r="N20" i="11"/>
  <c r="O19" i="11"/>
  <c r="N19" i="11"/>
  <c r="P19" i="11" s="1"/>
  <c r="O18" i="11"/>
  <c r="N18" i="11"/>
  <c r="O17" i="11"/>
  <c r="P17" i="11" s="1"/>
  <c r="N17" i="11"/>
  <c r="O16" i="11"/>
  <c r="N16" i="11"/>
  <c r="O15" i="11"/>
  <c r="N15" i="11"/>
  <c r="O14" i="11"/>
  <c r="N14" i="11"/>
  <c r="O13" i="11"/>
  <c r="N13" i="11"/>
  <c r="P13" i="11" s="1"/>
  <c r="O12" i="11"/>
  <c r="N12" i="11"/>
  <c r="O11" i="11"/>
  <c r="N11" i="11"/>
  <c r="O10" i="11"/>
  <c r="N10" i="11"/>
  <c r="O9" i="11"/>
  <c r="N9" i="11"/>
  <c r="O8" i="11"/>
  <c r="N8" i="11"/>
  <c r="P8" i="11" s="1"/>
  <c r="O7" i="11"/>
  <c r="N7" i="11"/>
  <c r="P7" i="11" s="1"/>
  <c r="O6" i="11"/>
  <c r="N6" i="11"/>
  <c r="O5" i="11"/>
  <c r="N5" i="11"/>
  <c r="P5" i="11" s="1"/>
  <c r="O4" i="11"/>
  <c r="N4" i="11"/>
  <c r="P4" i="11" s="1"/>
  <c r="O3" i="11"/>
  <c r="N3" i="11"/>
  <c r="K110" i="52" l="1"/>
  <c r="AF110" i="52"/>
  <c r="N110" i="52"/>
  <c r="S110" i="52"/>
  <c r="AC110" i="52"/>
  <c r="W110" i="52"/>
  <c r="H110" i="52"/>
  <c r="AB110" i="52"/>
  <c r="I110" i="52"/>
  <c r="L110" i="52"/>
  <c r="F110" i="52"/>
  <c r="O110" i="52"/>
  <c r="AH110" i="52"/>
  <c r="AD110" i="52"/>
  <c r="Q110" i="52"/>
  <c r="AA110" i="52"/>
  <c r="T110" i="52"/>
  <c r="J110" i="52"/>
  <c r="AE110" i="52"/>
  <c r="G110" i="52"/>
  <c r="X110" i="52"/>
  <c r="U110" i="52"/>
  <c r="AI110" i="52"/>
  <c r="R110" i="52"/>
  <c r="M110" i="52"/>
  <c r="V110" i="52"/>
  <c r="Y110" i="52"/>
  <c r="P110" i="52"/>
  <c r="AJ110" i="52"/>
  <c r="Z110" i="52"/>
  <c r="AG110" i="52"/>
  <c r="P27" i="11"/>
  <c r="P14"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P5" i="37" s="1"/>
  <c r="B30" i="39" s="1"/>
  <c r="R7" i="37"/>
  <c r="R8" i="37"/>
  <c r="R9" i="37"/>
  <c r="R10" i="37"/>
  <c r="R11" i="37"/>
  <c r="P8" i="37" s="1"/>
  <c r="B32" i="39" s="1"/>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D76" i="52" l="1"/>
  <c r="D82" i="52"/>
  <c r="D88" i="52"/>
  <c r="D94" i="52"/>
  <c r="D100" i="52"/>
  <c r="D72" i="52"/>
  <c r="D96" i="52"/>
  <c r="D75" i="52"/>
  <c r="D99" i="52"/>
  <c r="D77" i="52"/>
  <c r="D83" i="52"/>
  <c r="D89" i="52"/>
  <c r="D95" i="52"/>
  <c r="D101" i="52"/>
  <c r="D78" i="52"/>
  <c r="D90" i="52"/>
  <c r="D102" i="52"/>
  <c r="D84" i="52"/>
  <c r="D93" i="52"/>
  <c r="D73" i="52"/>
  <c r="D79" i="52"/>
  <c r="D85" i="52"/>
  <c r="D91" i="52"/>
  <c r="D97" i="52"/>
  <c r="D87" i="52"/>
  <c r="D74" i="52"/>
  <c r="D80" i="52"/>
  <c r="D86" i="52"/>
  <c r="D92" i="52"/>
  <c r="D98" i="52"/>
  <c r="D81" i="52"/>
  <c r="H73" i="52"/>
  <c r="H79" i="52"/>
  <c r="H85" i="52"/>
  <c r="H91" i="52"/>
  <c r="H97" i="52"/>
  <c r="H81" i="52"/>
  <c r="H93" i="52"/>
  <c r="H96" i="52"/>
  <c r="H74" i="52"/>
  <c r="H80" i="52"/>
  <c r="H86" i="52"/>
  <c r="H92" i="52"/>
  <c r="H98" i="52"/>
  <c r="H75" i="52"/>
  <c r="H87" i="52"/>
  <c r="H99" i="52"/>
  <c r="H90" i="52"/>
  <c r="H72" i="52"/>
  <c r="H76" i="52"/>
  <c r="H82" i="52"/>
  <c r="H88" i="52"/>
  <c r="H94" i="52"/>
  <c r="H100" i="52"/>
  <c r="H78" i="52"/>
  <c r="H102" i="52"/>
  <c r="H77" i="52"/>
  <c r="H83" i="52"/>
  <c r="H89" i="52"/>
  <c r="H95" i="52"/>
  <c r="H101" i="52"/>
  <c r="H84" i="52"/>
  <c r="F87" i="52"/>
  <c r="F90" i="52"/>
  <c r="F89" i="52"/>
  <c r="F86" i="52"/>
  <c r="F82" i="52"/>
  <c r="F99" i="52"/>
  <c r="F92" i="52"/>
  <c r="F80" i="52"/>
  <c r="F93" i="52"/>
  <c r="F97" i="52"/>
  <c r="F96" i="52"/>
  <c r="F91" i="52"/>
  <c r="F88" i="52"/>
  <c r="F98" i="52"/>
  <c r="F94" i="52"/>
  <c r="F84" i="52"/>
  <c r="F100" i="52"/>
  <c r="F83" i="52"/>
  <c r="F74" i="52"/>
  <c r="F73" i="52"/>
  <c r="F101" i="52"/>
  <c r="F72" i="52"/>
  <c r="F95" i="52"/>
  <c r="F85" i="52"/>
  <c r="F76" i="52"/>
  <c r="F79" i="52"/>
  <c r="F78" i="52"/>
  <c r="F77" i="52"/>
  <c r="F75" i="52"/>
  <c r="F102" i="52"/>
  <c r="F81" i="52"/>
  <c r="B96" i="52"/>
  <c r="B90" i="52"/>
  <c r="B74" i="52"/>
  <c r="B100" i="52"/>
  <c r="B101" i="52"/>
  <c r="B75" i="52"/>
  <c r="B91" i="52"/>
  <c r="B81" i="52"/>
  <c r="B84" i="52"/>
  <c r="B94" i="52"/>
  <c r="B85" i="52"/>
  <c r="B86" i="52"/>
  <c r="B77" i="52"/>
  <c r="B80" i="52"/>
  <c r="B76" i="52"/>
  <c r="B92" i="52"/>
  <c r="B102" i="52"/>
  <c r="B78" i="52"/>
  <c r="B95" i="52"/>
  <c r="B79" i="52"/>
  <c r="B97" i="52"/>
  <c r="B98" i="52"/>
  <c r="B87" i="52"/>
  <c r="B82" i="52"/>
  <c r="B83" i="52"/>
  <c r="B89" i="52"/>
  <c r="B72" i="52"/>
  <c r="B73" i="52"/>
  <c r="B93" i="52"/>
  <c r="B88" i="52"/>
  <c r="B99" i="52"/>
  <c r="G72" i="52"/>
  <c r="G78" i="52"/>
  <c r="G84" i="52"/>
  <c r="G90" i="52"/>
  <c r="G96" i="52"/>
  <c r="G102" i="52"/>
  <c r="G74" i="52"/>
  <c r="G92" i="52"/>
  <c r="G95" i="52"/>
  <c r="G73" i="52"/>
  <c r="G79" i="52"/>
  <c r="G85" i="52"/>
  <c r="G91" i="52"/>
  <c r="G97" i="52"/>
  <c r="G80" i="52"/>
  <c r="G98" i="52"/>
  <c r="G83" i="52"/>
  <c r="G86" i="52"/>
  <c r="G77" i="52"/>
  <c r="G75" i="52"/>
  <c r="G81" i="52"/>
  <c r="G87" i="52"/>
  <c r="G93" i="52"/>
  <c r="G99" i="52"/>
  <c r="G101" i="52"/>
  <c r="G76" i="52"/>
  <c r="G82" i="52"/>
  <c r="G88" i="52"/>
  <c r="G94" i="52"/>
  <c r="G100" i="52"/>
  <c r="G89" i="52"/>
  <c r="C75" i="52"/>
  <c r="C81" i="52"/>
  <c r="C87" i="52"/>
  <c r="C93" i="52"/>
  <c r="C99" i="52"/>
  <c r="C77" i="52"/>
  <c r="C89" i="52"/>
  <c r="C101" i="52"/>
  <c r="C92" i="52"/>
  <c r="C76" i="52"/>
  <c r="C82" i="52"/>
  <c r="C88" i="52"/>
  <c r="C94" i="52"/>
  <c r="C100" i="52"/>
  <c r="C83" i="52"/>
  <c r="C95" i="52"/>
  <c r="C80" i="52"/>
  <c r="C72" i="52"/>
  <c r="C78" i="52"/>
  <c r="C84" i="52"/>
  <c r="C90" i="52"/>
  <c r="C96" i="52"/>
  <c r="C102" i="52"/>
  <c r="C86" i="52"/>
  <c r="C73" i="52"/>
  <c r="C79" i="52"/>
  <c r="C85" i="52"/>
  <c r="C91" i="52"/>
  <c r="C97" i="52"/>
  <c r="C74" i="52"/>
  <c r="C98" i="52"/>
  <c r="E77" i="52"/>
  <c r="E83" i="52"/>
  <c r="E89" i="52"/>
  <c r="E95" i="52"/>
  <c r="E101" i="52"/>
  <c r="E79" i="52"/>
  <c r="E97" i="52"/>
  <c r="E76" i="52"/>
  <c r="E72" i="52"/>
  <c r="E78" i="52"/>
  <c r="E84" i="52"/>
  <c r="E90" i="52"/>
  <c r="E96" i="52"/>
  <c r="E102" i="52"/>
  <c r="E91" i="52"/>
  <c r="E100" i="52"/>
  <c r="E73" i="52"/>
  <c r="E85" i="52"/>
  <c r="E88" i="52"/>
  <c r="E74" i="52"/>
  <c r="E80" i="52"/>
  <c r="E86" i="52"/>
  <c r="E92" i="52"/>
  <c r="E98" i="52"/>
  <c r="E94" i="52"/>
  <c r="E75" i="52"/>
  <c r="E81" i="52"/>
  <c r="E87" i="52"/>
  <c r="E93" i="52"/>
  <c r="E99" i="52"/>
  <c r="E82" i="52"/>
  <c r="H217" i="44" a="1"/>
  <c r="A8" i="43"/>
  <c r="M14" i="43"/>
  <c r="M109" i="52" l="1"/>
  <c r="M144" i="52" s="1"/>
  <c r="X109" i="52"/>
  <c r="X144" i="52" s="1"/>
  <c r="N109" i="52"/>
  <c r="N148" i="52" s="1"/>
  <c r="O109" i="52"/>
  <c r="O148" i="52" s="1"/>
  <c r="W109" i="52"/>
  <c r="F109" i="52"/>
  <c r="R109" i="52"/>
  <c r="Q109" i="52"/>
  <c r="AC109" i="52"/>
  <c r="Y109" i="52"/>
  <c r="AD109" i="52"/>
  <c r="V109" i="52"/>
  <c r="P109" i="52"/>
  <c r="T109" i="52"/>
  <c r="AA109" i="52"/>
  <c r="U109" i="52"/>
  <c r="S109" i="52"/>
  <c r="Z109" i="52"/>
  <c r="AB109" i="52"/>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X148" i="52" l="1"/>
  <c r="M148" i="52"/>
  <c r="M142" i="52"/>
  <c r="M143" i="52" s="1"/>
  <c r="G109" i="52"/>
  <c r="G148" i="52" s="1"/>
  <c r="N144" i="52"/>
  <c r="N142" i="52"/>
  <c r="N143" i="52" s="1"/>
  <c r="X142" i="52"/>
  <c r="X143" i="52" s="1"/>
  <c r="O142" i="52"/>
  <c r="O143" i="52" s="1"/>
  <c r="O144" i="52"/>
  <c r="AD148" i="52"/>
  <c r="AD144" i="52"/>
  <c r="AD142" i="52"/>
  <c r="AD143" i="52" s="1"/>
  <c r="Y148" i="52"/>
  <c r="Y142" i="52"/>
  <c r="Y143" i="52" s="1"/>
  <c r="Y144" i="52"/>
  <c r="R148" i="52"/>
  <c r="R144" i="52"/>
  <c r="R142" i="52"/>
  <c r="R143" i="52" s="1"/>
  <c r="P148" i="52"/>
  <c r="P142" i="52"/>
  <c r="P143" i="52" s="1"/>
  <c r="P144" i="52"/>
  <c r="U148" i="52"/>
  <c r="U142" i="52"/>
  <c r="U143" i="52" s="1"/>
  <c r="U144" i="52"/>
  <c r="V148" i="52"/>
  <c r="V142" i="52"/>
  <c r="V143" i="52" s="1"/>
  <c r="V144" i="52"/>
  <c r="S144" i="52"/>
  <c r="S148" i="52"/>
  <c r="S142" i="52"/>
  <c r="S143" i="52" s="1"/>
  <c r="AA148" i="52"/>
  <c r="AA142" i="52"/>
  <c r="AA143" i="52" s="1"/>
  <c r="AA144" i="52"/>
  <c r="AB148" i="52"/>
  <c r="AB144" i="52"/>
  <c r="AB142" i="52"/>
  <c r="AB143" i="52" s="1"/>
  <c r="Q148" i="52"/>
  <c r="Q144" i="52"/>
  <c r="Q142" i="52"/>
  <c r="Q143" i="52" s="1"/>
  <c r="F142" i="52"/>
  <c r="F143" i="52" s="1"/>
  <c r="F148" i="52"/>
  <c r="F144" i="52"/>
  <c r="AC148" i="52"/>
  <c r="AC144" i="52"/>
  <c r="AC142" i="52"/>
  <c r="AC143" i="52" s="1"/>
  <c r="Z148" i="52"/>
  <c r="Z144" i="52"/>
  <c r="Z142" i="52"/>
  <c r="Z143" i="52" s="1"/>
  <c r="T148" i="52"/>
  <c r="T142" i="52"/>
  <c r="T143" i="52" s="1"/>
  <c r="T144" i="52"/>
  <c r="W148" i="52"/>
  <c r="W142" i="52"/>
  <c r="W143" i="52" s="1"/>
  <c r="W144" i="52"/>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H109" i="52" l="1"/>
  <c r="G142" i="52"/>
  <c r="G143" i="52" s="1"/>
  <c r="G144" i="52"/>
  <c r="AE109" i="52"/>
  <c r="F150" i="52"/>
  <c r="A12" i="43"/>
  <c r="P14" i="43"/>
  <c r="AF109" i="52" l="1"/>
  <c r="AE144" i="52"/>
  <c r="AE148" i="52"/>
  <c r="AE142" i="52"/>
  <c r="AE143" i="52" s="1"/>
  <c r="H148" i="52"/>
  <c r="H144" i="52"/>
  <c r="H142" i="52"/>
  <c r="H143" i="52" s="1"/>
  <c r="A13" i="43"/>
  <c r="Q14" i="43"/>
  <c r="I109" i="52" l="1"/>
  <c r="I148" i="52" s="1"/>
  <c r="AG109" i="52"/>
  <c r="J109" i="52"/>
  <c r="J144" i="52" s="1"/>
  <c r="AF144" i="52"/>
  <c r="AF148" i="52"/>
  <c r="AF142" i="52"/>
  <c r="AF143" i="52" s="1"/>
  <c r="R14" i="43"/>
  <c r="I144" i="52" l="1"/>
  <c r="I142" i="52"/>
  <c r="I143" i="52" s="1"/>
  <c r="J142" i="52"/>
  <c r="J143" i="52" s="1"/>
  <c r="AH109" i="52"/>
  <c r="J148" i="52"/>
  <c r="AG148" i="52"/>
  <c r="AG142" i="52"/>
  <c r="AG143" i="52" s="1"/>
  <c r="AG144" i="52"/>
  <c r="K109" i="52"/>
  <c r="L109" i="52"/>
  <c r="S14" i="43"/>
  <c r="L148" i="52" l="1"/>
  <c r="L144" i="52"/>
  <c r="L142" i="52"/>
  <c r="L143" i="52" s="1"/>
  <c r="AH148" i="52"/>
  <c r="AH142" i="52"/>
  <c r="AH143" i="52" s="1"/>
  <c r="AH144" i="52"/>
  <c r="AI109" i="52"/>
  <c r="AJ109" i="52"/>
  <c r="K142" i="52"/>
  <c r="K143" i="52" s="1"/>
  <c r="K148" i="52"/>
  <c r="K144" i="52"/>
  <c r="T14" i="43"/>
  <c r="AJ144" i="52" l="1"/>
  <c r="AJ148" i="52"/>
  <c r="AJ142" i="52"/>
  <c r="AJ143" i="52" s="1"/>
  <c r="AI142" i="52"/>
  <c r="AI143" i="52" s="1"/>
  <c r="AI148" i="52"/>
  <c r="AI144" i="52"/>
  <c r="U14" i="43"/>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F149" i="52" l="1"/>
  <c r="K146" i="52"/>
  <c r="G146" i="52"/>
  <c r="I146" i="52" s="1"/>
  <c r="AE3" i="8"/>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<sst xmlns="http://schemas.openxmlformats.org/spreadsheetml/2006/main" count="326" uniqueCount="166">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</sst>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-3.3858434285714286E-4</c:v>
                </c:pt>
                <c:pt idx="1">
                  <c:v>-3.4093037142857147E-4</c:v>
                </c:pt>
                <c:pt idx="2">
                  <c:v>-3.4955094285714285E-4</c:v>
                </c:pt>
                <c:pt idx="3">
                  <c:v>-3.5566291428571433E-4</c:v>
                </c:pt>
                <c:pt idx="4">
                  <c:v>-3.616018571428572E-4</c:v>
                </c:pt>
                <c:pt idx="5">
                  <c:v>-3.6839137142857147E-4</c:v>
                </c:pt>
                <c:pt idx="6">
                  <c:v>-3.7583788571428573E-4</c:v>
                </c:pt>
                <c:pt idx="7">
                  <c:v>-3.8479085714285716E-4</c:v>
                </c:pt>
                <c:pt idx="8">
                  <c:v>-3.9459005714285713E-4</c:v>
                </c:pt>
                <c:pt idx="9">
                  <c:v>-4.0621477142857142E-4</c:v>
                </c:pt>
                <c:pt idx="10">
                  <c:v>-4.1725674285714284E-4</c:v>
                </c:pt>
                <c:pt idx="11">
                  <c:v>-4.2975834285714288E-4</c:v>
                </c:pt>
                <c:pt idx="12">
                  <c:v>-4.4618285714285717E-4</c:v>
                </c:pt>
                <c:pt idx="13">
                  <c:v>-4.6606960000000004E-4</c:v>
                </c:pt>
                <c:pt idx="14">
                  <c:v>-4.8636480000000004E-4</c:v>
                </c:pt>
                <c:pt idx="15">
                  <c:v>-5.0396368571428577E-4</c:v>
                </c:pt>
                <c:pt idx="16">
                  <c:v>-5.2348714285714289E-4</c:v>
                </c:pt>
                <c:pt idx="17">
                  <c:v>-5.4381057142857138E-4</c:v>
                </c:pt>
                <c:pt idx="18">
                  <c:v>-5.6729200000000006E-4</c:v>
                </c:pt>
                <c:pt idx="19">
                  <c:v>-5.9286342857142857E-4</c:v>
                </c:pt>
                <c:pt idx="20">
                  <c:v>-6.3993217142857149E-4</c:v>
                </c:pt>
                <c:pt idx="21">
                  <c:v>-7.2384711428571426E-4</c:v>
                </c:pt>
                <c:pt idx="22">
                  <c:v>-8.4787879999999999E-4</c:v>
                </c:pt>
                <c:pt idx="23">
                  <c:v>-1.0044371142857143E-3</c:v>
                </c:pt>
                <c:pt idx="24">
                  <c:v>-1.2166804000000001E-3</c:v>
                </c:pt>
                <c:pt idx="25">
                  <c:v>-1.5274286285714288E-3</c:v>
                </c:pt>
                <c:pt idx="26">
                  <c:v>-2.0460255714285715E-3</c:v>
                </c:pt>
                <c:pt idx="27">
                  <c:v>-2.8050813428571434E-3</c:v>
                </c:pt>
                <c:pt idx="28">
                  <c:v>-3.8796105714285715E-3</c:v>
                </c:pt>
                <c:pt idx="29">
                  <c:v>-4.8738751428571434E-3</c:v>
                </c:pt>
                <c:pt idx="30">
                  <c:v>-5.7076408571428584E-3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-3.4412177142857143E-4</c:v>
                </c:pt>
                <c:pt idx="1">
                  <c:v>-3.5410982857142861E-4</c:v>
                </c:pt>
                <c:pt idx="2">
                  <c:v>-3.6013994285714293E-4</c:v>
                </c:pt>
                <c:pt idx="3">
                  <c:v>-3.6646617142857145E-4</c:v>
                </c:pt>
                <c:pt idx="4">
                  <c:v>-3.7350802857142863E-4</c:v>
                </c:pt>
                <c:pt idx="5">
                  <c:v>-3.8163354285714285E-4</c:v>
                </c:pt>
                <c:pt idx="6">
                  <c:v>-3.9091748571428575E-4</c:v>
                </c:pt>
                <c:pt idx="7">
                  <c:v>-4.0163102857142859E-4</c:v>
                </c:pt>
                <c:pt idx="8">
                  <c:v>-4.1311025714285714E-4</c:v>
                </c:pt>
                <c:pt idx="9">
                  <c:v>-4.2456862857142858E-4</c:v>
                </c:pt>
                <c:pt idx="10">
                  <c:v>-4.3862185714285717E-4</c:v>
                </c:pt>
                <c:pt idx="11">
                  <c:v>-4.5667805714285714E-4</c:v>
                </c:pt>
                <c:pt idx="12">
                  <c:v>-4.7721914285714286E-4</c:v>
                </c:pt>
                <c:pt idx="13">
                  <c:v>-4.9641780000000003E-4</c:v>
                </c:pt>
                <c:pt idx="14">
                  <c:v>-5.1476834285714293E-4</c:v>
                </c:pt>
                <c:pt idx="15">
                  <c:v>-5.3461854285714286E-4</c:v>
                </c:pt>
                <c:pt idx="16">
                  <c:v>-5.5646648571428578E-4</c:v>
                </c:pt>
                <c:pt idx="17">
                  <c:v>-5.8054137142857145E-4</c:v>
                </c:pt>
                <c:pt idx="18">
                  <c:v>-6.1604911428571438E-4</c:v>
                </c:pt>
                <c:pt idx="19">
                  <c:v>-6.8582380000000007E-4</c:v>
                </c:pt>
                <c:pt idx="20">
                  <c:v>-7.9257514285714279E-4</c:v>
                </c:pt>
                <c:pt idx="21">
                  <c:v>-9.293032000000001E-4</c:v>
                </c:pt>
                <c:pt idx="22">
                  <c:v>-1.1024778857142859E-3</c:v>
                </c:pt>
                <c:pt idx="23">
                  <c:v>-1.3449208571428572E-3</c:v>
                </c:pt>
                <c:pt idx="24">
                  <c:v>-1.7242072571428573E-3</c:v>
                </c:pt>
                <c:pt idx="25">
                  <c:v>-2.3387959142857147E-3</c:v>
                </c:pt>
                <c:pt idx="26">
                  <c:v>-3.2282211428571431E-3</c:v>
                </c:pt>
                <c:pt idx="27">
                  <c:v>-4.3318382857142866E-3</c:v>
                </c:pt>
                <c:pt idx="28">
                  <c:v>-5.2510288571428572E-3</c:v>
                </c:pt>
                <c:pt idx="29">
                  <c:v>-5.9256691428571434E-3</c:v>
                </c:pt>
                <c:pt idx="30">
                  <c:v>-6.321428285714286E-3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-3.5446654285714287E-4</c:v>
                </c:pt>
                <c:pt idx="1">
                  <c:v>-3.6198094285714287E-4</c:v>
                </c:pt>
                <c:pt idx="2">
                  <c:v>-3.6854320000000005E-4</c:v>
                </c:pt>
                <c:pt idx="3">
                  <c:v>-3.7567897142857143E-4</c:v>
                </c:pt>
                <c:pt idx="4">
                  <c:v>-3.8400511428571428E-4</c:v>
                </c:pt>
                <c:pt idx="5">
                  <c:v>-3.9338954285714287E-4</c:v>
                </c:pt>
                <c:pt idx="6">
                  <c:v>-4.0436445714285714E-4</c:v>
                </c:pt>
                <c:pt idx="7">
                  <c:v>-4.1580068571428572E-4</c:v>
                </c:pt>
                <c:pt idx="8">
                  <c:v>-4.274400285714286E-4</c:v>
                </c:pt>
                <c:pt idx="9">
                  <c:v>-4.4195080000000004E-4</c:v>
                </c:pt>
                <c:pt idx="10">
                  <c:v>-4.6043445714285717E-4</c:v>
                </c:pt>
                <c:pt idx="11">
                  <c:v>-4.8111651428571435E-4</c:v>
                </c:pt>
                <c:pt idx="12">
                  <c:v>-5.0005660000000001E-4</c:v>
                </c:pt>
                <c:pt idx="13">
                  <c:v>-5.1872391428571432E-4</c:v>
                </c:pt>
                <c:pt idx="14">
                  <c:v>-5.3867831428571432E-4</c:v>
                </c:pt>
                <c:pt idx="15">
                  <c:v>-5.6094102857142856E-4</c:v>
                </c:pt>
                <c:pt idx="16">
                  <c:v>-5.8476714285714292E-4</c:v>
                </c:pt>
                <c:pt idx="17">
                  <c:v>-6.1952425714285723E-4</c:v>
                </c:pt>
                <c:pt idx="18">
                  <c:v>-6.848605142857143E-4</c:v>
                </c:pt>
                <c:pt idx="19">
                  <c:v>-7.9147494285714286E-4</c:v>
                </c:pt>
                <c:pt idx="20">
                  <c:v>-9.3079459999999997E-4</c:v>
                </c:pt>
                <c:pt idx="21">
                  <c:v>-1.1103511428571429E-3</c:v>
                </c:pt>
                <c:pt idx="22">
                  <c:v>-1.3624052285714286E-3</c:v>
                </c:pt>
                <c:pt idx="23">
                  <c:v>-1.7606820000000002E-3</c:v>
                </c:pt>
                <c:pt idx="24">
                  <c:v>-2.3945662571428572E-3</c:v>
                </c:pt>
                <c:pt idx="25">
                  <c:v>-3.312309428571429E-3</c:v>
                </c:pt>
                <c:pt idx="26">
                  <c:v>-4.4061685714285714E-3</c:v>
                </c:pt>
                <c:pt idx="27">
                  <c:v>-5.319179714285715E-3</c:v>
                </c:pt>
                <c:pt idx="28">
                  <c:v>-5.9556611428571438E-3</c:v>
                </c:pt>
                <c:pt idx="29">
                  <c:v>-6.3544920000000006E-3</c:v>
                </c:pt>
                <c:pt idx="30">
                  <c:v>-6.6169728571428572E-3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-3.6163945714285718E-4</c:v>
                </c:pt>
                <c:pt idx="1">
                  <c:v>-3.6956534285714288E-4</c:v>
                </c:pt>
                <c:pt idx="2">
                  <c:v>-3.7684194285714283E-4</c:v>
                </c:pt>
                <c:pt idx="3">
                  <c:v>-3.8514522857142853E-4</c:v>
                </c:pt>
                <c:pt idx="4">
                  <c:v>-3.9454505714285712E-4</c:v>
                </c:pt>
                <c:pt idx="5">
                  <c:v>-4.054733428571429E-4</c:v>
                </c:pt>
                <c:pt idx="6">
                  <c:v>-4.1700088571428577E-4</c:v>
                </c:pt>
                <c:pt idx="7">
                  <c:v>-4.2863045714285715E-4</c:v>
                </c:pt>
                <c:pt idx="8">
                  <c:v>-4.4302511428571435E-4</c:v>
                </c:pt>
                <c:pt idx="9">
                  <c:v>-4.6143057142857143E-4</c:v>
                </c:pt>
                <c:pt idx="10">
                  <c:v>-4.8217617142857149E-4</c:v>
                </c:pt>
                <c:pt idx="11">
                  <c:v>-5.013431428571429E-4</c:v>
                </c:pt>
                <c:pt idx="12">
                  <c:v>-5.199761428571429E-4</c:v>
                </c:pt>
                <c:pt idx="13">
                  <c:v>-5.3999254285714291E-4</c:v>
                </c:pt>
                <c:pt idx="14">
                  <c:v>-5.6215660000000006E-4</c:v>
                </c:pt>
                <c:pt idx="15">
                  <c:v>-5.8580511428571436E-4</c:v>
                </c:pt>
                <c:pt idx="16">
                  <c:v>-6.1755054285714294E-4</c:v>
                </c:pt>
                <c:pt idx="17">
                  <c:v>-6.7451420000000004E-4</c:v>
                </c:pt>
                <c:pt idx="18">
                  <c:v>-7.7386777142857144E-4</c:v>
                </c:pt>
                <c:pt idx="19">
                  <c:v>-9.1107685714285716E-4</c:v>
                </c:pt>
                <c:pt idx="20">
                  <c:v>-1.0893183428571428E-3</c:v>
                </c:pt>
                <c:pt idx="21">
                  <c:v>-1.3385251714285716E-3</c:v>
                </c:pt>
                <c:pt idx="22">
                  <c:v>-1.7284236571428573E-3</c:v>
                </c:pt>
                <c:pt idx="23">
                  <c:v>-2.3549972571428575E-3</c:v>
                </c:pt>
                <c:pt idx="24">
                  <c:v>-3.2569482857142855E-3</c:v>
                </c:pt>
                <c:pt idx="25">
                  <c:v>-4.3552957142857143E-3</c:v>
                </c:pt>
                <c:pt idx="26">
                  <c:v>-5.2736577142857149E-3</c:v>
                </c:pt>
                <c:pt idx="27">
                  <c:v>-5.9309482857142866E-3</c:v>
                </c:pt>
                <c:pt idx="28">
                  <c:v>-6.3319302857142868E-3</c:v>
                </c:pt>
                <c:pt idx="29">
                  <c:v>-6.602536E-3</c:v>
                </c:pt>
                <c:pt idx="30">
                  <c:v>-6.7862760000000008E-3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-3.7102085714285719E-4</c:v>
                </c:pt>
                <c:pt idx="1">
                  <c:v>-3.8034474285714284E-4</c:v>
                </c:pt>
                <c:pt idx="2">
                  <c:v>-3.8924577142857144E-4</c:v>
                </c:pt>
                <c:pt idx="3">
                  <c:v>-3.9889357142857144E-4</c:v>
                </c:pt>
                <c:pt idx="4">
                  <c:v>-4.1038048571428575E-4</c:v>
                </c:pt>
                <c:pt idx="5">
                  <c:v>-4.217628285714286E-4</c:v>
                </c:pt>
                <c:pt idx="6">
                  <c:v>-4.3382928571428572E-4</c:v>
                </c:pt>
                <c:pt idx="7">
                  <c:v>-4.4930708571428579E-4</c:v>
                </c:pt>
                <c:pt idx="8">
                  <c:v>-4.6866885714285717E-4</c:v>
                </c:pt>
                <c:pt idx="9">
                  <c:v>-4.8960165714285716E-4</c:v>
                </c:pt>
                <c:pt idx="10">
                  <c:v>-5.0809248571428577E-4</c:v>
                </c:pt>
                <c:pt idx="11">
                  <c:v>-5.2741137142857148E-4</c:v>
                </c:pt>
                <c:pt idx="12">
                  <c:v>-5.4764948571428573E-4</c:v>
                </c:pt>
                <c:pt idx="13">
                  <c:v>-5.7073894285714283E-4</c:v>
                </c:pt>
                <c:pt idx="14">
                  <c:v>-5.9431514285714288E-4</c:v>
                </c:pt>
                <c:pt idx="15">
                  <c:v>-6.2743337142857154E-4</c:v>
                </c:pt>
                <c:pt idx="16">
                  <c:v>-6.7927885714285719E-4</c:v>
                </c:pt>
                <c:pt idx="17">
                  <c:v>-7.7574680000000007E-4</c:v>
                </c:pt>
                <c:pt idx="18">
                  <c:v>-9.1759265714285723E-4</c:v>
                </c:pt>
                <c:pt idx="19">
                  <c:v>-1.1109637142857143E-3</c:v>
                </c:pt>
                <c:pt idx="20">
                  <c:v>-1.384965342857143E-3</c:v>
                </c:pt>
                <c:pt idx="21">
                  <c:v>-1.8246440571428573E-3</c:v>
                </c:pt>
                <c:pt idx="22">
                  <c:v>-2.5012873714285715E-3</c:v>
                </c:pt>
                <c:pt idx="23">
                  <c:v>-3.4749714285714287E-3</c:v>
                </c:pt>
                <c:pt idx="24">
                  <c:v>-4.540344571428572E-3</c:v>
                </c:pt>
                <c:pt idx="25">
                  <c:v>-5.441729714285715E-3</c:v>
                </c:pt>
                <c:pt idx="26">
                  <c:v>-6.005448E-3</c:v>
                </c:pt>
                <c:pt idx="27">
                  <c:v>-6.4124148571428575E-3</c:v>
                </c:pt>
                <c:pt idx="28">
                  <c:v>-6.6409679999999997E-3</c:v>
                </c:pt>
                <c:pt idx="29">
                  <c:v>-6.818763142857143E-3</c:v>
                </c:pt>
                <c:pt idx="30">
                  <c:v>-7.1517714285714296E-3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-3.9563245714285719E-4</c:v>
                </c:pt>
                <c:pt idx="1">
                  <c:v>-4.086534285714286E-4</c:v>
                </c:pt>
                <c:pt idx="2">
                  <c:v>-4.2072582857142864E-4</c:v>
                </c:pt>
                <c:pt idx="3">
                  <c:v>-4.3236028571428574E-4</c:v>
                </c:pt>
                <c:pt idx="4">
                  <c:v>-4.4637860000000008E-4</c:v>
                </c:pt>
                <c:pt idx="5">
                  <c:v>-4.645165714285715E-4</c:v>
                </c:pt>
                <c:pt idx="6">
                  <c:v>-4.8544591428571429E-4</c:v>
                </c:pt>
                <c:pt idx="7">
                  <c:v>-5.0537397142857141E-4</c:v>
                </c:pt>
                <c:pt idx="8">
                  <c:v>-5.2389622857142853E-4</c:v>
                </c:pt>
                <c:pt idx="9">
                  <c:v>-5.4413225714285715E-4</c:v>
                </c:pt>
                <c:pt idx="10">
                  <c:v>-5.6601757142857149E-4</c:v>
                </c:pt>
                <c:pt idx="11">
                  <c:v>-5.8979734285714283E-4</c:v>
                </c:pt>
                <c:pt idx="12">
                  <c:v>-6.1714557142857149E-4</c:v>
                </c:pt>
                <c:pt idx="13">
                  <c:v>-6.5362168571428576E-4</c:v>
                </c:pt>
                <c:pt idx="14">
                  <c:v>-6.9951957142857146E-4</c:v>
                </c:pt>
                <c:pt idx="15">
                  <c:v>-7.739219714285716E-4</c:v>
                </c:pt>
                <c:pt idx="16">
                  <c:v>-9.1317117142857148E-4</c:v>
                </c:pt>
                <c:pt idx="17">
                  <c:v>-1.1436928E-3</c:v>
                </c:pt>
                <c:pt idx="18">
                  <c:v>-1.5037889428571431E-3</c:v>
                </c:pt>
                <c:pt idx="19">
                  <c:v>-2.0861996285714288E-3</c:v>
                </c:pt>
                <c:pt idx="20">
                  <c:v>-2.927647142857143E-3</c:v>
                </c:pt>
                <c:pt idx="21">
                  <c:v>-4.0266440000000002E-3</c:v>
                </c:pt>
                <c:pt idx="22">
                  <c:v>-4.9830545714285718E-3</c:v>
                </c:pt>
                <c:pt idx="23">
                  <c:v>-5.7374362857142867E-3</c:v>
                </c:pt>
                <c:pt idx="24">
                  <c:v>-6.1724285714285718E-3</c:v>
                </c:pt>
                <c:pt idx="25">
                  <c:v>-6.5362099999999998E-3</c:v>
                </c:pt>
                <c:pt idx="26">
                  <c:v>-6.6916345714285721E-3</c:v>
                </c:pt>
                <c:pt idx="27">
                  <c:v>-6.9259671428571435E-3</c:v>
                </c:pt>
                <c:pt idx="28">
                  <c:v>-7.2774937142857151E-3</c:v>
                </c:pt>
                <c:pt idx="29">
                  <c:v>-7.315386000000001E-3</c:v>
                </c:pt>
                <c:pt idx="30">
                  <c:v>-7.3200740000000011E-3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-4.2592588571428573E-4</c:v>
                </c:pt>
                <c:pt idx="1">
                  <c:v>-4.4173671428571437E-4</c:v>
                </c:pt>
                <c:pt idx="2">
                  <c:v>-4.5842468571428578E-4</c:v>
                </c:pt>
                <c:pt idx="3">
                  <c:v>-4.7865331428571431E-4</c:v>
                </c:pt>
                <c:pt idx="4">
                  <c:v>-4.9986257142857146E-4</c:v>
                </c:pt>
                <c:pt idx="5">
                  <c:v>-5.1824708571428571E-4</c:v>
                </c:pt>
                <c:pt idx="6">
                  <c:v>-5.3819122857142864E-4</c:v>
                </c:pt>
                <c:pt idx="7">
                  <c:v>-5.5889188571428571E-4</c:v>
                </c:pt>
                <c:pt idx="8">
                  <c:v>-5.8272757142857146E-4</c:v>
                </c:pt>
                <c:pt idx="9">
                  <c:v>-6.0672511428571426E-4</c:v>
                </c:pt>
                <c:pt idx="10">
                  <c:v>-6.4014900000000001E-4</c:v>
                </c:pt>
                <c:pt idx="11">
                  <c:v>-6.7953131428571435E-4</c:v>
                </c:pt>
                <c:pt idx="12">
                  <c:v>-7.3200837142857141E-4</c:v>
                </c:pt>
                <c:pt idx="13">
                  <c:v>-8.0294425714285713E-4</c:v>
                </c:pt>
                <c:pt idx="14">
                  <c:v>-9.1868368571428581E-4</c:v>
                </c:pt>
                <c:pt idx="15">
                  <c:v>-1.1386530000000001E-3</c:v>
                </c:pt>
                <c:pt idx="16">
                  <c:v>-1.5586144E-3</c:v>
                </c:pt>
                <c:pt idx="17">
                  <c:v>-2.2155535142857146E-3</c:v>
                </c:pt>
                <c:pt idx="18">
                  <c:v>-3.1730811428571431E-3</c:v>
                </c:pt>
                <c:pt idx="19">
                  <c:v>-4.2031974285714289E-3</c:v>
                </c:pt>
                <c:pt idx="20">
                  <c:v>-5.1432511428571434E-3</c:v>
                </c:pt>
                <c:pt idx="21">
                  <c:v>-5.7413314285714289E-3</c:v>
                </c:pt>
                <c:pt idx="22">
                  <c:v>-6.2392011428571426E-3</c:v>
                </c:pt>
                <c:pt idx="23">
                  <c:v>-6.5440177142857148E-3</c:v>
                </c:pt>
                <c:pt idx="24">
                  <c:v>-6.6851005714285722E-3</c:v>
                </c:pt>
                <c:pt idx="25">
                  <c:v>-7.1206405714285721E-3</c:v>
                </c:pt>
                <c:pt idx="26">
                  <c:v>-7.2605777142857146E-3</c:v>
                </c:pt>
                <c:pt idx="27">
                  <c:v>-7.3119360000000007E-3</c:v>
                </c:pt>
                <c:pt idx="28">
                  <c:v>-7.3189177142857151E-3</c:v>
                </c:pt>
                <c:pt idx="29">
                  <c:v>-7.3578197142857155E-3</c:v>
                </c:pt>
                <c:pt idx="30">
                  <c:v>-7.3748585714285718E-3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580809896"/>
        <c:axId val="5808102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808098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0810288"/>
        <c:crossesAt val="-8.0000000000000019E-3"/>
        <c:crossBetween val="midCat"/>
      </c:valAx>
      <c:valAx>
        <c:axId val="58081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08098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29534.738421791844</c:v>
                </c:pt>
                <c:pt idx="1">
                  <c:v>29331.502377150657</c:v>
                </c:pt>
                <c:pt idx="2">
                  <c:v>28608.133390407922</c:v>
                </c:pt>
                <c:pt idx="3">
                  <c:v>28116.510320124944</c:v>
                </c:pt>
                <c:pt idx="4">
                  <c:v>27654.725224625501</c:v>
                </c:pt>
                <c:pt idx="5">
                  <c:v>27145.044036241579</c:v>
                </c:pt>
                <c:pt idx="6">
                  <c:v>26607.216515692253</c:v>
                </c:pt>
                <c:pt idx="7">
                  <c:v>25988.143466432226</c:v>
                </c:pt>
                <c:pt idx="8">
                  <c:v>25342.757170334899</c:v>
                </c:pt>
                <c:pt idx="9">
                  <c:v>24617.519360096423</c:v>
                </c:pt>
                <c:pt idx="10">
                  <c:v>23966.059677131983</c:v>
                </c:pt>
                <c:pt idx="11">
                  <c:v>23268.890915572352</c:v>
                </c:pt>
                <c:pt idx="12">
                  <c:v>22412.335749596576</c:v>
                </c:pt>
                <c:pt idx="13">
                  <c:v>21456.022877269832</c:v>
                </c:pt>
                <c:pt idx="14">
                  <c:v>20560.698471599917</c:v>
                </c:pt>
                <c:pt idx="15">
                  <c:v>19842.6995505175</c:v>
                </c:pt>
                <c:pt idx="16">
                  <c:v>19102.665913475837</c:v>
                </c:pt>
                <c:pt idx="17">
                  <c:v>18388.756168770953</c:v>
                </c:pt>
                <c:pt idx="18">
                  <c:v>17627.606241582816</c:v>
                </c:pt>
                <c:pt idx="19">
                  <c:v>16867.291045588914</c:v>
                </c:pt>
                <c:pt idx="20">
                  <c:v>15626.656146504096</c:v>
                </c:pt>
                <c:pt idx="21">
                  <c:v>13815.071998826588</c:v>
                </c:pt>
                <c:pt idx="22">
                  <c:v>11794.138501870786</c:v>
                </c:pt>
                <c:pt idx="23">
                  <c:v>9955.8248672554309</c:v>
                </c:pt>
                <c:pt idx="24">
                  <c:v>8219.0853078589898</c:v>
                </c:pt>
                <c:pt idx="25">
                  <c:v>6546.9507464664885</c:v>
                </c:pt>
                <c:pt idx="26">
                  <c:v>4887.5244472227305</c:v>
                </c:pt>
                <c:pt idx="27">
                  <c:v>3564.9590075040037</c:v>
                </c:pt>
                <c:pt idx="28">
                  <c:v>2577.5782944930334</c:v>
                </c:pt>
                <c:pt idx="29">
                  <c:v>2051.755473189623</c:v>
                </c:pt>
                <c:pt idx="30">
                  <c:v>1752.0373566401686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29059.480771839735</c:v>
                </c:pt>
                <c:pt idx="1">
                  <c:v>28239.826158857573</c:v>
                </c:pt>
                <c:pt idx="2">
                  <c:v>27766.983913713535</c:v>
                </c:pt>
                <c:pt idx="3">
                  <c:v>27287.64830057204</c:v>
                </c:pt>
                <c:pt idx="4">
                  <c:v>26773.186210340398</c:v>
                </c:pt>
                <c:pt idx="5">
                  <c:v>26203.147462180248</c:v>
                </c:pt>
                <c:pt idx="6">
                  <c:v>25580.845998044744</c:v>
                </c:pt>
                <c:pt idx="7">
                  <c:v>24898.474690985029</c:v>
                </c:pt>
                <c:pt idx="8">
                  <c:v>24206.612707129934</c:v>
                </c:pt>
                <c:pt idx="9">
                  <c:v>23553.318184736345</c:v>
                </c:pt>
                <c:pt idx="10">
                  <c:v>22798.681454542846</c:v>
                </c:pt>
                <c:pt idx="11">
                  <c:v>21897.264043215939</c:v>
                </c:pt>
                <c:pt idx="12">
                  <c:v>20954.733584510741</c:v>
                </c:pt>
                <c:pt idx="13">
                  <c:v>20144.321980396351</c:v>
                </c:pt>
                <c:pt idx="14">
                  <c:v>19426.214021819076</c:v>
                </c:pt>
                <c:pt idx="15">
                  <c:v>18704.925471827737</c:v>
                </c:pt>
                <c:pt idx="16">
                  <c:v>17970.53417720908</c:v>
                </c:pt>
                <c:pt idx="17">
                  <c:v>17225.301231146415</c:v>
                </c:pt>
                <c:pt idx="18">
                  <c:v>16232.472002812019</c:v>
                </c:pt>
                <c:pt idx="19">
                  <c:v>14581.004625386286</c:v>
                </c:pt>
                <c:pt idx="20">
                  <c:v>12617.100208254253</c:v>
                </c:pt>
                <c:pt idx="21">
                  <c:v>10760.750635529932</c:v>
                </c:pt>
                <c:pt idx="22">
                  <c:v>9070.4767230057278</c:v>
                </c:pt>
                <c:pt idx="23">
                  <c:v>7435.3817526809325</c:v>
                </c:pt>
                <c:pt idx="24">
                  <c:v>5799.7667963483473</c:v>
                </c:pt>
                <c:pt idx="25">
                  <c:v>4275.7044079470579</c:v>
                </c:pt>
                <c:pt idx="26">
                  <c:v>3097.6812174489019</c:v>
                </c:pt>
                <c:pt idx="27">
                  <c:v>2308.4887616830961</c:v>
                </c:pt>
                <c:pt idx="28">
                  <c:v>1904.3886963975115</c:v>
                </c:pt>
                <c:pt idx="29">
                  <c:v>1687.5731261597846</c:v>
                </c:pt>
                <c:pt idx="30">
                  <c:v>1581.9209754540552</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28211.407258343705</c:v>
                </c:pt>
                <c:pt idx="1">
                  <c:v>27625.763724104498</c:v>
                </c:pt>
                <c:pt idx="2">
                  <c:v>27133.861105021064</c:v>
                </c:pt>
                <c:pt idx="3">
                  <c:v>26618.471515649682</c:v>
                </c:pt>
                <c:pt idx="4">
                  <c:v>26041.319836588485</c:v>
                </c:pt>
                <c:pt idx="5">
                  <c:v>25420.096140256177</c:v>
                </c:pt>
                <c:pt idx="6">
                  <c:v>24730.16562993102</c:v>
                </c:pt>
                <c:pt idx="7">
                  <c:v>24049.98438812442</c:v>
                </c:pt>
                <c:pt idx="8">
                  <c:v>23395.094823995692</c:v>
                </c:pt>
                <c:pt idx="9">
                  <c:v>22626.953045452115</c:v>
                </c:pt>
                <c:pt idx="10">
                  <c:v>21718.61780730572</c:v>
                </c:pt>
                <c:pt idx="11">
                  <c:v>20784.985971322181</c:v>
                </c:pt>
                <c:pt idx="12">
                  <c:v>19997.73625625579</c:v>
                </c:pt>
                <c:pt idx="13">
                  <c:v>19278.077845649463</c:v>
                </c:pt>
                <c:pt idx="14">
                  <c:v>18563.955026219995</c:v>
                </c:pt>
                <c:pt idx="15">
                  <c:v>17827.185908414311</c:v>
                </c:pt>
                <c:pt idx="16">
                  <c:v>17100.824015420054</c:v>
                </c:pt>
                <c:pt idx="17">
                  <c:v>16141.418006969308</c:v>
                </c:pt>
                <c:pt idx="18">
                  <c:v>14601.513434351888</c:v>
                </c:pt>
                <c:pt idx="19">
                  <c:v>12634.638771887119</c:v>
                </c:pt>
                <c:pt idx="20">
                  <c:v>10743.508825685065</c:v>
                </c:pt>
                <c:pt idx="21">
                  <c:v>9006.1599560911109</c:v>
                </c:pt>
                <c:pt idx="22">
                  <c:v>7339.9600869747519</c:v>
                </c:pt>
                <c:pt idx="23">
                  <c:v>5679.6173301027666</c:v>
                </c:pt>
                <c:pt idx="24">
                  <c:v>4176.1216546715132</c:v>
                </c:pt>
                <c:pt idx="25">
                  <c:v>3019.0416130032017</c:v>
                </c:pt>
                <c:pt idx="26">
                  <c:v>2269.5454878517717</c:v>
                </c:pt>
                <c:pt idx="27">
                  <c:v>1879.989121845801</c:v>
                </c:pt>
                <c:pt idx="28">
                  <c:v>1679.0747089419935</c:v>
                </c:pt>
                <c:pt idx="29">
                  <c:v>1573.6899188794318</c:v>
                </c:pt>
                <c:pt idx="30">
                  <c:v>1511.2650778377078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27651.849936412593</c:v>
                </c:pt>
                <c:pt idx="1">
                  <c:v>27058.814343057988</c:v>
                </c:pt>
                <c:pt idx="2">
                  <c:v>26536.324285407118</c:v>
                </c:pt>
                <c:pt idx="3">
                  <c:v>25964.231822608217</c:v>
                </c:pt>
                <c:pt idx="4">
                  <c:v>25345.647649006522</c:v>
                </c:pt>
                <c:pt idx="5">
                  <c:v>24662.53374275018</c:v>
                </c:pt>
                <c:pt idx="6">
                  <c:v>23980.764412216729</c:v>
                </c:pt>
                <c:pt idx="7">
                  <c:v>23330.119998138922</c:v>
                </c:pt>
                <c:pt idx="8">
                  <c:v>22572.083788348918</c:v>
                </c:pt>
                <c:pt idx="9">
                  <c:v>21671.732692180281</c:v>
                </c:pt>
                <c:pt idx="10">
                  <c:v>20739.307731388752</c:v>
                </c:pt>
                <c:pt idx="11">
                  <c:v>19946.418221679931</c:v>
                </c:pt>
                <c:pt idx="12">
                  <c:v>19231.65156203595</c:v>
                </c:pt>
                <c:pt idx="13">
                  <c:v>18518.7742539725</c:v>
                </c:pt>
                <c:pt idx="14">
                  <c:v>17788.63754334646</c:v>
                </c:pt>
                <c:pt idx="15">
                  <c:v>17070.523551494134</c:v>
                </c:pt>
                <c:pt idx="16">
                  <c:v>16193.00657357415</c:v>
                </c:pt>
                <c:pt idx="17">
                  <c:v>14825.484771113788</c:v>
                </c:pt>
                <c:pt idx="18">
                  <c:v>12922.104226591386</c:v>
                </c:pt>
                <c:pt idx="19">
                  <c:v>10976.02240864735</c:v>
                </c:pt>
                <c:pt idx="20">
                  <c:v>9180.0528886452776</c:v>
                </c:pt>
                <c:pt idx="21">
                  <c:v>7470.909186808397</c:v>
                </c:pt>
                <c:pt idx="22">
                  <c:v>5785.6185656069638</c:v>
                </c:pt>
                <c:pt idx="23">
                  <c:v>4246.2894466944108</c:v>
                </c:pt>
                <c:pt idx="24">
                  <c:v>3070.3588521384481</c:v>
                </c:pt>
                <c:pt idx="25">
                  <c:v>2296.0553441180145</c:v>
                </c:pt>
                <c:pt idx="26">
                  <c:v>1896.2171118749673</c:v>
                </c:pt>
                <c:pt idx="27">
                  <c:v>1686.0710156732823</c:v>
                </c:pt>
                <c:pt idx="28">
                  <c:v>1579.2972361937382</c:v>
                </c:pt>
                <c:pt idx="29">
                  <c:v>1514.5695532746811</c:v>
                </c:pt>
                <c:pt idx="30">
                  <c:v>1473.5622305959851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26952.662653543539</c:v>
                </c:pt>
                <c:pt idx="1">
                  <c:v>26291.936954038541</c:v>
                </c:pt>
                <c:pt idx="2">
                  <c:v>25690.709402696877</c:v>
                </c:pt>
                <c:pt idx="3">
                  <c:v>25069.343595051312</c:v>
                </c:pt>
                <c:pt idx="4">
                  <c:v>24367.630401807601</c:v>
                </c:pt>
                <c:pt idx="5">
                  <c:v>23710.007906271494</c:v>
                </c:pt>
                <c:pt idx="6">
                  <c:v>23050.541605404364</c:v>
                </c:pt>
                <c:pt idx="7">
                  <c:v>22256.492982082629</c:v>
                </c:pt>
                <c:pt idx="8">
                  <c:v>21337.026874290161</c:v>
                </c:pt>
                <c:pt idx="9">
                  <c:v>20424.767469858001</c:v>
                </c:pt>
                <c:pt idx="10">
                  <c:v>19681.456193830178</c:v>
                </c:pt>
                <c:pt idx="11">
                  <c:v>18960.5316489736</c:v>
                </c:pt>
                <c:pt idx="12">
                  <c:v>18259.854634862382</c:v>
                </c:pt>
                <c:pt idx="13">
                  <c:v>17521.145394319134</c:v>
                </c:pt>
                <c:pt idx="14">
                  <c:v>16826.08986189626</c:v>
                </c:pt>
                <c:pt idx="15">
                  <c:v>15937.947287106361</c:v>
                </c:pt>
                <c:pt idx="16">
                  <c:v>14721.494559776838</c:v>
                </c:pt>
                <c:pt idx="17">
                  <c:v>12890.804061325163</c:v>
                </c:pt>
                <c:pt idx="18">
                  <c:v>10898.081978050452</c:v>
                </c:pt>
                <c:pt idx="19">
                  <c:v>9001.1940726879857</c:v>
                </c:pt>
                <c:pt idx="20">
                  <c:v>7220.3972840001124</c:v>
                </c:pt>
                <c:pt idx="21">
                  <c:v>5480.5209601584602</c:v>
                </c:pt>
                <c:pt idx="22">
                  <c:v>3997.9412658564916</c:v>
                </c:pt>
                <c:pt idx="23">
                  <c:v>2877.7215023350655</c:v>
                </c:pt>
                <c:pt idx="24">
                  <c:v>2202.476010945928</c:v>
                </c:pt>
                <c:pt idx="25">
                  <c:v>1837.6509905936418</c:v>
                </c:pt>
                <c:pt idx="26">
                  <c:v>1665.154706193443</c:v>
                </c:pt>
                <c:pt idx="27">
                  <c:v>1559.4748971771364</c:v>
                </c:pt>
                <c:pt idx="28">
                  <c:v>1505.804575477551</c:v>
                </c:pt>
                <c:pt idx="29">
                  <c:v>1466.5416279307628</c:v>
                </c:pt>
                <c:pt idx="30">
                  <c:v>1398.2549777877207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25275.98486791781</c:v>
                </c:pt>
                <c:pt idx="1">
                  <c:v>24470.613240559411</c:v>
                </c:pt>
                <c:pt idx="2">
                  <c:v>23768.448050729199</c:v>
                </c:pt>
                <c:pt idx="3">
                  <c:v>23128.858802281957</c:v>
                </c:pt>
                <c:pt idx="4">
                  <c:v>22402.507647095979</c:v>
                </c:pt>
                <c:pt idx="5">
                  <c:v>21527.757275151798</c:v>
                </c:pt>
                <c:pt idx="6">
                  <c:v>20599.617188485379</c:v>
                </c:pt>
                <c:pt idx="7">
                  <c:v>19787.326940745268</c:v>
                </c:pt>
                <c:pt idx="8">
                  <c:v>19087.749547783947</c:v>
                </c:pt>
                <c:pt idx="9">
                  <c:v>18377.884914429156</c:v>
                </c:pt>
                <c:pt idx="10">
                  <c:v>17667.296043055703</c:v>
                </c:pt>
                <c:pt idx="11">
                  <c:v>16954.976350956771</c:v>
                </c:pt>
                <c:pt idx="12">
                  <c:v>16203.632437727703</c:v>
                </c:pt>
                <c:pt idx="13">
                  <c:v>15299.36998505776</c:v>
                </c:pt>
                <c:pt idx="14">
                  <c:v>14295.525684260441</c:v>
                </c:pt>
                <c:pt idx="15">
                  <c:v>12921.199254158842</c:v>
                </c:pt>
                <c:pt idx="16">
                  <c:v>10950.84942766637</c:v>
                </c:pt>
                <c:pt idx="17">
                  <c:v>8743.6066747993864</c:v>
                </c:pt>
                <c:pt idx="18">
                  <c:v>6649.8693500168793</c:v>
                </c:pt>
                <c:pt idx="19">
                  <c:v>4793.4051291379628</c:v>
                </c:pt>
                <c:pt idx="20">
                  <c:v>3415.7121784289966</c:v>
                </c:pt>
                <c:pt idx="21">
                  <c:v>2483.4576883379805</c:v>
                </c:pt>
                <c:pt idx="22">
                  <c:v>2006.8012213506906</c:v>
                </c:pt>
                <c:pt idx="23">
                  <c:v>1742.938745114978</c:v>
                </c:pt>
                <c:pt idx="24">
                  <c:v>1620.1078528942069</c:v>
                </c:pt>
                <c:pt idx="25">
                  <c:v>1529.938603563839</c:v>
                </c:pt>
                <c:pt idx="26">
                  <c:v>1494.403182549333</c:v>
                </c:pt>
                <c:pt idx="27">
                  <c:v>1443.841674922347</c:v>
                </c:pt>
                <c:pt idx="28">
                  <c:v>1374.0994348603842</c:v>
                </c:pt>
                <c:pt idx="29">
                  <c:v>1366.9818653451778</c:v>
                </c:pt>
                <c:pt idx="30">
                  <c:v>1366.1064082139058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23478.263086146577</c:v>
                </c:pt>
                <c:pt idx="1">
                  <c:v>22637.919096604728</c:v>
                </c:pt>
                <c:pt idx="2">
                  <c:v>21813.834009437534</c:v>
                </c:pt>
                <c:pt idx="3">
                  <c:v>20891.947682265229</c:v>
                </c:pt>
                <c:pt idx="4">
                  <c:v>20005.498654201525</c:v>
                </c:pt>
                <c:pt idx="5">
                  <c:v>19295.815211806304</c:v>
                </c:pt>
                <c:pt idx="6">
                  <c:v>18580.756186874201</c:v>
                </c:pt>
                <c:pt idx="7">
                  <c:v>17892.548193322949</c:v>
                </c:pt>
                <c:pt idx="8">
                  <c:v>17160.677631032191</c:v>
                </c:pt>
                <c:pt idx="9">
                  <c:v>16481.928577775798</c:v>
                </c:pt>
                <c:pt idx="10">
                  <c:v>15621.363151391317</c:v>
                </c:pt>
                <c:pt idx="11">
                  <c:v>14716.025280617783</c:v>
                </c:pt>
                <c:pt idx="12">
                  <c:v>13661.045952909282</c:v>
                </c:pt>
                <c:pt idx="13">
                  <c:v>12454.164670886779</c:v>
                </c:pt>
                <c:pt idx="14">
                  <c:v>10885.139417954178</c:v>
                </c:pt>
                <c:pt idx="15">
                  <c:v>8782.3068134014484</c:v>
                </c:pt>
                <c:pt idx="16">
                  <c:v>6415.9550944736557</c:v>
                </c:pt>
                <c:pt idx="17">
                  <c:v>4513.5447803543393</c:v>
                </c:pt>
                <c:pt idx="18">
                  <c:v>3151.5109604148611</c:v>
                </c:pt>
                <c:pt idx="19">
                  <c:v>2379.141158591442</c:v>
                </c:pt>
                <c:pt idx="20">
                  <c:v>1944.2954898066419</c:v>
                </c:pt>
                <c:pt idx="21">
                  <c:v>1741.7562675855177</c:v>
                </c:pt>
                <c:pt idx="22">
                  <c:v>1602.7692922592105</c:v>
                </c:pt>
                <c:pt idx="23">
                  <c:v>1528.1132228859665</c:v>
                </c:pt>
                <c:pt idx="24">
                  <c:v>1495.8638083530059</c:v>
                </c:pt>
                <c:pt idx="25">
                  <c:v>1404.3680339834593</c:v>
                </c:pt>
                <c:pt idx="26">
                  <c:v>1377.3008696435097</c:v>
                </c:pt>
                <c:pt idx="27">
                  <c:v>1367.6268501256027</c:v>
                </c:pt>
                <c:pt idx="28">
                  <c:v>1366.3222337479092</c:v>
                </c:pt>
                <c:pt idx="29">
                  <c:v>1359.0982639305919</c:v>
                </c:pt>
                <c:pt idx="30">
                  <c:v>1355.9582062687498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580807152"/>
        <c:axId val="57455200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8080715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4552008"/>
        <c:crosses val="autoZero"/>
        <c:crossBetween val="midCat"/>
      </c:valAx>
      <c:valAx>
        <c:axId val="574552008"/>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080715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34759.135182388236</c:v>
                </c:pt>
                <c:pt idx="1">
                  <c:v>34852.200183549598</c:v>
                </c:pt>
                <c:pt idx="2">
                  <c:v>35125.993425819077</c:v>
                </c:pt>
                <c:pt idx="3">
                  <c:v>35360.521735405484</c:v>
                </c:pt>
                <c:pt idx="4">
                  <c:v>35607.453181184101</c:v>
                </c:pt>
                <c:pt idx="5">
                  <c:v>35916.572247129174</c:v>
                </c:pt>
                <c:pt idx="6">
                  <c:v>36292.10189710636</c:v>
                </c:pt>
                <c:pt idx="7">
                  <c:v>36797.994925619598</c:v>
                </c:pt>
                <c:pt idx="8">
                  <c:v>37427.696640947637</c:v>
                </c:pt>
                <c:pt idx="9">
                  <c:v>38288.079995219909</c:v>
                </c:pt>
                <c:pt idx="10">
                  <c:v>39238.044705899876</c:v>
                </c:pt>
                <c:pt idx="11">
                  <c:v>40480.678213745414</c:v>
                </c:pt>
                <c:pt idx="12">
                  <c:v>42433.827840189435</c:v>
                </c:pt>
                <c:pt idx="13">
                  <c:v>45421.740339950811</c:v>
                </c:pt>
                <c:pt idx="14">
                  <c:v>49424.217748078452</c:v>
                </c:pt>
                <c:pt idx="15">
                  <c:v>53971.317483036772</c:v>
                </c:pt>
                <c:pt idx="16">
                  <c:v>60661.188233434921</c:v>
                </c:pt>
                <c:pt idx="17">
                  <c:v>70511.007372631066</c:v>
                </c:pt>
                <c:pt idx="18">
                  <c:v>88103.109838398741</c:v>
                </c:pt>
                <c:pt idx="19">
                  <c:v>117449.3727767255</c:v>
                </c:pt>
                <c:pt idx="20">
                  <c:v>159113.76361331894</c:v>
                </c:pt>
                <c:pt idx="21">
                  <c:v>111023.03283839283</c:v>
                </c:pt>
                <c:pt idx="22">
                  <c:v>62834.684458576892</c:v>
                </c:pt>
                <c:pt idx="23">
                  <c:v>40863.766623526259</c:v>
                </c:pt>
                <c:pt idx="24">
                  <c:v>30359.538472561322</c:v>
                </c:pt>
                <c:pt idx="25">
                  <c:v>23975.414103352377</c:v>
                </c:pt>
                <c:pt idx="26">
                  <c:v>19424.563403800661</c:v>
                </c:pt>
                <c:pt idx="27">
                  <c:v>15540.675876426383</c:v>
                </c:pt>
                <c:pt idx="28">
                  <c:v>11958.565688264673</c:v>
                </c:pt>
                <c:pt idx="29">
                  <c:v>9099.8359117588352</c:v>
                </c:pt>
                <c:pt idx="30">
                  <c:v>7363.5031626456439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34666.028177855122</c:v>
                </c:pt>
                <c:pt idx="1">
                  <c:v>34997.061646704133</c:v>
                </c:pt>
                <c:pt idx="2">
                  <c:v>35221.8228134604</c:v>
                </c:pt>
                <c:pt idx="3">
                  <c:v>35478.501386479562</c:v>
                </c:pt>
                <c:pt idx="4">
                  <c:v>35793.199492538304</c:v>
                </c:pt>
                <c:pt idx="5">
                  <c:v>36196.353178118421</c:v>
                </c:pt>
                <c:pt idx="6">
                  <c:v>36716.826677548255</c:v>
                </c:pt>
                <c:pt idx="7">
                  <c:v>37401.666477200524</c:v>
                </c:pt>
                <c:pt idx="8">
                  <c:v>38253.957355493876</c:v>
                </c:pt>
                <c:pt idx="9">
                  <c:v>39235.980838312847</c:v>
                </c:pt>
                <c:pt idx="10">
                  <c:v>40642.221415570879</c:v>
                </c:pt>
                <c:pt idx="11">
                  <c:v>42849.395686402735</c:v>
                </c:pt>
                <c:pt idx="12">
                  <c:v>46069.750128205553</c:v>
                </c:pt>
                <c:pt idx="13">
                  <c:v>50009.441782608577</c:v>
                </c:pt>
                <c:pt idx="14">
                  <c:v>54900.074805273318</c:v>
                </c:pt>
                <c:pt idx="15">
                  <c:v>62027.62419738029</c:v>
                </c:pt>
                <c:pt idx="16">
                  <c:v>73266.909971421119</c:v>
                </c:pt>
                <c:pt idx="17">
                  <c:v>91485.473152411738</c:v>
                </c:pt>
                <c:pt idx="18">
                  <c:v>114865.00900049369</c:v>
                </c:pt>
                <c:pt idx="19">
                  <c:v>100402.72969204199</c:v>
                </c:pt>
                <c:pt idx="20">
                  <c:v>62109.530689738909</c:v>
                </c:pt>
                <c:pt idx="21">
                  <c:v>41149.563614756378</c:v>
                </c:pt>
                <c:pt idx="22">
                  <c:v>30465.72518871339</c:v>
                </c:pt>
                <c:pt idx="23">
                  <c:v>24098.897468555402</c:v>
                </c:pt>
                <c:pt idx="24">
                  <c:v>19487.25144010787</c:v>
                </c:pt>
                <c:pt idx="25">
                  <c:v>15744.674285199657</c:v>
                </c:pt>
                <c:pt idx="26">
                  <c:v>12332.615575106849</c:v>
                </c:pt>
                <c:pt idx="27">
                  <c:v>9703.0102619036406</c:v>
                </c:pt>
                <c:pt idx="28">
                  <c:v>7785.7462295188197</c:v>
                </c:pt>
                <c:pt idx="29">
                  <c:v>6617.2633131586181</c:v>
                </c:pt>
                <c:pt idx="30">
                  <c:v>5954.5896190406684</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34797.326451814064</c:v>
                </c:pt>
                <c:pt idx="1">
                  <c:v>35074.058875315241</c:v>
                </c:pt>
                <c:pt idx="2">
                  <c:v>35335.792502572687</c:v>
                </c:pt>
                <c:pt idx="3">
                  <c:v>35648.785073108134</c:v>
                </c:pt>
                <c:pt idx="4">
                  <c:v>36053.241366665061</c:v>
                </c:pt>
                <c:pt idx="5">
                  <c:v>36567.920534690704</c:v>
                </c:pt>
                <c:pt idx="6">
                  <c:v>37253.799749203179</c:v>
                </c:pt>
                <c:pt idx="7">
                  <c:v>38084.16042336703</c:v>
                </c:pt>
                <c:pt idx="8">
                  <c:v>39058.023148462788</c:v>
                </c:pt>
                <c:pt idx="9">
                  <c:v>40478.506838091969</c:v>
                </c:pt>
                <c:pt idx="10">
                  <c:v>42697.49396452622</c:v>
                </c:pt>
                <c:pt idx="11">
                  <c:v>45887.684673675838</c:v>
                </c:pt>
                <c:pt idx="12">
                  <c:v>49700.208343273407</c:v>
                </c:pt>
                <c:pt idx="13">
                  <c:v>54564.033528008491</c:v>
                </c:pt>
                <c:pt idx="14">
                  <c:v>61572.255640124116</c:v>
                </c:pt>
                <c:pt idx="15">
                  <c:v>72807.073818800985</c:v>
                </c:pt>
                <c:pt idx="16">
                  <c:v>90997.60676294216</c:v>
                </c:pt>
                <c:pt idx="17">
                  <c:v>120797.08126640866</c:v>
                </c:pt>
                <c:pt idx="18">
                  <c:v>115367.62718456863</c:v>
                </c:pt>
                <c:pt idx="19">
                  <c:v>70621.084186990949</c:v>
                </c:pt>
                <c:pt idx="20">
                  <c:v>44841.49237098881</c:v>
                </c:pt>
                <c:pt idx="21">
                  <c:v>32436.618384296831</c:v>
                </c:pt>
                <c:pt idx="22">
                  <c:v>25317.556300277502</c:v>
                </c:pt>
                <c:pt idx="23">
                  <c:v>20412.493332404825</c:v>
                </c:pt>
                <c:pt idx="24">
                  <c:v>16475.315293992826</c:v>
                </c:pt>
                <c:pt idx="25">
                  <c:v>12837.557146385636</c:v>
                </c:pt>
                <c:pt idx="26">
                  <c:v>9958.1711289516224</c:v>
                </c:pt>
                <c:pt idx="27">
                  <c:v>7899.4097290213431</c:v>
                </c:pt>
                <c:pt idx="28">
                  <c:v>6652.9721887134192</c:v>
                </c:pt>
                <c:pt idx="29">
                  <c:v>5973.6728291075488</c:v>
                </c:pt>
                <c:pt idx="30">
                  <c:v>6052.1456326074322</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34840.980191847579</c:v>
                </c:pt>
                <c:pt idx="1">
                  <c:v>35147.858605667992</c:v>
                </c:pt>
                <c:pt idx="2">
                  <c:v>35455.248941939419</c:v>
                </c:pt>
                <c:pt idx="3">
                  <c:v>35843.049308709466</c:v>
                </c:pt>
                <c:pt idx="4">
                  <c:v>36337.422829955613</c:v>
                </c:pt>
                <c:pt idx="5">
                  <c:v>36991.111691131744</c:v>
                </c:pt>
                <c:pt idx="6">
                  <c:v>37791.2030846778</c:v>
                </c:pt>
                <c:pt idx="7">
                  <c:v>38721.089755729445</c:v>
                </c:pt>
                <c:pt idx="8">
                  <c:v>40064.837269566204</c:v>
                </c:pt>
                <c:pt idx="9">
                  <c:v>42164.826015398903</c:v>
                </c:pt>
                <c:pt idx="10">
                  <c:v>45195.411400271332</c:v>
                </c:pt>
                <c:pt idx="11">
                  <c:v>48839.627658958387</c:v>
                </c:pt>
                <c:pt idx="12">
                  <c:v>53406.49840506832</c:v>
                </c:pt>
                <c:pt idx="13">
                  <c:v>59969.104602669831</c:v>
                </c:pt>
                <c:pt idx="14">
                  <c:v>70312.688965351583</c:v>
                </c:pt>
                <c:pt idx="15">
                  <c:v>87260.974737997531</c:v>
                </c:pt>
                <c:pt idx="16">
                  <c:v>119576.31719292165</c:v>
                </c:pt>
                <c:pt idx="17">
                  <c:v>138403.65227466426</c:v>
                </c:pt>
                <c:pt idx="18">
                  <c:v>88153.03770330624</c:v>
                </c:pt>
                <c:pt idx="19">
                  <c:v>52547.96052356992</c:v>
                </c:pt>
                <c:pt idx="20">
                  <c:v>36289.744787703974</c:v>
                </c:pt>
                <c:pt idx="21">
                  <c:v>27684.697868586711</c:v>
                </c:pt>
                <c:pt idx="22">
                  <c:v>22193.197746845115</c:v>
                </c:pt>
                <c:pt idx="23">
                  <c:v>17784.129930243493</c:v>
                </c:pt>
                <c:pt idx="24">
                  <c:v>13912.443981544302</c:v>
                </c:pt>
                <c:pt idx="25">
                  <c:v>10654.838456514535</c:v>
                </c:pt>
                <c:pt idx="26">
                  <c:v>8257.5724652708795</c:v>
                </c:pt>
                <c:pt idx="27">
                  <c:v>6833.7042668009281</c:v>
                </c:pt>
                <c:pt idx="28">
                  <c:v>6060.2156882708014</c:v>
                </c:pt>
                <c:pt idx="29">
                  <c:v>6148.0845203527888</c:v>
                </c:pt>
                <c:pt idx="30">
                  <c:v>5392.9553826933534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34917.832752679686</c:v>
                </c:pt>
                <c:pt idx="1">
                  <c:v>35303.487845402538</c:v>
                </c:pt>
                <c:pt idx="2">
                  <c:v>35712.473852857176</c:v>
                </c:pt>
                <c:pt idx="3">
                  <c:v>36212.635130551927</c:v>
                </c:pt>
                <c:pt idx="4">
                  <c:v>36890.715576588183</c:v>
                </c:pt>
                <c:pt idx="5">
                  <c:v>37671.134312511604</c:v>
                </c:pt>
                <c:pt idx="6">
                  <c:v>38621.872709722964</c:v>
                </c:pt>
                <c:pt idx="7">
                  <c:v>40055.092919232338</c:v>
                </c:pt>
                <c:pt idx="8">
                  <c:v>42270.148519186121</c:v>
                </c:pt>
                <c:pt idx="9">
                  <c:v>45354.940115799174</c:v>
                </c:pt>
                <c:pt idx="10">
                  <c:v>48885.013843677203</c:v>
                </c:pt>
                <c:pt idx="11">
                  <c:v>53626.389601481453</c:v>
                </c:pt>
                <c:pt idx="12">
                  <c:v>60314.657778422916</c:v>
                </c:pt>
                <c:pt idx="13">
                  <c:v>71305.954291660892</c:v>
                </c:pt>
                <c:pt idx="14">
                  <c:v>89062.752954122523</c:v>
                </c:pt>
                <c:pt idx="15">
                  <c:v>133436.42250088815</c:v>
                </c:pt>
                <c:pt idx="16">
                  <c:v>203604.61612385727</c:v>
                </c:pt>
                <c:pt idx="17">
                  <c:v>139860.25163656444</c:v>
                </c:pt>
                <c:pt idx="18">
                  <c:v>71059.309551203638</c:v>
                </c:pt>
                <c:pt idx="19">
                  <c:v>44898.423090412361</c:v>
                </c:pt>
                <c:pt idx="20">
                  <c:v>32788.620662358189</c:v>
                </c:pt>
                <c:pt idx="21">
                  <c:v>26236.366272266579</c:v>
                </c:pt>
                <c:pt idx="22">
                  <c:v>20858.572205702232</c:v>
                </c:pt>
                <c:pt idx="23">
                  <c:v>16042.21651363769</c:v>
                </c:pt>
                <c:pt idx="24">
                  <c:v>11550.631334407477</c:v>
                </c:pt>
                <c:pt idx="25">
                  <c:v>8614.4868003172196</c:v>
                </c:pt>
                <c:pt idx="26">
                  <c:v>6924.6498382639193</c:v>
                </c:pt>
                <c:pt idx="27">
                  <c:v>6112.4139284798675</c:v>
                </c:pt>
                <c:pt idx="28">
                  <c:v>6109.264367767958</c:v>
                </c:pt>
                <c:pt idx="29">
                  <c:v>5360.3544205081589</c:v>
                </c:pt>
                <c:pt idx="30">
                  <c:v>5242.785926565045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35467.998106941195</c:v>
                </c:pt>
                <c:pt idx="1">
                  <c:v>36149.649219296683</c:v>
                </c:pt>
                <c:pt idx="2">
                  <c:v>36882.747721710504</c:v>
                </c:pt>
                <c:pt idx="3">
                  <c:v>37693.748289376927</c:v>
                </c:pt>
                <c:pt idx="4">
                  <c:v>38823.13543850118</c:v>
                </c:pt>
                <c:pt idx="5">
                  <c:v>40586.472204122598</c:v>
                </c:pt>
                <c:pt idx="6">
                  <c:v>43161.350396815615</c:v>
                </c:pt>
                <c:pt idx="7">
                  <c:v>46327.122216348856</c:v>
                </c:pt>
                <c:pt idx="8">
                  <c:v>50078.283804050654</c:v>
                </c:pt>
                <c:pt idx="9">
                  <c:v>55437.010109081355</c:v>
                </c:pt>
                <c:pt idx="10">
                  <c:v>63429.748726131307</c:v>
                </c:pt>
                <c:pt idx="11">
                  <c:v>76500.545077312359</c:v>
                </c:pt>
                <c:pt idx="12">
                  <c:v>102832.50670688276</c:v>
                </c:pt>
                <c:pt idx="13">
                  <c:v>205333.62901375972</c:v>
                </c:pt>
                <c:pt idx="14">
                  <c:v>-766983.75966674357</c:v>
                </c:pt>
                <c:pt idx="15">
                  <c:v>-129819.8878875455</c:v>
                </c:pt>
                <c:pt idx="16">
                  <c:v>-106060.89531759307</c:v>
                </c:pt>
                <c:pt idx="17">
                  <c:v>-143209.73106030768</c:v>
                </c:pt>
                <c:pt idx="18">
                  <c:v>-190378.90297149163</c:v>
                </c:pt>
                <c:pt idx="19">
                  <c:v>-120163.5460193773</c:v>
                </c:pt>
                <c:pt idx="20">
                  <c:v>-103406.26133775656</c:v>
                </c:pt>
                <c:pt idx="21">
                  <c:v>788799.94230489223</c:v>
                </c:pt>
                <c:pt idx="22">
                  <c:v>25501.256337608618</c:v>
                </c:pt>
                <c:pt idx="23">
                  <c:v>11848.139886045228</c:v>
                </c:pt>
                <c:pt idx="24">
                  <c:v>8069.3726270280786</c:v>
                </c:pt>
                <c:pt idx="25">
                  <c:v>6583.2549455762382</c:v>
                </c:pt>
                <c:pt idx="26">
                  <c:v>6271.1033827227493</c:v>
                </c:pt>
                <c:pt idx="27">
                  <c:v>6008.6197942820208</c:v>
                </c:pt>
                <c:pt idx="28">
                  <c:v>5274.3522115961614</c:v>
                </c:pt>
                <c:pt idx="29">
                  <c:v>5453.9331974213164</c:v>
                </c:pt>
                <c:pt idx="30">
                  <c:v>5425.0167361766289</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36613.175027170117</c:v>
                </c:pt>
                <c:pt idx="1">
                  <c:v>37719.130636544782</c:v>
                </c:pt>
                <c:pt idx="2">
                  <c:v>39112.639260552067</c:v>
                </c:pt>
                <c:pt idx="3">
                  <c:v>41195.711408740332</c:v>
                </c:pt>
                <c:pt idx="4">
                  <c:v>43992.88139873631</c:v>
                </c:pt>
                <c:pt idx="5">
                  <c:v>47093.514749392816</c:v>
                </c:pt>
                <c:pt idx="6">
                  <c:v>51369.802194265452</c:v>
                </c:pt>
                <c:pt idx="7">
                  <c:v>57280.978649775403</c:v>
                </c:pt>
                <c:pt idx="8">
                  <c:v>66939.343124608451</c:v>
                </c:pt>
                <c:pt idx="9">
                  <c:v>82156.835709285646</c:v>
                </c:pt>
                <c:pt idx="10">
                  <c:v>125130.09060491156</c:v>
                </c:pt>
                <c:pt idx="11">
                  <c:v>393968.45550858084</c:v>
                </c:pt>
                <c:pt idx="12">
                  <c:v>-182968.36372437744</c:v>
                </c:pt>
                <c:pt idx="13">
                  <c:v>-58038.930856563493</c:v>
                </c:pt>
                <c:pt idx="14">
                  <c:v>-28561.624356700439</c:v>
                </c:pt>
                <c:pt idx="15">
                  <c:v>-17991.662663521711</c:v>
                </c:pt>
                <c:pt idx="16">
                  <c:v>-12308.033361944235</c:v>
                </c:pt>
                <c:pt idx="17">
                  <c:v>-8990.5523422893457</c:v>
                </c:pt>
                <c:pt idx="18">
                  <c:v>-6979.151599176872</c:v>
                </c:pt>
                <c:pt idx="19">
                  <c:v>-7641.576358517259</c:v>
                </c:pt>
                <c:pt idx="20">
                  <c:v>-13253.756265997315</c:v>
                </c:pt>
                <c:pt idx="21">
                  <c:v>479399.51786104322</c:v>
                </c:pt>
                <c:pt idx="22">
                  <c:v>14735.961049907772</c:v>
                </c:pt>
                <c:pt idx="23">
                  <c:v>8398.2155471605311</c:v>
                </c:pt>
                <c:pt idx="24">
                  <c:v>7893.3041777229164</c:v>
                </c:pt>
                <c:pt idx="25">
                  <c:v>6030.4506745317494</c:v>
                </c:pt>
                <c:pt idx="26">
                  <c:v>5800.3236912066841</c:v>
                </c:pt>
                <c:pt idx="27">
                  <c:v>5272.7932305771392</c:v>
                </c:pt>
                <c:pt idx="28">
                  <c:v>5227.7038431091396</c:v>
                </c:pt>
                <c:pt idx="29">
                  <c:v>5010.2000515621148</c:v>
                </c:pt>
                <c:pt idx="30">
                  <c:v>4955.0527168058534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574552792"/>
        <c:axId val="5745543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5745527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4554360"/>
        <c:crosses val="autoZero"/>
        <c:crossBetween val="midCat"/>
        <c:majorUnit val="10000"/>
      </c:valAx>
      <c:valAx>
        <c:axId val="57455436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455279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0.35838380679488008</c:v>
                </c:pt>
                <c:pt idx="1">
                  <c:v>0.35973385600394481</c:v>
                </c:pt>
                <c:pt idx="2">
                  <c:v>0.36425943392023874</c:v>
                </c:pt>
                <c:pt idx="3">
                  <c:v>0.36747692558330908</c:v>
                </c:pt>
                <c:pt idx="4">
                  <c:v>0.37055741259230257</c:v>
                </c:pt>
                <c:pt idx="5">
                  <c:v>0.37403658748638291</c:v>
                </c:pt>
                <c:pt idx="6">
                  <c:v>0.37780988550838707</c:v>
                </c:pt>
                <c:pt idx="7">
                  <c:v>0.38229366156606043</c:v>
                </c:pt>
                <c:pt idx="8">
                  <c:v>0.38714793479699583</c:v>
                </c:pt>
                <c:pt idx="9">
                  <c:v>0.39284080335546639</c:v>
                </c:pt>
                <c:pt idx="10">
                  <c:v>0.39820228532128149</c:v>
                </c:pt>
                <c:pt idx="11">
                  <c:v>0.40419754171480554</c:v>
                </c:pt>
                <c:pt idx="12">
                  <c:v>0.41197142747368148</c:v>
                </c:pt>
                <c:pt idx="13">
                  <c:v>0.42127109648123673</c:v>
                </c:pt>
                <c:pt idx="14">
                  <c:v>0.43066591167781881</c:v>
                </c:pt>
                <c:pt idx="15">
                  <c:v>0.43872455322602888</c:v>
                </c:pt>
                <c:pt idx="16">
                  <c:v>0.44751540902901149</c:v>
                </c:pt>
                <c:pt idx="17">
                  <c:v>0.45653454958317952</c:v>
                </c:pt>
                <c:pt idx="18">
                  <c:v>0.46665345435608369</c:v>
                </c:pt>
                <c:pt idx="19">
                  <c:v>0.47606445136485304</c:v>
                </c:pt>
                <c:pt idx="20">
                  <c:v>0.48363156881001584</c:v>
                </c:pt>
                <c:pt idx="21">
                  <c:v>0.47926095206608155</c:v>
                </c:pt>
                <c:pt idx="22">
                  <c:v>0.46871648569178925</c:v>
                </c:pt>
                <c:pt idx="23">
                  <c:v>0.45939424380944682</c:v>
                </c:pt>
                <c:pt idx="24">
                  <c:v>0.45487917075722717</c:v>
                </c:pt>
                <c:pt idx="25">
                  <c:v>0.45448844165774627</c:v>
                </c:pt>
                <c:pt idx="26">
                  <c:v>0.45806405575576176</c:v>
                </c:pt>
                <c:pt idx="27">
                  <c:v>0.46176743924726721</c:v>
                </c:pt>
                <c:pt idx="28">
                  <c:v>0.46407626185161299</c:v>
                </c:pt>
                <c:pt idx="29">
                  <c:v>0.46242138332519567</c:v>
                </c:pt>
                <c:pt idx="30">
                  <c:v>0.46034411615547138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0.36028838462663804</c:v>
                </c:pt>
                <c:pt idx="1">
                  <c:v>0.36551334678732439</c:v>
                </c:pt>
                <c:pt idx="2">
                  <c:v>0.36860899628065208</c:v>
                </c:pt>
                <c:pt idx="3">
                  <c:v>0.37181134473842686</c:v>
                </c:pt>
                <c:pt idx="4">
                  <c:v>0.3753339247402675</c:v>
                </c:pt>
                <c:pt idx="5">
                  <c:v>0.37934720323325882</c:v>
                </c:pt>
                <c:pt idx="6">
                  <c:v>0.38388227636201189</c:v>
                </c:pt>
                <c:pt idx="7">
                  <c:v>0.38904917420296076</c:v>
                </c:pt>
                <c:pt idx="8">
                  <c:v>0.39453547475634143</c:v>
                </c:pt>
                <c:pt idx="9">
                  <c:v>0.39995017463776011</c:v>
                </c:pt>
                <c:pt idx="10">
                  <c:v>0.40650658083940183</c:v>
                </c:pt>
                <c:pt idx="11">
                  <c:v>0.41482857695561959</c:v>
                </c:pt>
                <c:pt idx="12">
                  <c:v>0.42419200044064814</c:v>
                </c:pt>
                <c:pt idx="13">
                  <c:v>0.43286493755864519</c:v>
                </c:pt>
                <c:pt idx="14">
                  <c:v>0.44102553870001548</c:v>
                </c:pt>
                <c:pt idx="15">
                  <c:v>0.4497403355524679</c:v>
                </c:pt>
                <c:pt idx="16">
                  <c:v>0.45912084963453315</c:v>
                </c:pt>
                <c:pt idx="17">
                  <c:v>0.46861924150797574</c:v>
                </c:pt>
                <c:pt idx="18">
                  <c:v>0.47644703096260549</c:v>
                </c:pt>
                <c:pt idx="19">
                  <c:v>0.47579580311194469</c:v>
                </c:pt>
                <c:pt idx="20">
                  <c:v>0.4661428767637355</c:v>
                </c:pt>
                <c:pt idx="21">
                  <c:v>0.45641610064093491</c:v>
                </c:pt>
                <c:pt idx="22">
                  <c:v>0.45037879088264704</c:v>
                </c:pt>
                <c:pt idx="23">
                  <c:v>0.44857730343346808</c:v>
                </c:pt>
                <c:pt idx="24">
                  <c:v>0.45039691449755109</c:v>
                </c:pt>
                <c:pt idx="25">
                  <c:v>0.4547391461762797</c:v>
                </c:pt>
                <c:pt idx="26">
                  <c:v>0.45813700672303026</c:v>
                </c:pt>
                <c:pt idx="27">
                  <c:v>0.46034755023832175</c:v>
                </c:pt>
                <c:pt idx="28">
                  <c:v>0.45923343675614919</c:v>
                </c:pt>
                <c:pt idx="29">
                  <c:v>0.4574956935544639</c:v>
                </c:pt>
                <c:pt idx="30">
                  <c:v>0.4557226420665601</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0.3648775153391467</c:v>
                </c:pt>
                <c:pt idx="1">
                  <c:v>0.36872651464761408</c:v>
                </c:pt>
                <c:pt idx="2">
                  <c:v>0.37201899649368492</c:v>
                </c:pt>
                <c:pt idx="3">
                  <c:v>0.37555222681006373</c:v>
                </c:pt>
                <c:pt idx="4">
                  <c:v>0.37961637266884612</c:v>
                </c:pt>
                <c:pt idx="5">
                  <c:v>0.38414209427020868</c:v>
                </c:pt>
                <c:pt idx="6">
                  <c:v>0.38936177519064136</c:v>
                </c:pt>
                <c:pt idx="7">
                  <c:v>0.39475071297896575</c:v>
                </c:pt>
                <c:pt idx="8">
                  <c:v>0.40016948743553066</c:v>
                </c:pt>
                <c:pt idx="9">
                  <c:v>0.40683552493690633</c:v>
                </c:pt>
                <c:pt idx="10">
                  <c:v>0.41522290189774796</c:v>
                </c:pt>
                <c:pt idx="11">
                  <c:v>0.42450775511580852</c:v>
                </c:pt>
                <c:pt idx="12">
                  <c:v>0.43293879132882163</c:v>
                </c:pt>
                <c:pt idx="13">
                  <c:v>0.44111481929528495</c:v>
                </c:pt>
                <c:pt idx="14">
                  <c:v>0.44975021668113502</c:v>
                </c:pt>
                <c:pt idx="15">
                  <c:v>0.45919081078856472</c:v>
                </c:pt>
                <c:pt idx="16">
                  <c:v>0.46867898577455741</c:v>
                </c:pt>
                <c:pt idx="17">
                  <c:v>0.4777292935699185</c:v>
                </c:pt>
                <c:pt idx="18">
                  <c:v>0.47890581932053905</c:v>
                </c:pt>
                <c:pt idx="19">
                  <c:v>0.47018209005299078</c:v>
                </c:pt>
                <c:pt idx="20">
                  <c:v>0.46006857244030303</c:v>
                </c:pt>
                <c:pt idx="21">
                  <c:v>0.45372431732664237</c:v>
                </c:pt>
                <c:pt idx="22">
                  <c:v>0.45168069672075539</c:v>
                </c:pt>
                <c:pt idx="23">
                  <c:v>0.45362629773170682</c:v>
                </c:pt>
                <c:pt idx="24">
                  <c:v>0.4577537507866471</c:v>
                </c:pt>
                <c:pt idx="25">
                  <c:v>0.46080456768919881</c:v>
                </c:pt>
                <c:pt idx="26">
                  <c:v>0.46201535639321245</c:v>
                </c:pt>
                <c:pt idx="27">
                  <c:v>0.46033481854264419</c:v>
                </c:pt>
                <c:pt idx="28">
                  <c:v>0.45793672709192801</c:v>
                </c:pt>
                <c:pt idx="29">
                  <c:v>0.45609373652528001</c:v>
                </c:pt>
                <c:pt idx="30">
                  <c:v>0.45838211301197068</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0.36772353617229347</c:v>
                </c:pt>
                <c:pt idx="1">
                  <c:v>0.37169055045127536</c:v>
                </c:pt>
                <c:pt idx="2">
                  <c:v>0.37525907034309502</c:v>
                </c:pt>
                <c:pt idx="3">
                  <c:v>0.37926886651959046</c:v>
                </c:pt>
                <c:pt idx="4">
                  <c:v>0.38374864590877444</c:v>
                </c:pt>
                <c:pt idx="5">
                  <c:v>0.38888081210482256</c:v>
                </c:pt>
                <c:pt idx="6">
                  <c:v>0.39424009445406455</c:v>
                </c:pt>
                <c:pt idx="7">
                  <c:v>0.39958047778219347</c:v>
                </c:pt>
                <c:pt idx="8">
                  <c:v>0.40610185336800314</c:v>
                </c:pt>
                <c:pt idx="9">
                  <c:v>0.41433723816676959</c:v>
                </c:pt>
                <c:pt idx="10">
                  <c:v>0.42351986227203497</c:v>
                </c:pt>
                <c:pt idx="11">
                  <c:v>0.43193226082392383</c:v>
                </c:pt>
                <c:pt idx="12">
                  <c:v>0.43998342231635351</c:v>
                </c:pt>
                <c:pt idx="13">
                  <c:v>0.44853245856993046</c:v>
                </c:pt>
                <c:pt idx="14">
                  <c:v>0.4578344539582031</c:v>
                </c:pt>
                <c:pt idx="15">
                  <c:v>0.46739565118170207</c:v>
                </c:pt>
                <c:pt idx="16">
                  <c:v>0.47743002550768654</c:v>
                </c:pt>
                <c:pt idx="17">
                  <c:v>0.48214704534230501</c:v>
                </c:pt>
                <c:pt idx="18">
                  <c:v>0.47556880518384614</c:v>
                </c:pt>
                <c:pt idx="19">
                  <c:v>0.46518728700636519</c:v>
                </c:pt>
                <c:pt idx="20">
                  <c:v>0.45783908584298932</c:v>
                </c:pt>
                <c:pt idx="21">
                  <c:v>0.45502383529539681</c:v>
                </c:pt>
                <c:pt idx="22">
                  <c:v>0.45655111210498855</c:v>
                </c:pt>
                <c:pt idx="23">
                  <c:v>0.46020525544075847</c:v>
                </c:pt>
                <c:pt idx="24">
                  <c:v>0.4632180746937602</c:v>
                </c:pt>
                <c:pt idx="25">
                  <c:v>0.46408430852817278</c:v>
                </c:pt>
                <c:pt idx="26">
                  <c:v>0.4617277127579979</c:v>
                </c:pt>
                <c:pt idx="27">
                  <c:v>0.45887854888442553</c:v>
                </c:pt>
                <c:pt idx="28">
                  <c:v>0.45656652839242512</c:v>
                </c:pt>
                <c:pt idx="29">
                  <c:v>0.45894196671443471</c:v>
                </c:pt>
                <c:pt idx="30">
                  <c:v>0.45446027499365732</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0.37135196866098397</c:v>
                </c:pt>
                <c:pt idx="1">
                  <c:v>0.37587658444602068</c:v>
                </c:pt>
                <c:pt idx="2">
                  <c:v>0.3801039402061217</c:v>
                </c:pt>
                <c:pt idx="3">
                  <c:v>0.38461972133633926</c:v>
                </c:pt>
                <c:pt idx="4">
                  <c:v>0.38991073580009411</c:v>
                </c:pt>
                <c:pt idx="5">
                  <c:v>0.39510090268064674</c:v>
                </c:pt>
                <c:pt idx="6">
                  <c:v>0.40052898358636796</c:v>
                </c:pt>
                <c:pt idx="7">
                  <c:v>0.40739216347610302</c:v>
                </c:pt>
                <c:pt idx="8">
                  <c:v>0.41587038914469615</c:v>
                </c:pt>
                <c:pt idx="9">
                  <c:v>0.42494471599010691</c:v>
                </c:pt>
                <c:pt idx="10">
                  <c:v>0.43289880801791031</c:v>
                </c:pt>
                <c:pt idx="11">
                  <c:v>0.44107213572186915</c:v>
                </c:pt>
                <c:pt idx="12">
                  <c:v>0.4495427941083483</c:v>
                </c:pt>
                <c:pt idx="13">
                  <c:v>0.45904702590321128</c:v>
                </c:pt>
                <c:pt idx="14">
                  <c:v>0.46851266980529332</c:v>
                </c:pt>
                <c:pt idx="15">
                  <c:v>0.48009295739449714</c:v>
                </c:pt>
                <c:pt idx="16">
                  <c:v>0.48794927898325791</c:v>
                </c:pt>
                <c:pt idx="17">
                  <c:v>0.48463847077054373</c:v>
                </c:pt>
                <c:pt idx="18">
                  <c:v>0.47443900021245033</c:v>
                </c:pt>
                <c:pt idx="19">
                  <c:v>0.46658682178895905</c:v>
                </c:pt>
                <c:pt idx="20">
                  <c:v>0.46329825643703054</c:v>
                </c:pt>
                <c:pt idx="21">
                  <c:v>0.4651849592833307</c:v>
                </c:pt>
                <c:pt idx="22">
                  <c:v>0.46805516994460156</c:v>
                </c:pt>
                <c:pt idx="23">
                  <c:v>0.4701026195487733</c:v>
                </c:pt>
                <c:pt idx="24">
                  <c:v>0.46821997650776159</c:v>
                </c:pt>
                <c:pt idx="25">
                  <c:v>0.46444649899659002</c:v>
                </c:pt>
                <c:pt idx="26">
                  <c:v>0.45992204792334274</c:v>
                </c:pt>
                <c:pt idx="27">
                  <c:v>0.45747793164794792</c:v>
                </c:pt>
                <c:pt idx="28">
                  <c:v>0.45892018839938492</c:v>
                </c:pt>
                <c:pt idx="29">
                  <c:v>0.45440159633475208</c:v>
                </c:pt>
                <c:pt idx="30">
                  <c:v>0.45554987375755057</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0.38122633445645365</c:v>
                </c:pt>
                <c:pt idx="1">
                  <c:v>0.38717911160487373</c:v>
                </c:pt>
                <c:pt idx="2">
                  <c:v>0.39259455292364132</c:v>
                </c:pt>
                <c:pt idx="3">
                  <c:v>0.39773344452807546</c:v>
                </c:pt>
                <c:pt idx="4">
                  <c:v>0.40382664273908159</c:v>
                </c:pt>
                <c:pt idx="5">
                  <c:v>0.41159715661381913</c:v>
                </c:pt>
                <c:pt idx="6">
                  <c:v>0.42045500199021735</c:v>
                </c:pt>
                <c:pt idx="7">
                  <c:v>0.42881302214162315</c:v>
                </c:pt>
                <c:pt idx="8">
                  <c:v>0.43647362989224481</c:v>
                </c:pt>
                <c:pt idx="9">
                  <c:v>0.44474844849957434</c:v>
                </c:pt>
                <c:pt idx="10">
                  <c:v>0.45357778645438318</c:v>
                </c:pt>
                <c:pt idx="11">
                  <c:v>0.46306131689688862</c:v>
                </c:pt>
                <c:pt idx="12">
                  <c:v>0.47373782383827473</c:v>
                </c:pt>
                <c:pt idx="13">
                  <c:v>0.48758169808931417</c:v>
                </c:pt>
                <c:pt idx="14">
                  <c:v>0.50310643815336931</c:v>
                </c:pt>
                <c:pt idx="15">
                  <c:v>0.51658862323846666</c:v>
                </c:pt>
                <c:pt idx="16">
                  <c:v>0.51720843073983536</c:v>
                </c:pt>
                <c:pt idx="17">
                  <c:v>0.51017575948466487</c:v>
                </c:pt>
                <c:pt idx="18">
                  <c:v>0.50582160912284546</c:v>
                </c:pt>
                <c:pt idx="19">
                  <c:v>0.5066484460663927</c:v>
                </c:pt>
                <c:pt idx="20">
                  <c:v>0.5055053277790601</c:v>
                </c:pt>
                <c:pt idx="21">
                  <c:v>0.49947526667723435</c:v>
                </c:pt>
                <c:pt idx="22">
                  <c:v>0.48688429833428043</c:v>
                </c:pt>
                <c:pt idx="23">
                  <c:v>0.47548224500669206</c:v>
                </c:pt>
                <c:pt idx="24">
                  <c:v>0.46653792209595674</c:v>
                </c:pt>
                <c:pt idx="25">
                  <c:v>0.46126691593009234</c:v>
                </c:pt>
                <c:pt idx="26">
                  <c:v>0.46028335336047083</c:v>
                </c:pt>
                <c:pt idx="27">
                  <c:v>0.45995082275255211</c:v>
                </c:pt>
                <c:pt idx="28">
                  <c:v>0.45657920379810507</c:v>
                </c:pt>
                <c:pt idx="29">
                  <c:v>0.45822642070522906</c:v>
                </c:pt>
                <c:pt idx="30">
                  <c:v>0.45803065456910486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0.39312470593475485</c:v>
                </c:pt>
                <c:pt idx="1">
                  <c:v>0.39997154090170706</c:v>
                </c:pt>
                <c:pt idx="2">
                  <c:v>0.40704695284422476</c:v>
                </c:pt>
                <c:pt idx="3">
                  <c:v>0.41547685034906867</c:v>
                </c:pt>
                <c:pt idx="4">
                  <c:v>0.4242093341084035</c:v>
                </c:pt>
                <c:pt idx="5">
                  <c:v>0.43171099632122528</c:v>
                </c:pt>
                <c:pt idx="6">
                  <c:v>0.43971569744222083</c:v>
                </c:pt>
                <c:pt idx="7">
                  <c:v>0.44793923854222562</c:v>
                </c:pt>
                <c:pt idx="8">
                  <c:v>0.45727306536036322</c:v>
                </c:pt>
                <c:pt idx="9">
                  <c:v>0.46656409570085849</c:v>
                </c:pt>
                <c:pt idx="10">
                  <c:v>0.47919316998297057</c:v>
                </c:pt>
                <c:pt idx="11">
                  <c:v>0.49377444857371444</c:v>
                </c:pt>
                <c:pt idx="12">
                  <c:v>0.51244390530584494</c:v>
                </c:pt>
                <c:pt idx="13">
                  <c:v>0.53576382406051382</c:v>
                </c:pt>
                <c:pt idx="14">
                  <c:v>0.56351844280056718</c:v>
                </c:pt>
                <c:pt idx="15">
                  <c:v>0.58135533828128505</c:v>
                </c:pt>
                <c:pt idx="16">
                  <c:v>0.58688031772689531</c:v>
                </c:pt>
                <c:pt idx="17">
                  <c:v>0.58367199641939194</c:v>
                </c:pt>
                <c:pt idx="18">
                  <c:v>0.57526012571467267</c:v>
                </c:pt>
                <c:pt idx="19">
                  <c:v>0.55189027863209716</c:v>
                </c:pt>
                <c:pt idx="20">
                  <c:v>0.52444961577665794</c:v>
                </c:pt>
                <c:pt idx="21">
                  <c:v>0.49939446599245768</c:v>
                </c:pt>
                <c:pt idx="22">
                  <c:v>0.4818723587506899</c:v>
                </c:pt>
                <c:pt idx="23">
                  <c:v>0.46967385086540542</c:v>
                </c:pt>
                <c:pt idx="24">
                  <c:v>0.46841492116455813</c:v>
                </c:pt>
                <c:pt idx="25">
                  <c:v>0.46118675839838164</c:v>
                </c:pt>
                <c:pt idx="26">
                  <c:v>0.46042459746021003</c:v>
                </c:pt>
                <c:pt idx="27">
                  <c:v>0.45677095641974985</c:v>
                </c:pt>
                <c:pt idx="28">
                  <c:v>0.4564396952992113</c:v>
                </c:pt>
                <c:pt idx="29">
                  <c:v>0.45478895553259585</c:v>
                </c:pt>
                <c:pt idx="30">
                  <c:v>0.4543913965614062</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574551616"/>
        <c:axId val="5826177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745516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82617752"/>
        <c:crosses val="autoZero"/>
        <c:crossBetween val="midCat"/>
        <c:majorUnit val="10000"/>
      </c:valAx>
      <c:valAx>
        <c:axId val="58261775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57455161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582618536"/>
        <c:axId val="5826189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58261853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2618928"/>
        <c:crosses val="autoZero"/>
        <c:crossBetween val="midCat"/>
        <c:majorUnit val="10000"/>
      </c:valAx>
      <c:valAx>
        <c:axId val="582618928"/>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2618536"/>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7.6732515937233889E-3</c:v>
                </c:pt>
                <c:pt idx="1">
                  <c:v>1.0207215439925055E-2</c:v>
                </c:pt>
                <c:pt idx="2">
                  <c:v>2.7729154295540359E-3</c:v>
                </c:pt>
                <c:pt idx="3">
                  <c:v>4.6476900789000676E-4</c:v>
                </c:pt>
                <c:pt idx="4">
                  <c:v>6.8201344782241907E-5</c:v>
                </c:pt>
                <c:pt idx="5">
                  <c:v>1.4125890646451963E-5</c:v>
                </c:pt>
                <c:pt idx="6">
                  <c:v>1.8926108633862514E-5</c:v>
                </c:pt>
                <c:pt idx="7">
                  <c:v>5.2956686766965087E-5</c:v>
                </c:pt>
                <c:pt idx="8">
                  <c:v>1.3473890656905173E-4</c:v>
                </c:pt>
                <c:pt idx="9">
                  <c:v>2.886837968063547E-4</c:v>
                </c:pt>
                <c:pt idx="10">
                  <c:v>5.155596281567861E-4</c:v>
                </c:pt>
                <c:pt idx="11">
                  <c:v>7.7744789494708271E-4</c:v>
                </c:pt>
                <c:pt idx="12">
                  <c:v>9.9621501199005842E-4</c:v>
                </c:pt>
                <c:pt idx="13">
                  <c:v>1.0945578748763603E-3</c:v>
                </c:pt>
                <c:pt idx="14">
                  <c:v>1.0300040091653423E-3</c:v>
                </c:pt>
                <c:pt idx="15">
                  <c:v>8.4624598733326097E-4</c:v>
                </c:pt>
                <c:pt idx="16">
                  <c:v>6.130903581230122E-4</c:v>
                </c:pt>
                <c:pt idx="17">
                  <c:v>4.0200584282689349E-4</c:v>
                </c:pt>
                <c:pt idx="18">
                  <c:v>2.3403194128031641E-4</c:v>
                </c:pt>
                <c:pt idx="19">
                  <c:v>1.1844906576751714E-4</c:v>
                </c:pt>
                <c:pt idx="20">
                  <c:v>4.9453354674110152E-5</c:v>
                </c:pt>
                <c:pt idx="21">
                  <c:v>1.4056771425881289E-5</c:v>
                </c:pt>
                <c:pt idx="22">
                  <c:v>2.2380332849861048E-6</c:v>
                </c:pt>
                <c:pt idx="23">
                  <c:v>8.6727933482431715E-6</c:v>
                </c:pt>
                <c:pt idx="24">
                  <c:v>5.7014866763568871E-6</c:v>
                </c:pt>
                <c:pt idx="25">
                  <c:v>1.9197065769575972E-6</c:v>
                </c:pt>
                <c:pt idx="26">
                  <c:v>1.1225833927297709E-6</c:v>
                </c:pt>
                <c:pt idx="27">
                  <c:v>2.5913618289530839E-6</c:v>
                </c:pt>
                <c:pt idx="28">
                  <c:v>1.3685546307563024E-5</c:v>
                </c:pt>
                <c:pt idx="29">
                  <c:v>7.7596229225258289E-6</c:v>
                </c:pt>
                <c:pt idx="30">
                  <c:v>2.3780721769955602E-6</c:v>
                </c:pt>
              </c:numCache>
            </c:numRef>
          </c:yVal>
          <c:smooth val="1"/>
        </c:ser>
        <c:dLbls>
          <c:showLegendKey val="0"/>
          <c:showVal val="0"/>
          <c:showCatName val="0"/>
          <c:showSerName val="0"/>
          <c:showPercent val="0"/>
          <c:showBubbleSize val="0"/>
        </c:dLbls>
        <c:axId val="582766600"/>
        <c:axId val="572648864"/>
      </c:scatterChart>
      <c:valAx>
        <c:axId val="5827666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2648864"/>
        <c:crossesAt val="-1.5000000000000005E-3"/>
        <c:crossBetween val="midCat"/>
      </c:valAx>
      <c:valAx>
        <c:axId val="57264886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8276660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9751.6351392988254</c:v>
                </c:pt>
                <c:pt idx="1">
                  <c:v>9652.1391232032292</c:v>
                </c:pt>
                <c:pt idx="2">
                  <c:v>9281.7180256624815</c:v>
                </c:pt>
                <c:pt idx="3">
                  <c:v>9056.9976227104416</c:v>
                </c:pt>
                <c:pt idx="4">
                  <c:v>8765.299766757651</c:v>
                </c:pt>
                <c:pt idx="5">
                  <c:v>8497.7161098855486</c:v>
                </c:pt>
                <c:pt idx="6">
                  <c:v>8229.0711647126773</c:v>
                </c:pt>
                <c:pt idx="7">
                  <c:v>7907.4163512592058</c:v>
                </c:pt>
                <c:pt idx="8">
                  <c:v>7533.935348244443</c:v>
                </c:pt>
                <c:pt idx="9">
                  <c:v>7168.9320785628051</c:v>
                </c:pt>
                <c:pt idx="10">
                  <c:v>6864.1655361567664</c:v>
                </c:pt>
                <c:pt idx="11">
                  <c:v>6583.7344307840567</c:v>
                </c:pt>
                <c:pt idx="12">
                  <c:v>6292.2129542161265</c:v>
                </c:pt>
                <c:pt idx="13">
                  <c:v>6010.8834707123797</c:v>
                </c:pt>
                <c:pt idx="14">
                  <c:v>5723.0554654011139</c:v>
                </c:pt>
                <c:pt idx="15">
                  <c:v>5388.6597565887823</c:v>
                </c:pt>
                <c:pt idx="16">
                  <c:v>4943.8744859160688</c:v>
                </c:pt>
                <c:pt idx="17">
                  <c:v>4343.1402640345814</c:v>
                </c:pt>
                <c:pt idx="18">
                  <c:v>3694.8057794181282</c:v>
                </c:pt>
                <c:pt idx="19">
                  <c:v>3069.1194418123946</c:v>
                </c:pt>
                <c:pt idx="20">
                  <c:v>2467.0432631801045</c:v>
                </c:pt>
                <c:pt idx="21">
                  <c:v>1870.2751362086153</c:v>
                </c:pt>
                <c:pt idx="22">
                  <c:v>1361.6484908850471</c:v>
                </c:pt>
                <c:pt idx="23">
                  <c:v>978.74002337824174</c:v>
                </c:pt>
                <c:pt idx="24">
                  <c:v>750.05401219655585</c:v>
                </c:pt>
                <c:pt idx="25">
                  <c:v>627.42048415632428</c:v>
                </c:pt>
                <c:pt idx="26">
                  <c:v>570.28826959871242</c:v>
                </c:pt>
                <c:pt idx="27">
                  <c:v>534.98952613647634</c:v>
                </c:pt>
                <c:pt idx="28">
                  <c:v>516.07524359775789</c:v>
                </c:pt>
                <c:pt idx="29">
                  <c:v>504.1696364389806</c:v>
                </c:pt>
                <c:pt idx="30">
                  <c:v>480.31732812659607</c:v>
                </c:pt>
              </c:numCache>
            </c:numRef>
          </c:yVal>
          <c:smooth val="1"/>
        </c:ser>
        <c:dLbls>
          <c:showLegendKey val="0"/>
          <c:showVal val="0"/>
          <c:showCatName val="0"/>
          <c:showSerName val="0"/>
          <c:showPercent val="0"/>
          <c:showBubbleSize val="0"/>
        </c:dLbls>
        <c:axId val="572649256"/>
        <c:axId val="572646120"/>
      </c:scatterChart>
      <c:valAx>
        <c:axId val="5726492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2646120"/>
        <c:crosses val="autoZero"/>
        <c:crossBetween val="midCat"/>
      </c:valAx>
      <c:valAx>
        <c:axId val="5726461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264925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7.1984759526684469E-2</c:v>
                </c:pt>
                <c:pt idx="1">
                  <c:v>9.4720167842551536E-2</c:v>
                </c:pt>
                <c:pt idx="2">
                  <c:v>6.8742981952313126E-2</c:v>
                </c:pt>
                <c:pt idx="3">
                  <c:v>5.0237550215404617E-2</c:v>
                </c:pt>
                <c:pt idx="4">
                  <c:v>3.233001870294324E-2</c:v>
                </c:pt>
                <c:pt idx="5">
                  <c:v>1.2938287487021515E-2</c:v>
                </c:pt>
                <c:pt idx="6">
                  <c:v>1.6632437803361429E-3</c:v>
                </c:pt>
                <c:pt idx="7">
                  <c:v>1.4276542222516208E-2</c:v>
                </c:pt>
                <c:pt idx="8">
                  <c:v>9.8977694981135459E-3</c:v>
                </c:pt>
                <c:pt idx="9">
                  <c:v>9.9180240107556664E-3</c:v>
                </c:pt>
                <c:pt idx="10">
                  <c:v>1.0178243207198923E-2</c:v>
                </c:pt>
                <c:pt idx="11">
                  <c:v>8.7754823216988215E-3</c:v>
                </c:pt>
                <c:pt idx="12">
                  <c:v>6.233573122076016E-3</c:v>
                </c:pt>
                <c:pt idx="13">
                  <c:v>4.9186478182113693E-3</c:v>
                </c:pt>
                <c:pt idx="14">
                  <c:v>5.225536261595159E-3</c:v>
                </c:pt>
                <c:pt idx="15">
                  <c:v>7.0170707598860918E-3</c:v>
                </c:pt>
                <c:pt idx="16">
                  <c:v>4.7814629065295201E-3</c:v>
                </c:pt>
                <c:pt idx="17">
                  <c:v>5.9470616918793776E-3</c:v>
                </c:pt>
                <c:pt idx="18">
                  <c:v>2.2957453012133733E-3</c:v>
                </c:pt>
                <c:pt idx="19">
                  <c:v>1.3867879178573043E-3</c:v>
                </c:pt>
                <c:pt idx="20">
                  <c:v>1.9484164534029486E-2</c:v>
                </c:pt>
                <c:pt idx="21">
                  <c:v>5.2453026577430326E-2</c:v>
                </c:pt>
                <c:pt idx="22">
                  <c:v>7.3719410678094913E-2</c:v>
                </c:pt>
                <c:pt idx="23">
                  <c:v>7.4238705976620065E-2</c:v>
                </c:pt>
                <c:pt idx="24">
                  <c:v>7.6854547628722181E-2</c:v>
                </c:pt>
                <c:pt idx="25">
                  <c:v>8.3127085082779523E-2</c:v>
                </c:pt>
                <c:pt idx="26">
                  <c:v>0.10366467124786355</c:v>
                </c:pt>
                <c:pt idx="27">
                  <c:v>9.1728245822326832E-2</c:v>
                </c:pt>
                <c:pt idx="28">
                  <c:v>9.3877954992390766E-2</c:v>
                </c:pt>
                <c:pt idx="29">
                  <c:v>5.4541285388117512E-2</c:v>
                </c:pt>
                <c:pt idx="30">
                  <c:v>3.9180938610381376E-2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3.416530012532671E-2</c:v>
                </c:pt>
                <c:pt idx="1">
                  <c:v>1.0828585808513229E-2</c:v>
                </c:pt>
                <c:pt idx="2">
                  <c:v>4.6799520734432908E-3</c:v>
                </c:pt>
                <c:pt idx="3">
                  <c:v>5.3473034387693311E-3</c:v>
                </c:pt>
                <c:pt idx="4">
                  <c:v>5.3743936211944994E-3</c:v>
                </c:pt>
                <c:pt idx="5">
                  <c:v>4.7075423860450313E-3</c:v>
                </c:pt>
                <c:pt idx="6">
                  <c:v>4.5238281542102762E-3</c:v>
                </c:pt>
                <c:pt idx="7">
                  <c:v>4.5663732071468885E-3</c:v>
                </c:pt>
                <c:pt idx="8">
                  <c:v>4.4557026660088936E-3</c:v>
                </c:pt>
                <c:pt idx="9">
                  <c:v>4.4650570003719661E-3</c:v>
                </c:pt>
                <c:pt idx="10">
                  <c:v>4.3917709477577036E-3</c:v>
                </c:pt>
                <c:pt idx="11">
                  <c:v>5.183841011918512E-3</c:v>
                </c:pt>
                <c:pt idx="12">
                  <c:v>4.4699648417569019E-3</c:v>
                </c:pt>
                <c:pt idx="13">
                  <c:v>5.4586616914177452E-3</c:v>
                </c:pt>
                <c:pt idx="14">
                  <c:v>5.5217854507417672E-3</c:v>
                </c:pt>
                <c:pt idx="15">
                  <c:v>5.1038966421013427E-3</c:v>
                </c:pt>
                <c:pt idx="16">
                  <c:v>3.5940485033177402E-3</c:v>
                </c:pt>
                <c:pt idx="17">
                  <c:v>9.8800710328141479E-3</c:v>
                </c:pt>
                <c:pt idx="18">
                  <c:v>1.9607068905741001E-2</c:v>
                </c:pt>
                <c:pt idx="19">
                  <c:v>1.8839799218150873E-2</c:v>
                </c:pt>
                <c:pt idx="20">
                  <c:v>1.0814047988897435E-2</c:v>
                </c:pt>
                <c:pt idx="21">
                  <c:v>8.2036212886221881E-3</c:v>
                </c:pt>
                <c:pt idx="22">
                  <c:v>8.224564467255167E-3</c:v>
                </c:pt>
                <c:pt idx="23">
                  <c:v>2.5509557578572716E-2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7.6830102668938947E-3</c:v>
                </c:pt>
                <c:pt idx="1">
                  <c:v>1.0126816514702449E-2</c:v>
                </c:pt>
                <c:pt idx="2">
                  <c:v>2.8847333952039893E-3</c:v>
                </c:pt>
                <c:pt idx="3">
                  <c:v>3.7602691728413527E-4</c:v>
                </c:pt>
                <c:pt idx="4">
                  <c:v>1.8576529889372374E-4</c:v>
                </c:pt>
                <c:pt idx="5">
                  <c:v>9.7363391664734061E-5</c:v>
                </c:pt>
                <c:pt idx="6">
                  <c:v>1.4611463716373183E-4</c:v>
                </c:pt>
                <c:pt idx="7">
                  <c:v>1.1201429268775781E-4</c:v>
                </c:pt>
                <c:pt idx="8">
                  <c:v>3.2944301716009459E-4</c:v>
                </c:pt>
                <c:pt idx="9">
                  <c:v>1.0326737962186283E-4</c:v>
                </c:pt>
                <c:pt idx="10">
                  <c:v>6.6916878916043485E-4</c:v>
                </c:pt>
                <c:pt idx="11">
                  <c:v>6.1559256585639352E-4</c:v>
                </c:pt>
                <c:pt idx="12">
                  <c:v>1.168905239328676E-3</c:v>
                </c:pt>
                <c:pt idx="13">
                  <c:v>9.3569603540272022E-4</c:v>
                </c:pt>
                <c:pt idx="14">
                  <c:v>1.2196591201169508E-3</c:v>
                </c:pt>
                <c:pt idx="15">
                  <c:v>6.1847674379306508E-4</c:v>
                </c:pt>
                <c:pt idx="16">
                  <c:v>9.8260532450951594E-4</c:v>
                </c:pt>
                <c:pt idx="17">
                  <c:v>5.8801115316750718E-5</c:v>
                </c:pt>
                <c:pt idx="18">
                  <c:v>7.5424525838508965E-4</c:v>
                </c:pt>
                <c:pt idx="19">
                  <c:v>4.4453752768324264E-4</c:v>
                </c:pt>
                <c:pt idx="20">
                  <c:v>8.0179548056812252E-4</c:v>
                </c:pt>
                <c:pt idx="21">
                  <c:v>6.9728014496236123E-4</c:v>
                </c:pt>
                <c:pt idx="22">
                  <c:v>1.4353875521996144E-3</c:v>
                </c:pt>
                <c:pt idx="23">
                  <c:v>1.0338936427242414E-3</c:v>
                </c:pt>
                <c:pt idx="24">
                  <c:v>8.6803108788857165E-4</c:v>
                </c:pt>
                <c:pt idx="25">
                  <c:v>4.1108066064438379E-4</c:v>
                </c:pt>
                <c:pt idx="26">
                  <c:v>2.8416195957455876E-4</c:v>
                </c:pt>
                <c:pt idx="27">
                  <c:v>1.821161717554263E-4</c:v>
                </c:pt>
                <c:pt idx="28">
                  <c:v>7.2815388539676019E-5</c:v>
                </c:pt>
                <c:pt idx="29">
                  <c:v>1.0081878122878148E-4</c:v>
                </c:pt>
                <c:pt idx="30">
                  <c:v>2.9617643368622446E-4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1.1836244329022496E-2</c:v>
                </c:pt>
                <c:pt idx="1">
                  <c:v>2.1631036517007596E-2</c:v>
                </c:pt>
                <c:pt idx="2">
                  <c:v>2.5050885136635614E-2</c:v>
                </c:pt>
                <c:pt idx="3">
                  <c:v>2.6728481892105856E-2</c:v>
                </c:pt>
                <c:pt idx="4">
                  <c:v>2.6260395262057007E-2</c:v>
                </c:pt>
                <c:pt idx="5">
                  <c:v>2.3129025911557004E-2</c:v>
                </c:pt>
                <c:pt idx="6">
                  <c:v>2.4989213789607116E-2</c:v>
                </c:pt>
                <c:pt idx="7">
                  <c:v>2.3398104735569105E-2</c:v>
                </c:pt>
                <c:pt idx="8">
                  <c:v>2.5454754118352588E-2</c:v>
                </c:pt>
                <c:pt idx="9">
                  <c:v>2.3913084181430497E-2</c:v>
                </c:pt>
                <c:pt idx="10">
                  <c:v>2.7005013023288078E-2</c:v>
                </c:pt>
                <c:pt idx="11">
                  <c:v>1.4055186719789248E-2</c:v>
                </c:pt>
                <c:pt idx="12">
                  <c:v>2.577851122529299E-2</c:v>
                </c:pt>
                <c:pt idx="13">
                  <c:v>7.5130653507526401E-2</c:v>
                </c:pt>
                <c:pt idx="14">
                  <c:v>0.10380476990005422</c:v>
                </c:pt>
                <c:pt idx="15">
                  <c:v>9.1998307145711986E-2</c:v>
                </c:pt>
                <c:pt idx="16">
                  <c:v>5.4345738141182112E-2</c:v>
                </c:pt>
                <c:pt idx="17">
                  <c:v>3.4885211698203454E-3</c:v>
                </c:pt>
                <c:pt idx="18">
                  <c:v>7.3346264766255605E-3</c:v>
                </c:pt>
                <c:pt idx="19">
                  <c:v>3.2723136302282383E-3</c:v>
                </c:pt>
                <c:pt idx="20">
                  <c:v>4.4938006879011614E-3</c:v>
                </c:pt>
                <c:pt idx="21">
                  <c:v>1.011745283136151E-2</c:v>
                </c:pt>
                <c:pt idx="22">
                  <c:v>5.5894276361013193E-3</c:v>
                </c:pt>
                <c:pt idx="23">
                  <c:v>4.8542382505111581E-3</c:v>
                </c:pt>
                <c:pt idx="24">
                  <c:v>7.6023867480167172E-3</c:v>
                </c:pt>
                <c:pt idx="25">
                  <c:v>7.5724041144900854E-3</c:v>
                </c:pt>
                <c:pt idx="26">
                  <c:v>0.11425777728689973</c:v>
                </c:pt>
                <c:pt idx="27">
                  <c:v>0.22776382293602165</c:v>
                </c:pt>
                <c:pt idx="28">
                  <c:v>0.22729293932198119</c:v>
                </c:pt>
                <c:pt idx="29">
                  <c:v>0.22406624226727301</c:v>
                </c:pt>
                <c:pt idx="30">
                  <c:v>0.22248191027825595</c:v>
                </c:pt>
              </c:numCache>
            </c:numRef>
          </c:yVal>
          <c:smooth val="1"/>
        </c:ser>
        <c:dLbls>
          <c:showLegendKey val="0"/>
          <c:showVal val="0"/>
          <c:showCatName val="0"/>
          <c:showSerName val="0"/>
          <c:showPercent val="0"/>
          <c:showBubbleSize val="0"/>
        </c:dLbls>
        <c:axId val="572647688"/>
        <c:axId val="572646512"/>
      </c:scatterChart>
      <c:valAx>
        <c:axId val="57264768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2646512"/>
        <c:crossesAt val="1.0000000000000005E-9"/>
        <c:crossBetween val="midCat"/>
      </c:valAx>
      <c:valAx>
        <c:axId val="572646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2647688"/>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-11.391292098198942</c:v>
                </c:pt>
                <c:pt idx="1">
                  <c:v>-7.5380298710792095</c:v>
                </c:pt>
                <c:pt idx="2">
                  <c:v>-5.0223954311930123</c:v>
                </c:pt>
                <c:pt idx="3">
                  <c:v>-2.8019459756969982</c:v>
                </c:pt>
                <c:pt idx="4">
                  <c:v>0</c:v>
                </c:pt>
                <c:pt idx="5">
                  <c:v>5.6202735306509899</c:v>
                </c:pt>
                <c:pt idx="6">
                  <c:v>11.285365554047905</c:v>
                </c:pt>
              </c:numCache>
            </c:numRef>
          </c:yVal>
          <c:smooth val="0"/>
        </c:ser>
        <c:dLbls>
          <c:showLegendKey val="0"/>
          <c:showVal val="0"/>
          <c:showCatName val="0"/>
          <c:showSerName val="0"/>
          <c:showPercent val="0"/>
          <c:showBubbleSize val="0"/>
        </c:dLbls>
        <c:axId val="572646904"/>
        <c:axId val="572647296"/>
      </c:scatterChart>
      <c:valAx>
        <c:axId val="572646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2647296"/>
        <c:crossesAt val="-100"/>
        <c:crossBetween val="midCat"/>
      </c:valAx>
      <c:valAx>
        <c:axId val="572647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264690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0"/>
        </c:ser>
        <c:dLbls>
          <c:showLegendKey val="0"/>
          <c:showVal val="0"/>
          <c:showCatName val="0"/>
          <c:showSerName val="0"/>
          <c:showPercent val="0"/>
          <c:showBubbleSize val="0"/>
        </c:dLbls>
        <c:axId val="579577408"/>
        <c:axId val="579573880"/>
      </c:scatterChart>
      <c:valAx>
        <c:axId val="57957740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573880"/>
        <c:crosses val="autoZero"/>
        <c:crossBetween val="midCat"/>
      </c:valAx>
      <c:valAx>
        <c:axId val="57957388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57740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1.1293399723077821E-20</c:v>
                </c:pt>
                <c:pt idx="1">
                  <c:v>1.1293399723077819E-19</c:v>
                </c:pt>
                <c:pt idx="2">
                  <c:v>1.1293399723077821E-18</c:v>
                </c:pt>
                <c:pt idx="3">
                  <c:v>1.129339972307782E-17</c:v>
                </c:pt>
                <c:pt idx="4">
                  <c:v>1.1293399723077818E-16</c:v>
                </c:pt>
                <c:pt idx="5">
                  <c:v>1.1293399723077819E-15</c:v>
                </c:pt>
                <c:pt idx="6">
                  <c:v>1.129339972307782E-14</c:v>
                </c:pt>
                <c:pt idx="7">
                  <c:v>1.129339972307782E-13</c:v>
                </c:pt>
                <c:pt idx="8">
                  <c:v>1.1293399723077819E-12</c:v>
                </c:pt>
                <c:pt idx="9">
                  <c:v>1.1293399723077819E-11</c:v>
                </c:pt>
                <c:pt idx="10">
                  <c:v>1.1293399723077821E-10</c:v>
                </c:pt>
                <c:pt idx="11">
                  <c:v>1.129339972307782E-9</c:v>
                </c:pt>
                <c:pt idx="12">
                  <c:v>1.129339972307782E-8</c:v>
                </c:pt>
                <c:pt idx="13">
                  <c:v>1.129339972307782E-7</c:v>
                </c:pt>
                <c:pt idx="14">
                  <c:v>1.129339972307782E-6</c:v>
                </c:pt>
                <c:pt idx="15">
                  <c:v>1.129339972307782E-5</c:v>
                </c:pt>
                <c:pt idx="16">
                  <c:v>1.129339972307782E-4</c:v>
                </c:pt>
                <c:pt idx="17">
                  <c:v>1.1293399723077821E-3</c:v>
                </c:pt>
                <c:pt idx="18">
                  <c:v>1.1293399723077819E-2</c:v>
                </c:pt>
                <c:pt idx="19">
                  <c:v>0.1129339972307782</c:v>
                </c:pt>
                <c:pt idx="20">
                  <c:v>1.1293399723077819</c:v>
                </c:pt>
                <c:pt idx="21">
                  <c:v>11.293399723077819</c:v>
                </c:pt>
                <c:pt idx="22">
                  <c:v>112.9339972307782</c:v>
                </c:pt>
                <c:pt idx="23">
                  <c:v>1129.3399723077819</c:v>
                </c:pt>
                <c:pt idx="24">
                  <c:v>11293.39972307782</c:v>
                </c:pt>
                <c:pt idx="25">
                  <c:v>112933.9972307782</c:v>
                </c:pt>
                <c:pt idx="26">
                  <c:v>1129339.9723077819</c:v>
                </c:pt>
                <c:pt idx="27">
                  <c:v>11293399.723077821</c:v>
                </c:pt>
                <c:pt idx="28">
                  <c:v>112933997.2307782</c:v>
                </c:pt>
                <c:pt idx="29">
                  <c:v>1129339972.3077819</c:v>
                </c:pt>
                <c:pt idx="30">
                  <c:v>11293399723.07782</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5.3244557558446669E-19</c:v>
                </c:pt>
                <c:pt idx="1">
                  <c:v>5.3244557558446659E-18</c:v>
                </c:pt>
                <c:pt idx="2">
                  <c:v>5.3244557558446664E-17</c:v>
                </c:pt>
                <c:pt idx="3">
                  <c:v>5.3244557558446656E-16</c:v>
                </c:pt>
                <c:pt idx="4">
                  <c:v>5.3244557558446654E-15</c:v>
                </c:pt>
                <c:pt idx="5">
                  <c:v>5.3244557558446659E-14</c:v>
                </c:pt>
                <c:pt idx="6">
                  <c:v>5.324455755844666E-13</c:v>
                </c:pt>
                <c:pt idx="7">
                  <c:v>5.324455755844666E-12</c:v>
                </c:pt>
                <c:pt idx="8">
                  <c:v>5.3244557558446656E-11</c:v>
                </c:pt>
                <c:pt idx="9">
                  <c:v>5.3244557558446658E-10</c:v>
                </c:pt>
                <c:pt idx="10">
                  <c:v>5.3244557558446662E-9</c:v>
                </c:pt>
                <c:pt idx="11">
                  <c:v>5.3244557558446664E-8</c:v>
                </c:pt>
                <c:pt idx="12">
                  <c:v>5.3244557558446663E-7</c:v>
                </c:pt>
                <c:pt idx="13">
                  <c:v>5.3244557558446665E-6</c:v>
                </c:pt>
                <c:pt idx="14">
                  <c:v>5.3244557558446665E-5</c:v>
                </c:pt>
                <c:pt idx="15">
                  <c:v>5.3244557558446658E-4</c:v>
                </c:pt>
                <c:pt idx="16">
                  <c:v>5.324455755844666E-3</c:v>
                </c:pt>
                <c:pt idx="17">
                  <c:v>5.3244557558446662E-2</c:v>
                </c:pt>
                <c:pt idx="18">
                  <c:v>0.53244557558446659</c:v>
                </c:pt>
                <c:pt idx="19">
                  <c:v>5.3244557558446663</c:v>
                </c:pt>
                <c:pt idx="20">
                  <c:v>53.244557558446658</c:v>
                </c:pt>
                <c:pt idx="21">
                  <c:v>532.44557558446661</c:v>
                </c:pt>
                <c:pt idx="22">
                  <c:v>5324.4557558446659</c:v>
                </c:pt>
                <c:pt idx="23">
                  <c:v>53244.557558446657</c:v>
                </c:pt>
                <c:pt idx="24">
                  <c:v>532445.57558446657</c:v>
                </c:pt>
                <c:pt idx="25">
                  <c:v>5324455.7558446657</c:v>
                </c:pt>
                <c:pt idx="26">
                  <c:v>53244557.558446661</c:v>
                </c:pt>
                <c:pt idx="27">
                  <c:v>532445575.58446658</c:v>
                </c:pt>
                <c:pt idx="28">
                  <c:v>5324455755.8446665</c:v>
                </c:pt>
                <c:pt idx="29">
                  <c:v>53244557558.446663</c:v>
                </c:pt>
                <c:pt idx="30">
                  <c:v>532445575584.46661</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6.5887249535855139E-18</c:v>
                </c:pt>
                <c:pt idx="1">
                  <c:v>6.5887249535855135E-17</c:v>
                </c:pt>
                <c:pt idx="2">
                  <c:v>6.5887249535855132E-16</c:v>
                </c:pt>
                <c:pt idx="3">
                  <c:v>6.5887249535855126E-15</c:v>
                </c:pt>
                <c:pt idx="4">
                  <c:v>6.5887249535855133E-14</c:v>
                </c:pt>
                <c:pt idx="5">
                  <c:v>6.5887249535855138E-13</c:v>
                </c:pt>
                <c:pt idx="6">
                  <c:v>6.5887249535855136E-12</c:v>
                </c:pt>
                <c:pt idx="7">
                  <c:v>6.5887249535855136E-11</c:v>
                </c:pt>
                <c:pt idx="8">
                  <c:v>6.5887249535855123E-10</c:v>
                </c:pt>
                <c:pt idx="9">
                  <c:v>6.5887249535855131E-9</c:v>
                </c:pt>
                <c:pt idx="10">
                  <c:v>6.5887249535855134E-8</c:v>
                </c:pt>
                <c:pt idx="11">
                  <c:v>6.5887249535855129E-7</c:v>
                </c:pt>
                <c:pt idx="12">
                  <c:v>6.5887249535855135E-6</c:v>
                </c:pt>
                <c:pt idx="13">
                  <c:v>6.5887249535855129E-5</c:v>
                </c:pt>
                <c:pt idx="14">
                  <c:v>6.588724953585514E-4</c:v>
                </c:pt>
                <c:pt idx="15">
                  <c:v>6.5887249535855133E-3</c:v>
                </c:pt>
                <c:pt idx="16">
                  <c:v>6.5887249535855133E-2</c:v>
                </c:pt>
                <c:pt idx="17">
                  <c:v>0.6588724953585513</c:v>
                </c:pt>
                <c:pt idx="18">
                  <c:v>6.5887249535855128</c:v>
                </c:pt>
                <c:pt idx="19">
                  <c:v>65.887249535855133</c:v>
                </c:pt>
                <c:pt idx="20">
                  <c:v>658.8724953585513</c:v>
                </c:pt>
                <c:pt idx="21">
                  <c:v>6588.7249535855135</c:v>
                </c:pt>
                <c:pt idx="22">
                  <c:v>65887.249535855124</c:v>
                </c:pt>
                <c:pt idx="23">
                  <c:v>658872.49535855127</c:v>
                </c:pt>
                <c:pt idx="24">
                  <c:v>6588724.9535855129</c:v>
                </c:pt>
                <c:pt idx="25">
                  <c:v>65887249.535855129</c:v>
                </c:pt>
                <c:pt idx="26">
                  <c:v>658872495.35855126</c:v>
                </c:pt>
                <c:pt idx="27">
                  <c:v>6588724953.5855131</c:v>
                </c:pt>
                <c:pt idx="28">
                  <c:v>65887249535.855133</c:v>
                </c:pt>
                <c:pt idx="29">
                  <c:v>658872495358.55127</c:v>
                </c:pt>
                <c:pt idx="30">
                  <c:v>6588724953585.5127</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6.06918427849908E-17</c:v>
                </c:pt>
                <c:pt idx="1">
                  <c:v>6.0691842784990793E-16</c:v>
                </c:pt>
                <c:pt idx="2">
                  <c:v>6.0691842784990799E-15</c:v>
                </c:pt>
                <c:pt idx="3">
                  <c:v>6.0691842784990792E-14</c:v>
                </c:pt>
                <c:pt idx="4">
                  <c:v>6.0691842784990792E-13</c:v>
                </c:pt>
                <c:pt idx="5">
                  <c:v>6.0691842784990796E-12</c:v>
                </c:pt>
                <c:pt idx="6">
                  <c:v>6.0691842784990798E-11</c:v>
                </c:pt>
                <c:pt idx="7">
                  <c:v>6.0691842784990793E-10</c:v>
                </c:pt>
                <c:pt idx="8">
                  <c:v>6.0691842784990791E-9</c:v>
                </c:pt>
                <c:pt idx="9">
                  <c:v>6.0691842784990796E-8</c:v>
                </c:pt>
                <c:pt idx="10">
                  <c:v>6.0691842784990798E-7</c:v>
                </c:pt>
                <c:pt idx="11">
                  <c:v>6.0691842784990796E-6</c:v>
                </c:pt>
                <c:pt idx="12">
                  <c:v>6.0691842784990795E-5</c:v>
                </c:pt>
                <c:pt idx="13">
                  <c:v>6.0691842784990797E-4</c:v>
                </c:pt>
                <c:pt idx="14">
                  <c:v>6.0691842784990797E-3</c:v>
                </c:pt>
                <c:pt idx="15">
                  <c:v>6.069184278499079E-2</c:v>
                </c:pt>
                <c:pt idx="16">
                  <c:v>0.6069184278499079</c:v>
                </c:pt>
                <c:pt idx="17">
                  <c:v>6.0691842784990797</c:v>
                </c:pt>
                <c:pt idx="18">
                  <c:v>60.691842784990797</c:v>
                </c:pt>
                <c:pt idx="19">
                  <c:v>606.91842784990797</c:v>
                </c:pt>
                <c:pt idx="20">
                  <c:v>6069.1842784990795</c:v>
                </c:pt>
                <c:pt idx="21">
                  <c:v>60691.842784990797</c:v>
                </c:pt>
                <c:pt idx="22">
                  <c:v>606918.42784990789</c:v>
                </c:pt>
                <c:pt idx="23">
                  <c:v>6069184.2784990789</c:v>
                </c:pt>
                <c:pt idx="24">
                  <c:v>60691842.784990795</c:v>
                </c:pt>
                <c:pt idx="25">
                  <c:v>606918427.84990799</c:v>
                </c:pt>
                <c:pt idx="26">
                  <c:v>6069184278.4990797</c:v>
                </c:pt>
                <c:pt idx="27">
                  <c:v>60691842784.990791</c:v>
                </c:pt>
                <c:pt idx="28">
                  <c:v>606918427849.90796</c:v>
                </c:pt>
                <c:pt idx="29">
                  <c:v>6069184278499.0791</c:v>
                </c:pt>
                <c:pt idx="30">
                  <c:v>60691842784990.797</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2.7596485775920713E-13</c:v>
                </c:pt>
                <c:pt idx="1">
                  <c:v>2.7596485775920709E-12</c:v>
                </c:pt>
                <c:pt idx="2">
                  <c:v>2.7596485775920709E-11</c:v>
                </c:pt>
                <c:pt idx="3">
                  <c:v>2.759648577592071E-10</c:v>
                </c:pt>
                <c:pt idx="4">
                  <c:v>2.7596485775920706E-9</c:v>
                </c:pt>
                <c:pt idx="5">
                  <c:v>2.759648577592071E-8</c:v>
                </c:pt>
                <c:pt idx="6">
                  <c:v>2.759648577592071E-7</c:v>
                </c:pt>
                <c:pt idx="7">
                  <c:v>2.7596485775920711E-6</c:v>
                </c:pt>
                <c:pt idx="8">
                  <c:v>2.7596485775920708E-5</c:v>
                </c:pt>
                <c:pt idx="9">
                  <c:v>2.7596485775920705E-4</c:v>
                </c:pt>
                <c:pt idx="10">
                  <c:v>2.7596485775920709E-3</c:v>
                </c:pt>
                <c:pt idx="11">
                  <c:v>2.759648577592071E-2</c:v>
                </c:pt>
                <c:pt idx="12">
                  <c:v>0.27596485775920709</c:v>
                </c:pt>
                <c:pt idx="13">
                  <c:v>2.7596485775920709</c:v>
                </c:pt>
                <c:pt idx="14">
                  <c:v>27.596485775920712</c:v>
                </c:pt>
                <c:pt idx="15">
                  <c:v>275.96485775920706</c:v>
                </c:pt>
                <c:pt idx="16">
                  <c:v>2759.648577592071</c:v>
                </c:pt>
                <c:pt idx="17">
                  <c:v>27596.485775920708</c:v>
                </c:pt>
                <c:pt idx="18">
                  <c:v>275964.85775920708</c:v>
                </c:pt>
                <c:pt idx="19">
                  <c:v>2759648.5775920707</c:v>
                </c:pt>
                <c:pt idx="20">
                  <c:v>27596485.775920708</c:v>
                </c:pt>
                <c:pt idx="21">
                  <c:v>275964857.75920707</c:v>
                </c:pt>
                <c:pt idx="22">
                  <c:v>2759648577.5920711</c:v>
                </c:pt>
                <c:pt idx="23">
                  <c:v>27596485775.920708</c:v>
                </c:pt>
                <c:pt idx="24">
                  <c:v>275964857759.20709</c:v>
                </c:pt>
                <c:pt idx="25">
                  <c:v>2759648577592.0708</c:v>
                </c:pt>
                <c:pt idx="26">
                  <c:v>27596485775920.707</c:v>
                </c:pt>
                <c:pt idx="27">
                  <c:v>275964857759207.09</c:v>
                </c:pt>
                <c:pt idx="28">
                  <c:v>2759648577592071</c:v>
                </c:pt>
                <c:pt idx="29">
                  <c:v>2.7596485775920708E+16</c:v>
                </c:pt>
                <c:pt idx="30">
                  <c:v>2.7596485775920707E+17</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7.9647470253402662E-11</c:v>
                </c:pt>
                <c:pt idx="1">
                  <c:v>7.9647470253402654E-10</c:v>
                </c:pt>
                <c:pt idx="2">
                  <c:v>7.9647470253402654E-9</c:v>
                </c:pt>
                <c:pt idx="3">
                  <c:v>7.9647470253402661E-8</c:v>
                </c:pt>
                <c:pt idx="4">
                  <c:v>7.9647470253402647E-7</c:v>
                </c:pt>
                <c:pt idx="5">
                  <c:v>7.9647470253402666E-6</c:v>
                </c:pt>
                <c:pt idx="6">
                  <c:v>7.9647470253402656E-5</c:v>
                </c:pt>
                <c:pt idx="7">
                  <c:v>7.9647470253402654E-4</c:v>
                </c:pt>
                <c:pt idx="8">
                  <c:v>7.9647470253402658E-3</c:v>
                </c:pt>
                <c:pt idx="9">
                  <c:v>7.9647470253402658E-2</c:v>
                </c:pt>
                <c:pt idx="10">
                  <c:v>0.79647470253402664</c:v>
                </c:pt>
                <c:pt idx="11">
                  <c:v>7.9647470253402659</c:v>
                </c:pt>
                <c:pt idx="12">
                  <c:v>79.647470253402659</c:v>
                </c:pt>
                <c:pt idx="13">
                  <c:v>796.47470253402662</c:v>
                </c:pt>
                <c:pt idx="14">
                  <c:v>7964.7470253402662</c:v>
                </c:pt>
                <c:pt idx="15">
                  <c:v>79647.470253402658</c:v>
                </c:pt>
                <c:pt idx="16">
                  <c:v>796474.70253402658</c:v>
                </c:pt>
                <c:pt idx="17">
                  <c:v>7964747.0253402656</c:v>
                </c:pt>
                <c:pt idx="18">
                  <c:v>79647470.25340265</c:v>
                </c:pt>
                <c:pt idx="19">
                  <c:v>796474702.5340265</c:v>
                </c:pt>
                <c:pt idx="20">
                  <c:v>7964747025.3402653</c:v>
                </c:pt>
                <c:pt idx="21">
                  <c:v>79647470253.402649</c:v>
                </c:pt>
                <c:pt idx="22">
                  <c:v>796474702534.02661</c:v>
                </c:pt>
                <c:pt idx="23">
                  <c:v>7964747025340.2656</c:v>
                </c:pt>
                <c:pt idx="24">
                  <c:v>79647470253402.656</c:v>
                </c:pt>
                <c:pt idx="25">
                  <c:v>796474702534026.5</c:v>
                </c:pt>
                <c:pt idx="26">
                  <c:v>7964747025340266</c:v>
                </c:pt>
                <c:pt idx="27">
                  <c:v>7.9647470253402656E+16</c:v>
                </c:pt>
                <c:pt idx="28">
                  <c:v>7.9647470253402662E+17</c:v>
                </c:pt>
                <c:pt idx="29">
                  <c:v>7.9647470253402655E+18</c:v>
                </c:pt>
                <c:pt idx="30">
                  <c:v>7.9647470253402653E+19</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79575448"/>
        <c:axId val="579575840"/>
      </c:scatterChart>
      <c:valAx>
        <c:axId val="5795754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575840"/>
        <c:crosses val="autoZero"/>
        <c:crossBetween val="midCat"/>
      </c:valAx>
      <c:valAx>
        <c:axId val="579575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575448"/>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1.1293399723077821E-20</c:v>
                </c:pt>
                <c:pt idx="1">
                  <c:v>1.1293399723077819E-19</c:v>
                </c:pt>
                <c:pt idx="2">
                  <c:v>1.1293399723077821E-18</c:v>
                </c:pt>
                <c:pt idx="3">
                  <c:v>1.129339972307782E-17</c:v>
                </c:pt>
                <c:pt idx="4">
                  <c:v>1.1293399723077818E-16</c:v>
                </c:pt>
                <c:pt idx="5">
                  <c:v>1.1293399723077819E-15</c:v>
                </c:pt>
                <c:pt idx="6">
                  <c:v>1.129339972307782E-14</c:v>
                </c:pt>
                <c:pt idx="7">
                  <c:v>1.129339972307782E-13</c:v>
                </c:pt>
                <c:pt idx="8">
                  <c:v>1.1293399723077819E-12</c:v>
                </c:pt>
                <c:pt idx="9">
                  <c:v>1.1293399723077819E-11</c:v>
                </c:pt>
                <c:pt idx="10">
                  <c:v>1.1293399723077821E-10</c:v>
                </c:pt>
                <c:pt idx="11">
                  <c:v>1.129339972307782E-9</c:v>
                </c:pt>
                <c:pt idx="12">
                  <c:v>1.129339972307782E-8</c:v>
                </c:pt>
                <c:pt idx="13">
                  <c:v>1.129339972307782E-7</c:v>
                </c:pt>
                <c:pt idx="14">
                  <c:v>1.129339972307782E-6</c:v>
                </c:pt>
                <c:pt idx="15">
                  <c:v>1.129339972307782E-5</c:v>
                </c:pt>
                <c:pt idx="16">
                  <c:v>1.129339972307782E-4</c:v>
                </c:pt>
                <c:pt idx="17">
                  <c:v>1.1293399723077821E-3</c:v>
                </c:pt>
                <c:pt idx="18">
                  <c:v>1.1293399723077819E-2</c:v>
                </c:pt>
                <c:pt idx="19">
                  <c:v>0.1129339972307782</c:v>
                </c:pt>
                <c:pt idx="20">
                  <c:v>1.1293399723077819</c:v>
                </c:pt>
                <c:pt idx="21">
                  <c:v>11.293399723077819</c:v>
                </c:pt>
                <c:pt idx="22">
                  <c:v>112.9339972307782</c:v>
                </c:pt>
                <c:pt idx="23">
                  <c:v>1129.3399723077819</c:v>
                </c:pt>
                <c:pt idx="24">
                  <c:v>11293.39972307782</c:v>
                </c:pt>
                <c:pt idx="25">
                  <c:v>112933.9972307782</c:v>
                </c:pt>
                <c:pt idx="26">
                  <c:v>1129339.9723077819</c:v>
                </c:pt>
                <c:pt idx="27">
                  <c:v>11293399.723077821</c:v>
                </c:pt>
                <c:pt idx="28">
                  <c:v>112933997.2307782</c:v>
                </c:pt>
                <c:pt idx="29">
                  <c:v>1129339972.3077819</c:v>
                </c:pt>
                <c:pt idx="30">
                  <c:v>11293399723.07782</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5.3244557558446669E-19</c:v>
                </c:pt>
                <c:pt idx="1">
                  <c:v>5.3244557558446659E-18</c:v>
                </c:pt>
                <c:pt idx="2">
                  <c:v>5.3244557558446664E-17</c:v>
                </c:pt>
                <c:pt idx="3">
                  <c:v>5.3244557558446656E-16</c:v>
                </c:pt>
                <c:pt idx="4">
                  <c:v>5.3244557558446654E-15</c:v>
                </c:pt>
                <c:pt idx="5">
                  <c:v>5.3244557558446659E-14</c:v>
                </c:pt>
                <c:pt idx="6">
                  <c:v>5.324455755844666E-13</c:v>
                </c:pt>
                <c:pt idx="7">
                  <c:v>5.324455755844666E-12</c:v>
                </c:pt>
                <c:pt idx="8">
                  <c:v>5.3244557558446656E-11</c:v>
                </c:pt>
                <c:pt idx="9">
                  <c:v>5.3244557558446658E-10</c:v>
                </c:pt>
                <c:pt idx="10">
                  <c:v>5.3244557558446662E-9</c:v>
                </c:pt>
                <c:pt idx="11">
                  <c:v>5.3244557558446664E-8</c:v>
                </c:pt>
                <c:pt idx="12">
                  <c:v>5.3244557558446663E-7</c:v>
                </c:pt>
                <c:pt idx="13">
                  <c:v>5.3244557558446665E-6</c:v>
                </c:pt>
                <c:pt idx="14">
                  <c:v>5.3244557558446665E-5</c:v>
                </c:pt>
                <c:pt idx="15">
                  <c:v>5.3244557558446658E-4</c:v>
                </c:pt>
                <c:pt idx="16">
                  <c:v>5.324455755844666E-3</c:v>
                </c:pt>
                <c:pt idx="17">
                  <c:v>5.3244557558446662E-2</c:v>
                </c:pt>
                <c:pt idx="18">
                  <c:v>0.53244557558446659</c:v>
                </c:pt>
                <c:pt idx="19">
                  <c:v>5.3244557558446663</c:v>
                </c:pt>
                <c:pt idx="20">
                  <c:v>53.244557558446658</c:v>
                </c:pt>
                <c:pt idx="21">
                  <c:v>532.44557558446661</c:v>
                </c:pt>
                <c:pt idx="22">
                  <c:v>5324.4557558446659</c:v>
                </c:pt>
                <c:pt idx="23">
                  <c:v>53244.557558446657</c:v>
                </c:pt>
                <c:pt idx="24">
                  <c:v>532445.57558446657</c:v>
                </c:pt>
                <c:pt idx="25">
                  <c:v>5324455.7558446657</c:v>
                </c:pt>
                <c:pt idx="26">
                  <c:v>53244557.558446661</c:v>
                </c:pt>
                <c:pt idx="27">
                  <c:v>532445575.58446658</c:v>
                </c:pt>
                <c:pt idx="28">
                  <c:v>5324455755.8446665</c:v>
                </c:pt>
                <c:pt idx="29">
                  <c:v>53244557558.446663</c:v>
                </c:pt>
                <c:pt idx="30">
                  <c:v>532445575584.46661</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6.5887249535855139E-18</c:v>
                </c:pt>
                <c:pt idx="1">
                  <c:v>6.5887249535855135E-17</c:v>
                </c:pt>
                <c:pt idx="2">
                  <c:v>6.5887249535855132E-16</c:v>
                </c:pt>
                <c:pt idx="3">
                  <c:v>6.5887249535855126E-15</c:v>
                </c:pt>
                <c:pt idx="4">
                  <c:v>6.5887249535855133E-14</c:v>
                </c:pt>
                <c:pt idx="5">
                  <c:v>6.5887249535855138E-13</c:v>
                </c:pt>
                <c:pt idx="6">
                  <c:v>6.5887249535855136E-12</c:v>
                </c:pt>
                <c:pt idx="7">
                  <c:v>6.5887249535855136E-11</c:v>
                </c:pt>
                <c:pt idx="8">
                  <c:v>6.5887249535855123E-10</c:v>
                </c:pt>
                <c:pt idx="9">
                  <c:v>6.5887249535855131E-9</c:v>
                </c:pt>
                <c:pt idx="10">
                  <c:v>6.5887249535855134E-8</c:v>
                </c:pt>
                <c:pt idx="11">
                  <c:v>6.5887249535855129E-7</c:v>
                </c:pt>
                <c:pt idx="12">
                  <c:v>6.5887249535855135E-6</c:v>
                </c:pt>
                <c:pt idx="13">
                  <c:v>6.5887249535855129E-5</c:v>
                </c:pt>
                <c:pt idx="14">
                  <c:v>6.588724953585514E-4</c:v>
                </c:pt>
                <c:pt idx="15">
                  <c:v>6.5887249535855133E-3</c:v>
                </c:pt>
                <c:pt idx="16">
                  <c:v>6.5887249535855133E-2</c:v>
                </c:pt>
                <c:pt idx="17">
                  <c:v>0.6588724953585513</c:v>
                </c:pt>
                <c:pt idx="18">
                  <c:v>6.5887249535855128</c:v>
                </c:pt>
                <c:pt idx="19">
                  <c:v>65.887249535855133</c:v>
                </c:pt>
                <c:pt idx="20">
                  <c:v>658.8724953585513</c:v>
                </c:pt>
                <c:pt idx="21">
                  <c:v>6588.7249535855135</c:v>
                </c:pt>
                <c:pt idx="22">
                  <c:v>65887.249535855124</c:v>
                </c:pt>
                <c:pt idx="23">
                  <c:v>658872.49535855127</c:v>
                </c:pt>
                <c:pt idx="24">
                  <c:v>6588724.9535855129</c:v>
                </c:pt>
                <c:pt idx="25">
                  <c:v>65887249.535855129</c:v>
                </c:pt>
                <c:pt idx="26">
                  <c:v>658872495.35855126</c:v>
                </c:pt>
                <c:pt idx="27">
                  <c:v>6588724953.5855131</c:v>
                </c:pt>
                <c:pt idx="28">
                  <c:v>65887249535.855133</c:v>
                </c:pt>
                <c:pt idx="29">
                  <c:v>658872495358.55127</c:v>
                </c:pt>
                <c:pt idx="30">
                  <c:v>6588724953585.5127</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6.06918427849908E-17</c:v>
                </c:pt>
                <c:pt idx="1">
                  <c:v>6.0691842784990793E-16</c:v>
                </c:pt>
                <c:pt idx="2">
                  <c:v>6.0691842784990799E-15</c:v>
                </c:pt>
                <c:pt idx="3">
                  <c:v>6.0691842784990792E-14</c:v>
                </c:pt>
                <c:pt idx="4">
                  <c:v>6.0691842784990792E-13</c:v>
                </c:pt>
                <c:pt idx="5">
                  <c:v>6.0691842784990796E-12</c:v>
                </c:pt>
                <c:pt idx="6">
                  <c:v>6.0691842784990798E-11</c:v>
                </c:pt>
                <c:pt idx="7">
                  <c:v>6.0691842784990793E-10</c:v>
                </c:pt>
                <c:pt idx="8">
                  <c:v>6.0691842784990791E-9</c:v>
                </c:pt>
                <c:pt idx="9">
                  <c:v>6.0691842784990796E-8</c:v>
                </c:pt>
                <c:pt idx="10">
                  <c:v>6.0691842784990798E-7</c:v>
                </c:pt>
                <c:pt idx="11">
                  <c:v>6.0691842784990796E-6</c:v>
                </c:pt>
                <c:pt idx="12">
                  <c:v>6.0691842784990795E-5</c:v>
                </c:pt>
                <c:pt idx="13">
                  <c:v>6.0691842784990797E-4</c:v>
                </c:pt>
                <c:pt idx="14">
                  <c:v>6.0691842784990797E-3</c:v>
                </c:pt>
                <c:pt idx="15">
                  <c:v>6.069184278499079E-2</c:v>
                </c:pt>
                <c:pt idx="16">
                  <c:v>0.6069184278499079</c:v>
                </c:pt>
                <c:pt idx="17">
                  <c:v>6.0691842784990797</c:v>
                </c:pt>
                <c:pt idx="18">
                  <c:v>60.691842784990797</c:v>
                </c:pt>
                <c:pt idx="19">
                  <c:v>606.91842784990797</c:v>
                </c:pt>
                <c:pt idx="20">
                  <c:v>6069.1842784990795</c:v>
                </c:pt>
                <c:pt idx="21">
                  <c:v>60691.842784990797</c:v>
                </c:pt>
                <c:pt idx="22">
                  <c:v>606918.42784990789</c:v>
                </c:pt>
                <c:pt idx="23">
                  <c:v>6069184.2784990789</c:v>
                </c:pt>
                <c:pt idx="24">
                  <c:v>60691842.784990795</c:v>
                </c:pt>
                <c:pt idx="25">
                  <c:v>606918427.84990799</c:v>
                </c:pt>
                <c:pt idx="26">
                  <c:v>6069184278.4990797</c:v>
                </c:pt>
                <c:pt idx="27">
                  <c:v>60691842784.990791</c:v>
                </c:pt>
                <c:pt idx="28">
                  <c:v>606918427849.90796</c:v>
                </c:pt>
                <c:pt idx="29">
                  <c:v>6069184278499.0791</c:v>
                </c:pt>
                <c:pt idx="30">
                  <c:v>60691842784990.797</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2.7596485775920713E-13</c:v>
                </c:pt>
                <c:pt idx="1">
                  <c:v>2.7596485775920709E-12</c:v>
                </c:pt>
                <c:pt idx="2">
                  <c:v>2.7596485775920709E-11</c:v>
                </c:pt>
                <c:pt idx="3">
                  <c:v>2.759648577592071E-10</c:v>
                </c:pt>
                <c:pt idx="4">
                  <c:v>2.7596485775920706E-9</c:v>
                </c:pt>
                <c:pt idx="5">
                  <c:v>2.759648577592071E-8</c:v>
                </c:pt>
                <c:pt idx="6">
                  <c:v>2.759648577592071E-7</c:v>
                </c:pt>
                <c:pt idx="7">
                  <c:v>2.7596485775920711E-6</c:v>
                </c:pt>
                <c:pt idx="8">
                  <c:v>2.7596485775920708E-5</c:v>
                </c:pt>
                <c:pt idx="9">
                  <c:v>2.7596485775920705E-4</c:v>
                </c:pt>
                <c:pt idx="10">
                  <c:v>2.7596485775920709E-3</c:v>
                </c:pt>
                <c:pt idx="11">
                  <c:v>2.759648577592071E-2</c:v>
                </c:pt>
                <c:pt idx="12">
                  <c:v>0.27596485775920709</c:v>
                </c:pt>
                <c:pt idx="13">
                  <c:v>2.7596485775920709</c:v>
                </c:pt>
                <c:pt idx="14">
                  <c:v>27.596485775920712</c:v>
                </c:pt>
                <c:pt idx="15">
                  <c:v>275.96485775920706</c:v>
                </c:pt>
                <c:pt idx="16">
                  <c:v>2759.648577592071</c:v>
                </c:pt>
                <c:pt idx="17">
                  <c:v>27596.485775920708</c:v>
                </c:pt>
                <c:pt idx="18">
                  <c:v>275964.85775920708</c:v>
                </c:pt>
                <c:pt idx="19">
                  <c:v>2759648.5775920707</c:v>
                </c:pt>
                <c:pt idx="20">
                  <c:v>27596485.775920708</c:v>
                </c:pt>
                <c:pt idx="21">
                  <c:v>275964857.75920707</c:v>
                </c:pt>
                <c:pt idx="22">
                  <c:v>2759648577.5920711</c:v>
                </c:pt>
                <c:pt idx="23">
                  <c:v>27596485775.920708</c:v>
                </c:pt>
                <c:pt idx="24">
                  <c:v>275964857759.20709</c:v>
                </c:pt>
                <c:pt idx="25">
                  <c:v>2759648577592.0708</c:v>
                </c:pt>
                <c:pt idx="26">
                  <c:v>27596485775920.707</c:v>
                </c:pt>
                <c:pt idx="27">
                  <c:v>275964857759207.09</c:v>
                </c:pt>
                <c:pt idx="28">
                  <c:v>2759648577592071</c:v>
                </c:pt>
                <c:pt idx="29">
                  <c:v>2.7596485775920708E+16</c:v>
                </c:pt>
                <c:pt idx="30">
                  <c:v>2.7596485775920707E+17</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7.9647470253402662E-11</c:v>
                </c:pt>
                <c:pt idx="1">
                  <c:v>7.9647470253402654E-10</c:v>
                </c:pt>
                <c:pt idx="2">
                  <c:v>7.9647470253402654E-9</c:v>
                </c:pt>
                <c:pt idx="3">
                  <c:v>7.9647470253402661E-8</c:v>
                </c:pt>
                <c:pt idx="4">
                  <c:v>7.9647470253402647E-7</c:v>
                </c:pt>
                <c:pt idx="5">
                  <c:v>7.9647470253402666E-6</c:v>
                </c:pt>
                <c:pt idx="6">
                  <c:v>7.9647470253402656E-5</c:v>
                </c:pt>
                <c:pt idx="7">
                  <c:v>7.9647470253402654E-4</c:v>
                </c:pt>
                <c:pt idx="8">
                  <c:v>7.9647470253402658E-3</c:v>
                </c:pt>
                <c:pt idx="9">
                  <c:v>7.9647470253402658E-2</c:v>
                </c:pt>
                <c:pt idx="10">
                  <c:v>0.79647470253402664</c:v>
                </c:pt>
                <c:pt idx="11">
                  <c:v>7.9647470253402659</c:v>
                </c:pt>
                <c:pt idx="12">
                  <c:v>79.647470253402659</c:v>
                </c:pt>
                <c:pt idx="13">
                  <c:v>796.47470253402662</c:v>
                </c:pt>
                <c:pt idx="14">
                  <c:v>7964.7470253402662</c:v>
                </c:pt>
                <c:pt idx="15">
                  <c:v>79647.470253402658</c:v>
                </c:pt>
                <c:pt idx="16">
                  <c:v>796474.70253402658</c:v>
                </c:pt>
                <c:pt idx="17">
                  <c:v>7964747.0253402656</c:v>
                </c:pt>
                <c:pt idx="18">
                  <c:v>79647470.25340265</c:v>
                </c:pt>
                <c:pt idx="19">
                  <c:v>796474702.5340265</c:v>
                </c:pt>
                <c:pt idx="20">
                  <c:v>7964747025.3402653</c:v>
                </c:pt>
                <c:pt idx="21">
                  <c:v>79647470253.402649</c:v>
                </c:pt>
                <c:pt idx="22">
                  <c:v>796474702534.02661</c:v>
                </c:pt>
                <c:pt idx="23">
                  <c:v>7964747025340.2656</c:v>
                </c:pt>
                <c:pt idx="24">
                  <c:v>79647470253402.656</c:v>
                </c:pt>
                <c:pt idx="25">
                  <c:v>796474702534026.5</c:v>
                </c:pt>
                <c:pt idx="26">
                  <c:v>7964747025340266</c:v>
                </c:pt>
                <c:pt idx="27">
                  <c:v>7.9647470253402656E+16</c:v>
                </c:pt>
                <c:pt idx="28">
                  <c:v>7.9647470253402662E+17</c:v>
                </c:pt>
                <c:pt idx="29">
                  <c:v>7.9647470253402655E+18</c:v>
                </c:pt>
                <c:pt idx="30">
                  <c:v>7.9647470253402653E+19</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dLbls>
          <c:showLegendKey val="0"/>
          <c:showVal val="0"/>
          <c:showCatName val="0"/>
          <c:showSerName val="0"/>
          <c:showPercent val="0"/>
          <c:showBubbleSize val="0"/>
        </c:dLbls>
        <c:axId val="579574272"/>
        <c:axId val="579574664"/>
      </c:scatterChart>
      <c:valAx>
        <c:axId val="57957427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574664"/>
        <c:crosses val="autoZero"/>
        <c:crossBetween val="midCat"/>
      </c:valAx>
      <c:valAx>
        <c:axId val="579574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957427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1.1293399723077821E-20</c:v>
                </c:pt>
                <c:pt idx="1">
                  <c:v>1.1293399723077819E-19</c:v>
                </c:pt>
                <c:pt idx="2">
                  <c:v>1.1293399723077821E-18</c:v>
                </c:pt>
                <c:pt idx="3">
                  <c:v>1.129339972307782E-17</c:v>
                </c:pt>
                <c:pt idx="4">
                  <c:v>1.1293399723077818E-16</c:v>
                </c:pt>
                <c:pt idx="5">
                  <c:v>1.1293399723077819E-15</c:v>
                </c:pt>
                <c:pt idx="6">
                  <c:v>1.129339972307782E-14</c:v>
                </c:pt>
                <c:pt idx="7">
                  <c:v>1.129339972307782E-13</c:v>
                </c:pt>
                <c:pt idx="8">
                  <c:v>1.1293399723077819E-12</c:v>
                </c:pt>
                <c:pt idx="9">
                  <c:v>1.1293399723077819E-11</c:v>
                </c:pt>
                <c:pt idx="10">
                  <c:v>1.1293399723077821E-10</c:v>
                </c:pt>
                <c:pt idx="11">
                  <c:v>1.129339972307782E-9</c:v>
                </c:pt>
                <c:pt idx="12">
                  <c:v>1.129339972307782E-8</c:v>
                </c:pt>
                <c:pt idx="13">
                  <c:v>1.129339972307782E-7</c:v>
                </c:pt>
                <c:pt idx="14">
                  <c:v>1.129339972307782E-6</c:v>
                </c:pt>
                <c:pt idx="15">
                  <c:v>1.129339972307782E-5</c:v>
                </c:pt>
                <c:pt idx="16">
                  <c:v>1.129339972307782E-4</c:v>
                </c:pt>
                <c:pt idx="17">
                  <c:v>1.1293399723077821E-3</c:v>
                </c:pt>
                <c:pt idx="18">
                  <c:v>1.1293399723077819E-2</c:v>
                </c:pt>
                <c:pt idx="19">
                  <c:v>0.1129339972307782</c:v>
                </c:pt>
                <c:pt idx="20">
                  <c:v>1.1293399723077819</c:v>
                </c:pt>
                <c:pt idx="21">
                  <c:v>11.293399723077819</c:v>
                </c:pt>
                <c:pt idx="22">
                  <c:v>112.9339972307782</c:v>
                </c:pt>
                <c:pt idx="23">
                  <c:v>1129.3399723077819</c:v>
                </c:pt>
                <c:pt idx="24">
                  <c:v>11293.39972307782</c:v>
                </c:pt>
                <c:pt idx="25">
                  <c:v>112933.9972307782</c:v>
                </c:pt>
                <c:pt idx="26">
                  <c:v>1129339.9723077819</c:v>
                </c:pt>
                <c:pt idx="27">
                  <c:v>11293399.723077821</c:v>
                </c:pt>
                <c:pt idx="28">
                  <c:v>112933997.2307782</c:v>
                </c:pt>
                <c:pt idx="29">
                  <c:v>1129339972.3077819</c:v>
                </c:pt>
                <c:pt idx="30">
                  <c:v>11293399723.07782</c:v>
                </c:pt>
              </c:numCache>
            </c:numRef>
          </c:xVal>
          <c:yVal>
            <c:numRef>
              <c:f>'Mastercurve bestimmen'!$J$404:$J$434</c:f>
              <c:numCache>
                <c:formatCode>0.00E+00</c:formatCode>
                <c:ptCount val="31"/>
                <c:pt idx="0">
                  <c:v>10871.278895571992</c:v>
                </c:pt>
                <c:pt idx="1">
                  <c:v>10785.751287884957</c:v>
                </c:pt>
                <c:pt idx="2">
                  <c:v>10484.858187200372</c:v>
                </c:pt>
                <c:pt idx="3">
                  <c:v>10280.433181032142</c:v>
                </c:pt>
                <c:pt idx="4">
                  <c:v>10088.860550656809</c:v>
                </c:pt>
                <c:pt idx="5">
                  <c:v>9877.8461517898249</c:v>
                </c:pt>
                <c:pt idx="6">
                  <c:v>9655.619688733279</c:v>
                </c:pt>
                <c:pt idx="7">
                  <c:v>9400.3699029441887</c:v>
                </c:pt>
                <c:pt idx="8">
                  <c:v>9134.8429877609706</c:v>
                </c:pt>
                <c:pt idx="9">
                  <c:v>8837.1618999065868</c:v>
                </c:pt>
                <c:pt idx="10">
                  <c:v>8570.3120101913646</c:v>
                </c:pt>
                <c:pt idx="11">
                  <c:v>8285.4763038384153</c:v>
                </c:pt>
                <c:pt idx="12">
                  <c:v>7936.5401145889446</c:v>
                </c:pt>
                <c:pt idx="13">
                  <c:v>7548.1809664568409</c:v>
                </c:pt>
                <c:pt idx="14">
                  <c:v>7185.7092224582611</c:v>
                </c:pt>
                <c:pt idx="15">
                  <c:v>6895.934147375373</c:v>
                </c:pt>
                <c:pt idx="16">
                  <c:v>6598.4326641088546</c:v>
                </c:pt>
                <c:pt idx="17">
                  <c:v>6312.5025678358661</c:v>
                </c:pt>
                <c:pt idx="18">
                  <c:v>6009.4653543505283</c:v>
                </c:pt>
                <c:pt idx="19">
                  <c:v>5713.6024886963633</c:v>
                </c:pt>
                <c:pt idx="20">
                  <c:v>5266.353343720587</c:v>
                </c:pt>
                <c:pt idx="21">
                  <c:v>4669.585842690939</c:v>
                </c:pt>
                <c:pt idx="22">
                  <c:v>4015.1174909416081</c:v>
                </c:pt>
                <c:pt idx="23">
                  <c:v>3410.9442700239138</c:v>
                </c:pt>
                <c:pt idx="24">
                  <c:v>2824.662512551186</c:v>
                </c:pt>
                <c:pt idx="25">
                  <c:v>2250.6025345256894</c:v>
                </c:pt>
                <c:pt idx="26">
                  <c:v>1676.0321427337321</c:v>
                </c:pt>
                <c:pt idx="27">
                  <c:v>1219.4001972501756</c:v>
                </c:pt>
                <c:pt idx="28">
                  <c:v>880.27460100786607</c:v>
                </c:pt>
                <c:pt idx="29">
                  <c:v>701.49257135601476</c:v>
                </c:pt>
                <c:pt idx="30">
                  <c:v>599.87140608085383</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5.3244557558446669E-19</c:v>
                </c:pt>
                <c:pt idx="1">
                  <c:v>5.3244557558446659E-18</c:v>
                </c:pt>
                <c:pt idx="2">
                  <c:v>5.3244557558446664E-17</c:v>
                </c:pt>
                <c:pt idx="3">
                  <c:v>5.3244557558446656E-16</c:v>
                </c:pt>
                <c:pt idx="4">
                  <c:v>5.3244557558446654E-15</c:v>
                </c:pt>
                <c:pt idx="5">
                  <c:v>5.3244557558446659E-14</c:v>
                </c:pt>
                <c:pt idx="6">
                  <c:v>5.324455755844666E-13</c:v>
                </c:pt>
                <c:pt idx="7">
                  <c:v>5.324455755844666E-12</c:v>
                </c:pt>
                <c:pt idx="8">
                  <c:v>5.3244557558446656E-11</c:v>
                </c:pt>
                <c:pt idx="9">
                  <c:v>5.3244557558446658E-10</c:v>
                </c:pt>
                <c:pt idx="10">
                  <c:v>5.3244557558446662E-9</c:v>
                </c:pt>
                <c:pt idx="11">
                  <c:v>5.3244557558446664E-8</c:v>
                </c:pt>
                <c:pt idx="12">
                  <c:v>5.3244557558446663E-7</c:v>
                </c:pt>
                <c:pt idx="13">
                  <c:v>5.3244557558446665E-6</c:v>
                </c:pt>
                <c:pt idx="14">
                  <c:v>5.3244557558446665E-5</c:v>
                </c:pt>
                <c:pt idx="15">
                  <c:v>5.3244557558446658E-4</c:v>
                </c:pt>
                <c:pt idx="16">
                  <c:v>5.324455755844666E-3</c:v>
                </c:pt>
                <c:pt idx="17">
                  <c:v>5.3244557558446662E-2</c:v>
                </c:pt>
                <c:pt idx="18">
                  <c:v>0.53244557558446659</c:v>
                </c:pt>
                <c:pt idx="19">
                  <c:v>5.3244557558446663</c:v>
                </c:pt>
                <c:pt idx="20">
                  <c:v>53.244557558446658</c:v>
                </c:pt>
                <c:pt idx="21">
                  <c:v>532.44557558446661</c:v>
                </c:pt>
                <c:pt idx="22">
                  <c:v>5324.4557558446659</c:v>
                </c:pt>
                <c:pt idx="23">
                  <c:v>53244.557558446657</c:v>
                </c:pt>
                <c:pt idx="24">
                  <c:v>532445.57558446657</c:v>
                </c:pt>
                <c:pt idx="25">
                  <c:v>5324455.7558446657</c:v>
                </c:pt>
                <c:pt idx="26">
                  <c:v>53244557.558446661</c:v>
                </c:pt>
                <c:pt idx="27">
                  <c:v>532445575.58446658</c:v>
                </c:pt>
                <c:pt idx="28">
                  <c:v>5324455755.8446665</c:v>
                </c:pt>
                <c:pt idx="29">
                  <c:v>53244557558.446663</c:v>
                </c:pt>
                <c:pt idx="30">
                  <c:v>532445575584.46661</c:v>
                </c:pt>
              </c:numCache>
            </c:numRef>
          </c:xVal>
          <c:yVal>
            <c:numRef>
              <c:f>'Mastercurve bestimmen'!$K$404:$K$434</c:f>
              <c:numCache>
                <c:formatCode>0.00E+00</c:formatCode>
                <c:ptCount val="31"/>
                <c:pt idx="0">
                  <c:v>10681.367679183619</c:v>
                </c:pt>
                <c:pt idx="1">
                  <c:v>10340.369878221287</c:v>
                </c:pt>
                <c:pt idx="2">
                  <c:v>10144.235493546155</c:v>
                </c:pt>
                <c:pt idx="3">
                  <c:v>9945.8458355930761</c:v>
                </c:pt>
                <c:pt idx="4">
                  <c:v>9733.3402923935464</c:v>
                </c:pt>
                <c:pt idx="5">
                  <c:v>9498.3871358707802</c:v>
                </c:pt>
                <c:pt idx="6">
                  <c:v>9242.4212792479666</c:v>
                </c:pt>
                <c:pt idx="7">
                  <c:v>8962.4165772503438</c:v>
                </c:pt>
                <c:pt idx="8">
                  <c:v>8679.0953494242967</c:v>
                </c:pt>
                <c:pt idx="9">
                  <c:v>8412.1987380125211</c:v>
                </c:pt>
                <c:pt idx="10">
                  <c:v>8104.719083836997</c:v>
                </c:pt>
                <c:pt idx="11">
                  <c:v>7738.4866265331348</c:v>
                </c:pt>
                <c:pt idx="12">
                  <c:v>7356.7094808941847</c:v>
                </c:pt>
                <c:pt idx="13">
                  <c:v>7029.386180221145</c:v>
                </c:pt>
                <c:pt idx="14">
                  <c:v>6740.4128171607354</c:v>
                </c:pt>
                <c:pt idx="15">
                  <c:v>6451.1295620052033</c:v>
                </c:pt>
                <c:pt idx="16">
                  <c:v>6158.0006144488207</c:v>
                </c:pt>
                <c:pt idx="17">
                  <c:v>5864.4544291342345</c:v>
                </c:pt>
                <c:pt idx="18">
                  <c:v>5497.1399794237341</c:v>
                </c:pt>
                <c:pt idx="19">
                  <c:v>4940.0481403456943</c:v>
                </c:pt>
                <c:pt idx="20">
                  <c:v>4302.8208260658694</c:v>
                </c:pt>
                <c:pt idx="21">
                  <c:v>3694.2569609036786</c:v>
                </c:pt>
                <c:pt idx="22">
                  <c:v>3126.9337293210729</c:v>
                </c:pt>
                <c:pt idx="23">
                  <c:v>2566.4428591616524</c:v>
                </c:pt>
                <c:pt idx="24">
                  <c:v>1999.3722885012867</c:v>
                </c:pt>
                <c:pt idx="25">
                  <c:v>1469.5776968625496</c:v>
                </c:pt>
                <c:pt idx="26">
                  <c:v>1062.2051299591283</c:v>
                </c:pt>
                <c:pt idx="27">
                  <c:v>790.39019215198527</c:v>
                </c:pt>
                <c:pt idx="28">
                  <c:v>652.53051651246926</c:v>
                </c:pt>
                <c:pt idx="29">
                  <c:v>578.9290265565794</c:v>
                </c:pt>
                <c:pt idx="30">
                  <c:v>543.3455967986946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6.5887249535855139E-18</c:v>
                </c:pt>
                <c:pt idx="1">
                  <c:v>6.5887249535855135E-17</c:v>
                </c:pt>
                <c:pt idx="2">
                  <c:v>6.5887249535855132E-16</c:v>
                </c:pt>
                <c:pt idx="3">
                  <c:v>6.5887249535855126E-15</c:v>
                </c:pt>
                <c:pt idx="4">
                  <c:v>6.5887249535855133E-14</c:v>
                </c:pt>
                <c:pt idx="5">
                  <c:v>6.5887249535855138E-13</c:v>
                </c:pt>
                <c:pt idx="6">
                  <c:v>6.5887249535855136E-12</c:v>
                </c:pt>
                <c:pt idx="7">
                  <c:v>6.5887249535855136E-11</c:v>
                </c:pt>
                <c:pt idx="8">
                  <c:v>6.5887249535855123E-10</c:v>
                </c:pt>
                <c:pt idx="9">
                  <c:v>6.5887249535855131E-9</c:v>
                </c:pt>
                <c:pt idx="10">
                  <c:v>6.5887249535855134E-8</c:v>
                </c:pt>
                <c:pt idx="11">
                  <c:v>6.5887249535855129E-7</c:v>
                </c:pt>
                <c:pt idx="12">
                  <c:v>6.5887249535855135E-6</c:v>
                </c:pt>
                <c:pt idx="13">
                  <c:v>6.5887249535855129E-5</c:v>
                </c:pt>
                <c:pt idx="14">
                  <c:v>6.588724953585514E-4</c:v>
                </c:pt>
                <c:pt idx="15">
                  <c:v>6.5887249535855133E-3</c:v>
                </c:pt>
                <c:pt idx="16">
                  <c:v>6.5887249535855133E-2</c:v>
                </c:pt>
                <c:pt idx="17">
                  <c:v>0.6588724953585513</c:v>
                </c:pt>
                <c:pt idx="18">
                  <c:v>6.5887249535855128</c:v>
                </c:pt>
                <c:pt idx="19">
                  <c:v>65.887249535855133</c:v>
                </c:pt>
                <c:pt idx="20">
                  <c:v>658.8724953585513</c:v>
                </c:pt>
                <c:pt idx="21">
                  <c:v>6588.7249535855135</c:v>
                </c:pt>
                <c:pt idx="22">
                  <c:v>65887.249535855124</c:v>
                </c:pt>
                <c:pt idx="23">
                  <c:v>658872.49535855127</c:v>
                </c:pt>
                <c:pt idx="24">
                  <c:v>6588724.9535855129</c:v>
                </c:pt>
                <c:pt idx="25">
                  <c:v>65887249.535855129</c:v>
                </c:pt>
                <c:pt idx="26">
                  <c:v>658872495.35855126</c:v>
                </c:pt>
                <c:pt idx="27">
                  <c:v>6588724953.5855131</c:v>
                </c:pt>
                <c:pt idx="28">
                  <c:v>65887249535.855133</c:v>
                </c:pt>
                <c:pt idx="29">
                  <c:v>658872495358.55127</c:v>
                </c:pt>
                <c:pt idx="30">
                  <c:v>6588724953585.5127</c:v>
                </c:pt>
              </c:numCache>
            </c:numRef>
          </c:xVal>
          <c:yVal>
            <c:numRef>
              <c:f>'Mastercurve bestimmen'!$L$404:$L$434</c:f>
              <c:numCache>
                <c:formatCode>0.00E+00</c:formatCode>
                <c:ptCount val="31"/>
                <c:pt idx="0">
                  <c:v>10334.776176356636</c:v>
                </c:pt>
                <c:pt idx="1">
                  <c:v>10091.776344091975</c:v>
                </c:pt>
                <c:pt idx="2">
                  <c:v>9888.29643553188</c:v>
                </c:pt>
                <c:pt idx="3">
                  <c:v>9675.5582946416034</c:v>
                </c:pt>
                <c:pt idx="4">
                  <c:v>9437.8844555939704</c:v>
                </c:pt>
                <c:pt idx="5">
                  <c:v>9182.6179716248589</c:v>
                </c:pt>
                <c:pt idx="6">
                  <c:v>8899.8294294290881</c:v>
                </c:pt>
                <c:pt idx="7">
                  <c:v>8621.6067732840511</c:v>
                </c:pt>
                <c:pt idx="8">
                  <c:v>8354.3796068734482</c:v>
                </c:pt>
                <c:pt idx="9">
                  <c:v>8041.7904738604348</c:v>
                </c:pt>
                <c:pt idx="10">
                  <c:v>7673.2145085350385</c:v>
                </c:pt>
                <c:pt idx="11">
                  <c:v>7295.4976540764501</c:v>
                </c:pt>
                <c:pt idx="12">
                  <c:v>6977.8752509418382</c:v>
                </c:pt>
                <c:pt idx="13">
                  <c:v>6688.5988498392426</c:v>
                </c:pt>
                <c:pt idx="14">
                  <c:v>6402.4667189627462</c:v>
                </c:pt>
                <c:pt idx="15">
                  <c:v>6108.5862714487212</c:v>
                </c:pt>
                <c:pt idx="16">
                  <c:v>5821.8385981744532</c:v>
                </c:pt>
                <c:pt idx="17">
                  <c:v>5461.5612200441165</c:v>
                </c:pt>
                <c:pt idx="18">
                  <c:v>4936.5934069622945</c:v>
                </c:pt>
                <c:pt idx="19">
                  <c:v>4296.9639126238171</c:v>
                </c:pt>
                <c:pt idx="20">
                  <c:v>3679.1110460410682</c:v>
                </c:pt>
                <c:pt idx="21">
                  <c:v>3097.6161878660678</c:v>
                </c:pt>
                <c:pt idx="22">
                  <c:v>2528.090407055493</c:v>
                </c:pt>
                <c:pt idx="23">
                  <c:v>1953.6029786216222</c:v>
                </c:pt>
                <c:pt idx="24">
                  <c:v>1432.382407665888</c:v>
                </c:pt>
                <c:pt idx="25">
                  <c:v>1033.3489091490621</c:v>
                </c:pt>
                <c:pt idx="26">
                  <c:v>776.17019476824578</c:v>
                </c:pt>
                <c:pt idx="27">
                  <c:v>643.6842763640858</c:v>
                </c:pt>
                <c:pt idx="28">
                  <c:v>575.83936179835393</c:v>
                </c:pt>
                <c:pt idx="29">
                  <c:v>540.3807046910232</c:v>
                </c:pt>
                <c:pt idx="30">
                  <c:v>518.13069577372926</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6.06918427849908E-17</c:v>
                </c:pt>
                <c:pt idx="1">
                  <c:v>6.0691842784990793E-16</c:v>
                </c:pt>
                <c:pt idx="2">
                  <c:v>6.0691842784990799E-15</c:v>
                </c:pt>
                <c:pt idx="3">
                  <c:v>6.0691842784990792E-14</c:v>
                </c:pt>
                <c:pt idx="4">
                  <c:v>6.0691842784990792E-13</c:v>
                </c:pt>
                <c:pt idx="5">
                  <c:v>6.0691842784990796E-12</c:v>
                </c:pt>
                <c:pt idx="6">
                  <c:v>6.0691842784990798E-11</c:v>
                </c:pt>
                <c:pt idx="7">
                  <c:v>6.0691842784990793E-10</c:v>
                </c:pt>
                <c:pt idx="8">
                  <c:v>6.0691842784990791E-9</c:v>
                </c:pt>
                <c:pt idx="9">
                  <c:v>6.0691842784990796E-8</c:v>
                </c:pt>
                <c:pt idx="10">
                  <c:v>6.0691842784990798E-7</c:v>
                </c:pt>
                <c:pt idx="11">
                  <c:v>6.0691842784990796E-6</c:v>
                </c:pt>
                <c:pt idx="12">
                  <c:v>6.0691842784990795E-5</c:v>
                </c:pt>
                <c:pt idx="13">
                  <c:v>6.0691842784990797E-4</c:v>
                </c:pt>
                <c:pt idx="14">
                  <c:v>6.0691842784990797E-3</c:v>
                </c:pt>
                <c:pt idx="15">
                  <c:v>6.069184278499079E-2</c:v>
                </c:pt>
                <c:pt idx="16">
                  <c:v>0.6069184278499079</c:v>
                </c:pt>
                <c:pt idx="17">
                  <c:v>6.0691842784990797</c:v>
                </c:pt>
                <c:pt idx="18">
                  <c:v>60.691842784990797</c:v>
                </c:pt>
                <c:pt idx="19">
                  <c:v>606.91842784990797</c:v>
                </c:pt>
                <c:pt idx="20">
                  <c:v>6069.1842784990795</c:v>
                </c:pt>
                <c:pt idx="21">
                  <c:v>60691.842784990797</c:v>
                </c:pt>
                <c:pt idx="22">
                  <c:v>606918.42784990789</c:v>
                </c:pt>
                <c:pt idx="23">
                  <c:v>6069184.2784990789</c:v>
                </c:pt>
                <c:pt idx="24">
                  <c:v>60691842.784990795</c:v>
                </c:pt>
                <c:pt idx="25">
                  <c:v>606918427.84990799</c:v>
                </c:pt>
                <c:pt idx="26">
                  <c:v>6069184278.4990797</c:v>
                </c:pt>
                <c:pt idx="27">
                  <c:v>60691842784.990791</c:v>
                </c:pt>
                <c:pt idx="28">
                  <c:v>606918427849.90796</c:v>
                </c:pt>
                <c:pt idx="29">
                  <c:v>6069184278499.0791</c:v>
                </c:pt>
                <c:pt idx="30">
                  <c:v>60691842784990.797</c:v>
                </c:pt>
              </c:numCache>
            </c:numRef>
          </c:xVal>
          <c:yVal>
            <c:numRef>
              <c:f>'Mastercurve bestimmen'!$M$404:$M$434</c:f>
              <c:numCache>
                <c:formatCode>0.00E+00</c:formatCode>
                <c:ptCount val="31"/>
                <c:pt idx="0">
                  <c:v>10108.713203034791</c:v>
                </c:pt>
                <c:pt idx="1">
                  <c:v>9863.3085771990827</c:v>
                </c:pt>
                <c:pt idx="2">
                  <c:v>9647.7546876992856</c:v>
                </c:pt>
                <c:pt idx="3">
                  <c:v>9412.3170807609295</c:v>
                </c:pt>
                <c:pt idx="4">
                  <c:v>9158.3278957287839</c:v>
                </c:pt>
                <c:pt idx="5">
                  <c:v>8878.5637787646356</c:v>
                </c:pt>
                <c:pt idx="6">
                  <c:v>8599.940751813896</c:v>
                </c:pt>
                <c:pt idx="7">
                  <c:v>8334.6832742009774</c:v>
                </c:pt>
                <c:pt idx="8">
                  <c:v>8026.4753702879098</c:v>
                </c:pt>
                <c:pt idx="9">
                  <c:v>7661.4445647597695</c:v>
                </c:pt>
                <c:pt idx="10">
                  <c:v>7284.5164584803897</c:v>
                </c:pt>
                <c:pt idx="11">
                  <c:v>6964.8609670274845</c:v>
                </c:pt>
                <c:pt idx="12">
                  <c:v>6677.7336683154199</c:v>
                </c:pt>
                <c:pt idx="13">
                  <c:v>6392.2538098508458</c:v>
                </c:pt>
                <c:pt idx="14">
                  <c:v>6101.0485432855839</c:v>
                </c:pt>
                <c:pt idx="15">
                  <c:v>5816.6056093144152</c:v>
                </c:pt>
                <c:pt idx="16">
                  <c:v>5480.1263998982886</c:v>
                </c:pt>
                <c:pt idx="17">
                  <c:v>5001.3542238279779</c:v>
                </c:pt>
                <c:pt idx="18">
                  <c:v>4378.6857587374161</c:v>
                </c:pt>
                <c:pt idx="19">
                  <c:v>3745.6038917295314</c:v>
                </c:pt>
                <c:pt idx="20">
                  <c:v>3148.5137755573865</c:v>
                </c:pt>
                <c:pt idx="21">
                  <c:v>2567.2806883234543</c:v>
                </c:pt>
                <c:pt idx="22">
                  <c:v>1986.0678137294008</c:v>
                </c:pt>
                <c:pt idx="23">
                  <c:v>1454.0043020913115</c:v>
                </c:pt>
                <c:pt idx="24">
                  <c:v>1049.180195775346</c:v>
                </c:pt>
                <c:pt idx="25">
                  <c:v>784.12675101552475</c:v>
                </c:pt>
                <c:pt idx="26">
                  <c:v>648.62186552417882</c:v>
                </c:pt>
                <c:pt idx="27">
                  <c:v>577.86544910218402</c:v>
                </c:pt>
                <c:pt idx="28">
                  <c:v>542.13014146932505</c:v>
                </c:pt>
                <c:pt idx="29">
                  <c:v>519.06435890850435</c:v>
                </c:pt>
                <c:pt idx="30">
                  <c:v>506.56668178937065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9827.0404934265953</c:v>
                </c:pt>
                <c:pt idx="1">
                  <c:v>9554.6131285549327</c:v>
                </c:pt>
                <c:pt idx="2">
                  <c:v>9307.5270109220583</c:v>
                </c:pt>
                <c:pt idx="3">
                  <c:v>9052.7901664061646</c:v>
                </c:pt>
                <c:pt idx="4">
                  <c:v>8765.8976127630649</c:v>
                </c:pt>
                <c:pt idx="5">
                  <c:v>8497.5960737726527</c:v>
                </c:pt>
                <c:pt idx="6">
                  <c:v>8229.2269119551856</c:v>
                </c:pt>
                <c:pt idx="7">
                  <c:v>7906.9976228628248</c:v>
                </c:pt>
                <c:pt idx="8">
                  <c:v>7534.9505992492377</c:v>
                </c:pt>
                <c:pt idx="9">
                  <c:v>7166.8631213057552</c:v>
                </c:pt>
                <c:pt idx="10">
                  <c:v>6867.7062482363972</c:v>
                </c:pt>
                <c:pt idx="11">
                  <c:v>6578.6198965937929</c:v>
                </c:pt>
                <c:pt idx="12">
                  <c:v>6298.4876021181899</c:v>
                </c:pt>
                <c:pt idx="13">
                  <c:v>6004.311404381504</c:v>
                </c:pt>
                <c:pt idx="14">
                  <c:v>5728.9563133722204</c:v>
                </c:pt>
                <c:pt idx="15">
                  <c:v>5384.1034806229181</c:v>
                </c:pt>
                <c:pt idx="16">
                  <c:v>4946.9073871376504</c:v>
                </c:pt>
                <c:pt idx="17">
                  <c:v>4341.3949978794144</c:v>
                </c:pt>
                <c:pt idx="18">
                  <c:v>3695.6706844027317</c:v>
                </c:pt>
                <c:pt idx="19">
                  <c:v>3068.755950536985</c:v>
                </c:pt>
                <c:pt idx="20">
                  <c:v>2467.1652727793789</c:v>
                </c:pt>
                <c:pt idx="21">
                  <c:v>1870.2488465480699</c:v>
                </c:pt>
                <c:pt idx="22">
                  <c:v>1361.6454434772222</c:v>
                </c:pt>
                <c:pt idx="23">
                  <c:v>978.74851186182502</c:v>
                </c:pt>
                <c:pt idx="24">
                  <c:v>750.04973579798059</c:v>
                </c:pt>
                <c:pt idx="25">
                  <c:v>627.42168862186645</c:v>
                </c:pt>
                <c:pt idx="26">
                  <c:v>570.28890979557161</c:v>
                </c:pt>
                <c:pt idx="27">
                  <c:v>534.99091249150581</c:v>
                </c:pt>
                <c:pt idx="28">
                  <c:v>516.06818092277001</c:v>
                </c:pt>
                <c:pt idx="29">
                  <c:v>504.17354863560553</c:v>
                </c:pt>
                <c:pt idx="30">
                  <c:v>480.31847035858652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2.7596485775920713E-13</c:v>
                </c:pt>
                <c:pt idx="1">
                  <c:v>2.7596485775920709E-12</c:v>
                </c:pt>
                <c:pt idx="2">
                  <c:v>2.7596485775920709E-11</c:v>
                </c:pt>
                <c:pt idx="3">
                  <c:v>2.759648577592071E-10</c:v>
                </c:pt>
                <c:pt idx="4">
                  <c:v>2.7596485775920706E-9</c:v>
                </c:pt>
                <c:pt idx="5">
                  <c:v>2.759648577592071E-8</c:v>
                </c:pt>
                <c:pt idx="6">
                  <c:v>2.759648577592071E-7</c:v>
                </c:pt>
                <c:pt idx="7">
                  <c:v>2.7596485775920711E-6</c:v>
                </c:pt>
                <c:pt idx="8">
                  <c:v>2.7596485775920708E-5</c:v>
                </c:pt>
                <c:pt idx="9">
                  <c:v>2.7596485775920705E-4</c:v>
                </c:pt>
                <c:pt idx="10">
                  <c:v>2.7596485775920709E-3</c:v>
                </c:pt>
                <c:pt idx="11">
                  <c:v>2.759648577592071E-2</c:v>
                </c:pt>
                <c:pt idx="12">
                  <c:v>0.27596485775920709</c:v>
                </c:pt>
                <c:pt idx="13">
                  <c:v>2.7596485775920709</c:v>
                </c:pt>
                <c:pt idx="14">
                  <c:v>27.596485775920712</c:v>
                </c:pt>
                <c:pt idx="15">
                  <c:v>275.96485775920706</c:v>
                </c:pt>
                <c:pt idx="16">
                  <c:v>2759.648577592071</c:v>
                </c:pt>
                <c:pt idx="17">
                  <c:v>27596.485775920708</c:v>
                </c:pt>
                <c:pt idx="18">
                  <c:v>275964.85775920708</c:v>
                </c:pt>
                <c:pt idx="19">
                  <c:v>2759648.5775920707</c:v>
                </c:pt>
                <c:pt idx="20">
                  <c:v>27596485.775920708</c:v>
                </c:pt>
                <c:pt idx="21">
                  <c:v>275964857.75920707</c:v>
                </c:pt>
                <c:pt idx="22">
                  <c:v>2759648577.5920711</c:v>
                </c:pt>
                <c:pt idx="23">
                  <c:v>27596485775.920708</c:v>
                </c:pt>
                <c:pt idx="24">
                  <c:v>275964857759.20709</c:v>
                </c:pt>
                <c:pt idx="25">
                  <c:v>2759648577592.0708</c:v>
                </c:pt>
                <c:pt idx="26">
                  <c:v>27596485775920.707</c:v>
                </c:pt>
                <c:pt idx="27">
                  <c:v>275964857759207.09</c:v>
                </c:pt>
                <c:pt idx="28">
                  <c:v>2759648577592071</c:v>
                </c:pt>
                <c:pt idx="29">
                  <c:v>2.7596485775920708E+16</c:v>
                </c:pt>
                <c:pt idx="30">
                  <c:v>2.7596485775920707E+17</c:v>
                </c:pt>
              </c:numCache>
            </c:numRef>
          </c:xVal>
          <c:yVal>
            <c:numRef>
              <c:f>'Mastercurve bestimmen'!$O$404:$O$434</c:f>
              <c:numCache>
                <c:formatCode>0.00E+00</c:formatCode>
                <c:ptCount val="31"/>
                <c:pt idx="0">
                  <c:v>9149.8345482474924</c:v>
                </c:pt>
                <c:pt idx="1">
                  <c:v>8820.2788795776141</c:v>
                </c:pt>
                <c:pt idx="2">
                  <c:v>8533.8722605331295</c:v>
                </c:pt>
                <c:pt idx="3">
                  <c:v>8273.7015747988644</c:v>
                </c:pt>
                <c:pt idx="4">
                  <c:v>7979.0862222792848</c:v>
                </c:pt>
                <c:pt idx="5">
                  <c:v>7625.3190133909084</c:v>
                </c:pt>
                <c:pt idx="6">
                  <c:v>7251.0629198471606</c:v>
                </c:pt>
                <c:pt idx="7">
                  <c:v>6924.393407013602</c:v>
                </c:pt>
                <c:pt idx="8">
                  <c:v>6643.9609995540914</c:v>
                </c:pt>
                <c:pt idx="9">
                  <c:v>6360.2369441944311</c:v>
                </c:pt>
                <c:pt idx="10">
                  <c:v>6077.1759886859509</c:v>
                </c:pt>
                <c:pt idx="11">
                  <c:v>5794.3492029841209</c:v>
                </c:pt>
                <c:pt idx="12">
                  <c:v>5497.4610054881305</c:v>
                </c:pt>
                <c:pt idx="13">
                  <c:v>5142.3629386905741</c:v>
                </c:pt>
                <c:pt idx="14">
                  <c:v>4755.3271416437765</c:v>
                </c:pt>
                <c:pt idx="15">
                  <c:v>4259.9552232455089</c:v>
                </c:pt>
                <c:pt idx="16">
                  <c:v>3608.881023132205</c:v>
                </c:pt>
                <c:pt idx="17">
                  <c:v>2894.897040918956</c:v>
                </c:pt>
                <c:pt idx="18">
                  <c:v>2208.0535004045023</c:v>
                </c:pt>
                <c:pt idx="19">
                  <c:v>1590.7510281023892</c:v>
                </c:pt>
                <c:pt idx="20">
                  <c:v>1134.4072038150462</c:v>
                </c:pt>
                <c:pt idx="21">
                  <c:v>828.10892034291578</c:v>
                </c:pt>
                <c:pt idx="22">
                  <c:v>674.83435785785764</c:v>
                </c:pt>
                <c:pt idx="23">
                  <c:v>590.63358810768784</c:v>
                </c:pt>
                <c:pt idx="24">
                  <c:v>552.35798150339338</c:v>
                </c:pt>
                <c:pt idx="25">
                  <c:v>523.49731143746499</c:v>
                </c:pt>
                <c:pt idx="26">
                  <c:v>511.68260567729681</c:v>
                </c:pt>
                <c:pt idx="27">
                  <c:v>494.48298272135173</c:v>
                </c:pt>
                <c:pt idx="28">
                  <c:v>471.68716650538101</c:v>
                </c:pt>
                <c:pt idx="29">
                  <c:v>468.71385881352927</c:v>
                </c:pt>
                <c:pt idx="30">
                  <c:v>468.47657281171303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7.9647470253402662E-11</c:v>
                </c:pt>
                <c:pt idx="1">
                  <c:v>7.9647470253402654E-10</c:v>
                </c:pt>
                <c:pt idx="2">
                  <c:v>7.9647470253402654E-9</c:v>
                </c:pt>
                <c:pt idx="3">
                  <c:v>7.9647470253402661E-8</c:v>
                </c:pt>
                <c:pt idx="4">
                  <c:v>7.9647470253402647E-7</c:v>
                </c:pt>
                <c:pt idx="5">
                  <c:v>7.9647470253402666E-6</c:v>
                </c:pt>
                <c:pt idx="6">
                  <c:v>7.9647470253402656E-5</c:v>
                </c:pt>
                <c:pt idx="7">
                  <c:v>7.9647470253402654E-4</c:v>
                </c:pt>
                <c:pt idx="8">
                  <c:v>7.9647470253402658E-3</c:v>
                </c:pt>
                <c:pt idx="9">
                  <c:v>7.9647470253402658E-2</c:v>
                </c:pt>
                <c:pt idx="10">
                  <c:v>0.79647470253402664</c:v>
                </c:pt>
                <c:pt idx="11">
                  <c:v>7.9647470253402659</c:v>
                </c:pt>
                <c:pt idx="12">
                  <c:v>79.647470253402659</c:v>
                </c:pt>
                <c:pt idx="13">
                  <c:v>796.47470253402662</c:v>
                </c:pt>
                <c:pt idx="14">
                  <c:v>7964.7470253402662</c:v>
                </c:pt>
                <c:pt idx="15">
                  <c:v>79647.470253402658</c:v>
                </c:pt>
                <c:pt idx="16">
                  <c:v>796474.70253402658</c:v>
                </c:pt>
                <c:pt idx="17">
                  <c:v>7964747.0253402656</c:v>
                </c:pt>
                <c:pt idx="18">
                  <c:v>79647470.25340265</c:v>
                </c:pt>
                <c:pt idx="19">
                  <c:v>796474702.5340265</c:v>
                </c:pt>
                <c:pt idx="20">
                  <c:v>7964747025.3402653</c:v>
                </c:pt>
                <c:pt idx="21">
                  <c:v>79647470253.402649</c:v>
                </c:pt>
                <c:pt idx="22">
                  <c:v>796474702534.02661</c:v>
                </c:pt>
                <c:pt idx="23">
                  <c:v>7964747025340.2656</c:v>
                </c:pt>
                <c:pt idx="24">
                  <c:v>79647470253402.656</c:v>
                </c:pt>
                <c:pt idx="25">
                  <c:v>796474702534026.5</c:v>
                </c:pt>
                <c:pt idx="26">
                  <c:v>7964747025340266</c:v>
                </c:pt>
                <c:pt idx="27">
                  <c:v>7.9647470253402656E+16</c:v>
                </c:pt>
                <c:pt idx="28">
                  <c:v>7.9647470253402662E+17</c:v>
                </c:pt>
                <c:pt idx="29">
                  <c:v>7.9647470253402655E+18</c:v>
                </c:pt>
                <c:pt idx="30">
                  <c:v>7.9647470253402653E+19</c:v>
                </c:pt>
              </c:numCache>
            </c:numRef>
          </c:xVal>
          <c:yVal>
            <c:numRef>
              <c:f>'Mastercurve bestimmen'!$P$404:$P$434</c:f>
              <c:numCache>
                <c:formatCode>0.00E+00</c:formatCode>
                <c:ptCount val="31"/>
                <c:pt idx="0">
                  <c:v>8426.4757441054771</c:v>
                </c:pt>
                <c:pt idx="1">
                  <c:v>8085.1354599765227</c:v>
                </c:pt>
                <c:pt idx="2">
                  <c:v>7751.6368467103184</c:v>
                </c:pt>
                <c:pt idx="3">
                  <c:v>7379.8266913065718</c:v>
                </c:pt>
                <c:pt idx="4">
                  <c:v>7023.3701518062126</c:v>
                </c:pt>
                <c:pt idx="5">
                  <c:v>6738.7256441372629</c:v>
                </c:pt>
                <c:pt idx="6">
                  <c:v>6452.9254698981604</c:v>
                </c:pt>
                <c:pt idx="7">
                  <c:v>6178.6253583876323</c:v>
                </c:pt>
                <c:pt idx="8">
                  <c:v>5887.9416764587622</c:v>
                </c:pt>
                <c:pt idx="9">
                  <c:v>5619.2322674786419</c:v>
                </c:pt>
                <c:pt idx="10">
                  <c:v>5280.3661713673137</c:v>
                </c:pt>
                <c:pt idx="11">
                  <c:v>4925.7855811728932</c:v>
                </c:pt>
                <c:pt idx="12">
                  <c:v>4516.2157436003417</c:v>
                </c:pt>
                <c:pt idx="13">
                  <c:v>4054.7135164176284</c:v>
                </c:pt>
                <c:pt idx="14">
                  <c:v>3480.9757019740573</c:v>
                </c:pt>
                <c:pt idx="15">
                  <c:v>2776.8290278599252</c:v>
                </c:pt>
                <c:pt idx="16">
                  <c:v>2021.5623770745678</c:v>
                </c:pt>
                <c:pt idx="17">
                  <c:v>1425.0251284859655</c:v>
                </c:pt>
                <c:pt idx="18">
                  <c:v>1000.3144588532851</c:v>
                </c:pt>
                <c:pt idx="19">
                  <c:v>766.53007991277559</c:v>
                </c:pt>
                <c:pt idx="20">
                  <c:v>637.70408339015069</c:v>
                </c:pt>
                <c:pt idx="21">
                  <c:v>580.81989332695025</c:v>
                </c:pt>
                <c:pt idx="22">
                  <c:v>540.7919524224219</c:v>
                </c:pt>
                <c:pt idx="23">
                  <c:v>519.88174858869183</c:v>
                </c:pt>
                <c:pt idx="24">
                  <c:v>509.34643430573385</c:v>
                </c:pt>
                <c:pt idx="25">
                  <c:v>480.55733666885891</c:v>
                </c:pt>
                <c:pt idx="26">
                  <c:v>471.54124630560909</c:v>
                </c:pt>
                <c:pt idx="27">
                  <c:v>469.40352706055</c:v>
                </c:pt>
                <c:pt idx="28">
                  <c:v>469.06241231883331</c:v>
                </c:pt>
                <c:pt idx="29">
                  <c:v>467.11183046926152</c:v>
                </c:pt>
                <c:pt idx="30">
                  <c:v>466.16000667860783</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8309.7199443087939</c:v>
                </c:pt>
                <c:pt idx="1">
                  <c:v>8309.7199443087939</c:v>
                </c:pt>
                <c:pt idx="2">
                  <c:v>8309.7199443087939</c:v>
                </c:pt>
                <c:pt idx="3">
                  <c:v>8309.7199443087939</c:v>
                </c:pt>
                <c:pt idx="4">
                  <c:v>8309.7199443087939</c:v>
                </c:pt>
                <c:pt idx="5">
                  <c:v>8309.7199443087939</c:v>
                </c:pt>
                <c:pt idx="6">
                  <c:v>8309.7199443087939</c:v>
                </c:pt>
                <c:pt idx="7">
                  <c:v>7996.3307990949206</c:v>
                </c:pt>
                <c:pt idx="8">
                  <c:v>7617.6486299026192</c:v>
                </c:pt>
                <c:pt idx="9">
                  <c:v>7236.5169589567377</c:v>
                </c:pt>
                <c:pt idx="10">
                  <c:v>6914.0379157479592</c:v>
                </c:pt>
                <c:pt idx="11">
                  <c:v>6620.6719324342921</c:v>
                </c:pt>
                <c:pt idx="12">
                  <c:v>6335.3593263484045</c:v>
                </c:pt>
                <c:pt idx="13">
                  <c:v>6025.5063048494712</c:v>
                </c:pt>
                <c:pt idx="14">
                  <c:v>5734.8933663234775</c:v>
                </c:pt>
                <c:pt idx="15">
                  <c:v>5337.5579372305656</c:v>
                </c:pt>
                <c:pt idx="16">
                  <c:v>4875.4222371174665</c:v>
                </c:pt>
                <c:pt idx="17">
                  <c:v>4345.7450952677582</c:v>
                </c:pt>
                <c:pt idx="18">
                  <c:v>3806.2951734519488</c:v>
                </c:pt>
                <c:pt idx="19">
                  <c:v>3231.8355297183175</c:v>
                </c:pt>
                <c:pt idx="20">
                  <c:v>2558.1328867562443</c:v>
                </c:pt>
                <c:pt idx="21">
                  <c:v>1899.8852687746582</c:v>
                </c:pt>
                <c:pt idx="22">
                  <c:v>1348.5532541030429</c:v>
                </c:pt>
                <c:pt idx="23">
                  <c:v>969.21207678892347</c:v>
                </c:pt>
                <c:pt idx="24">
                  <c:v>750.94236102963646</c:v>
                </c:pt>
                <c:pt idx="25">
                  <c:v>750.94236102963646</c:v>
                </c:pt>
                <c:pt idx="26">
                  <c:v>750.94236102963646</c:v>
                </c:pt>
                <c:pt idx="27">
                  <c:v>750.94236102963646</c:v>
                </c:pt>
                <c:pt idx="28">
                  <c:v>750.94236102963646</c:v>
                </c:pt>
                <c:pt idx="29">
                  <c:v>750.94236102963646</c:v>
                </c:pt>
                <c:pt idx="30">
                  <c:v>750.94236102963646</c:v>
                </c:pt>
              </c:numCache>
            </c:numRef>
          </c:yVal>
          <c:smooth val="1"/>
        </c:ser>
        <c:dLbls>
          <c:showLegendKey val="0"/>
          <c:showVal val="0"/>
          <c:showCatName val="0"/>
          <c:showSerName val="0"/>
          <c:showPercent val="0"/>
          <c:showBubbleSize val="0"/>
        </c:dLbls>
        <c:axId val="563347896"/>
        <c:axId val="563348288"/>
      </c:scatterChart>
      <c:valAx>
        <c:axId val="56334789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63348288"/>
        <c:crosses val="autoZero"/>
        <c:crossBetween val="midCat"/>
      </c:valAx>
      <c:valAx>
        <c:axId val="563348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63347896"/>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8309.7199443087939</c:v>
                </c:pt>
                <c:pt idx="1">
                  <c:v>8309.7199443087939</c:v>
                </c:pt>
                <c:pt idx="2">
                  <c:v>8309.7199443087939</c:v>
                </c:pt>
                <c:pt idx="3">
                  <c:v>8309.7199443087939</c:v>
                </c:pt>
                <c:pt idx="4">
                  <c:v>8309.7199443087939</c:v>
                </c:pt>
                <c:pt idx="5">
                  <c:v>8309.7199443087939</c:v>
                </c:pt>
                <c:pt idx="6">
                  <c:v>8309.7199443087939</c:v>
                </c:pt>
                <c:pt idx="7">
                  <c:v>7996.3307990949206</c:v>
                </c:pt>
                <c:pt idx="8">
                  <c:v>7617.6486299026192</c:v>
                </c:pt>
                <c:pt idx="9">
                  <c:v>7236.5169589567377</c:v>
                </c:pt>
                <c:pt idx="10">
                  <c:v>6914.0379157479592</c:v>
                </c:pt>
                <c:pt idx="11">
                  <c:v>6620.6719324342921</c:v>
                </c:pt>
                <c:pt idx="12">
                  <c:v>6335.3593263484045</c:v>
                </c:pt>
                <c:pt idx="13">
                  <c:v>6025.5063048494712</c:v>
                </c:pt>
                <c:pt idx="14">
                  <c:v>5734.8933663234775</c:v>
                </c:pt>
                <c:pt idx="15">
                  <c:v>5337.5579372305656</c:v>
                </c:pt>
                <c:pt idx="16">
                  <c:v>4875.4222371174665</c:v>
                </c:pt>
                <c:pt idx="17">
                  <c:v>4345.7450952677582</c:v>
                </c:pt>
                <c:pt idx="18">
                  <c:v>3806.2951734519488</c:v>
                </c:pt>
                <c:pt idx="19">
                  <c:v>3231.8355297183175</c:v>
                </c:pt>
                <c:pt idx="20">
                  <c:v>2558.1328867562443</c:v>
                </c:pt>
                <c:pt idx="21">
                  <c:v>1899.8852687746582</c:v>
                </c:pt>
                <c:pt idx="22">
                  <c:v>1348.5532541030429</c:v>
                </c:pt>
                <c:pt idx="23">
                  <c:v>969.21207678892347</c:v>
                </c:pt>
                <c:pt idx="24">
                  <c:v>750.94236102963646</c:v>
                </c:pt>
                <c:pt idx="25">
                  <c:v>750.94236102963646</c:v>
                </c:pt>
                <c:pt idx="26">
                  <c:v>750.94236102963646</c:v>
                </c:pt>
                <c:pt idx="27">
                  <c:v>750.94236102963646</c:v>
                </c:pt>
                <c:pt idx="28">
                  <c:v>750.94236102963646</c:v>
                </c:pt>
                <c:pt idx="29">
                  <c:v>750.94236102963646</c:v>
                </c:pt>
                <c:pt idx="30">
                  <c:v>750.94236102963646</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9751.6351392988254</c:v>
                </c:pt>
                <c:pt idx="1">
                  <c:v>9652.1391232032292</c:v>
                </c:pt>
                <c:pt idx="2">
                  <c:v>9281.7180256624815</c:v>
                </c:pt>
                <c:pt idx="3">
                  <c:v>9056.9976227104416</c:v>
                </c:pt>
                <c:pt idx="4">
                  <c:v>8765.299766757651</c:v>
                </c:pt>
                <c:pt idx="5">
                  <c:v>8497.7161098855486</c:v>
                </c:pt>
                <c:pt idx="6">
                  <c:v>8229.0711647126773</c:v>
                </c:pt>
                <c:pt idx="7">
                  <c:v>7907.4163512592058</c:v>
                </c:pt>
                <c:pt idx="8">
                  <c:v>7533.935348244443</c:v>
                </c:pt>
                <c:pt idx="9">
                  <c:v>7168.9320785628051</c:v>
                </c:pt>
                <c:pt idx="10">
                  <c:v>6864.1655361567664</c:v>
                </c:pt>
                <c:pt idx="11">
                  <c:v>6583.7344307840567</c:v>
                </c:pt>
                <c:pt idx="12">
                  <c:v>6292.2129542161265</c:v>
                </c:pt>
                <c:pt idx="13">
                  <c:v>6010.8834707123797</c:v>
                </c:pt>
                <c:pt idx="14">
                  <c:v>5723.0554654011139</c:v>
                </c:pt>
                <c:pt idx="15">
                  <c:v>5388.6597565887823</c:v>
                </c:pt>
                <c:pt idx="16">
                  <c:v>4943.8744859160688</c:v>
                </c:pt>
                <c:pt idx="17">
                  <c:v>4343.1402640345814</c:v>
                </c:pt>
                <c:pt idx="18">
                  <c:v>3694.8057794181282</c:v>
                </c:pt>
                <c:pt idx="19">
                  <c:v>3069.1194418123946</c:v>
                </c:pt>
                <c:pt idx="20">
                  <c:v>2467.0432631801045</c:v>
                </c:pt>
                <c:pt idx="21">
                  <c:v>1870.2751362086153</c:v>
                </c:pt>
                <c:pt idx="22">
                  <c:v>1361.6484908850471</c:v>
                </c:pt>
                <c:pt idx="23">
                  <c:v>978.74002337824174</c:v>
                </c:pt>
                <c:pt idx="24">
                  <c:v>750.05401219655585</c:v>
                </c:pt>
                <c:pt idx="25">
                  <c:v>627.42048415632428</c:v>
                </c:pt>
                <c:pt idx="26">
                  <c:v>570.28826959871242</c:v>
                </c:pt>
                <c:pt idx="27">
                  <c:v>534.98952613647634</c:v>
                </c:pt>
                <c:pt idx="28">
                  <c:v>516.07524359775789</c:v>
                </c:pt>
                <c:pt idx="29">
                  <c:v>504.1696364389806</c:v>
                </c:pt>
                <c:pt idx="30">
                  <c:v>480.31732812659607</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8316.771738969841</c:v>
                </c:pt>
                <c:pt idx="1">
                  <c:v>8316.7712425232585</c:v>
                </c:pt>
                <c:pt idx="2">
                  <c:v>8316.7662780908558</c:v>
                </c:pt>
                <c:pt idx="3">
                  <c:v>8316.7166371083604</c:v>
                </c:pt>
                <c:pt idx="4">
                  <c:v>8316.2205612671205</c:v>
                </c:pt>
                <c:pt idx="5">
                  <c:v>8311.2930334418688</c:v>
                </c:pt>
                <c:pt idx="6">
                  <c:v>8265.1792540876941</c:v>
                </c:pt>
                <c:pt idx="7">
                  <c:v>8005.7356049914242</c:v>
                </c:pt>
                <c:pt idx="8">
                  <c:v>7615.7430856327182</c:v>
                </c:pt>
                <c:pt idx="9">
                  <c:v>7238.8087185128688</c:v>
                </c:pt>
                <c:pt idx="10">
                  <c:v>6910.2178335724193</c:v>
                </c:pt>
                <c:pt idx="11">
                  <c:v>6626.1922257911128</c:v>
                </c:pt>
                <c:pt idx="12">
                  <c:v>6328.5718196961416</c:v>
                </c:pt>
                <c:pt idx="13">
                  <c:v>6032.6333191228759</c:v>
                </c:pt>
                <c:pt idx="14">
                  <c:v>5728.4821362259081</c:v>
                </c:pt>
                <c:pt idx="15">
                  <c:v>5342.5141383570453</c:v>
                </c:pt>
                <c:pt idx="16">
                  <c:v>4872.1207918839273</c:v>
                </c:pt>
                <c:pt idx="17">
                  <c:v>4347.6433912567154</c:v>
                </c:pt>
                <c:pt idx="18">
                  <c:v>3805.350336602427</c:v>
                </c:pt>
                <c:pt idx="19">
                  <c:v>3232.2429328924513</c:v>
                </c:pt>
                <c:pt idx="20">
                  <c:v>2557.9809322701331</c:v>
                </c:pt>
                <c:pt idx="21">
                  <c:v>1899.9354056407537</c:v>
                </c:pt>
                <c:pt idx="22">
                  <c:v>1348.5315561670509</c:v>
                </c:pt>
                <c:pt idx="23">
                  <c:v>969.23551335732293</c:v>
                </c:pt>
                <c:pt idx="24">
                  <c:v>750.96353378116055</c:v>
                </c:pt>
                <c:pt idx="25">
                  <c:v>750.9365942189728</c:v>
                </c:pt>
                <c:pt idx="26">
                  <c:v>750.9365942189728</c:v>
                </c:pt>
                <c:pt idx="27">
                  <c:v>750.9365942189728</c:v>
                </c:pt>
                <c:pt idx="28">
                  <c:v>750.9365942189728</c:v>
                </c:pt>
                <c:pt idx="29">
                  <c:v>750.9365942189728</c:v>
                </c:pt>
                <c:pt idx="30">
                  <c:v>750.9365942189728</c:v>
                </c:pt>
              </c:numCache>
            </c:numRef>
          </c:yVal>
          <c:smooth val="1"/>
        </c:ser>
        <c:dLbls>
          <c:showLegendKey val="0"/>
          <c:showVal val="0"/>
          <c:showCatName val="0"/>
          <c:showSerName val="0"/>
          <c:showPercent val="0"/>
          <c:showBubbleSize val="0"/>
        </c:dLbls>
        <c:axId val="563345152"/>
        <c:axId val="563346328"/>
      </c:scatterChart>
      <c:valAx>
        <c:axId val="5633451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63346328"/>
        <c:crosses val="autoZero"/>
        <c:crossBetween val="midCat"/>
      </c:valAx>
      <c:valAx>
        <c:axId val="5633463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6334515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8.4862001467050268E-4</c:v>
                </c:pt>
                <c:pt idx="1">
                  <c:v>8.4856027179278819E-4</c:v>
                </c:pt>
                <c:pt idx="2">
                  <c:v>8.4796284703769396E-4</c:v>
                </c:pt>
                <c:pt idx="3">
                  <c:v>8.4198900160990992E-4</c:v>
                </c:pt>
                <c:pt idx="4">
                  <c:v>7.8229073926598734E-4</c:v>
                </c:pt>
                <c:pt idx="5">
                  <c:v>1.8930711788336002E-4</c:v>
                </c:pt>
                <c:pt idx="6">
                  <c:v>5.3600711599919876E-3</c:v>
                </c:pt>
                <c:pt idx="7">
                  <c:v>1.1761401738867661E-3</c:v>
                </c:pt>
                <c:pt idx="8">
                  <c:v>2.5014861704448143E-4</c:v>
                </c:pt>
                <c:pt idx="9">
                  <c:v>3.1669373113188659E-4</c:v>
                </c:pt>
                <c:pt idx="10">
                  <c:v>5.5251102497413506E-4</c:v>
                </c:pt>
                <c:pt idx="11">
                  <c:v>8.3379654106966535E-4</c:v>
                </c:pt>
                <c:pt idx="12">
                  <c:v>1.0713688525975206E-3</c:v>
                </c:pt>
                <c:pt idx="13">
                  <c:v>1.1828075372966949E-3</c:v>
                </c:pt>
                <c:pt idx="14">
                  <c:v>1.1179336193446077E-3</c:v>
                </c:pt>
                <c:pt idx="15">
                  <c:v>9.2855219273766222E-4</c:v>
                </c:pt>
                <c:pt idx="16">
                  <c:v>6.7716088432396714E-4</c:v>
                </c:pt>
                <c:pt idx="17">
                  <c:v>4.3681715041785129E-4</c:v>
                </c:pt>
                <c:pt idx="18">
                  <c:v>2.4823005218088678E-4</c:v>
                </c:pt>
                <c:pt idx="19">
                  <c:v>1.260593772138342E-4</c:v>
                </c:pt>
                <c:pt idx="20">
                  <c:v>5.940054439622523E-5</c:v>
                </c:pt>
                <c:pt idx="21">
                  <c:v>2.6389417781967202E-5</c:v>
                </c:pt>
                <c:pt idx="22">
                  <c:v>1.6089788019890506E-5</c:v>
                </c:pt>
                <c:pt idx="23">
                  <c:v>2.4181052796110709E-5</c:v>
                </c:pt>
                <c:pt idx="24">
                  <c:v>2.819490898750261E-5</c:v>
                </c:pt>
                <c:pt idx="25">
                  <c:v>7.6794318218396136E-6</c:v>
                </c:pt>
                <c:pt idx="26">
                  <c:v>7.6794318218396136E-6</c:v>
                </c:pt>
                <c:pt idx="27">
                  <c:v>7.6794318218396136E-6</c:v>
                </c:pt>
                <c:pt idx="28">
                  <c:v>7.6794318218396136E-6</c:v>
                </c:pt>
                <c:pt idx="29">
                  <c:v>7.6794318218396136E-6</c:v>
                </c:pt>
                <c:pt idx="30">
                  <c:v>7.6794318218396136E-6</c:v>
                </c:pt>
              </c:numCache>
            </c:numRef>
          </c:yVal>
          <c:smooth val="1"/>
        </c:ser>
        <c:dLbls>
          <c:showLegendKey val="0"/>
          <c:showVal val="0"/>
          <c:showCatName val="0"/>
          <c:showSerName val="0"/>
          <c:showPercent val="0"/>
          <c:showBubbleSize val="0"/>
        </c:dLbls>
        <c:axId val="563346720"/>
        <c:axId val="563345544"/>
      </c:scatterChart>
      <c:valAx>
        <c:axId val="56334672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63345544"/>
        <c:crossesAt val="-1.5000000000000005E-3"/>
        <c:crossBetween val="midCat"/>
      </c:valAx>
      <c:valAx>
        <c:axId val="563345544"/>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6334672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-11.391292098198942</c:v>
                </c:pt>
                <c:pt idx="1">
                  <c:v>-11.320162586546104</c:v>
                </c:pt>
                <c:pt idx="2">
                  <c:v>-11.248938508123944</c:v>
                </c:pt>
                <c:pt idx="3">
                  <c:v>-11.177525296163131</c:v>
                </c:pt>
                <c:pt idx="4">
                  <c:v>-11.105828383894343</c:v>
                </c:pt>
                <c:pt idx="5">
                  <c:v>-11.033753204548255</c:v>
                </c:pt>
                <c:pt idx="6">
                  <c:v>-10.961205191355541</c:v>
                </c:pt>
                <c:pt idx="7">
                  <c:v>-10.888089777546874</c:v>
                </c:pt>
                <c:pt idx="8">
                  <c:v>-10.814312396352934</c:v>
                </c:pt>
                <c:pt idx="9">
                  <c:v>-10.739778481004391</c:v>
                </c:pt>
                <c:pt idx="10">
                  <c:v>-10.664393464731923</c:v>
                </c:pt>
                <c:pt idx="11">
                  <c:v>-10.588062780766201</c:v>
                </c:pt>
                <c:pt idx="12">
                  <c:v>-10.510691862337904</c:v>
                </c:pt>
                <c:pt idx="13">
                  <c:v>-10.432186142677704</c:v>
                </c:pt>
                <c:pt idx="14">
                  <c:v>-10.352451055016278</c:v>
                </c:pt>
                <c:pt idx="15">
                  <c:v>-10.271392032584298</c:v>
                </c:pt>
                <c:pt idx="16">
                  <c:v>-10.188914508612442</c:v>
                </c:pt>
                <c:pt idx="17">
                  <c:v>-10.104923916331384</c:v>
                </c:pt>
                <c:pt idx="18">
                  <c:v>-10.019325688971795</c:v>
                </c:pt>
                <c:pt idx="19">
                  <c:v>-9.9320252597643552</c:v>
                </c:pt>
                <c:pt idx="20">
                  <c:v>-9.8429280619397375</c:v>
                </c:pt>
                <c:pt idx="21">
                  <c:v>-9.7519395287286166</c:v>
                </c:pt>
                <c:pt idx="22">
                  <c:v>-9.6589650933616653</c:v>
                </c:pt>
                <c:pt idx="23">
                  <c:v>-9.5639101890695635</c:v>
                </c:pt>
                <c:pt idx="24">
                  <c:v>-9.4666802490829802</c:v>
                </c:pt>
                <c:pt idx="25">
                  <c:v>-9.3671807066325936</c:v>
                </c:pt>
                <c:pt idx="26">
                  <c:v>-9.2653169949490781</c:v>
                </c:pt>
                <c:pt idx="27">
                  <c:v>-9.1609945472631082</c:v>
                </c:pt>
                <c:pt idx="28">
                  <c:v>-9.0541187968053585</c:v>
                </c:pt>
                <c:pt idx="29">
                  <c:v>-8.9445951768065051</c:v>
                </c:pt>
                <c:pt idx="30">
                  <c:v>-8.8323291204972225</c:v>
                </c:pt>
                <c:pt idx="31">
                  <c:v>-8.7172260611081835</c:v>
                </c:pt>
                <c:pt idx="32">
                  <c:v>-8.5991914318700644</c:v>
                </c:pt>
                <c:pt idx="33">
                  <c:v>-8.4781306660135396</c:v>
                </c:pt>
                <c:pt idx="34">
                  <c:v>-8.3539491967692854</c:v>
                </c:pt>
                <c:pt idx="35">
                  <c:v>-8.2265524573679762</c:v>
                </c:pt>
                <c:pt idx="36">
                  <c:v>-8.0958458810402849</c:v>
                </c:pt>
                <c:pt idx="37">
                  <c:v>-7.9617349010168876</c:v>
                </c:pt>
                <c:pt idx="38">
                  <c:v>-7.8241249505284598</c:v>
                </c:pt>
                <c:pt idx="39">
                  <c:v>-7.6829214628056759</c:v>
                </c:pt>
                <c:pt idx="40">
                  <c:v>-7.5380298710792095</c:v>
                </c:pt>
                <c:pt idx="41">
                  <c:v>-7.4597389021356246</c:v>
                </c:pt>
                <c:pt idx="42">
                  <c:v>-7.3778869705019599</c:v>
                </c:pt>
                <c:pt idx="43">
                  <c:v>-7.292695784261138</c:v>
                </c:pt>
                <c:pt idx="44">
                  <c:v>-7.2043870514960862</c:v>
                </c:pt>
                <c:pt idx="45">
                  <c:v>-7.1131824802897281</c:v>
                </c:pt>
                <c:pt idx="46">
                  <c:v>-7.0193037787249883</c:v>
                </c:pt>
                <c:pt idx="47">
                  <c:v>-6.9229726548847932</c:v>
                </c:pt>
                <c:pt idx="48">
                  <c:v>-6.8244108168520672</c:v>
                </c:pt>
                <c:pt idx="49">
                  <c:v>-6.7238399727097367</c:v>
                </c:pt>
                <c:pt idx="50">
                  <c:v>-6.6214818305407235</c:v>
                </c:pt>
                <c:pt idx="51">
                  <c:v>-6.5175580984279566</c:v>
                </c:pt>
                <c:pt idx="52">
                  <c:v>-6.4122904844543607</c:v>
                </c:pt>
                <c:pt idx="53">
                  <c:v>-6.3059006967028592</c:v>
                </c:pt>
                <c:pt idx="54">
                  <c:v>-6.1986104432563778</c:v>
                </c:pt>
                <c:pt idx="55">
                  <c:v>-6.0906414321978417</c:v>
                </c:pt>
                <c:pt idx="56">
                  <c:v>-5.9822153716101765</c:v>
                </c:pt>
                <c:pt idx="57">
                  <c:v>-5.8735539695763066</c:v>
                </c:pt>
                <c:pt idx="58">
                  <c:v>-5.7648789341791584</c:v>
                </c:pt>
                <c:pt idx="59">
                  <c:v>-5.6564119735016547</c:v>
                </c:pt>
                <c:pt idx="60">
                  <c:v>-5.5483747956267235</c:v>
                </c:pt>
                <c:pt idx="61">
                  <c:v>-5.4409891086372877</c:v>
                </c:pt>
                <c:pt idx="62">
                  <c:v>-5.3344766206162735</c:v>
                </c:pt>
                <c:pt idx="63">
                  <c:v>-5.2290590396466072</c:v>
                </c:pt>
                <c:pt idx="64">
                  <c:v>-5.1249580738112108</c:v>
                </c:pt>
                <c:pt idx="65">
                  <c:v>-5.0223954311930123</c:v>
                </c:pt>
                <c:pt idx="66">
                  <c:v>-4.9215413104619312</c:v>
                </c:pt>
                <c:pt idx="67">
                  <c:v>-4.8223598726358752</c:v>
                </c:pt>
                <c:pt idx="68">
                  <c:v>-4.7247637693197424</c:v>
                </c:pt>
                <c:pt idx="69">
                  <c:v>-4.6286656521184373</c:v>
                </c:pt>
                <c:pt idx="70">
                  <c:v>-4.5339781726368624</c:v>
                </c:pt>
                <c:pt idx="71">
                  <c:v>-4.4406139824799169</c:v>
                </c:pt>
                <c:pt idx="72">
                  <c:v>-4.3484857332525042</c:v>
                </c:pt>
                <c:pt idx="73">
                  <c:v>-4.2575060765595243</c:v>
                </c:pt>
                <c:pt idx="74">
                  <c:v>-4.1675876640058807</c:v>
                </c:pt>
                <c:pt idx="75">
                  <c:v>-4.078643147196475</c:v>
                </c:pt>
                <c:pt idx="76">
                  <c:v>-3.9905851777362069</c:v>
                </c:pt>
                <c:pt idx="77">
                  <c:v>-3.9033264072299803</c:v>
                </c:pt>
                <c:pt idx="78">
                  <c:v>-3.8167794872826954</c:v>
                </c:pt>
                <c:pt idx="79">
                  <c:v>-3.7308570694992547</c:v>
                </c:pt>
                <c:pt idx="80">
                  <c:v>-3.6454718054845601</c:v>
                </c:pt>
                <c:pt idx="81">
                  <c:v>-3.5605363468435129</c:v>
                </c:pt>
                <c:pt idx="82">
                  <c:v>-3.4759633451810146</c:v>
                </c:pt>
                <c:pt idx="83">
                  <c:v>-3.3916654521019667</c:v>
                </c:pt>
                <c:pt idx="84">
                  <c:v>-3.3075553192112719</c:v>
                </c:pt>
                <c:pt idx="85">
                  <c:v>-3.2235455981138306</c:v>
                </c:pt>
                <c:pt idx="86">
                  <c:v>-3.1395489404145458</c:v>
                </c:pt>
                <c:pt idx="87">
                  <c:v>-3.0554779977183184</c:v>
                </c:pt>
                <c:pt idx="88">
                  <c:v>-2.9712454216300501</c:v>
                </c:pt>
                <c:pt idx="89">
                  <c:v>-2.8867638637546431</c:v>
                </c:pt>
                <c:pt idx="90">
                  <c:v>-2.8019459756969982</c:v>
                </c:pt>
                <c:pt idx="91">
                  <c:v>-2.716716713959813</c:v>
                </c:pt>
                <c:pt idx="92">
                  <c:v>-2.6310502546369627</c:v>
                </c:pt>
                <c:pt idx="93">
                  <c:v>-2.5449330787201179</c:v>
                </c:pt>
                <c:pt idx="94">
                  <c:v>-2.4583516672009487</c:v>
                </c:pt>
                <c:pt idx="95">
                  <c:v>-2.3712925010711272</c:v>
                </c:pt>
                <c:pt idx="96">
                  <c:v>-2.2837420613223234</c:v>
                </c:pt>
                <c:pt idx="97">
                  <c:v>-2.195686828946207</c:v>
                </c:pt>
                <c:pt idx="98">
                  <c:v>-2.1071132849344507</c:v>
                </c:pt>
                <c:pt idx="99">
                  <c:v>-2.0180079102787234</c:v>
                </c:pt>
                <c:pt idx="100">
                  <c:v>-1.9283571859706961</c:v>
                </c:pt>
                <c:pt idx="101">
                  <c:v>-1.8381475930020399</c:v>
                </c:pt>
                <c:pt idx="102">
                  <c:v>-1.747365612364425</c:v>
                </c:pt>
                <c:pt idx="103">
                  <c:v>-1.6559977250495226</c:v>
                </c:pt>
                <c:pt idx="104">
                  <c:v>-1.5640304120490025</c:v>
                </c:pt>
                <c:pt idx="105">
                  <c:v>-1.4714501543545362</c:v>
                </c:pt>
                <c:pt idx="106">
                  <c:v>-1.3782434329577942</c:v>
                </c:pt>
                <c:pt idx="107">
                  <c:v>-1.2843967288504465</c:v>
                </c:pt>
                <c:pt idx="108">
                  <c:v>-1.1898965230241643</c:v>
                </c:pt>
                <c:pt idx="109">
                  <c:v>-1.0947292964706188</c:v>
                </c:pt>
                <c:pt idx="110">
                  <c:v>-0.99888153018147929</c:v>
                </c:pt>
                <c:pt idx="111">
                  <c:v>-0.90233970514841733</c:v>
                </c:pt>
                <c:pt idx="112">
                  <c:v>-0.80509030236310353</c:v>
                </c:pt>
                <c:pt idx="113">
                  <c:v>-0.70711980281720843</c:v>
                </c:pt>
                <c:pt idx="114">
                  <c:v>-0.60841468750240257</c:v>
                </c:pt>
                <c:pt idx="115">
                  <c:v>-0.5089614374103566</c:v>
                </c:pt>
                <c:pt idx="116">
                  <c:v>-0.40874653353274143</c:v>
                </c:pt>
                <c:pt idx="117">
                  <c:v>-0.30775645686122749</c:v>
                </c:pt>
                <c:pt idx="118">
                  <c:v>-0.20597768838748554</c:v>
                </c:pt>
                <c:pt idx="119">
                  <c:v>-0.10339670910318614</c:v>
                </c:pt>
                <c:pt idx="120">
                  <c:v>0</c:v>
                </c:pt>
                <c:pt idx="121">
                  <c:v>0.10422490367019262</c:v>
                </c:pt>
                <c:pt idx="122">
                  <c:v>0.20928624961467301</c:v>
                </c:pt>
                <c:pt idx="123">
                  <c:v>0.31519123128051296</c:v>
                </c:pt>
                <c:pt idx="124">
                  <c:v>0.42194704211478407</c:v>
                </c:pt>
                <c:pt idx="125">
                  <c:v>0.529560875564558</c:v>
                </c:pt>
                <c:pt idx="126">
                  <c:v>0.63803992507690666</c:v>
                </c:pt>
                <c:pt idx="127">
                  <c:v>0.74739138409890149</c:v>
                </c:pt>
                <c:pt idx="128">
                  <c:v>0.8576224460776144</c:v>
                </c:pt>
                <c:pt idx="129">
                  <c:v>0.96874030446011683</c:v>
                </c:pt>
                <c:pt idx="130">
                  <c:v>1.0807521526934809</c:v>
                </c:pt>
                <c:pt idx="131">
                  <c:v>1.1936651842247779</c:v>
                </c:pt>
                <c:pt idx="132">
                  <c:v>1.3074865925010797</c:v>
                </c:pt>
                <c:pt idx="133">
                  <c:v>1.4222235709694582</c:v>
                </c:pt>
                <c:pt idx="134">
                  <c:v>1.5378833130769844</c:v>
                </c:pt>
                <c:pt idx="135">
                  <c:v>1.6544730122707307</c:v>
                </c:pt>
                <c:pt idx="136">
                  <c:v>1.7719998619977688</c:v>
                </c:pt>
                <c:pt idx="137">
                  <c:v>1.89047105570517</c:v>
                </c:pt>
                <c:pt idx="138">
                  <c:v>2.009893786840006</c:v>
                </c:pt>
                <c:pt idx="139">
                  <c:v>2.1302752488493488</c:v>
                </c:pt>
                <c:pt idx="140">
                  <c:v>2.2516226351802699</c:v>
                </c:pt>
                <c:pt idx="141">
                  <c:v>2.3739431392798416</c:v>
                </c:pt>
                <c:pt idx="142">
                  <c:v>2.4972439545951346</c:v>
                </c:pt>
                <c:pt idx="143">
                  <c:v>2.6215322745732212</c:v>
                </c:pt>
                <c:pt idx="144">
                  <c:v>2.7468152926611729</c:v>
                </c:pt>
                <c:pt idx="145">
                  <c:v>2.8731002023060617</c:v>
                </c:pt>
                <c:pt idx="146">
                  <c:v>3.0003941969549586</c:v>
                </c:pt>
                <c:pt idx="147">
                  <c:v>3.1287044700549358</c:v>
                </c:pt>
                <c:pt idx="148">
                  <c:v>3.2580382150530651</c:v>
                </c:pt>
                <c:pt idx="149">
                  <c:v>3.3884026253964179</c:v>
                </c:pt>
                <c:pt idx="150">
                  <c:v>3.5198048945320664</c:v>
                </c:pt>
                <c:pt idx="151">
                  <c:v>3.6522522159070818</c:v>
                </c:pt>
                <c:pt idx="152">
                  <c:v>3.7857517829685361</c:v>
                </c:pt>
                <c:pt idx="153">
                  <c:v>3.9203107891635005</c:v>
                </c:pt>
                <c:pt idx="154">
                  <c:v>4.0559364279390477</c:v>
                </c:pt>
                <c:pt idx="155">
                  <c:v>4.1926358927422482</c:v>
                </c:pt>
                <c:pt idx="156">
                  <c:v>4.3304163770201738</c:v>
                </c:pt>
                <c:pt idx="157">
                  <c:v>4.469285074219898</c:v>
                </c:pt>
                <c:pt idx="158">
                  <c:v>4.6092491777884899</c:v>
                </c:pt>
                <c:pt idx="159">
                  <c:v>4.7503158811730231</c:v>
                </c:pt>
                <c:pt idx="160">
                  <c:v>4.8924923778205684</c:v>
                </c:pt>
                <c:pt idx="161">
                  <c:v>5.0357858611781978</c:v>
                </c:pt>
                <c:pt idx="162">
                  <c:v>5.180203524692983</c:v>
                </c:pt>
                <c:pt idx="163">
                  <c:v>5.3257525618119947</c:v>
                </c:pt>
                <c:pt idx="164">
                  <c:v>5.4724401659823068</c:v>
                </c:pt>
                <c:pt idx="165">
                  <c:v>5.620273530650989</c:v>
                </c:pt>
                <c:pt idx="166">
                  <c:v>5.7692531601003871</c:v>
                </c:pt>
                <c:pt idx="167">
                  <c:v>5.9193528019539272</c:v>
                </c:pt>
                <c:pt idx="168">
                  <c:v>6.0705395146703145</c:v>
                </c:pt>
                <c:pt idx="169">
                  <c:v>6.2227803567082498</c:v>
                </c:pt>
                <c:pt idx="170">
                  <c:v>6.3760423865264322</c:v>
                </c:pt>
                <c:pt idx="171">
                  <c:v>6.530292662583566</c:v>
                </c:pt>
                <c:pt idx="172">
                  <c:v>6.685498243338353</c:v>
                </c:pt>
                <c:pt idx="173">
                  <c:v>6.8416261872494939</c:v>
                </c:pt>
                <c:pt idx="174">
                  <c:v>6.9986435527756887</c:v>
                </c:pt>
                <c:pt idx="175">
                  <c:v>7.1565173983756427</c:v>
                </c:pt>
                <c:pt idx="176">
                  <c:v>7.3152147825080549</c:v>
                </c:pt>
                <c:pt idx="177">
                  <c:v>7.4747027636316279</c:v>
                </c:pt>
                <c:pt idx="178">
                  <c:v>7.6349484002050634</c:v>
                </c:pt>
                <c:pt idx="179">
                  <c:v>7.7959187506870622</c:v>
                </c:pt>
                <c:pt idx="180">
                  <c:v>7.957580873536326</c:v>
                </c:pt>
                <c:pt idx="181">
                  <c:v>8.1199018272115584</c:v>
                </c:pt>
                <c:pt idx="182">
                  <c:v>8.2828486701714592</c:v>
                </c:pt>
                <c:pt idx="183">
                  <c:v>8.4463884608747293</c:v>
                </c:pt>
                <c:pt idx="184">
                  <c:v>8.610488257780073</c:v>
                </c:pt>
                <c:pt idx="185">
                  <c:v>8.7751151193461894</c:v>
                </c:pt>
                <c:pt idx="186">
                  <c:v>8.9402361040317828</c:v>
                </c:pt>
                <c:pt idx="187">
                  <c:v>9.1058182702955506</c:v>
                </c:pt>
                <c:pt idx="188">
                  <c:v>9.2718286765961988</c:v>
                </c:pt>
                <c:pt idx="189">
                  <c:v>9.4382343813924265</c:v>
                </c:pt>
                <c:pt idx="190">
                  <c:v>9.6050024431429364</c:v>
                </c:pt>
                <c:pt idx="191">
                  <c:v>9.7720999203064309</c:v>
                </c:pt>
                <c:pt idx="192">
                  <c:v>9.939493871341611</c:v>
                </c:pt>
                <c:pt idx="193">
                  <c:v>10.107151354707176</c:v>
                </c:pt>
                <c:pt idx="194">
                  <c:v>10.275039428861829</c:v>
                </c:pt>
                <c:pt idx="195">
                  <c:v>10.443125152264274</c:v>
                </c:pt>
                <c:pt idx="196">
                  <c:v>10.611375583373212</c:v>
                </c:pt>
                <c:pt idx="197">
                  <c:v>10.779757780647341</c:v>
                </c:pt>
                <c:pt idx="198">
                  <c:v>10.948238802545363</c:v>
                </c:pt>
                <c:pt idx="199">
                  <c:v>11.116785707525986</c:v>
                </c:pt>
                <c:pt idx="200">
                  <c:v>11.285365554047907</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-11.391292098198942</c:v>
                </c:pt>
                <c:pt idx="1">
                  <c:v>-7.5380298710792095</c:v>
                </c:pt>
                <c:pt idx="2">
                  <c:v>-5.0223954311930123</c:v>
                </c:pt>
                <c:pt idx="3">
                  <c:v>-2.8019459756969982</c:v>
                </c:pt>
                <c:pt idx="4">
                  <c:v>0</c:v>
                </c:pt>
                <c:pt idx="5">
                  <c:v>5.6202735306509899</c:v>
                </c:pt>
                <c:pt idx="6">
                  <c:v>11.285365554047905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-11.360428551090584</c:v>
                </c:pt>
                <c:pt idx="1">
                  <c:v>-11.299869447155142</c:v>
                </c:pt>
                <c:pt idx="2">
                  <c:v>-11.238242808084763</c:v>
                </c:pt>
                <c:pt idx="3">
                  <c:v>-11.175349987349399</c:v>
                </c:pt>
                <c:pt idx="4">
                  <c:v>-11.111018573891938</c:v>
                </c:pt>
                <c:pt idx="5">
                  <c:v>-11.045100774770111</c:v>
                </c:pt>
                <c:pt idx="6">
                  <c:v>-10.977471857690936</c:v>
                </c:pt>
                <c:pt idx="7">
                  <c:v>-10.908028652128868</c:v>
                </c:pt>
                <c:pt idx="8">
                  <c:v>-10.836688107732265</c:v>
                </c:pt>
                <c:pt idx="9">
                  <c:v>-10.763385908735877</c:v>
                </c:pt>
                <c:pt idx="10">
                  <c:v>-10.688075143110368</c:v>
                </c:pt>
                <c:pt idx="11">
                  <c:v>-10.610725025193011</c:v>
                </c:pt>
                <c:pt idx="12">
                  <c:v>-10.531319670557123</c:v>
                </c:pt>
                <c:pt idx="13">
                  <c:v>-10.449856921890738</c:v>
                </c:pt>
                <c:pt idx="14">
                  <c:v>-10.366347224668605</c:v>
                </c:pt>
                <c:pt idx="15">
                  <c:v>-10.280812551414488</c:v>
                </c:pt>
                <c:pt idx="16">
                  <c:v>-10.193285373364191</c:v>
                </c:pt>
                <c:pt idx="17">
                  <c:v>-10.103807678352922</c:v>
                </c:pt>
                <c:pt idx="18">
                  <c:v>-10.012430033763751</c:v>
                </c:pt>
                <c:pt idx="19">
                  <c:v>-9.9192106933872672</c:v>
                </c:pt>
                <c:pt idx="20">
                  <c:v>-9.8242147470556684</c:v>
                </c:pt>
                <c:pt idx="21">
                  <c:v>-9.7275133119278223</c:v>
                </c:pt>
                <c:pt idx="22">
                  <c:v>-9.6291827643150452</c:v>
                </c:pt>
                <c:pt idx="23">
                  <c:v>-9.5293040109505096</c:v>
                </c:pt>
                <c:pt idx="24">
                  <c:v>-9.4279617986185613</c:v>
                </c:pt>
                <c:pt idx="25">
                  <c:v>-9.3252440610732847</c:v>
                </c:pt>
                <c:pt idx="26">
                  <c:v>-9.2212413021890516</c:v>
                </c:pt>
                <c:pt idx="27">
                  <c:v>-9.1160460142988953</c:v>
                </c:pt>
                <c:pt idx="28">
                  <c:v>-9.0097521306898258</c:v>
                </c:pt>
                <c:pt idx="29">
                  <c:v>-8.9024545112374796</c:v>
                </c:pt>
                <c:pt idx="30">
                  <c:v>-8.7942484601755915</c:v>
                </c:pt>
                <c:pt idx="31">
                  <c:v>-8.6852292750092062</c:v>
                </c:pt>
                <c:pt idx="32">
                  <c:v>-8.5754918255935877</c:v>
                </c:pt>
                <c:pt idx="33">
                  <c:v>-8.4651301624140842</c:v>
                </c:pt>
                <c:pt idx="34">
                  <c:v>-8.3542371531155339</c:v>
                </c:pt>
                <c:pt idx="35">
                  <c:v>-8.2429041463428128</c:v>
                </c:pt>
                <c:pt idx="36">
                  <c:v>-8.1312206619676104</c:v>
                </c:pt>
                <c:pt idx="37">
                  <c:v>-8.0192741067895028</c:v>
                </c:pt>
                <c:pt idx="38">
                  <c:v>-7.9071495148127937</c:v>
                </c:pt>
                <c:pt idx="39">
                  <c:v>-7.7949293112138109</c:v>
                </c:pt>
                <c:pt idx="40">
                  <c:v>-7.6826930991264142</c:v>
                </c:pt>
                <c:pt idx="41">
                  <c:v>-7.5705174683869547</c:v>
                </c:pt>
                <c:pt idx="42">
                  <c:v>-7.4584758253929095</c:v>
                </c:pt>
                <c:pt idx="43">
                  <c:v>-7.3466382432428352</c:v>
                </c:pt>
                <c:pt idx="44">
                  <c:v>-7.2350713313383865</c:v>
                </c:pt>
                <c:pt idx="45">
                  <c:v>-7.1238381236424386</c:v>
                </c:pt>
                <c:pt idx="46">
                  <c:v>-7.0129979848005695</c:v>
                </c:pt>
                <c:pt idx="47">
                  <c:v>-6.9026065333463951</c:v>
                </c:pt>
                <c:pt idx="48">
                  <c:v>-6.7927155812244342</c:v>
                </c:pt>
                <c:pt idx="49">
                  <c:v>-6.6833730888775094</c:v>
                </c:pt>
                <c:pt idx="50">
                  <c:v>-6.5746231351587792</c:v>
                </c:pt>
                <c:pt idx="51">
                  <c:v>-6.4665059013418809</c:v>
                </c:pt>
                <c:pt idx="52">
                  <c:v>-6.3590576685157494</c:v>
                </c:pt>
                <c:pt idx="53">
                  <c:v>-6.252310827664032</c:v>
                </c:pt>
                <c:pt idx="54">
                  <c:v>-6.1462939017421592</c:v>
                </c:pt>
                <c:pt idx="55">
                  <c:v>-6.0410315790783802</c:v>
                </c:pt>
                <c:pt idx="56">
                  <c:v>-5.936544757438365</c:v>
                </c:pt>
                <c:pt idx="57">
                  <c:v>-5.8328505981061118</c:v>
                </c:pt>
                <c:pt idx="58">
                  <c:v>-5.7299625893471822</c:v>
                </c:pt>
                <c:pt idx="59">
                  <c:v>-5.6278906186335131</c:v>
                </c:pt>
                <c:pt idx="60">
                  <c:v>-5.5266410530222698</c:v>
                </c:pt>
                <c:pt idx="61">
                  <c:v>-5.4262168270944438</c:v>
                </c:pt>
                <c:pt idx="62">
                  <c:v>-5.3266175378721394</c:v>
                </c:pt>
                <c:pt idx="63">
                  <c:v>-5.2278395461466758</c:v>
                </c:pt>
                <c:pt idx="64">
                  <c:v>-5.1298760836629276</c:v>
                </c:pt>
                <c:pt idx="65">
                  <c:v>-5.0327173656185176</c:v>
                </c:pt>
                <c:pt idx="66">
                  <c:v>-4.9363507079497033</c:v>
                </c:pt>
                <c:pt idx="67">
                  <c:v>-4.8407606488890442</c:v>
                </c:pt>
                <c:pt idx="68">
                  <c:v>-4.7459290742931532</c:v>
                </c:pt>
                <c:pt idx="69">
                  <c:v>-4.6518353462520823</c:v>
                </c:pt>
                <c:pt idx="70">
                  <c:v>-4.5584564345051071</c:v>
                </c:pt>
                <c:pt idx="71">
                  <c:v>-4.4657670502009017</c:v>
                </c:pt>
                <c:pt idx="72">
                  <c:v>-4.3737397815533567</c:v>
                </c:pt>
                <c:pt idx="73">
                  <c:v>-4.2823452309574641</c:v>
                </c:pt>
                <c:pt idx="74">
                  <c:v>-4.1915521531429896</c:v>
                </c:pt>
                <c:pt idx="75">
                  <c:v>-4.1013275939568423</c:v>
                </c:pt>
                <c:pt idx="76">
                  <c:v>-4.0116370293782779</c:v>
                </c:pt>
                <c:pt idx="77">
                  <c:v>-3.9224445043843335</c:v>
                </c:pt>
                <c:pt idx="78">
                  <c:v>-3.8337127712960783</c:v>
                </c:pt>
                <c:pt idx="79">
                  <c:v>-3.7454034272495522</c:v>
                </c:pt>
                <c:pt idx="80">
                  <c:v>-3.6574770504484246</c:v>
                </c:pt>
                <c:pt idx="81">
                  <c:v>-3.5698933348686936</c:v>
                </c:pt>
                <c:pt idx="82">
                  <c:v>-3.4826112230989454</c:v>
                </c:pt>
                <c:pt idx="83">
                  <c:v>-3.3955890370129391</c:v>
                </c:pt>
                <c:pt idx="84">
                  <c:v>-3.3087846059844832</c:v>
                </c:pt>
                <c:pt idx="85">
                  <c:v>-3.2221553923678559</c:v>
                </c:pt>
                <c:pt idx="86">
                  <c:v>-3.1356586139801776</c:v>
                </c:pt>
                <c:pt idx="87">
                  <c:v>-3.0492513633354434</c:v>
                </c:pt>
                <c:pt idx="88">
                  <c:v>-2.9628907233931034</c:v>
                </c:pt>
                <c:pt idx="89">
                  <c:v>-2.8765338795973352</c:v>
                </c:pt>
                <c:pt idx="90">
                  <c:v>-2.7901382279963758</c:v>
                </c:pt>
                <c:pt idx="91">
                  <c:v>-2.7036614792445031</c:v>
                </c:pt>
                <c:pt idx="92">
                  <c:v>-2.617061758302496</c:v>
                </c:pt>
                <c:pt idx="93">
                  <c:v>-2.530297699665633</c:v>
                </c:pt>
                <c:pt idx="94">
                  <c:v>-2.443328537961508</c:v>
                </c:pt>
                <c:pt idx="95">
                  <c:v>-2.3561141937731858</c:v>
                </c:pt>
                <c:pt idx="96">
                  <c:v>-2.2686153545564292</c:v>
                </c:pt>
                <c:pt idx="97">
                  <c:v>-2.1807935505329983</c:v>
                </c:pt>
                <c:pt idx="98">
                  <c:v>-2.0926112254551943</c:v>
                </c:pt>
                <c:pt idx="99">
                  <c:v>-2.0040318021501089</c:v>
                </c:pt>
                <c:pt idx="100">
                  <c:v>-1.9150197427652333</c:v>
                </c:pt>
                <c:pt idx="101">
                  <c:v>-1.8255406036503194</c:v>
                </c:pt>
                <c:pt idx="102">
                  <c:v>-1.7355610848236196</c:v>
                </c:pt>
                <c:pt idx="103">
                  <c:v>-1.645049073983867</c:v>
                </c:pt>
                <c:pt idx="104">
                  <c:v>-1.5539736850425607</c:v>
                </c:pt>
                <c:pt idx="105">
                  <c:v>-1.4623052911643943</c:v>
                </c:pt>
                <c:pt idx="106">
                  <c:v>-1.3700155523168485</c:v>
                </c:pt>
                <c:pt idx="107">
                  <c:v>-1.2770774373432399</c:v>
                </c:pt>
                <c:pt idx="108">
                  <c:v>-1.1834652405867154</c:v>
                </c:pt>
                <c:pt idx="109">
                  <c:v>-1.0891545931059332</c:v>
                </c:pt>
                <c:pt idx="110">
                  <c:v>-0.9941224685363883</c:v>
                </c:pt>
                <c:pt idx="111">
                  <c:v>-0.89834718366458177</c:v>
                </c:pt>
                <c:pt idx="112">
                  <c:v>-0.80180839379544855</c:v>
                </c:pt>
                <c:pt idx="113">
                  <c:v>-0.70448708300670082</c:v>
                </c:pt>
                <c:pt idx="114">
                  <c:v>-0.60636554939696974</c:v>
                </c:pt>
                <c:pt idx="115">
                  <c:v>-0.50742738544785382</c:v>
                </c:pt>
                <c:pt idx="116">
                  <c:v>-0.40765745363321992</c:v>
                </c:pt>
                <c:pt idx="117">
                  <c:v>-0.30704185742232398</c:v>
                </c:pt>
                <c:pt idx="118">
                  <c:v>-0.20556790783655887</c:v>
                </c:pt>
                <c:pt idx="119">
                  <c:v>-0.10322408573285544</c:v>
                </c:pt>
                <c:pt idx="120">
                  <c:v>0</c:v>
                </c:pt>
                <c:pt idx="121">
                  <c:v>0.10411365813263995</c:v>
                </c:pt>
                <c:pt idx="122">
                  <c:v>0.2091251644612625</c:v>
                </c:pt>
                <c:pt idx="123">
                  <c:v>0.31504181462269881</c:v>
                </c:pt>
                <c:pt idx="124">
                  <c:v>0.42186998011922128</c:v>
                </c:pt>
                <c:pt idx="125">
                  <c:v>0.52961516730068225</c:v>
                </c:pt>
                <c:pt idx="126">
                  <c:v>0.63828207903834255</c:v>
                </c:pt>
                <c:pt idx="127">
                  <c:v>0.74787467881152081</c:v>
                </c:pt>
                <c:pt idx="128">
                  <c:v>0.85839625691496124</c:v>
                </c:pt>
                <c:pt idx="129">
                  <c:v>0.96984949848159574</c:v>
                </c:pt>
                <c:pt idx="130">
                  <c:v>1.0822365530021336</c:v>
                </c:pt>
                <c:pt idx="131">
                  <c:v>1.1955591050096956</c:v>
                </c:pt>
                <c:pt idx="132">
                  <c:v>1.3098184455844679</c:v>
                </c:pt>
                <c:pt idx="133">
                  <c:v>1.4250155443201356</c:v>
                </c:pt>
                <c:pt idx="134">
                  <c:v>1.5411511213806064</c:v>
                </c:pt>
                <c:pt idx="135">
                  <c:v>1.6582257192623187</c:v>
                </c:pt>
                <c:pt idx="136">
                  <c:v>1.7762397738642071</c:v>
                </c:pt>
                <c:pt idx="137">
                  <c:v>1.8951936844541375</c:v>
                </c:pt>
                <c:pt idx="138">
                  <c:v>2.0150878821074301</c:v>
                </c:pt>
                <c:pt idx="139">
                  <c:v>2.1359228961798347</c:v>
                </c:pt>
                <c:pt idx="140">
                  <c:v>2.257699418364099</c:v>
                </c:pt>
                <c:pt idx="141">
                  <c:v>2.3804183638660512</c:v>
                </c:pt>
                <c:pt idx="142">
                  <c:v>2.5040809292228681</c:v>
                </c:pt>
                <c:pt idx="143">
                  <c:v>2.6286886462729901</c:v>
                </c:pt>
                <c:pt idx="144">
                  <c:v>2.7542434317739017</c:v>
                </c:pt>
                <c:pt idx="145">
                  <c:v>2.8807476321507721</c:v>
                </c:pt>
                <c:pt idx="146">
                  <c:v>3.0082040628457185</c:v>
                </c:pt>
                <c:pt idx="147">
                  <c:v>3.1366160417242277</c:v>
                </c:pt>
                <c:pt idx="148">
                  <c:v>3.2659874159820337</c:v>
                </c:pt>
                <c:pt idx="149">
                  <c:v>3.3963225819825338</c:v>
                </c:pt>
                <c:pt idx="150">
                  <c:v>3.5276264974415823</c:v>
                </c:pt>
                <c:pt idx="151">
                  <c:v>3.6599046853632671</c:v>
                </c:pt>
                <c:pt idx="152">
                  <c:v>3.7931632291170789</c:v>
                </c:pt>
                <c:pt idx="153">
                  <c:v>3.9274087580335966</c:v>
                </c:pt>
                <c:pt idx="154">
                  <c:v>4.0626484228826323</c:v>
                </c:pt>
                <c:pt idx="155">
                  <c:v>4.1988898605845355</c:v>
                </c:pt>
                <c:pt idx="156">
                  <c:v>4.3361411474920928</c:v>
                </c:pt>
                <c:pt idx="157">
                  <c:v>4.474410740567297</c:v>
                </c:pt>
                <c:pt idx="158">
                  <c:v>4.6137074057639662</c:v>
                </c:pt>
                <c:pt idx="159">
                  <c:v>4.7540401329139881</c:v>
                </c:pt>
                <c:pt idx="160">
                  <c:v>4.8954180364017397</c:v>
                </c:pt>
                <c:pt idx="161">
                  <c:v>5.0378502408980212</c:v>
                </c:pt>
                <c:pt idx="162">
                  <c:v>5.1813457514115342</c:v>
                </c:pt>
                <c:pt idx="163">
                  <c:v>5.3259133069028239</c:v>
                </c:pt>
                <c:pt idx="164">
                  <c:v>5.4715612166922645</c:v>
                </c:pt>
                <c:pt idx="165">
                  <c:v>5.6182971788805123</c:v>
                </c:pt>
                <c:pt idx="166">
                  <c:v>5.7661280799865837</c:v>
                </c:pt>
                <c:pt idx="167">
                  <c:v>5.9150597749954787</c:v>
                </c:pt>
                <c:pt idx="168">
                  <c:v>6.065096846994094</c:v>
                </c:pt>
                <c:pt idx="169">
                  <c:v>6.2162423455608673</c:v>
                </c:pt>
                <c:pt idx="170">
                  <c:v>6.3684975030614144</c:v>
                </c:pt>
                <c:pt idx="171">
                  <c:v>6.5218614279891929</c:v>
                </c:pt>
                <c:pt idx="172">
                  <c:v>6.6763307744769378</c:v>
                </c:pt>
                <c:pt idx="173">
                  <c:v>6.8318993870914744</c:v>
                </c:pt>
                <c:pt idx="174">
                  <c:v>6.9885579200112034</c:v>
                </c:pt>
                <c:pt idx="175">
                  <c:v>7.1462934296723732</c:v>
                </c:pt>
                <c:pt idx="176">
                  <c:v>7.3050889399570051</c:v>
                </c:pt>
                <c:pt idx="177">
                  <c:v>7.4649229789820968</c:v>
                </c:pt>
                <c:pt idx="178">
                  <c:v>7.6257690865365371</c:v>
                </c:pt>
                <c:pt idx="179">
                  <c:v>7.7875952911988842</c:v>
                </c:pt>
                <c:pt idx="180">
                  <c:v>7.9503635561559864</c:v>
                </c:pt>
                <c:pt idx="181">
                  <c:v>8.114029192729129</c:v>
                </c:pt>
                <c:pt idx="182">
                  <c:v>8.2785402406012203</c:v>
                </c:pt>
                <c:pt idx="183">
                  <c:v>8.4438368137252979</c:v>
                </c:pt>
                <c:pt idx="184">
                  <c:v>8.609850410881311</c:v>
                </c:pt>
                <c:pt idx="185">
                  <c:v>8.7765031898350614</c:v>
                </c:pt>
                <c:pt idx="186">
                  <c:v>8.9437072040398409</c:v>
                </c:pt>
                <c:pt idx="187">
                  <c:v>9.1113636008080618</c:v>
                </c:pt>
                <c:pt idx="188">
                  <c:v>9.2793617798670951</c:v>
                </c:pt>
                <c:pt idx="189">
                  <c:v>9.4475785112000867</c:v>
                </c:pt>
                <c:pt idx="190">
                  <c:v>9.6158770110594389</c:v>
                </c:pt>
                <c:pt idx="191">
                  <c:v>9.7841059750274457</c:v>
                </c:pt>
                <c:pt idx="192">
                  <c:v>9.9520985669851729</c:v>
                </c:pt>
                <c:pt idx="193">
                  <c:v>10.119671362837586</c:v>
                </c:pt>
                <c:pt idx="194">
                  <c:v>10.286623247829672</c:v>
                </c:pt>
                <c:pt idx="195">
                  <c:v>10.452734266275064</c:v>
                </c:pt>
                <c:pt idx="196">
                  <c:v>10.617764422505365</c:v>
                </c:pt>
                <c:pt idx="197">
                  <c:v>10.781452431835319</c:v>
                </c:pt>
                <c:pt idx="198">
                  <c:v>10.94351442032557</c:v>
                </c:pt>
                <c:pt idx="199">
                  <c:v>11.103642572111614</c:v>
                </c:pt>
                <c:pt idx="200">
                  <c:v>11.261503723054284</c:v>
                </c:pt>
              </c:numCache>
            </c:numRef>
          </c:yVal>
          <c:smooth val="1"/>
        </c:ser>
        <c:dLbls>
          <c:showLegendKey val="0"/>
          <c:showVal val="0"/>
          <c:showCatName val="0"/>
          <c:showSerName val="0"/>
          <c:showPercent val="0"/>
          <c:showBubbleSize val="0"/>
        </c:dLbls>
        <c:axId val="563347504"/>
        <c:axId val="574584344"/>
      </c:scatterChart>
      <c:valAx>
        <c:axId val="56334750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74584344"/>
        <c:crossesAt val="-1000"/>
        <c:crossBetween val="midCat"/>
      </c:valAx>
      <c:valAx>
        <c:axId val="5745843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56334750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24" t="s">
        <v>107</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1.9315519142857142E-5</v>
      </c>
    </row>
    <row r="26" spans="1:2" s="11" customFormat="1" x14ac:dyDescent="0.25">
      <c r="A26" s="61" t="s">
        <v>148</v>
      </c>
      <c r="B26" s="53">
        <f>CTE!O6</f>
        <v>2.114262342857143E-5</v>
      </c>
    </row>
    <row r="27" spans="1:2" s="11" customFormat="1" x14ac:dyDescent="0.25">
      <c r="A27" s="61" t="s">
        <v>149</v>
      </c>
      <c r="B27" s="53">
        <f>CTE!O8</f>
        <v>5.6806029428571435E-5</v>
      </c>
    </row>
    <row r="28" spans="1:2" s="11" customFormat="1" x14ac:dyDescent="0.25">
      <c r="A28" s="61" t="s">
        <v>150</v>
      </c>
      <c r="B28" s="53">
        <f>CTE!O9</f>
        <v>5.6746027142857144E-5</v>
      </c>
    </row>
    <row r="29" spans="1:2" s="11" customFormat="1" x14ac:dyDescent="0.25">
      <c r="A29" s="61"/>
    </row>
    <row r="30" spans="1:2" s="11" customFormat="1" x14ac:dyDescent="0.25">
      <c r="A30" s="61" t="s">
        <v>151</v>
      </c>
      <c r="B30" s="52">
        <f>CTE!P5</f>
        <v>1.9831461263157895E-5</v>
      </c>
    </row>
    <row r="31" spans="1:2" s="11" customFormat="1" x14ac:dyDescent="0.25">
      <c r="A31" s="61" t="s">
        <v>152</v>
      </c>
      <c r="B31" s="52">
        <f>CTE!P6</f>
        <v>2.1367470210526315E-5</v>
      </c>
    </row>
    <row r="32" spans="1:2" s="11" customFormat="1" x14ac:dyDescent="0.25">
      <c r="A32" s="61" t="s">
        <v>153</v>
      </c>
      <c r="B32" s="52">
        <f>CTE!P8</f>
        <v>4.942362E-5</v>
      </c>
    </row>
    <row r="33" spans="1:2" s="11" customFormat="1" x14ac:dyDescent="0.25">
      <c r="A33" s="61" t="s">
        <v>154</v>
      </c>
      <c r="B33" s="52">
        <f>CTE!P9</f>
        <v>4.967742315789473E-5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0.10366740825685988</v>
      </c>
      <c r="D59" s="55">
        <v>1</v>
      </c>
    </row>
    <row r="60" spans="1:4" s="11" customFormat="1" x14ac:dyDescent="0.25">
      <c r="A60" s="54">
        <v>2</v>
      </c>
      <c r="B60" s="56">
        <f>'Shiftfunktion bestimmen'!N2</f>
        <v>4.4482925966619083E-4</v>
      </c>
      <c r="D60" s="55">
        <v>2</v>
      </c>
    </row>
    <row r="61" spans="1:4" s="11" customFormat="1" x14ac:dyDescent="0.25">
      <c r="A61" s="54">
        <v>3</v>
      </c>
      <c r="B61" s="56">
        <f>'Shiftfunktion bestimmen'!N3</f>
        <v>1.4632495328708277E-6</v>
      </c>
      <c r="D61" s="55">
        <v>3</v>
      </c>
    </row>
    <row r="62" spans="1:4" s="11" customFormat="1" x14ac:dyDescent="0.25">
      <c r="A62" s="54">
        <v>4</v>
      </c>
      <c r="B62" s="56">
        <f>'Shiftfunktion bestimmen'!N4</f>
        <v>-4.3064568357082909E-8</v>
      </c>
      <c r="D62" s="55">
        <v>4</v>
      </c>
    </row>
    <row r="63" spans="1:4" s="11" customFormat="1" x14ac:dyDescent="0.25">
      <c r="A63" s="54">
        <v>5</v>
      </c>
      <c r="B63" s="56">
        <f>'Shiftfunktion bestimmen'!N5</f>
        <v>4.2640107424911168E-10</v>
      </c>
      <c r="D63" s="55">
        <v>5</v>
      </c>
    </row>
    <row r="64" spans="1:4" s="11" customFormat="1" x14ac:dyDescent="0.25">
      <c r="A64" s="54">
        <v>6</v>
      </c>
      <c r="B64" s="56">
        <f>'Shiftfunktion bestimmen'!N6</f>
        <v>4.7947619008942634E-12</v>
      </c>
      <c r="D64" s="55">
        <v>6</v>
      </c>
    </row>
    <row r="65" spans="1:5" s="11" customFormat="1" x14ac:dyDescent="0.25">
      <c r="A65" s="54">
        <v>7</v>
      </c>
      <c r="B65" s="56">
        <f>'Shiftfunktion bestimmen'!N7</f>
        <v>-4.6143963355436022E-14</v>
      </c>
      <c r="D65" s="55">
        <v>7</v>
      </c>
    </row>
    <row r="66" spans="1:5" x14ac:dyDescent="0.25">
      <c r="A66" s="54">
        <v>8</v>
      </c>
      <c r="B66" s="56">
        <f>'Shiftfunktion bestimmen'!N8</f>
        <v>-3.2812076433992192E-16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0.22766165301930075</v>
      </c>
      <c r="D74" s="51">
        <v>1</v>
      </c>
      <c r="E74" s="56">
        <f>'Universal Mastercurve'!A111</f>
        <v>1.0000000000000001E-20</v>
      </c>
    </row>
    <row r="75" spans="1:5" x14ac:dyDescent="0.25">
      <c r="A75" s="50">
        <f>A74+1</f>
        <v>2</v>
      </c>
      <c r="B75" s="56">
        <f>'Universal Mastercurve'!C112</f>
        <v>0</v>
      </c>
      <c r="D75" s="51">
        <v>2</v>
      </c>
      <c r="E75" s="56">
        <f>'Universal Mastercurve'!A112</f>
        <v>3.9038946506297401E-14</v>
      </c>
    </row>
    <row r="76" spans="1:5" x14ac:dyDescent="0.25">
      <c r="A76" s="50">
        <f t="shared" ref="A76:A104" si="0">A75+1</f>
        <v>3</v>
      </c>
      <c r="B76" s="56">
        <f>'Universal Mastercurve'!C113</f>
        <v>0</v>
      </c>
      <c r="D76" s="51">
        <v>3</v>
      </c>
      <c r="E76" s="56">
        <f>'Universal Mastercurve'!A113</f>
        <v>4.3276437088188502E-13</v>
      </c>
    </row>
    <row r="77" spans="1:5" x14ac:dyDescent="0.25">
      <c r="A77" s="50">
        <f t="shared" si="0"/>
        <v>4</v>
      </c>
      <c r="B77" s="56">
        <f>'Universal Mastercurve'!C114</f>
        <v>0</v>
      </c>
      <c r="D77" s="51">
        <v>4</v>
      </c>
      <c r="E77" s="56">
        <f>'Universal Mastercurve'!A114</f>
        <v>4.7973886968128502E-12</v>
      </c>
    </row>
    <row r="78" spans="1:5" x14ac:dyDescent="0.25">
      <c r="A78" s="50">
        <f t="shared" si="0"/>
        <v>5</v>
      </c>
      <c r="B78" s="56">
        <f>'Universal Mastercurve'!C115</f>
        <v>0</v>
      </c>
      <c r="D78" s="51">
        <v>5</v>
      </c>
      <c r="E78" s="56">
        <f>'Universal Mastercurve'!A115</f>
        <v>5.31812225239524E-11</v>
      </c>
    </row>
    <row r="79" spans="1:5" x14ac:dyDescent="0.25">
      <c r="A79" s="50">
        <f t="shared" si="0"/>
        <v>6</v>
      </c>
      <c r="B79" s="56">
        <f>'Universal Mastercurve'!C116</f>
        <v>0</v>
      </c>
      <c r="D79" s="51">
        <v>6</v>
      </c>
      <c r="E79" s="56">
        <f>'Universal Mastercurve'!A116</f>
        <v>5.8953789402578301E-10</v>
      </c>
    </row>
    <row r="80" spans="1:5" x14ac:dyDescent="0.25">
      <c r="A80" s="50">
        <f t="shared" si="0"/>
        <v>7</v>
      </c>
      <c r="B80" s="56">
        <f>'Universal Mastercurve'!C117</f>
        <v>2.9410470223298395E-2</v>
      </c>
      <c r="D80" s="51">
        <v>7</v>
      </c>
      <c r="E80" s="56">
        <f>'Universal Mastercurve'!A117</f>
        <v>6.5352940755699598E-9</v>
      </c>
    </row>
    <row r="81" spans="1:5" x14ac:dyDescent="0.25">
      <c r="A81" s="50">
        <f t="shared" si="0"/>
        <v>8</v>
      </c>
      <c r="B81" s="56">
        <f>'Universal Mastercurve'!C118</f>
        <v>4.157328020258988E-2</v>
      </c>
      <c r="D81" s="51">
        <v>8</v>
      </c>
      <c r="E81" s="56">
        <f>'Universal Mastercurve'!A118</f>
        <v>7.2446689325643296E-8</v>
      </c>
    </row>
    <row r="82" spans="1:5" x14ac:dyDescent="0.25">
      <c r="A82" s="50">
        <f t="shared" si="0"/>
        <v>9</v>
      </c>
      <c r="B82" s="56">
        <f>'Universal Mastercurve'!C119</f>
        <v>3.5836034445778271E-2</v>
      </c>
      <c r="D82" s="51">
        <f>A82</f>
        <v>9</v>
      </c>
      <c r="E82" s="56">
        <f>'Universal Mastercurve'!A119</f>
        <v>8.03104303120212E-7</v>
      </c>
    </row>
    <row r="83" spans="1:5" x14ac:dyDescent="0.25">
      <c r="A83" s="50">
        <f t="shared" si="0"/>
        <v>10</v>
      </c>
      <c r="B83" s="56">
        <f>'Universal Mastercurve'!C120</f>
        <v>3.1240996542605075E-2</v>
      </c>
      <c r="C83" s="11"/>
      <c r="D83" s="51">
        <f t="shared" ref="D83:D104" si="1">A83</f>
        <v>10</v>
      </c>
      <c r="E83" s="56">
        <f>'Universal Mastercurve'!A120</f>
        <v>8.9027742702096099E-6</v>
      </c>
    </row>
    <row r="84" spans="1:5" x14ac:dyDescent="0.25">
      <c r="A84" s="50">
        <f t="shared" si="0"/>
        <v>11</v>
      </c>
      <c r="B84" s="56">
        <f>'Universal Mastercurve'!C121</f>
        <v>2.4922515539799923E-2</v>
      </c>
      <c r="C84" s="11"/>
      <c r="D84" s="51">
        <f t="shared" si="1"/>
        <v>11</v>
      </c>
      <c r="E84" s="56">
        <f>'Universal Mastercurve'!A121</f>
        <v>9.86912775817142E-5</v>
      </c>
    </row>
    <row r="85" spans="1:5" x14ac:dyDescent="0.25">
      <c r="A85" s="50">
        <f t="shared" si="0"/>
        <v>12</v>
      </c>
      <c r="B85" s="56">
        <f>'Universal Mastercurve'!C122</f>
        <v>3.2358479260698549E-2</v>
      </c>
      <c r="C85" s="11"/>
      <c r="D85" s="51">
        <f t="shared" si="1"/>
        <v>12</v>
      </c>
      <c r="E85" s="56">
        <f>'Universal Mastercurve'!A122</f>
        <v>1.0940374286813801E-3</v>
      </c>
    </row>
    <row r="86" spans="1:5" x14ac:dyDescent="0.25">
      <c r="A86" s="50">
        <f t="shared" si="0"/>
        <v>13</v>
      </c>
      <c r="B86" s="56">
        <f>'Universal Mastercurve'!C123</f>
        <v>2.5252017015678245E-2</v>
      </c>
      <c r="C86" s="11"/>
      <c r="D86" s="51">
        <f t="shared" si="1"/>
        <v>13</v>
      </c>
      <c r="E86" s="56">
        <f>'Universal Mastercurve'!A123</f>
        <v>1.2127899493091E-2</v>
      </c>
    </row>
    <row r="87" spans="1:5" x14ac:dyDescent="0.25">
      <c r="A87" s="50">
        <f t="shared" si="0"/>
        <v>14</v>
      </c>
      <c r="B87" s="56">
        <f>'Universal Mastercurve'!C124</f>
        <v>3.185712705995325E-2</v>
      </c>
      <c r="C87" s="11"/>
      <c r="D87" s="51">
        <f t="shared" si="1"/>
        <v>14</v>
      </c>
      <c r="E87" s="56">
        <f>'Universal Mastercurve'!A124</f>
        <v>0.13444324870292301</v>
      </c>
    </row>
    <row r="88" spans="1:5" x14ac:dyDescent="0.25">
      <c r="A88" s="50">
        <f t="shared" si="0"/>
        <v>15</v>
      </c>
      <c r="B88" s="56">
        <f>'Universal Mastercurve'!C125</f>
        <v>4.2085127790355566E-2</v>
      </c>
      <c r="C88" s="11"/>
      <c r="D88" s="51">
        <f t="shared" si="1"/>
        <v>15</v>
      </c>
      <c r="E88" s="56">
        <f>'Universal Mastercurve'!A125</f>
        <v>1.49036419143257</v>
      </c>
    </row>
    <row r="89" spans="1:5" x14ac:dyDescent="0.25">
      <c r="A89" s="50">
        <f t="shared" si="0"/>
        <v>16</v>
      </c>
      <c r="B89" s="56">
        <f>'Universal Mastercurve'!C126</f>
        <v>4.9121937541230495E-2</v>
      </c>
      <c r="C89" s="11"/>
      <c r="D89" s="51">
        <f t="shared" si="1"/>
        <v>16</v>
      </c>
      <c r="E89" s="56">
        <f>'Universal Mastercurve'!A126</f>
        <v>16.521360830937301</v>
      </c>
    </row>
    <row r="90" spans="1:5" x14ac:dyDescent="0.25">
      <c r="A90" s="50">
        <f t="shared" si="0"/>
        <v>17</v>
      </c>
      <c r="B90" s="56">
        <f>'Universal Mastercurve'!C127</f>
        <v>5.3122748061388891E-2</v>
      </c>
      <c r="C90" s="11"/>
      <c r="D90" s="51">
        <f t="shared" si="1"/>
        <v>17</v>
      </c>
      <c r="E90" s="56">
        <f>'Universal Mastercurve'!A127</f>
        <v>183.146753843879</v>
      </c>
    </row>
    <row r="91" spans="1:5" x14ac:dyDescent="0.25">
      <c r="A91" s="50">
        <f t="shared" si="0"/>
        <v>18</v>
      </c>
      <c r="B91" s="56">
        <f>'Universal Mastercurve'!C128</f>
        <v>4.9580069900108187E-2</v>
      </c>
      <c r="C91" s="11"/>
      <c r="D91" s="51">
        <f t="shared" si="1"/>
        <v>18</v>
      </c>
      <c r="E91" s="56">
        <f>'Universal Mastercurve'!A128</f>
        <v>2030.26456396616</v>
      </c>
    </row>
    <row r="92" spans="1:5" x14ac:dyDescent="0.25">
      <c r="A92" s="50">
        <f t="shared" si="0"/>
        <v>19</v>
      </c>
      <c r="B92" s="56">
        <f>'Universal Mastercurve'!C129</f>
        <v>6.5072291846593841E-2</v>
      </c>
      <c r="C92" s="11"/>
      <c r="D92" s="51">
        <f t="shared" si="1"/>
        <v>19</v>
      </c>
      <c r="E92" s="56">
        <f>'Universal Mastercurve'!A129</f>
        <v>22506.400540467101</v>
      </c>
    </row>
    <row r="93" spans="1:5" x14ac:dyDescent="0.25">
      <c r="A93" s="50">
        <f t="shared" si="0"/>
        <v>20</v>
      </c>
      <c r="B93" s="56">
        <f>'Universal Mastercurve'!C130</f>
        <v>6.6226575898314016E-2</v>
      </c>
      <c r="C93" s="11"/>
      <c r="D93" s="51">
        <f t="shared" si="1"/>
        <v>20</v>
      </c>
      <c r="E93" s="56">
        <f>'Universal Mastercurve'!A130</f>
        <v>249493.62476110301</v>
      </c>
    </row>
    <row r="94" spans="1:5" x14ac:dyDescent="0.25">
      <c r="A94" s="50">
        <f t="shared" si="0"/>
        <v>21</v>
      </c>
      <c r="B94" s="56">
        <f>'Universal Mastercurve'!C131</f>
        <v>5.8821664927811212E-2</v>
      </c>
      <c r="C94" s="11"/>
      <c r="D94" s="51">
        <f t="shared" si="1"/>
        <v>21</v>
      </c>
      <c r="E94" s="56">
        <f>'Universal Mastercurve'!A131</f>
        <v>2765749.6224023802</v>
      </c>
    </row>
    <row r="95" spans="1:5" x14ac:dyDescent="0.25">
      <c r="A95" s="50">
        <f t="shared" si="0"/>
        <v>22</v>
      </c>
      <c r="B95" s="56">
        <f>'Universal Mastercurve'!C132</f>
        <v>1.1016523885105021E-2</v>
      </c>
      <c r="C95" s="11"/>
      <c r="D95" s="51">
        <f t="shared" si="1"/>
        <v>22</v>
      </c>
      <c r="E95" s="56">
        <f>'Universal Mastercurve'!A132</f>
        <v>10000000</v>
      </c>
    </row>
    <row r="96" spans="1:5" x14ac:dyDescent="0.25">
      <c r="A96" s="50">
        <f t="shared" si="0"/>
        <v>23</v>
      </c>
      <c r="B96" s="56">
        <f>'Universal Mastercurve'!C133</f>
        <v>5.5104639539154995E-2</v>
      </c>
      <c r="C96" s="11"/>
      <c r="D96" s="51">
        <f t="shared" si="1"/>
        <v>23</v>
      </c>
      <c r="E96" s="56">
        <f>'Universal Mastercurve'!A133</f>
        <v>100000000</v>
      </c>
    </row>
    <row r="97" spans="1:5" x14ac:dyDescent="0.25">
      <c r="A97" s="50">
        <f t="shared" si="0"/>
        <v>24</v>
      </c>
      <c r="B97" s="56">
        <f>'Universal Mastercurve'!C134</f>
        <v>0</v>
      </c>
      <c r="C97" s="11"/>
      <c r="D97" s="51">
        <f t="shared" si="1"/>
        <v>24</v>
      </c>
      <c r="E97" s="56">
        <f>'Universal Mastercurve'!A134</f>
        <v>1000000000</v>
      </c>
    </row>
    <row r="98" spans="1:5" x14ac:dyDescent="0.25">
      <c r="A98" s="50">
        <f t="shared" si="0"/>
        <v>25</v>
      </c>
      <c r="B98" s="56">
        <f>'Universal Mastercurve'!C135</f>
        <v>0</v>
      </c>
      <c r="C98" s="11"/>
      <c r="D98" s="51">
        <f t="shared" si="1"/>
        <v>25</v>
      </c>
      <c r="E98" s="56">
        <f>'Universal Mastercurve'!A135</f>
        <v>10000000000</v>
      </c>
    </row>
    <row r="99" spans="1:5" x14ac:dyDescent="0.25">
      <c r="A99" s="50">
        <f t="shared" si="0"/>
        <v>26</v>
      </c>
      <c r="B99" s="56">
        <f>'Universal Mastercurve'!C136</f>
        <v>0</v>
      </c>
      <c r="C99" s="11"/>
      <c r="D99" s="51">
        <f t="shared" si="1"/>
        <v>26</v>
      </c>
      <c r="E99" s="56">
        <f>'Universal Mastercurve'!A136</f>
        <v>100000000000</v>
      </c>
    </row>
    <row r="100" spans="1:5" x14ac:dyDescent="0.25">
      <c r="A100" s="50">
        <f t="shared" si="0"/>
        <v>27</v>
      </c>
      <c r="B100" s="56">
        <f>'Universal Mastercurve'!C137</f>
        <v>0</v>
      </c>
      <c r="C100" s="11"/>
      <c r="D100" s="51">
        <f t="shared" si="1"/>
        <v>27</v>
      </c>
      <c r="E100" s="56">
        <f>'Universal Mastercurve'!A137</f>
        <v>1000000000000</v>
      </c>
    </row>
    <row r="101" spans="1:5" x14ac:dyDescent="0.25">
      <c r="A101" s="50">
        <f t="shared" si="0"/>
        <v>28</v>
      </c>
      <c r="B101" s="56">
        <f>'Universal Mastercurve'!C138</f>
        <v>0</v>
      </c>
      <c r="C101" s="11"/>
      <c r="D101" s="51">
        <f t="shared" si="1"/>
        <v>28</v>
      </c>
      <c r="E101" s="56">
        <f>'Universal Mastercurve'!A138</f>
        <v>10000000000000</v>
      </c>
    </row>
    <row r="102" spans="1:5" x14ac:dyDescent="0.25">
      <c r="A102" s="50">
        <f t="shared" si="0"/>
        <v>29</v>
      </c>
      <c r="B102" s="56">
        <f>'Universal Mastercurve'!C139</f>
        <v>0</v>
      </c>
      <c r="C102" s="11"/>
      <c r="D102" s="51">
        <f t="shared" si="1"/>
        <v>29</v>
      </c>
      <c r="E102" s="56">
        <f>'Universal Mastercurve'!A139</f>
        <v>100000000000000</v>
      </c>
    </row>
    <row r="103" spans="1:5" x14ac:dyDescent="0.25">
      <c r="A103" s="50">
        <f t="shared" si="0"/>
        <v>30</v>
      </c>
      <c r="B103" s="56">
        <f>'Universal Mastercurve'!C140</f>
        <v>0</v>
      </c>
      <c r="C103" s="11"/>
      <c r="D103" s="51">
        <f t="shared" si="1"/>
        <v>30</v>
      </c>
      <c r="E103" s="56">
        <f>'Universal Mastercurve'!A140</f>
        <v>1000000000000000</v>
      </c>
    </row>
    <row r="104" spans="1:5" x14ac:dyDescent="0.25">
      <c r="A104" s="50">
        <f t="shared" si="0"/>
        <v>31</v>
      </c>
      <c r="B104" s="56">
        <f>'Universal Mastercurve'!C141</f>
        <v>0</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29257.642</v>
      </c>
    </row>
    <row r="108" spans="1:5" s="11" customFormat="1" x14ac:dyDescent="0.25">
      <c r="A108" s="61" t="str">
        <f>STUTT!B3</f>
        <v>mp,PRXY,MatID,</v>
      </c>
      <c r="B108" s="52">
        <f>STUTT!C3</f>
        <v>0.34635483</v>
      </c>
    </row>
    <row r="109" spans="1:5" s="11" customFormat="1" x14ac:dyDescent="0.25">
      <c r="A109" s="61" t="str">
        <f>STUTT!B4</f>
        <v>mp,ey,MatID,</v>
      </c>
      <c r="B109" s="52">
        <f>STUTT!C4</f>
        <v>30534.799999999999</v>
      </c>
    </row>
    <row r="110" spans="1:5" s="11" customFormat="1" x14ac:dyDescent="0.25">
      <c r="A110" s="61" t="str">
        <f>STUTT!B5</f>
        <v>mp,PRYZ,MatID,</v>
      </c>
      <c r="B110" s="52">
        <f>STUTT!C5</f>
        <v>0.36151450000000002</v>
      </c>
    </row>
    <row r="111" spans="1:5" s="11" customFormat="1" x14ac:dyDescent="0.25">
      <c r="A111" s="61" t="str">
        <f>STUTT!B6</f>
        <v>mp,ez,MatID,</v>
      </c>
      <c r="B111" s="52">
        <f>STUTT!C6</f>
        <v>29257.642</v>
      </c>
    </row>
    <row r="112" spans="1:5" s="11" customFormat="1" x14ac:dyDescent="0.25">
      <c r="A112" s="61" t="str">
        <f>STUTT!B7</f>
        <v>mp,PRXZ,MatID,</v>
      </c>
      <c r="B112" s="52">
        <f>STUTT!C7</f>
        <v>0.35850783000000003</v>
      </c>
    </row>
    <row r="113" spans="1:4" s="11" customFormat="1" x14ac:dyDescent="0.25">
      <c r="A113" s="61" t="str">
        <f>STUTT!B8</f>
        <v>MP,GXZ,</v>
      </c>
      <c r="B113" s="52" t="str">
        <f>STUTT!C8</f>
        <v>MatID,</v>
      </c>
      <c r="C113" s="125">
        <f>STUTT!D8</f>
        <v>10768.300999999999</v>
      </c>
      <c r="D113" s="125"/>
    </row>
    <row r="114" spans="1:4" s="11" customFormat="1" x14ac:dyDescent="0.25">
      <c r="A114" s="61" t="str">
        <f>STUTT!B9</f>
        <v>MP,GXY,</v>
      </c>
      <c r="B114" s="52" t="str">
        <f>STUTT!C9</f>
        <v>MatID,</v>
      </c>
      <c r="C114" s="125">
        <f>STUTT!D9</f>
        <v>11203.666999999999</v>
      </c>
      <c r="D114" s="125"/>
    </row>
    <row r="115" spans="1:4" x14ac:dyDescent="0.25">
      <c r="A115" s="61" t="str">
        <f>STUTT!B10</f>
        <v>MP,GYZ,</v>
      </c>
      <c r="B115" s="52" t="str">
        <f>STUTT!C10</f>
        <v>MatID,</v>
      </c>
      <c r="C115" s="125">
        <f>STUTT!D10</f>
        <v>11203.666999999999</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1.027E-7</v>
      </c>
      <c r="C3" s="3">
        <v>5.5880000000000001E-9</v>
      </c>
      <c r="D3" s="3">
        <v>1.027E-7</v>
      </c>
      <c r="E3" s="3">
        <v>-1.0000000000000001E-5</v>
      </c>
      <c r="F3" s="3">
        <v>-1.0000000000000001E-5</v>
      </c>
      <c r="G3" s="3">
        <v>-1.0000000000000001E-5</v>
      </c>
      <c r="H3" s="3">
        <v>-3.382331E-6</v>
      </c>
      <c r="I3" s="3">
        <v>-9.4122827999999997E-7</v>
      </c>
      <c r="J3" s="3">
        <v>-3.382331E-6</v>
      </c>
      <c r="L3" s="48">
        <f>ABS(H3/(-0.5)/$L$1)</f>
        <v>1.9327605714285715E-5</v>
      </c>
      <c r="R3">
        <f>ABS(I3/(-0.5)/$R$1)</f>
        <v>1.9815332210526316E-5</v>
      </c>
    </row>
    <row r="4" spans="1:18" x14ac:dyDescent="0.25">
      <c r="A4">
        <v>-39</v>
      </c>
      <c r="B4" s="3">
        <v>-1.0279999999999999E-7</v>
      </c>
      <c r="C4" s="3">
        <v>-5.4100000000000001E-9</v>
      </c>
      <c r="D4" s="3">
        <v>-1.0279999999999999E-7</v>
      </c>
      <c r="E4" s="3">
        <v>1.0000000000000001E-5</v>
      </c>
      <c r="F4" s="3">
        <v>1.0000000000000001E-5</v>
      </c>
      <c r="G4" s="3">
        <v>1.0000000000000001E-5</v>
      </c>
      <c r="H4" s="3">
        <v>3.3822795999999999E-6</v>
      </c>
      <c r="I4" s="3">
        <v>9.4124703000000001E-7</v>
      </c>
      <c r="J4" s="3">
        <v>3.3822795999999999E-6</v>
      </c>
      <c r="L4" s="48">
        <f t="shared" ref="L4:L14" si="0">ABS(H4/(-0.5)/$L$1)</f>
        <v>1.9327312E-5</v>
      </c>
      <c r="N4" s="39" t="s">
        <v>27</v>
      </c>
      <c r="O4" s="39" t="s">
        <v>131</v>
      </c>
      <c r="P4" s="85" t="s">
        <v>132</v>
      </c>
      <c r="R4" s="11">
        <f t="shared" ref="R4:R14" si="1">ABS(I4/(-0.5)/$R$1)</f>
        <v>1.981572694736842E-5</v>
      </c>
    </row>
    <row r="5" spans="1:18" x14ac:dyDescent="0.25">
      <c r="A5">
        <v>0</v>
      </c>
      <c r="B5" s="3">
        <v>1.0579999999999999E-7</v>
      </c>
      <c r="C5" s="3">
        <v>-1.583E-9</v>
      </c>
      <c r="D5" s="3">
        <v>1.0579999999999999E-7</v>
      </c>
      <c r="E5" s="3">
        <v>-1.0000000000000001E-5</v>
      </c>
      <c r="F5" s="3">
        <v>-1.0000000000000001E-5</v>
      </c>
      <c r="G5" s="3">
        <v>-1.0000000000000001E-5</v>
      </c>
      <c r="H5" s="3">
        <v>-3.3802423999999999E-6</v>
      </c>
      <c r="I5" s="3">
        <v>-9.4198487000000001E-7</v>
      </c>
      <c r="J5" s="3">
        <v>-3.3802423999999999E-6</v>
      </c>
      <c r="L5" s="48">
        <f t="shared" si="0"/>
        <v>1.9315670857142858E-5</v>
      </c>
      <c r="M5" s="48"/>
      <c r="N5" s="10">
        <f>(INDEX(A:A,ROW(A2)*2+1)+INDEX(A:A,ROW(A2)*2+2))/2</f>
        <v>0.5</v>
      </c>
      <c r="O5" s="89">
        <f>(INDEX(L:L,ROW(L2)*2+1)+INDEX(L:L,ROW(L2)*2+2))/2</f>
        <v>1.9315519142857142E-5</v>
      </c>
      <c r="P5" s="89">
        <f>(INDEX(R:R,ROW(M2)*2+1)+INDEX(R:R,ROW(R2)*2+2))/2</f>
        <v>1.9831461263157895E-5</v>
      </c>
      <c r="R5" s="11">
        <f t="shared" si="1"/>
        <v>1.9831260421052633E-5</v>
      </c>
    </row>
    <row r="6" spans="1:18" x14ac:dyDescent="0.25">
      <c r="A6">
        <v>1</v>
      </c>
      <c r="B6" s="3">
        <v>-1.059E-7</v>
      </c>
      <c r="C6" s="3">
        <v>1.763E-9</v>
      </c>
      <c r="D6" s="3">
        <v>-1.059E-7</v>
      </c>
      <c r="E6" s="3">
        <v>1.0000000000000001E-5</v>
      </c>
      <c r="F6" s="3">
        <v>1.0000000000000001E-5</v>
      </c>
      <c r="G6" s="3">
        <v>1.0000000000000001E-5</v>
      </c>
      <c r="H6" s="3">
        <v>3.3801893E-6</v>
      </c>
      <c r="I6" s="3">
        <v>9.4200394999999997E-7</v>
      </c>
      <c r="J6" s="3">
        <v>3.3801893E-6</v>
      </c>
      <c r="L6" s="48">
        <f t="shared" si="0"/>
        <v>1.9315367428571429E-5</v>
      </c>
      <c r="M6" s="49"/>
      <c r="N6" s="10">
        <f>(INDEX(A:A,ROW(A3)*2+1)+INDEX(A:A,ROW(A3)*2+2))/2</f>
        <v>151.5</v>
      </c>
      <c r="O6" s="89">
        <f t="shared" ref="O6:O7" si="2">(INDEX(L:L,ROW(L3)*2+1)+INDEX(L:L,ROW(L3)*2+2))/2</f>
        <v>2.114262342857143E-5</v>
      </c>
      <c r="P6" s="89">
        <f t="shared" ref="P6:P9" si="3">(INDEX(R:R,ROW(M3)*2+1)+INDEX(R:R,ROW(R3)*2+2))/2</f>
        <v>2.1367470210526315E-5</v>
      </c>
      <c r="R6" s="11">
        <f t="shared" si="1"/>
        <v>1.9831662105263157E-5</v>
      </c>
    </row>
    <row r="7" spans="1:18" x14ac:dyDescent="0.25">
      <c r="A7">
        <v>151</v>
      </c>
      <c r="B7" s="3">
        <v>9.2830000000000005E-8</v>
      </c>
      <c r="C7" s="3">
        <v>2.7679999999999999E-7</v>
      </c>
      <c r="D7" s="3">
        <v>9.2830000000000005E-8</v>
      </c>
      <c r="E7" s="3">
        <v>-1.0689999999999999E-5</v>
      </c>
      <c r="F7" s="3">
        <v>-1.0689999999999999E-5</v>
      </c>
      <c r="G7" s="3">
        <v>-1.0689999999999999E-5</v>
      </c>
      <c r="H7" s="3">
        <v>-3.5358468E-6</v>
      </c>
      <c r="I7" s="3">
        <v>-9.7993967000000005E-7</v>
      </c>
      <c r="J7" s="3">
        <v>-3.5358468E-6</v>
      </c>
      <c r="L7" s="48">
        <f t="shared" si="0"/>
        <v>2.0204838857142859E-5</v>
      </c>
      <c r="M7" s="48"/>
      <c r="N7" s="10">
        <f>(INDEX(A:A,ROW(A4)*2+1)+INDEX(A:A,ROW(A4)*2+2))/2</f>
        <v>156.5</v>
      </c>
      <c r="O7" s="89">
        <f t="shared" si="2"/>
        <v>3.9896927428571432E-5</v>
      </c>
      <c r="P7" s="89">
        <f t="shared" si="3"/>
        <v>3.6133094736842104E-5</v>
      </c>
      <c r="R7" s="11">
        <f t="shared" si="1"/>
        <v>2.0630308842105265E-5</v>
      </c>
    </row>
    <row r="8" spans="1:18" x14ac:dyDescent="0.25">
      <c r="A8">
        <v>152</v>
      </c>
      <c r="B8" s="3">
        <v>-4.2850000000000003E-8</v>
      </c>
      <c r="C8" s="3">
        <v>-8.8840000000000004E-7</v>
      </c>
      <c r="D8" s="3">
        <v>-4.2850000000000003E-8</v>
      </c>
      <c r="E8" s="3">
        <v>1.206E-5</v>
      </c>
      <c r="F8" s="3">
        <v>1.206E-5</v>
      </c>
      <c r="G8" s="3">
        <v>1.206E-5</v>
      </c>
      <c r="H8" s="3">
        <v>3.8640713999999996E-6</v>
      </c>
      <c r="I8" s="3">
        <v>1.0499699999999999E-6</v>
      </c>
      <c r="J8" s="3">
        <v>3.8640713999999996E-6</v>
      </c>
      <c r="L8" s="48">
        <f t="shared" si="0"/>
        <v>2.2080407999999998E-5</v>
      </c>
      <c r="M8" s="49"/>
      <c r="N8" s="10">
        <f>(INDEX(A:A,ROW(A5)*2+1)+INDEX(A:A,ROW(A5)*2+2))/2</f>
        <v>161.5</v>
      </c>
      <c r="O8" s="89">
        <f t="shared" ref="O8:O9" si="4">(INDEX(L:L,ROW(L5)*2+1)+INDEX(L:L,ROW(L5)*2+2))/2</f>
        <v>5.6806029428571435E-5</v>
      </c>
      <c r="P8" s="89">
        <f t="shared" si="3"/>
        <v>4.942362E-5</v>
      </c>
      <c r="R8" s="11">
        <f t="shared" si="1"/>
        <v>2.2104631578947365E-5</v>
      </c>
    </row>
    <row r="9" spans="1:18" x14ac:dyDescent="0.25">
      <c r="A9">
        <v>156</v>
      </c>
      <c r="B9" s="3">
        <v>-4.0470000000000002E-7</v>
      </c>
      <c r="C9" s="3">
        <v>6.3849999999999999E-6</v>
      </c>
      <c r="D9" s="3">
        <v>-4.0470000000000002E-7</v>
      </c>
      <c r="E9" s="3">
        <v>-2.444E-5</v>
      </c>
      <c r="F9" s="3">
        <v>-2.444E-5</v>
      </c>
      <c r="G9" s="3">
        <v>-2.444E-5</v>
      </c>
      <c r="H9" s="3">
        <v>-6.8178521999999998E-6</v>
      </c>
      <c r="I9" s="3">
        <v>-1.6811406999999999E-6</v>
      </c>
      <c r="J9" s="3">
        <v>-6.8178521999999998E-6</v>
      </c>
      <c r="L9" s="48">
        <f t="shared" si="0"/>
        <v>3.8959155428571432E-5</v>
      </c>
      <c r="M9" s="48"/>
      <c r="N9" s="10">
        <f>(INDEX(A:A,ROW(A6)*2+1)+INDEX(A:A,ROW(A6)*2+2))/2</f>
        <v>180.5</v>
      </c>
      <c r="O9" s="89">
        <f t="shared" si="4"/>
        <v>5.6746027142857144E-5</v>
      </c>
      <c r="P9" s="89">
        <f t="shared" si="3"/>
        <v>4.967742315789473E-5</v>
      </c>
      <c r="R9" s="11">
        <f t="shared" si="1"/>
        <v>3.5392435789473683E-5</v>
      </c>
    </row>
    <row r="10" spans="1:18" x14ac:dyDescent="0.25">
      <c r="A10">
        <v>157</v>
      </c>
      <c r="B10" s="3">
        <v>4.5400000000000002E-7</v>
      </c>
      <c r="C10" s="3">
        <v>-6.9929999999999998E-6</v>
      </c>
      <c r="D10" s="3">
        <v>4.5400000000000002E-7</v>
      </c>
      <c r="E10" s="3">
        <v>2.5809999999999999E-5</v>
      </c>
      <c r="F10" s="3">
        <v>2.5809999999999999E-5</v>
      </c>
      <c r="G10" s="3">
        <v>2.5809999999999999E-5</v>
      </c>
      <c r="H10" s="3">
        <v>7.1460723999999999E-6</v>
      </c>
      <c r="I10" s="3">
        <v>1.7515033E-6</v>
      </c>
      <c r="J10" s="3">
        <v>7.1460723999999999E-6</v>
      </c>
      <c r="L10" s="48">
        <f t="shared" si="0"/>
        <v>4.0834699428571432E-5</v>
      </c>
      <c r="M10" s="49"/>
      <c r="N10" s="10"/>
      <c r="O10" s="3"/>
      <c r="R10" s="11">
        <f t="shared" si="1"/>
        <v>3.6873753684210525E-5</v>
      </c>
    </row>
    <row r="11" spans="1:18" x14ac:dyDescent="0.25">
      <c r="A11">
        <v>161</v>
      </c>
      <c r="B11" s="3">
        <v>-8.8260000000000003E-7</v>
      </c>
      <c r="C11" s="3">
        <v>1.218E-5</v>
      </c>
      <c r="D11" s="3">
        <v>-8.8260000000000003E-7</v>
      </c>
      <c r="E11" s="3">
        <v>-3.7499999999999997E-5</v>
      </c>
      <c r="F11" s="3">
        <v>-3.7499999999999997E-5</v>
      </c>
      <c r="G11" s="3">
        <v>-3.7499999999999997E-5</v>
      </c>
      <c r="H11" s="3">
        <v>-9.9413397000000004E-6</v>
      </c>
      <c r="I11" s="3">
        <v>-2.3473041E-6</v>
      </c>
      <c r="J11" s="3">
        <v>-9.9413397000000004E-6</v>
      </c>
      <c r="L11" s="48">
        <f t="shared" si="0"/>
        <v>5.6807655428571436E-5</v>
      </c>
      <c r="M11" s="48"/>
      <c r="N11" s="10"/>
      <c r="O11" s="3"/>
      <c r="R11" s="11">
        <f t="shared" si="1"/>
        <v>4.9416928421052632E-5</v>
      </c>
    </row>
    <row r="12" spans="1:18" x14ac:dyDescent="0.25">
      <c r="A12">
        <v>162</v>
      </c>
      <c r="B12" s="3">
        <v>8.8090000000000001E-7</v>
      </c>
      <c r="C12" s="3">
        <v>-1.218E-5</v>
      </c>
      <c r="D12" s="3">
        <v>8.8090000000000001E-7</v>
      </c>
      <c r="E12" s="3">
        <v>3.7499999999999997E-5</v>
      </c>
      <c r="F12" s="3">
        <v>3.7499999999999997E-5</v>
      </c>
      <c r="G12" s="3">
        <v>3.7499999999999997E-5</v>
      </c>
      <c r="H12" s="3">
        <v>9.9407706000000007E-6</v>
      </c>
      <c r="I12" s="3">
        <v>2.3479398E-6</v>
      </c>
      <c r="J12" s="3">
        <v>9.9407706000000007E-6</v>
      </c>
      <c r="L12" s="48">
        <f t="shared" si="0"/>
        <v>5.6804403428571433E-5</v>
      </c>
      <c r="M12" s="49"/>
      <c r="N12" s="10"/>
      <c r="O12" s="3"/>
      <c r="R12" s="11">
        <f t="shared" si="1"/>
        <v>4.9430311578947369E-5</v>
      </c>
    </row>
    <row r="13" spans="1:18" x14ac:dyDescent="0.25">
      <c r="A13">
        <v>180</v>
      </c>
      <c r="B13" s="3">
        <v>-8.5040000000000004E-7</v>
      </c>
      <c r="C13" s="3">
        <v>1.207E-5</v>
      </c>
      <c r="D13" s="3">
        <v>-8.5040000000000004E-7</v>
      </c>
      <c r="E13" s="3">
        <v>-3.7499999999999997E-5</v>
      </c>
      <c r="F13" s="3">
        <v>-3.7499999999999997E-5</v>
      </c>
      <c r="G13" s="3">
        <v>-3.7499999999999997E-5</v>
      </c>
      <c r="H13" s="3">
        <v>-9.9308305E-6</v>
      </c>
      <c r="I13" s="3">
        <v>-2.3593579E-6</v>
      </c>
      <c r="J13" s="3">
        <v>-9.9308305E-6</v>
      </c>
      <c r="L13" s="48">
        <f t="shared" si="0"/>
        <v>5.6747602857142859E-5</v>
      </c>
      <c r="M13" s="48"/>
      <c r="N13" s="10"/>
      <c r="O13" s="3"/>
      <c r="R13" s="11">
        <f t="shared" si="1"/>
        <v>4.9670692631578947E-5</v>
      </c>
    </row>
    <row r="14" spans="1:18" x14ac:dyDescent="0.25">
      <c r="A14" s="11">
        <v>181</v>
      </c>
      <c r="B14" s="3">
        <v>8.4870000000000002E-7</v>
      </c>
      <c r="C14" s="3">
        <v>-1.206E-5</v>
      </c>
      <c r="D14" s="3">
        <v>8.4870000000000002E-7</v>
      </c>
      <c r="E14" s="3">
        <v>3.7499999999999997E-5</v>
      </c>
      <c r="F14" s="3">
        <v>3.7499999999999997E-5</v>
      </c>
      <c r="G14" s="3">
        <v>3.7499999999999997E-5</v>
      </c>
      <c r="H14" s="3">
        <v>9.9302789999999997E-6</v>
      </c>
      <c r="I14" s="3">
        <v>2.3599972999999998E-6</v>
      </c>
      <c r="J14" s="3">
        <v>9.9302789999999997E-6</v>
      </c>
      <c r="L14" s="48">
        <f t="shared" si="0"/>
        <v>5.6744451428571429E-5</v>
      </c>
      <c r="M14" s="49"/>
      <c r="N14" s="10"/>
      <c r="O14" s="3"/>
      <c r="R14" s="11">
        <f t="shared" si="1"/>
        <v>4.968415368421052E-5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29257.642</v>
      </c>
    </row>
    <row r="3" spans="2:4" x14ac:dyDescent="0.25">
      <c r="B3" t="s">
        <v>119</v>
      </c>
      <c r="C3" s="3">
        <v>0.34635483</v>
      </c>
    </row>
    <row r="4" spans="2:4" x14ac:dyDescent="0.25">
      <c r="B4" t="s">
        <v>120</v>
      </c>
      <c r="C4" s="3">
        <v>30534.799999999999</v>
      </c>
    </row>
    <row r="5" spans="2:4" x14ac:dyDescent="0.25">
      <c r="B5" t="s">
        <v>121</v>
      </c>
      <c r="C5" s="3">
        <v>0.36151450000000002</v>
      </c>
    </row>
    <row r="6" spans="2:4" x14ac:dyDescent="0.25">
      <c r="B6" t="s">
        <v>122</v>
      </c>
      <c r="C6" s="3">
        <v>29257.642</v>
      </c>
    </row>
    <row r="7" spans="2:4" x14ac:dyDescent="0.25">
      <c r="B7" t="s">
        <v>123</v>
      </c>
      <c r="C7" s="3">
        <v>0.35850783000000003</v>
      </c>
    </row>
    <row r="8" spans="2:4" x14ac:dyDescent="0.25">
      <c r="B8" t="s">
        <v>124</v>
      </c>
      <c r="C8" t="s">
        <v>125</v>
      </c>
      <c r="D8" s="3">
        <v>10768.300999999999</v>
      </c>
    </row>
    <row r="9" spans="2:4" x14ac:dyDescent="0.25">
      <c r="B9" t="s">
        <v>126</v>
      </c>
      <c r="C9" t="s">
        <v>125</v>
      </c>
      <c r="D9" s="3">
        <v>11203.666999999999</v>
      </c>
    </row>
    <row r="10" spans="2:4" x14ac:dyDescent="0.25">
      <c r="B10" t="s">
        <v>127</v>
      </c>
      <c r="C10" t="s">
        <v>125</v>
      </c>
      <c r="D10" s="3">
        <v>11203.666999999999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-3.3858434285714286E-4</v>
      </c>
      <c r="C3" s="2">
        <f>IF('Modell einstellen'!$B$2="Ja",creep_res0!O3,creep_res0!C3)</f>
        <v>-3.4412177142857143E-4</v>
      </c>
      <c r="D3" s="2">
        <f>IF('Modell einstellen'!$B$2="Ja",creep_res25!O3,creep_res25!C3)</f>
        <v>-3.5446654285714287E-4</v>
      </c>
      <c r="E3" s="2">
        <f>IF('Modell einstellen'!$B$2="Ja",creep_res50!O3,creep_res50!C3)</f>
        <v>-3.6163945714285718E-4</v>
      </c>
      <c r="F3" s="2">
        <f>IF('Modell einstellen'!$B$2="Ja",creep_res80!O3,creep_res80!C3)</f>
        <v>-3.7102085714285719E-4</v>
      </c>
      <c r="G3" s="2">
        <f>IF('Modell einstellen'!$B$2="Ja",creep_res125!O3,creep_res125!C3)</f>
        <v>-3.9563245714285719E-4</v>
      </c>
      <c r="H3" s="2">
        <f>IF('Modell einstellen'!$B$2="Ja",creep_res160!O3,creep_res160!C3)</f>
        <v>-4.2592588571428573E-4</v>
      </c>
      <c r="M3" s="9">
        <v>-10</v>
      </c>
      <c r="N3" s="2">
        <f t="shared" ref="N3:N33" si="4">A3</f>
        <v>1.0000000000000001E-15</v>
      </c>
      <c r="O3" s="2">
        <f t="shared" ref="O3:O33" si="5">$M$3/B3</f>
        <v>29534.738421791844</v>
      </c>
      <c r="P3" s="2">
        <f t="shared" ref="P3:P33" si="6">$M$3/C3</f>
        <v>29059.480771839735</v>
      </c>
      <c r="Q3" s="2">
        <f t="shared" ref="Q3:Q33" si="7">$M$3/D3</f>
        <v>28211.407258343705</v>
      </c>
      <c r="R3" s="2">
        <f t="shared" ref="R3:R33" si="8">$M$3/E3</f>
        <v>27651.849936412593</v>
      </c>
      <c r="S3" s="2">
        <f t="shared" ref="S3:S33" si="9">$M$3/F3</f>
        <v>26952.662653543539</v>
      </c>
      <c r="T3" s="2">
        <f t="shared" ref="T3:T33" si="10">$M$3/G3</f>
        <v>25275.98486791781</v>
      </c>
      <c r="U3" s="2">
        <f t="shared" ref="U3:U33" si="11">$M$3/H3</f>
        <v>23478.263086146577</v>
      </c>
      <c r="Z3" s="2">
        <v>1.0000000000000001E-15</v>
      </c>
      <c r="AA3" s="3">
        <f>IF('Modell einstellen'!$B$2="Ja",'creep_res-40'!P3,'creep_res-40'!L3)</f>
        <v>0.35838380679488008</v>
      </c>
      <c r="AB3" s="2">
        <f>IF('Modell einstellen'!$B$2="Ja",creep_res0!P3,creep_res0!L3)</f>
        <v>0.36028838462663804</v>
      </c>
      <c r="AC3" s="2">
        <f>IF('Modell einstellen'!$B$2="Ja",creep_res25!P3,creep_res25!L3)</f>
        <v>0.3648775153391467</v>
      </c>
      <c r="AD3" s="2">
        <f>IF('Modell einstellen'!$B$2="Ja",creep_res50!P3,creep_res50!L3)</f>
        <v>0.36772353617229347</v>
      </c>
      <c r="AE3" s="2">
        <f>IF('Modell einstellen'!$B$2="Ja",creep_res80!P3,creep_res80!L3)</f>
        <v>0.37135196866098397</v>
      </c>
      <c r="AF3" s="2">
        <f>IF('Modell einstellen'!$B$2="Ja",creep_res125!P3,creep_res125!L3)</f>
        <v>0.38122633445645365</v>
      </c>
      <c r="AG3" s="2">
        <f>IF('Modell einstellen'!$B$2="Ja",creep_res160!P3,creep_res160!L3)</f>
        <v>0.39312470593475485</v>
      </c>
      <c r="AL3" s="2">
        <f t="shared" ref="AL3:AL33" si="12">Z3</f>
        <v>1.0000000000000001E-15</v>
      </c>
      <c r="AM3" s="2">
        <f t="shared" ref="AM3:AM33" si="13">O3/(2*(1+AA3))</f>
        <v>10871.278895571992</v>
      </c>
      <c r="AN3" s="2">
        <f t="shared" ref="AN3:AN33" si="14">P3/(2*(1+AB3))</f>
        <v>10681.367679183619</v>
      </c>
      <c r="AO3" s="2">
        <f t="shared" ref="AO3:AO33" si="15">Q3/(2*(1+AC3))</f>
        <v>10334.776176356636</v>
      </c>
      <c r="AP3" s="2">
        <f t="shared" ref="AP3:AP33" si="16">R3/(2*(1+AD3))</f>
        <v>10108.713203034791</v>
      </c>
      <c r="AQ3" s="2">
        <f t="shared" ref="AQ3:AQ33" si="17">S3/(2*(1+AE3))</f>
        <v>9827.0404934265953</v>
      </c>
      <c r="AR3" s="2">
        <f t="shared" ref="AR3:AR33" si="18">T3/(2*(1+AF3))</f>
        <v>9149.8345482474924</v>
      </c>
      <c r="AS3" s="2">
        <f t="shared" ref="AS3:AS33" si="19">U3/(2*(1+AG3))</f>
        <v>8426.4757441054771</v>
      </c>
      <c r="AX3" s="2">
        <f>AL3</f>
        <v>1.0000000000000001E-15</v>
      </c>
      <c r="AY3" s="37">
        <f t="shared" ref="AY3:AY33" si="20">O3/(3*(1-(2*AA3)))</f>
        <v>34759.135182388236</v>
      </c>
      <c r="AZ3" s="37">
        <f t="shared" ref="AZ3:AZ33" si="21">P3/(3*(1-(2*AB3)))</f>
        <v>34666.028177855122</v>
      </c>
      <c r="BA3" s="37">
        <f t="shared" ref="BA3:BA33" si="22">Q3/(3*(1-(2*AC3)))</f>
        <v>34797.326451814064</v>
      </c>
      <c r="BB3" s="37">
        <f t="shared" ref="BB3:BB33" si="23">R3/(3*(1-(2*AD3)))</f>
        <v>34840.980191847579</v>
      </c>
      <c r="BC3" s="37">
        <f t="shared" ref="BC3:BC33" si="24">S3/(3*(1-(2*AE3)))</f>
        <v>34917.832752679686</v>
      </c>
      <c r="BD3" s="37">
        <f t="shared" ref="BD3:BD33" si="25">T3/(3*(1-(2*AF3)))</f>
        <v>35467.998106941195</v>
      </c>
      <c r="BE3" s="37">
        <f t="shared" ref="BE3:BE33" si="26">U3/(3*(1-(2*AG3)))</f>
        <v>36613.175027170117</v>
      </c>
    </row>
    <row r="4" spans="1:308" x14ac:dyDescent="0.25">
      <c r="A4" s="2">
        <f>'creep_res-40'!A4</f>
        <v>1E-14</v>
      </c>
      <c r="B4" s="3">
        <f>'creep_res-40'!O4</f>
        <v>-3.4093037142857147E-4</v>
      </c>
      <c r="C4" s="2">
        <f>IF('Modell einstellen'!$B$2="Ja",creep_res0!O4,creep_res0!C4)</f>
        <v>-3.5410982857142861E-4</v>
      </c>
      <c r="D4" s="2">
        <f>IF('Modell einstellen'!$B$2="Ja",creep_res25!O4,creep_res25!C4)</f>
        <v>-3.6198094285714287E-4</v>
      </c>
      <c r="E4" s="2">
        <f>IF('Modell einstellen'!$B$2="Ja",creep_res50!O4,creep_res50!C4)</f>
        <v>-3.6956534285714288E-4</v>
      </c>
      <c r="F4" s="2">
        <f>IF('Modell einstellen'!$B$2="Ja",creep_res80!O4,creep_res80!C4)</f>
        <v>-3.8034474285714284E-4</v>
      </c>
      <c r="G4" s="2">
        <f>IF('Modell einstellen'!$B$2="Ja",creep_res125!O4,creep_res125!C4)</f>
        <v>-4.086534285714286E-4</v>
      </c>
      <c r="H4" s="2">
        <f>IF('Modell einstellen'!$B$2="Ja",creep_res160!O4,creep_res160!C4)</f>
        <v>-4.4173671428571437E-4</v>
      </c>
      <c r="M4" s="9">
        <f t="shared" ref="M4:M31" si="27">M3</f>
        <v>-10</v>
      </c>
      <c r="N4" s="2">
        <f t="shared" si="4"/>
        <v>1E-14</v>
      </c>
      <c r="O4" s="2">
        <f t="shared" si="5"/>
        <v>29331.502377150657</v>
      </c>
      <c r="P4" s="2">
        <f t="shared" si="6"/>
        <v>28239.826158857573</v>
      </c>
      <c r="Q4" s="2">
        <f t="shared" si="7"/>
        <v>27625.763724104498</v>
      </c>
      <c r="R4" s="2">
        <f t="shared" si="8"/>
        <v>27058.814343057988</v>
      </c>
      <c r="S4" s="2">
        <f t="shared" si="9"/>
        <v>26291.936954038541</v>
      </c>
      <c r="T4" s="2">
        <f t="shared" si="10"/>
        <v>24470.613240559411</v>
      </c>
      <c r="U4" s="2">
        <f t="shared" si="11"/>
        <v>22637.919096604728</v>
      </c>
      <c r="Z4" s="2">
        <v>1E-14</v>
      </c>
      <c r="AA4" s="3">
        <f>IF('Modell einstellen'!$B$2="Ja",'creep_res-40'!P4,'creep_res-40'!L4)</f>
        <v>0.35973385600394481</v>
      </c>
      <c r="AB4" s="2">
        <f>IF('Modell einstellen'!$B$2="Ja",creep_res0!P4,creep_res0!L4)</f>
        <v>0.36551334678732439</v>
      </c>
      <c r="AC4" s="2">
        <f>IF('Modell einstellen'!$B$2="Ja",creep_res25!P4,creep_res25!L4)</f>
        <v>0.36872651464761408</v>
      </c>
      <c r="AD4" s="2">
        <f>IF('Modell einstellen'!$B$2="Ja",creep_res50!P4,creep_res50!L4)</f>
        <v>0.37169055045127536</v>
      </c>
      <c r="AE4" s="2">
        <f>IF('Modell einstellen'!$B$2="Ja",creep_res80!P4,creep_res80!L4)</f>
        <v>0.37587658444602068</v>
      </c>
      <c r="AF4" s="2">
        <f>IF('Modell einstellen'!$B$2="Ja",creep_res125!P4,creep_res125!L4)</f>
        <v>0.38717911160487373</v>
      </c>
      <c r="AG4" s="2">
        <f>IF('Modell einstellen'!$B$2="Ja",creep_res160!P4,creep_res160!L4)</f>
        <v>0.39997154090170706</v>
      </c>
      <c r="AL4" s="2">
        <f t="shared" si="12"/>
        <v>1E-14</v>
      </c>
      <c r="AM4" s="2">
        <f t="shared" si="13"/>
        <v>10785.751287884957</v>
      </c>
      <c r="AN4" s="2">
        <f t="shared" si="14"/>
        <v>10340.369878221287</v>
      </c>
      <c r="AO4" s="2">
        <f t="shared" si="15"/>
        <v>10091.776344091975</v>
      </c>
      <c r="AP4" s="2">
        <f t="shared" si="16"/>
        <v>9863.3085771990827</v>
      </c>
      <c r="AQ4" s="2">
        <f t="shared" si="17"/>
        <v>9554.6131285549327</v>
      </c>
      <c r="AR4" s="2">
        <f t="shared" si="18"/>
        <v>8820.2788795776141</v>
      </c>
      <c r="AS4" s="2">
        <f t="shared" si="19"/>
        <v>8085.1354599765227</v>
      </c>
      <c r="AX4" s="2">
        <f t="shared" ref="AX4:AX32" si="28">AL4</f>
        <v>1E-14</v>
      </c>
      <c r="AY4" s="37">
        <f t="shared" si="20"/>
        <v>34852.200183549598</v>
      </c>
      <c r="AZ4" s="37">
        <f t="shared" si="21"/>
        <v>34997.061646704133</v>
      </c>
      <c r="BA4" s="37">
        <f t="shared" si="22"/>
        <v>35074.058875315241</v>
      </c>
      <c r="BB4" s="37">
        <f t="shared" si="23"/>
        <v>35147.858605667992</v>
      </c>
      <c r="BC4" s="37">
        <f t="shared" si="24"/>
        <v>35303.487845402538</v>
      </c>
      <c r="BD4" s="37">
        <f t="shared" si="25"/>
        <v>36149.649219296683</v>
      </c>
      <c r="BE4" s="37">
        <f t="shared" si="26"/>
        <v>37719.130636544782</v>
      </c>
      <c r="BF4" s="5"/>
      <c r="BG4" s="5"/>
    </row>
    <row r="5" spans="1:308" x14ac:dyDescent="0.25">
      <c r="A5" s="2">
        <f>'creep_res-40'!A5</f>
        <v>1E-13</v>
      </c>
      <c r="B5" s="3">
        <f>'creep_res-40'!O5</f>
        <v>-3.4955094285714285E-4</v>
      </c>
      <c r="C5" s="2">
        <f>IF('Modell einstellen'!$B$2="Ja",creep_res0!O5,creep_res0!C5)</f>
        <v>-3.6013994285714293E-4</v>
      </c>
      <c r="D5" s="2">
        <f>IF('Modell einstellen'!$B$2="Ja",creep_res25!O5,creep_res25!C5)</f>
        <v>-3.6854320000000005E-4</v>
      </c>
      <c r="E5" s="2">
        <f>IF('Modell einstellen'!$B$2="Ja",creep_res50!O5,creep_res50!C5)</f>
        <v>-3.7684194285714283E-4</v>
      </c>
      <c r="F5" s="2">
        <f>IF('Modell einstellen'!$B$2="Ja",creep_res80!O5,creep_res80!C5)</f>
        <v>-3.8924577142857144E-4</v>
      </c>
      <c r="G5" s="2">
        <f>IF('Modell einstellen'!$B$2="Ja",creep_res125!O5,creep_res125!C5)</f>
        <v>-4.2072582857142864E-4</v>
      </c>
      <c r="H5" s="2">
        <f>IF('Modell einstellen'!$B$2="Ja",creep_res160!O5,creep_res160!C5)</f>
        <v>-4.5842468571428578E-4</v>
      </c>
      <c r="M5" s="9">
        <f t="shared" si="27"/>
        <v>-10</v>
      </c>
      <c r="N5" s="2">
        <f t="shared" si="4"/>
        <v>1E-13</v>
      </c>
      <c r="O5" s="2">
        <f t="shared" si="5"/>
        <v>28608.133390407922</v>
      </c>
      <c r="P5" s="2">
        <f t="shared" si="6"/>
        <v>27766.983913713535</v>
      </c>
      <c r="Q5" s="2">
        <f t="shared" si="7"/>
        <v>27133.861105021064</v>
      </c>
      <c r="R5" s="2">
        <f t="shared" si="8"/>
        <v>26536.324285407118</v>
      </c>
      <c r="S5" s="2">
        <f t="shared" si="9"/>
        <v>25690.709402696877</v>
      </c>
      <c r="T5" s="2">
        <f t="shared" si="10"/>
        <v>23768.448050729199</v>
      </c>
      <c r="U5" s="2">
        <f t="shared" si="11"/>
        <v>21813.834009437534</v>
      </c>
      <c r="Z5" s="2">
        <v>1E-13</v>
      </c>
      <c r="AA5" s="3">
        <f>IF('Modell einstellen'!$B$2="Ja",'creep_res-40'!P5,'creep_res-40'!L5)</f>
        <v>0.36425943392023874</v>
      </c>
      <c r="AB5" s="2">
        <f>IF('Modell einstellen'!$B$2="Ja",creep_res0!P5,creep_res0!L5)</f>
        <v>0.36860899628065208</v>
      </c>
      <c r="AC5" s="2">
        <f>IF('Modell einstellen'!$B$2="Ja",creep_res25!P5,creep_res25!L5)</f>
        <v>0.37201899649368492</v>
      </c>
      <c r="AD5" s="2">
        <f>IF('Modell einstellen'!$B$2="Ja",creep_res50!P5,creep_res50!L5)</f>
        <v>0.37525907034309502</v>
      </c>
      <c r="AE5" s="2">
        <f>IF('Modell einstellen'!$B$2="Ja",creep_res80!P5,creep_res80!L5)</f>
        <v>0.3801039402061217</v>
      </c>
      <c r="AF5" s="2">
        <f>IF('Modell einstellen'!$B$2="Ja",creep_res125!P5,creep_res125!L5)</f>
        <v>0.39259455292364132</v>
      </c>
      <c r="AG5" s="2">
        <f>IF('Modell einstellen'!$B$2="Ja",creep_res160!P5,creep_res160!L5)</f>
        <v>0.40704695284422476</v>
      </c>
      <c r="AL5" s="2">
        <f t="shared" si="12"/>
        <v>1E-13</v>
      </c>
      <c r="AM5" s="2">
        <f t="shared" si="13"/>
        <v>10484.858187200372</v>
      </c>
      <c r="AN5" s="2">
        <f t="shared" si="14"/>
        <v>10144.235493546155</v>
      </c>
      <c r="AO5" s="2">
        <f t="shared" si="15"/>
        <v>9888.29643553188</v>
      </c>
      <c r="AP5" s="2">
        <f t="shared" si="16"/>
        <v>9647.7546876992856</v>
      </c>
      <c r="AQ5" s="2">
        <f t="shared" si="17"/>
        <v>9307.5270109220583</v>
      </c>
      <c r="AR5" s="2">
        <f t="shared" si="18"/>
        <v>8533.8722605331295</v>
      </c>
      <c r="AS5" s="2">
        <f t="shared" si="19"/>
        <v>7751.6368467103184</v>
      </c>
      <c r="AX5" s="2">
        <f t="shared" si="28"/>
        <v>1E-13</v>
      </c>
      <c r="AY5" s="37">
        <f t="shared" si="20"/>
        <v>35125.993425819077</v>
      </c>
      <c r="AZ5" s="37">
        <f t="shared" si="21"/>
        <v>35221.8228134604</v>
      </c>
      <c r="BA5" s="37">
        <f t="shared" si="22"/>
        <v>35335.792502572687</v>
      </c>
      <c r="BB5" s="37">
        <f t="shared" si="23"/>
        <v>35455.248941939419</v>
      </c>
      <c r="BC5" s="37">
        <f t="shared" si="24"/>
        <v>35712.473852857176</v>
      </c>
      <c r="BD5" s="37">
        <f t="shared" si="25"/>
        <v>36882.747721710504</v>
      </c>
      <c r="BE5" s="37">
        <f t="shared" si="26"/>
        <v>39112.639260552067</v>
      </c>
    </row>
    <row r="6" spans="1:308" x14ac:dyDescent="0.25">
      <c r="A6" s="2">
        <f>'creep_res-40'!A6</f>
        <v>9.9999999999999998E-13</v>
      </c>
      <c r="B6" s="3">
        <f>'creep_res-40'!O6</f>
        <v>-3.5566291428571433E-4</v>
      </c>
      <c r="C6" s="2">
        <f>IF('Modell einstellen'!$B$2="Ja",creep_res0!O6,creep_res0!C6)</f>
        <v>-3.6646617142857145E-4</v>
      </c>
      <c r="D6" s="2">
        <f>IF('Modell einstellen'!$B$2="Ja",creep_res25!O6,creep_res25!C6)</f>
        <v>-3.7567897142857143E-4</v>
      </c>
      <c r="E6" s="2">
        <f>IF('Modell einstellen'!$B$2="Ja",creep_res50!O6,creep_res50!C6)</f>
        <v>-3.8514522857142853E-4</v>
      </c>
      <c r="F6" s="2">
        <f>IF('Modell einstellen'!$B$2="Ja",creep_res80!O6,creep_res80!C6)</f>
        <v>-3.9889357142857144E-4</v>
      </c>
      <c r="G6" s="2">
        <f>IF('Modell einstellen'!$B$2="Ja",creep_res125!O6,creep_res125!C6)</f>
        <v>-4.3236028571428574E-4</v>
      </c>
      <c r="H6" s="2">
        <f>IF('Modell einstellen'!$B$2="Ja",creep_res160!O6,creep_res160!C6)</f>
        <v>-4.7865331428571431E-4</v>
      </c>
      <c r="M6" s="9">
        <f t="shared" si="27"/>
        <v>-10</v>
      </c>
      <c r="N6" s="2">
        <f t="shared" si="4"/>
        <v>9.9999999999999998E-13</v>
      </c>
      <c r="O6" s="2">
        <f t="shared" si="5"/>
        <v>28116.510320124944</v>
      </c>
      <c r="P6" s="2">
        <f t="shared" si="6"/>
        <v>27287.64830057204</v>
      </c>
      <c r="Q6" s="2">
        <f t="shared" si="7"/>
        <v>26618.471515649682</v>
      </c>
      <c r="R6" s="2">
        <f t="shared" si="8"/>
        <v>25964.231822608217</v>
      </c>
      <c r="S6" s="2">
        <f t="shared" si="9"/>
        <v>25069.343595051312</v>
      </c>
      <c r="T6" s="2">
        <f t="shared" si="10"/>
        <v>23128.858802281957</v>
      </c>
      <c r="U6" s="2">
        <f t="shared" si="11"/>
        <v>20891.947682265229</v>
      </c>
      <c r="Z6" s="2">
        <v>9.9999999999999998E-13</v>
      </c>
      <c r="AA6" s="3">
        <f>IF('Modell einstellen'!$B$2="Ja",'creep_res-40'!P6,'creep_res-40'!L6)</f>
        <v>0.36747692558330908</v>
      </c>
      <c r="AB6" s="2">
        <f>IF('Modell einstellen'!$B$2="Ja",creep_res0!P6,creep_res0!L6)</f>
        <v>0.37181134473842686</v>
      </c>
      <c r="AC6" s="2">
        <f>IF('Modell einstellen'!$B$2="Ja",creep_res25!P6,creep_res25!L6)</f>
        <v>0.37555222681006373</v>
      </c>
      <c r="AD6" s="2">
        <f>IF('Modell einstellen'!$B$2="Ja",creep_res50!P6,creep_res50!L6)</f>
        <v>0.37926886651959046</v>
      </c>
      <c r="AE6" s="2">
        <f>IF('Modell einstellen'!$B$2="Ja",creep_res80!P6,creep_res80!L6)</f>
        <v>0.38461972133633926</v>
      </c>
      <c r="AF6" s="2">
        <f>IF('Modell einstellen'!$B$2="Ja",creep_res125!P6,creep_res125!L6)</f>
        <v>0.39773344452807546</v>
      </c>
      <c r="AG6" s="2">
        <f>IF('Modell einstellen'!$B$2="Ja",creep_res160!P6,creep_res160!L6)</f>
        <v>0.41547685034906867</v>
      </c>
      <c r="AL6" s="2">
        <f t="shared" si="12"/>
        <v>9.9999999999999998E-13</v>
      </c>
      <c r="AM6" s="2">
        <f t="shared" si="13"/>
        <v>10280.433181032142</v>
      </c>
      <c r="AN6" s="2">
        <f t="shared" si="14"/>
        <v>9945.8458355930761</v>
      </c>
      <c r="AO6" s="2">
        <f t="shared" si="15"/>
        <v>9675.5582946416034</v>
      </c>
      <c r="AP6" s="2">
        <f t="shared" si="16"/>
        <v>9412.3170807609295</v>
      </c>
      <c r="AQ6" s="2">
        <f t="shared" si="17"/>
        <v>9052.7901664061646</v>
      </c>
      <c r="AR6" s="2">
        <f t="shared" si="18"/>
        <v>8273.7015747988644</v>
      </c>
      <c r="AS6" s="2">
        <f t="shared" si="19"/>
        <v>7379.8266913065718</v>
      </c>
      <c r="AX6" s="2">
        <f t="shared" si="28"/>
        <v>9.9999999999999998E-13</v>
      </c>
      <c r="AY6" s="37">
        <f t="shared" si="20"/>
        <v>35360.521735405484</v>
      </c>
      <c r="AZ6" s="37">
        <f t="shared" si="21"/>
        <v>35478.501386479562</v>
      </c>
      <c r="BA6" s="37">
        <f t="shared" si="22"/>
        <v>35648.785073108134</v>
      </c>
      <c r="BB6" s="37">
        <f t="shared" si="23"/>
        <v>35843.049308709466</v>
      </c>
      <c r="BC6" s="37">
        <f t="shared" si="24"/>
        <v>36212.635130551927</v>
      </c>
      <c r="BD6" s="37">
        <f t="shared" si="25"/>
        <v>37693.748289376927</v>
      </c>
      <c r="BE6" s="37">
        <f t="shared" si="26"/>
        <v>41195.711408740332</v>
      </c>
    </row>
    <row r="7" spans="1:308" x14ac:dyDescent="0.25">
      <c r="A7" s="2">
        <f>'creep_res-40'!A7</f>
        <v>9.9999999999999994E-12</v>
      </c>
      <c r="B7" s="3">
        <f>'creep_res-40'!O7</f>
        <v>-3.616018571428572E-4</v>
      </c>
      <c r="C7" s="2">
        <f>IF('Modell einstellen'!$B$2="Ja",creep_res0!O7,creep_res0!C7)</f>
        <v>-3.7350802857142863E-4</v>
      </c>
      <c r="D7" s="2">
        <f>IF('Modell einstellen'!$B$2="Ja",creep_res25!O7,creep_res25!C7)</f>
        <v>-3.8400511428571428E-4</v>
      </c>
      <c r="E7" s="2">
        <f>IF('Modell einstellen'!$B$2="Ja",creep_res50!O7,creep_res50!C7)</f>
        <v>-3.9454505714285712E-4</v>
      </c>
      <c r="F7" s="2">
        <f>IF('Modell einstellen'!$B$2="Ja",creep_res80!O7,creep_res80!C7)</f>
        <v>-4.1038048571428575E-4</v>
      </c>
      <c r="G7" s="2">
        <f>IF('Modell einstellen'!$B$2="Ja",creep_res125!O7,creep_res125!C7)</f>
        <v>-4.4637860000000008E-4</v>
      </c>
      <c r="H7" s="2">
        <f>IF('Modell einstellen'!$B$2="Ja",creep_res160!O7,creep_res160!C7)</f>
        <v>-4.9986257142857146E-4</v>
      </c>
      <c r="M7" s="9">
        <f t="shared" si="27"/>
        <v>-10</v>
      </c>
      <c r="N7" s="2">
        <f t="shared" si="4"/>
        <v>9.9999999999999994E-12</v>
      </c>
      <c r="O7" s="2">
        <f t="shared" si="5"/>
        <v>27654.725224625501</v>
      </c>
      <c r="P7" s="2">
        <f t="shared" si="6"/>
        <v>26773.186210340398</v>
      </c>
      <c r="Q7" s="2">
        <f t="shared" si="7"/>
        <v>26041.319836588485</v>
      </c>
      <c r="R7" s="2">
        <f t="shared" si="8"/>
        <v>25345.647649006522</v>
      </c>
      <c r="S7" s="2">
        <f t="shared" si="9"/>
        <v>24367.630401807601</v>
      </c>
      <c r="T7" s="2">
        <f t="shared" si="10"/>
        <v>22402.507647095979</v>
      </c>
      <c r="U7" s="2">
        <f t="shared" si="11"/>
        <v>20005.498654201525</v>
      </c>
      <c r="Z7" s="2">
        <v>9.9999999999999994E-12</v>
      </c>
      <c r="AA7" s="3">
        <f>IF('Modell einstellen'!$B$2="Ja",'creep_res-40'!P7,'creep_res-40'!L7)</f>
        <v>0.37055741259230257</v>
      </c>
      <c r="AB7" s="2">
        <f>IF('Modell einstellen'!$B$2="Ja",creep_res0!P7,creep_res0!L7)</f>
        <v>0.3753339247402675</v>
      </c>
      <c r="AC7" s="2">
        <f>IF('Modell einstellen'!$B$2="Ja",creep_res25!P7,creep_res25!L7)</f>
        <v>0.37961637266884612</v>
      </c>
      <c r="AD7" s="2">
        <f>IF('Modell einstellen'!$B$2="Ja",creep_res50!P7,creep_res50!L7)</f>
        <v>0.38374864590877444</v>
      </c>
      <c r="AE7" s="2">
        <f>IF('Modell einstellen'!$B$2="Ja",creep_res80!P7,creep_res80!L7)</f>
        <v>0.38991073580009411</v>
      </c>
      <c r="AF7" s="2">
        <f>IF('Modell einstellen'!$B$2="Ja",creep_res125!P7,creep_res125!L7)</f>
        <v>0.40382664273908159</v>
      </c>
      <c r="AG7" s="2">
        <f>IF('Modell einstellen'!$B$2="Ja",creep_res160!P7,creep_res160!L7)</f>
        <v>0.4242093341084035</v>
      </c>
      <c r="AL7" s="2">
        <f t="shared" si="12"/>
        <v>9.9999999999999994E-12</v>
      </c>
      <c r="AM7" s="2">
        <f t="shared" si="13"/>
        <v>10088.860550656809</v>
      </c>
      <c r="AN7" s="2">
        <f t="shared" si="14"/>
        <v>9733.3402923935464</v>
      </c>
      <c r="AO7" s="2">
        <f t="shared" si="15"/>
        <v>9437.8844555939704</v>
      </c>
      <c r="AP7" s="2">
        <f t="shared" si="16"/>
        <v>9158.3278957287839</v>
      </c>
      <c r="AQ7" s="2">
        <f t="shared" si="17"/>
        <v>8765.8976127630649</v>
      </c>
      <c r="AR7" s="2">
        <f t="shared" si="18"/>
        <v>7979.0862222792848</v>
      </c>
      <c r="AS7" s="2">
        <f t="shared" si="19"/>
        <v>7023.3701518062126</v>
      </c>
      <c r="AX7" s="2">
        <f t="shared" si="28"/>
        <v>9.9999999999999994E-12</v>
      </c>
      <c r="AY7" s="37">
        <f t="shared" si="20"/>
        <v>35607.453181184101</v>
      </c>
      <c r="AZ7" s="37">
        <f t="shared" si="21"/>
        <v>35793.199492538304</v>
      </c>
      <c r="BA7" s="37">
        <f t="shared" si="22"/>
        <v>36053.241366665061</v>
      </c>
      <c r="BB7" s="37">
        <f t="shared" si="23"/>
        <v>36337.422829955613</v>
      </c>
      <c r="BC7" s="37">
        <f t="shared" si="24"/>
        <v>36890.715576588183</v>
      </c>
      <c r="BD7" s="37">
        <f t="shared" si="25"/>
        <v>38823.13543850118</v>
      </c>
      <c r="BE7" s="37">
        <f t="shared" si="26"/>
        <v>43992.88139873631</v>
      </c>
    </row>
    <row r="8" spans="1:308" x14ac:dyDescent="0.25">
      <c r="A8" s="2">
        <f>'creep_res-40'!A8</f>
        <v>1E-10</v>
      </c>
      <c r="B8" s="3">
        <f>'creep_res-40'!O8</f>
        <v>-3.6839137142857147E-4</v>
      </c>
      <c r="C8" s="2">
        <f>IF('Modell einstellen'!$B$2="Ja",creep_res0!O8,creep_res0!C8)</f>
        <v>-3.8163354285714285E-4</v>
      </c>
      <c r="D8" s="2">
        <f>IF('Modell einstellen'!$B$2="Ja",creep_res25!O8,creep_res25!C8)</f>
        <v>-3.9338954285714287E-4</v>
      </c>
      <c r="E8" s="2">
        <f>IF('Modell einstellen'!$B$2="Ja",creep_res50!O8,creep_res50!C8)</f>
        <v>-4.054733428571429E-4</v>
      </c>
      <c r="F8" s="2">
        <f>IF('Modell einstellen'!$B$2="Ja",creep_res80!O8,creep_res80!C8)</f>
        <v>-4.217628285714286E-4</v>
      </c>
      <c r="G8" s="2">
        <f>IF('Modell einstellen'!$B$2="Ja",creep_res125!O8,creep_res125!C8)</f>
        <v>-4.645165714285715E-4</v>
      </c>
      <c r="H8" s="2">
        <f>IF('Modell einstellen'!$B$2="Ja",creep_res160!O8,creep_res160!C8)</f>
        <v>-5.1824708571428571E-4</v>
      </c>
      <c r="M8" s="9">
        <f t="shared" si="27"/>
        <v>-10</v>
      </c>
      <c r="N8" s="2">
        <f t="shared" si="4"/>
        <v>1E-10</v>
      </c>
      <c r="O8" s="2">
        <f t="shared" si="5"/>
        <v>27145.044036241579</v>
      </c>
      <c r="P8" s="2">
        <f t="shared" si="6"/>
        <v>26203.147462180248</v>
      </c>
      <c r="Q8" s="2">
        <f t="shared" si="7"/>
        <v>25420.096140256177</v>
      </c>
      <c r="R8" s="2">
        <f t="shared" si="8"/>
        <v>24662.53374275018</v>
      </c>
      <c r="S8" s="2">
        <f t="shared" si="9"/>
        <v>23710.007906271494</v>
      </c>
      <c r="T8" s="2">
        <f t="shared" si="10"/>
        <v>21527.757275151798</v>
      </c>
      <c r="U8" s="2">
        <f t="shared" si="11"/>
        <v>19295.815211806304</v>
      </c>
      <c r="Z8" s="2">
        <v>1E-10</v>
      </c>
      <c r="AA8" s="3">
        <f>IF('Modell einstellen'!$B$2="Ja",'creep_res-40'!P8,'creep_res-40'!L8)</f>
        <v>0.37403658748638291</v>
      </c>
      <c r="AB8" s="2">
        <f>IF('Modell einstellen'!$B$2="Ja",creep_res0!P8,creep_res0!L8)</f>
        <v>0.37934720323325882</v>
      </c>
      <c r="AC8" s="2">
        <f>IF('Modell einstellen'!$B$2="Ja",creep_res25!P8,creep_res25!L8)</f>
        <v>0.38414209427020868</v>
      </c>
      <c r="AD8" s="2">
        <f>IF('Modell einstellen'!$B$2="Ja",creep_res50!P8,creep_res50!L8)</f>
        <v>0.38888081210482256</v>
      </c>
      <c r="AE8" s="2">
        <f>IF('Modell einstellen'!$B$2="Ja",creep_res80!P8,creep_res80!L8)</f>
        <v>0.39510090268064674</v>
      </c>
      <c r="AF8" s="2">
        <f>IF('Modell einstellen'!$B$2="Ja",creep_res125!P8,creep_res125!L8)</f>
        <v>0.41159715661381913</v>
      </c>
      <c r="AG8" s="2">
        <f>IF('Modell einstellen'!$B$2="Ja",creep_res160!P8,creep_res160!L8)</f>
        <v>0.43171099632122528</v>
      </c>
      <c r="AL8" s="2">
        <f t="shared" si="12"/>
        <v>1E-10</v>
      </c>
      <c r="AM8" s="2">
        <f t="shared" si="13"/>
        <v>9877.8461517898249</v>
      </c>
      <c r="AN8" s="2">
        <f t="shared" si="14"/>
        <v>9498.3871358707802</v>
      </c>
      <c r="AO8" s="2">
        <f t="shared" si="15"/>
        <v>9182.6179716248589</v>
      </c>
      <c r="AP8" s="2">
        <f t="shared" si="16"/>
        <v>8878.5637787646356</v>
      </c>
      <c r="AQ8" s="2">
        <f t="shared" si="17"/>
        <v>8497.5960737726527</v>
      </c>
      <c r="AR8" s="2">
        <f t="shared" si="18"/>
        <v>7625.3190133909084</v>
      </c>
      <c r="AS8" s="2">
        <f t="shared" si="19"/>
        <v>6738.7256441372629</v>
      </c>
      <c r="AX8" s="2">
        <f t="shared" si="28"/>
        <v>1E-10</v>
      </c>
      <c r="AY8" s="37">
        <f t="shared" si="20"/>
        <v>35916.572247129174</v>
      </c>
      <c r="AZ8" s="37">
        <f t="shared" si="21"/>
        <v>36196.353178118421</v>
      </c>
      <c r="BA8" s="37">
        <f t="shared" si="22"/>
        <v>36567.920534690704</v>
      </c>
      <c r="BB8" s="37">
        <f t="shared" si="23"/>
        <v>36991.111691131744</v>
      </c>
      <c r="BC8" s="37">
        <f t="shared" si="24"/>
        <v>37671.134312511604</v>
      </c>
      <c r="BD8" s="37">
        <f t="shared" si="25"/>
        <v>40586.472204122598</v>
      </c>
      <c r="BE8" s="37">
        <f t="shared" si="26"/>
        <v>47093.514749392816</v>
      </c>
    </row>
    <row r="9" spans="1:308" x14ac:dyDescent="0.25">
      <c r="A9" s="2">
        <f>'creep_res-40'!A9</f>
        <v>1.0000000000000001E-9</v>
      </c>
      <c r="B9" s="3">
        <f>'creep_res-40'!O9</f>
        <v>-3.7583788571428573E-4</v>
      </c>
      <c r="C9" s="2">
        <f>IF('Modell einstellen'!$B$2="Ja",creep_res0!O9,creep_res0!C9)</f>
        <v>-3.9091748571428575E-4</v>
      </c>
      <c r="D9" s="2">
        <f>IF('Modell einstellen'!$B$2="Ja",creep_res25!O9,creep_res25!C9)</f>
        <v>-4.0436445714285714E-4</v>
      </c>
      <c r="E9" s="2">
        <f>IF('Modell einstellen'!$B$2="Ja",creep_res50!O9,creep_res50!C9)</f>
        <v>-4.1700088571428577E-4</v>
      </c>
      <c r="F9" s="2">
        <f>IF('Modell einstellen'!$B$2="Ja",creep_res80!O9,creep_res80!C9)</f>
        <v>-4.3382928571428572E-4</v>
      </c>
      <c r="G9" s="2">
        <f>IF('Modell einstellen'!$B$2="Ja",creep_res125!O9,creep_res125!C9)</f>
        <v>-4.8544591428571429E-4</v>
      </c>
      <c r="H9" s="2">
        <f>IF('Modell einstellen'!$B$2="Ja",creep_res160!O9,creep_res160!C9)</f>
        <v>-5.3819122857142864E-4</v>
      </c>
      <c r="M9" s="9">
        <f t="shared" si="27"/>
        <v>-10</v>
      </c>
      <c r="N9" s="2">
        <f t="shared" si="4"/>
        <v>1.0000000000000001E-9</v>
      </c>
      <c r="O9" s="2">
        <f t="shared" si="5"/>
        <v>26607.216515692253</v>
      </c>
      <c r="P9" s="2">
        <f t="shared" si="6"/>
        <v>25580.845998044744</v>
      </c>
      <c r="Q9" s="2">
        <f t="shared" si="7"/>
        <v>24730.16562993102</v>
      </c>
      <c r="R9" s="2">
        <f t="shared" si="8"/>
        <v>23980.764412216729</v>
      </c>
      <c r="S9" s="2">
        <f t="shared" si="9"/>
        <v>23050.541605404364</v>
      </c>
      <c r="T9" s="2">
        <f t="shared" si="10"/>
        <v>20599.617188485379</v>
      </c>
      <c r="U9" s="2">
        <f t="shared" si="11"/>
        <v>18580.756186874201</v>
      </c>
      <c r="Z9" s="2">
        <v>1.0000000000000001E-9</v>
      </c>
      <c r="AA9" s="3">
        <f>IF('Modell einstellen'!$B$2="Ja",'creep_res-40'!P9,'creep_res-40'!L9)</f>
        <v>0.37780988550838707</v>
      </c>
      <c r="AB9" s="2">
        <f>IF('Modell einstellen'!$B$2="Ja",creep_res0!P9,creep_res0!L9)</f>
        <v>0.38388227636201189</v>
      </c>
      <c r="AC9" s="2">
        <f>IF('Modell einstellen'!$B$2="Ja",creep_res25!P9,creep_res25!L9)</f>
        <v>0.38936177519064136</v>
      </c>
      <c r="AD9" s="2">
        <f>IF('Modell einstellen'!$B$2="Ja",creep_res50!P9,creep_res50!L9)</f>
        <v>0.39424009445406455</v>
      </c>
      <c r="AE9" s="2">
        <f>IF('Modell einstellen'!$B$2="Ja",creep_res80!P9,creep_res80!L9)</f>
        <v>0.40052898358636796</v>
      </c>
      <c r="AF9" s="2">
        <f>IF('Modell einstellen'!$B$2="Ja",creep_res125!P9,creep_res125!L9)</f>
        <v>0.42045500199021735</v>
      </c>
      <c r="AG9" s="2">
        <f>IF('Modell einstellen'!$B$2="Ja",creep_res160!P9,creep_res160!L9)</f>
        <v>0.43971569744222083</v>
      </c>
      <c r="AL9" s="2">
        <f t="shared" si="12"/>
        <v>1.0000000000000001E-9</v>
      </c>
      <c r="AM9" s="2">
        <f t="shared" si="13"/>
        <v>9655.619688733279</v>
      </c>
      <c r="AN9" s="2">
        <f t="shared" si="14"/>
        <v>9242.4212792479666</v>
      </c>
      <c r="AO9" s="2">
        <f t="shared" si="15"/>
        <v>8899.8294294290881</v>
      </c>
      <c r="AP9" s="2">
        <f t="shared" si="16"/>
        <v>8599.940751813896</v>
      </c>
      <c r="AQ9" s="2">
        <f t="shared" si="17"/>
        <v>8229.2269119551856</v>
      </c>
      <c r="AR9" s="2">
        <f t="shared" si="18"/>
        <v>7251.0629198471606</v>
      </c>
      <c r="AS9" s="2">
        <f t="shared" si="19"/>
        <v>6452.9254698981604</v>
      </c>
      <c r="AX9" s="2">
        <f t="shared" si="28"/>
        <v>1.0000000000000001E-9</v>
      </c>
      <c r="AY9" s="37">
        <f t="shared" si="20"/>
        <v>36292.10189710636</v>
      </c>
      <c r="AZ9" s="37">
        <f t="shared" si="21"/>
        <v>36716.826677548255</v>
      </c>
      <c r="BA9" s="37">
        <f t="shared" si="22"/>
        <v>37253.799749203179</v>
      </c>
      <c r="BB9" s="37">
        <f t="shared" si="23"/>
        <v>37791.2030846778</v>
      </c>
      <c r="BC9" s="37">
        <f t="shared" si="24"/>
        <v>38621.872709722964</v>
      </c>
      <c r="BD9" s="37">
        <f t="shared" si="25"/>
        <v>43161.350396815615</v>
      </c>
      <c r="BE9" s="37">
        <f t="shared" si="26"/>
        <v>51369.802194265452</v>
      </c>
    </row>
    <row r="10" spans="1:308" x14ac:dyDescent="0.25">
      <c r="A10" s="2">
        <f>'creep_res-40'!A10</f>
        <v>1E-8</v>
      </c>
      <c r="B10" s="3">
        <f>'creep_res-40'!O10</f>
        <v>-3.8479085714285716E-4</v>
      </c>
      <c r="C10" s="2">
        <f>IF('Modell einstellen'!$B$2="Ja",creep_res0!O10,creep_res0!C10)</f>
        <v>-4.0163102857142859E-4</v>
      </c>
      <c r="D10" s="2">
        <f>IF('Modell einstellen'!$B$2="Ja",creep_res25!O10,creep_res25!C10)</f>
        <v>-4.1580068571428572E-4</v>
      </c>
      <c r="E10" s="2">
        <f>IF('Modell einstellen'!$B$2="Ja",creep_res50!O10,creep_res50!C10)</f>
        <v>-4.2863045714285715E-4</v>
      </c>
      <c r="F10" s="2">
        <f>IF('Modell einstellen'!$B$2="Ja",creep_res80!O10,creep_res80!C10)</f>
        <v>-4.4930708571428579E-4</v>
      </c>
      <c r="G10" s="2">
        <f>IF('Modell einstellen'!$B$2="Ja",creep_res125!O10,creep_res125!C10)</f>
        <v>-5.0537397142857141E-4</v>
      </c>
      <c r="H10" s="2">
        <f>IF('Modell einstellen'!$B$2="Ja",creep_res160!O10,creep_res160!C10)</f>
        <v>-5.5889188571428571E-4</v>
      </c>
      <c r="M10" s="9">
        <f t="shared" si="27"/>
        <v>-10</v>
      </c>
      <c r="N10" s="2">
        <f t="shared" si="4"/>
        <v>1E-8</v>
      </c>
      <c r="O10" s="2">
        <f t="shared" si="5"/>
        <v>25988.143466432226</v>
      </c>
      <c r="P10" s="2">
        <f t="shared" si="6"/>
        <v>24898.474690985029</v>
      </c>
      <c r="Q10" s="2">
        <f t="shared" si="7"/>
        <v>24049.98438812442</v>
      </c>
      <c r="R10" s="2">
        <f t="shared" si="8"/>
        <v>23330.119998138922</v>
      </c>
      <c r="S10" s="2">
        <f t="shared" si="9"/>
        <v>22256.492982082629</v>
      </c>
      <c r="T10" s="2">
        <f t="shared" si="10"/>
        <v>19787.326940745268</v>
      </c>
      <c r="U10" s="2">
        <f t="shared" si="11"/>
        <v>17892.548193322949</v>
      </c>
      <c r="Z10" s="2">
        <v>1E-8</v>
      </c>
      <c r="AA10" s="3">
        <f>IF('Modell einstellen'!$B$2="Ja",'creep_res-40'!P10,'creep_res-40'!L10)</f>
        <v>0.38229366156606043</v>
      </c>
      <c r="AB10" s="2">
        <f>IF('Modell einstellen'!$B$2="Ja",creep_res0!P10,creep_res0!L10)</f>
        <v>0.38904917420296076</v>
      </c>
      <c r="AC10" s="2">
        <f>IF('Modell einstellen'!$B$2="Ja",creep_res25!P10,creep_res25!L10)</f>
        <v>0.39475071297896575</v>
      </c>
      <c r="AD10" s="2">
        <f>IF('Modell einstellen'!$B$2="Ja",creep_res50!P10,creep_res50!L10)</f>
        <v>0.39958047778219347</v>
      </c>
      <c r="AE10" s="2">
        <f>IF('Modell einstellen'!$B$2="Ja",creep_res80!P10,creep_res80!L10)</f>
        <v>0.40739216347610302</v>
      </c>
      <c r="AF10" s="2">
        <f>IF('Modell einstellen'!$B$2="Ja",creep_res125!P10,creep_res125!L10)</f>
        <v>0.42881302214162315</v>
      </c>
      <c r="AG10" s="2">
        <f>IF('Modell einstellen'!$B$2="Ja",creep_res160!P10,creep_res160!L10)</f>
        <v>0.44793923854222562</v>
      </c>
      <c r="AL10" s="2">
        <f t="shared" si="12"/>
        <v>1E-8</v>
      </c>
      <c r="AM10" s="2">
        <f t="shared" si="13"/>
        <v>9400.3699029441887</v>
      </c>
      <c r="AN10" s="2">
        <f t="shared" si="14"/>
        <v>8962.4165772503438</v>
      </c>
      <c r="AO10" s="2">
        <f t="shared" si="15"/>
        <v>8621.6067732840511</v>
      </c>
      <c r="AP10" s="2">
        <f t="shared" si="16"/>
        <v>8334.6832742009774</v>
      </c>
      <c r="AQ10" s="2">
        <f t="shared" si="17"/>
        <v>7906.9976228628248</v>
      </c>
      <c r="AR10" s="2">
        <f t="shared" si="18"/>
        <v>6924.393407013602</v>
      </c>
      <c r="AS10" s="2">
        <f t="shared" si="19"/>
        <v>6178.6253583876323</v>
      </c>
      <c r="AX10" s="2">
        <f t="shared" si="28"/>
        <v>1E-8</v>
      </c>
      <c r="AY10" s="37">
        <f t="shared" si="20"/>
        <v>36797.994925619598</v>
      </c>
      <c r="AZ10" s="37">
        <f t="shared" si="21"/>
        <v>37401.666477200524</v>
      </c>
      <c r="BA10" s="37">
        <f t="shared" si="22"/>
        <v>38084.16042336703</v>
      </c>
      <c r="BB10" s="37">
        <f t="shared" si="23"/>
        <v>38721.089755729445</v>
      </c>
      <c r="BC10" s="37">
        <f t="shared" si="24"/>
        <v>40055.092919232338</v>
      </c>
      <c r="BD10" s="37">
        <f t="shared" si="25"/>
        <v>46327.122216348856</v>
      </c>
      <c r="BE10" s="37">
        <f t="shared" si="26"/>
        <v>57280.978649775403</v>
      </c>
    </row>
    <row r="11" spans="1:308" x14ac:dyDescent="0.25">
      <c r="A11" s="2">
        <f>'creep_res-40'!A11</f>
        <v>9.9999999999999995E-8</v>
      </c>
      <c r="B11" s="3">
        <f>'creep_res-40'!O11</f>
        <v>-3.9459005714285713E-4</v>
      </c>
      <c r="C11" s="2">
        <f>IF('Modell einstellen'!$B$2="Ja",creep_res0!O11,creep_res0!C11)</f>
        <v>-4.1311025714285714E-4</v>
      </c>
      <c r="D11" s="2">
        <f>IF('Modell einstellen'!$B$2="Ja",creep_res25!O11,creep_res25!C11)</f>
        <v>-4.274400285714286E-4</v>
      </c>
      <c r="E11" s="2">
        <f>IF('Modell einstellen'!$B$2="Ja",creep_res50!O11,creep_res50!C11)</f>
        <v>-4.4302511428571435E-4</v>
      </c>
      <c r="F11" s="2">
        <f>IF('Modell einstellen'!$B$2="Ja",creep_res80!O11,creep_res80!C11)</f>
        <v>-4.6866885714285717E-4</v>
      </c>
      <c r="G11" s="2">
        <f>IF('Modell einstellen'!$B$2="Ja",creep_res125!O11,creep_res125!C11)</f>
        <v>-5.2389622857142853E-4</v>
      </c>
      <c r="H11" s="2">
        <f>IF('Modell einstellen'!$B$2="Ja",creep_res160!O11,creep_res160!C11)</f>
        <v>-5.8272757142857146E-4</v>
      </c>
      <c r="M11" s="9">
        <f t="shared" si="27"/>
        <v>-10</v>
      </c>
      <c r="N11" s="2">
        <f t="shared" si="4"/>
        <v>9.9999999999999995E-8</v>
      </c>
      <c r="O11" s="2">
        <f t="shared" si="5"/>
        <v>25342.757170334899</v>
      </c>
      <c r="P11" s="2">
        <f t="shared" si="6"/>
        <v>24206.612707129934</v>
      </c>
      <c r="Q11" s="2">
        <f t="shared" si="7"/>
        <v>23395.094823995692</v>
      </c>
      <c r="R11" s="2">
        <f t="shared" si="8"/>
        <v>22572.083788348918</v>
      </c>
      <c r="S11" s="2">
        <f t="shared" si="9"/>
        <v>21337.026874290161</v>
      </c>
      <c r="T11" s="2">
        <f t="shared" si="10"/>
        <v>19087.749547783947</v>
      </c>
      <c r="U11" s="2">
        <f t="shared" si="11"/>
        <v>17160.677631032191</v>
      </c>
      <c r="Z11" s="2">
        <v>9.9999999999999995E-8</v>
      </c>
      <c r="AA11" s="3">
        <f>IF('Modell einstellen'!$B$2="Ja",'creep_res-40'!P11,'creep_res-40'!L11)</f>
        <v>0.38714793479699583</v>
      </c>
      <c r="AB11" s="2">
        <f>IF('Modell einstellen'!$B$2="Ja",creep_res0!P11,creep_res0!L11)</f>
        <v>0.39453547475634143</v>
      </c>
      <c r="AC11" s="2">
        <f>IF('Modell einstellen'!$B$2="Ja",creep_res25!P11,creep_res25!L11)</f>
        <v>0.40016948743553066</v>
      </c>
      <c r="AD11" s="2">
        <f>IF('Modell einstellen'!$B$2="Ja",creep_res50!P11,creep_res50!L11)</f>
        <v>0.40610185336800314</v>
      </c>
      <c r="AE11" s="2">
        <f>IF('Modell einstellen'!$B$2="Ja",creep_res80!P11,creep_res80!L11)</f>
        <v>0.41587038914469615</v>
      </c>
      <c r="AF11" s="2">
        <f>IF('Modell einstellen'!$B$2="Ja",creep_res125!P11,creep_res125!L11)</f>
        <v>0.43647362989224481</v>
      </c>
      <c r="AG11" s="2">
        <f>IF('Modell einstellen'!$B$2="Ja",creep_res160!P11,creep_res160!L11)</f>
        <v>0.45727306536036322</v>
      </c>
      <c r="AL11" s="2">
        <f t="shared" si="12"/>
        <v>9.9999999999999995E-8</v>
      </c>
      <c r="AM11" s="2">
        <f t="shared" si="13"/>
        <v>9134.8429877609706</v>
      </c>
      <c r="AN11" s="2">
        <f t="shared" si="14"/>
        <v>8679.0953494242967</v>
      </c>
      <c r="AO11" s="2">
        <f t="shared" si="15"/>
        <v>8354.3796068734482</v>
      </c>
      <c r="AP11" s="2">
        <f t="shared" si="16"/>
        <v>8026.4753702879098</v>
      </c>
      <c r="AQ11" s="2">
        <f t="shared" si="17"/>
        <v>7534.9505992492377</v>
      </c>
      <c r="AR11" s="2">
        <f t="shared" si="18"/>
        <v>6643.9609995540914</v>
      </c>
      <c r="AS11" s="2">
        <f t="shared" si="19"/>
        <v>5887.9416764587622</v>
      </c>
      <c r="AX11" s="2">
        <f t="shared" si="28"/>
        <v>9.9999999999999995E-8</v>
      </c>
      <c r="AY11" s="37">
        <f t="shared" si="20"/>
        <v>37427.696640947637</v>
      </c>
      <c r="AZ11" s="37">
        <f t="shared" si="21"/>
        <v>38253.957355493876</v>
      </c>
      <c r="BA11" s="37">
        <f t="shared" si="22"/>
        <v>39058.023148462788</v>
      </c>
      <c r="BB11" s="37">
        <f t="shared" si="23"/>
        <v>40064.837269566204</v>
      </c>
      <c r="BC11" s="37">
        <f t="shared" si="24"/>
        <v>42270.148519186121</v>
      </c>
      <c r="BD11" s="37">
        <f t="shared" si="25"/>
        <v>50078.283804050654</v>
      </c>
      <c r="BE11" s="37">
        <f t="shared" si="26"/>
        <v>66939.343124608451</v>
      </c>
    </row>
    <row r="12" spans="1:308" x14ac:dyDescent="0.25">
      <c r="A12" s="2">
        <f>'creep_res-40'!A12</f>
        <v>9.9999999999999995E-7</v>
      </c>
      <c r="B12" s="3">
        <f>'creep_res-40'!O12</f>
        <v>-4.0621477142857142E-4</v>
      </c>
      <c r="C12" s="2">
        <f>IF('Modell einstellen'!$B$2="Ja",creep_res0!O12,creep_res0!C12)</f>
        <v>-4.2456862857142858E-4</v>
      </c>
      <c r="D12" s="2">
        <f>IF('Modell einstellen'!$B$2="Ja",creep_res25!O12,creep_res25!C12)</f>
        <v>-4.4195080000000004E-4</v>
      </c>
      <c r="E12" s="2">
        <f>IF('Modell einstellen'!$B$2="Ja",creep_res50!O12,creep_res50!C12)</f>
        <v>-4.6143057142857143E-4</v>
      </c>
      <c r="F12" s="2">
        <f>IF('Modell einstellen'!$B$2="Ja",creep_res80!O12,creep_res80!C12)</f>
        <v>-4.8960165714285716E-4</v>
      </c>
      <c r="G12" s="2">
        <f>IF('Modell einstellen'!$B$2="Ja",creep_res125!O12,creep_res125!C12)</f>
        <v>-5.4413225714285715E-4</v>
      </c>
      <c r="H12" s="2">
        <f>IF('Modell einstellen'!$B$2="Ja",creep_res160!O12,creep_res160!C12)</f>
        <v>-6.0672511428571426E-4</v>
      </c>
      <c r="M12" s="9">
        <f t="shared" si="27"/>
        <v>-10</v>
      </c>
      <c r="N12" s="2">
        <f t="shared" si="4"/>
        <v>9.9999999999999995E-7</v>
      </c>
      <c r="O12" s="2">
        <f t="shared" si="5"/>
        <v>24617.519360096423</v>
      </c>
      <c r="P12" s="2">
        <f t="shared" si="6"/>
        <v>23553.318184736345</v>
      </c>
      <c r="Q12" s="2">
        <f t="shared" si="7"/>
        <v>22626.953045452115</v>
      </c>
      <c r="R12" s="2">
        <f t="shared" si="8"/>
        <v>21671.732692180281</v>
      </c>
      <c r="S12" s="2">
        <f t="shared" si="9"/>
        <v>20424.767469858001</v>
      </c>
      <c r="T12" s="2">
        <f t="shared" si="10"/>
        <v>18377.884914429156</v>
      </c>
      <c r="U12" s="2">
        <f t="shared" si="11"/>
        <v>16481.928577775798</v>
      </c>
      <c r="Z12" s="2">
        <v>9.9999999999999995E-7</v>
      </c>
      <c r="AA12" s="3">
        <f>IF('Modell einstellen'!$B$2="Ja",'creep_res-40'!P12,'creep_res-40'!L12)</f>
        <v>0.39284080335546639</v>
      </c>
      <c r="AB12" s="2">
        <f>IF('Modell einstellen'!$B$2="Ja",creep_res0!P12,creep_res0!L12)</f>
        <v>0.39995017463776011</v>
      </c>
      <c r="AC12" s="2">
        <f>IF('Modell einstellen'!$B$2="Ja",creep_res25!P12,creep_res25!L12)</f>
        <v>0.40683552493690633</v>
      </c>
      <c r="AD12" s="2">
        <f>IF('Modell einstellen'!$B$2="Ja",creep_res50!P12,creep_res50!L12)</f>
        <v>0.41433723816676959</v>
      </c>
      <c r="AE12" s="2">
        <f>IF('Modell einstellen'!$B$2="Ja",creep_res80!P12,creep_res80!L12)</f>
        <v>0.42494471599010691</v>
      </c>
      <c r="AF12" s="2">
        <f>IF('Modell einstellen'!$B$2="Ja",creep_res125!P12,creep_res125!L12)</f>
        <v>0.44474844849957434</v>
      </c>
      <c r="AG12" s="2">
        <f>IF('Modell einstellen'!$B$2="Ja",creep_res160!P12,creep_res160!L12)</f>
        <v>0.46656409570085849</v>
      </c>
      <c r="AL12" s="2">
        <f t="shared" si="12"/>
        <v>9.9999999999999995E-7</v>
      </c>
      <c r="AM12" s="2">
        <f t="shared" si="13"/>
        <v>8837.1618999065868</v>
      </c>
      <c r="AN12" s="2">
        <f t="shared" si="14"/>
        <v>8412.1987380125211</v>
      </c>
      <c r="AO12" s="2">
        <f t="shared" si="15"/>
        <v>8041.7904738604348</v>
      </c>
      <c r="AP12" s="2">
        <f t="shared" si="16"/>
        <v>7661.4445647597695</v>
      </c>
      <c r="AQ12" s="2">
        <f t="shared" si="17"/>
        <v>7166.8631213057552</v>
      </c>
      <c r="AR12" s="2">
        <f t="shared" si="18"/>
        <v>6360.2369441944311</v>
      </c>
      <c r="AS12" s="2">
        <f t="shared" si="19"/>
        <v>5619.2322674786419</v>
      </c>
      <c r="AX12" s="2">
        <f t="shared" si="28"/>
        <v>9.9999999999999995E-7</v>
      </c>
      <c r="AY12" s="37">
        <f t="shared" si="20"/>
        <v>38288.079995219909</v>
      </c>
      <c r="AZ12" s="37">
        <f t="shared" si="21"/>
        <v>39235.980838312847</v>
      </c>
      <c r="BA12" s="37">
        <f t="shared" si="22"/>
        <v>40478.506838091969</v>
      </c>
      <c r="BB12" s="37">
        <f t="shared" si="23"/>
        <v>42164.826015398903</v>
      </c>
      <c r="BC12" s="37">
        <f t="shared" si="24"/>
        <v>45354.940115799174</v>
      </c>
      <c r="BD12" s="37">
        <f t="shared" si="25"/>
        <v>55437.010109081355</v>
      </c>
      <c r="BE12" s="37">
        <f t="shared" si="26"/>
        <v>82156.835709285646</v>
      </c>
    </row>
    <row r="13" spans="1:308" x14ac:dyDescent="0.25">
      <c r="A13" s="2">
        <f>'creep_res-40'!A13</f>
        <v>1.0000000000000001E-5</v>
      </c>
      <c r="B13" s="3">
        <f>'creep_res-40'!O13</f>
        <v>-4.1725674285714284E-4</v>
      </c>
      <c r="C13" s="2">
        <f>IF('Modell einstellen'!$B$2="Ja",creep_res0!O13,creep_res0!C13)</f>
        <v>-4.3862185714285717E-4</v>
      </c>
      <c r="D13" s="2">
        <f>IF('Modell einstellen'!$B$2="Ja",creep_res25!O13,creep_res25!C13)</f>
        <v>-4.6043445714285717E-4</v>
      </c>
      <c r="E13" s="2">
        <f>IF('Modell einstellen'!$B$2="Ja",creep_res50!O13,creep_res50!C13)</f>
        <v>-4.8217617142857149E-4</v>
      </c>
      <c r="F13" s="2">
        <f>IF('Modell einstellen'!$B$2="Ja",creep_res80!O13,creep_res80!C13)</f>
        <v>-5.0809248571428577E-4</v>
      </c>
      <c r="G13" s="2">
        <f>IF('Modell einstellen'!$B$2="Ja",creep_res125!O13,creep_res125!C13)</f>
        <v>-5.6601757142857149E-4</v>
      </c>
      <c r="H13" s="2">
        <f>IF('Modell einstellen'!$B$2="Ja",creep_res160!O13,creep_res160!C13)</f>
        <v>-6.4014900000000001E-4</v>
      </c>
      <c r="M13" s="9">
        <f t="shared" si="27"/>
        <v>-10</v>
      </c>
      <c r="N13" s="2">
        <f t="shared" si="4"/>
        <v>1.0000000000000001E-5</v>
      </c>
      <c r="O13" s="2">
        <f t="shared" si="5"/>
        <v>23966.059677131983</v>
      </c>
      <c r="P13" s="2">
        <f t="shared" si="6"/>
        <v>22798.681454542846</v>
      </c>
      <c r="Q13" s="2">
        <f t="shared" si="7"/>
        <v>21718.61780730572</v>
      </c>
      <c r="R13" s="2">
        <f t="shared" si="8"/>
        <v>20739.307731388752</v>
      </c>
      <c r="S13" s="2">
        <f t="shared" si="9"/>
        <v>19681.456193830178</v>
      </c>
      <c r="T13" s="2">
        <f t="shared" si="10"/>
        <v>17667.296043055703</v>
      </c>
      <c r="U13" s="2">
        <f t="shared" si="11"/>
        <v>15621.363151391317</v>
      </c>
      <c r="Z13" s="2">
        <v>1.0000000000000001E-5</v>
      </c>
      <c r="AA13" s="3">
        <f>IF('Modell einstellen'!$B$2="Ja",'creep_res-40'!P13,'creep_res-40'!L13)</f>
        <v>0.39820228532128149</v>
      </c>
      <c r="AB13" s="2">
        <f>IF('Modell einstellen'!$B$2="Ja",creep_res0!P13,creep_res0!L13)</f>
        <v>0.40650658083940183</v>
      </c>
      <c r="AC13" s="2">
        <f>IF('Modell einstellen'!$B$2="Ja",creep_res25!P13,creep_res25!L13)</f>
        <v>0.41522290189774796</v>
      </c>
      <c r="AD13" s="2">
        <f>IF('Modell einstellen'!$B$2="Ja",creep_res50!P13,creep_res50!L13)</f>
        <v>0.42351986227203497</v>
      </c>
      <c r="AE13" s="2">
        <f>IF('Modell einstellen'!$B$2="Ja",creep_res80!P13,creep_res80!L13)</f>
        <v>0.43289880801791031</v>
      </c>
      <c r="AF13" s="2">
        <f>IF('Modell einstellen'!$B$2="Ja",creep_res125!P13,creep_res125!L13)</f>
        <v>0.45357778645438318</v>
      </c>
      <c r="AG13" s="2">
        <f>IF('Modell einstellen'!$B$2="Ja",creep_res160!P13,creep_res160!L13)</f>
        <v>0.47919316998297057</v>
      </c>
      <c r="AL13" s="2">
        <f t="shared" si="12"/>
        <v>1.0000000000000001E-5</v>
      </c>
      <c r="AM13" s="2">
        <f t="shared" si="13"/>
        <v>8570.3120101913646</v>
      </c>
      <c r="AN13" s="2">
        <f t="shared" si="14"/>
        <v>8104.719083836997</v>
      </c>
      <c r="AO13" s="2">
        <f t="shared" si="15"/>
        <v>7673.2145085350385</v>
      </c>
      <c r="AP13" s="2">
        <f t="shared" si="16"/>
        <v>7284.5164584803897</v>
      </c>
      <c r="AQ13" s="2">
        <f t="shared" si="17"/>
        <v>6867.7062482363972</v>
      </c>
      <c r="AR13" s="2">
        <f t="shared" si="18"/>
        <v>6077.1759886859509</v>
      </c>
      <c r="AS13" s="2">
        <f t="shared" si="19"/>
        <v>5280.3661713673137</v>
      </c>
      <c r="AX13" s="2">
        <f t="shared" si="28"/>
        <v>1.0000000000000001E-5</v>
      </c>
      <c r="AY13" s="37">
        <f t="shared" si="20"/>
        <v>39238.044705899876</v>
      </c>
      <c r="AZ13" s="37">
        <f t="shared" si="21"/>
        <v>40642.221415570879</v>
      </c>
      <c r="BA13" s="37">
        <f t="shared" si="22"/>
        <v>42697.49396452622</v>
      </c>
      <c r="BB13" s="37">
        <f t="shared" si="23"/>
        <v>45195.411400271332</v>
      </c>
      <c r="BC13" s="37">
        <f t="shared" si="24"/>
        <v>48885.013843677203</v>
      </c>
      <c r="BD13" s="37">
        <f t="shared" si="25"/>
        <v>63429.748726131307</v>
      </c>
      <c r="BE13" s="37">
        <f t="shared" si="26"/>
        <v>125130.09060491156</v>
      </c>
    </row>
    <row r="14" spans="1:308" x14ac:dyDescent="0.25">
      <c r="A14" s="2">
        <f>'creep_res-40'!A14</f>
        <v>1E-4</v>
      </c>
      <c r="B14" s="3">
        <f>'creep_res-40'!O14</f>
        <v>-4.2975834285714288E-4</v>
      </c>
      <c r="C14" s="2">
        <f>IF('Modell einstellen'!$B$2="Ja",creep_res0!O14,creep_res0!C14)</f>
        <v>-4.5667805714285714E-4</v>
      </c>
      <c r="D14" s="2">
        <f>IF('Modell einstellen'!$B$2="Ja",creep_res25!O14,creep_res25!C14)</f>
        <v>-4.8111651428571435E-4</v>
      </c>
      <c r="E14" s="2">
        <f>IF('Modell einstellen'!$B$2="Ja",creep_res50!O14,creep_res50!C14)</f>
        <v>-5.013431428571429E-4</v>
      </c>
      <c r="F14" s="2">
        <f>IF('Modell einstellen'!$B$2="Ja",creep_res80!O14,creep_res80!C14)</f>
        <v>-5.2741137142857148E-4</v>
      </c>
      <c r="G14" s="2">
        <f>IF('Modell einstellen'!$B$2="Ja",creep_res125!O14,creep_res125!C14)</f>
        <v>-5.8979734285714283E-4</v>
      </c>
      <c r="H14" s="2">
        <f>IF('Modell einstellen'!$B$2="Ja",creep_res160!O14,creep_res160!C14)</f>
        <v>-6.7953131428571435E-4</v>
      </c>
      <c r="M14" s="9">
        <f t="shared" si="27"/>
        <v>-10</v>
      </c>
      <c r="N14" s="2">
        <f t="shared" si="4"/>
        <v>1E-4</v>
      </c>
      <c r="O14" s="2">
        <f t="shared" si="5"/>
        <v>23268.890915572352</v>
      </c>
      <c r="P14" s="2">
        <f t="shared" si="6"/>
        <v>21897.264043215939</v>
      </c>
      <c r="Q14" s="2">
        <f t="shared" si="7"/>
        <v>20784.985971322181</v>
      </c>
      <c r="R14" s="2">
        <f t="shared" si="8"/>
        <v>19946.418221679931</v>
      </c>
      <c r="S14" s="2">
        <f t="shared" si="9"/>
        <v>18960.5316489736</v>
      </c>
      <c r="T14" s="2">
        <f t="shared" si="10"/>
        <v>16954.976350956771</v>
      </c>
      <c r="U14" s="2">
        <f t="shared" si="11"/>
        <v>14716.025280617783</v>
      </c>
      <c r="Z14" s="2">
        <v>1E-4</v>
      </c>
      <c r="AA14" s="3">
        <f>IF('Modell einstellen'!$B$2="Ja",'creep_res-40'!P14,'creep_res-40'!L14)</f>
        <v>0.40419754171480554</v>
      </c>
      <c r="AB14" s="2">
        <f>IF('Modell einstellen'!$B$2="Ja",creep_res0!P14,creep_res0!L14)</f>
        <v>0.41482857695561959</v>
      </c>
      <c r="AC14" s="2">
        <f>IF('Modell einstellen'!$B$2="Ja",creep_res25!P14,creep_res25!L14)</f>
        <v>0.42450775511580852</v>
      </c>
      <c r="AD14" s="2">
        <f>IF('Modell einstellen'!$B$2="Ja",creep_res50!P14,creep_res50!L14)</f>
        <v>0.43193226082392383</v>
      </c>
      <c r="AE14" s="2">
        <f>IF('Modell einstellen'!$B$2="Ja",creep_res80!P14,creep_res80!L14)</f>
        <v>0.44107213572186915</v>
      </c>
      <c r="AF14" s="2">
        <f>IF('Modell einstellen'!$B$2="Ja",creep_res125!P14,creep_res125!L14)</f>
        <v>0.46306131689688862</v>
      </c>
      <c r="AG14" s="2">
        <f>IF('Modell einstellen'!$B$2="Ja",creep_res160!P14,creep_res160!L14)</f>
        <v>0.49377444857371444</v>
      </c>
      <c r="AL14" s="2">
        <f t="shared" si="12"/>
        <v>1E-4</v>
      </c>
      <c r="AM14" s="2">
        <f t="shared" si="13"/>
        <v>8285.4763038384153</v>
      </c>
      <c r="AN14" s="2">
        <f t="shared" si="14"/>
        <v>7738.4866265331348</v>
      </c>
      <c r="AO14" s="2">
        <f t="shared" si="15"/>
        <v>7295.4976540764501</v>
      </c>
      <c r="AP14" s="2">
        <f t="shared" si="16"/>
        <v>6964.8609670274845</v>
      </c>
      <c r="AQ14" s="2">
        <f t="shared" si="17"/>
        <v>6578.6198965937929</v>
      </c>
      <c r="AR14" s="2">
        <f t="shared" si="18"/>
        <v>5794.3492029841209</v>
      </c>
      <c r="AS14" s="2">
        <f t="shared" si="19"/>
        <v>4925.7855811728932</v>
      </c>
      <c r="AX14" s="2">
        <f t="shared" si="28"/>
        <v>1E-4</v>
      </c>
      <c r="AY14" s="37">
        <f t="shared" si="20"/>
        <v>40480.678213745414</v>
      </c>
      <c r="AZ14" s="37">
        <f t="shared" si="21"/>
        <v>42849.395686402735</v>
      </c>
      <c r="BA14" s="37">
        <f t="shared" si="22"/>
        <v>45887.684673675838</v>
      </c>
      <c r="BB14" s="37">
        <f t="shared" si="23"/>
        <v>48839.627658958387</v>
      </c>
      <c r="BC14" s="37">
        <f t="shared" si="24"/>
        <v>53626.389601481453</v>
      </c>
      <c r="BD14" s="37">
        <f t="shared" si="25"/>
        <v>76500.545077312359</v>
      </c>
      <c r="BE14" s="37">
        <f t="shared" si="26"/>
        <v>393968.45550858084</v>
      </c>
    </row>
    <row r="15" spans="1:308" x14ac:dyDescent="0.25">
      <c r="A15" s="2">
        <f>'creep_res-40'!A15</f>
        <v>1E-3</v>
      </c>
      <c r="B15" s="3">
        <f>'creep_res-40'!O15</f>
        <v>-4.4618285714285717E-4</v>
      </c>
      <c r="C15" s="2">
        <f>IF('Modell einstellen'!$B$2="Ja",creep_res0!O15,creep_res0!C15)</f>
        <v>-4.7721914285714286E-4</v>
      </c>
      <c r="D15" s="2">
        <f>IF('Modell einstellen'!$B$2="Ja",creep_res25!O15,creep_res25!C15)</f>
        <v>-5.0005660000000001E-4</v>
      </c>
      <c r="E15" s="2">
        <f>IF('Modell einstellen'!$B$2="Ja",creep_res50!O15,creep_res50!C15)</f>
        <v>-5.199761428571429E-4</v>
      </c>
      <c r="F15" s="2">
        <f>IF('Modell einstellen'!$B$2="Ja",creep_res80!O15,creep_res80!C15)</f>
        <v>-5.4764948571428573E-4</v>
      </c>
      <c r="G15" s="2">
        <f>IF('Modell einstellen'!$B$2="Ja",creep_res125!O15,creep_res125!C15)</f>
        <v>-6.1714557142857149E-4</v>
      </c>
      <c r="H15" s="2">
        <f>IF('Modell einstellen'!$B$2="Ja",creep_res160!O15,creep_res160!C15)</f>
        <v>-7.3200837142857141E-4</v>
      </c>
      <c r="M15" s="9">
        <f t="shared" si="27"/>
        <v>-10</v>
      </c>
      <c r="N15" s="2">
        <f t="shared" si="4"/>
        <v>1E-3</v>
      </c>
      <c r="O15" s="2">
        <f t="shared" si="5"/>
        <v>22412.335749596576</v>
      </c>
      <c r="P15" s="2">
        <f t="shared" si="6"/>
        <v>20954.733584510741</v>
      </c>
      <c r="Q15" s="2">
        <f t="shared" si="7"/>
        <v>19997.73625625579</v>
      </c>
      <c r="R15" s="2">
        <f t="shared" si="8"/>
        <v>19231.65156203595</v>
      </c>
      <c r="S15" s="2">
        <f t="shared" si="9"/>
        <v>18259.854634862382</v>
      </c>
      <c r="T15" s="2">
        <f t="shared" si="10"/>
        <v>16203.632437727703</v>
      </c>
      <c r="U15" s="2">
        <f t="shared" si="11"/>
        <v>13661.045952909282</v>
      </c>
      <c r="Z15" s="2">
        <v>1E-3</v>
      </c>
      <c r="AA15" s="3">
        <f>IF('Modell einstellen'!$B$2="Ja",'creep_res-40'!P15,'creep_res-40'!L15)</f>
        <v>0.41197142747368148</v>
      </c>
      <c r="AB15" s="2">
        <f>IF('Modell einstellen'!$B$2="Ja",creep_res0!P15,creep_res0!L15)</f>
        <v>0.42419200044064814</v>
      </c>
      <c r="AC15" s="2">
        <f>IF('Modell einstellen'!$B$2="Ja",creep_res25!P15,creep_res25!L15)</f>
        <v>0.43293879132882163</v>
      </c>
      <c r="AD15" s="2">
        <f>IF('Modell einstellen'!$B$2="Ja",creep_res50!P15,creep_res50!L15)</f>
        <v>0.43998342231635351</v>
      </c>
      <c r="AE15" s="2">
        <f>IF('Modell einstellen'!$B$2="Ja",creep_res80!P15,creep_res80!L15)</f>
        <v>0.4495427941083483</v>
      </c>
      <c r="AF15" s="2">
        <f>IF('Modell einstellen'!$B$2="Ja",creep_res125!P15,creep_res125!L15)</f>
        <v>0.47373782383827473</v>
      </c>
      <c r="AG15" s="2">
        <f>IF('Modell einstellen'!$B$2="Ja",creep_res160!P15,creep_res160!L15)</f>
        <v>0.51244390530584494</v>
      </c>
      <c r="AL15" s="2">
        <f t="shared" si="12"/>
        <v>1E-3</v>
      </c>
      <c r="AM15" s="2">
        <f t="shared" si="13"/>
        <v>7936.5401145889446</v>
      </c>
      <c r="AN15" s="2">
        <f t="shared" si="14"/>
        <v>7356.7094808941847</v>
      </c>
      <c r="AO15" s="2">
        <f t="shared" si="15"/>
        <v>6977.8752509418382</v>
      </c>
      <c r="AP15" s="2">
        <f t="shared" si="16"/>
        <v>6677.7336683154199</v>
      </c>
      <c r="AQ15" s="2">
        <f t="shared" si="17"/>
        <v>6298.4876021181899</v>
      </c>
      <c r="AR15" s="2">
        <f t="shared" si="18"/>
        <v>5497.4610054881305</v>
      </c>
      <c r="AS15" s="2">
        <f t="shared" si="19"/>
        <v>4516.2157436003417</v>
      </c>
      <c r="AX15" s="2">
        <f t="shared" si="28"/>
        <v>1E-3</v>
      </c>
      <c r="AY15" s="37">
        <f t="shared" si="20"/>
        <v>42433.827840189435</v>
      </c>
      <c r="AZ15" s="37">
        <f t="shared" si="21"/>
        <v>46069.750128205553</v>
      </c>
      <c r="BA15" s="37">
        <f t="shared" si="22"/>
        <v>49700.208343273407</v>
      </c>
      <c r="BB15" s="37">
        <f t="shared" si="23"/>
        <v>53406.49840506832</v>
      </c>
      <c r="BC15" s="37">
        <f t="shared" si="24"/>
        <v>60314.657778422916</v>
      </c>
      <c r="BD15" s="37">
        <f t="shared" si="25"/>
        <v>102832.50670688276</v>
      </c>
      <c r="BE15" s="37">
        <f t="shared" si="26"/>
        <v>-182968.36372437744</v>
      </c>
    </row>
    <row r="16" spans="1:308" x14ac:dyDescent="0.25">
      <c r="A16" s="2">
        <f>'creep_res-40'!A16</f>
        <v>0.01</v>
      </c>
      <c r="B16" s="3">
        <f>'creep_res-40'!O16</f>
        <v>-4.6606960000000004E-4</v>
      </c>
      <c r="C16" s="2">
        <f>IF('Modell einstellen'!$B$2="Ja",creep_res0!O16,creep_res0!C16)</f>
        <v>-4.9641780000000003E-4</v>
      </c>
      <c r="D16" s="2">
        <f>IF('Modell einstellen'!$B$2="Ja",creep_res25!O16,creep_res25!C16)</f>
        <v>-5.1872391428571432E-4</v>
      </c>
      <c r="E16" s="2">
        <f>IF('Modell einstellen'!$B$2="Ja",creep_res50!O16,creep_res50!C16)</f>
        <v>-5.3999254285714291E-4</v>
      </c>
      <c r="F16" s="2">
        <f>IF('Modell einstellen'!$B$2="Ja",creep_res80!O16,creep_res80!C16)</f>
        <v>-5.7073894285714283E-4</v>
      </c>
      <c r="G16" s="2">
        <f>IF('Modell einstellen'!$B$2="Ja",creep_res125!O16,creep_res125!C16)</f>
        <v>-6.5362168571428576E-4</v>
      </c>
      <c r="H16" s="2">
        <f>IF('Modell einstellen'!$B$2="Ja",creep_res160!O16,creep_res160!C16)</f>
        <v>-8.0294425714285713E-4</v>
      </c>
      <c r="M16" s="9">
        <f t="shared" si="27"/>
        <v>-10</v>
      </c>
      <c r="N16" s="2">
        <f t="shared" si="4"/>
        <v>0.01</v>
      </c>
      <c r="O16" s="2">
        <f t="shared" si="5"/>
        <v>21456.022877269832</v>
      </c>
      <c r="P16" s="2">
        <f t="shared" si="6"/>
        <v>20144.321980396351</v>
      </c>
      <c r="Q16" s="2">
        <f t="shared" si="7"/>
        <v>19278.077845649463</v>
      </c>
      <c r="R16" s="2">
        <f t="shared" si="8"/>
        <v>18518.7742539725</v>
      </c>
      <c r="S16" s="2">
        <f t="shared" si="9"/>
        <v>17521.145394319134</v>
      </c>
      <c r="T16" s="2">
        <f t="shared" si="10"/>
        <v>15299.36998505776</v>
      </c>
      <c r="U16" s="2">
        <f t="shared" si="11"/>
        <v>12454.164670886779</v>
      </c>
      <c r="Z16" s="2">
        <v>0.01</v>
      </c>
      <c r="AA16" s="3">
        <f>IF('Modell einstellen'!$B$2="Ja",'creep_res-40'!P16,'creep_res-40'!L16)</f>
        <v>0.42127109648123673</v>
      </c>
      <c r="AB16" s="2">
        <f>IF('Modell einstellen'!$B$2="Ja",creep_res0!P16,creep_res0!L16)</f>
        <v>0.43286493755864519</v>
      </c>
      <c r="AC16" s="2">
        <f>IF('Modell einstellen'!$B$2="Ja",creep_res25!P16,creep_res25!L16)</f>
        <v>0.44111481929528495</v>
      </c>
      <c r="AD16" s="2">
        <f>IF('Modell einstellen'!$B$2="Ja",creep_res50!P16,creep_res50!L16)</f>
        <v>0.44853245856993046</v>
      </c>
      <c r="AE16" s="2">
        <f>IF('Modell einstellen'!$B$2="Ja",creep_res80!P16,creep_res80!L16)</f>
        <v>0.45904702590321128</v>
      </c>
      <c r="AF16" s="2">
        <f>IF('Modell einstellen'!$B$2="Ja",creep_res125!P16,creep_res125!L16)</f>
        <v>0.48758169808931417</v>
      </c>
      <c r="AG16" s="2">
        <f>IF('Modell einstellen'!$B$2="Ja",creep_res160!P16,creep_res160!L16)</f>
        <v>0.53576382406051382</v>
      </c>
      <c r="AL16" s="2">
        <f t="shared" si="12"/>
        <v>0.01</v>
      </c>
      <c r="AM16" s="2">
        <f t="shared" si="13"/>
        <v>7548.1809664568409</v>
      </c>
      <c r="AN16" s="2">
        <f t="shared" si="14"/>
        <v>7029.386180221145</v>
      </c>
      <c r="AO16" s="2">
        <f t="shared" si="15"/>
        <v>6688.5988498392426</v>
      </c>
      <c r="AP16" s="2">
        <f t="shared" si="16"/>
        <v>6392.2538098508458</v>
      </c>
      <c r="AQ16" s="2">
        <f t="shared" si="17"/>
        <v>6004.311404381504</v>
      </c>
      <c r="AR16" s="2">
        <f t="shared" si="18"/>
        <v>5142.3629386905741</v>
      </c>
      <c r="AS16" s="2">
        <f t="shared" si="19"/>
        <v>4054.7135164176284</v>
      </c>
      <c r="AX16" s="2">
        <f t="shared" si="28"/>
        <v>0.01</v>
      </c>
      <c r="AY16" s="37">
        <f t="shared" si="20"/>
        <v>45421.740339950811</v>
      </c>
      <c r="AZ16" s="37">
        <f t="shared" si="21"/>
        <v>50009.441782608577</v>
      </c>
      <c r="BA16" s="37">
        <f t="shared" si="22"/>
        <v>54564.033528008491</v>
      </c>
      <c r="BB16" s="37">
        <f t="shared" si="23"/>
        <v>59969.104602669831</v>
      </c>
      <c r="BC16" s="37">
        <f t="shared" si="24"/>
        <v>71305.954291660892</v>
      </c>
      <c r="BD16" s="37">
        <f t="shared" si="25"/>
        <v>205333.62901375972</v>
      </c>
      <c r="BE16" s="37">
        <f t="shared" si="26"/>
        <v>-58038.930856563493</v>
      </c>
    </row>
    <row r="17" spans="1:57" x14ac:dyDescent="0.25">
      <c r="A17" s="2">
        <f>'creep_res-40'!A17</f>
        <v>0.1</v>
      </c>
      <c r="B17" s="3">
        <f>'creep_res-40'!O17</f>
        <v>-4.8636480000000004E-4</v>
      </c>
      <c r="C17" s="2">
        <f>IF('Modell einstellen'!$B$2="Ja",creep_res0!O17,creep_res0!C17)</f>
        <v>-5.1476834285714293E-4</v>
      </c>
      <c r="D17" s="2">
        <f>IF('Modell einstellen'!$B$2="Ja",creep_res25!O17,creep_res25!C17)</f>
        <v>-5.3867831428571432E-4</v>
      </c>
      <c r="E17" s="2">
        <f>IF('Modell einstellen'!$B$2="Ja",creep_res50!O17,creep_res50!C17)</f>
        <v>-5.6215660000000006E-4</v>
      </c>
      <c r="F17" s="2">
        <f>IF('Modell einstellen'!$B$2="Ja",creep_res80!O17,creep_res80!C17)</f>
        <v>-5.9431514285714288E-4</v>
      </c>
      <c r="G17" s="2">
        <f>IF('Modell einstellen'!$B$2="Ja",creep_res125!O17,creep_res125!C17)</f>
        <v>-6.9951957142857146E-4</v>
      </c>
      <c r="H17" s="2">
        <f>IF('Modell einstellen'!$B$2="Ja",creep_res160!O17,creep_res160!C17)</f>
        <v>-9.1868368571428581E-4</v>
      </c>
      <c r="M17" s="9">
        <f t="shared" si="27"/>
        <v>-10</v>
      </c>
      <c r="N17" s="2">
        <f t="shared" si="4"/>
        <v>0.1</v>
      </c>
      <c r="O17" s="2">
        <f t="shared" si="5"/>
        <v>20560.698471599917</v>
      </c>
      <c r="P17" s="2">
        <f t="shared" si="6"/>
        <v>19426.214021819076</v>
      </c>
      <c r="Q17" s="2">
        <f t="shared" si="7"/>
        <v>18563.955026219995</v>
      </c>
      <c r="R17" s="2">
        <f t="shared" si="8"/>
        <v>17788.63754334646</v>
      </c>
      <c r="S17" s="2">
        <f t="shared" si="9"/>
        <v>16826.08986189626</v>
      </c>
      <c r="T17" s="2">
        <f t="shared" si="10"/>
        <v>14295.525684260441</v>
      </c>
      <c r="U17" s="2">
        <f t="shared" si="11"/>
        <v>10885.139417954178</v>
      </c>
      <c r="Z17" s="2">
        <v>0.1</v>
      </c>
      <c r="AA17" s="3">
        <f>IF('Modell einstellen'!$B$2="Ja",'creep_res-40'!P17,'creep_res-40'!L17)</f>
        <v>0.43066591167781881</v>
      </c>
      <c r="AB17" s="2">
        <f>IF('Modell einstellen'!$B$2="Ja",creep_res0!P17,creep_res0!L17)</f>
        <v>0.44102553870001548</v>
      </c>
      <c r="AC17" s="2">
        <f>IF('Modell einstellen'!$B$2="Ja",creep_res25!P17,creep_res25!L17)</f>
        <v>0.44975021668113502</v>
      </c>
      <c r="AD17" s="2">
        <f>IF('Modell einstellen'!$B$2="Ja",creep_res50!P17,creep_res50!L17)</f>
        <v>0.4578344539582031</v>
      </c>
      <c r="AE17" s="2">
        <f>IF('Modell einstellen'!$B$2="Ja",creep_res80!P17,creep_res80!L17)</f>
        <v>0.46851266980529332</v>
      </c>
      <c r="AF17" s="2">
        <f>IF('Modell einstellen'!$B$2="Ja",creep_res125!P17,creep_res125!L17)</f>
        <v>0.50310643815336931</v>
      </c>
      <c r="AG17" s="2">
        <f>IF('Modell einstellen'!$B$2="Ja",creep_res160!P17,creep_res160!L17)</f>
        <v>0.56351844280056718</v>
      </c>
      <c r="AL17" s="2">
        <f t="shared" si="12"/>
        <v>0.1</v>
      </c>
      <c r="AM17" s="2">
        <f t="shared" si="13"/>
        <v>7185.7092224582611</v>
      </c>
      <c r="AN17" s="2">
        <f t="shared" si="14"/>
        <v>6740.4128171607354</v>
      </c>
      <c r="AO17" s="2">
        <f t="shared" si="15"/>
        <v>6402.4667189627462</v>
      </c>
      <c r="AP17" s="2">
        <f t="shared" si="16"/>
        <v>6101.0485432855839</v>
      </c>
      <c r="AQ17" s="2">
        <f t="shared" si="17"/>
        <v>5728.9563133722204</v>
      </c>
      <c r="AR17" s="2">
        <f t="shared" si="18"/>
        <v>4755.3271416437765</v>
      </c>
      <c r="AS17" s="2">
        <f t="shared" si="19"/>
        <v>3480.9757019740573</v>
      </c>
      <c r="AX17" s="2">
        <f t="shared" si="28"/>
        <v>0.1</v>
      </c>
      <c r="AY17" s="37">
        <f t="shared" si="20"/>
        <v>49424.217748078452</v>
      </c>
      <c r="AZ17" s="37">
        <f t="shared" si="21"/>
        <v>54900.074805273318</v>
      </c>
      <c r="BA17" s="37">
        <f t="shared" si="22"/>
        <v>61572.255640124116</v>
      </c>
      <c r="BB17" s="37">
        <f t="shared" si="23"/>
        <v>70312.688965351583</v>
      </c>
      <c r="BC17" s="37">
        <f t="shared" si="24"/>
        <v>89062.752954122523</v>
      </c>
      <c r="BD17" s="37">
        <f t="shared" si="25"/>
        <v>-766983.75966674357</v>
      </c>
      <c r="BE17" s="37">
        <f t="shared" si="26"/>
        <v>-28561.624356700439</v>
      </c>
    </row>
    <row r="18" spans="1:57" x14ac:dyDescent="0.25">
      <c r="A18" s="2">
        <f>'creep_res-40'!A18</f>
        <v>1</v>
      </c>
      <c r="B18" s="3">
        <f>'creep_res-40'!O18</f>
        <v>-5.0396368571428577E-4</v>
      </c>
      <c r="C18" s="2">
        <f>IF('Modell einstellen'!$B$2="Ja",creep_res0!O18,creep_res0!C18)</f>
        <v>-5.3461854285714286E-4</v>
      </c>
      <c r="D18" s="2">
        <f>IF('Modell einstellen'!$B$2="Ja",creep_res25!O18,creep_res25!C18)</f>
        <v>-5.6094102857142856E-4</v>
      </c>
      <c r="E18" s="2">
        <f>IF('Modell einstellen'!$B$2="Ja",creep_res50!O18,creep_res50!C18)</f>
        <v>-5.8580511428571436E-4</v>
      </c>
      <c r="F18" s="2">
        <f>IF('Modell einstellen'!$B$2="Ja",creep_res80!O18,creep_res80!C18)</f>
        <v>-6.2743337142857154E-4</v>
      </c>
      <c r="G18" s="2">
        <f>IF('Modell einstellen'!$B$2="Ja",creep_res125!O18,creep_res125!C18)</f>
        <v>-7.739219714285716E-4</v>
      </c>
      <c r="H18" s="2">
        <f>IF('Modell einstellen'!$B$2="Ja",creep_res160!O18,creep_res160!C18)</f>
        <v>-1.1386530000000001E-3</v>
      </c>
      <c r="M18" s="9">
        <f t="shared" si="27"/>
        <v>-10</v>
      </c>
      <c r="N18" s="2">
        <f t="shared" si="4"/>
        <v>1</v>
      </c>
      <c r="O18" s="2">
        <f t="shared" si="5"/>
        <v>19842.6995505175</v>
      </c>
      <c r="P18" s="2">
        <f t="shared" si="6"/>
        <v>18704.925471827737</v>
      </c>
      <c r="Q18" s="2">
        <f t="shared" si="7"/>
        <v>17827.185908414311</v>
      </c>
      <c r="R18" s="2">
        <f t="shared" si="8"/>
        <v>17070.523551494134</v>
      </c>
      <c r="S18" s="2">
        <f t="shared" si="9"/>
        <v>15937.947287106361</v>
      </c>
      <c r="T18" s="2">
        <f t="shared" si="10"/>
        <v>12921.199254158842</v>
      </c>
      <c r="U18" s="2">
        <f t="shared" si="11"/>
        <v>8782.3068134014484</v>
      </c>
      <c r="Z18" s="2">
        <v>1</v>
      </c>
      <c r="AA18" s="3">
        <f>IF('Modell einstellen'!$B$2="Ja",'creep_res-40'!P18,'creep_res-40'!L18)</f>
        <v>0.43872455322602888</v>
      </c>
      <c r="AB18" s="2">
        <f>IF('Modell einstellen'!$B$2="Ja",creep_res0!P18,creep_res0!L18)</f>
        <v>0.4497403355524679</v>
      </c>
      <c r="AC18" s="2">
        <f>IF('Modell einstellen'!$B$2="Ja",creep_res25!P18,creep_res25!L18)</f>
        <v>0.45919081078856472</v>
      </c>
      <c r="AD18" s="2">
        <f>IF('Modell einstellen'!$B$2="Ja",creep_res50!P18,creep_res50!L18)</f>
        <v>0.46739565118170207</v>
      </c>
      <c r="AE18" s="2">
        <f>IF('Modell einstellen'!$B$2="Ja",creep_res80!P18,creep_res80!L18)</f>
        <v>0.48009295739449714</v>
      </c>
      <c r="AF18" s="2">
        <f>IF('Modell einstellen'!$B$2="Ja",creep_res125!P18,creep_res125!L18)</f>
        <v>0.51658862323846666</v>
      </c>
      <c r="AG18" s="2">
        <f>IF('Modell einstellen'!$B$2="Ja",creep_res160!P18,creep_res160!L18)</f>
        <v>0.58135533828128505</v>
      </c>
      <c r="AL18" s="2">
        <f t="shared" si="12"/>
        <v>1</v>
      </c>
      <c r="AM18" s="2">
        <f t="shared" si="13"/>
        <v>6895.934147375373</v>
      </c>
      <c r="AN18" s="2">
        <f t="shared" si="14"/>
        <v>6451.1295620052033</v>
      </c>
      <c r="AO18" s="2">
        <f t="shared" si="15"/>
        <v>6108.5862714487212</v>
      </c>
      <c r="AP18" s="2">
        <f t="shared" si="16"/>
        <v>5816.6056093144152</v>
      </c>
      <c r="AQ18" s="2">
        <f t="shared" si="17"/>
        <v>5384.1034806229181</v>
      </c>
      <c r="AR18" s="2">
        <f t="shared" si="18"/>
        <v>4259.9552232455089</v>
      </c>
      <c r="AS18" s="2">
        <f t="shared" si="19"/>
        <v>2776.8290278599252</v>
      </c>
      <c r="AX18" s="2">
        <f t="shared" si="28"/>
        <v>1</v>
      </c>
      <c r="AY18" s="37">
        <f t="shared" si="20"/>
        <v>53971.317483036772</v>
      </c>
      <c r="AZ18" s="37">
        <f t="shared" si="21"/>
        <v>62027.62419738029</v>
      </c>
      <c r="BA18" s="37">
        <f t="shared" si="22"/>
        <v>72807.073818800985</v>
      </c>
      <c r="BB18" s="37">
        <f t="shared" si="23"/>
        <v>87260.974737997531</v>
      </c>
      <c r="BC18" s="37">
        <f t="shared" si="24"/>
        <v>133436.42250088815</v>
      </c>
      <c r="BD18" s="37">
        <f t="shared" si="25"/>
        <v>-129819.8878875455</v>
      </c>
      <c r="BE18" s="37">
        <f t="shared" si="26"/>
        <v>-17991.662663521711</v>
      </c>
    </row>
    <row r="19" spans="1:57" x14ac:dyDescent="0.25">
      <c r="A19" s="2">
        <f>'creep_res-40'!A19</f>
        <v>10</v>
      </c>
      <c r="B19" s="3">
        <f>'creep_res-40'!O19</f>
        <v>-5.2348714285714289E-4</v>
      </c>
      <c r="C19" s="2">
        <f>IF('Modell einstellen'!$B$2="Ja",creep_res0!O19,creep_res0!C19)</f>
        <v>-5.5646648571428578E-4</v>
      </c>
      <c r="D19" s="2">
        <f>IF('Modell einstellen'!$B$2="Ja",creep_res25!O19,creep_res25!C19)</f>
        <v>-5.8476714285714292E-4</v>
      </c>
      <c r="E19" s="2">
        <f>IF('Modell einstellen'!$B$2="Ja",creep_res50!O19,creep_res50!C19)</f>
        <v>-6.1755054285714294E-4</v>
      </c>
      <c r="F19" s="2">
        <f>IF('Modell einstellen'!$B$2="Ja",creep_res80!O19,creep_res80!C19)</f>
        <v>-6.7927885714285719E-4</v>
      </c>
      <c r="G19" s="2">
        <f>IF('Modell einstellen'!$B$2="Ja",creep_res125!O19,creep_res125!C19)</f>
        <v>-9.1317117142857148E-4</v>
      </c>
      <c r="H19" s="2">
        <f>IF('Modell einstellen'!$B$2="Ja",creep_res160!O19,creep_res160!C19)</f>
        <v>-1.5586144E-3</v>
      </c>
      <c r="M19" s="9">
        <f t="shared" si="27"/>
        <v>-10</v>
      </c>
      <c r="N19" s="2">
        <f t="shared" si="4"/>
        <v>10</v>
      </c>
      <c r="O19" s="2">
        <f t="shared" si="5"/>
        <v>19102.665913475837</v>
      </c>
      <c r="P19" s="2">
        <f t="shared" si="6"/>
        <v>17970.53417720908</v>
      </c>
      <c r="Q19" s="2">
        <f t="shared" si="7"/>
        <v>17100.824015420054</v>
      </c>
      <c r="R19" s="2">
        <f t="shared" si="8"/>
        <v>16193.00657357415</v>
      </c>
      <c r="S19" s="2">
        <f t="shared" si="9"/>
        <v>14721.494559776838</v>
      </c>
      <c r="T19" s="2">
        <f t="shared" si="10"/>
        <v>10950.84942766637</v>
      </c>
      <c r="U19" s="2">
        <f t="shared" si="11"/>
        <v>6415.9550944736557</v>
      </c>
      <c r="Z19" s="2">
        <v>10</v>
      </c>
      <c r="AA19" s="3">
        <f>IF('Modell einstellen'!$B$2="Ja",'creep_res-40'!P19,'creep_res-40'!L19)</f>
        <v>0.44751540902901149</v>
      </c>
      <c r="AB19" s="2">
        <f>IF('Modell einstellen'!$B$2="Ja",creep_res0!P19,creep_res0!L19)</f>
        <v>0.45912084963453315</v>
      </c>
      <c r="AC19" s="2">
        <f>IF('Modell einstellen'!$B$2="Ja",creep_res25!P19,creep_res25!L19)</f>
        <v>0.46867898577455741</v>
      </c>
      <c r="AD19" s="2">
        <f>IF('Modell einstellen'!$B$2="Ja",creep_res50!P19,creep_res50!L19)</f>
        <v>0.47743002550768654</v>
      </c>
      <c r="AE19" s="2">
        <f>IF('Modell einstellen'!$B$2="Ja",creep_res80!P19,creep_res80!L19)</f>
        <v>0.48794927898325791</v>
      </c>
      <c r="AF19" s="2">
        <f>IF('Modell einstellen'!$B$2="Ja",creep_res125!P19,creep_res125!L19)</f>
        <v>0.51720843073983536</v>
      </c>
      <c r="AG19" s="2">
        <f>IF('Modell einstellen'!$B$2="Ja",creep_res160!P19,creep_res160!L19)</f>
        <v>0.58688031772689531</v>
      </c>
      <c r="AL19" s="2">
        <f t="shared" si="12"/>
        <v>10</v>
      </c>
      <c r="AM19" s="2">
        <f t="shared" si="13"/>
        <v>6598.4326641088546</v>
      </c>
      <c r="AN19" s="2">
        <f t="shared" si="14"/>
        <v>6158.0006144488207</v>
      </c>
      <c r="AO19" s="2">
        <f t="shared" si="15"/>
        <v>5821.8385981744532</v>
      </c>
      <c r="AP19" s="2">
        <f t="shared" si="16"/>
        <v>5480.1263998982886</v>
      </c>
      <c r="AQ19" s="2">
        <f t="shared" si="17"/>
        <v>4946.9073871376504</v>
      </c>
      <c r="AR19" s="2">
        <f t="shared" si="18"/>
        <v>3608.881023132205</v>
      </c>
      <c r="AS19" s="2">
        <f t="shared" si="19"/>
        <v>2021.5623770745678</v>
      </c>
      <c r="AX19" s="2">
        <f t="shared" si="28"/>
        <v>10</v>
      </c>
      <c r="AY19" s="37">
        <f t="shared" si="20"/>
        <v>60661.188233434921</v>
      </c>
      <c r="AZ19" s="37">
        <f t="shared" si="21"/>
        <v>73266.909971421119</v>
      </c>
      <c r="BA19" s="37">
        <f t="shared" si="22"/>
        <v>90997.60676294216</v>
      </c>
      <c r="BB19" s="37">
        <f t="shared" si="23"/>
        <v>119576.31719292165</v>
      </c>
      <c r="BC19" s="37">
        <f t="shared" si="24"/>
        <v>203604.61612385727</v>
      </c>
      <c r="BD19" s="37">
        <f t="shared" si="25"/>
        <v>-106060.89531759307</v>
      </c>
      <c r="BE19" s="37">
        <f t="shared" si="26"/>
        <v>-12308.033361944235</v>
      </c>
    </row>
    <row r="20" spans="1:57" x14ac:dyDescent="0.25">
      <c r="A20" s="2">
        <f>'creep_res-40'!A20</f>
        <v>100</v>
      </c>
      <c r="B20" s="3">
        <f>'creep_res-40'!O20</f>
        <v>-5.4381057142857138E-4</v>
      </c>
      <c r="C20" s="2">
        <f>IF('Modell einstellen'!$B$2="Ja",creep_res0!O20,creep_res0!C20)</f>
        <v>-5.8054137142857145E-4</v>
      </c>
      <c r="D20" s="2">
        <f>IF('Modell einstellen'!$B$2="Ja",creep_res25!O20,creep_res25!C20)</f>
        <v>-6.1952425714285723E-4</v>
      </c>
      <c r="E20" s="2">
        <f>IF('Modell einstellen'!$B$2="Ja",creep_res50!O20,creep_res50!C20)</f>
        <v>-6.7451420000000004E-4</v>
      </c>
      <c r="F20" s="2">
        <f>IF('Modell einstellen'!$B$2="Ja",creep_res80!O20,creep_res80!C20)</f>
        <v>-7.7574680000000007E-4</v>
      </c>
      <c r="G20" s="2">
        <f>IF('Modell einstellen'!$B$2="Ja",creep_res125!O20,creep_res125!C20)</f>
        <v>-1.1436928E-3</v>
      </c>
      <c r="H20" s="2">
        <f>IF('Modell einstellen'!$B$2="Ja",creep_res160!O20,creep_res160!C20)</f>
        <v>-2.2155535142857146E-3</v>
      </c>
      <c r="M20" s="9">
        <f t="shared" si="27"/>
        <v>-10</v>
      </c>
      <c r="N20" s="2">
        <f t="shared" si="4"/>
        <v>100</v>
      </c>
      <c r="O20" s="2">
        <f t="shared" si="5"/>
        <v>18388.756168770953</v>
      </c>
      <c r="P20" s="2">
        <f t="shared" si="6"/>
        <v>17225.301231146415</v>
      </c>
      <c r="Q20" s="2">
        <f t="shared" si="7"/>
        <v>16141.418006969308</v>
      </c>
      <c r="R20" s="2">
        <f t="shared" si="8"/>
        <v>14825.484771113788</v>
      </c>
      <c r="S20" s="2">
        <f t="shared" si="9"/>
        <v>12890.804061325163</v>
      </c>
      <c r="T20" s="2">
        <f t="shared" si="10"/>
        <v>8743.6066747993864</v>
      </c>
      <c r="U20" s="2">
        <f t="shared" si="11"/>
        <v>4513.5447803543393</v>
      </c>
      <c r="Z20" s="2">
        <v>100</v>
      </c>
      <c r="AA20" s="3">
        <f>IF('Modell einstellen'!$B$2="Ja",'creep_res-40'!P20,'creep_res-40'!L20)</f>
        <v>0.45653454958317952</v>
      </c>
      <c r="AB20" s="2">
        <f>IF('Modell einstellen'!$B$2="Ja",creep_res0!P20,creep_res0!L20)</f>
        <v>0.46861924150797574</v>
      </c>
      <c r="AC20" s="2">
        <f>IF('Modell einstellen'!$B$2="Ja",creep_res25!P20,creep_res25!L20)</f>
        <v>0.4777292935699185</v>
      </c>
      <c r="AD20" s="2">
        <f>IF('Modell einstellen'!$B$2="Ja",creep_res50!P20,creep_res50!L20)</f>
        <v>0.48214704534230501</v>
      </c>
      <c r="AE20" s="2">
        <f>IF('Modell einstellen'!$B$2="Ja",creep_res80!P20,creep_res80!L20)</f>
        <v>0.48463847077054373</v>
      </c>
      <c r="AF20" s="2">
        <f>IF('Modell einstellen'!$B$2="Ja",creep_res125!P20,creep_res125!L20)</f>
        <v>0.51017575948466487</v>
      </c>
      <c r="AG20" s="2">
        <f>IF('Modell einstellen'!$B$2="Ja",creep_res160!P20,creep_res160!L20)</f>
        <v>0.58367199641939194</v>
      </c>
      <c r="AL20" s="2">
        <f t="shared" si="12"/>
        <v>100</v>
      </c>
      <c r="AM20" s="2">
        <f t="shared" si="13"/>
        <v>6312.5025678358661</v>
      </c>
      <c r="AN20" s="2">
        <f t="shared" si="14"/>
        <v>5864.4544291342345</v>
      </c>
      <c r="AO20" s="2">
        <f t="shared" si="15"/>
        <v>5461.5612200441165</v>
      </c>
      <c r="AP20" s="2">
        <f t="shared" si="16"/>
        <v>5001.3542238279779</v>
      </c>
      <c r="AQ20" s="2">
        <f t="shared" si="17"/>
        <v>4341.3949978794144</v>
      </c>
      <c r="AR20" s="2">
        <f t="shared" si="18"/>
        <v>2894.897040918956</v>
      </c>
      <c r="AS20" s="2">
        <f t="shared" si="19"/>
        <v>1425.0251284859655</v>
      </c>
      <c r="AX20" s="2">
        <f t="shared" si="28"/>
        <v>100</v>
      </c>
      <c r="AY20" s="37">
        <f t="shared" si="20"/>
        <v>70511.007372631066</v>
      </c>
      <c r="AZ20" s="37">
        <f t="shared" si="21"/>
        <v>91485.473152411738</v>
      </c>
      <c r="BA20" s="37">
        <f t="shared" si="22"/>
        <v>120797.08126640866</v>
      </c>
      <c r="BB20" s="37">
        <f t="shared" si="23"/>
        <v>138403.65227466426</v>
      </c>
      <c r="BC20" s="37">
        <f t="shared" si="24"/>
        <v>139860.25163656444</v>
      </c>
      <c r="BD20" s="37">
        <f t="shared" si="25"/>
        <v>-143209.73106030768</v>
      </c>
      <c r="BE20" s="37">
        <f t="shared" si="26"/>
        <v>-8990.5523422893457</v>
      </c>
    </row>
    <row r="21" spans="1:57" x14ac:dyDescent="0.25">
      <c r="A21" s="2">
        <f>'creep_res-40'!A21</f>
        <v>1000</v>
      </c>
      <c r="B21" s="3">
        <f>'creep_res-40'!O21</f>
        <v>-5.6729200000000006E-4</v>
      </c>
      <c r="C21" s="2">
        <f>IF('Modell einstellen'!$B$2="Ja",creep_res0!O21,creep_res0!C21)</f>
        <v>-6.1604911428571438E-4</v>
      </c>
      <c r="D21" s="2">
        <f>IF('Modell einstellen'!$B$2="Ja",creep_res25!O21,creep_res25!C21)</f>
        <v>-6.848605142857143E-4</v>
      </c>
      <c r="E21" s="2">
        <f>IF('Modell einstellen'!$B$2="Ja",creep_res50!O21,creep_res50!C21)</f>
        <v>-7.7386777142857144E-4</v>
      </c>
      <c r="F21" s="2">
        <f>IF('Modell einstellen'!$B$2="Ja",creep_res80!O21,creep_res80!C21)</f>
        <v>-9.1759265714285723E-4</v>
      </c>
      <c r="G21" s="2">
        <f>IF('Modell einstellen'!$B$2="Ja",creep_res125!O21,creep_res125!C21)</f>
        <v>-1.5037889428571431E-3</v>
      </c>
      <c r="H21" s="2">
        <f>IF('Modell einstellen'!$B$2="Ja",creep_res160!O21,creep_res160!C21)</f>
        <v>-3.1730811428571431E-3</v>
      </c>
      <c r="M21" s="9">
        <f t="shared" si="27"/>
        <v>-10</v>
      </c>
      <c r="N21" s="2">
        <f t="shared" si="4"/>
        <v>1000</v>
      </c>
      <c r="O21" s="2">
        <f t="shared" si="5"/>
        <v>17627.606241582816</v>
      </c>
      <c r="P21" s="2">
        <f t="shared" si="6"/>
        <v>16232.472002812019</v>
      </c>
      <c r="Q21" s="2">
        <f t="shared" si="7"/>
        <v>14601.513434351888</v>
      </c>
      <c r="R21" s="2">
        <f t="shared" si="8"/>
        <v>12922.104226591386</v>
      </c>
      <c r="S21" s="2">
        <f t="shared" si="9"/>
        <v>10898.081978050452</v>
      </c>
      <c r="T21" s="2">
        <f t="shared" si="10"/>
        <v>6649.8693500168793</v>
      </c>
      <c r="U21" s="2">
        <f t="shared" si="11"/>
        <v>3151.5109604148611</v>
      </c>
      <c r="Z21" s="2">
        <v>1000</v>
      </c>
      <c r="AA21" s="3">
        <f>IF('Modell einstellen'!$B$2="Ja",'creep_res-40'!P21,'creep_res-40'!L21)</f>
        <v>0.46665345435608369</v>
      </c>
      <c r="AB21" s="2">
        <f>IF('Modell einstellen'!$B$2="Ja",creep_res0!P21,creep_res0!L21)</f>
        <v>0.47644703096260549</v>
      </c>
      <c r="AC21" s="2">
        <f>IF('Modell einstellen'!$B$2="Ja",creep_res25!P21,creep_res25!L21)</f>
        <v>0.47890581932053905</v>
      </c>
      <c r="AD21" s="2">
        <f>IF('Modell einstellen'!$B$2="Ja",creep_res50!P21,creep_res50!L21)</f>
        <v>0.47556880518384614</v>
      </c>
      <c r="AE21" s="2">
        <f>IF('Modell einstellen'!$B$2="Ja",creep_res80!P21,creep_res80!L21)</f>
        <v>0.47443900021245033</v>
      </c>
      <c r="AF21" s="2">
        <f>IF('Modell einstellen'!$B$2="Ja",creep_res125!P21,creep_res125!L21)</f>
        <v>0.50582160912284546</v>
      </c>
      <c r="AG21" s="2">
        <f>IF('Modell einstellen'!$B$2="Ja",creep_res160!P21,creep_res160!L21)</f>
        <v>0.57526012571467267</v>
      </c>
      <c r="AL21" s="2">
        <f t="shared" si="12"/>
        <v>1000</v>
      </c>
      <c r="AM21" s="2">
        <f t="shared" si="13"/>
        <v>6009.4653543505283</v>
      </c>
      <c r="AN21" s="2">
        <f t="shared" si="14"/>
        <v>5497.1399794237341</v>
      </c>
      <c r="AO21" s="2">
        <f t="shared" si="15"/>
        <v>4936.5934069622945</v>
      </c>
      <c r="AP21" s="2">
        <f t="shared" si="16"/>
        <v>4378.6857587374161</v>
      </c>
      <c r="AQ21" s="2">
        <f t="shared" si="17"/>
        <v>3695.6706844027317</v>
      </c>
      <c r="AR21" s="2">
        <f t="shared" si="18"/>
        <v>2208.0535004045023</v>
      </c>
      <c r="AS21" s="2">
        <f t="shared" si="19"/>
        <v>1000.3144588532851</v>
      </c>
      <c r="AX21" s="2">
        <f t="shared" si="28"/>
        <v>1000</v>
      </c>
      <c r="AY21" s="37">
        <f t="shared" si="20"/>
        <v>88103.109838398741</v>
      </c>
      <c r="AZ21" s="37">
        <f t="shared" si="21"/>
        <v>114865.00900049369</v>
      </c>
      <c r="BA21" s="37">
        <f t="shared" si="22"/>
        <v>115367.62718456863</v>
      </c>
      <c r="BB21" s="37">
        <f t="shared" si="23"/>
        <v>88153.03770330624</v>
      </c>
      <c r="BC21" s="37">
        <f t="shared" si="24"/>
        <v>71059.309551203638</v>
      </c>
      <c r="BD21" s="37">
        <f t="shared" si="25"/>
        <v>-190378.90297149163</v>
      </c>
      <c r="BE21" s="37">
        <f t="shared" si="26"/>
        <v>-6979.151599176872</v>
      </c>
    </row>
    <row r="22" spans="1:57" x14ac:dyDescent="0.25">
      <c r="A22" s="2">
        <f>'creep_res-40'!A22</f>
        <v>10000</v>
      </c>
      <c r="B22" s="3">
        <f>'creep_res-40'!O22</f>
        <v>-5.9286342857142857E-4</v>
      </c>
      <c r="C22" s="2">
        <f>IF('Modell einstellen'!$B$2="Ja",creep_res0!O22,creep_res0!C22)</f>
        <v>-6.8582380000000007E-4</v>
      </c>
      <c r="D22" s="2">
        <f>IF('Modell einstellen'!$B$2="Ja",creep_res25!O22,creep_res25!C22)</f>
        <v>-7.9147494285714286E-4</v>
      </c>
      <c r="E22" s="2">
        <f>IF('Modell einstellen'!$B$2="Ja",creep_res50!O22,creep_res50!C22)</f>
        <v>-9.1107685714285716E-4</v>
      </c>
      <c r="F22" s="2">
        <f>IF('Modell einstellen'!$B$2="Ja",creep_res80!O22,creep_res80!C22)</f>
        <v>-1.1109637142857143E-3</v>
      </c>
      <c r="G22" s="2">
        <f>IF('Modell einstellen'!$B$2="Ja",creep_res125!O22,creep_res125!C22)</f>
        <v>-2.0861996285714288E-3</v>
      </c>
      <c r="H22" s="2">
        <f>IF('Modell einstellen'!$B$2="Ja",creep_res160!O22,creep_res160!C22)</f>
        <v>-4.2031974285714289E-3</v>
      </c>
      <c r="M22" s="9">
        <f t="shared" si="27"/>
        <v>-10</v>
      </c>
      <c r="N22" s="2">
        <f t="shared" si="4"/>
        <v>10000</v>
      </c>
      <c r="O22" s="2">
        <f t="shared" si="5"/>
        <v>16867.291045588914</v>
      </c>
      <c r="P22" s="2">
        <f t="shared" si="6"/>
        <v>14581.004625386286</v>
      </c>
      <c r="Q22" s="2">
        <f t="shared" si="7"/>
        <v>12634.638771887119</v>
      </c>
      <c r="R22" s="2">
        <f t="shared" si="8"/>
        <v>10976.02240864735</v>
      </c>
      <c r="S22" s="2">
        <f t="shared" si="9"/>
        <v>9001.1940726879857</v>
      </c>
      <c r="T22" s="2">
        <f t="shared" si="10"/>
        <v>4793.4051291379628</v>
      </c>
      <c r="U22" s="2">
        <f t="shared" si="11"/>
        <v>2379.141158591442</v>
      </c>
      <c r="Z22" s="2">
        <v>10000</v>
      </c>
      <c r="AA22" s="3">
        <f>IF('Modell einstellen'!$B$2="Ja",'creep_res-40'!P22,'creep_res-40'!L22)</f>
        <v>0.47606445136485304</v>
      </c>
      <c r="AB22" s="2">
        <f>IF('Modell einstellen'!$B$2="Ja",creep_res0!P22,creep_res0!L22)</f>
        <v>0.47579580311194469</v>
      </c>
      <c r="AC22" s="2">
        <f>IF('Modell einstellen'!$B$2="Ja",creep_res25!P22,creep_res25!L22)</f>
        <v>0.47018209005299078</v>
      </c>
      <c r="AD22" s="2">
        <f>IF('Modell einstellen'!$B$2="Ja",creep_res50!P22,creep_res50!L22)</f>
        <v>0.46518728700636519</v>
      </c>
      <c r="AE22" s="2">
        <f>IF('Modell einstellen'!$B$2="Ja",creep_res80!P22,creep_res80!L22)</f>
        <v>0.46658682178895905</v>
      </c>
      <c r="AF22" s="2">
        <f>IF('Modell einstellen'!$B$2="Ja",creep_res125!P22,creep_res125!L22)</f>
        <v>0.5066484460663927</v>
      </c>
      <c r="AG22" s="2">
        <f>IF('Modell einstellen'!$B$2="Ja",creep_res160!P22,creep_res160!L22)</f>
        <v>0.55189027863209716</v>
      </c>
      <c r="AL22" s="2">
        <f t="shared" si="12"/>
        <v>10000</v>
      </c>
      <c r="AM22" s="2">
        <f t="shared" si="13"/>
        <v>5713.6024886963633</v>
      </c>
      <c r="AN22" s="2">
        <f t="shared" si="14"/>
        <v>4940.0481403456943</v>
      </c>
      <c r="AO22" s="2">
        <f t="shared" si="15"/>
        <v>4296.9639126238171</v>
      </c>
      <c r="AP22" s="2">
        <f t="shared" si="16"/>
        <v>3745.6038917295314</v>
      </c>
      <c r="AQ22" s="2">
        <f t="shared" si="17"/>
        <v>3068.755950536985</v>
      </c>
      <c r="AR22" s="2">
        <f t="shared" si="18"/>
        <v>1590.7510281023892</v>
      </c>
      <c r="AS22" s="2">
        <f t="shared" si="19"/>
        <v>766.53007991277559</v>
      </c>
      <c r="AX22" s="2">
        <f t="shared" si="28"/>
        <v>10000</v>
      </c>
      <c r="AY22" s="37">
        <f t="shared" si="20"/>
        <v>117449.3727767255</v>
      </c>
      <c r="AZ22" s="37">
        <f t="shared" si="21"/>
        <v>100402.72969204199</v>
      </c>
      <c r="BA22" s="37">
        <f t="shared" si="22"/>
        <v>70621.084186990949</v>
      </c>
      <c r="BB22" s="37">
        <f t="shared" si="23"/>
        <v>52547.96052356992</v>
      </c>
      <c r="BC22" s="37">
        <f t="shared" si="24"/>
        <v>44898.423090412361</v>
      </c>
      <c r="BD22" s="37">
        <f t="shared" si="25"/>
        <v>-120163.5460193773</v>
      </c>
      <c r="BE22" s="37">
        <f t="shared" si="26"/>
        <v>-7641.576358517259</v>
      </c>
    </row>
    <row r="23" spans="1:57" x14ac:dyDescent="0.25">
      <c r="A23" s="2">
        <f>'creep_res-40'!A23</f>
        <v>100000</v>
      </c>
      <c r="B23" s="3">
        <f>'creep_res-40'!O23</f>
        <v>-6.3993217142857149E-4</v>
      </c>
      <c r="C23" s="2">
        <f>IF('Modell einstellen'!$B$2="Ja",creep_res0!O23,creep_res0!C23)</f>
        <v>-7.9257514285714279E-4</v>
      </c>
      <c r="D23" s="2">
        <f>IF('Modell einstellen'!$B$2="Ja",creep_res25!O23,creep_res25!C23)</f>
        <v>-9.3079459999999997E-4</v>
      </c>
      <c r="E23" s="2">
        <f>IF('Modell einstellen'!$B$2="Ja",creep_res50!O23,creep_res50!C23)</f>
        <v>-1.0893183428571428E-3</v>
      </c>
      <c r="F23" s="2">
        <f>IF('Modell einstellen'!$B$2="Ja",creep_res80!O23,creep_res80!C23)</f>
        <v>-1.384965342857143E-3</v>
      </c>
      <c r="G23" s="2">
        <f>IF('Modell einstellen'!$B$2="Ja",creep_res125!O23,creep_res125!C23)</f>
        <v>-2.927647142857143E-3</v>
      </c>
      <c r="H23" s="2">
        <f>IF('Modell einstellen'!$B$2="Ja",creep_res160!O23,creep_res160!C23)</f>
        <v>-5.1432511428571434E-3</v>
      </c>
      <c r="M23" s="9">
        <f t="shared" si="27"/>
        <v>-10</v>
      </c>
      <c r="N23" s="2">
        <f t="shared" si="4"/>
        <v>100000</v>
      </c>
      <c r="O23" s="2">
        <f t="shared" si="5"/>
        <v>15626.656146504096</v>
      </c>
      <c r="P23" s="2">
        <f t="shared" si="6"/>
        <v>12617.100208254253</v>
      </c>
      <c r="Q23" s="2">
        <f t="shared" si="7"/>
        <v>10743.508825685065</v>
      </c>
      <c r="R23" s="2">
        <f t="shared" si="8"/>
        <v>9180.0528886452776</v>
      </c>
      <c r="S23" s="2">
        <f t="shared" si="9"/>
        <v>7220.3972840001124</v>
      </c>
      <c r="T23" s="2">
        <f t="shared" si="10"/>
        <v>3415.7121784289966</v>
      </c>
      <c r="U23" s="2">
        <f t="shared" si="11"/>
        <v>1944.2954898066419</v>
      </c>
      <c r="Z23" s="2">
        <v>100000</v>
      </c>
      <c r="AA23" s="3">
        <f>IF('Modell einstellen'!$B$2="Ja",'creep_res-40'!P23,'creep_res-40'!L23)</f>
        <v>0.48363156881001584</v>
      </c>
      <c r="AB23" s="2">
        <f>IF('Modell einstellen'!$B$2="Ja",creep_res0!P23,creep_res0!L23)</f>
        <v>0.4661428767637355</v>
      </c>
      <c r="AC23" s="2">
        <f>IF('Modell einstellen'!$B$2="Ja",creep_res25!P23,creep_res25!L23)</f>
        <v>0.46006857244030303</v>
      </c>
      <c r="AD23" s="2">
        <f>IF('Modell einstellen'!$B$2="Ja",creep_res50!P23,creep_res50!L23)</f>
        <v>0.45783908584298932</v>
      </c>
      <c r="AE23" s="2">
        <f>IF('Modell einstellen'!$B$2="Ja",creep_res80!P23,creep_res80!L23)</f>
        <v>0.46329825643703054</v>
      </c>
      <c r="AF23" s="2">
        <f>IF('Modell einstellen'!$B$2="Ja",creep_res125!P23,creep_res125!L23)</f>
        <v>0.5055053277790601</v>
      </c>
      <c r="AG23" s="2">
        <f>IF('Modell einstellen'!$B$2="Ja",creep_res160!P23,creep_res160!L23)</f>
        <v>0.52444961577665794</v>
      </c>
      <c r="AL23" s="2">
        <f t="shared" si="12"/>
        <v>100000</v>
      </c>
      <c r="AM23" s="2">
        <f t="shared" si="13"/>
        <v>5266.353343720587</v>
      </c>
      <c r="AN23" s="2">
        <f t="shared" si="14"/>
        <v>4302.8208260658694</v>
      </c>
      <c r="AO23" s="2">
        <f t="shared" si="15"/>
        <v>3679.1110460410682</v>
      </c>
      <c r="AP23" s="2">
        <f t="shared" si="16"/>
        <v>3148.5137755573865</v>
      </c>
      <c r="AQ23" s="2">
        <f t="shared" si="17"/>
        <v>2467.1652727793789</v>
      </c>
      <c r="AR23" s="2">
        <f t="shared" si="18"/>
        <v>1134.4072038150462</v>
      </c>
      <c r="AS23" s="2">
        <f t="shared" si="19"/>
        <v>637.70408339015069</v>
      </c>
      <c r="AX23" s="2">
        <f t="shared" si="28"/>
        <v>100000</v>
      </c>
      <c r="AY23" s="37">
        <f t="shared" si="20"/>
        <v>159113.76361331894</v>
      </c>
      <c r="AZ23" s="37">
        <f t="shared" si="21"/>
        <v>62109.530689738909</v>
      </c>
      <c r="BA23" s="37">
        <f t="shared" si="22"/>
        <v>44841.49237098881</v>
      </c>
      <c r="BB23" s="37">
        <f t="shared" si="23"/>
        <v>36289.744787703974</v>
      </c>
      <c r="BC23" s="37">
        <f t="shared" si="24"/>
        <v>32788.620662358189</v>
      </c>
      <c r="BD23" s="37">
        <f t="shared" si="25"/>
        <v>-103406.26133775656</v>
      </c>
      <c r="BE23" s="37">
        <f t="shared" si="26"/>
        <v>-13253.756265997315</v>
      </c>
    </row>
    <row r="24" spans="1:57" x14ac:dyDescent="0.25">
      <c r="A24" s="2">
        <f>'creep_res-40'!A24</f>
        <v>1000000</v>
      </c>
      <c r="B24" s="3">
        <f>'creep_res-40'!O24</f>
        <v>-7.2384711428571426E-4</v>
      </c>
      <c r="C24" s="2">
        <f>IF('Modell einstellen'!$B$2="Ja",creep_res0!O24,creep_res0!C24)</f>
        <v>-9.293032000000001E-4</v>
      </c>
      <c r="D24" s="2">
        <f>IF('Modell einstellen'!$B$2="Ja",creep_res25!O24,creep_res25!C24)</f>
        <v>-1.1103511428571429E-3</v>
      </c>
      <c r="E24" s="2">
        <f>IF('Modell einstellen'!$B$2="Ja",creep_res50!O24,creep_res50!C24)</f>
        <v>-1.3385251714285716E-3</v>
      </c>
      <c r="F24" s="2">
        <f>IF('Modell einstellen'!$B$2="Ja",creep_res80!O24,creep_res80!C24)</f>
        <v>-1.8246440571428573E-3</v>
      </c>
      <c r="G24" s="2">
        <f>IF('Modell einstellen'!$B$2="Ja",creep_res125!O24,creep_res125!C24)</f>
        <v>-4.0266440000000002E-3</v>
      </c>
      <c r="H24" s="2">
        <f>IF('Modell einstellen'!$B$2="Ja",creep_res160!O24,creep_res160!C24)</f>
        <v>-5.7413314285714289E-3</v>
      </c>
      <c r="M24" s="9">
        <f t="shared" si="27"/>
        <v>-10</v>
      </c>
      <c r="N24" s="2">
        <f t="shared" si="4"/>
        <v>1000000</v>
      </c>
      <c r="O24" s="2">
        <f t="shared" si="5"/>
        <v>13815.071998826588</v>
      </c>
      <c r="P24" s="2">
        <f t="shared" si="6"/>
        <v>10760.750635529932</v>
      </c>
      <c r="Q24" s="2">
        <f t="shared" si="7"/>
        <v>9006.1599560911109</v>
      </c>
      <c r="R24" s="2">
        <f t="shared" si="8"/>
        <v>7470.909186808397</v>
      </c>
      <c r="S24" s="2">
        <f t="shared" si="9"/>
        <v>5480.5209601584602</v>
      </c>
      <c r="T24" s="2">
        <f t="shared" si="10"/>
        <v>2483.4576883379805</v>
      </c>
      <c r="U24" s="2">
        <f t="shared" si="11"/>
        <v>1741.7562675855177</v>
      </c>
      <c r="Z24" s="2">
        <v>1000000</v>
      </c>
      <c r="AA24" s="3">
        <f>IF('Modell einstellen'!$B$2="Ja",'creep_res-40'!P24,'creep_res-40'!L24)</f>
        <v>0.47926095206608155</v>
      </c>
      <c r="AB24" s="2">
        <f>IF('Modell einstellen'!$B$2="Ja",creep_res0!P24,creep_res0!L24)</f>
        <v>0.45641610064093491</v>
      </c>
      <c r="AC24" s="2">
        <f>IF('Modell einstellen'!$B$2="Ja",creep_res25!P24,creep_res25!L24)</f>
        <v>0.45372431732664237</v>
      </c>
      <c r="AD24" s="2">
        <f>IF('Modell einstellen'!$B$2="Ja",creep_res50!P24,creep_res50!L24)</f>
        <v>0.45502383529539681</v>
      </c>
      <c r="AE24" s="2">
        <f>IF('Modell einstellen'!$B$2="Ja",creep_res80!P24,creep_res80!L24)</f>
        <v>0.4651849592833307</v>
      </c>
      <c r="AF24" s="2">
        <f>IF('Modell einstellen'!$B$2="Ja",creep_res125!P24,creep_res125!L24)</f>
        <v>0.49947526667723435</v>
      </c>
      <c r="AG24" s="2">
        <f>IF('Modell einstellen'!$B$2="Ja",creep_res160!P24,creep_res160!L24)</f>
        <v>0.49939446599245768</v>
      </c>
      <c r="AL24" s="2">
        <f t="shared" si="12"/>
        <v>1000000</v>
      </c>
      <c r="AM24" s="2">
        <f t="shared" si="13"/>
        <v>4669.585842690939</v>
      </c>
      <c r="AN24" s="2">
        <f t="shared" si="14"/>
        <v>3694.2569609036786</v>
      </c>
      <c r="AO24" s="2">
        <f t="shared" si="15"/>
        <v>3097.6161878660678</v>
      </c>
      <c r="AP24" s="2">
        <f t="shared" si="16"/>
        <v>2567.2806883234543</v>
      </c>
      <c r="AQ24" s="2">
        <f t="shared" si="17"/>
        <v>1870.2488465480699</v>
      </c>
      <c r="AR24" s="2">
        <f t="shared" si="18"/>
        <v>828.10892034291578</v>
      </c>
      <c r="AS24" s="2">
        <f t="shared" si="19"/>
        <v>580.81989332695025</v>
      </c>
      <c r="AX24" s="2">
        <f t="shared" si="28"/>
        <v>1000000</v>
      </c>
      <c r="AY24" s="37">
        <f t="shared" si="20"/>
        <v>111023.03283839283</v>
      </c>
      <c r="AZ24" s="37">
        <f t="shared" si="21"/>
        <v>41149.563614756378</v>
      </c>
      <c r="BA24" s="37">
        <f t="shared" si="22"/>
        <v>32436.618384296831</v>
      </c>
      <c r="BB24" s="37">
        <f t="shared" si="23"/>
        <v>27684.697868586711</v>
      </c>
      <c r="BC24" s="37">
        <f t="shared" si="24"/>
        <v>26236.366272266579</v>
      </c>
      <c r="BD24" s="37">
        <f t="shared" si="25"/>
        <v>788799.94230489223</v>
      </c>
      <c r="BE24" s="37">
        <f t="shared" si="26"/>
        <v>479399.51786104322</v>
      </c>
    </row>
    <row r="25" spans="1:57" x14ac:dyDescent="0.25">
      <c r="A25" s="2">
        <f>'creep_res-40'!A25</f>
        <v>10000000</v>
      </c>
      <c r="B25" s="3">
        <f>'creep_res-40'!O25</f>
        <v>-8.4787879999999999E-4</v>
      </c>
      <c r="C25" s="2">
        <f>IF('Modell einstellen'!$B$2="Ja",creep_res0!O25,creep_res0!C25)</f>
        <v>-1.1024778857142859E-3</v>
      </c>
      <c r="D25" s="2">
        <f>IF('Modell einstellen'!$B$2="Ja",creep_res25!O25,creep_res25!C25)</f>
        <v>-1.3624052285714286E-3</v>
      </c>
      <c r="E25" s="2">
        <f>IF('Modell einstellen'!$B$2="Ja",creep_res50!O25,creep_res50!C25)</f>
        <v>-1.7284236571428573E-3</v>
      </c>
      <c r="F25" s="2">
        <f>IF('Modell einstellen'!$B$2="Ja",creep_res80!O25,creep_res80!C25)</f>
        <v>-2.5012873714285715E-3</v>
      </c>
      <c r="G25" s="2">
        <f>IF('Modell einstellen'!$B$2="Ja",creep_res125!O25,creep_res125!C25)</f>
        <v>-4.9830545714285718E-3</v>
      </c>
      <c r="H25" s="2">
        <f>IF('Modell einstellen'!$B$2="Ja",creep_res160!O25,creep_res160!C25)</f>
        <v>-6.2392011428571426E-3</v>
      </c>
      <c r="M25" s="9">
        <f t="shared" si="27"/>
        <v>-10</v>
      </c>
      <c r="N25" s="2">
        <f t="shared" si="4"/>
        <v>10000000</v>
      </c>
      <c r="O25" s="2">
        <f t="shared" si="5"/>
        <v>11794.138501870786</v>
      </c>
      <c r="P25" s="2">
        <f t="shared" si="6"/>
        <v>9070.4767230057278</v>
      </c>
      <c r="Q25" s="2">
        <f t="shared" si="7"/>
        <v>7339.9600869747519</v>
      </c>
      <c r="R25" s="2">
        <f t="shared" si="8"/>
        <v>5785.6185656069638</v>
      </c>
      <c r="S25" s="2">
        <f t="shared" si="9"/>
        <v>3997.9412658564916</v>
      </c>
      <c r="T25" s="2">
        <f t="shared" si="10"/>
        <v>2006.8012213506906</v>
      </c>
      <c r="U25" s="2">
        <f t="shared" si="11"/>
        <v>1602.7692922592105</v>
      </c>
      <c r="Z25" s="2">
        <v>10000000</v>
      </c>
      <c r="AA25" s="3">
        <f>IF('Modell einstellen'!$B$2="Ja",'creep_res-40'!P25,'creep_res-40'!L25)</f>
        <v>0.46871648569178925</v>
      </c>
      <c r="AB25" s="2">
        <f>IF('Modell einstellen'!$B$2="Ja",creep_res0!P25,creep_res0!L25)</f>
        <v>0.45037879088264704</v>
      </c>
      <c r="AC25" s="2">
        <f>IF('Modell einstellen'!$B$2="Ja",creep_res25!P25,creep_res25!L25)</f>
        <v>0.45168069672075539</v>
      </c>
      <c r="AD25" s="2">
        <f>IF('Modell einstellen'!$B$2="Ja",creep_res50!P25,creep_res50!L25)</f>
        <v>0.45655111210498855</v>
      </c>
      <c r="AE25" s="2">
        <f>IF('Modell einstellen'!$B$2="Ja",creep_res80!P25,creep_res80!L25)</f>
        <v>0.46805516994460156</v>
      </c>
      <c r="AF25" s="2">
        <f>IF('Modell einstellen'!$B$2="Ja",creep_res125!P25,creep_res125!L25)</f>
        <v>0.48688429833428043</v>
      </c>
      <c r="AG25" s="2">
        <f>IF('Modell einstellen'!$B$2="Ja",creep_res160!P25,creep_res160!L25)</f>
        <v>0.4818723587506899</v>
      </c>
      <c r="AL25" s="2">
        <f t="shared" si="12"/>
        <v>10000000</v>
      </c>
      <c r="AM25" s="2">
        <f t="shared" si="13"/>
        <v>4015.1174909416081</v>
      </c>
      <c r="AN25" s="2">
        <f t="shared" si="14"/>
        <v>3126.9337293210729</v>
      </c>
      <c r="AO25" s="2">
        <f t="shared" si="15"/>
        <v>2528.090407055493</v>
      </c>
      <c r="AP25" s="2">
        <f t="shared" si="16"/>
        <v>1986.0678137294008</v>
      </c>
      <c r="AQ25" s="2">
        <f t="shared" si="17"/>
        <v>1361.6454434772222</v>
      </c>
      <c r="AR25" s="2">
        <f t="shared" si="18"/>
        <v>674.83435785785764</v>
      </c>
      <c r="AS25" s="2">
        <f t="shared" si="19"/>
        <v>540.7919524224219</v>
      </c>
      <c r="AX25" s="2">
        <f t="shared" si="28"/>
        <v>10000000</v>
      </c>
      <c r="AY25" s="37">
        <f t="shared" si="20"/>
        <v>62834.684458576892</v>
      </c>
      <c r="AZ25" s="37">
        <f t="shared" si="21"/>
        <v>30465.72518871339</v>
      </c>
      <c r="BA25" s="37">
        <f t="shared" si="22"/>
        <v>25317.556300277502</v>
      </c>
      <c r="BB25" s="37">
        <f t="shared" si="23"/>
        <v>22193.197746845115</v>
      </c>
      <c r="BC25" s="37">
        <f t="shared" si="24"/>
        <v>20858.572205702232</v>
      </c>
      <c r="BD25" s="37">
        <f t="shared" si="25"/>
        <v>25501.256337608618</v>
      </c>
      <c r="BE25" s="37">
        <f t="shared" si="26"/>
        <v>14735.961049907772</v>
      </c>
    </row>
    <row r="26" spans="1:57" x14ac:dyDescent="0.25">
      <c r="A26" s="2">
        <f>'creep_res-40'!A26</f>
        <v>100000000</v>
      </c>
      <c r="B26" s="3">
        <f>'creep_res-40'!O26</f>
        <v>-1.0044371142857143E-3</v>
      </c>
      <c r="C26" s="2">
        <f>IF('Modell einstellen'!$B$2="Ja",creep_res0!O26,creep_res0!C26)</f>
        <v>-1.3449208571428572E-3</v>
      </c>
      <c r="D26" s="2">
        <f>IF('Modell einstellen'!$B$2="Ja",creep_res25!O26,creep_res25!C26)</f>
        <v>-1.7606820000000002E-3</v>
      </c>
      <c r="E26" s="2">
        <f>IF('Modell einstellen'!$B$2="Ja",creep_res50!O26,creep_res50!C26)</f>
        <v>-2.3549972571428575E-3</v>
      </c>
      <c r="F26" s="2">
        <f>IF('Modell einstellen'!$B$2="Ja",creep_res80!O26,creep_res80!C26)</f>
        <v>-3.4749714285714287E-3</v>
      </c>
      <c r="G26" s="2">
        <f>IF('Modell einstellen'!$B$2="Ja",creep_res125!O26,creep_res125!C26)</f>
        <v>-5.7374362857142867E-3</v>
      </c>
      <c r="H26" s="2">
        <f>IF('Modell einstellen'!$B$2="Ja",creep_res160!O26,creep_res160!C26)</f>
        <v>-6.5440177142857148E-3</v>
      </c>
      <c r="M26" s="9">
        <f t="shared" si="27"/>
        <v>-10</v>
      </c>
      <c r="N26" s="2">
        <f t="shared" si="4"/>
        <v>100000000</v>
      </c>
      <c r="O26" s="2">
        <f t="shared" si="5"/>
        <v>9955.8248672554309</v>
      </c>
      <c r="P26" s="2">
        <f t="shared" si="6"/>
        <v>7435.3817526809325</v>
      </c>
      <c r="Q26" s="2">
        <f t="shared" si="7"/>
        <v>5679.6173301027666</v>
      </c>
      <c r="R26" s="2">
        <f t="shared" si="8"/>
        <v>4246.2894466944108</v>
      </c>
      <c r="S26" s="2">
        <f t="shared" si="9"/>
        <v>2877.7215023350655</v>
      </c>
      <c r="T26" s="2">
        <f t="shared" si="10"/>
        <v>1742.938745114978</v>
      </c>
      <c r="U26" s="2">
        <f t="shared" si="11"/>
        <v>1528.1132228859665</v>
      </c>
      <c r="Z26" s="2">
        <v>100000000</v>
      </c>
      <c r="AA26" s="3">
        <f>IF('Modell einstellen'!$B$2="Ja",'creep_res-40'!P26,'creep_res-40'!L26)</f>
        <v>0.45939424380944682</v>
      </c>
      <c r="AB26" s="2">
        <f>IF('Modell einstellen'!$B$2="Ja",creep_res0!P26,creep_res0!L26)</f>
        <v>0.44857730343346808</v>
      </c>
      <c r="AC26" s="2">
        <f>IF('Modell einstellen'!$B$2="Ja",creep_res25!P26,creep_res25!L26)</f>
        <v>0.45362629773170682</v>
      </c>
      <c r="AD26" s="2">
        <f>IF('Modell einstellen'!$B$2="Ja",creep_res50!P26,creep_res50!L26)</f>
        <v>0.46020525544075847</v>
      </c>
      <c r="AE26" s="2">
        <f>IF('Modell einstellen'!$B$2="Ja",creep_res80!P26,creep_res80!L26)</f>
        <v>0.4701026195487733</v>
      </c>
      <c r="AF26" s="2">
        <f>IF('Modell einstellen'!$B$2="Ja",creep_res125!P26,creep_res125!L26)</f>
        <v>0.47548224500669206</v>
      </c>
      <c r="AG26" s="2">
        <f>IF('Modell einstellen'!$B$2="Ja",creep_res160!P26,creep_res160!L26)</f>
        <v>0.46967385086540542</v>
      </c>
      <c r="AL26" s="2">
        <f t="shared" si="12"/>
        <v>100000000</v>
      </c>
      <c r="AM26" s="2">
        <f t="shared" si="13"/>
        <v>3410.9442700239138</v>
      </c>
      <c r="AN26" s="2">
        <f t="shared" si="14"/>
        <v>2566.4428591616524</v>
      </c>
      <c r="AO26" s="2">
        <f t="shared" si="15"/>
        <v>1953.6029786216222</v>
      </c>
      <c r="AP26" s="2">
        <f t="shared" si="16"/>
        <v>1454.0043020913115</v>
      </c>
      <c r="AQ26" s="2">
        <f t="shared" si="17"/>
        <v>978.74851186182502</v>
      </c>
      <c r="AR26" s="2">
        <f t="shared" si="18"/>
        <v>590.63358810768784</v>
      </c>
      <c r="AS26" s="2">
        <f t="shared" si="19"/>
        <v>519.88174858869183</v>
      </c>
      <c r="AX26" s="2">
        <f t="shared" si="28"/>
        <v>100000000</v>
      </c>
      <c r="AY26" s="37">
        <f t="shared" si="20"/>
        <v>40863.766623526259</v>
      </c>
      <c r="AZ26" s="37">
        <f t="shared" si="21"/>
        <v>24098.897468555402</v>
      </c>
      <c r="BA26" s="37">
        <f t="shared" si="22"/>
        <v>20412.493332404825</v>
      </c>
      <c r="BB26" s="37">
        <f t="shared" si="23"/>
        <v>17784.129930243493</v>
      </c>
      <c r="BC26" s="37">
        <f t="shared" si="24"/>
        <v>16042.21651363769</v>
      </c>
      <c r="BD26" s="37">
        <f t="shared" si="25"/>
        <v>11848.139886045228</v>
      </c>
      <c r="BE26" s="37">
        <f t="shared" si="26"/>
        <v>8398.2155471605311</v>
      </c>
    </row>
    <row r="27" spans="1:57" x14ac:dyDescent="0.25">
      <c r="A27" s="2">
        <f>'creep_res-40'!A27</f>
        <v>1000000000</v>
      </c>
      <c r="B27" s="3">
        <f>'creep_res-40'!O27</f>
        <v>-1.2166804000000001E-3</v>
      </c>
      <c r="C27" s="2">
        <f>IF('Modell einstellen'!$B$2="Ja",creep_res0!O27,creep_res0!C27)</f>
        <v>-1.7242072571428573E-3</v>
      </c>
      <c r="D27" s="2">
        <f>IF('Modell einstellen'!$B$2="Ja",creep_res25!O27,creep_res25!C27)</f>
        <v>-2.3945662571428572E-3</v>
      </c>
      <c r="E27" s="2">
        <f>IF('Modell einstellen'!$B$2="Ja",creep_res50!O27,creep_res50!C27)</f>
        <v>-3.2569482857142855E-3</v>
      </c>
      <c r="F27" s="2">
        <f>IF('Modell einstellen'!$B$2="Ja",creep_res80!O27,creep_res80!C27)</f>
        <v>-4.540344571428572E-3</v>
      </c>
      <c r="G27" s="2">
        <f>IF('Modell einstellen'!$B$2="Ja",creep_res125!O27,creep_res125!C27)</f>
        <v>-6.1724285714285718E-3</v>
      </c>
      <c r="H27" s="2">
        <f>IF('Modell einstellen'!$B$2="Ja",creep_res160!O27,creep_res160!C27)</f>
        <v>-6.6851005714285722E-3</v>
      </c>
      <c r="M27" s="9">
        <f t="shared" si="27"/>
        <v>-10</v>
      </c>
      <c r="N27" s="2">
        <f t="shared" si="4"/>
        <v>1000000000</v>
      </c>
      <c r="O27" s="2">
        <f t="shared" si="5"/>
        <v>8219.0853078589898</v>
      </c>
      <c r="P27" s="2">
        <f t="shared" si="6"/>
        <v>5799.7667963483473</v>
      </c>
      <c r="Q27" s="2">
        <f t="shared" si="7"/>
        <v>4176.1216546715132</v>
      </c>
      <c r="R27" s="2">
        <f t="shared" si="8"/>
        <v>3070.3588521384481</v>
      </c>
      <c r="S27" s="2">
        <f t="shared" si="9"/>
        <v>2202.476010945928</v>
      </c>
      <c r="T27" s="2">
        <f t="shared" si="10"/>
        <v>1620.1078528942069</v>
      </c>
      <c r="U27" s="2">
        <f t="shared" si="11"/>
        <v>1495.8638083530059</v>
      </c>
      <c r="Z27" s="2">
        <v>1000000000</v>
      </c>
      <c r="AA27" s="3">
        <f>IF('Modell einstellen'!$B$2="Ja",'creep_res-40'!P27,'creep_res-40'!L27)</f>
        <v>0.45487917075722717</v>
      </c>
      <c r="AB27" s="2">
        <f>IF('Modell einstellen'!$B$2="Ja",creep_res0!P27,creep_res0!L27)</f>
        <v>0.45039691449755109</v>
      </c>
      <c r="AC27" s="2">
        <f>IF('Modell einstellen'!$B$2="Ja",creep_res25!P27,creep_res25!L27)</f>
        <v>0.4577537507866471</v>
      </c>
      <c r="AD27" s="2">
        <f>IF('Modell einstellen'!$B$2="Ja",creep_res50!P27,creep_res50!L27)</f>
        <v>0.4632180746937602</v>
      </c>
      <c r="AE27" s="2">
        <f>IF('Modell einstellen'!$B$2="Ja",creep_res80!P27,creep_res80!L27)</f>
        <v>0.46821997650776159</v>
      </c>
      <c r="AF27" s="2">
        <f>IF('Modell einstellen'!$B$2="Ja",creep_res125!P27,creep_res125!L27)</f>
        <v>0.46653792209595674</v>
      </c>
      <c r="AG27" s="2">
        <f>IF('Modell einstellen'!$B$2="Ja",creep_res160!P27,creep_res160!L27)</f>
        <v>0.46841492116455813</v>
      </c>
      <c r="AL27" s="2">
        <f t="shared" si="12"/>
        <v>1000000000</v>
      </c>
      <c r="AM27" s="2">
        <f t="shared" si="13"/>
        <v>2824.662512551186</v>
      </c>
      <c r="AN27" s="2">
        <f t="shared" si="14"/>
        <v>1999.3722885012867</v>
      </c>
      <c r="AO27" s="2">
        <f t="shared" si="15"/>
        <v>1432.382407665888</v>
      </c>
      <c r="AP27" s="2">
        <f t="shared" si="16"/>
        <v>1049.180195775346</v>
      </c>
      <c r="AQ27" s="2">
        <f t="shared" si="17"/>
        <v>750.04973579798059</v>
      </c>
      <c r="AR27" s="2">
        <f t="shared" si="18"/>
        <v>552.35798150339338</v>
      </c>
      <c r="AS27" s="2">
        <f t="shared" si="19"/>
        <v>509.34643430573385</v>
      </c>
      <c r="AX27" s="2">
        <f t="shared" si="28"/>
        <v>1000000000</v>
      </c>
      <c r="AY27" s="37">
        <f t="shared" si="20"/>
        <v>30359.538472561322</v>
      </c>
      <c r="AZ27" s="37">
        <f t="shared" si="21"/>
        <v>19487.25144010787</v>
      </c>
      <c r="BA27" s="37">
        <f t="shared" si="22"/>
        <v>16475.315293992826</v>
      </c>
      <c r="BB27" s="37">
        <f t="shared" si="23"/>
        <v>13912.443981544302</v>
      </c>
      <c r="BC27" s="37">
        <f t="shared" si="24"/>
        <v>11550.631334407477</v>
      </c>
      <c r="BD27" s="37">
        <f t="shared" si="25"/>
        <v>8069.3726270280786</v>
      </c>
      <c r="BE27" s="37">
        <f t="shared" si="26"/>
        <v>7893.3041777229164</v>
      </c>
    </row>
    <row r="28" spans="1:57" x14ac:dyDescent="0.25">
      <c r="A28" s="2">
        <f>'creep_res-40'!A28</f>
        <v>10000000000</v>
      </c>
      <c r="B28" s="3">
        <f>'creep_res-40'!O28</f>
        <v>-1.5274286285714288E-3</v>
      </c>
      <c r="C28" s="2">
        <f>IF('Modell einstellen'!$B$2="Ja",creep_res0!O28,creep_res0!C28)</f>
        <v>-2.3387959142857147E-3</v>
      </c>
      <c r="D28" s="2">
        <f>IF('Modell einstellen'!$B$2="Ja",creep_res25!O28,creep_res25!C28)</f>
        <v>-3.312309428571429E-3</v>
      </c>
      <c r="E28" s="2">
        <f>IF('Modell einstellen'!$B$2="Ja",creep_res50!O28,creep_res50!C28)</f>
        <v>-4.3552957142857143E-3</v>
      </c>
      <c r="F28" s="2">
        <f>IF('Modell einstellen'!$B$2="Ja",creep_res80!O28,creep_res80!C28)</f>
        <v>-5.441729714285715E-3</v>
      </c>
      <c r="G28" s="2">
        <f>IF('Modell einstellen'!$B$2="Ja",creep_res125!O28,creep_res125!C28)</f>
        <v>-6.5362099999999998E-3</v>
      </c>
      <c r="H28" s="2">
        <f>IF('Modell einstellen'!$B$2="Ja",creep_res160!O28,creep_res160!C28)</f>
        <v>-7.1206405714285721E-3</v>
      </c>
      <c r="M28" s="9">
        <f t="shared" si="27"/>
        <v>-10</v>
      </c>
      <c r="N28" s="2">
        <f t="shared" si="4"/>
        <v>10000000000</v>
      </c>
      <c r="O28" s="2">
        <f t="shared" si="5"/>
        <v>6546.9507464664885</v>
      </c>
      <c r="P28" s="2">
        <f t="shared" si="6"/>
        <v>4275.7044079470579</v>
      </c>
      <c r="Q28" s="2">
        <f t="shared" si="7"/>
        <v>3019.0416130032017</v>
      </c>
      <c r="R28" s="2">
        <f t="shared" si="8"/>
        <v>2296.0553441180145</v>
      </c>
      <c r="S28" s="2">
        <f t="shared" si="9"/>
        <v>1837.6509905936418</v>
      </c>
      <c r="T28" s="2">
        <f t="shared" si="10"/>
        <v>1529.938603563839</v>
      </c>
      <c r="U28" s="2">
        <f t="shared" si="11"/>
        <v>1404.3680339834593</v>
      </c>
      <c r="Z28" s="2">
        <v>10000000000</v>
      </c>
      <c r="AA28" s="3">
        <f>IF('Modell einstellen'!$B$2="Ja",'creep_res-40'!P28,'creep_res-40'!L28)</f>
        <v>0.45448844165774627</v>
      </c>
      <c r="AB28" s="2">
        <f>IF('Modell einstellen'!$B$2="Ja",creep_res0!P28,creep_res0!L28)</f>
        <v>0.4547391461762797</v>
      </c>
      <c r="AC28" s="2">
        <f>IF('Modell einstellen'!$B$2="Ja",creep_res25!P28,creep_res25!L28)</f>
        <v>0.46080456768919881</v>
      </c>
      <c r="AD28" s="2">
        <f>IF('Modell einstellen'!$B$2="Ja",creep_res50!P28,creep_res50!L28)</f>
        <v>0.46408430852817278</v>
      </c>
      <c r="AE28" s="2">
        <f>IF('Modell einstellen'!$B$2="Ja",creep_res80!P28,creep_res80!L28)</f>
        <v>0.46444649899659002</v>
      </c>
      <c r="AF28" s="2">
        <f>IF('Modell einstellen'!$B$2="Ja",creep_res125!P28,creep_res125!L28)</f>
        <v>0.46126691593009234</v>
      </c>
      <c r="AG28" s="2">
        <f>IF('Modell einstellen'!$B$2="Ja",creep_res160!P28,creep_res160!L28)</f>
        <v>0.46118675839838164</v>
      </c>
      <c r="AL28" s="2">
        <f t="shared" si="12"/>
        <v>10000000000</v>
      </c>
      <c r="AM28" s="2">
        <f t="shared" si="13"/>
        <v>2250.6025345256894</v>
      </c>
      <c r="AN28" s="2">
        <f t="shared" si="14"/>
        <v>1469.5776968625496</v>
      </c>
      <c r="AO28" s="2">
        <f t="shared" si="15"/>
        <v>1033.3489091490621</v>
      </c>
      <c r="AP28" s="2">
        <f t="shared" si="16"/>
        <v>784.12675101552475</v>
      </c>
      <c r="AQ28" s="2">
        <f t="shared" si="17"/>
        <v>627.42168862186645</v>
      </c>
      <c r="AR28" s="2">
        <f t="shared" si="18"/>
        <v>523.49731143746499</v>
      </c>
      <c r="AS28" s="2">
        <f t="shared" si="19"/>
        <v>480.55733666885891</v>
      </c>
      <c r="AX28" s="2">
        <f t="shared" si="28"/>
        <v>10000000000</v>
      </c>
      <c r="AY28" s="37">
        <f t="shared" si="20"/>
        <v>23975.414103352377</v>
      </c>
      <c r="AZ28" s="37">
        <f t="shared" si="21"/>
        <v>15744.674285199657</v>
      </c>
      <c r="BA28" s="37">
        <f t="shared" si="22"/>
        <v>12837.557146385636</v>
      </c>
      <c r="BB28" s="37">
        <f t="shared" si="23"/>
        <v>10654.838456514535</v>
      </c>
      <c r="BC28" s="37">
        <f t="shared" si="24"/>
        <v>8614.4868003172196</v>
      </c>
      <c r="BD28" s="37">
        <f t="shared" si="25"/>
        <v>6583.2549455762382</v>
      </c>
      <c r="BE28" s="37">
        <f t="shared" si="26"/>
        <v>6030.4506745317494</v>
      </c>
    </row>
    <row r="29" spans="1:57" x14ac:dyDescent="0.25">
      <c r="A29" s="2">
        <f>'creep_res-40'!A29</f>
        <v>100000000000</v>
      </c>
      <c r="B29" s="3">
        <f>'creep_res-40'!O29</f>
        <v>-2.0460255714285715E-3</v>
      </c>
      <c r="C29" s="2">
        <f>IF('Modell einstellen'!$B$2="Ja",creep_res0!O29,creep_res0!C29)</f>
        <v>-3.2282211428571431E-3</v>
      </c>
      <c r="D29" s="2">
        <f>IF('Modell einstellen'!$B$2="Ja",creep_res25!O29,creep_res25!C29)</f>
        <v>-4.4061685714285714E-3</v>
      </c>
      <c r="E29" s="2">
        <f>IF('Modell einstellen'!$B$2="Ja",creep_res50!O29,creep_res50!C29)</f>
        <v>-5.2736577142857149E-3</v>
      </c>
      <c r="F29" s="2">
        <f>IF('Modell einstellen'!$B$2="Ja",creep_res80!O29,creep_res80!C29)</f>
        <v>-6.005448E-3</v>
      </c>
      <c r="G29" s="2">
        <f>IF('Modell einstellen'!$B$2="Ja",creep_res125!O29,creep_res125!C29)</f>
        <v>-6.6916345714285721E-3</v>
      </c>
      <c r="H29" s="2">
        <f>IF('Modell einstellen'!$B$2="Ja",creep_res160!O29,creep_res160!C29)</f>
        <v>-7.2605777142857146E-3</v>
      </c>
      <c r="M29" s="9">
        <f t="shared" si="27"/>
        <v>-10</v>
      </c>
      <c r="N29" s="2">
        <f t="shared" si="4"/>
        <v>100000000000</v>
      </c>
      <c r="O29" s="2">
        <f t="shared" si="5"/>
        <v>4887.5244472227305</v>
      </c>
      <c r="P29" s="2">
        <f t="shared" si="6"/>
        <v>3097.6812174489019</v>
      </c>
      <c r="Q29" s="2">
        <f t="shared" si="7"/>
        <v>2269.5454878517717</v>
      </c>
      <c r="R29" s="2">
        <f t="shared" si="8"/>
        <v>1896.2171118749673</v>
      </c>
      <c r="S29" s="2">
        <f t="shared" si="9"/>
        <v>1665.154706193443</v>
      </c>
      <c r="T29" s="2">
        <f t="shared" si="10"/>
        <v>1494.403182549333</v>
      </c>
      <c r="U29" s="2">
        <f t="shared" si="11"/>
        <v>1377.3008696435097</v>
      </c>
      <c r="Z29" s="2">
        <v>100000000000</v>
      </c>
      <c r="AA29" s="3">
        <f>IF('Modell einstellen'!$B$2="Ja",'creep_res-40'!P29,'creep_res-40'!L29)</f>
        <v>0.45806405575576176</v>
      </c>
      <c r="AB29" s="2">
        <f>IF('Modell einstellen'!$B$2="Ja",creep_res0!P29,creep_res0!L29)</f>
        <v>0.45813700672303026</v>
      </c>
      <c r="AC29" s="2">
        <f>IF('Modell einstellen'!$B$2="Ja",creep_res25!P29,creep_res25!L29)</f>
        <v>0.46201535639321245</v>
      </c>
      <c r="AD29" s="2">
        <f>IF('Modell einstellen'!$B$2="Ja",creep_res50!P29,creep_res50!L29)</f>
        <v>0.4617277127579979</v>
      </c>
      <c r="AE29" s="2">
        <f>IF('Modell einstellen'!$B$2="Ja",creep_res80!P29,creep_res80!L29)</f>
        <v>0.45992204792334274</v>
      </c>
      <c r="AF29" s="2">
        <f>IF('Modell einstellen'!$B$2="Ja",creep_res125!P29,creep_res125!L29)</f>
        <v>0.46028335336047083</v>
      </c>
      <c r="AG29" s="2">
        <f>IF('Modell einstellen'!$B$2="Ja",creep_res160!P29,creep_res160!L29)</f>
        <v>0.46042459746021003</v>
      </c>
      <c r="AL29" s="2">
        <f t="shared" si="12"/>
        <v>100000000000</v>
      </c>
      <c r="AM29" s="2">
        <f t="shared" si="13"/>
        <v>1676.0321427337321</v>
      </c>
      <c r="AN29" s="2">
        <f t="shared" si="14"/>
        <v>1062.2051299591283</v>
      </c>
      <c r="AO29" s="2">
        <f t="shared" si="15"/>
        <v>776.17019476824578</v>
      </c>
      <c r="AP29" s="2">
        <f t="shared" si="16"/>
        <v>648.62186552417882</v>
      </c>
      <c r="AQ29" s="2">
        <f t="shared" si="17"/>
        <v>570.28890979557161</v>
      </c>
      <c r="AR29" s="2">
        <f t="shared" si="18"/>
        <v>511.68260567729681</v>
      </c>
      <c r="AS29" s="2">
        <f t="shared" si="19"/>
        <v>471.54124630560909</v>
      </c>
      <c r="AX29" s="2">
        <f t="shared" si="28"/>
        <v>100000000000</v>
      </c>
      <c r="AY29" s="37">
        <f t="shared" si="20"/>
        <v>19424.563403800661</v>
      </c>
      <c r="AZ29" s="37">
        <f t="shared" si="21"/>
        <v>12332.615575106849</v>
      </c>
      <c r="BA29" s="37">
        <f t="shared" si="22"/>
        <v>9958.1711289516224</v>
      </c>
      <c r="BB29" s="37">
        <f t="shared" si="23"/>
        <v>8257.5724652708795</v>
      </c>
      <c r="BC29" s="37">
        <f t="shared" si="24"/>
        <v>6924.6498382639193</v>
      </c>
      <c r="BD29" s="37">
        <f t="shared" si="25"/>
        <v>6271.1033827227493</v>
      </c>
      <c r="BE29" s="37">
        <f t="shared" si="26"/>
        <v>5800.3236912066841</v>
      </c>
    </row>
    <row r="30" spans="1:57" x14ac:dyDescent="0.25">
      <c r="A30" s="2">
        <f>'creep_res-40'!A30</f>
        <v>1000000000000</v>
      </c>
      <c r="B30" s="3">
        <f>'creep_res-40'!O30</f>
        <v>-2.8050813428571434E-3</v>
      </c>
      <c r="C30" s="2">
        <f>IF('Modell einstellen'!$B$2="Ja",creep_res0!O30,creep_res0!C30)</f>
        <v>-4.3318382857142866E-3</v>
      </c>
      <c r="D30" s="2">
        <f>IF('Modell einstellen'!$B$2="Ja",creep_res25!O30,creep_res25!C30)</f>
        <v>-5.319179714285715E-3</v>
      </c>
      <c r="E30" s="2">
        <f>IF('Modell einstellen'!$B$2="Ja",creep_res50!O30,creep_res50!C30)</f>
        <v>-5.9309482857142866E-3</v>
      </c>
      <c r="F30" s="2">
        <f>IF('Modell einstellen'!$B$2="Ja",creep_res80!O30,creep_res80!C30)</f>
        <v>-6.4124148571428575E-3</v>
      </c>
      <c r="G30" s="2">
        <f>IF('Modell einstellen'!$B$2="Ja",creep_res125!O30,creep_res125!C30)</f>
        <v>-6.9259671428571435E-3</v>
      </c>
      <c r="H30" s="2">
        <f>IF('Modell einstellen'!$B$2="Ja",creep_res160!O30,creep_res160!C30)</f>
        <v>-7.3119360000000007E-3</v>
      </c>
      <c r="M30" s="9">
        <f t="shared" si="27"/>
        <v>-10</v>
      </c>
      <c r="N30" s="2">
        <f t="shared" si="4"/>
        <v>1000000000000</v>
      </c>
      <c r="O30" s="2">
        <f t="shared" si="5"/>
        <v>3564.9590075040037</v>
      </c>
      <c r="P30" s="2">
        <f t="shared" si="6"/>
        <v>2308.4887616830961</v>
      </c>
      <c r="Q30" s="2">
        <f t="shared" si="7"/>
        <v>1879.989121845801</v>
      </c>
      <c r="R30" s="2">
        <f t="shared" si="8"/>
        <v>1686.0710156732823</v>
      </c>
      <c r="S30" s="2">
        <f t="shared" si="9"/>
        <v>1559.4748971771364</v>
      </c>
      <c r="T30" s="2">
        <f t="shared" si="10"/>
        <v>1443.841674922347</v>
      </c>
      <c r="U30" s="2">
        <f t="shared" si="11"/>
        <v>1367.6268501256027</v>
      </c>
      <c r="Z30" s="2">
        <v>1000000000000</v>
      </c>
      <c r="AA30" s="3">
        <f>IF('Modell einstellen'!$B$2="Ja",'creep_res-40'!P30,'creep_res-40'!L30)</f>
        <v>0.46176743924726721</v>
      </c>
      <c r="AB30" s="2">
        <f>IF('Modell einstellen'!$B$2="Ja",creep_res0!P30,creep_res0!L30)</f>
        <v>0.46034755023832175</v>
      </c>
      <c r="AC30" s="2">
        <f>IF('Modell einstellen'!$B$2="Ja",creep_res25!P30,creep_res25!L30)</f>
        <v>0.46033481854264419</v>
      </c>
      <c r="AD30" s="2">
        <f>IF('Modell einstellen'!$B$2="Ja",creep_res50!P30,creep_res50!L30)</f>
        <v>0.45887854888442553</v>
      </c>
      <c r="AE30" s="2">
        <f>IF('Modell einstellen'!$B$2="Ja",creep_res80!P30,creep_res80!L30)</f>
        <v>0.45747793164794792</v>
      </c>
      <c r="AF30" s="2">
        <f>IF('Modell einstellen'!$B$2="Ja",creep_res125!P30,creep_res125!L30)</f>
        <v>0.45995082275255211</v>
      </c>
      <c r="AG30" s="2">
        <f>IF('Modell einstellen'!$B$2="Ja",creep_res160!P30,creep_res160!L30)</f>
        <v>0.45677095641974985</v>
      </c>
      <c r="AL30" s="2">
        <f t="shared" si="12"/>
        <v>1000000000000</v>
      </c>
      <c r="AM30" s="2">
        <f t="shared" si="13"/>
        <v>1219.4001972501756</v>
      </c>
      <c r="AN30" s="2">
        <f t="shared" si="14"/>
        <v>790.39019215198527</v>
      </c>
      <c r="AO30" s="2">
        <f t="shared" si="15"/>
        <v>643.6842763640858</v>
      </c>
      <c r="AP30" s="2">
        <f t="shared" si="16"/>
        <v>577.86544910218402</v>
      </c>
      <c r="AQ30" s="2">
        <f t="shared" si="17"/>
        <v>534.99091249150581</v>
      </c>
      <c r="AR30" s="2">
        <f t="shared" si="18"/>
        <v>494.48298272135173</v>
      </c>
      <c r="AS30" s="2">
        <f t="shared" si="19"/>
        <v>469.40352706055</v>
      </c>
      <c r="AX30" s="2">
        <f t="shared" si="28"/>
        <v>1000000000000</v>
      </c>
      <c r="AY30" s="37">
        <f t="shared" si="20"/>
        <v>15540.675876426383</v>
      </c>
      <c r="AZ30" s="37">
        <f t="shared" si="21"/>
        <v>9703.0102619036406</v>
      </c>
      <c r="BA30" s="37">
        <f t="shared" si="22"/>
        <v>7899.4097290213431</v>
      </c>
      <c r="BB30" s="37">
        <f t="shared" si="23"/>
        <v>6833.7042668009281</v>
      </c>
      <c r="BC30" s="37">
        <f t="shared" si="24"/>
        <v>6112.4139284798675</v>
      </c>
      <c r="BD30" s="37">
        <f t="shared" si="25"/>
        <v>6008.6197942820208</v>
      </c>
      <c r="BE30" s="37">
        <f t="shared" si="26"/>
        <v>5272.7932305771392</v>
      </c>
    </row>
    <row r="31" spans="1:57" x14ac:dyDescent="0.25">
      <c r="A31" s="2">
        <f>'creep_res-40'!A31</f>
        <v>10000000000000</v>
      </c>
      <c r="B31" s="3">
        <f>'creep_res-40'!O31</f>
        <v>-3.8796105714285715E-3</v>
      </c>
      <c r="C31" s="2">
        <f>IF('Modell einstellen'!$B$2="Ja",creep_res0!O31,creep_res0!C31)</f>
        <v>-5.2510288571428572E-3</v>
      </c>
      <c r="D31" s="2">
        <f>IF('Modell einstellen'!$B$2="Ja",creep_res25!O31,creep_res25!C31)</f>
        <v>-5.9556611428571438E-3</v>
      </c>
      <c r="E31" s="2">
        <f>IF('Modell einstellen'!$B$2="Ja",creep_res50!O31,creep_res50!C31)</f>
        <v>-6.3319302857142868E-3</v>
      </c>
      <c r="F31" s="2">
        <f>IF('Modell einstellen'!$B$2="Ja",creep_res80!O31,creep_res80!C31)</f>
        <v>-6.6409679999999997E-3</v>
      </c>
      <c r="G31" s="2">
        <f>IF('Modell einstellen'!$B$2="Ja",creep_res125!O31,creep_res125!C31)</f>
        <v>-7.2774937142857151E-3</v>
      </c>
      <c r="H31" s="2">
        <f>IF('Modell einstellen'!$B$2="Ja",creep_res160!O31,creep_res160!C31)</f>
        <v>-7.3189177142857151E-3</v>
      </c>
      <c r="M31" s="9">
        <f t="shared" si="27"/>
        <v>-10</v>
      </c>
      <c r="N31" s="2">
        <f t="shared" si="4"/>
        <v>10000000000000</v>
      </c>
      <c r="O31" s="2">
        <f t="shared" si="5"/>
        <v>2577.5782944930334</v>
      </c>
      <c r="P31" s="2">
        <f t="shared" si="6"/>
        <v>1904.3886963975115</v>
      </c>
      <c r="Q31" s="2">
        <f t="shared" si="7"/>
        <v>1679.0747089419935</v>
      </c>
      <c r="R31" s="2">
        <f t="shared" si="8"/>
        <v>1579.2972361937382</v>
      </c>
      <c r="S31" s="2">
        <f t="shared" si="9"/>
        <v>1505.804575477551</v>
      </c>
      <c r="T31" s="2">
        <f t="shared" si="10"/>
        <v>1374.0994348603842</v>
      </c>
      <c r="U31" s="2">
        <f t="shared" si="11"/>
        <v>1366.3222337479092</v>
      </c>
      <c r="Z31" s="2">
        <v>10000000000000</v>
      </c>
      <c r="AA31" s="3">
        <f>IF('Modell einstellen'!$B$2="Ja",'creep_res-40'!P31,'creep_res-40'!L31)</f>
        <v>0.46407626185161299</v>
      </c>
      <c r="AB31" s="2">
        <f>IF('Modell einstellen'!$B$2="Ja",creep_res0!P31,creep_res0!L31)</f>
        <v>0.45923343675614919</v>
      </c>
      <c r="AC31" s="2">
        <f>IF('Modell einstellen'!$B$2="Ja",creep_res25!P31,creep_res25!L31)</f>
        <v>0.45793672709192801</v>
      </c>
      <c r="AD31" s="2">
        <f>IF('Modell einstellen'!$B$2="Ja",creep_res50!P31,creep_res50!L31)</f>
        <v>0.45656652839242512</v>
      </c>
      <c r="AE31" s="2">
        <f>IF('Modell einstellen'!$B$2="Ja",creep_res80!P31,creep_res80!L31)</f>
        <v>0.45892018839938492</v>
      </c>
      <c r="AF31" s="2">
        <f>IF('Modell einstellen'!$B$2="Ja",creep_res125!P31,creep_res125!L31)</f>
        <v>0.45657920379810507</v>
      </c>
      <c r="AG31" s="2">
        <f>IF('Modell einstellen'!$B$2="Ja",creep_res160!P31,creep_res160!L31)</f>
        <v>0.4564396952992113</v>
      </c>
      <c r="AL31" s="2">
        <f t="shared" si="12"/>
        <v>10000000000000</v>
      </c>
      <c r="AM31" s="2">
        <f t="shared" si="13"/>
        <v>880.27460100786607</v>
      </c>
      <c r="AN31" s="2">
        <f t="shared" si="14"/>
        <v>652.53051651246926</v>
      </c>
      <c r="AO31" s="2">
        <f t="shared" si="15"/>
        <v>575.83936179835393</v>
      </c>
      <c r="AP31" s="2">
        <f t="shared" si="16"/>
        <v>542.13014146932505</v>
      </c>
      <c r="AQ31" s="2">
        <f t="shared" si="17"/>
        <v>516.06818092277001</v>
      </c>
      <c r="AR31" s="2">
        <f t="shared" si="18"/>
        <v>471.68716650538101</v>
      </c>
      <c r="AS31" s="2">
        <f t="shared" si="19"/>
        <v>469.06241231883331</v>
      </c>
      <c r="AX31" s="2">
        <f t="shared" si="28"/>
        <v>10000000000000</v>
      </c>
      <c r="AY31" s="37">
        <f t="shared" si="20"/>
        <v>11958.565688264673</v>
      </c>
      <c r="AZ31" s="37">
        <f t="shared" si="21"/>
        <v>7785.7462295188197</v>
      </c>
      <c r="BA31" s="37">
        <f t="shared" si="22"/>
        <v>6652.9721887134192</v>
      </c>
      <c r="BB31" s="37">
        <f t="shared" si="23"/>
        <v>6060.2156882708014</v>
      </c>
      <c r="BC31" s="37">
        <f t="shared" si="24"/>
        <v>6109.264367767958</v>
      </c>
      <c r="BD31" s="37">
        <f t="shared" si="25"/>
        <v>5274.3522115961614</v>
      </c>
      <c r="BE31" s="37">
        <f t="shared" si="26"/>
        <v>5227.7038431091396</v>
      </c>
    </row>
    <row r="32" spans="1:57" x14ac:dyDescent="0.25">
      <c r="A32" s="2">
        <f>'creep_res-40'!A32</f>
        <v>100000000000000</v>
      </c>
      <c r="B32" s="3">
        <f>'creep_res-40'!O32</f>
        <v>-4.8738751428571434E-3</v>
      </c>
      <c r="C32" s="2">
        <f>IF('Modell einstellen'!$B$2="Ja",creep_res0!O32,creep_res0!C32)</f>
        <v>-5.9256691428571434E-3</v>
      </c>
      <c r="D32" s="2">
        <f>IF('Modell einstellen'!$B$2="Ja",creep_res25!O32,creep_res25!C32)</f>
        <v>-6.3544920000000006E-3</v>
      </c>
      <c r="E32" s="2">
        <f>IF('Modell einstellen'!$B$2="Ja",creep_res50!O32,creep_res50!C32)</f>
        <v>-6.602536E-3</v>
      </c>
      <c r="F32" s="2">
        <f>IF('Modell einstellen'!$B$2="Ja",creep_res80!O32,creep_res80!C32)</f>
        <v>-6.818763142857143E-3</v>
      </c>
      <c r="G32" s="2">
        <f>IF('Modell einstellen'!$B$2="Ja",creep_res125!O32,creep_res125!C32)</f>
        <v>-7.315386000000001E-3</v>
      </c>
      <c r="H32" s="2">
        <f>IF('Modell einstellen'!$B$2="Ja",creep_res160!O32,creep_res160!C32)</f>
        <v>-7.3578197142857155E-3</v>
      </c>
      <c r="M32" s="9">
        <v>-1</v>
      </c>
      <c r="N32" s="2">
        <f t="shared" si="4"/>
        <v>100000000000000</v>
      </c>
      <c r="O32" s="2">
        <f t="shared" si="5"/>
        <v>2051.755473189623</v>
      </c>
      <c r="P32" s="2">
        <f t="shared" si="6"/>
        <v>1687.5731261597846</v>
      </c>
      <c r="Q32" s="2">
        <f t="shared" si="7"/>
        <v>1573.6899188794318</v>
      </c>
      <c r="R32" s="2">
        <f t="shared" si="8"/>
        <v>1514.5695532746811</v>
      </c>
      <c r="S32" s="2">
        <f t="shared" si="9"/>
        <v>1466.5416279307628</v>
      </c>
      <c r="T32" s="2">
        <f t="shared" si="10"/>
        <v>1366.9818653451778</v>
      </c>
      <c r="U32" s="2">
        <f t="shared" si="11"/>
        <v>1359.0982639305919</v>
      </c>
      <c r="Z32" s="2">
        <v>100000000000000</v>
      </c>
      <c r="AA32" s="3">
        <f>IF('Modell einstellen'!$B$2="Ja",'creep_res-40'!P32,'creep_res-40'!L32)</f>
        <v>0.46242138332519567</v>
      </c>
      <c r="AB32" s="2">
        <f>IF('Modell einstellen'!$B$2="Ja",creep_res0!P32,creep_res0!L32)</f>
        <v>0.4574956935544639</v>
      </c>
      <c r="AC32" s="2">
        <f>IF('Modell einstellen'!$B$2="Ja",creep_res25!P32,creep_res25!L32)</f>
        <v>0.45609373652528001</v>
      </c>
      <c r="AD32" s="2">
        <f>IF('Modell einstellen'!$B$2="Ja",creep_res50!P32,creep_res50!L32)</f>
        <v>0.45894196671443471</v>
      </c>
      <c r="AE32" s="2">
        <f>IF('Modell einstellen'!$B$2="Ja",creep_res80!P32,creep_res80!L32)</f>
        <v>0.45440159633475208</v>
      </c>
      <c r="AF32" s="2">
        <f>IF('Modell einstellen'!$B$2="Ja",creep_res125!P32,creep_res125!L32)</f>
        <v>0.45822642070522906</v>
      </c>
      <c r="AG32" s="2">
        <f>IF('Modell einstellen'!$B$2="Ja",creep_res160!P32,creep_res160!L32)</f>
        <v>0.45478895553259585</v>
      </c>
      <c r="AL32" s="2">
        <f t="shared" si="12"/>
        <v>100000000000000</v>
      </c>
      <c r="AM32" s="2">
        <f t="shared" si="13"/>
        <v>701.49257135601476</v>
      </c>
      <c r="AN32" s="2">
        <f t="shared" si="14"/>
        <v>578.9290265565794</v>
      </c>
      <c r="AO32" s="2">
        <f t="shared" si="15"/>
        <v>540.3807046910232</v>
      </c>
      <c r="AP32" s="2">
        <f t="shared" si="16"/>
        <v>519.06435890850435</v>
      </c>
      <c r="AQ32" s="2">
        <f t="shared" si="17"/>
        <v>504.17354863560553</v>
      </c>
      <c r="AR32" s="2">
        <f t="shared" si="18"/>
        <v>468.71385881352927</v>
      </c>
      <c r="AS32" s="2">
        <f t="shared" si="19"/>
        <v>467.11183046926152</v>
      </c>
      <c r="AX32" s="2">
        <f t="shared" si="28"/>
        <v>100000000000000</v>
      </c>
      <c r="AY32" s="37">
        <f t="shared" si="20"/>
        <v>9099.8359117588352</v>
      </c>
      <c r="AZ32" s="37">
        <f t="shared" si="21"/>
        <v>6617.2633131586181</v>
      </c>
      <c r="BA32" s="37">
        <f t="shared" si="22"/>
        <v>5973.6728291075488</v>
      </c>
      <c r="BB32" s="37">
        <f t="shared" si="23"/>
        <v>6148.0845203527888</v>
      </c>
      <c r="BC32" s="37">
        <f t="shared" si="24"/>
        <v>5360.3544205081589</v>
      </c>
      <c r="BD32" s="37">
        <f t="shared" si="25"/>
        <v>5453.9331974213164</v>
      </c>
      <c r="BE32" s="37">
        <f t="shared" si="26"/>
        <v>5010.2000515621148</v>
      </c>
    </row>
    <row r="33" spans="1:60" x14ac:dyDescent="0.25">
      <c r="A33" s="2">
        <f>'creep_res-40'!A33</f>
        <v>1000000000000000</v>
      </c>
      <c r="B33" s="3">
        <f>'creep_res-40'!O33</f>
        <v>-5.7076408571428584E-3</v>
      </c>
      <c r="C33" s="2">
        <f>IF('Modell einstellen'!$B$2="Ja",creep_res0!O33,creep_res0!C33)</f>
        <v>-6.321428285714286E-3</v>
      </c>
      <c r="D33" s="2">
        <f>IF('Modell einstellen'!$B$2="Ja",creep_res25!O33,creep_res25!C33)</f>
        <v>-6.6169728571428572E-3</v>
      </c>
      <c r="E33" s="2">
        <f>IF('Modell einstellen'!$B$2="Ja",creep_res50!O33,creep_res50!C33)</f>
        <v>-6.7862760000000008E-3</v>
      </c>
      <c r="F33" s="2">
        <f>IF('Modell einstellen'!$B$2="Ja",creep_res80!O33,creep_res80!C33)</f>
        <v>-7.1517714285714296E-3</v>
      </c>
      <c r="G33" s="2">
        <f>IF('Modell einstellen'!$B$2="Ja",creep_res125!O33,creep_res125!C33)</f>
        <v>-7.3200740000000011E-3</v>
      </c>
      <c r="H33" s="2">
        <f>IF('Modell einstellen'!$B$2="Ja",creep_res160!O33,creep_res160!C33)</f>
        <v>-7.3748585714285718E-3</v>
      </c>
      <c r="M33" s="9">
        <f>M31</f>
        <v>-10</v>
      </c>
      <c r="N33" s="2">
        <f t="shared" si="4"/>
        <v>1000000000000000</v>
      </c>
      <c r="O33" s="2">
        <f t="shared" si="5"/>
        <v>1752.0373566401686</v>
      </c>
      <c r="P33" s="2">
        <f t="shared" si="6"/>
        <v>1581.9209754540552</v>
      </c>
      <c r="Q33" s="2">
        <f t="shared" si="7"/>
        <v>1511.2650778377078</v>
      </c>
      <c r="R33" s="2">
        <f t="shared" si="8"/>
        <v>1473.5622305959851</v>
      </c>
      <c r="S33" s="2">
        <f t="shared" si="9"/>
        <v>1398.2549777877207</v>
      </c>
      <c r="T33" s="2">
        <f t="shared" si="10"/>
        <v>1366.1064082139058</v>
      </c>
      <c r="U33" s="2">
        <f t="shared" si="11"/>
        <v>1355.9582062687498</v>
      </c>
      <c r="Z33" s="2">
        <v>1000000000000000</v>
      </c>
      <c r="AA33" s="3">
        <f>IF('Modell einstellen'!$B$2="Ja",'creep_res-40'!P33,'creep_res-40'!L33)</f>
        <v>0.46034411615547138</v>
      </c>
      <c r="AB33" s="2">
        <f>IF('Modell einstellen'!$B$2="Ja",creep_res0!P33,creep_res0!L33)</f>
        <v>0.4557226420665601</v>
      </c>
      <c r="AC33" s="2">
        <f>IF('Modell einstellen'!$B$2="Ja",creep_res25!P33,creep_res25!L33)</f>
        <v>0.45838211301197068</v>
      </c>
      <c r="AD33" s="2">
        <f>IF('Modell einstellen'!$B$2="Ja",creep_res50!P33,creep_res50!L33)</f>
        <v>0.45446027499365732</v>
      </c>
      <c r="AE33" s="2">
        <f>IF('Modell einstellen'!$B$2="Ja",creep_res80!P33,creep_res80!L33)</f>
        <v>0.45554987375755057</v>
      </c>
      <c r="AF33" s="2">
        <f>IF('Modell einstellen'!$B$2="Ja",creep_res125!P33,creep_res125!L33)</f>
        <v>0.45803065456910486</v>
      </c>
      <c r="AG33" s="2">
        <f>IF('Modell einstellen'!$B$2="Ja",creep_res160!P33,creep_res160!L33)</f>
        <v>0.4543913965614062</v>
      </c>
      <c r="AL33" s="2">
        <f t="shared" si="12"/>
        <v>1000000000000000</v>
      </c>
      <c r="AM33" s="2">
        <f t="shared" si="13"/>
        <v>599.87140608085383</v>
      </c>
      <c r="AN33" s="2">
        <f t="shared" si="14"/>
        <v>543.3455967986946</v>
      </c>
      <c r="AO33" s="2">
        <f t="shared" si="15"/>
        <v>518.13069577372926</v>
      </c>
      <c r="AP33" s="2">
        <f t="shared" si="16"/>
        <v>506.56668178937065</v>
      </c>
      <c r="AQ33" s="2">
        <f t="shared" si="17"/>
        <v>480.31847035858652</v>
      </c>
      <c r="AR33" s="2">
        <f t="shared" si="18"/>
        <v>468.47657281171303</v>
      </c>
      <c r="AS33" s="2">
        <f t="shared" si="19"/>
        <v>466.16000667860783</v>
      </c>
      <c r="AX33" s="2">
        <f>AL33</f>
        <v>1000000000000000</v>
      </c>
      <c r="AY33" s="37">
        <f t="shared" si="20"/>
        <v>7363.5031626456439</v>
      </c>
      <c r="AZ33" s="37">
        <f t="shared" si="21"/>
        <v>5954.5896190406684</v>
      </c>
      <c r="BA33" s="37">
        <f t="shared" si="22"/>
        <v>6052.1456326074322</v>
      </c>
      <c r="BB33" s="37">
        <f t="shared" si="23"/>
        <v>5392.9553826933534</v>
      </c>
      <c r="BC33" s="37">
        <f t="shared" si="24"/>
        <v>5242.785926565045</v>
      </c>
      <c r="BD33" s="37">
        <f t="shared" si="25"/>
        <v>5425.0167361766289</v>
      </c>
      <c r="BE33" s="37">
        <f t="shared" si="26"/>
        <v>4955.0527168058534</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9827.0404934265953</v>
      </c>
      <c r="G16" s="26">
        <f>INDEX(Comparison!$AM$3:$AS$33,G14,$B$3)</f>
        <v>9554.6131285549327</v>
      </c>
      <c r="H16" s="26">
        <f>INDEX(Comparison!$AM$3:$AS$33,H14,$B$3)</f>
        <v>9307.5270109220583</v>
      </c>
      <c r="I16" s="26">
        <f>INDEX(Comparison!$AM$3:$AS$33,I14,$B$3)</f>
        <v>9052.7901664061646</v>
      </c>
      <c r="J16" s="26">
        <f>INDEX(Comparison!$AM$3:$AS$33,J14,$B$3)</f>
        <v>8765.8976127630649</v>
      </c>
      <c r="K16" s="26">
        <f>INDEX(Comparison!$AM$3:$AS$33,K14,$B$3)</f>
        <v>8497.5960737726527</v>
      </c>
      <c r="L16" s="26">
        <f>INDEX(Comparison!$AM$3:$AS$33,L14,$B$3)</f>
        <v>8229.2269119551856</v>
      </c>
      <c r="M16" s="26">
        <f>INDEX(Comparison!$AM$3:$AS$33,M14,$B$3)</f>
        <v>7906.9976228628248</v>
      </c>
      <c r="N16" s="26">
        <f>INDEX(Comparison!$AM$3:$AS$33,N14,$B$3)</f>
        <v>7534.9505992492377</v>
      </c>
      <c r="O16" s="26">
        <f>INDEX(Comparison!$AM$3:$AS$33,O14,$B$3)</f>
        <v>7166.8631213057552</v>
      </c>
      <c r="P16" s="26">
        <f>INDEX(Comparison!$AM$3:$AS$33,P14,$B$3)</f>
        <v>6867.7062482363972</v>
      </c>
      <c r="Q16" s="26">
        <f>INDEX(Comparison!$AM$3:$AS$33,Q14,$B$3)</f>
        <v>6578.6198965937929</v>
      </c>
      <c r="R16" s="26">
        <f>INDEX(Comparison!$AM$3:$AS$33,R14,$B$3)</f>
        <v>6298.4876021181899</v>
      </c>
      <c r="S16" s="26">
        <f>INDEX(Comparison!$AM$3:$AS$33,S14,$B$3)</f>
        <v>6004.311404381504</v>
      </c>
      <c r="T16" s="26">
        <f>INDEX(Comparison!$AM$3:$AS$33,T14,$B$3)</f>
        <v>5728.9563133722204</v>
      </c>
      <c r="U16" s="26">
        <f>INDEX(Comparison!$AM$3:$AS$33,U14,$B$3)</f>
        <v>5384.1034806229181</v>
      </c>
      <c r="V16" s="26">
        <f>INDEX(Comparison!$AM$3:$AS$33,V14,$B$3)</f>
        <v>4946.9073871376504</v>
      </c>
      <c r="W16" s="26">
        <f>INDEX(Comparison!$AM$3:$AS$33,W14,$B$3)</f>
        <v>4341.3949978794144</v>
      </c>
      <c r="X16" s="26">
        <f>INDEX(Comparison!$AM$3:$AS$33,X14,$B$3)</f>
        <v>3695.6706844027317</v>
      </c>
      <c r="Y16" s="26">
        <f>INDEX(Comparison!$AM$3:$AS$33,Y14,$B$3)</f>
        <v>3068.755950536985</v>
      </c>
      <c r="Z16" s="26">
        <f>INDEX(Comparison!$AM$3:$AS$33,Z14,$B$3)</f>
        <v>2467.1652727793789</v>
      </c>
      <c r="AA16" s="26">
        <f>INDEX(Comparison!$AM$3:$AS$33,AA14,$B$3)</f>
        <v>1870.2488465480699</v>
      </c>
      <c r="AB16" s="26">
        <f>INDEX(Comparison!$AM$3:$AS$33,AB14,$B$3)</f>
        <v>1361.6454434772222</v>
      </c>
      <c r="AC16" s="26">
        <f>INDEX(Comparison!$AM$3:$AS$33,AC14,$B$3)</f>
        <v>978.74851186182502</v>
      </c>
      <c r="AD16" s="26">
        <f>INDEX(Comparison!$AM$3:$AS$33,AD14,$B$3)</f>
        <v>750.04973579798059</v>
      </c>
      <c r="AE16" s="26">
        <f>INDEX(Comparison!$AM$3:$AS$33,AE14,$B$3)</f>
        <v>627.42168862186645</v>
      </c>
      <c r="AF16" s="26">
        <f>INDEX(Comparison!$AM$3:$AS$33,AF14,$B$3)</f>
        <v>570.28890979557161</v>
      </c>
      <c r="AG16" s="26">
        <f>INDEX(Comparison!$AM$3:$AS$33,AG14,$B$3)</f>
        <v>534.99091249150581</v>
      </c>
      <c r="AH16" s="26">
        <f>INDEX(Comparison!$AM$3:$AS$33,AH14,$B$3)</f>
        <v>516.06818092277001</v>
      </c>
      <c r="AI16" s="26">
        <f>INDEX(Comparison!$AM$3:$AS$33,AI14,$B$3)</f>
        <v>504.17354863560553</v>
      </c>
      <c r="AJ16" s="26">
        <f>INDEX(Comparison!$AM$3:$AS$33,AJ14,$B$3)</f>
        <v>480.31847035858652</v>
      </c>
    </row>
    <row r="17" spans="1:36" x14ac:dyDescent="0.25">
      <c r="A17" s="14" t="s">
        <v>20</v>
      </c>
      <c r="B17" s="105">
        <v>4.601953856208383E-2</v>
      </c>
      <c r="C17" s="18">
        <f t="shared" ref="C17:C48" si="3">ABS(B17/$B$49)</f>
        <v>3.3658776616425065E-2</v>
      </c>
      <c r="D17" s="66"/>
      <c r="E17" s="65" t="s">
        <v>22</v>
      </c>
      <c r="F17" s="27">
        <f>($C$17+SUM(F18:F48))*$B$51</f>
        <v>9751.6351392988254</v>
      </c>
      <c r="G17" s="27">
        <f t="shared" ref="G17:M17" si="4">($C$17+SUM(G18:G48))*$B$51</f>
        <v>9652.1391232032292</v>
      </c>
      <c r="H17" s="27">
        <f t="shared" si="4"/>
        <v>9281.7180256624815</v>
      </c>
      <c r="I17" s="27">
        <f t="shared" si="4"/>
        <v>9056.9976227104416</v>
      </c>
      <c r="J17" s="27">
        <f t="shared" si="4"/>
        <v>8765.299766757651</v>
      </c>
      <c r="K17" s="27">
        <f t="shared" si="4"/>
        <v>8497.7161098855486</v>
      </c>
      <c r="L17" s="27">
        <f t="shared" si="4"/>
        <v>8229.0711647126773</v>
      </c>
      <c r="M17" s="27">
        <f t="shared" si="4"/>
        <v>7907.4163512592058</v>
      </c>
      <c r="N17" s="27">
        <f t="shared" ref="N17" si="5">($C$17+SUM(N18:N48))*$B$51</f>
        <v>7533.935348244443</v>
      </c>
      <c r="O17" s="27">
        <f t="shared" ref="O17" si="6">($C$17+SUM(O18:O48))*$B$51</f>
        <v>7168.9320785628051</v>
      </c>
      <c r="P17" s="27">
        <f t="shared" ref="P17" si="7">($C$17+SUM(P18:P48))*$B$51</f>
        <v>6864.1655361567664</v>
      </c>
      <c r="Q17" s="27">
        <f t="shared" ref="Q17" si="8">($C$17+SUM(Q18:Q48))*$B$51</f>
        <v>6583.7344307840567</v>
      </c>
      <c r="R17" s="27">
        <f t="shared" ref="R17" si="9">($C$17+SUM(R18:R48))*$B$51</f>
        <v>6292.2129542161265</v>
      </c>
      <c r="S17" s="27">
        <f t="shared" ref="S17:T17" si="10">($C$17+SUM(S18:S48))*$B$51</f>
        <v>6010.8834707123797</v>
      </c>
      <c r="T17" s="27">
        <f t="shared" si="10"/>
        <v>5723.0554654011139</v>
      </c>
      <c r="U17" s="27">
        <f t="shared" ref="U17" si="11">($C$17+SUM(U18:U48))*$B$51</f>
        <v>5388.6597565887823</v>
      </c>
      <c r="V17" s="27">
        <f t="shared" ref="V17" si="12">($C$17+SUM(V18:V48))*$B$51</f>
        <v>4943.8744859160688</v>
      </c>
      <c r="W17" s="27">
        <f t="shared" ref="W17" si="13">($C$17+SUM(W18:W48))*$B$51</f>
        <v>4343.1402640345814</v>
      </c>
      <c r="X17" s="27">
        <f t="shared" ref="X17" si="14">($C$17+SUM(X18:X48))*$B$51</f>
        <v>3694.8057794181282</v>
      </c>
      <c r="Y17" s="27">
        <f t="shared" ref="Y17" si="15">($C$17+SUM(Y18:Y48))*$B$51</f>
        <v>3069.1194418123946</v>
      </c>
      <c r="Z17" s="27">
        <f t="shared" ref="Z17:AA17" si="16">($C$17+SUM(Z18:Z48))*$B$51</f>
        <v>2467.0432631801045</v>
      </c>
      <c r="AA17" s="27">
        <f t="shared" si="16"/>
        <v>1870.2751362086153</v>
      </c>
      <c r="AB17" s="27">
        <f t="shared" ref="AB17" si="17">($C$17+SUM(AB18:AB48))*$B$51</f>
        <v>1361.6484908850471</v>
      </c>
      <c r="AC17" s="27">
        <f t="shared" ref="AC17" si="18">($C$17+SUM(AC18:AC48))*$B$51</f>
        <v>978.74002337824174</v>
      </c>
      <c r="AD17" s="27">
        <f t="shared" ref="AD17" si="19">($C$17+SUM(AD18:AD48))*$B$51</f>
        <v>750.05401219655585</v>
      </c>
      <c r="AE17" s="27">
        <f t="shared" ref="AE17" si="20">($C$17+SUM(AE18:AE48))*$B$51</f>
        <v>627.42048415632428</v>
      </c>
      <c r="AF17" s="27">
        <f t="shared" ref="AF17" si="21">($C$17+SUM(AF18:AF48))*$B$51</f>
        <v>570.28826959871242</v>
      </c>
      <c r="AG17" s="27">
        <f t="shared" ref="AG17:AH17" si="22">($C$17+SUM(AG18:AG48))*$B$51</f>
        <v>534.98952613647634</v>
      </c>
      <c r="AH17" s="27">
        <f t="shared" si="22"/>
        <v>516.07524359775789</v>
      </c>
      <c r="AI17" s="27">
        <f t="shared" ref="AI17" si="23">($C$17+SUM(AI18:AI48))*$B$51</f>
        <v>504.1696364389806</v>
      </c>
      <c r="AJ17" s="27">
        <f t="shared" ref="AJ17" si="24">($C$17+SUM(AJ18:AJ48))*$B$51</f>
        <v>480.31732812659607</v>
      </c>
    </row>
    <row r="18" spans="1:36" x14ac:dyDescent="0.25">
      <c r="A18" s="3">
        <f>0.000000000000001/10^5</f>
        <v>1.0000000000000001E-20</v>
      </c>
      <c r="B18" s="106">
        <v>0.12750058894832669</v>
      </c>
      <c r="C18" s="18">
        <f t="shared" si="3"/>
        <v>9.3254169336895593E-2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6.0134228739084278E-2</v>
      </c>
      <c r="C19" s="18">
        <f t="shared" si="3"/>
        <v>4.3982287423400761E-2</v>
      </c>
      <c r="D19" s="17"/>
      <c r="F19" s="3">
        <f t="shared" si="25"/>
        <v>4.286996863504014E-2</v>
      </c>
      <c r="G19" s="3">
        <f t="shared" si="25"/>
        <v>3.4043276075282555E-2</v>
      </c>
      <c r="H19" s="3">
        <f t="shared" si="25"/>
        <v>3.3947918936612104E-3</v>
      </c>
      <c r="I19" s="3">
        <f t="shared" si="25"/>
        <v>3.3008915331826863E-13</v>
      </c>
      <c r="J19" s="3">
        <f t="shared" si="25"/>
        <v>2.4935163840907367E-113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2.3355742910775062E-2</v>
      </c>
      <c r="C20" s="18">
        <f t="shared" si="3"/>
        <v>1.708243406838789E-2</v>
      </c>
      <c r="D20" s="17"/>
      <c r="F20" s="3">
        <f t="shared" si="25"/>
        <v>1.7043006809595564E-2</v>
      </c>
      <c r="G20" s="3">
        <f t="shared" si="25"/>
        <v>1.6692231396928801E-2</v>
      </c>
      <c r="H20" s="3">
        <f t="shared" si="25"/>
        <v>1.3558017383757115E-2</v>
      </c>
      <c r="I20" s="3">
        <f t="shared" si="25"/>
        <v>1.6943927537356452E-3</v>
      </c>
      <c r="J20" s="3">
        <f t="shared" si="25"/>
        <v>1.574682771316563E-12</v>
      </c>
      <c r="K20" s="3">
        <f t="shared" si="25"/>
        <v>7.5680323543116637E-103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4.1986661605439311E-2</v>
      </c>
      <c r="C21" s="18">
        <f t="shared" si="3"/>
        <v>3.070912286398467E-2</v>
      </c>
      <c r="D21" s="17"/>
      <c r="F21" s="3">
        <f t="shared" si="25"/>
        <v>3.0702722314765344E-2</v>
      </c>
      <c r="G21" s="3">
        <f t="shared" si="25"/>
        <v>3.0645177369991911E-2</v>
      </c>
      <c r="H21" s="3">
        <f t="shared" si="25"/>
        <v>3.007562667925066E-2</v>
      </c>
      <c r="I21" s="3">
        <f t="shared" si="25"/>
        <v>2.4931025685429258E-2</v>
      </c>
      <c r="J21" s="3">
        <f t="shared" si="25"/>
        <v>3.819396568473305E-3</v>
      </c>
      <c r="K21" s="3">
        <f t="shared" si="25"/>
        <v>2.7198241633489858E-11</v>
      </c>
      <c r="L21" s="3">
        <f t="shared" si="25"/>
        <v>9.1201413654470445E-93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3.4493811000362279E-2</v>
      </c>
      <c r="C22" s="18">
        <f t="shared" si="3"/>
        <v>2.5228837910751249E-2</v>
      </c>
      <c r="D22" s="17"/>
      <c r="F22" s="3">
        <f t="shared" si="25"/>
        <v>2.5228363521492825E-2</v>
      </c>
      <c r="G22" s="3">
        <f t="shared" si="25"/>
        <v>2.522409441955387E-2</v>
      </c>
      <c r="H22" s="3">
        <f t="shared" si="25"/>
        <v>2.518144311257095E-2</v>
      </c>
      <c r="I22" s="3">
        <f t="shared" si="25"/>
        <v>2.4758876529211122E-2</v>
      </c>
      <c r="J22" s="3">
        <f t="shared" si="25"/>
        <v>2.0904227424999703E-2</v>
      </c>
      <c r="K22" s="3">
        <f t="shared" si="25"/>
        <v>3.8482740943436736E-3</v>
      </c>
      <c r="L22" s="3">
        <f t="shared" si="25"/>
        <v>1.720223012860284E-10</v>
      </c>
      <c r="M22" s="3">
        <f t="shared" si="25"/>
        <v>5.479895972078763E-84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3.4250474755789823E-2</v>
      </c>
      <c r="C23" s="18">
        <f t="shared" si="3"/>
        <v>2.5050861326138287E-2</v>
      </c>
      <c r="D23" s="17"/>
      <c r="F23" s="3">
        <f t="shared" si="25"/>
        <v>2.5050818833806016E-2</v>
      </c>
      <c r="G23" s="3">
        <f t="shared" si="25"/>
        <v>2.5050436406059029E-2</v>
      </c>
      <c r="H23" s="3">
        <f t="shared" si="25"/>
        <v>2.5046612449673912E-2</v>
      </c>
      <c r="I23" s="3">
        <f t="shared" si="25"/>
        <v>2.5008404976167513E-2</v>
      </c>
      <c r="J23" s="3">
        <f t="shared" si="25"/>
        <v>2.4629521223159215E-2</v>
      </c>
      <c r="K23" s="3">
        <f t="shared" si="25"/>
        <v>2.1142470361120755E-2</v>
      </c>
      <c r="L23" s="3">
        <f t="shared" si="25"/>
        <v>4.5936017307390362E-3</v>
      </c>
      <c r="M23" s="3">
        <f t="shared" si="25"/>
        <v>1.0767860540976713E-9</v>
      </c>
      <c r="N23" s="3">
        <f t="shared" si="25"/>
        <v>5.3937430846836995E-76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4.3546060260863786E-2</v>
      </c>
      <c r="C24" s="18">
        <f t="shared" si="3"/>
        <v>3.1849669958520968E-2</v>
      </c>
      <c r="D24" s="17"/>
      <c r="F24" s="3">
        <f t="shared" si="25"/>
        <v>3.1849665085034458E-2</v>
      </c>
      <c r="G24" s="3">
        <f t="shared" si="25"/>
        <v>3.1849621223689416E-2</v>
      </c>
      <c r="H24" s="3">
        <f t="shared" si="25"/>
        <v>3.1849182613561164E-2</v>
      </c>
      <c r="I24" s="3">
        <f t="shared" si="25"/>
        <v>3.1844796844477267E-2</v>
      </c>
      <c r="J24" s="3">
        <f t="shared" si="25"/>
        <v>3.1800972356576855E-2</v>
      </c>
      <c r="K24" s="3">
        <f t="shared" si="25"/>
        <v>3.1366030915313668E-2</v>
      </c>
      <c r="L24" s="3">
        <f t="shared" si="25"/>
        <v>2.7330730189172533E-2</v>
      </c>
      <c r="M24" s="3">
        <f t="shared" si="25"/>
        <v>6.8955342673349398E-3</v>
      </c>
      <c r="N24" s="3">
        <f t="shared" si="25"/>
        <v>7.2066724498942494E-9</v>
      </c>
      <c r="O24" s="3">
        <f t="shared" si="25"/>
        <v>1.120478189249428E-68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5.2339972293644725E-2</v>
      </c>
      <c r="C25" s="18">
        <f t="shared" si="3"/>
        <v>3.8281553674533245E-2</v>
      </c>
      <c r="D25" s="17"/>
      <c r="F25" s="3">
        <f t="shared" si="25"/>
        <v>3.8281553146123269E-2</v>
      </c>
      <c r="G25" s="3">
        <f t="shared" si="25"/>
        <v>3.8281548390433809E-2</v>
      </c>
      <c r="H25" s="3">
        <f t="shared" si="25"/>
        <v>3.8281500833571694E-2</v>
      </c>
      <c r="I25" s="3">
        <f t="shared" si="25"/>
        <v>3.8281025268199882E-2</v>
      </c>
      <c r="J25" s="3">
        <f t="shared" si="25"/>
        <v>3.8276269939402974E-2</v>
      </c>
      <c r="K25" s="3">
        <f t="shared" si="25"/>
        <v>3.8228749128619947E-2</v>
      </c>
      <c r="L25" s="3">
        <f t="shared" si="25"/>
        <v>3.7756773860791411E-2</v>
      </c>
      <c r="M25" s="3">
        <f t="shared" si="25"/>
        <v>3.3345926479357954E-2</v>
      </c>
      <c r="N25" s="3">
        <f t="shared" si="25"/>
        <v>9.6276852445650197E-3</v>
      </c>
      <c r="O25" s="3">
        <f t="shared" si="25"/>
        <v>3.8753669932867978E-8</v>
      </c>
      <c r="P25" s="3">
        <f t="shared" si="25"/>
        <v>4.3273533681963296E-62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4.9249047152237553E-2</v>
      </c>
      <c r="C26" s="18">
        <f t="shared" si="3"/>
        <v>3.602084524234498E-2</v>
      </c>
      <c r="D26" s="17"/>
      <c r="F26" s="3">
        <f t="shared" si="25"/>
        <v>3.6020845197492962E-2</v>
      </c>
      <c r="G26" s="3">
        <f t="shared" si="25"/>
        <v>3.6020844793824842E-2</v>
      </c>
      <c r="H26" s="3">
        <f t="shared" si="25"/>
        <v>3.6020840757143888E-2</v>
      </c>
      <c r="I26" s="3">
        <f t="shared" si="25"/>
        <v>3.602080039035916E-2</v>
      </c>
      <c r="J26" s="3">
        <f t="shared" si="25"/>
        <v>3.6020396724999931E-2</v>
      </c>
      <c r="K26" s="3">
        <f t="shared" si="25"/>
        <v>3.6016360320200398E-2</v>
      </c>
      <c r="L26" s="3">
        <f t="shared" si="25"/>
        <v>3.5976021141165639E-2</v>
      </c>
      <c r="M26" s="3">
        <f t="shared" si="25"/>
        <v>3.557510596602316E-2</v>
      </c>
      <c r="N26" s="3">
        <f t="shared" si="25"/>
        <v>3.1803647289900781E-2</v>
      </c>
      <c r="O26" s="3">
        <f t="shared" si="25"/>
        <v>1.0370129707228153E-2</v>
      </c>
      <c r="P26" s="3">
        <f t="shared" si="25"/>
        <v>1.4088241557646982E-7</v>
      </c>
      <c r="Q26" s="3">
        <f t="shared" si="25"/>
        <v>3.0170520261145203E-56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3.6827293268368942E-2</v>
      </c>
      <c r="C27" s="18">
        <f t="shared" si="3"/>
        <v>2.6935551208001413E-2</v>
      </c>
      <c r="D27" s="17"/>
      <c r="F27" s="3">
        <f t="shared" si="25"/>
        <v>2.6935551204975892E-2</v>
      </c>
      <c r="G27" s="3">
        <f t="shared" si="25"/>
        <v>2.6935551177746181E-2</v>
      </c>
      <c r="H27" s="3">
        <f t="shared" si="25"/>
        <v>2.6935550905449083E-2</v>
      </c>
      <c r="I27" s="3">
        <f t="shared" si="25"/>
        <v>2.6935548182478258E-2</v>
      </c>
      <c r="J27" s="3">
        <f t="shared" si="25"/>
        <v>2.6935520952785157E-2</v>
      </c>
      <c r="K27" s="3">
        <f t="shared" si="25"/>
        <v>2.6935248657368151E-2</v>
      </c>
      <c r="L27" s="3">
        <f t="shared" si="25"/>
        <v>2.6932525854590723E-2</v>
      </c>
      <c r="M27" s="3">
        <f t="shared" si="25"/>
        <v>2.6905312960420681E-2</v>
      </c>
      <c r="N27" s="3">
        <f t="shared" si="25"/>
        <v>2.6634691733833975E-2</v>
      </c>
      <c r="O27" s="3">
        <f t="shared" si="25"/>
        <v>2.4073760780470396E-2</v>
      </c>
      <c r="P27" s="3">
        <f t="shared" si="25"/>
        <v>8.7600503089306746E-3</v>
      </c>
      <c r="Q27" s="3">
        <f t="shared" si="25"/>
        <v>3.5656047287980145E-7</v>
      </c>
      <c r="R27" s="3">
        <f t="shared" si="25"/>
        <v>4.4504012026849611E-51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3.7320207510621234E-2</v>
      </c>
      <c r="C28" s="18">
        <f t="shared" si="3"/>
        <v>2.7296069607129686E-2</v>
      </c>
      <c r="D28" s="17"/>
      <c r="F28" s="3">
        <f t="shared" si="25"/>
        <v>2.7296069606853109E-2</v>
      </c>
      <c r="G28" s="3">
        <f t="shared" si="25"/>
        <v>2.7296069604363885E-2</v>
      </c>
      <c r="H28" s="3">
        <f t="shared" si="25"/>
        <v>2.7296069579471647E-2</v>
      </c>
      <c r="I28" s="3">
        <f t="shared" si="25"/>
        <v>2.7296069330549323E-2</v>
      </c>
      <c r="J28" s="3">
        <f t="shared" si="25"/>
        <v>2.7296066841326173E-2</v>
      </c>
      <c r="K28" s="3">
        <f t="shared" si="25"/>
        <v>2.7296041949107168E-2</v>
      </c>
      <c r="L28" s="3">
        <f t="shared" si="25"/>
        <v>2.7295793028165604E-2</v>
      </c>
      <c r="M28" s="3">
        <f t="shared" si="25"/>
        <v>2.7293303943595804E-2</v>
      </c>
      <c r="N28" s="3">
        <f t="shared" si="25"/>
        <v>2.7268425578268179E-2</v>
      </c>
      <c r="O28" s="3">
        <f t="shared" si="25"/>
        <v>2.7020885761209253E-2</v>
      </c>
      <c r="P28" s="3">
        <f t="shared" si="25"/>
        <v>2.466577473042611E-2</v>
      </c>
      <c r="Q28" s="3">
        <f t="shared" si="25"/>
        <v>9.9093816569499026E-3</v>
      </c>
      <c r="R28" s="3">
        <f t="shared" si="25"/>
        <v>1.0853367328863565E-6</v>
      </c>
      <c r="S28" s="3">
        <f t="shared" si="25"/>
        <v>2.6961494722328494E-46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4.0507991470544541E-2</v>
      </c>
      <c r="C29" s="18">
        <f t="shared" si="3"/>
        <v>2.9627620760423627E-2</v>
      </c>
      <c r="D29" s="17"/>
      <c r="F29" s="3">
        <f t="shared" si="25"/>
        <v>2.9627620760396545E-2</v>
      </c>
      <c r="G29" s="3">
        <f t="shared" si="25"/>
        <v>2.9627620760152816E-2</v>
      </c>
      <c r="H29" s="3">
        <f t="shared" si="25"/>
        <v>2.962762075771553E-2</v>
      </c>
      <c r="I29" s="3">
        <f t="shared" si="25"/>
        <v>2.9627620733342633E-2</v>
      </c>
      <c r="J29" s="3">
        <f t="shared" si="25"/>
        <v>2.962762048961369E-2</v>
      </c>
      <c r="K29" s="3">
        <f t="shared" si="25"/>
        <v>2.9627618052324379E-2</v>
      </c>
      <c r="L29" s="3">
        <f t="shared" si="25"/>
        <v>2.9627593679442264E-2</v>
      </c>
      <c r="M29" s="3">
        <f t="shared" si="25"/>
        <v>2.962734995172386E-2</v>
      </c>
      <c r="N29" s="3">
        <f t="shared" si="25"/>
        <v>2.9624912784811885E-2</v>
      </c>
      <c r="O29" s="3">
        <f t="shared" si="25"/>
        <v>2.9600552139541207E-2</v>
      </c>
      <c r="P29" s="3">
        <f t="shared" si="25"/>
        <v>2.9358044723700735E-2</v>
      </c>
      <c r="Q29" s="3">
        <f t="shared" si="25"/>
        <v>2.7039601373988947E-2</v>
      </c>
      <c r="R29" s="3">
        <f t="shared" si="25"/>
        <v>1.1877686424232278E-2</v>
      </c>
      <c r="S29" s="3">
        <f t="shared" si="25"/>
        <v>3.1772220126140045E-6</v>
      </c>
      <c r="T29" s="3">
        <f t="shared" si="25"/>
        <v>5.9594287982858846E-42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3.4304631611060024E-2</v>
      </c>
      <c r="C30" s="18">
        <f t="shared" si="3"/>
        <v>2.509047175142164E-2</v>
      </c>
      <c r="D30" s="17"/>
      <c r="F30" s="3">
        <f t="shared" si="25"/>
        <v>2.5090471751419569E-2</v>
      </c>
      <c r="G30" s="3">
        <f t="shared" si="25"/>
        <v>2.5090471751400951E-2</v>
      </c>
      <c r="H30" s="3">
        <f t="shared" si="25"/>
        <v>2.509047175121476E-2</v>
      </c>
      <c r="I30" s="3">
        <f t="shared" si="25"/>
        <v>2.5090471749352819E-2</v>
      </c>
      <c r="J30" s="3">
        <f t="shared" si="25"/>
        <v>2.5090471730733414E-2</v>
      </c>
      <c r="K30" s="3">
        <f t="shared" si="25"/>
        <v>2.5090471544539389E-2</v>
      </c>
      <c r="L30" s="3">
        <f t="shared" si="25"/>
        <v>2.5090469682599193E-2</v>
      </c>
      <c r="M30" s="3">
        <f t="shared" si="25"/>
        <v>2.5090451063204837E-2</v>
      </c>
      <c r="N30" s="3">
        <f t="shared" si="25"/>
        <v>2.5090264870021237E-2</v>
      </c>
      <c r="O30" s="3">
        <f t="shared" si="25"/>
        <v>2.5088403014177991E-2</v>
      </c>
      <c r="P30" s="3">
        <f t="shared" si="25"/>
        <v>2.5069792052933439E-2</v>
      </c>
      <c r="Q30" s="3">
        <f t="shared" si="25"/>
        <v>2.4884440077427732E-2</v>
      </c>
      <c r="R30" s="3">
        <f t="shared" si="25"/>
        <v>2.3104644395411367E-2</v>
      </c>
      <c r="S30" s="3">
        <f t="shared" si="25"/>
        <v>1.1000525791043511E-2</v>
      </c>
      <c r="T30" s="3">
        <f t="shared" si="25"/>
        <v>6.5849880750743759E-6</v>
      </c>
      <c r="U30" s="3">
        <f t="shared" si="25"/>
        <v>3.8901870626175374E-38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4.0822604835286741E-2</v>
      </c>
      <c r="C31" s="18">
        <f t="shared" si="3"/>
        <v>2.9857729564103035E-2</v>
      </c>
      <c r="D31" s="17"/>
      <c r="F31" s="3">
        <f t="shared" si="25"/>
        <v>2.9857729564102813E-2</v>
      </c>
      <c r="G31" s="3">
        <f t="shared" si="25"/>
        <v>2.9857729564100814E-2</v>
      </c>
      <c r="H31" s="3">
        <f t="shared" si="25"/>
        <v>2.9857729564080827E-2</v>
      </c>
      <c r="I31" s="3">
        <f t="shared" si="25"/>
        <v>2.9857729563880952E-2</v>
      </c>
      <c r="J31" s="3">
        <f t="shared" si="25"/>
        <v>2.9857729561882193E-2</v>
      </c>
      <c r="K31" s="3">
        <f t="shared" si="25"/>
        <v>2.9857729541894609E-2</v>
      </c>
      <c r="L31" s="3">
        <f t="shared" si="25"/>
        <v>2.9857729342018774E-2</v>
      </c>
      <c r="M31" s="3">
        <f t="shared" si="25"/>
        <v>2.9857727343260504E-2</v>
      </c>
      <c r="N31" s="3">
        <f t="shared" si="25"/>
        <v>2.9857707355685173E-2</v>
      </c>
      <c r="O31" s="3">
        <f t="shared" si="25"/>
        <v>2.9857507480667754E-2</v>
      </c>
      <c r="P31" s="3">
        <f t="shared" si="25"/>
        <v>2.9855508804082848E-2</v>
      </c>
      <c r="Q31" s="3">
        <f t="shared" si="25"/>
        <v>2.9835529395339174E-2</v>
      </c>
      <c r="R31" s="3">
        <f t="shared" si="25"/>
        <v>2.9636469199430127E-2</v>
      </c>
      <c r="S31" s="3">
        <f t="shared" si="25"/>
        <v>2.7717470721913683E-2</v>
      </c>
      <c r="T31" s="3">
        <f t="shared" si="25"/>
        <v>1.4191390599223452E-2</v>
      </c>
      <c r="U31" s="3">
        <f t="shared" si="25"/>
        <v>1.7568655017845982E-5</v>
      </c>
      <c r="V31" s="3">
        <f t="shared" si="26"/>
        <v>1.4855050385715407E-34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4.4068358032626785E-2</v>
      </c>
      <c r="C32" s="18">
        <f t="shared" si="3"/>
        <v>3.2231679526116067E-2</v>
      </c>
      <c r="D32" s="17"/>
      <c r="F32" s="3">
        <f t="shared" si="25"/>
        <v>3.2231679526116046E-2</v>
      </c>
      <c r="G32" s="3">
        <f t="shared" si="25"/>
        <v>3.2231679526115851E-2</v>
      </c>
      <c r="H32" s="3">
        <f t="shared" si="25"/>
        <v>3.2231679526113909E-2</v>
      </c>
      <c r="I32" s="3">
        <f t="shared" si="25"/>
        <v>3.2231679526094438E-2</v>
      </c>
      <c r="J32" s="3">
        <f t="shared" si="25"/>
        <v>3.2231679525899802E-2</v>
      </c>
      <c r="K32" s="3">
        <f t="shared" si="25"/>
        <v>3.2231679523953394E-2</v>
      </c>
      <c r="L32" s="3">
        <f t="shared" si="25"/>
        <v>3.2231679504489352E-2</v>
      </c>
      <c r="M32" s="3">
        <f t="shared" si="25"/>
        <v>3.223167930984893E-2</v>
      </c>
      <c r="N32" s="3">
        <f t="shared" si="25"/>
        <v>3.2231677363444781E-2</v>
      </c>
      <c r="O32" s="3">
        <f t="shared" si="25"/>
        <v>3.2231657899409724E-2</v>
      </c>
      <c r="P32" s="3">
        <f t="shared" si="25"/>
        <v>3.2231463259705627E-2</v>
      </c>
      <c r="Q32" s="3">
        <f t="shared" si="25"/>
        <v>3.2229516927309687E-2</v>
      </c>
      <c r="R32" s="3">
        <f t="shared" si="25"/>
        <v>3.2210060066407739E-2</v>
      </c>
      <c r="S32" s="3">
        <f t="shared" si="25"/>
        <v>3.2016136321387487E-2</v>
      </c>
      <c r="T32" s="3">
        <f t="shared" si="25"/>
        <v>3.0139967395450246E-2</v>
      </c>
      <c r="U32" s="3">
        <f t="shared" si="25"/>
        <v>1.6477121916447519E-2</v>
      </c>
      <c r="V32" s="3">
        <f t="shared" si="26"/>
        <v>3.9288651659008311E-5</v>
      </c>
      <c r="W32" s="3">
        <f t="shared" si="26"/>
        <v>2.3341288106891281E-31</v>
      </c>
      <c r="X32" s="3">
        <f t="shared" si="26"/>
        <v>1.2785030424441861E-293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7.4495329246456576E-2</v>
      </c>
      <c r="C33" s="18">
        <f t="shared" si="3"/>
        <v>5.4486023207095342E-2</v>
      </c>
      <c r="D33" s="17"/>
      <c r="F33" s="3">
        <f t="shared" si="25"/>
        <v>5.4486023207095335E-2</v>
      </c>
      <c r="G33" s="3">
        <f t="shared" si="25"/>
        <v>5.4486023207095315E-2</v>
      </c>
      <c r="H33" s="3">
        <f t="shared" si="25"/>
        <v>5.4486023207095009E-2</v>
      </c>
      <c r="I33" s="3">
        <f t="shared" si="25"/>
        <v>5.4486023207092046E-2</v>
      </c>
      <c r="J33" s="3">
        <f t="shared" si="25"/>
        <v>5.4486023207062362E-2</v>
      </c>
      <c r="K33" s="3">
        <f t="shared" si="25"/>
        <v>5.4486023206765551E-2</v>
      </c>
      <c r="L33" s="3">
        <f t="shared" si="25"/>
        <v>5.4486023203797432E-2</v>
      </c>
      <c r="M33" s="3">
        <f t="shared" si="25"/>
        <v>5.4486023174116202E-2</v>
      </c>
      <c r="N33" s="3">
        <f t="shared" si="25"/>
        <v>5.4486022877303968E-2</v>
      </c>
      <c r="O33" s="3">
        <f t="shared" si="25"/>
        <v>5.4486019909181685E-2</v>
      </c>
      <c r="P33" s="3">
        <f t="shared" si="25"/>
        <v>5.4485990227967733E-2</v>
      </c>
      <c r="Q33" s="3">
        <f t="shared" si="25"/>
        <v>5.4485693416717482E-2</v>
      </c>
      <c r="R33" s="3">
        <f t="shared" si="25"/>
        <v>5.4482725393141571E-2</v>
      </c>
      <c r="S33" s="3">
        <f t="shared" si="25"/>
        <v>5.4453054048245714E-2</v>
      </c>
      <c r="T33" s="3">
        <f t="shared" si="25"/>
        <v>5.4157227896200061E-2</v>
      </c>
      <c r="U33" s="3">
        <f t="shared" ref="P33:AE48" si="27">$C33*EXP(-U$15/$A33)</f>
        <v>5.1285933416375828E-2</v>
      </c>
      <c r="V33" s="3">
        <f t="shared" si="27"/>
        <v>2.9745182820933594E-2</v>
      </c>
      <c r="W33" s="3">
        <f t="shared" si="27"/>
        <v>1.281151313307883E-4</v>
      </c>
      <c r="X33" s="3">
        <f t="shared" si="27"/>
        <v>2.8147398506591194E-28</v>
      </c>
      <c r="Y33" s="3">
        <f t="shared" si="27"/>
        <v>7.3759271560982151E-265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8.6188545847171644E-2</v>
      </c>
      <c r="C34" s="18">
        <f t="shared" si="3"/>
        <v>6.3038463709295806E-2</v>
      </c>
      <c r="D34" s="17"/>
      <c r="F34" s="3">
        <f t="shared" ref="F34:O48" si="28">$C34*EXP(-F$15/$A34)</f>
        <v>6.3038463709295806E-2</v>
      </c>
      <c r="G34" s="3">
        <f t="shared" si="28"/>
        <v>6.3038463709295806E-2</v>
      </c>
      <c r="H34" s="3">
        <f t="shared" si="28"/>
        <v>6.3038463709295764E-2</v>
      </c>
      <c r="I34" s="3">
        <f t="shared" si="28"/>
        <v>6.3038463709295459E-2</v>
      </c>
      <c r="J34" s="3">
        <f t="shared" si="28"/>
        <v>6.3038463709292364E-2</v>
      </c>
      <c r="K34" s="3">
        <f t="shared" si="28"/>
        <v>6.3038463709261389E-2</v>
      </c>
      <c r="L34" s="3">
        <f t="shared" si="28"/>
        <v>6.3038463708951609E-2</v>
      </c>
      <c r="M34" s="3">
        <f t="shared" si="28"/>
        <v>6.3038463705853837E-2</v>
      </c>
      <c r="N34" s="3">
        <f t="shared" si="28"/>
        <v>6.3038463674876158E-2</v>
      </c>
      <c r="O34" s="3">
        <f t="shared" si="28"/>
        <v>6.3038463365099343E-2</v>
      </c>
      <c r="P34" s="3">
        <f t="shared" si="27"/>
        <v>6.3038460267331342E-2</v>
      </c>
      <c r="Q34" s="3">
        <f t="shared" si="27"/>
        <v>6.3038429289659539E-2</v>
      </c>
      <c r="R34" s="3">
        <f t="shared" si="27"/>
        <v>6.3038119513778884E-2</v>
      </c>
      <c r="S34" s="3">
        <f t="shared" si="27"/>
        <v>6.3035021838695568E-2</v>
      </c>
      <c r="T34" s="3">
        <f t="shared" si="27"/>
        <v>6.300405345866586E-2</v>
      </c>
      <c r="U34" s="3">
        <f t="shared" si="27"/>
        <v>6.26952052187187E-2</v>
      </c>
      <c r="V34" s="3">
        <f t="shared" si="27"/>
        <v>5.9688779389479509E-2</v>
      </c>
      <c r="W34" s="3">
        <f t="shared" si="27"/>
        <v>3.6515427833597805E-2</v>
      </c>
      <c r="X34" s="3">
        <f t="shared" si="27"/>
        <v>2.6811020780079248E-4</v>
      </c>
      <c r="Y34" s="3">
        <f t="shared" si="27"/>
        <v>1.2209079103767335E-25</v>
      </c>
      <c r="Z34" s="3">
        <f t="shared" si="27"/>
        <v>4.6814295352958089E-239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8.5937765026305291E-2</v>
      </c>
      <c r="C35" s="18">
        <f t="shared" si="3"/>
        <v>6.2855042147651141E-2</v>
      </c>
      <c r="D35" s="17"/>
      <c r="F35" s="3">
        <f t="shared" si="28"/>
        <v>6.2855042147651141E-2</v>
      </c>
      <c r="G35" s="3">
        <f t="shared" si="28"/>
        <v>6.2855042147651141E-2</v>
      </c>
      <c r="H35" s="3">
        <f t="shared" si="28"/>
        <v>6.2855042147651141E-2</v>
      </c>
      <c r="I35" s="3">
        <f t="shared" si="28"/>
        <v>6.2855042147651113E-2</v>
      </c>
      <c r="J35" s="3">
        <f t="shared" si="28"/>
        <v>6.2855042147650836E-2</v>
      </c>
      <c r="K35" s="3">
        <f t="shared" si="28"/>
        <v>6.2855042147648046E-2</v>
      </c>
      <c r="L35" s="3">
        <f t="shared" si="28"/>
        <v>6.285504214762018E-2</v>
      </c>
      <c r="M35" s="3">
        <f t="shared" si="28"/>
        <v>6.2855042147341542E-2</v>
      </c>
      <c r="N35" s="3">
        <f t="shared" si="28"/>
        <v>6.2855042144555229E-2</v>
      </c>
      <c r="O35" s="3">
        <f t="shared" si="28"/>
        <v>6.28550421166921E-2</v>
      </c>
      <c r="P35" s="3">
        <f t="shared" si="27"/>
        <v>6.2855041838060732E-2</v>
      </c>
      <c r="Q35" s="3">
        <f t="shared" si="27"/>
        <v>6.2855039051747205E-2</v>
      </c>
      <c r="R35" s="3">
        <f t="shared" si="27"/>
        <v>6.2855011188618609E-2</v>
      </c>
      <c r="S35" s="3">
        <f t="shared" si="27"/>
        <v>6.2854732558012091E-2</v>
      </c>
      <c r="T35" s="3">
        <f t="shared" si="27"/>
        <v>6.2851946319878907E-2</v>
      </c>
      <c r="U35" s="3">
        <f t="shared" si="27"/>
        <v>6.2824090730636814E-2</v>
      </c>
      <c r="V35" s="3">
        <f t="shared" si="27"/>
        <v>6.2546212934487061E-2</v>
      </c>
      <c r="W35" s="3">
        <f t="shared" si="27"/>
        <v>5.9834145464613908E-2</v>
      </c>
      <c r="X35" s="3">
        <f t="shared" si="27"/>
        <v>3.8408719788707898E-2</v>
      </c>
      <c r="Y35" s="3">
        <f t="shared" si="27"/>
        <v>4.5628608088578172E-4</v>
      </c>
      <c r="Z35" s="3">
        <f t="shared" si="27"/>
        <v>2.5545306021300284E-23</v>
      </c>
      <c r="AA35" s="3">
        <f t="shared" si="27"/>
        <v>7.7276954752454704E-216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7.5438555131006918E-2</v>
      </c>
      <c r="C36" s="18">
        <f t="shared" si="3"/>
        <v>5.5175900384027046E-2</v>
      </c>
      <c r="D36" s="17"/>
      <c r="F36" s="3">
        <f t="shared" si="28"/>
        <v>5.5175900384027046E-2</v>
      </c>
      <c r="G36" s="3">
        <f t="shared" si="28"/>
        <v>5.5175900384027046E-2</v>
      </c>
      <c r="H36" s="3">
        <f t="shared" si="28"/>
        <v>5.5175900384027046E-2</v>
      </c>
      <c r="I36" s="3">
        <f t="shared" si="28"/>
        <v>5.5175900384027046E-2</v>
      </c>
      <c r="J36" s="3">
        <f t="shared" si="28"/>
        <v>5.5175900384027018E-2</v>
      </c>
      <c r="K36" s="3">
        <f t="shared" si="28"/>
        <v>5.5175900384026803E-2</v>
      </c>
      <c r="L36" s="3">
        <f t="shared" si="28"/>
        <v>5.5175900384024597E-2</v>
      </c>
      <c r="M36" s="3">
        <f t="shared" si="28"/>
        <v>5.5175900384002531E-2</v>
      </c>
      <c r="N36" s="3">
        <f t="shared" si="28"/>
        <v>5.5175900383781888E-2</v>
      </c>
      <c r="O36" s="3">
        <f t="shared" si="28"/>
        <v>5.5175900381575479E-2</v>
      </c>
      <c r="P36" s="3">
        <f t="shared" si="27"/>
        <v>5.51759003595114E-2</v>
      </c>
      <c r="Q36" s="3">
        <f t="shared" si="27"/>
        <v>5.5175900138870561E-2</v>
      </c>
      <c r="R36" s="3">
        <f t="shared" si="27"/>
        <v>5.5175897932462255E-2</v>
      </c>
      <c r="S36" s="3">
        <f t="shared" si="27"/>
        <v>5.5175875868384031E-2</v>
      </c>
      <c r="T36" s="3">
        <f t="shared" si="27"/>
        <v>5.5175655228087046E-2</v>
      </c>
      <c r="U36" s="3">
        <f t="shared" si="27"/>
        <v>5.5173448873643567E-2</v>
      </c>
      <c r="V36" s="3">
        <f t="shared" si="27"/>
        <v>5.5151390181129044E-2</v>
      </c>
      <c r="W36" s="3">
        <f t="shared" si="27"/>
        <v>5.4931287730897595E-2</v>
      </c>
      <c r="X36" s="3">
        <f t="shared" si="27"/>
        <v>5.2778001503764466E-2</v>
      </c>
      <c r="Y36" s="3">
        <f t="shared" si="27"/>
        <v>3.5382177069240114E-2</v>
      </c>
      <c r="Z36" s="3">
        <f t="shared" si="27"/>
        <v>6.4878478398821063E-4</v>
      </c>
      <c r="AA36" s="3">
        <f t="shared" si="27"/>
        <v>2.7878005386412394E-21</v>
      </c>
      <c r="AB36" s="3">
        <f t="shared" si="27"/>
        <v>5.9823541128625938E-195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9.1418260608882515E-2</v>
      </c>
      <c r="C37" s="18">
        <f t="shared" si="3"/>
        <v>6.6863486871893904E-2</v>
      </c>
      <c r="D37" s="17"/>
      <c r="F37" s="3">
        <f t="shared" si="28"/>
        <v>6.6863486871893904E-2</v>
      </c>
      <c r="G37" s="3">
        <f t="shared" si="28"/>
        <v>6.6863486871893904E-2</v>
      </c>
      <c r="H37" s="3">
        <f t="shared" si="28"/>
        <v>6.6863486871893904E-2</v>
      </c>
      <c r="I37" s="3">
        <f t="shared" si="28"/>
        <v>6.6863486871893904E-2</v>
      </c>
      <c r="J37" s="3">
        <f t="shared" si="28"/>
        <v>6.6863486871893904E-2</v>
      </c>
      <c r="K37" s="3">
        <f t="shared" si="28"/>
        <v>6.6863486871893876E-2</v>
      </c>
      <c r="L37" s="3">
        <f t="shared" si="28"/>
        <v>6.686348687189364E-2</v>
      </c>
      <c r="M37" s="3">
        <f t="shared" si="28"/>
        <v>6.6863486871891226E-2</v>
      </c>
      <c r="N37" s="3">
        <f t="shared" si="28"/>
        <v>6.6863486871867106E-2</v>
      </c>
      <c r="O37" s="3">
        <f t="shared" si="28"/>
        <v>6.686348687162591E-2</v>
      </c>
      <c r="P37" s="3">
        <f t="shared" si="27"/>
        <v>6.6863486869213937E-2</v>
      </c>
      <c r="Q37" s="3">
        <f t="shared" si="27"/>
        <v>6.686348684509423E-2</v>
      </c>
      <c r="R37" s="3">
        <f t="shared" si="27"/>
        <v>6.6863486603897127E-2</v>
      </c>
      <c r="S37" s="3">
        <f t="shared" si="27"/>
        <v>6.6863484191926198E-2</v>
      </c>
      <c r="T37" s="3">
        <f t="shared" si="27"/>
        <v>6.6863460072221756E-2</v>
      </c>
      <c r="U37" s="3">
        <f t="shared" si="27"/>
        <v>6.6863218875655772E-2</v>
      </c>
      <c r="V37" s="3">
        <f t="shared" si="27"/>
        <v>6.6860806957849211E-2</v>
      </c>
      <c r="W37" s="3">
        <f t="shared" si="27"/>
        <v>6.6836692564469322E-2</v>
      </c>
      <c r="X37" s="3">
        <f t="shared" si="27"/>
        <v>6.6596026461247848E-2</v>
      </c>
      <c r="Y37" s="3">
        <f t="shared" si="27"/>
        <v>6.4236516831668256E-2</v>
      </c>
      <c r="Z37" s="3">
        <f t="shared" si="27"/>
        <v>4.4783563533790871E-2</v>
      </c>
      <c r="AA37" s="3">
        <f t="shared" si="27"/>
        <v>1.2147454925816429E-3</v>
      </c>
      <c r="AB37" s="3">
        <f t="shared" si="27"/>
        <v>2.6190981525023365E-19</v>
      </c>
      <c r="AC37" s="3">
        <f t="shared" si="27"/>
        <v>5.6861269789485423E-176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3.4134094123888119E-2</v>
      </c>
      <c r="C38" s="18">
        <f t="shared" si="3"/>
        <v>2.4965740314193043E-2</v>
      </c>
      <c r="D38" s="17"/>
      <c r="F38" s="3">
        <f t="shared" si="28"/>
        <v>2.4965740314193043E-2</v>
      </c>
      <c r="G38" s="3">
        <f t="shared" si="28"/>
        <v>2.4965740314193043E-2</v>
      </c>
      <c r="H38" s="3">
        <f t="shared" si="28"/>
        <v>2.4965740314193043E-2</v>
      </c>
      <c r="I38" s="3">
        <f t="shared" si="28"/>
        <v>2.4965740314193043E-2</v>
      </c>
      <c r="J38" s="3">
        <f t="shared" si="28"/>
        <v>2.4965740314193043E-2</v>
      </c>
      <c r="K38" s="3">
        <f t="shared" si="28"/>
        <v>2.4965740314193043E-2</v>
      </c>
      <c r="L38" s="3">
        <f t="shared" si="28"/>
        <v>2.4965740314193036E-2</v>
      </c>
      <c r="M38" s="3">
        <f t="shared" si="28"/>
        <v>2.4965740314192953E-2</v>
      </c>
      <c r="N38" s="3">
        <f t="shared" si="28"/>
        <v>2.4965740314192141E-2</v>
      </c>
      <c r="O38" s="3">
        <f t="shared" si="28"/>
        <v>2.4965740314184016E-2</v>
      </c>
      <c r="P38" s="3">
        <f t="shared" si="27"/>
        <v>2.4965740314102775E-2</v>
      </c>
      <c r="Q38" s="3">
        <f t="shared" si="27"/>
        <v>2.4965740313290369E-2</v>
      </c>
      <c r="R38" s="3">
        <f t="shared" si="27"/>
        <v>2.4965740305166288E-2</v>
      </c>
      <c r="S38" s="3">
        <f t="shared" si="27"/>
        <v>2.4965740223925507E-2</v>
      </c>
      <c r="T38" s="3">
        <f t="shared" si="27"/>
        <v>2.4965739411517703E-2</v>
      </c>
      <c r="U38" s="3">
        <f t="shared" si="27"/>
        <v>2.4965731287441093E-2</v>
      </c>
      <c r="V38" s="3">
        <f t="shared" si="27"/>
        <v>2.4965650046820401E-2</v>
      </c>
      <c r="W38" s="3">
        <f t="shared" si="27"/>
        <v>2.4964837655153348E-2</v>
      </c>
      <c r="X38" s="3">
        <f t="shared" si="27"/>
        <v>2.4956715192295122E-2</v>
      </c>
      <c r="Y38" s="3">
        <f t="shared" si="27"/>
        <v>2.4875635770052997E-2</v>
      </c>
      <c r="Z38" s="3">
        <f t="shared" si="27"/>
        <v>2.40791888625768E-2</v>
      </c>
      <c r="AA38" s="3">
        <f t="shared" si="27"/>
        <v>1.7390757192909986E-2</v>
      </c>
      <c r="AB38" s="3">
        <f t="shared" si="27"/>
        <v>6.71560086771778E-4</v>
      </c>
      <c r="AC38" s="3">
        <f t="shared" si="27"/>
        <v>4.9516361657339169E-18</v>
      </c>
      <c r="AD38" s="3">
        <f t="shared" si="27"/>
        <v>2.3517287230991727E-159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6.8152825212884072E-2</v>
      </c>
      <c r="C39" s="18">
        <f t="shared" si="3"/>
        <v>4.9847103888797747E-2</v>
      </c>
      <c r="D39" s="17"/>
      <c r="F39" s="3">
        <f t="shared" si="28"/>
        <v>4.9847103888797747E-2</v>
      </c>
      <c r="G39" s="3">
        <f t="shared" si="28"/>
        <v>4.9847103888797747E-2</v>
      </c>
      <c r="H39" s="3">
        <f t="shared" si="28"/>
        <v>4.9847103888797747E-2</v>
      </c>
      <c r="I39" s="3">
        <f t="shared" si="28"/>
        <v>4.9847103888797747E-2</v>
      </c>
      <c r="J39" s="3">
        <f t="shared" si="28"/>
        <v>4.9847103888797747E-2</v>
      </c>
      <c r="K39" s="3">
        <f t="shared" si="28"/>
        <v>4.9847103888797747E-2</v>
      </c>
      <c r="L39" s="3">
        <f t="shared" si="28"/>
        <v>4.9847103888797741E-2</v>
      </c>
      <c r="M39" s="3">
        <f t="shared" si="28"/>
        <v>4.9847103888797699E-2</v>
      </c>
      <c r="N39" s="3">
        <f t="shared" si="28"/>
        <v>4.9847103888797248E-2</v>
      </c>
      <c r="O39" s="3">
        <f t="shared" si="28"/>
        <v>4.9847103888792758E-2</v>
      </c>
      <c r="P39" s="3">
        <f t="shared" si="27"/>
        <v>4.9847103888747898E-2</v>
      </c>
      <c r="Q39" s="3">
        <f t="shared" si="27"/>
        <v>4.9847103888299278E-2</v>
      </c>
      <c r="R39" s="3">
        <f t="shared" si="27"/>
        <v>4.9847103883813033E-2</v>
      </c>
      <c r="S39" s="3">
        <f t="shared" si="27"/>
        <v>4.9847103838950642E-2</v>
      </c>
      <c r="T39" s="3">
        <f t="shared" si="27"/>
        <v>4.9847103390326712E-2</v>
      </c>
      <c r="U39" s="3">
        <f t="shared" si="27"/>
        <v>4.984709890408761E-2</v>
      </c>
      <c r="V39" s="3">
        <f t="shared" si="27"/>
        <v>4.9847054041718783E-2</v>
      </c>
      <c r="W39" s="3">
        <f t="shared" si="27"/>
        <v>4.9846605420251204E-2</v>
      </c>
      <c r="X39" s="3">
        <f t="shared" si="27"/>
        <v>4.9842119427636077E-2</v>
      </c>
      <c r="Y39" s="3">
        <f t="shared" si="27"/>
        <v>4.979728170015512E-2</v>
      </c>
      <c r="Z39" s="3">
        <f t="shared" si="27"/>
        <v>4.9351116917981719E-2</v>
      </c>
      <c r="AA39" s="3">
        <f t="shared" si="27"/>
        <v>4.5103524779309991E-2</v>
      </c>
      <c r="AB39" s="3">
        <f t="shared" si="27"/>
        <v>1.8337724722625744E-2</v>
      </c>
      <c r="AC39" s="3">
        <f t="shared" si="27"/>
        <v>2.2630550154147035E-6</v>
      </c>
      <c r="AD39" s="3">
        <f t="shared" si="27"/>
        <v>1.854350136509313E-45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3.7759242465704029E-2</v>
      </c>
      <c r="C40" s="18">
        <f t="shared" si="3"/>
        <v>2.7617180594802851E-2</v>
      </c>
      <c r="D40" s="17"/>
      <c r="F40" s="3">
        <f t="shared" si="28"/>
        <v>2.7617180594802851E-2</v>
      </c>
      <c r="G40" s="3">
        <f t="shared" si="28"/>
        <v>2.7617180594802851E-2</v>
      </c>
      <c r="H40" s="3">
        <f t="shared" si="28"/>
        <v>2.7617180594802851E-2</v>
      </c>
      <c r="I40" s="3">
        <f t="shared" si="28"/>
        <v>2.7617180594802851E-2</v>
      </c>
      <c r="J40" s="3">
        <f t="shared" si="28"/>
        <v>2.7617180594802851E-2</v>
      </c>
      <c r="K40" s="3">
        <f t="shared" si="28"/>
        <v>2.7617180594802851E-2</v>
      </c>
      <c r="L40" s="3">
        <f t="shared" si="28"/>
        <v>2.7617180594802851E-2</v>
      </c>
      <c r="M40" s="3">
        <f t="shared" si="28"/>
        <v>2.7617180594802847E-2</v>
      </c>
      <c r="N40" s="3">
        <f t="shared" si="28"/>
        <v>2.7617180594802823E-2</v>
      </c>
      <c r="O40" s="3">
        <f t="shared" si="28"/>
        <v>2.7617180594802573E-2</v>
      </c>
      <c r="P40" s="3">
        <f t="shared" si="27"/>
        <v>2.7617180594800089E-2</v>
      </c>
      <c r="Q40" s="3">
        <f t="shared" si="27"/>
        <v>2.7617180594775234E-2</v>
      </c>
      <c r="R40" s="3">
        <f t="shared" si="27"/>
        <v>2.7617180594526679E-2</v>
      </c>
      <c r="S40" s="3">
        <f t="shared" si="27"/>
        <v>2.7617180592041133E-2</v>
      </c>
      <c r="T40" s="3">
        <f t="shared" si="27"/>
        <v>2.7617180567185672E-2</v>
      </c>
      <c r="U40" s="3">
        <f t="shared" si="27"/>
        <v>2.7617180318631047E-2</v>
      </c>
      <c r="V40" s="3">
        <f t="shared" si="27"/>
        <v>2.7617177833084931E-2</v>
      </c>
      <c r="W40" s="3">
        <f t="shared" si="27"/>
        <v>2.7617152977636065E-2</v>
      </c>
      <c r="X40" s="3">
        <f t="shared" si="27"/>
        <v>2.7616904424377756E-2</v>
      </c>
      <c r="Y40" s="3">
        <f t="shared" si="27"/>
        <v>2.761441901482467E-2</v>
      </c>
      <c r="Z40" s="3">
        <f t="shared" si="27"/>
        <v>2.7589577218196635E-2</v>
      </c>
      <c r="AA40" s="3">
        <f t="shared" si="27"/>
        <v>2.7342385056505315E-2</v>
      </c>
      <c r="AB40" s="3">
        <f t="shared" si="27"/>
        <v>2.4989058382834217E-2</v>
      </c>
      <c r="AC40" s="3">
        <f t="shared" si="27"/>
        <v>1.0159792963946875E-2</v>
      </c>
      <c r="AD40" s="3">
        <f t="shared" si="27"/>
        <v>1.2538180592419092E-6</v>
      </c>
      <c r="AE40" s="3">
        <f t="shared" si="27"/>
        <v>1.0273801005615491E-45</v>
      </c>
      <c r="AF40" s="3">
        <f t="shared" si="29"/>
        <v>0</v>
      </c>
      <c r="AG40" s="3">
        <f t="shared" si="29"/>
        <v>0</v>
      </c>
      <c r="AH40" s="3">
        <f t="shared" si="29"/>
        <v>0</v>
      </c>
      <c r="AI40" s="3">
        <f t="shared" si="29"/>
        <v>0</v>
      </c>
      <c r="AJ40" s="3">
        <f t="shared" si="29"/>
        <v>0</v>
      </c>
    </row>
    <row r="41" spans="1:36" x14ac:dyDescent="0.25">
      <c r="A41" s="3">
        <f t="shared" si="30"/>
        <v>1000000000</v>
      </c>
      <c r="B41" s="106">
        <v>2.654366094955439E-2</v>
      </c>
      <c r="C41" s="18">
        <f t="shared" si="3"/>
        <v>1.9414083287208013E-2</v>
      </c>
      <c r="D41" s="17"/>
      <c r="F41" s="3">
        <f t="shared" si="28"/>
        <v>1.9414083287208013E-2</v>
      </c>
      <c r="G41" s="3">
        <f t="shared" si="28"/>
        <v>1.9414083287208013E-2</v>
      </c>
      <c r="H41" s="3">
        <f t="shared" si="28"/>
        <v>1.9414083287208013E-2</v>
      </c>
      <c r="I41" s="3">
        <f t="shared" si="28"/>
        <v>1.9414083287208013E-2</v>
      </c>
      <c r="J41" s="3">
        <f t="shared" si="28"/>
        <v>1.9414083287208013E-2</v>
      </c>
      <c r="K41" s="3">
        <f t="shared" si="28"/>
        <v>1.9414083287208013E-2</v>
      </c>
      <c r="L41" s="3">
        <f t="shared" si="28"/>
        <v>1.9414083287208013E-2</v>
      </c>
      <c r="M41" s="3">
        <f t="shared" si="28"/>
        <v>1.9414083287208013E-2</v>
      </c>
      <c r="N41" s="3">
        <f t="shared" si="28"/>
        <v>1.9414083287208009E-2</v>
      </c>
      <c r="O41" s="3">
        <f t="shared" si="28"/>
        <v>1.9414083287207992E-2</v>
      </c>
      <c r="P41" s="3">
        <f t="shared" si="27"/>
        <v>1.9414083287207819E-2</v>
      </c>
      <c r="Q41" s="3">
        <f t="shared" si="27"/>
        <v>1.941408328720607E-2</v>
      </c>
      <c r="R41" s="3">
        <f t="shared" si="27"/>
        <v>1.9414083287188598E-2</v>
      </c>
      <c r="S41" s="3">
        <f t="shared" si="27"/>
        <v>1.9414083287013873E-2</v>
      </c>
      <c r="T41" s="3">
        <f t="shared" si="27"/>
        <v>1.9414083285266604E-2</v>
      </c>
      <c r="U41" s="3">
        <f t="shared" si="27"/>
        <v>1.9414083267793932E-2</v>
      </c>
      <c r="V41" s="3">
        <f t="shared" si="27"/>
        <v>1.9414083093067181E-2</v>
      </c>
      <c r="W41" s="3">
        <f t="shared" si="27"/>
        <v>1.9414081345799781E-2</v>
      </c>
      <c r="X41" s="3">
        <f t="shared" si="27"/>
        <v>1.9414063873134432E-2</v>
      </c>
      <c r="Y41" s="3">
        <f t="shared" si="27"/>
        <v>1.9413889147345841E-2</v>
      </c>
      <c r="Z41" s="3">
        <f t="shared" si="27"/>
        <v>1.9412141975946474E-2</v>
      </c>
      <c r="AA41" s="3">
        <f t="shared" si="27"/>
        <v>1.9394678907727576E-2</v>
      </c>
      <c r="AB41" s="3">
        <f t="shared" si="27"/>
        <v>1.9220909930892795E-2</v>
      </c>
      <c r="AC41" s="3">
        <f t="shared" si="27"/>
        <v>1.7566588995132373E-2</v>
      </c>
      <c r="AD41" s="3">
        <f t="shared" si="27"/>
        <v>7.1420421105539223E-3</v>
      </c>
      <c r="AE41" s="3">
        <f t="shared" si="27"/>
        <v>8.8139801764227485E-7</v>
      </c>
      <c r="AF41" s="3">
        <f t="shared" si="29"/>
        <v>7.2221864833210156E-46</v>
      </c>
      <c r="AG41" s="3">
        <f t="shared" si="29"/>
        <v>0</v>
      </c>
      <c r="AH41" s="3">
        <f t="shared" si="29"/>
        <v>0</v>
      </c>
      <c r="AI41" s="3">
        <f t="shared" si="29"/>
        <v>0</v>
      </c>
      <c r="AJ41" s="3">
        <f t="shared" si="29"/>
        <v>0</v>
      </c>
    </row>
    <row r="42" spans="1:36" x14ac:dyDescent="0.25">
      <c r="A42" s="3">
        <f t="shared" si="30"/>
        <v>10000000000</v>
      </c>
      <c r="B42" s="106">
        <v>9.7635765851284331E-3</v>
      </c>
      <c r="C42" s="18">
        <f t="shared" si="3"/>
        <v>7.1410981840430545E-3</v>
      </c>
      <c r="D42" s="17"/>
      <c r="F42" s="3">
        <f t="shared" si="28"/>
        <v>7.1410981840430545E-3</v>
      </c>
      <c r="G42" s="3">
        <f t="shared" si="28"/>
        <v>7.1410981840430545E-3</v>
      </c>
      <c r="H42" s="3">
        <f t="shared" si="28"/>
        <v>7.1410981840430545E-3</v>
      </c>
      <c r="I42" s="3">
        <f t="shared" si="28"/>
        <v>7.1410981840430545E-3</v>
      </c>
      <c r="J42" s="3">
        <f t="shared" si="28"/>
        <v>7.1410981840430545E-3</v>
      </c>
      <c r="K42" s="3">
        <f t="shared" si="28"/>
        <v>7.1410981840430545E-3</v>
      </c>
      <c r="L42" s="3">
        <f t="shared" si="28"/>
        <v>7.1410981840430545E-3</v>
      </c>
      <c r="M42" s="3">
        <f t="shared" si="28"/>
        <v>7.1410981840430545E-3</v>
      </c>
      <c r="N42" s="3">
        <f t="shared" si="28"/>
        <v>7.1410981840430545E-3</v>
      </c>
      <c r="O42" s="3">
        <f t="shared" si="28"/>
        <v>7.1410981840430536E-3</v>
      </c>
      <c r="P42" s="3">
        <f t="shared" si="27"/>
        <v>7.1410981840430475E-3</v>
      </c>
      <c r="Q42" s="3">
        <f t="shared" si="27"/>
        <v>7.1410981840429833E-3</v>
      </c>
      <c r="R42" s="3">
        <f t="shared" si="27"/>
        <v>7.1410981840423398E-3</v>
      </c>
      <c r="S42" s="3">
        <f t="shared" si="27"/>
        <v>7.1410981840359135E-3</v>
      </c>
      <c r="T42" s="3">
        <f t="shared" si="27"/>
        <v>7.1410981839716437E-3</v>
      </c>
      <c r="U42" s="3">
        <f t="shared" si="27"/>
        <v>7.1410981833289443E-3</v>
      </c>
      <c r="V42" s="3">
        <f t="shared" si="27"/>
        <v>7.1410981769019569E-3</v>
      </c>
      <c r="W42" s="3">
        <f t="shared" si="27"/>
        <v>7.1410981126320732E-3</v>
      </c>
      <c r="X42" s="3">
        <f t="shared" si="27"/>
        <v>7.1410974699332719E-3</v>
      </c>
      <c r="Y42" s="3">
        <f t="shared" si="27"/>
        <v>7.1410910429484413E-3</v>
      </c>
      <c r="Z42" s="3">
        <f t="shared" si="27"/>
        <v>7.1410267734182678E-3</v>
      </c>
      <c r="AA42" s="3">
        <f t="shared" si="27"/>
        <v>7.140384109928951E-3</v>
      </c>
      <c r="AB42" s="3">
        <f t="shared" si="27"/>
        <v>7.1339606552182182E-3</v>
      </c>
      <c r="AC42" s="3">
        <f t="shared" si="27"/>
        <v>7.0700430698983126E-3</v>
      </c>
      <c r="AD42" s="3">
        <f t="shared" si="27"/>
        <v>6.4615328427907971E-3</v>
      </c>
      <c r="AE42" s="3">
        <f t="shared" si="27"/>
        <v>2.6270632092961605E-3</v>
      </c>
      <c r="AF42" s="3">
        <f t="shared" si="29"/>
        <v>3.2420535598256283E-7</v>
      </c>
      <c r="AG42" s="3">
        <f t="shared" si="29"/>
        <v>2.6565427796864585E-46</v>
      </c>
      <c r="AH42" s="3">
        <f t="shared" si="29"/>
        <v>0</v>
      </c>
      <c r="AI42" s="3">
        <f t="shared" si="29"/>
        <v>0</v>
      </c>
      <c r="AJ42" s="3">
        <f t="shared" si="29"/>
        <v>0</v>
      </c>
    </row>
    <row r="43" spans="1:36" x14ac:dyDescent="0.25">
      <c r="A43" s="3">
        <f t="shared" si="30"/>
        <v>100000000000</v>
      </c>
      <c r="B43" s="106">
        <v>6.1815287374972884E-3</v>
      </c>
      <c r="C43" s="18">
        <f t="shared" si="3"/>
        <v>4.5211816855299626E-3</v>
      </c>
      <c r="D43" s="17"/>
      <c r="F43" s="3">
        <f t="shared" si="28"/>
        <v>4.5211816855299626E-3</v>
      </c>
      <c r="G43" s="3">
        <f t="shared" si="28"/>
        <v>4.5211816855299626E-3</v>
      </c>
      <c r="H43" s="3">
        <f t="shared" si="28"/>
        <v>4.5211816855299626E-3</v>
      </c>
      <c r="I43" s="3">
        <f t="shared" si="28"/>
        <v>4.5211816855299626E-3</v>
      </c>
      <c r="J43" s="3">
        <f t="shared" si="28"/>
        <v>4.5211816855299626E-3</v>
      </c>
      <c r="K43" s="3">
        <f t="shared" si="28"/>
        <v>4.5211816855299626E-3</v>
      </c>
      <c r="L43" s="3">
        <f t="shared" si="28"/>
        <v>4.5211816855299626E-3</v>
      </c>
      <c r="M43" s="3">
        <f t="shared" si="28"/>
        <v>4.5211816855299626E-3</v>
      </c>
      <c r="N43" s="3">
        <f t="shared" si="28"/>
        <v>4.5211816855299626E-3</v>
      </c>
      <c r="O43" s="3">
        <f t="shared" si="28"/>
        <v>4.5211816855299626E-3</v>
      </c>
      <c r="P43" s="3">
        <f t="shared" si="27"/>
        <v>4.5211816855299618E-3</v>
      </c>
      <c r="Q43" s="3">
        <f t="shared" si="27"/>
        <v>4.5211816855299583E-3</v>
      </c>
      <c r="R43" s="3">
        <f t="shared" si="27"/>
        <v>4.5211816855299175E-3</v>
      </c>
      <c r="S43" s="3">
        <f t="shared" si="27"/>
        <v>4.5211816855295107E-3</v>
      </c>
      <c r="T43" s="3">
        <f t="shared" si="27"/>
        <v>4.521181685525442E-3</v>
      </c>
      <c r="U43" s="3">
        <f t="shared" si="27"/>
        <v>4.5211816854847505E-3</v>
      </c>
      <c r="V43" s="3">
        <f t="shared" si="27"/>
        <v>4.5211816850778443E-3</v>
      </c>
      <c r="W43" s="3">
        <f t="shared" si="27"/>
        <v>4.5211816810087815E-3</v>
      </c>
      <c r="X43" s="3">
        <f t="shared" si="27"/>
        <v>4.5211816403181457E-3</v>
      </c>
      <c r="Y43" s="3">
        <f t="shared" si="27"/>
        <v>4.5211812334118168E-3</v>
      </c>
      <c r="Z43" s="3">
        <f t="shared" si="27"/>
        <v>4.5211771643505379E-3</v>
      </c>
      <c r="AA43" s="3">
        <f t="shared" si="27"/>
        <v>4.5211364739391659E-3</v>
      </c>
      <c r="AB43" s="3">
        <f t="shared" si="27"/>
        <v>4.5207295899665646E-3</v>
      </c>
      <c r="AC43" s="3">
        <f t="shared" si="27"/>
        <v>4.5166627636819339E-3</v>
      </c>
      <c r="AD43" s="3">
        <f t="shared" si="27"/>
        <v>4.4761951761087227E-3</v>
      </c>
      <c r="AE43" s="3">
        <f t="shared" si="27"/>
        <v>4.0909343628063987E-3</v>
      </c>
      <c r="AF43" s="3">
        <f t="shared" si="29"/>
        <v>1.6632497919073224E-3</v>
      </c>
      <c r="AG43" s="3">
        <f t="shared" si="29"/>
        <v>2.0526133096649319E-7</v>
      </c>
      <c r="AH43" s="3">
        <f t="shared" si="29"/>
        <v>1.6819139371565404E-46</v>
      </c>
      <c r="AI43" s="3">
        <f t="shared" si="29"/>
        <v>0</v>
      </c>
      <c r="AJ43" s="3">
        <f t="shared" si="29"/>
        <v>0</v>
      </c>
    </row>
    <row r="44" spans="1:36" x14ac:dyDescent="0.25">
      <c r="A44" s="3">
        <f t="shared" si="30"/>
        <v>1000000000000</v>
      </c>
      <c r="B44" s="106">
        <v>3.8311053529391267E-3</v>
      </c>
      <c r="C44" s="18">
        <f t="shared" si="3"/>
        <v>2.8020776239336834E-3</v>
      </c>
      <c r="D44" s="17"/>
      <c r="F44" s="3">
        <f t="shared" si="28"/>
        <v>2.8020776239336834E-3</v>
      </c>
      <c r="G44" s="3">
        <f t="shared" si="28"/>
        <v>2.8020776239336834E-3</v>
      </c>
      <c r="H44" s="3">
        <f t="shared" si="28"/>
        <v>2.8020776239336834E-3</v>
      </c>
      <c r="I44" s="3">
        <f t="shared" si="28"/>
        <v>2.8020776239336834E-3</v>
      </c>
      <c r="J44" s="3">
        <f t="shared" si="28"/>
        <v>2.8020776239336834E-3</v>
      </c>
      <c r="K44" s="3">
        <f t="shared" si="28"/>
        <v>2.8020776239336834E-3</v>
      </c>
      <c r="L44" s="3">
        <f t="shared" si="28"/>
        <v>2.8020776239336834E-3</v>
      </c>
      <c r="M44" s="3">
        <f t="shared" si="28"/>
        <v>2.8020776239336834E-3</v>
      </c>
      <c r="N44" s="3">
        <f t="shared" si="28"/>
        <v>2.8020776239336834E-3</v>
      </c>
      <c r="O44" s="3">
        <f t="shared" si="28"/>
        <v>2.8020776239336834E-3</v>
      </c>
      <c r="P44" s="3">
        <f t="shared" si="27"/>
        <v>2.8020776239336834E-3</v>
      </c>
      <c r="Q44" s="3">
        <f t="shared" si="27"/>
        <v>2.802077623933683E-3</v>
      </c>
      <c r="R44" s="3">
        <f t="shared" si="27"/>
        <v>2.8020776239336808E-3</v>
      </c>
      <c r="S44" s="3">
        <f t="shared" si="27"/>
        <v>2.8020776239336552E-3</v>
      </c>
      <c r="T44" s="3">
        <f t="shared" si="27"/>
        <v>2.8020776239334032E-3</v>
      </c>
      <c r="U44" s="3">
        <f t="shared" si="27"/>
        <v>2.8020776239308814E-3</v>
      </c>
      <c r="V44" s="3">
        <f t="shared" si="27"/>
        <v>2.8020776239056624E-3</v>
      </c>
      <c r="W44" s="3">
        <f t="shared" si="27"/>
        <v>2.8020776236534757E-3</v>
      </c>
      <c r="X44" s="3">
        <f t="shared" si="27"/>
        <v>2.8020776211316058E-3</v>
      </c>
      <c r="Y44" s="3">
        <f t="shared" si="27"/>
        <v>2.8020775959129072E-3</v>
      </c>
      <c r="Z44" s="3">
        <f t="shared" si="27"/>
        <v>2.8020773437259353E-3</v>
      </c>
      <c r="AA44" s="3">
        <f t="shared" si="27"/>
        <v>2.8020748218574604E-3</v>
      </c>
      <c r="AB44" s="3">
        <f t="shared" si="27"/>
        <v>2.8020496032975474E-3</v>
      </c>
      <c r="AC44" s="3">
        <f t="shared" si="27"/>
        <v>2.8017974301812114E-3</v>
      </c>
      <c r="AD44" s="3">
        <f t="shared" si="27"/>
        <v>2.7992769468816654E-3</v>
      </c>
      <c r="AE44" s="3">
        <f t="shared" si="27"/>
        <v>2.7741964857278074E-3</v>
      </c>
      <c r="AF44" s="3">
        <f t="shared" si="29"/>
        <v>2.5354246823764905E-3</v>
      </c>
      <c r="AG44" s="3">
        <f t="shared" si="29"/>
        <v>1.0308267504117263E-3</v>
      </c>
      <c r="AH44" s="3">
        <f t="shared" si="29"/>
        <v>1.2721412731561967E-7</v>
      </c>
      <c r="AI44" s="3">
        <f t="shared" si="29"/>
        <v>1.0423941651741242E-46</v>
      </c>
      <c r="AJ44" s="3">
        <f t="shared" si="29"/>
        <v>0</v>
      </c>
    </row>
    <row r="45" spans="1:36" x14ac:dyDescent="0.25">
      <c r="A45" s="3">
        <f t="shared" si="30"/>
        <v>10000000000000</v>
      </c>
      <c r="B45" s="106">
        <v>1.6119253585582594E-3</v>
      </c>
      <c r="C45" s="18">
        <f t="shared" si="3"/>
        <v>1.1789652234967252E-3</v>
      </c>
      <c r="D45" s="17"/>
      <c r="F45" s="3">
        <f t="shared" si="28"/>
        <v>1.1789652234967252E-3</v>
      </c>
      <c r="G45" s="3">
        <f t="shared" si="28"/>
        <v>1.1789652234967252E-3</v>
      </c>
      <c r="H45" s="3">
        <f t="shared" si="28"/>
        <v>1.1789652234967252E-3</v>
      </c>
      <c r="I45" s="3">
        <f t="shared" si="28"/>
        <v>1.1789652234967252E-3</v>
      </c>
      <c r="J45" s="3">
        <f t="shared" si="28"/>
        <v>1.1789652234967252E-3</v>
      </c>
      <c r="K45" s="3">
        <f t="shared" si="28"/>
        <v>1.1789652234967252E-3</v>
      </c>
      <c r="L45" s="3">
        <f t="shared" si="28"/>
        <v>1.1789652234967252E-3</v>
      </c>
      <c r="M45" s="3">
        <f t="shared" si="28"/>
        <v>1.1789652234967252E-3</v>
      </c>
      <c r="N45" s="3">
        <f t="shared" si="28"/>
        <v>1.1789652234967252E-3</v>
      </c>
      <c r="O45" s="3">
        <f t="shared" si="28"/>
        <v>1.1789652234967252E-3</v>
      </c>
      <c r="P45" s="3">
        <f t="shared" si="27"/>
        <v>1.1789652234967252E-3</v>
      </c>
      <c r="Q45" s="3">
        <f t="shared" si="27"/>
        <v>1.1789652234967252E-3</v>
      </c>
      <c r="R45" s="3">
        <f t="shared" si="27"/>
        <v>1.178965223496725E-3</v>
      </c>
      <c r="S45" s="3">
        <f t="shared" si="27"/>
        <v>1.1789652234967241E-3</v>
      </c>
      <c r="T45" s="3">
        <f t="shared" si="27"/>
        <v>1.1789652234967135E-3</v>
      </c>
      <c r="U45" s="3">
        <f t="shared" si="27"/>
        <v>1.1789652234966072E-3</v>
      </c>
      <c r="V45" s="3">
        <f t="shared" si="27"/>
        <v>1.1789652234955462E-3</v>
      </c>
      <c r="W45" s="3">
        <f t="shared" si="27"/>
        <v>1.1789652234849356E-3</v>
      </c>
      <c r="X45" s="3">
        <f t="shared" si="27"/>
        <v>1.1789652233788286E-3</v>
      </c>
      <c r="Y45" s="3">
        <f t="shared" si="27"/>
        <v>1.17896522231776E-3</v>
      </c>
      <c r="Z45" s="3">
        <f t="shared" si="27"/>
        <v>1.178965211707073E-3</v>
      </c>
      <c r="AA45" s="3">
        <f t="shared" si="27"/>
        <v>1.1789651056002088E-3</v>
      </c>
      <c r="AB45" s="3">
        <f t="shared" si="27"/>
        <v>1.1789640445320911E-3</v>
      </c>
      <c r="AC45" s="3">
        <f t="shared" si="27"/>
        <v>1.1789534339034383E-3</v>
      </c>
      <c r="AD45" s="3">
        <f t="shared" si="27"/>
        <v>1.1788473328690052E-3</v>
      </c>
      <c r="AE45" s="3">
        <f t="shared" si="27"/>
        <v>1.1777868475593952E-3</v>
      </c>
      <c r="AF45" s="3">
        <f t="shared" si="29"/>
        <v>1.1672343235189836E-3</v>
      </c>
      <c r="AG45" s="3">
        <f t="shared" si="29"/>
        <v>1.0667718487829647E-3</v>
      </c>
      <c r="AH45" s="3">
        <f t="shared" si="29"/>
        <v>4.3371706758053987E-4</v>
      </c>
      <c r="AI45" s="3">
        <f t="shared" si="29"/>
        <v>5.3524938339163584E-8</v>
      </c>
      <c r="AJ45" s="3">
        <f t="shared" si="29"/>
        <v>4.3858402044942027E-47</v>
      </c>
    </row>
    <row r="46" spans="1:36" x14ac:dyDescent="0.25">
      <c r="A46" s="3">
        <f t="shared" si="30"/>
        <v>100000000000000</v>
      </c>
      <c r="B46" s="106">
        <v>1.0636090859268961E-3</v>
      </c>
      <c r="C46" s="18">
        <f t="shared" si="3"/>
        <v>7.7792567568049035E-4</v>
      </c>
      <c r="D46" s="17"/>
      <c r="F46" s="3">
        <f t="shared" si="28"/>
        <v>7.7792567568049035E-4</v>
      </c>
      <c r="G46" s="3">
        <f t="shared" si="28"/>
        <v>7.7792567568049035E-4</v>
      </c>
      <c r="H46" s="3">
        <f t="shared" si="28"/>
        <v>7.7792567568049035E-4</v>
      </c>
      <c r="I46" s="3">
        <f t="shared" si="28"/>
        <v>7.7792567568049035E-4</v>
      </c>
      <c r="J46" s="3">
        <f t="shared" si="28"/>
        <v>7.7792567568049035E-4</v>
      </c>
      <c r="K46" s="3">
        <f t="shared" si="28"/>
        <v>7.7792567568049035E-4</v>
      </c>
      <c r="L46" s="3">
        <f t="shared" si="28"/>
        <v>7.7792567568049035E-4</v>
      </c>
      <c r="M46" s="3">
        <f t="shared" si="28"/>
        <v>7.7792567568049035E-4</v>
      </c>
      <c r="N46" s="3">
        <f t="shared" si="28"/>
        <v>7.7792567568049035E-4</v>
      </c>
      <c r="O46" s="3">
        <f t="shared" si="28"/>
        <v>7.7792567568049035E-4</v>
      </c>
      <c r="P46" s="3">
        <f t="shared" si="27"/>
        <v>7.7792567568049035E-4</v>
      </c>
      <c r="Q46" s="3">
        <f t="shared" si="27"/>
        <v>7.7792567568049035E-4</v>
      </c>
      <c r="R46" s="3">
        <f t="shared" si="27"/>
        <v>7.7792567568049035E-4</v>
      </c>
      <c r="S46" s="3">
        <f t="shared" si="27"/>
        <v>7.7792567568049024E-4</v>
      </c>
      <c r="T46" s="3">
        <f t="shared" si="27"/>
        <v>7.7792567568048959E-4</v>
      </c>
      <c r="U46" s="3">
        <f t="shared" si="27"/>
        <v>7.7792567568048254E-4</v>
      </c>
      <c r="V46" s="3">
        <f t="shared" si="27"/>
        <v>7.779256756804125E-4</v>
      </c>
      <c r="W46" s="3">
        <f t="shared" si="27"/>
        <v>7.7792567567971243E-4</v>
      </c>
      <c r="X46" s="3">
        <f t="shared" si="27"/>
        <v>7.7792567567271109E-4</v>
      </c>
      <c r="Y46" s="3">
        <f t="shared" si="27"/>
        <v>7.7792567560269776E-4</v>
      </c>
      <c r="Z46" s="3">
        <f t="shared" si="27"/>
        <v>7.7792567490256466E-4</v>
      </c>
      <c r="AA46" s="3">
        <f t="shared" si="27"/>
        <v>7.7792566790123362E-4</v>
      </c>
      <c r="AB46" s="3">
        <f t="shared" si="27"/>
        <v>7.7792559788792673E-4</v>
      </c>
      <c r="AC46" s="3">
        <f t="shared" si="27"/>
        <v>7.7792489775520366E-4</v>
      </c>
      <c r="AD46" s="3">
        <f t="shared" si="27"/>
        <v>7.7791789646262965E-4</v>
      </c>
      <c r="AE46" s="3">
        <f t="shared" si="27"/>
        <v>7.7784788700242108E-4</v>
      </c>
      <c r="AF46" s="3">
        <f t="shared" si="29"/>
        <v>7.7714813883802589E-4</v>
      </c>
      <c r="AG46" s="3">
        <f t="shared" si="29"/>
        <v>7.7018518587667869E-4</v>
      </c>
      <c r="AH46" s="3">
        <f t="shared" si="29"/>
        <v>7.0389625980661413E-4</v>
      </c>
      <c r="AI46" s="3">
        <f t="shared" si="29"/>
        <v>2.861828628422555E-4</v>
      </c>
      <c r="AJ46" s="3">
        <f t="shared" si="29"/>
        <v>3.5317771036327836E-8</v>
      </c>
    </row>
    <row r="47" spans="1:36" x14ac:dyDescent="0.25">
      <c r="A47" s="3">
        <f t="shared" si="30"/>
        <v>1000000000000000</v>
      </c>
      <c r="B47" s="106">
        <v>2.4443099274870936E-3</v>
      </c>
      <c r="C47" s="18">
        <f t="shared" si="3"/>
        <v>1.7877728547757263E-3</v>
      </c>
      <c r="D47" s="17"/>
      <c r="F47" s="3">
        <f t="shared" si="28"/>
        <v>1.7877728547757263E-3</v>
      </c>
      <c r="G47" s="3">
        <f t="shared" si="28"/>
        <v>1.7877728547757263E-3</v>
      </c>
      <c r="H47" s="3">
        <f t="shared" si="28"/>
        <v>1.7877728547757263E-3</v>
      </c>
      <c r="I47" s="3">
        <f t="shared" si="28"/>
        <v>1.7877728547757263E-3</v>
      </c>
      <c r="J47" s="3">
        <f t="shared" si="28"/>
        <v>1.7877728547757263E-3</v>
      </c>
      <c r="K47" s="3">
        <f t="shared" si="28"/>
        <v>1.7877728547757263E-3</v>
      </c>
      <c r="L47" s="3">
        <f t="shared" si="28"/>
        <v>1.7877728547757263E-3</v>
      </c>
      <c r="M47" s="3">
        <f t="shared" si="28"/>
        <v>1.7877728547757263E-3</v>
      </c>
      <c r="N47" s="3">
        <f t="shared" si="28"/>
        <v>1.7877728547757263E-3</v>
      </c>
      <c r="O47" s="3">
        <f t="shared" si="28"/>
        <v>1.7877728547757263E-3</v>
      </c>
      <c r="P47" s="3">
        <f t="shared" si="27"/>
        <v>1.7877728547757263E-3</v>
      </c>
      <c r="Q47" s="3">
        <f t="shared" si="27"/>
        <v>1.7877728547757263E-3</v>
      </c>
      <c r="R47" s="3">
        <f t="shared" si="27"/>
        <v>1.7877728547757263E-3</v>
      </c>
      <c r="S47" s="3">
        <f t="shared" si="27"/>
        <v>1.7877728547757263E-3</v>
      </c>
      <c r="T47" s="3">
        <f t="shared" si="27"/>
        <v>1.7877728547757261E-3</v>
      </c>
      <c r="U47" s="3">
        <f t="shared" si="27"/>
        <v>1.7877728547757246E-3</v>
      </c>
      <c r="V47" s="3">
        <f t="shared" si="27"/>
        <v>1.7877728547757085E-3</v>
      </c>
      <c r="W47" s="3">
        <f t="shared" si="27"/>
        <v>1.7877728547755474E-3</v>
      </c>
      <c r="X47" s="3">
        <f t="shared" si="27"/>
        <v>1.7877728547739387E-3</v>
      </c>
      <c r="Y47" s="3">
        <f t="shared" si="27"/>
        <v>1.7877728547578487E-3</v>
      </c>
      <c r="Z47" s="3">
        <f t="shared" si="27"/>
        <v>1.787772854596949E-3</v>
      </c>
      <c r="AA47" s="3">
        <f t="shared" si="27"/>
        <v>1.7877728529879535E-3</v>
      </c>
      <c r="AB47" s="3">
        <f t="shared" si="27"/>
        <v>1.7877728368979979E-3</v>
      </c>
      <c r="AC47" s="3">
        <f t="shared" si="27"/>
        <v>1.7877726759984499E-3</v>
      </c>
      <c r="AD47" s="3">
        <f t="shared" si="27"/>
        <v>1.7877710670037654E-3</v>
      </c>
      <c r="AE47" s="3">
        <f t="shared" si="27"/>
        <v>1.7877549771365669E-3</v>
      </c>
      <c r="AF47" s="3">
        <f t="shared" si="29"/>
        <v>1.787594086428815E-3</v>
      </c>
      <c r="AG47" s="3">
        <f t="shared" si="29"/>
        <v>1.7859859755094904E-3</v>
      </c>
      <c r="AH47" s="3">
        <f t="shared" si="29"/>
        <v>1.7699842176519835E-3</v>
      </c>
      <c r="AI47" s="3">
        <f t="shared" si="29"/>
        <v>1.6176437739500447E-3</v>
      </c>
      <c r="AJ47" s="3">
        <f t="shared" si="29"/>
        <v>6.576848787563683E-4</v>
      </c>
    </row>
    <row r="48" spans="1:36" x14ac:dyDescent="0.25">
      <c r="A48" s="3">
        <f t="shared" si="30"/>
        <v>1E+16</v>
      </c>
      <c r="B48" s="106">
        <v>1.554586330251229E-2</v>
      </c>
      <c r="C48" s="18">
        <f t="shared" si="3"/>
        <v>1.1370273508997292E-2</v>
      </c>
      <c r="D48" s="17"/>
      <c r="F48" s="3">
        <f t="shared" si="28"/>
        <v>1.1370273508997292E-2</v>
      </c>
      <c r="G48" s="3">
        <f t="shared" si="28"/>
        <v>1.1370273508997292E-2</v>
      </c>
      <c r="H48" s="3">
        <f t="shared" si="28"/>
        <v>1.1370273508997292E-2</v>
      </c>
      <c r="I48" s="3">
        <f t="shared" si="28"/>
        <v>1.1370273508997292E-2</v>
      </c>
      <c r="J48" s="3">
        <f t="shared" si="28"/>
        <v>1.1370273508997292E-2</v>
      </c>
      <c r="K48" s="3">
        <f t="shared" si="28"/>
        <v>1.1370273508997292E-2</v>
      </c>
      <c r="L48" s="3">
        <f t="shared" si="28"/>
        <v>1.1370273508997292E-2</v>
      </c>
      <c r="M48" s="3">
        <f t="shared" si="28"/>
        <v>1.1370273508997292E-2</v>
      </c>
      <c r="N48" s="3">
        <f t="shared" si="28"/>
        <v>1.1370273508997292E-2</v>
      </c>
      <c r="O48" s="3">
        <f t="shared" si="28"/>
        <v>1.1370273508997292E-2</v>
      </c>
      <c r="P48" s="3">
        <f t="shared" si="27"/>
        <v>1.1370273508997292E-2</v>
      </c>
      <c r="Q48" s="3">
        <f t="shared" si="27"/>
        <v>1.1370273508997292E-2</v>
      </c>
      <c r="R48" s="3">
        <f t="shared" si="27"/>
        <v>1.1370273508997292E-2</v>
      </c>
      <c r="S48" s="3">
        <f t="shared" si="27"/>
        <v>1.1370273508997292E-2</v>
      </c>
      <c r="T48" s="3">
        <f t="shared" si="27"/>
        <v>1.1370273508997292E-2</v>
      </c>
      <c r="U48" s="3">
        <f t="shared" si="27"/>
        <v>1.1370273508997291E-2</v>
      </c>
      <c r="V48" s="3">
        <f t="shared" si="27"/>
        <v>1.137027350899728E-2</v>
      </c>
      <c r="W48" s="3">
        <f t="shared" si="27"/>
        <v>1.137027350899718E-2</v>
      </c>
      <c r="X48" s="3">
        <f t="shared" si="27"/>
        <v>1.1370273508996154E-2</v>
      </c>
      <c r="Y48" s="3">
        <f t="shared" si="27"/>
        <v>1.1370273508985923E-2</v>
      </c>
      <c r="Z48" s="3">
        <f t="shared" si="27"/>
        <v>1.137027350888359E-2</v>
      </c>
      <c r="AA48" s="3">
        <f t="shared" si="27"/>
        <v>1.1370273507860264E-2</v>
      </c>
      <c r="AB48" s="3">
        <f t="shared" si="27"/>
        <v>1.137027349762702E-2</v>
      </c>
      <c r="AC48" s="3">
        <f t="shared" si="27"/>
        <v>1.1370273395294558E-2</v>
      </c>
      <c r="AD48" s="3">
        <f t="shared" si="27"/>
        <v>1.1370272371969999E-2</v>
      </c>
      <c r="AE48" s="3">
        <f t="shared" si="27"/>
        <v>1.1370262138729468E-2</v>
      </c>
      <c r="AF48" s="3">
        <f t="shared" si="29"/>
        <v>1.1370159806830715E-2</v>
      </c>
      <c r="AG48" s="3">
        <f t="shared" si="29"/>
        <v>1.1369136538495864E-2</v>
      </c>
      <c r="AH48" s="3">
        <f t="shared" si="29"/>
        <v>1.1358908918730478E-2</v>
      </c>
      <c r="AI48" s="3">
        <f t="shared" si="29"/>
        <v>1.1257137397265339E-2</v>
      </c>
      <c r="AJ48" s="3">
        <f t="shared" si="29"/>
        <v>1.0288248924243779E-2</v>
      </c>
    </row>
    <row r="49" spans="1:36" x14ac:dyDescent="0.25">
      <c r="B49" s="16">
        <f>SUM(B17:B48)</f>
        <v>1.3672374099190185</v>
      </c>
      <c r="C49" s="18">
        <f>SUM(C17:C48)</f>
        <v>1</v>
      </c>
      <c r="F49" s="3">
        <f t="shared" ref="F49:AJ49" si="31">F16-F17</f>
        <v>75.405354127769897</v>
      </c>
      <c r="G49" s="3">
        <f t="shared" si="31"/>
        <v>-97.525994648296546</v>
      </c>
      <c r="H49" s="3">
        <f t="shared" si="31"/>
        <v>25.80898525957673</v>
      </c>
      <c r="I49" s="3">
        <f t="shared" si="31"/>
        <v>-4.2074563042770023</v>
      </c>
      <c r="J49" s="3">
        <f t="shared" si="31"/>
        <v>0.597846005413885</v>
      </c>
      <c r="K49" s="3">
        <f t="shared" si="31"/>
        <v>-0.12003611289583205</v>
      </c>
      <c r="L49" s="3">
        <f t="shared" si="31"/>
        <v>0.1557472425083688</v>
      </c>
      <c r="M49" s="3">
        <f t="shared" si="31"/>
        <v>-0.41872839638108417</v>
      </c>
      <c r="N49" s="3">
        <f t="shared" si="31"/>
        <v>1.0152510047946635</v>
      </c>
      <c r="O49" s="3">
        <f t="shared" si="31"/>
        <v>-2.0689572570499877</v>
      </c>
      <c r="P49" s="3">
        <f t="shared" si="31"/>
        <v>3.5407120796307936</v>
      </c>
      <c r="Q49" s="3">
        <f t="shared" si="31"/>
        <v>-5.1145341902638393</v>
      </c>
      <c r="R49" s="3">
        <f t="shared" si="31"/>
        <v>6.2746479020634069</v>
      </c>
      <c r="S49" s="3">
        <f t="shared" si="31"/>
        <v>-6.5720663308757139</v>
      </c>
      <c r="T49" s="3">
        <f t="shared" si="31"/>
        <v>5.9008479711064865</v>
      </c>
      <c r="U49" s="3">
        <f t="shared" si="31"/>
        <v>-4.556275965864188</v>
      </c>
      <c r="V49" s="3">
        <f t="shared" si="31"/>
        <v>3.0329012215815965</v>
      </c>
      <c r="W49" s="3">
        <f t="shared" si="31"/>
        <v>-1.7452661551669735</v>
      </c>
      <c r="X49" s="3">
        <f t="shared" si="31"/>
        <v>0.86490498460352683</v>
      </c>
      <c r="Y49" s="3">
        <f t="shared" si="31"/>
        <v>-0.3634912754096149</v>
      </c>
      <c r="Z49" s="3">
        <f t="shared" si="31"/>
        <v>0.12200959927440636</v>
      </c>
      <c r="AA49" s="3">
        <f t="shared" si="31"/>
        <v>-2.6289660545444349E-2</v>
      </c>
      <c r="AB49" s="3">
        <f t="shared" si="31"/>
        <v>-3.0474078248516889E-3</v>
      </c>
      <c r="AC49" s="3">
        <f t="shared" si="31"/>
        <v>8.4884835832781391E-3</v>
      </c>
      <c r="AD49" s="3">
        <f t="shared" si="31"/>
        <v>-4.2763985752571898E-3</v>
      </c>
      <c r="AE49" s="3">
        <f t="shared" si="31"/>
        <v>1.2044655421732386E-3</v>
      </c>
      <c r="AF49" s="3">
        <f t="shared" si="31"/>
        <v>6.4019685919447511E-4</v>
      </c>
      <c r="AG49" s="3">
        <f t="shared" si="31"/>
        <v>1.3863550294672677E-3</v>
      </c>
      <c r="AH49" s="3">
        <f t="shared" si="31"/>
        <v>-7.0626749878783812E-3</v>
      </c>
      <c r="AI49" s="3">
        <f t="shared" si="31"/>
        <v>3.9121966249240359E-3</v>
      </c>
      <c r="AJ49" s="3">
        <f t="shared" si="31"/>
        <v>1.1422319904568212E-3</v>
      </c>
    </row>
    <row r="50" spans="1:36" x14ac:dyDescent="0.25">
      <c r="F50" s="57">
        <f t="shared" ref="F50:AJ50" si="32">F49/F17</f>
        <v>7.7325856690318899E-3</v>
      </c>
      <c r="G50" s="57">
        <f t="shared" si="32"/>
        <v>-1.0104080909261787E-2</v>
      </c>
      <c r="H50" s="57">
        <f t="shared" si="32"/>
        <v>2.7806258699325887E-3</v>
      </c>
      <c r="I50" s="57">
        <f t="shared" si="32"/>
        <v>-4.6455309800753355E-4</v>
      </c>
      <c r="J50" s="57">
        <f t="shared" si="32"/>
        <v>6.8205996522926977E-5</v>
      </c>
      <c r="K50" s="57">
        <f t="shared" si="32"/>
        <v>-1.4125691108484059E-5</v>
      </c>
      <c r="L50" s="57">
        <f t="shared" si="32"/>
        <v>1.892646683822995E-5</v>
      </c>
      <c r="M50" s="57">
        <f t="shared" si="32"/>
        <v>-5.2953882504796189E-5</v>
      </c>
      <c r="N50" s="57">
        <f t="shared" si="32"/>
        <v>1.347570635884521E-4</v>
      </c>
      <c r="O50" s="57">
        <f t="shared" si="32"/>
        <v>-2.8860048252329971E-4</v>
      </c>
      <c r="P50" s="57">
        <f t="shared" si="32"/>
        <v>5.1582556699429941E-4</v>
      </c>
      <c r="Q50" s="57">
        <f t="shared" si="32"/>
        <v>-7.7684393926180119E-4</v>
      </c>
      <c r="R50" s="57">
        <f t="shared" si="32"/>
        <v>9.9720844601406083E-4</v>
      </c>
      <c r="S50" s="57">
        <f t="shared" si="32"/>
        <v>-1.0933611278437952E-3</v>
      </c>
      <c r="T50" s="57">
        <f t="shared" si="32"/>
        <v>1.0310660112906858E-3</v>
      </c>
      <c r="U50" s="57">
        <f t="shared" si="32"/>
        <v>-8.4553046057383226E-4</v>
      </c>
      <c r="V50" s="57">
        <f t="shared" si="32"/>
        <v>6.1346646849988126E-4</v>
      </c>
      <c r="W50" s="57">
        <f t="shared" si="32"/>
        <v>-4.018442990707604E-4</v>
      </c>
      <c r="X50" s="57">
        <f t="shared" si="32"/>
        <v>2.3408672505100805E-4</v>
      </c>
      <c r="Y50" s="57">
        <f t="shared" si="32"/>
        <v>-1.1843503724800098E-4</v>
      </c>
      <c r="Z50" s="57">
        <f t="shared" si="32"/>
        <v>4.9455800429349483E-5</v>
      </c>
      <c r="AA50" s="57">
        <f t="shared" si="32"/>
        <v>-1.4056573835835847E-5</v>
      </c>
      <c r="AB50" s="57">
        <f t="shared" si="32"/>
        <v>-2.2380282762043298E-6</v>
      </c>
      <c r="AC50" s="57">
        <f t="shared" si="32"/>
        <v>8.672868566239984E-6</v>
      </c>
      <c r="AD50" s="57">
        <f t="shared" si="32"/>
        <v>-5.7014541695919037E-6</v>
      </c>
      <c r="AE50" s="57">
        <f t="shared" si="32"/>
        <v>1.9197102622380135E-6</v>
      </c>
      <c r="AF50" s="57">
        <f t="shared" si="32"/>
        <v>1.1225846529246594E-6</v>
      </c>
      <c r="AG50" s="57">
        <f t="shared" si="32"/>
        <v>2.5913685441266138E-6</v>
      </c>
      <c r="AH50" s="57">
        <f t="shared" si="32"/>
        <v>-1.3685359015948474E-5</v>
      </c>
      <c r="AI50" s="57">
        <f t="shared" si="32"/>
        <v>7.7596831347409527E-6</v>
      </c>
      <c r="AJ50" s="57">
        <f t="shared" si="32"/>
        <v>2.3780778322362877E-6</v>
      </c>
    </row>
    <row r="51" spans="1:36" x14ac:dyDescent="0.25">
      <c r="A51" s="13" t="s">
        <v>21</v>
      </c>
      <c r="B51" s="3">
        <f>STUTT!D8</f>
        <v>10768.300999999999</v>
      </c>
      <c r="E51" s="11" t="s">
        <v>24</v>
      </c>
      <c r="F51" s="20">
        <f t="shared" ref="F51:AJ51" si="33">(F16-F17)^2</f>
        <v>5685.9674311343842</v>
      </c>
      <c r="G51" s="20">
        <f t="shared" si="33"/>
        <v>9511.3196321395662</v>
      </c>
      <c r="H51" s="20">
        <f t="shared" si="33"/>
        <v>666.10372012904895</v>
      </c>
      <c r="I51" s="20">
        <f t="shared" si="33"/>
        <v>17.702688552400289</v>
      </c>
      <c r="J51" s="20">
        <f t="shared" si="33"/>
        <v>0.35741984618933903</v>
      </c>
      <c r="K51" s="20">
        <f t="shared" si="33"/>
        <v>1.4408668399140937E-2</v>
      </c>
      <c r="L51" s="20">
        <f t="shared" si="33"/>
        <v>2.4257203548960642E-2</v>
      </c>
      <c r="M51" s="20">
        <f t="shared" si="33"/>
        <v>0.17533346993587434</v>
      </c>
      <c r="N51" s="20">
        <f t="shared" si="33"/>
        <v>1.0307346027365738</v>
      </c>
      <c r="O51" s="20">
        <f t="shared" si="33"/>
        <v>4.2805841314998085</v>
      </c>
      <c r="P51" s="20">
        <f t="shared" si="33"/>
        <v>12.536642030843419</v>
      </c>
      <c r="Q51" s="20">
        <f t="shared" si="33"/>
        <v>26.158459983377785</v>
      </c>
      <c r="R51" s="20">
        <f t="shared" si="33"/>
        <v>39.371206294868713</v>
      </c>
      <c r="S51" s="20">
        <f t="shared" si="33"/>
        <v>43.192055857430169</v>
      </c>
      <c r="T51" s="20">
        <f t="shared" si="33"/>
        <v>34.820006778111541</v>
      </c>
      <c r="U51" s="20">
        <f t="shared" si="33"/>
        <v>20.75965067711164</v>
      </c>
      <c r="V51" s="20">
        <f t="shared" si="33"/>
        <v>9.1984898198711402</v>
      </c>
      <c r="W51" s="20">
        <f t="shared" si="33"/>
        <v>3.0459539523713102</v>
      </c>
      <c r="X51" s="20">
        <f t="shared" si="33"/>
        <v>0.74806063239202703</v>
      </c>
      <c r="Y51" s="20">
        <f t="shared" si="33"/>
        <v>0.1321259072989085</v>
      </c>
      <c r="Z51" s="20">
        <f t="shared" si="33"/>
        <v>1.488634231510122E-2</v>
      </c>
      <c r="AA51" s="20">
        <f t="shared" si="33"/>
        <v>6.9114625159469323E-4</v>
      </c>
      <c r="AB51" s="20">
        <f t="shared" si="33"/>
        <v>9.2866944509673027E-6</v>
      </c>
      <c r="AC51" s="20">
        <f t="shared" si="33"/>
        <v>7.2054353543582483E-5</v>
      </c>
      <c r="AD51" s="20">
        <f t="shared" si="33"/>
        <v>1.8287584774461723E-5</v>
      </c>
      <c r="AE51" s="20">
        <f t="shared" si="33"/>
        <v>1.4507372422826737E-6</v>
      </c>
      <c r="AF51" s="20">
        <f t="shared" si="33"/>
        <v>4.0985201852247056E-7</v>
      </c>
      <c r="AG51" s="20">
        <f t="shared" si="33"/>
        <v>1.9219802677291887E-6</v>
      </c>
      <c r="AH51" s="20">
        <f t="shared" si="33"/>
        <v>4.9881377984402891E-5</v>
      </c>
      <c r="AI51" s="20">
        <f t="shared" si="33"/>
        <v>1.5305282432067019E-5</v>
      </c>
      <c r="AJ51" s="20">
        <f t="shared" si="33"/>
        <v>1.3046939200229518E-6</v>
      </c>
    </row>
    <row r="52" spans="1:36" x14ac:dyDescent="0.25">
      <c r="A52" s="13"/>
    </row>
    <row r="53" spans="1:36" x14ac:dyDescent="0.25">
      <c r="E53" s="131" t="s">
        <v>25</v>
      </c>
      <c r="F53" s="131"/>
      <c r="G53" s="104">
        <f>SUM(F51:AJ51)</f>
        <v>16076.954609202512</v>
      </c>
      <c r="I53" s="3">
        <f>G53+C123</f>
        <v>16076.954609202512</v>
      </c>
      <c r="K53" s="3">
        <f>SUM(Z51:AJ51)</f>
        <v>1.574739112332995E-2</v>
      </c>
    </row>
    <row r="55" spans="1:36" x14ac:dyDescent="0.25">
      <c r="E55" s="30" t="s">
        <v>30</v>
      </c>
      <c r="F55" s="31">
        <f t="shared" ref="F55:AJ55" si="34">ABS(F17-F16)/F16</f>
        <v>7.6732515937233889E-3</v>
      </c>
      <c r="G55" s="31">
        <f t="shared" si="34"/>
        <v>1.0207215439925055E-2</v>
      </c>
      <c r="H55" s="31">
        <f t="shared" si="34"/>
        <v>2.7729154295540359E-3</v>
      </c>
      <c r="I55" s="31">
        <f t="shared" si="34"/>
        <v>4.6476900789000676E-4</v>
      </c>
      <c r="J55" s="31">
        <f t="shared" si="34"/>
        <v>6.8201344782241907E-5</v>
      </c>
      <c r="K55" s="31">
        <f t="shared" si="34"/>
        <v>1.4125890646451963E-5</v>
      </c>
      <c r="L55" s="31">
        <f t="shared" si="34"/>
        <v>1.8926108633862514E-5</v>
      </c>
      <c r="M55" s="31">
        <f t="shared" si="34"/>
        <v>5.2956686766965087E-5</v>
      </c>
      <c r="N55" s="31">
        <f t="shared" si="34"/>
        <v>1.3473890656905173E-4</v>
      </c>
      <c r="O55" s="31">
        <f t="shared" si="34"/>
        <v>2.886837968063547E-4</v>
      </c>
      <c r="P55" s="31">
        <f t="shared" si="34"/>
        <v>5.155596281567861E-4</v>
      </c>
      <c r="Q55" s="31">
        <f t="shared" si="34"/>
        <v>7.7744789494708271E-4</v>
      </c>
      <c r="R55" s="31">
        <f t="shared" si="34"/>
        <v>9.9621501199005842E-4</v>
      </c>
      <c r="S55" s="31">
        <f t="shared" si="34"/>
        <v>1.0945578748763603E-3</v>
      </c>
      <c r="T55" s="31">
        <f t="shared" si="34"/>
        <v>1.0300040091653423E-3</v>
      </c>
      <c r="U55" s="31">
        <f t="shared" si="34"/>
        <v>8.4624598733326097E-4</v>
      </c>
      <c r="V55" s="31">
        <f t="shared" si="34"/>
        <v>6.130903581230122E-4</v>
      </c>
      <c r="W55" s="31">
        <f t="shared" si="34"/>
        <v>4.0200584282689349E-4</v>
      </c>
      <c r="X55" s="31">
        <f t="shared" si="34"/>
        <v>2.3403194128031641E-4</v>
      </c>
      <c r="Y55" s="31">
        <f t="shared" si="34"/>
        <v>1.1844906576751714E-4</v>
      </c>
      <c r="Z55" s="31">
        <f t="shared" si="34"/>
        <v>4.9453354674110152E-5</v>
      </c>
      <c r="AA55" s="31">
        <f t="shared" si="34"/>
        <v>1.4056771425881289E-5</v>
      </c>
      <c r="AB55" s="31">
        <f t="shared" si="34"/>
        <v>2.2380332849861048E-6</v>
      </c>
      <c r="AC55" s="31">
        <f t="shared" si="34"/>
        <v>8.6727933482431715E-6</v>
      </c>
      <c r="AD55" s="31">
        <f t="shared" si="34"/>
        <v>5.7014866763568871E-6</v>
      </c>
      <c r="AE55" s="31">
        <f t="shared" si="34"/>
        <v>1.9197065769575972E-6</v>
      </c>
      <c r="AF55" s="31">
        <f t="shared" si="34"/>
        <v>1.1225833927297709E-6</v>
      </c>
      <c r="AG55" s="31">
        <f t="shared" si="34"/>
        <v>2.5913618289530839E-6</v>
      </c>
      <c r="AH55" s="31">
        <f t="shared" si="34"/>
        <v>1.3685546307563024E-5</v>
      </c>
      <c r="AI55" s="31">
        <f t="shared" si="34"/>
        <v>7.7596229225258289E-6</v>
      </c>
      <c r="AJ55" s="31">
        <f t="shared" si="34"/>
        <v>2.3780721769955602E-6</v>
      </c>
    </row>
    <row r="56" spans="1:36" x14ac:dyDescent="0.25">
      <c r="E56" s="13" t="s">
        <v>31</v>
      </c>
      <c r="F56" s="32">
        <f>AVERAGE(F55:AJ55)</f>
        <v>9.171926178186884E-4</v>
      </c>
    </row>
    <row r="57" spans="1:36" x14ac:dyDescent="0.25">
      <c r="A57" s="42"/>
      <c r="B57" s="15"/>
      <c r="C57" s="15"/>
      <c r="D57" s="15"/>
      <c r="F57" s="60">
        <f>AVERAGE(S55:X55)</f>
        <v>7.0332266893419768E-4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-11.391292098198942</v>
      </c>
    </row>
    <row r="119" spans="1:14" x14ac:dyDescent="0.25">
      <c r="L119" s="11">
        <f>L118+1</f>
        <v>2</v>
      </c>
      <c r="M119" s="11">
        <f t="shared" ref="M119:M124" si="35">INDEX($B$125:$K$126,1,L119)</f>
        <v>0</v>
      </c>
      <c r="N119" s="11">
        <f t="shared" ref="N119:N124" si="36">IF(L119=$B$3,0,INDEX($B$125:$K$126,2,L119))</f>
        <v>-7.5380298710792095</v>
      </c>
    </row>
    <row r="120" spans="1:14" x14ac:dyDescent="0.25">
      <c r="L120" s="11">
        <f t="shared" ref="L120:L124" si="37">L119+1</f>
        <v>3</v>
      </c>
      <c r="M120" s="11">
        <f t="shared" si="35"/>
        <v>25</v>
      </c>
      <c r="N120" s="11">
        <f t="shared" si="36"/>
        <v>-5.0223954311930123</v>
      </c>
    </row>
    <row r="121" spans="1:14" x14ac:dyDescent="0.25">
      <c r="A121" s="103">
        <f>(A165+A204+A243+A282+A321+A360+A399)*10^9</f>
        <v>6204662789493696</v>
      </c>
      <c r="L121" s="11">
        <f t="shared" si="37"/>
        <v>4</v>
      </c>
      <c r="M121" s="11">
        <f t="shared" si="35"/>
        <v>50</v>
      </c>
      <c r="N121" s="11">
        <f t="shared" si="36"/>
        <v>-2.8019459756969982</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5.6202735306509899</v>
      </c>
    </row>
    <row r="124" spans="1:14" x14ac:dyDescent="0.25">
      <c r="B124" s="3"/>
      <c r="C124" s="3"/>
      <c r="D124" s="3"/>
      <c r="E124" s="3"/>
      <c r="F124" s="3"/>
      <c r="G124" s="3"/>
      <c r="H124" s="3"/>
      <c r="I124" s="3"/>
      <c r="J124" s="3"/>
      <c r="K124" s="3"/>
      <c r="L124" s="11">
        <f t="shared" si="37"/>
        <v>7</v>
      </c>
      <c r="M124" s="11">
        <f t="shared" si="35"/>
        <v>160</v>
      </c>
      <c r="N124" s="11">
        <f t="shared" si="36"/>
        <v>11.285365554047905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-11.391292098198942</v>
      </c>
      <c r="C126" s="107">
        <v>-7.5380298710792095</v>
      </c>
      <c r="D126" s="107">
        <v>-5.0223954311930123</v>
      </c>
      <c r="E126" s="107">
        <v>-2.8019459756969982</v>
      </c>
      <c r="F126" s="107">
        <v>7.7523171230843612E-3</v>
      </c>
      <c r="G126" s="107">
        <v>5.6202735306509899</v>
      </c>
      <c r="H126" s="107">
        <v>11.285365554047905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10871.278895571992</v>
      </c>
      <c r="C130" s="26">
        <f>INDEX(Comparison!$AM$3:$AS$33,G14,$B$122)</f>
        <v>10785.751287884957</v>
      </c>
      <c r="D130" s="26">
        <f>INDEX(Comparison!$AM$3:$AS$33,H14,$B$122)</f>
        <v>10484.858187200372</v>
      </c>
      <c r="E130" s="26">
        <f>INDEX(Comparison!$AM$3:$AS$33,I14,$B$122)</f>
        <v>10280.433181032142</v>
      </c>
      <c r="F130" s="26">
        <f>INDEX(Comparison!$AM$3:$AS$33,J14,$B$122)</f>
        <v>10088.860550656809</v>
      </c>
      <c r="G130" s="26">
        <f>INDEX(Comparison!$AM$3:$AS$33,K14,$B$122)</f>
        <v>9877.8461517898249</v>
      </c>
      <c r="H130" s="26">
        <f>INDEX(Comparison!$AM$3:$AS$33,L14,$B$122)</f>
        <v>9655.619688733279</v>
      </c>
      <c r="I130" s="26">
        <f>INDEX(Comparison!$AM$3:$AS$33,M14,$B$122)</f>
        <v>9400.3699029441887</v>
      </c>
      <c r="J130" s="26">
        <f>INDEX(Comparison!$AM$3:$AS$33,N14,$B$122)</f>
        <v>9134.8429877609706</v>
      </c>
      <c r="K130" s="26">
        <f>INDEX(Comparison!$AM$3:$AS$33,O14,$B$122)</f>
        <v>8837.1618999065868</v>
      </c>
      <c r="L130" s="26">
        <f>INDEX(Comparison!$AM$3:$AS$33,P14,$B$122)</f>
        <v>8570.3120101913646</v>
      </c>
      <c r="M130" s="26">
        <f>INDEX(Comparison!$AM$3:$AS$33,Q14,$B$122)</f>
        <v>8285.4763038384153</v>
      </c>
      <c r="N130" s="26">
        <f>INDEX(Comparison!$AM$3:$AS$33,R14,$B$122)</f>
        <v>7936.5401145889446</v>
      </c>
      <c r="O130" s="26">
        <f>INDEX(Comparison!$AM$3:$AS$33,S14,$B$122)</f>
        <v>7548.1809664568409</v>
      </c>
      <c r="P130" s="26">
        <f>INDEX(Comparison!$AM$3:$AS$33,T14,$B$122)</f>
        <v>7185.7092224582611</v>
      </c>
      <c r="Q130" s="26">
        <f>INDEX(Comparison!$AM$3:$AS$33,U14,$B$122)</f>
        <v>6895.934147375373</v>
      </c>
      <c r="R130" s="26">
        <f>INDEX(Comparison!$AM$3:$AS$33,V14,$B$122)</f>
        <v>6598.4326641088546</v>
      </c>
      <c r="S130" s="26">
        <f>INDEX(Comparison!$AM$3:$AS$33,W14,$B$122)</f>
        <v>6312.5025678358661</v>
      </c>
      <c r="T130" s="26">
        <f>INDEX(Comparison!$AM$3:$AS$33,X14,$B$122)</f>
        <v>6009.4653543505283</v>
      </c>
      <c r="U130" s="26">
        <f>INDEX(Comparison!$AM$3:$AS$33,Y14,$B$122)</f>
        <v>5713.6024886963633</v>
      </c>
      <c r="V130" s="26">
        <f>INDEX(Comparison!$AM$3:$AS$33,Z14,$B$122)</f>
        <v>5266.353343720587</v>
      </c>
      <c r="W130" s="26">
        <f>INDEX(Comparison!$AM$3:$AS$33,AA14,$B$122)</f>
        <v>4669.585842690939</v>
      </c>
      <c r="X130" s="26">
        <f>INDEX(Comparison!$AM$3:$AS$33,AB14,$B$122)</f>
        <v>4015.1174909416081</v>
      </c>
      <c r="Y130" s="26">
        <f>INDEX(Comparison!$AM$3:$AS$33,AC14,$B$122)</f>
        <v>3410.9442700239138</v>
      </c>
      <c r="Z130" s="26">
        <f>INDEX(Comparison!$AM$3:$AS$33,AD14,$B$122)</f>
        <v>2824.662512551186</v>
      </c>
      <c r="AA130" s="26">
        <f>INDEX(Comparison!$AM$3:$AS$33,AE14,$B$122)</f>
        <v>2250.6025345256894</v>
      </c>
      <c r="AB130" s="26">
        <f>INDEX(Comparison!$AM$3:$AS$33,AF14,$B$122)</f>
        <v>1676.0321427337321</v>
      </c>
      <c r="AC130" s="26">
        <f>INDEX(Comparison!$AM$3:$AS$33,AG14,$B$122)</f>
        <v>1219.4001972501756</v>
      </c>
      <c r="AD130" s="26">
        <f>INDEX(Comparison!$AM$3:$AS$33,AH14,$B$122)</f>
        <v>880.27460100786607</v>
      </c>
      <c r="AE130" s="26">
        <f>INDEX(Comparison!$AM$3:$AS$33,AI14,$B$122)</f>
        <v>701.49257135601476</v>
      </c>
      <c r="AF130" s="26">
        <f>INDEX(Comparison!$AM$3:$AS$33,AJ14,$B$122)</f>
        <v>599.87140608085383</v>
      </c>
    </row>
    <row r="131" spans="1:33" x14ac:dyDescent="0.25">
      <c r="A131" s="68" t="s">
        <v>22</v>
      </c>
      <c r="B131" s="27">
        <f>($C$17+SUM(B132:B162))*$B$51</f>
        <v>10088.712498526722</v>
      </c>
      <c r="C131" s="27">
        <f t="shared" ref="C131:AF131" si="40">($C$17+SUM(C132:C162))*$B$51</f>
        <v>9764.123115588478</v>
      </c>
      <c r="D131" s="27">
        <f t="shared" si="40"/>
        <v>9764.0977700650947</v>
      </c>
      <c r="E131" s="27">
        <f t="shared" si="40"/>
        <v>9763.9694028639278</v>
      </c>
      <c r="F131" s="27">
        <f t="shared" si="40"/>
        <v>9762.6875003626883</v>
      </c>
      <c r="G131" s="27">
        <f t="shared" si="40"/>
        <v>9750.043738525399</v>
      </c>
      <c r="H131" s="27">
        <f t="shared" si="40"/>
        <v>9639.5600393407021</v>
      </c>
      <c r="I131" s="27">
        <f t="shared" si="40"/>
        <v>9266.1651251175354</v>
      </c>
      <c r="J131" s="27">
        <f t="shared" si="40"/>
        <v>9044.4284174666536</v>
      </c>
      <c r="K131" s="27">
        <f t="shared" si="40"/>
        <v>8749.5147159963781</v>
      </c>
      <c r="L131" s="27">
        <f t="shared" si="40"/>
        <v>8483.081290190059</v>
      </c>
      <c r="M131" s="27">
        <f t="shared" si="40"/>
        <v>8212.7672530072268</v>
      </c>
      <c r="N131" s="27">
        <f t="shared" si="40"/>
        <v>7887.0671114483648</v>
      </c>
      <c r="O131" s="27">
        <f t="shared" si="40"/>
        <v>7511.0541226147134</v>
      </c>
      <c r="P131" s="27">
        <f t="shared" si="40"/>
        <v>7148.1600383510267</v>
      </c>
      <c r="Q131" s="27">
        <f t="shared" si="40"/>
        <v>6847.5448895077252</v>
      </c>
      <c r="R131" s="27">
        <f t="shared" si="40"/>
        <v>6566.8825030841854</v>
      </c>
      <c r="S131" s="27">
        <f t="shared" si="40"/>
        <v>6274.9617256347992</v>
      </c>
      <c r="T131" s="27">
        <f t="shared" si="40"/>
        <v>5995.6691525004735</v>
      </c>
      <c r="U131" s="27">
        <f t="shared" si="40"/>
        <v>5705.6789337975997</v>
      </c>
      <c r="V131" s="27">
        <f t="shared" si="40"/>
        <v>5368.9638387639752</v>
      </c>
      <c r="W131" s="27">
        <f t="shared" si="40"/>
        <v>4914.5197530031992</v>
      </c>
      <c r="X131" s="27">
        <f t="shared" si="40"/>
        <v>4311.1095861771346</v>
      </c>
      <c r="Y131" s="27">
        <f t="shared" si="40"/>
        <v>3664.168358788856</v>
      </c>
      <c r="Z131" s="27">
        <f t="shared" si="40"/>
        <v>3041.7506721571172</v>
      </c>
      <c r="AA131" s="27">
        <f t="shared" si="40"/>
        <v>2437.6885629007256</v>
      </c>
      <c r="AB131" s="27">
        <f t="shared" si="40"/>
        <v>1849.7774638110768</v>
      </c>
      <c r="AC131" s="27">
        <f t="shared" si="40"/>
        <v>1331.2536382993335</v>
      </c>
      <c r="AD131" s="27">
        <f t="shared" si="40"/>
        <v>962.91298038222726</v>
      </c>
      <c r="AE131" s="27">
        <f t="shared" si="40"/>
        <v>739.75287788798755</v>
      </c>
      <c r="AF131" s="27">
        <f t="shared" si="40"/>
        <v>623.37493081663092</v>
      </c>
    </row>
    <row r="132" spans="1:33" x14ac:dyDescent="0.25">
      <c r="B132" s="3">
        <f t="shared" ref="B132:Z133" si="41">$C18*EXP(-B$129/$A18/EXP(-$B$126))</f>
        <v>3.0144087363777473E-2</v>
      </c>
      <c r="C132" s="3">
        <f t="shared" ref="C132:AF132" si="42">$C18*EXP(-C$129/$A18/EXP(-$B$126))</f>
        <v>1.1614675383731038E-6</v>
      </c>
      <c r="D132" s="3">
        <f t="shared" si="42"/>
        <v>8.3763813535525122E-51</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4.3982274699966212E-2</v>
      </c>
      <c r="C133" s="3">
        <f t="shared" si="41"/>
        <v>4.3982160189220895E-2</v>
      </c>
      <c r="D133" s="3">
        <f t="shared" si="41"/>
        <v>4.3981015098165106E-2</v>
      </c>
      <c r="E133" s="3">
        <f t="shared" si="41"/>
        <v>4.396956582718585E-2</v>
      </c>
      <c r="F133" s="3">
        <f t="shared" si="41"/>
        <v>4.3855236917425509E-2</v>
      </c>
      <c r="G133" s="3">
        <f t="shared" si="41"/>
        <v>4.2728171123968081E-2</v>
      </c>
      <c r="H133" s="3">
        <f t="shared" si="41"/>
        <v>3.2933867352349121E-2</v>
      </c>
      <c r="I133" s="3">
        <f t="shared" si="41"/>
        <v>2.4374011330538757E-3</v>
      </c>
      <c r="J133" s="3">
        <f t="shared" si="41"/>
        <v>1.2016272703793953E-14</v>
      </c>
      <c r="K133" s="3">
        <f t="shared" si="41"/>
        <v>1.0190545863800135E-127</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1.7082433622605458E-2</v>
      </c>
      <c r="C134" s="3">
        <f t="shared" si="44"/>
        <v>1.7082429610564095E-2</v>
      </c>
      <c r="D134" s="3">
        <f t="shared" si="44"/>
        <v>1.7082389490202292E-2</v>
      </c>
      <c r="E134" s="3">
        <f t="shared" si="44"/>
        <v>1.7081988291766752E-2</v>
      </c>
      <c r="F134" s="3">
        <f t="shared" si="44"/>
        <v>1.7077976825616781E-2</v>
      </c>
      <c r="G134" s="3">
        <f t="shared" si="44"/>
        <v>1.703791393965327E-2</v>
      </c>
      <c r="H134" s="3">
        <f t="shared" si="44"/>
        <v>1.6642417922199525E-2</v>
      </c>
      <c r="I134" s="3">
        <f t="shared" si="44"/>
        <v>1.315880523317732E-2</v>
      </c>
      <c r="J134" s="3">
        <f t="shared" si="44"/>
        <v>1.2566571598305242E-3</v>
      </c>
      <c r="K134" s="3">
        <f t="shared" si="44"/>
        <v>7.9290347486767268E-14</v>
      </c>
      <c r="L134" s="3">
        <f t="shared" si="44"/>
        <v>7.9296758150797557E-116</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3.0709122791693175E-2</v>
      </c>
      <c r="C135" s="3">
        <f t="shared" si="47"/>
        <v>3.0709122141069731E-2</v>
      </c>
      <c r="D135" s="3">
        <f t="shared" si="47"/>
        <v>3.070911563483605E-2</v>
      </c>
      <c r="E135" s="3">
        <f t="shared" si="47"/>
        <v>3.0709050572575038E-2</v>
      </c>
      <c r="F135" s="3">
        <f t="shared" si="47"/>
        <v>3.0708399957546369E-2</v>
      </c>
      <c r="G135" s="3">
        <f t="shared" si="47"/>
        <v>3.070189456534287E-2</v>
      </c>
      <c r="H135" s="3">
        <f t="shared" si="47"/>
        <v>3.0636916392236008E-2</v>
      </c>
      <c r="I135" s="3">
        <f t="shared" si="47"/>
        <v>2.9994650508953617E-2</v>
      </c>
      <c r="J135" s="3">
        <f t="shared" si="47"/>
        <v>2.426785280465879E-2</v>
      </c>
      <c r="K135" s="3">
        <f t="shared" si="47"/>
        <v>2.9168010859308767E-3</v>
      </c>
      <c r="L135" s="3">
        <f t="shared" si="47"/>
        <v>1.8351071278563534E-12</v>
      </c>
      <c r="M135" s="3">
        <f t="shared" si="47"/>
        <v>1.7832306206913199E-104</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2.5228837905393733E-2</v>
      </c>
      <c r="C136" s="3">
        <f t="shared" si="49"/>
        <v>2.522883785717607E-2</v>
      </c>
      <c r="D136" s="3">
        <f t="shared" si="49"/>
        <v>2.5228837374999466E-2</v>
      </c>
      <c r="E136" s="3">
        <f t="shared" si="49"/>
        <v>2.5228832553233927E-2</v>
      </c>
      <c r="F136" s="3">
        <f t="shared" si="49"/>
        <v>2.5228784335629237E-2</v>
      </c>
      <c r="G136" s="3">
        <f t="shared" si="49"/>
        <v>2.5228302164650756E-2</v>
      </c>
      <c r="H136" s="3">
        <f t="shared" si="49"/>
        <v>2.5223480961674111E-2</v>
      </c>
      <c r="I136" s="3">
        <f t="shared" si="49"/>
        <v>2.5175319576903141E-2</v>
      </c>
      <c r="J136" s="3">
        <f t="shared" si="49"/>
        <v>2.4698734597558492E-2</v>
      </c>
      <c r="K136" s="3">
        <f t="shared" si="49"/>
        <v>2.0401956407534321E-2</v>
      </c>
      <c r="L136" s="3">
        <f t="shared" si="49"/>
        <v>3.0174698127092836E-3</v>
      </c>
      <c r="M136" s="3">
        <f t="shared" si="49"/>
        <v>1.5113119681362501E-11</v>
      </c>
      <c r="N136" s="3">
        <f t="shared" si="49"/>
        <v>1.5012948568160111E-94</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2.5050861325658404E-2</v>
      </c>
      <c r="C137" s="3">
        <f t="shared" si="51"/>
        <v>2.5050861321339456E-2</v>
      </c>
      <c r="D137" s="3">
        <f t="shared" si="51"/>
        <v>2.5050861278149955E-2</v>
      </c>
      <c r="E137" s="3">
        <f t="shared" si="51"/>
        <v>2.5050860846254991E-2</v>
      </c>
      <c r="F137" s="3">
        <f t="shared" si="51"/>
        <v>2.5050856527305744E-2</v>
      </c>
      <c r="G137" s="3">
        <f t="shared" si="51"/>
        <v>2.5050813337854198E-2</v>
      </c>
      <c r="H137" s="3">
        <f t="shared" si="51"/>
        <v>2.5050381447434152E-2</v>
      </c>
      <c r="I137" s="3">
        <f t="shared" si="51"/>
        <v>2.5046062952744641E-2</v>
      </c>
      <c r="J137" s="3">
        <f t="shared" si="51"/>
        <v>2.5002918930835387E-2</v>
      </c>
      <c r="K137" s="3">
        <f t="shared" si="51"/>
        <v>2.4575545223961829E-2</v>
      </c>
      <c r="L137" s="3">
        <f t="shared" si="51"/>
        <v>2.0683672442750035E-2</v>
      </c>
      <c r="M137" s="3">
        <f t="shared" si="51"/>
        <v>3.6886933162884796E-3</v>
      </c>
      <c r="N137" s="3">
        <f t="shared" si="51"/>
        <v>1.2003876606041503E-10</v>
      </c>
      <c r="O137" s="3">
        <f t="shared" si="51"/>
        <v>1.5988630233822261E-85</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3.1849669958465929E-2</v>
      </c>
      <c r="C138" s="3">
        <f t="shared" si="53"/>
        <v>3.1849669957970589E-2</v>
      </c>
      <c r="D138" s="3">
        <f t="shared" si="53"/>
        <v>3.1849669953017141E-2</v>
      </c>
      <c r="E138" s="3">
        <f t="shared" si="53"/>
        <v>3.184966990348273E-2</v>
      </c>
      <c r="F138" s="3">
        <f t="shared" si="53"/>
        <v>3.1849669408138617E-2</v>
      </c>
      <c r="G138" s="3">
        <f t="shared" si="53"/>
        <v>3.1849664454697897E-2</v>
      </c>
      <c r="H138" s="3">
        <f t="shared" si="53"/>
        <v>3.18496149203331E-2</v>
      </c>
      <c r="I138" s="3">
        <f t="shared" si="53"/>
        <v>3.1849119580922187E-2</v>
      </c>
      <c r="J138" s="3">
        <f t="shared" si="53"/>
        <v>3.1844166610498964E-2</v>
      </c>
      <c r="K138" s="3">
        <f t="shared" si="53"/>
        <v>3.1794679250485687E-2</v>
      </c>
      <c r="L138" s="3">
        <f t="shared" si="53"/>
        <v>3.1304015806520841E-2</v>
      </c>
      <c r="M138" s="3">
        <f t="shared" si="53"/>
        <v>2.6795145206316946E-2</v>
      </c>
      <c r="N138" s="3">
        <f t="shared" si="53"/>
        <v>5.6573978605062346E-3</v>
      </c>
      <c r="O138" s="3">
        <f t="shared" si="53"/>
        <v>9.959161885559666E-10</v>
      </c>
      <c r="P138" s="3">
        <f t="shared" si="53"/>
        <v>2.8463184742704587E-77</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3.8281553674527277E-2</v>
      </c>
      <c r="C139" s="3">
        <f t="shared" si="55"/>
        <v>3.828155367447357E-2</v>
      </c>
      <c r="D139" s="3">
        <f t="shared" si="55"/>
        <v>3.8281553673936493E-2</v>
      </c>
      <c r="E139" s="3">
        <f t="shared" si="55"/>
        <v>3.8281553668565699E-2</v>
      </c>
      <c r="F139" s="3">
        <f t="shared" si="55"/>
        <v>3.8281553614857793E-2</v>
      </c>
      <c r="G139" s="3">
        <f t="shared" si="55"/>
        <v>3.8281553077778738E-2</v>
      </c>
      <c r="H139" s="3">
        <f t="shared" si="55"/>
        <v>3.8281547706988585E-2</v>
      </c>
      <c r="I139" s="3">
        <f t="shared" si="55"/>
        <v>3.8281493999128516E-2</v>
      </c>
      <c r="J139" s="3">
        <f t="shared" si="55"/>
        <v>3.8280956924672052E-2</v>
      </c>
      <c r="K139" s="3">
        <f t="shared" si="55"/>
        <v>3.8275586594511982E-2</v>
      </c>
      <c r="L139" s="3">
        <f t="shared" si="55"/>
        <v>3.8221924711863836E-2</v>
      </c>
      <c r="M139" s="3">
        <f t="shared" si="55"/>
        <v>3.7689426360537827E-2</v>
      </c>
      <c r="N139" s="3">
        <f t="shared" si="55"/>
        <v>3.2755880277474142E-2</v>
      </c>
      <c r="O139" s="3">
        <f t="shared" si="55"/>
        <v>8.0535387280255468E-3</v>
      </c>
      <c r="P139" s="3">
        <f t="shared" si="55"/>
        <v>6.5007208187394659E-9</v>
      </c>
      <c r="Q139" s="3">
        <f t="shared" si="55"/>
        <v>7.6332441205965311E-70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3.6020845242344474E-2</v>
      </c>
      <c r="C140" s="3">
        <f t="shared" si="57"/>
        <v>3.6020845242339915E-2</v>
      </c>
      <c r="D140" s="3">
        <f t="shared" si="57"/>
        <v>3.6020845242294326E-2</v>
      </c>
      <c r="E140" s="3">
        <f t="shared" si="57"/>
        <v>3.6020845241838448E-2</v>
      </c>
      <c r="F140" s="3">
        <f t="shared" si="57"/>
        <v>3.6020845237279664E-2</v>
      </c>
      <c r="G140" s="3">
        <f t="shared" si="57"/>
        <v>3.6020845191691811E-2</v>
      </c>
      <c r="H140" s="3">
        <f t="shared" si="57"/>
        <v>3.6020844735813261E-2</v>
      </c>
      <c r="I140" s="3">
        <f t="shared" si="57"/>
        <v>3.6020840177028141E-2</v>
      </c>
      <c r="J140" s="3">
        <f t="shared" si="57"/>
        <v>3.6020794589208635E-2</v>
      </c>
      <c r="K140" s="3">
        <f t="shared" si="57"/>
        <v>3.6020338714186827E-2</v>
      </c>
      <c r="L140" s="3">
        <f t="shared" si="57"/>
        <v>3.6015780281279282E-2</v>
      </c>
      <c r="M140" s="3">
        <f t="shared" si="57"/>
        <v>3.5970227668404742E-2</v>
      </c>
      <c r="N140" s="3">
        <f t="shared" si="57"/>
        <v>3.5517858358123586E-2</v>
      </c>
      <c r="O140" s="3">
        <f t="shared" si="57"/>
        <v>3.1295551875259085E-2</v>
      </c>
      <c r="P140" s="3">
        <f t="shared" si="57"/>
        <v>8.8275675396970853E-3</v>
      </c>
      <c r="Q140" s="3">
        <f t="shared" si="57"/>
        <v>2.8146564596197173E-8</v>
      </c>
      <c r="R140" s="3">
        <f t="shared" si="57"/>
        <v>3.0568128801865043E-63</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2.6935551208001382E-2</v>
      </c>
      <c r="C141" s="3">
        <f t="shared" si="59"/>
        <v>2.6935551208001073E-2</v>
      </c>
      <c r="D141" s="3">
        <f t="shared" si="59"/>
        <v>2.6935551207997996E-2</v>
      </c>
      <c r="E141" s="3">
        <f t="shared" si="59"/>
        <v>2.6935551207967246E-2</v>
      </c>
      <c r="F141" s="3">
        <f t="shared" si="59"/>
        <v>2.6935551207659728E-2</v>
      </c>
      <c r="G141" s="3">
        <f t="shared" si="59"/>
        <v>2.6935551204584567E-2</v>
      </c>
      <c r="H141" s="3">
        <f t="shared" si="59"/>
        <v>2.6935551173832967E-2</v>
      </c>
      <c r="I141" s="3">
        <f t="shared" si="59"/>
        <v>2.6935550866316976E-2</v>
      </c>
      <c r="J141" s="3">
        <f t="shared" si="59"/>
        <v>2.6935547791157199E-2</v>
      </c>
      <c r="K141" s="3">
        <f t="shared" si="59"/>
        <v>2.6935517039578812E-2</v>
      </c>
      <c r="L141" s="3">
        <f t="shared" si="59"/>
        <v>2.6935209525725822E-2</v>
      </c>
      <c r="M141" s="3">
        <f t="shared" si="59"/>
        <v>2.6932134580282433E-2</v>
      </c>
      <c r="N141" s="3">
        <f t="shared" si="59"/>
        <v>2.6901404426342812E-2</v>
      </c>
      <c r="O141" s="3">
        <f t="shared" si="59"/>
        <v>2.6596024808314106E-2</v>
      </c>
      <c r="P141" s="3">
        <f t="shared" si="59"/>
        <v>2.3726544216434407E-2</v>
      </c>
      <c r="Q141" s="3">
        <f t="shared" si="59"/>
        <v>7.5755133843247715E-3</v>
      </c>
      <c r="R141" s="3">
        <f t="shared" si="59"/>
        <v>8.3404194455575201E-8</v>
      </c>
      <c r="S141" s="3">
        <f t="shared" si="59"/>
        <v>2.1824591088980503E-57</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2.7296069607129683E-2</v>
      </c>
      <c r="C142" s="3">
        <f t="shared" si="61"/>
        <v>2.7296069607129655E-2</v>
      </c>
      <c r="D142" s="3">
        <f t="shared" si="61"/>
        <v>2.7296069607129374E-2</v>
      </c>
      <c r="E142" s="3">
        <f t="shared" si="61"/>
        <v>2.729606960712656E-2</v>
      </c>
      <c r="F142" s="3">
        <f t="shared" si="61"/>
        <v>2.7296069607098451E-2</v>
      </c>
      <c r="G142" s="3">
        <f t="shared" si="61"/>
        <v>2.7296069606817332E-2</v>
      </c>
      <c r="H142" s="3">
        <f t="shared" si="61"/>
        <v>2.7296069604006153E-2</v>
      </c>
      <c r="I142" s="3">
        <f t="shared" si="61"/>
        <v>2.7296069575894359E-2</v>
      </c>
      <c r="J142" s="3">
        <f t="shared" si="61"/>
        <v>2.7296069294776425E-2</v>
      </c>
      <c r="K142" s="3">
        <f t="shared" si="61"/>
        <v>2.7296066483597243E-2</v>
      </c>
      <c r="L142" s="3">
        <f t="shared" si="61"/>
        <v>2.729603837182135E-2</v>
      </c>
      <c r="M142" s="3">
        <f t="shared" si="61"/>
        <v>2.7295757255654727E-2</v>
      </c>
      <c r="N142" s="3">
        <f t="shared" si="61"/>
        <v>2.7292946253217192E-2</v>
      </c>
      <c r="O142" s="3">
        <f t="shared" si="61"/>
        <v>2.7264852145644038E-2</v>
      </c>
      <c r="P142" s="3">
        <f t="shared" si="61"/>
        <v>2.6985496701590391E-2</v>
      </c>
      <c r="Q142" s="3">
        <f t="shared" si="61"/>
        <v>2.4344626128571974E-2</v>
      </c>
      <c r="R142" s="3">
        <f t="shared" si="61"/>
        <v>8.6922065946854529E-3</v>
      </c>
      <c r="S142" s="3">
        <f t="shared" si="61"/>
        <v>2.9268424630798234E-7</v>
      </c>
      <c r="T142" s="3">
        <f t="shared" si="61"/>
        <v>5.4839365262986008E-52</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2.9627620760423627E-2</v>
      </c>
      <c r="C143" s="3">
        <f t="shared" si="63"/>
        <v>2.9627620760423624E-2</v>
      </c>
      <c r="D143" s="3">
        <f t="shared" si="63"/>
        <v>2.9627620760423596E-2</v>
      </c>
      <c r="E143" s="3">
        <f t="shared" si="63"/>
        <v>2.9627620760423322E-2</v>
      </c>
      <c r="F143" s="3">
        <f t="shared" si="63"/>
        <v>2.9627620760420567E-2</v>
      </c>
      <c r="G143" s="3">
        <f t="shared" si="63"/>
        <v>2.9627620760393044E-2</v>
      </c>
      <c r="H143" s="3">
        <f t="shared" si="63"/>
        <v>2.9627620760117792E-2</v>
      </c>
      <c r="I143" s="3">
        <f t="shared" si="63"/>
        <v>2.9627620757365265E-2</v>
      </c>
      <c r="J143" s="3">
        <f t="shared" si="63"/>
        <v>2.9627620729839977E-2</v>
      </c>
      <c r="K143" s="3">
        <f t="shared" si="63"/>
        <v>2.9627620454587143E-2</v>
      </c>
      <c r="L143" s="3">
        <f t="shared" si="63"/>
        <v>2.9627617702058913E-2</v>
      </c>
      <c r="M143" s="3">
        <f t="shared" si="63"/>
        <v>2.9627590176790689E-2</v>
      </c>
      <c r="N143" s="3">
        <f t="shared" si="63"/>
        <v>2.9627314925514913E-2</v>
      </c>
      <c r="O143" s="3">
        <f t="shared" si="63"/>
        <v>2.9624562553398476E-2</v>
      </c>
      <c r="P143" s="3">
        <f t="shared" si="63"/>
        <v>2.9597052891532978E-2</v>
      </c>
      <c r="Q143" s="3">
        <f t="shared" si="63"/>
        <v>2.9323357381931859E-2</v>
      </c>
      <c r="R143" s="3">
        <f t="shared" si="63"/>
        <v>2.6721814301761598E-2</v>
      </c>
      <c r="S143" s="3">
        <f t="shared" si="63"/>
        <v>1.055330339076074E-2</v>
      </c>
      <c r="T143" s="3">
        <f t="shared" si="63"/>
        <v>9.7412175687266761E-7</v>
      </c>
      <c r="U143" s="3">
        <f t="shared" si="63"/>
        <v>4.3738253865612611E-47</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2.509047175142164E-2</v>
      </c>
      <c r="C144" s="3">
        <f t="shared" si="65"/>
        <v>2.509047175142164E-2</v>
      </c>
      <c r="D144" s="3">
        <f t="shared" si="65"/>
        <v>2.5090471751421636E-2</v>
      </c>
      <c r="E144" s="3">
        <f t="shared" si="65"/>
        <v>2.5090471751421619E-2</v>
      </c>
      <c r="F144" s="3">
        <f t="shared" si="65"/>
        <v>2.5090471751421407E-2</v>
      </c>
      <c r="G144" s="3">
        <f t="shared" si="65"/>
        <v>2.5090471751419301E-2</v>
      </c>
      <c r="H144" s="3">
        <f t="shared" si="65"/>
        <v>2.5090471751398277E-2</v>
      </c>
      <c r="I144" s="3">
        <f t="shared" si="65"/>
        <v>2.5090471751188E-2</v>
      </c>
      <c r="J144" s="3">
        <f t="shared" si="65"/>
        <v>2.5090471749085234E-2</v>
      </c>
      <c r="K144" s="3">
        <f t="shared" si="65"/>
        <v>2.50904717280576E-2</v>
      </c>
      <c r="L144" s="3">
        <f t="shared" si="65"/>
        <v>2.5090471517781245E-2</v>
      </c>
      <c r="M144" s="3">
        <f t="shared" si="65"/>
        <v>2.5090469415017764E-2</v>
      </c>
      <c r="N144" s="3">
        <f t="shared" si="65"/>
        <v>2.5090448387392696E-2</v>
      </c>
      <c r="O144" s="3">
        <f t="shared" si="65"/>
        <v>2.5090238112111224E-2</v>
      </c>
      <c r="P144" s="3">
        <f t="shared" si="65"/>
        <v>2.5088135456217936E-2</v>
      </c>
      <c r="Q144" s="3">
        <f t="shared" si="65"/>
        <v>2.506711858642292E-2</v>
      </c>
      <c r="R144" s="3">
        <f t="shared" si="65"/>
        <v>2.4857915804505703E-2</v>
      </c>
      <c r="S144" s="3">
        <f t="shared" si="65"/>
        <v>2.2859550373307717E-2</v>
      </c>
      <c r="T144" s="3">
        <f t="shared" si="65"/>
        <v>9.8877481637162506E-3</v>
      </c>
      <c r="U144" s="3">
        <f t="shared" si="65"/>
        <v>2.2667024971714402E-6</v>
      </c>
      <c r="V144" s="3">
        <f t="shared" si="65"/>
        <v>9.0858547080310376E-43</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2.9857729564103035E-2</v>
      </c>
      <c r="C145" s="3">
        <f t="shared" si="68"/>
        <v>2.9857729564103035E-2</v>
      </c>
      <c r="D145" s="3">
        <f t="shared" si="68"/>
        <v>2.9857729564103035E-2</v>
      </c>
      <c r="E145" s="3">
        <f t="shared" si="68"/>
        <v>2.9857729564103031E-2</v>
      </c>
      <c r="F145" s="3">
        <f t="shared" si="68"/>
        <v>2.9857729564103007E-2</v>
      </c>
      <c r="G145" s="3">
        <f t="shared" si="68"/>
        <v>2.9857729564102781E-2</v>
      </c>
      <c r="H145" s="3">
        <f t="shared" si="68"/>
        <v>2.9857729564100526E-2</v>
      </c>
      <c r="I145" s="3">
        <f t="shared" si="68"/>
        <v>2.9857729564077954E-2</v>
      </c>
      <c r="J145" s="3">
        <f t="shared" si="68"/>
        <v>2.9857729563852225E-2</v>
      </c>
      <c r="K145" s="3">
        <f t="shared" si="68"/>
        <v>2.9857729561594947E-2</v>
      </c>
      <c r="L145" s="3">
        <f t="shared" si="68"/>
        <v>2.985772953902217E-2</v>
      </c>
      <c r="M145" s="3">
        <f t="shared" si="68"/>
        <v>2.9857729313294404E-2</v>
      </c>
      <c r="N145" s="3">
        <f t="shared" si="68"/>
        <v>2.9857727056016806E-2</v>
      </c>
      <c r="O145" s="3">
        <f t="shared" si="68"/>
        <v>2.985770448325023E-2</v>
      </c>
      <c r="P145" s="3">
        <f t="shared" si="68"/>
        <v>2.9857478756523028E-2</v>
      </c>
      <c r="Q145" s="3">
        <f t="shared" si="68"/>
        <v>2.9855221583107112E-2</v>
      </c>
      <c r="R145" s="3">
        <f t="shared" si="68"/>
        <v>2.9832659231930743E-2</v>
      </c>
      <c r="S145" s="3">
        <f t="shared" si="68"/>
        <v>2.960797139909678E-2</v>
      </c>
      <c r="T145" s="3">
        <f t="shared" si="68"/>
        <v>2.7452095731658181E-2</v>
      </c>
      <c r="U145" s="3">
        <f t="shared" si="68"/>
        <v>1.2889736107448034E-2</v>
      </c>
      <c r="V145" s="3">
        <f t="shared" si="68"/>
        <v>6.7131946541064312E-6</v>
      </c>
      <c r="W145" s="3">
        <f t="shared" si="68"/>
        <v>9.857831254575527E-39</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3.2231679526116067E-2</v>
      </c>
      <c r="C146" s="3">
        <f t="shared" si="70"/>
        <v>3.2231679526116067E-2</v>
      </c>
      <c r="D146" s="3">
        <f t="shared" si="70"/>
        <v>3.2231679526116067E-2</v>
      </c>
      <c r="E146" s="3">
        <f t="shared" si="70"/>
        <v>3.2231679526116067E-2</v>
      </c>
      <c r="F146" s="3">
        <f t="shared" si="70"/>
        <v>3.223167952611606E-2</v>
      </c>
      <c r="G146" s="3">
        <f t="shared" si="70"/>
        <v>3.2231679526116039E-2</v>
      </c>
      <c r="H146" s="3">
        <f t="shared" si="70"/>
        <v>3.2231679526115824E-2</v>
      </c>
      <c r="I146" s="3">
        <f t="shared" si="70"/>
        <v>3.2231679526113624E-2</v>
      </c>
      <c r="J146" s="3">
        <f t="shared" si="70"/>
        <v>3.2231679526091642E-2</v>
      </c>
      <c r="K146" s="3">
        <f t="shared" si="70"/>
        <v>3.2231679525871824E-2</v>
      </c>
      <c r="L146" s="3">
        <f t="shared" si="70"/>
        <v>3.223167952367368E-2</v>
      </c>
      <c r="M146" s="3">
        <f t="shared" si="70"/>
        <v>3.2231679501692152E-2</v>
      </c>
      <c r="N146" s="3">
        <f t="shared" si="70"/>
        <v>3.2231679281876945E-2</v>
      </c>
      <c r="O146" s="3">
        <f t="shared" si="70"/>
        <v>3.2231677083724944E-2</v>
      </c>
      <c r="P146" s="3">
        <f t="shared" si="70"/>
        <v>3.223165510221318E-2</v>
      </c>
      <c r="Q146" s="3">
        <f t="shared" si="70"/>
        <v>3.2231435287920072E-2</v>
      </c>
      <c r="R146" s="3">
        <f t="shared" si="70"/>
        <v>3.2229237227437493E-2</v>
      </c>
      <c r="S146" s="3">
        <f t="shared" si="70"/>
        <v>3.2207264865387247E-2</v>
      </c>
      <c r="T146" s="3">
        <f t="shared" si="70"/>
        <v>3.1988363446289088E-2</v>
      </c>
      <c r="U146" s="3">
        <f t="shared" si="70"/>
        <v>2.987953200277433E-2</v>
      </c>
      <c r="V146" s="3">
        <f t="shared" si="70"/>
        <v>1.5107461030994571E-2</v>
      </c>
      <c r="W146" s="3">
        <f t="shared" si="70"/>
        <v>1.6495610759929336E-5</v>
      </c>
      <c r="X146" s="3">
        <f t="shared" si="70"/>
        <v>3.973173913151425E-35</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5.4486023207095342E-2</v>
      </c>
      <c r="C147" s="3">
        <f t="shared" si="72"/>
        <v>5.4486023207095342E-2</v>
      </c>
      <c r="D147" s="3">
        <f t="shared" si="72"/>
        <v>5.4486023207095342E-2</v>
      </c>
      <c r="E147" s="3">
        <f t="shared" si="72"/>
        <v>5.4486023207095342E-2</v>
      </c>
      <c r="F147" s="3">
        <f t="shared" si="72"/>
        <v>5.4486023207095342E-2</v>
      </c>
      <c r="G147" s="3">
        <f t="shared" si="72"/>
        <v>5.4486023207095335E-2</v>
      </c>
      <c r="H147" s="3">
        <f t="shared" si="72"/>
        <v>5.4486023207095308E-2</v>
      </c>
      <c r="I147" s="3">
        <f t="shared" si="72"/>
        <v>5.4486023207094968E-2</v>
      </c>
      <c r="J147" s="3">
        <f t="shared" si="72"/>
        <v>5.4486023207091616E-2</v>
      </c>
      <c r="K147" s="3">
        <f t="shared" si="72"/>
        <v>5.4486023207058094E-2</v>
      </c>
      <c r="L147" s="3">
        <f t="shared" si="72"/>
        <v>5.4486023206722897E-2</v>
      </c>
      <c r="M147" s="3">
        <f t="shared" si="72"/>
        <v>5.4486023203370877E-2</v>
      </c>
      <c r="N147" s="3">
        <f t="shared" si="72"/>
        <v>5.4486023169850684E-2</v>
      </c>
      <c r="O147" s="3">
        <f t="shared" si="72"/>
        <v>5.4486022834648762E-2</v>
      </c>
      <c r="P147" s="3">
        <f t="shared" si="72"/>
        <v>5.4486019482629641E-2</v>
      </c>
      <c r="Q147" s="3">
        <f t="shared" si="72"/>
        <v>5.4485985962449732E-2</v>
      </c>
      <c r="R147" s="3">
        <f t="shared" si="72"/>
        <v>5.448565076178493E-2</v>
      </c>
      <c r="S147" s="3">
        <f t="shared" si="72"/>
        <v>5.4482298868554262E-2</v>
      </c>
      <c r="T147" s="3">
        <f t="shared" si="72"/>
        <v>5.4448791275404133E-2</v>
      </c>
      <c r="U147" s="3">
        <f t="shared" si="72"/>
        <v>5.4114846682703728E-2</v>
      </c>
      <c r="V147" s="3">
        <f t="shared" si="72"/>
        <v>5.0886001236408046E-2</v>
      </c>
      <c r="W147" s="3">
        <f t="shared" si="72"/>
        <v>2.7505354210428819E-2</v>
      </c>
      <c r="X147" s="3">
        <f t="shared" si="72"/>
        <v>5.8560721895926908E-5</v>
      </c>
      <c r="Y147" s="3">
        <f t="shared" si="72"/>
        <v>1.1207228283473942E-31</v>
      </c>
      <c r="Z147" s="3">
        <f t="shared" si="72"/>
        <v>7.386117014428331E-299</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6.3038463709295806E-2</v>
      </c>
      <c r="C148" s="3">
        <f t="shared" si="74"/>
        <v>6.3038463709295806E-2</v>
      </c>
      <c r="D148" s="3">
        <f t="shared" si="74"/>
        <v>6.3038463709295806E-2</v>
      </c>
      <c r="E148" s="3">
        <f t="shared" si="74"/>
        <v>6.3038463709295806E-2</v>
      </c>
      <c r="F148" s="3">
        <f t="shared" si="74"/>
        <v>6.3038463709295806E-2</v>
      </c>
      <c r="G148" s="3">
        <f t="shared" si="74"/>
        <v>6.3038463709295806E-2</v>
      </c>
      <c r="H148" s="3">
        <f t="shared" si="74"/>
        <v>6.3038463709295792E-2</v>
      </c>
      <c r="I148" s="3">
        <f t="shared" si="74"/>
        <v>6.3038463709295764E-2</v>
      </c>
      <c r="J148" s="3">
        <f t="shared" si="74"/>
        <v>6.3038463709295417E-2</v>
      </c>
      <c r="K148" s="3">
        <f t="shared" si="74"/>
        <v>6.303846370929192E-2</v>
      </c>
      <c r="L148" s="3">
        <f t="shared" si="74"/>
        <v>6.3038463709256934E-2</v>
      </c>
      <c r="M148" s="3">
        <f t="shared" si="74"/>
        <v>6.3038463708907089E-2</v>
      </c>
      <c r="N148" s="3">
        <f t="shared" si="74"/>
        <v>6.3038463705408651E-2</v>
      </c>
      <c r="O148" s="3">
        <f t="shared" si="74"/>
        <v>6.3038463670424316E-2</v>
      </c>
      <c r="P148" s="3">
        <f t="shared" si="74"/>
        <v>6.3038463320580995E-2</v>
      </c>
      <c r="Q148" s="3">
        <f t="shared" si="74"/>
        <v>6.3038459822147758E-2</v>
      </c>
      <c r="R148" s="3">
        <f t="shared" si="74"/>
        <v>6.303842483782611E-2</v>
      </c>
      <c r="S148" s="3">
        <f t="shared" si="74"/>
        <v>6.3038074995677512E-2</v>
      </c>
      <c r="T148" s="3">
        <f t="shared" si="74"/>
        <v>6.303457668097262E-2</v>
      </c>
      <c r="U148" s="3">
        <f t="shared" si="74"/>
        <v>6.2999604209840895E-2</v>
      </c>
      <c r="V148" s="3">
        <f t="shared" si="74"/>
        <v>6.2650944901319255E-2</v>
      </c>
      <c r="W148" s="3">
        <f t="shared" si="74"/>
        <v>5.9268736512812781E-2</v>
      </c>
      <c r="X148" s="3">
        <f t="shared" si="74"/>
        <v>3.4025624566309427E-2</v>
      </c>
      <c r="Y148" s="3">
        <f t="shared" si="74"/>
        <v>1.3231542392005388E-4</v>
      </c>
      <c r="Z148" s="3">
        <f t="shared" si="74"/>
        <v>1.0462949773854356E-28</v>
      </c>
      <c r="AA148" s="3">
        <f>$C34*EXP(-AA$129/$A34/EXP(-$B$126))</f>
        <v>1.0002091436947232E-269</v>
      </c>
      <c r="AB148" s="3">
        <f t="shared" si="67"/>
        <v>0</v>
      </c>
      <c r="AC148" s="3">
        <f t="shared" si="67"/>
        <v>0</v>
      </c>
      <c r="AD148" s="3">
        <f t="shared" si="67"/>
        <v>0</v>
      </c>
      <c r="AE148" s="3">
        <f t="shared" si="67"/>
        <v>0</v>
      </c>
      <c r="AF148" s="3">
        <f t="shared" si="67"/>
        <v>0</v>
      </c>
    </row>
    <row r="149" spans="1:32" x14ac:dyDescent="0.25">
      <c r="B149" s="3">
        <f t="shared" ref="B149:Z149" si="75">$C35*EXP(-B$129/$A35/EXP(-$B$126))</f>
        <v>6.2855042147651141E-2</v>
      </c>
      <c r="C149" s="3">
        <f t="shared" si="75"/>
        <v>6.2855042147651141E-2</v>
      </c>
      <c r="D149" s="3">
        <f t="shared" si="75"/>
        <v>6.2855042147651141E-2</v>
      </c>
      <c r="E149" s="3">
        <f t="shared" si="75"/>
        <v>6.2855042147651141E-2</v>
      </c>
      <c r="F149" s="3">
        <f t="shared" si="75"/>
        <v>6.2855042147651141E-2</v>
      </c>
      <c r="G149" s="3">
        <f t="shared" si="75"/>
        <v>6.2855042147651141E-2</v>
      </c>
      <c r="H149" s="3">
        <f t="shared" si="75"/>
        <v>6.2855042147651141E-2</v>
      </c>
      <c r="I149" s="3">
        <f t="shared" si="75"/>
        <v>6.2855042147651127E-2</v>
      </c>
      <c r="J149" s="3">
        <f t="shared" si="75"/>
        <v>6.28550421476511E-2</v>
      </c>
      <c r="K149" s="3">
        <f t="shared" si="75"/>
        <v>6.2855042147650794E-2</v>
      </c>
      <c r="L149" s="3">
        <f t="shared" si="75"/>
        <v>6.2855042147647644E-2</v>
      </c>
      <c r="M149" s="3">
        <f t="shared" si="75"/>
        <v>6.2855042147616183E-2</v>
      </c>
      <c r="N149" s="3">
        <f t="shared" si="75"/>
        <v>6.2855042147301504E-2</v>
      </c>
      <c r="O149" s="3">
        <f t="shared" si="75"/>
        <v>6.2855042144154813E-2</v>
      </c>
      <c r="P149" s="3">
        <f t="shared" si="75"/>
        <v>6.2855042112687859E-2</v>
      </c>
      <c r="Q149" s="3">
        <f t="shared" si="75"/>
        <v>6.2855041798018332E-2</v>
      </c>
      <c r="R149" s="3">
        <f t="shared" si="75"/>
        <v>6.2855038651323081E-2</v>
      </c>
      <c r="S149" s="3">
        <f t="shared" si="75"/>
        <v>6.2855007184379322E-2</v>
      </c>
      <c r="T149" s="3">
        <f t="shared" si="75"/>
        <v>6.2854692515808122E-2</v>
      </c>
      <c r="U149" s="3">
        <f t="shared" si="75"/>
        <v>6.2851545916737042E-2</v>
      </c>
      <c r="V149" s="3">
        <f t="shared" si="75"/>
        <v>6.2820088588512901E-2</v>
      </c>
      <c r="W149" s="3">
        <f t="shared" si="75"/>
        <v>6.2506379952517441E-2</v>
      </c>
      <c r="X149" s="3">
        <f t="shared" si="75"/>
        <v>5.9454177835624483E-2</v>
      </c>
      <c r="Y149" s="3">
        <f t="shared" si="75"/>
        <v>3.6038165951109105E-2</v>
      </c>
      <c r="Z149" s="3">
        <f t="shared" si="75"/>
        <v>2.4130466097947343E-4</v>
      </c>
      <c r="AA149" s="3">
        <f t="shared" ref="AA149" si="76">$C35*EXP(-AA$129/$A35/EXP(-$B$126))</f>
        <v>4.3711530161375492E-26</v>
      </c>
      <c r="AB149" s="3">
        <f t="shared" si="67"/>
        <v>1.6630258454967541E-243</v>
      </c>
      <c r="AC149" s="3">
        <f t="shared" si="67"/>
        <v>0</v>
      </c>
      <c r="AD149" s="3">
        <f t="shared" si="67"/>
        <v>0</v>
      </c>
      <c r="AE149" s="3">
        <f t="shared" si="67"/>
        <v>0</v>
      </c>
      <c r="AF149" s="3">
        <f t="shared" si="67"/>
        <v>0</v>
      </c>
    </row>
    <row r="150" spans="1:32" x14ac:dyDescent="0.25">
      <c r="B150" s="3">
        <f t="shared" ref="B150:Z150" si="77">$C36*EXP(-B$129/$A36/EXP(-$B$126))</f>
        <v>5.5175900384027046E-2</v>
      </c>
      <c r="C150" s="3">
        <f t="shared" si="77"/>
        <v>5.5175900384027046E-2</v>
      </c>
      <c r="D150" s="3">
        <f t="shared" si="77"/>
        <v>5.5175900384027046E-2</v>
      </c>
      <c r="E150" s="3">
        <f t="shared" si="77"/>
        <v>5.5175900384027046E-2</v>
      </c>
      <c r="F150" s="3">
        <f t="shared" si="77"/>
        <v>5.5175900384027046E-2</v>
      </c>
      <c r="G150" s="3">
        <f t="shared" si="77"/>
        <v>5.5175900384027046E-2</v>
      </c>
      <c r="H150" s="3">
        <f t="shared" si="77"/>
        <v>5.5175900384027046E-2</v>
      </c>
      <c r="I150" s="3">
        <f t="shared" si="77"/>
        <v>5.5175900384027046E-2</v>
      </c>
      <c r="J150" s="3">
        <f t="shared" si="77"/>
        <v>5.5175900384027046E-2</v>
      </c>
      <c r="K150" s="3">
        <f t="shared" si="77"/>
        <v>5.5175900384027018E-2</v>
      </c>
      <c r="L150" s="3">
        <f t="shared" si="77"/>
        <v>5.5175900384026769E-2</v>
      </c>
      <c r="M150" s="3">
        <f t="shared" si="77"/>
        <v>5.5175900384024278E-2</v>
      </c>
      <c r="N150" s="3">
        <f t="shared" si="77"/>
        <v>5.517590038399936E-2</v>
      </c>
      <c r="O150" s="3">
        <f t="shared" si="77"/>
        <v>5.5175900383750177E-2</v>
      </c>
      <c r="P150" s="3">
        <f t="shared" si="77"/>
        <v>5.5175900381258393E-2</v>
      </c>
      <c r="Q150" s="3">
        <f t="shared" si="77"/>
        <v>5.517590035634054E-2</v>
      </c>
      <c r="R150" s="3">
        <f t="shared" si="77"/>
        <v>5.5175900107162029E-2</v>
      </c>
      <c r="S150" s="3">
        <f t="shared" si="77"/>
        <v>5.5175897615376938E-2</v>
      </c>
      <c r="T150" s="3">
        <f t="shared" si="77"/>
        <v>5.5175872697532241E-2</v>
      </c>
      <c r="U150" s="3">
        <f t="shared" si="77"/>
        <v>5.5175623519704106E-2</v>
      </c>
      <c r="V150" s="3">
        <f t="shared" si="77"/>
        <v>5.5173131803313652E-2</v>
      </c>
      <c r="W150" s="3">
        <f t="shared" si="77"/>
        <v>5.5148220827459224E-2</v>
      </c>
      <c r="X150" s="3">
        <f t="shared" si="77"/>
        <v>5.4899728841182049E-2</v>
      </c>
      <c r="Y150" s="3">
        <f t="shared" si="77"/>
        <v>5.2475566290876553E-2</v>
      </c>
      <c r="Z150" s="3">
        <f t="shared" si="77"/>
        <v>3.3406154065075161E-2</v>
      </c>
      <c r="AA150" s="3">
        <f t="shared" ref="AA150" si="78">$C36*EXP(-AA$129/$A36/EXP(-$B$126))</f>
        <v>3.6519089146642275E-4</v>
      </c>
      <c r="AB150" s="3">
        <f t="shared" si="67"/>
        <v>8.9013219427693507E-24</v>
      </c>
      <c r="AC150" s="3">
        <f t="shared" si="67"/>
        <v>6.5887075123213128E-220</v>
      </c>
      <c r="AD150" s="3">
        <f t="shared" si="67"/>
        <v>0</v>
      </c>
      <c r="AE150" s="3">
        <f t="shared" si="67"/>
        <v>0</v>
      </c>
      <c r="AF150" s="3">
        <f t="shared" si="67"/>
        <v>0</v>
      </c>
    </row>
    <row r="151" spans="1:32" x14ac:dyDescent="0.25">
      <c r="B151" s="3">
        <f t="shared" ref="B151:Z151" si="79">$C37*EXP(-B$129/$A37/EXP(-$B$126))</f>
        <v>6.6863486871893904E-2</v>
      </c>
      <c r="C151" s="3">
        <f t="shared" si="79"/>
        <v>6.6863486871893904E-2</v>
      </c>
      <c r="D151" s="3">
        <f t="shared" si="79"/>
        <v>6.6863486871893904E-2</v>
      </c>
      <c r="E151" s="3">
        <f t="shared" si="79"/>
        <v>6.6863486871893904E-2</v>
      </c>
      <c r="F151" s="3">
        <f t="shared" si="79"/>
        <v>6.6863486871893904E-2</v>
      </c>
      <c r="G151" s="3">
        <f t="shared" si="79"/>
        <v>6.6863486871893904E-2</v>
      </c>
      <c r="H151" s="3">
        <f t="shared" si="79"/>
        <v>6.6863486871893904E-2</v>
      </c>
      <c r="I151" s="3">
        <f t="shared" si="79"/>
        <v>6.6863486871893904E-2</v>
      </c>
      <c r="J151" s="3">
        <f t="shared" si="79"/>
        <v>6.6863486871893904E-2</v>
      </c>
      <c r="K151" s="3">
        <f t="shared" si="79"/>
        <v>6.6863486871893904E-2</v>
      </c>
      <c r="L151" s="3">
        <f t="shared" si="79"/>
        <v>6.6863486871893876E-2</v>
      </c>
      <c r="M151" s="3">
        <f t="shared" si="79"/>
        <v>6.6863486871893599E-2</v>
      </c>
      <c r="N151" s="3">
        <f t="shared" si="79"/>
        <v>6.6863486871890879E-2</v>
      </c>
      <c r="O151" s="3">
        <f t="shared" si="79"/>
        <v>6.6863486871863637E-2</v>
      </c>
      <c r="P151" s="3">
        <f t="shared" si="79"/>
        <v>6.6863486871591243E-2</v>
      </c>
      <c r="Q151" s="3">
        <f t="shared" si="79"/>
        <v>6.6863486868867311E-2</v>
      </c>
      <c r="R151" s="3">
        <f t="shared" si="79"/>
        <v>6.6863486841627962E-2</v>
      </c>
      <c r="S151" s="3">
        <f t="shared" si="79"/>
        <v>6.6863486569234437E-2</v>
      </c>
      <c r="T151" s="3">
        <f t="shared" si="79"/>
        <v>6.6863483845299262E-2</v>
      </c>
      <c r="U151" s="3">
        <f t="shared" si="79"/>
        <v>6.6863456605953692E-2</v>
      </c>
      <c r="V151" s="3">
        <f t="shared" si="79"/>
        <v>6.6863184213108204E-2</v>
      </c>
      <c r="W151" s="3">
        <f t="shared" si="79"/>
        <v>6.686046034568574E-2</v>
      </c>
      <c r="X151" s="3">
        <f t="shared" si="79"/>
        <v>6.6833227773774248E-2</v>
      </c>
      <c r="Y151" s="3">
        <f t="shared" si="79"/>
        <v>6.6561511367152604E-2</v>
      </c>
      <c r="Z151" s="3">
        <f t="shared" si="79"/>
        <v>6.3904370035197722E-2</v>
      </c>
      <c r="AA151" s="3">
        <f t="shared" ref="AA151" si="80">$C37*EXP(-AA$129/$A37/EXP(-$B$126))</f>
        <v>4.2521090240300215E-2</v>
      </c>
      <c r="AB151" s="3">
        <f t="shared" si="67"/>
        <v>7.2334040453142479E-4</v>
      </c>
      <c r="AC151" s="3">
        <f t="shared" si="67"/>
        <v>1.4680000107643697E-21</v>
      </c>
      <c r="AD151" s="3">
        <f t="shared" si="67"/>
        <v>1.7400406707180633E-198</v>
      </c>
      <c r="AE151" s="3">
        <f t="shared" si="67"/>
        <v>0</v>
      </c>
      <c r="AF151" s="3">
        <f t="shared" si="67"/>
        <v>0</v>
      </c>
    </row>
    <row r="152" spans="1:32" x14ac:dyDescent="0.25">
      <c r="B152" s="3">
        <f t="shared" ref="B152:Z152" si="81">$C38*EXP(-B$129/$A38/EXP(-$B$126))</f>
        <v>2.4965740314193043E-2</v>
      </c>
      <c r="C152" s="3">
        <f t="shared" si="81"/>
        <v>2.4965740314193043E-2</v>
      </c>
      <c r="D152" s="3">
        <f t="shared" si="81"/>
        <v>2.4965740314193043E-2</v>
      </c>
      <c r="E152" s="3">
        <f t="shared" si="81"/>
        <v>2.4965740314193043E-2</v>
      </c>
      <c r="F152" s="3">
        <f t="shared" si="81"/>
        <v>2.4965740314193043E-2</v>
      </c>
      <c r="G152" s="3">
        <f t="shared" si="81"/>
        <v>2.4965740314193043E-2</v>
      </c>
      <c r="H152" s="3">
        <f t="shared" si="81"/>
        <v>2.4965740314193043E-2</v>
      </c>
      <c r="I152" s="3">
        <f t="shared" si="81"/>
        <v>2.4965740314193043E-2</v>
      </c>
      <c r="J152" s="3">
        <f t="shared" si="81"/>
        <v>2.4965740314193043E-2</v>
      </c>
      <c r="K152" s="3">
        <f t="shared" si="81"/>
        <v>2.4965740314193043E-2</v>
      </c>
      <c r="L152" s="3">
        <f t="shared" si="81"/>
        <v>2.4965740314193043E-2</v>
      </c>
      <c r="M152" s="3">
        <f t="shared" si="81"/>
        <v>2.4965740314193033E-2</v>
      </c>
      <c r="N152" s="3">
        <f t="shared" si="81"/>
        <v>2.4965740314192939E-2</v>
      </c>
      <c r="O152" s="3">
        <f t="shared" si="81"/>
        <v>2.4965740314192023E-2</v>
      </c>
      <c r="P152" s="3">
        <f t="shared" si="81"/>
        <v>2.496574031418285E-2</v>
      </c>
      <c r="Q152" s="3">
        <f t="shared" si="81"/>
        <v>2.4965740314091101E-2</v>
      </c>
      <c r="R152" s="3">
        <f t="shared" si="81"/>
        <v>2.4965740313173616E-2</v>
      </c>
      <c r="S152" s="3">
        <f t="shared" si="81"/>
        <v>2.4965740303998771E-2</v>
      </c>
      <c r="T152" s="3">
        <f t="shared" si="81"/>
        <v>2.4965740212250308E-2</v>
      </c>
      <c r="U152" s="3">
        <f t="shared" si="81"/>
        <v>2.4965739294765699E-2</v>
      </c>
      <c r="V152" s="3">
        <f t="shared" si="81"/>
        <v>2.4965730119921481E-2</v>
      </c>
      <c r="W152" s="3">
        <f t="shared" si="81"/>
        <v>2.4965638371664756E-2</v>
      </c>
      <c r="X152" s="3">
        <f t="shared" si="81"/>
        <v>2.496472090764176E-2</v>
      </c>
      <c r="Y152" s="3">
        <f t="shared" si="81"/>
        <v>2.4955548121584639E-2</v>
      </c>
      <c r="Z152" s="3">
        <f t="shared" si="81"/>
        <v>2.4864005426428255E-2</v>
      </c>
      <c r="AA152" s="3">
        <f t="shared" ref="AA152" si="82">$C38*EXP(-AA$129/$A38/EXP(-$B$126))</f>
        <v>2.3966845695219643E-2</v>
      </c>
      <c r="AB152" s="3">
        <f t="shared" si="67"/>
        <v>1.6596203774427908E-2</v>
      </c>
      <c r="AC152" s="3">
        <f t="shared" si="67"/>
        <v>4.2071456456524084E-4</v>
      </c>
      <c r="AD152" s="3">
        <f t="shared" si="67"/>
        <v>4.6107909319645891E-20</v>
      </c>
      <c r="AE152" s="3">
        <f t="shared" si="67"/>
        <v>1.1525353755974642E-179</v>
      </c>
      <c r="AF152" s="3">
        <f t="shared" si="67"/>
        <v>0</v>
      </c>
    </row>
    <row r="153" spans="1:32" x14ac:dyDescent="0.25">
      <c r="B153" s="3">
        <f t="shared" ref="B153:Z153" si="83">$C39*EXP(-B$129/$A39/EXP(-$B$126))</f>
        <v>4.9847103888797747E-2</v>
      </c>
      <c r="C153" s="3">
        <f t="shared" si="83"/>
        <v>4.9847103888797747E-2</v>
      </c>
      <c r="D153" s="3">
        <f t="shared" si="83"/>
        <v>4.9847103888797747E-2</v>
      </c>
      <c r="E153" s="3">
        <f t="shared" si="83"/>
        <v>4.9847103888797747E-2</v>
      </c>
      <c r="F153" s="3">
        <f t="shared" si="83"/>
        <v>4.9847103888797747E-2</v>
      </c>
      <c r="G153" s="3">
        <f t="shared" si="83"/>
        <v>4.9847103888797747E-2</v>
      </c>
      <c r="H153" s="3">
        <f t="shared" si="83"/>
        <v>4.9847103888797747E-2</v>
      </c>
      <c r="I153" s="3">
        <f t="shared" si="83"/>
        <v>4.9847103888797747E-2</v>
      </c>
      <c r="J153" s="3">
        <f t="shared" si="83"/>
        <v>4.9847103888797747E-2</v>
      </c>
      <c r="K153" s="3">
        <f t="shared" si="83"/>
        <v>4.9847103888797747E-2</v>
      </c>
      <c r="L153" s="3">
        <f t="shared" si="83"/>
        <v>4.9847103888797747E-2</v>
      </c>
      <c r="M153" s="3">
        <f t="shared" si="83"/>
        <v>4.9847103888797741E-2</v>
      </c>
      <c r="N153" s="3">
        <f t="shared" si="83"/>
        <v>4.9847103888797692E-2</v>
      </c>
      <c r="O153" s="3">
        <f t="shared" si="83"/>
        <v>4.9847103888797185E-2</v>
      </c>
      <c r="P153" s="3">
        <f t="shared" si="83"/>
        <v>4.984710388879212E-2</v>
      </c>
      <c r="Q153" s="3">
        <f t="shared" si="83"/>
        <v>4.9847103888741452E-2</v>
      </c>
      <c r="R153" s="3">
        <f t="shared" si="83"/>
        <v>4.9847103888234802E-2</v>
      </c>
      <c r="S153" s="3">
        <f t="shared" si="83"/>
        <v>4.9847103883168313E-2</v>
      </c>
      <c r="T153" s="3">
        <f t="shared" si="83"/>
        <v>4.9847103832503424E-2</v>
      </c>
      <c r="U153" s="3">
        <f t="shared" si="83"/>
        <v>4.9847103325854479E-2</v>
      </c>
      <c r="V153" s="3">
        <f t="shared" si="83"/>
        <v>4.9847098259365376E-2</v>
      </c>
      <c r="W153" s="3">
        <f t="shared" si="83"/>
        <v>4.9847047594502612E-2</v>
      </c>
      <c r="X153" s="3">
        <f t="shared" si="83"/>
        <v>4.9846540948707253E-2</v>
      </c>
      <c r="Y153" s="3">
        <f t="shared" si="83"/>
        <v>4.9841474773970412E-2</v>
      </c>
      <c r="Z153" s="3">
        <f t="shared" si="83"/>
        <v>4.9790841337626152E-2</v>
      </c>
      <c r="AA153" s="3">
        <f t="shared" ref="AA153" si="84">$C39*EXP(-AA$129/$A39/EXP(-$B$126))</f>
        <v>4.9287327458553687E-2</v>
      </c>
      <c r="AB153" s="3">
        <f t="shared" si="67"/>
        <v>4.4523912347683763E-2</v>
      </c>
      <c r="AC153" s="3">
        <f t="shared" si="67"/>
        <v>1.6112903746178305E-2</v>
      </c>
      <c r="AD153" s="3">
        <f t="shared" si="67"/>
        <v>6.2083865483367808E-7</v>
      </c>
      <c r="AE153" s="3">
        <f t="shared" si="67"/>
        <v>4.4774228810542121E-51</v>
      </c>
      <c r="AF153" s="3">
        <f t="shared" si="67"/>
        <v>0</v>
      </c>
    </row>
    <row r="154" spans="1:32" x14ac:dyDescent="0.25">
      <c r="B154" s="3">
        <f t="shared" ref="B154:Z154" si="85">$C40*EXP(-B$129/$A40/EXP(-$B$126))</f>
        <v>2.7617180594802851E-2</v>
      </c>
      <c r="C154" s="3">
        <f t="shared" si="85"/>
        <v>2.7617180594802851E-2</v>
      </c>
      <c r="D154" s="3">
        <f t="shared" si="85"/>
        <v>2.7617180594802851E-2</v>
      </c>
      <c r="E154" s="3">
        <f t="shared" si="85"/>
        <v>2.7617180594802851E-2</v>
      </c>
      <c r="F154" s="3">
        <f t="shared" si="85"/>
        <v>2.7617180594802851E-2</v>
      </c>
      <c r="G154" s="3">
        <f t="shared" si="85"/>
        <v>2.7617180594802851E-2</v>
      </c>
      <c r="H154" s="3">
        <f t="shared" si="85"/>
        <v>2.7617180594802851E-2</v>
      </c>
      <c r="I154" s="3">
        <f t="shared" si="85"/>
        <v>2.7617180594802851E-2</v>
      </c>
      <c r="J154" s="3">
        <f t="shared" si="85"/>
        <v>2.7617180594802851E-2</v>
      </c>
      <c r="K154" s="3">
        <f t="shared" si="85"/>
        <v>2.7617180594802851E-2</v>
      </c>
      <c r="L154" s="3">
        <f t="shared" si="85"/>
        <v>2.7617180594802851E-2</v>
      </c>
      <c r="M154" s="3">
        <f t="shared" si="85"/>
        <v>2.7617180594802851E-2</v>
      </c>
      <c r="N154" s="3">
        <f t="shared" si="85"/>
        <v>2.7617180594802847E-2</v>
      </c>
      <c r="O154" s="3">
        <f t="shared" si="85"/>
        <v>2.761718059480282E-2</v>
      </c>
      <c r="P154" s="3">
        <f t="shared" si="85"/>
        <v>2.7617180594802539E-2</v>
      </c>
      <c r="Q154" s="3">
        <f t="shared" si="85"/>
        <v>2.7617180594799732E-2</v>
      </c>
      <c r="R154" s="3">
        <f t="shared" si="85"/>
        <v>2.7617180594771661E-2</v>
      </c>
      <c r="S154" s="3">
        <f t="shared" si="85"/>
        <v>2.7617180594490958E-2</v>
      </c>
      <c r="T154" s="3">
        <f t="shared" si="85"/>
        <v>2.7617180591683933E-2</v>
      </c>
      <c r="U154" s="3">
        <f t="shared" si="85"/>
        <v>2.7617180563613664E-2</v>
      </c>
      <c r="V154" s="3">
        <f t="shared" si="85"/>
        <v>2.7617180282910991E-2</v>
      </c>
      <c r="W154" s="3">
        <f t="shared" si="85"/>
        <v>2.7617177475884432E-2</v>
      </c>
      <c r="X154" s="3">
        <f t="shared" si="85"/>
        <v>2.7617149405634495E-2</v>
      </c>
      <c r="Y154" s="3">
        <f t="shared" si="85"/>
        <v>2.7616868704704322E-2</v>
      </c>
      <c r="Z154" s="3">
        <f t="shared" si="85"/>
        <v>2.761406185231538E-2</v>
      </c>
      <c r="AA154" s="3">
        <f t="shared" ref="AA154:AF154" si="86">$C40*EXP(-AA$129/$A40/EXP(-$B$126))</f>
        <v>2.7586009013803949E-2</v>
      </c>
      <c r="AB154" s="3">
        <f t="shared" si="86"/>
        <v>2.7307043283691414E-2</v>
      </c>
      <c r="AC154" s="3">
        <f t="shared" si="86"/>
        <v>2.4667931176829944E-2</v>
      </c>
      <c r="AD154" s="3">
        <f t="shared" si="86"/>
        <v>8.9271580081683732E-3</v>
      </c>
      <c r="AE154" s="3">
        <f t="shared" si="86"/>
        <v>3.4396809269052391E-7</v>
      </c>
      <c r="AF154" s="3">
        <f t="shared" si="86"/>
        <v>2.4806615963332958E-51</v>
      </c>
    </row>
    <row r="155" spans="1:32" x14ac:dyDescent="0.25">
      <c r="B155" s="3">
        <f t="shared" ref="B155:Z155" si="87">$C41*EXP(-B$129/$A41/EXP(-$B$126))</f>
        <v>1.9414083287208013E-2</v>
      </c>
      <c r="C155" s="3">
        <f t="shared" si="87"/>
        <v>1.9414083287208013E-2</v>
      </c>
      <c r="D155" s="3">
        <f t="shared" si="87"/>
        <v>1.9414083287208013E-2</v>
      </c>
      <c r="E155" s="3">
        <f t="shared" si="87"/>
        <v>1.9414083287208013E-2</v>
      </c>
      <c r="F155" s="3">
        <f t="shared" si="87"/>
        <v>1.9414083287208013E-2</v>
      </c>
      <c r="G155" s="3">
        <f t="shared" si="87"/>
        <v>1.9414083287208013E-2</v>
      </c>
      <c r="H155" s="3">
        <f t="shared" si="87"/>
        <v>1.9414083287208013E-2</v>
      </c>
      <c r="I155" s="3">
        <f t="shared" si="87"/>
        <v>1.9414083287208013E-2</v>
      </c>
      <c r="J155" s="3">
        <f t="shared" si="87"/>
        <v>1.9414083287208013E-2</v>
      </c>
      <c r="K155" s="3">
        <f t="shared" si="87"/>
        <v>1.9414083287208013E-2</v>
      </c>
      <c r="L155" s="3">
        <f t="shared" si="87"/>
        <v>1.9414083287208013E-2</v>
      </c>
      <c r="M155" s="3">
        <f t="shared" si="87"/>
        <v>1.9414083287208013E-2</v>
      </c>
      <c r="N155" s="3">
        <f t="shared" si="87"/>
        <v>1.9414083287208013E-2</v>
      </c>
      <c r="O155" s="3">
        <f t="shared" si="87"/>
        <v>1.9414083287208009E-2</v>
      </c>
      <c r="P155" s="3">
        <f t="shared" si="87"/>
        <v>1.9414083287207992E-2</v>
      </c>
      <c r="Q155" s="3">
        <f t="shared" si="87"/>
        <v>1.9414083287207794E-2</v>
      </c>
      <c r="R155" s="3">
        <f t="shared" si="87"/>
        <v>1.941408328720582E-2</v>
      </c>
      <c r="S155" s="3">
        <f t="shared" si="87"/>
        <v>1.941408328718609E-2</v>
      </c>
      <c r="T155" s="3">
        <f t="shared" si="87"/>
        <v>1.9414083286988761E-2</v>
      </c>
      <c r="U155" s="3">
        <f t="shared" si="87"/>
        <v>1.9414083285015503E-2</v>
      </c>
      <c r="V155" s="3">
        <f t="shared" si="87"/>
        <v>1.9414083265282912E-2</v>
      </c>
      <c r="W155" s="3">
        <f t="shared" si="87"/>
        <v>1.941408306795701E-2</v>
      </c>
      <c r="X155" s="3">
        <f t="shared" si="87"/>
        <v>1.941408109469811E-2</v>
      </c>
      <c r="Y155" s="3">
        <f t="shared" si="87"/>
        <v>1.9414061362120111E-2</v>
      </c>
      <c r="Z155" s="3">
        <f t="shared" si="87"/>
        <v>1.9413864037443235E-2</v>
      </c>
      <c r="AA155" s="3">
        <f t="shared" ref="AA155:AF155" si="88">$C41*EXP(-AA$129/$A41/EXP(-$B$126))</f>
        <v>1.9411890900979618E-2</v>
      </c>
      <c r="AB155" s="3">
        <f t="shared" si="88"/>
        <v>1.9392170562712866E-2</v>
      </c>
      <c r="AC155" s="3">
        <f t="shared" si="88"/>
        <v>1.9196065681546946E-2</v>
      </c>
      <c r="AD155" s="3">
        <f t="shared" si="88"/>
        <v>1.7340845809590524E-2</v>
      </c>
      <c r="AE155" s="3">
        <f t="shared" si="88"/>
        <v>6.2755352051129245E-3</v>
      </c>
      <c r="AF155" s="3">
        <f t="shared" si="88"/>
        <v>2.4179967164688005E-7</v>
      </c>
    </row>
    <row r="156" spans="1:32" x14ac:dyDescent="0.25">
      <c r="B156" s="3">
        <f t="shared" ref="B156:Z156" si="89">$C42*EXP(-B$129/$A42/EXP(-$B$126))</f>
        <v>7.1410981840430545E-3</v>
      </c>
      <c r="C156" s="3">
        <f t="shared" si="89"/>
        <v>7.1410981840430545E-3</v>
      </c>
      <c r="D156" s="3">
        <f t="shared" si="89"/>
        <v>7.1410981840430545E-3</v>
      </c>
      <c r="E156" s="3">
        <f t="shared" si="89"/>
        <v>7.1410981840430545E-3</v>
      </c>
      <c r="F156" s="3">
        <f t="shared" si="89"/>
        <v>7.1410981840430545E-3</v>
      </c>
      <c r="G156" s="3">
        <f t="shared" si="89"/>
        <v>7.1410981840430545E-3</v>
      </c>
      <c r="H156" s="3">
        <f t="shared" si="89"/>
        <v>7.1410981840430545E-3</v>
      </c>
      <c r="I156" s="3">
        <f t="shared" si="89"/>
        <v>7.1410981840430545E-3</v>
      </c>
      <c r="J156" s="3">
        <f t="shared" si="89"/>
        <v>7.1410981840430545E-3</v>
      </c>
      <c r="K156" s="3">
        <f t="shared" si="89"/>
        <v>7.1410981840430545E-3</v>
      </c>
      <c r="L156" s="3">
        <f t="shared" si="89"/>
        <v>7.1410981840430545E-3</v>
      </c>
      <c r="M156" s="3">
        <f t="shared" si="89"/>
        <v>7.1410981840430545E-3</v>
      </c>
      <c r="N156" s="3">
        <f t="shared" si="89"/>
        <v>7.1410981840430545E-3</v>
      </c>
      <c r="O156" s="3">
        <f t="shared" si="89"/>
        <v>7.1410981840430545E-3</v>
      </c>
      <c r="P156" s="3">
        <f t="shared" si="89"/>
        <v>7.1410981840430536E-3</v>
      </c>
      <c r="Q156" s="3">
        <f t="shared" si="89"/>
        <v>7.1410981840430467E-3</v>
      </c>
      <c r="R156" s="3">
        <f t="shared" si="89"/>
        <v>7.1410981840429738E-3</v>
      </c>
      <c r="S156" s="3">
        <f t="shared" si="89"/>
        <v>7.1410981840422478E-3</v>
      </c>
      <c r="T156" s="3">
        <f t="shared" si="89"/>
        <v>7.1410981840349897E-3</v>
      </c>
      <c r="U156" s="3">
        <f t="shared" si="89"/>
        <v>7.1410981839624072E-3</v>
      </c>
      <c r="V156" s="3">
        <f t="shared" si="89"/>
        <v>7.1410981832365815E-3</v>
      </c>
      <c r="W156" s="3">
        <f t="shared" si="89"/>
        <v>7.1410981759783268E-3</v>
      </c>
      <c r="X156" s="3">
        <f t="shared" si="89"/>
        <v>7.1410981033957783E-3</v>
      </c>
      <c r="Y156" s="3">
        <f t="shared" si="89"/>
        <v>7.1410973775703377E-3</v>
      </c>
      <c r="Z156" s="3">
        <f t="shared" si="89"/>
        <v>7.1410901193199828E-3</v>
      </c>
      <c r="AA156" s="3">
        <f t="shared" ref="AA156:AF156" si="90">$C42*EXP(-AA$129/$A42/EXP(-$B$126))</f>
        <v>7.1410175372221898E-3</v>
      </c>
      <c r="AB156" s="3">
        <f t="shared" si="90"/>
        <v>7.1402917568178957E-3</v>
      </c>
      <c r="AC156" s="3">
        <f t="shared" si="90"/>
        <v>7.1330380086134567E-3</v>
      </c>
      <c r="AD156" s="3">
        <f t="shared" si="90"/>
        <v>7.0609045892776759E-3</v>
      </c>
      <c r="AE156" s="3">
        <f t="shared" si="90"/>
        <v>6.3784975416393292E-3</v>
      </c>
      <c r="AF156" s="3">
        <f t="shared" si="90"/>
        <v>2.3083352633321789E-3</v>
      </c>
    </row>
    <row r="157" spans="1:32" x14ac:dyDescent="0.25">
      <c r="B157" s="3">
        <f t="shared" ref="B157:Z157" si="91">$C43*EXP(-B$129/$A43/EXP(-$B$126))</f>
        <v>4.5211816855299626E-3</v>
      </c>
      <c r="C157" s="3">
        <f t="shared" si="91"/>
        <v>4.5211816855299626E-3</v>
      </c>
      <c r="D157" s="3">
        <f t="shared" si="91"/>
        <v>4.5211816855299626E-3</v>
      </c>
      <c r="E157" s="3">
        <f t="shared" si="91"/>
        <v>4.5211816855299626E-3</v>
      </c>
      <c r="F157" s="3">
        <f t="shared" si="91"/>
        <v>4.5211816855299626E-3</v>
      </c>
      <c r="G157" s="3">
        <f t="shared" si="91"/>
        <v>4.5211816855299626E-3</v>
      </c>
      <c r="H157" s="3">
        <f t="shared" si="91"/>
        <v>4.5211816855299626E-3</v>
      </c>
      <c r="I157" s="3">
        <f t="shared" si="91"/>
        <v>4.5211816855299626E-3</v>
      </c>
      <c r="J157" s="3">
        <f t="shared" si="91"/>
        <v>4.5211816855299626E-3</v>
      </c>
      <c r="K157" s="3">
        <f t="shared" si="91"/>
        <v>4.5211816855299626E-3</v>
      </c>
      <c r="L157" s="3">
        <f t="shared" si="91"/>
        <v>4.5211816855299626E-3</v>
      </c>
      <c r="M157" s="3">
        <f t="shared" si="91"/>
        <v>4.5211816855299626E-3</v>
      </c>
      <c r="N157" s="3">
        <f t="shared" si="91"/>
        <v>4.5211816855299626E-3</v>
      </c>
      <c r="O157" s="3">
        <f t="shared" si="91"/>
        <v>4.5211816855299626E-3</v>
      </c>
      <c r="P157" s="3">
        <f t="shared" si="91"/>
        <v>4.5211816855299626E-3</v>
      </c>
      <c r="Q157" s="3">
        <f t="shared" si="91"/>
        <v>4.5211816855299618E-3</v>
      </c>
      <c r="R157" s="3">
        <f t="shared" si="91"/>
        <v>4.5211816855299574E-3</v>
      </c>
      <c r="S157" s="3">
        <f t="shared" si="91"/>
        <v>4.5211816855299115E-3</v>
      </c>
      <c r="T157" s="3">
        <f t="shared" si="91"/>
        <v>4.5211816855294518E-3</v>
      </c>
      <c r="U157" s="3">
        <f t="shared" si="91"/>
        <v>4.5211816855248565E-3</v>
      </c>
      <c r="V157" s="3">
        <f t="shared" si="91"/>
        <v>4.5211816854789028E-3</v>
      </c>
      <c r="W157" s="3">
        <f t="shared" si="91"/>
        <v>4.5211816850193676E-3</v>
      </c>
      <c r="X157" s="3">
        <f t="shared" si="91"/>
        <v>4.5211816804240114E-3</v>
      </c>
      <c r="Y157" s="3">
        <f t="shared" si="91"/>
        <v>4.521181634470451E-3</v>
      </c>
      <c r="Z157" s="3">
        <f t="shared" si="91"/>
        <v>4.5211811749348713E-3</v>
      </c>
      <c r="AA157" s="3">
        <f t="shared" ref="AA157:AF157" si="92">$C43*EXP(-AA$129/$A43/EXP(-$B$126))</f>
        <v>4.5211765795816466E-3</v>
      </c>
      <c r="AB157" s="3">
        <f t="shared" si="92"/>
        <v>4.5211306263062837E-3</v>
      </c>
      <c r="AC157" s="3">
        <f t="shared" si="92"/>
        <v>4.5206711192406976E-3</v>
      </c>
      <c r="AD157" s="3">
        <f t="shared" si="92"/>
        <v>4.516078616422765E-3</v>
      </c>
      <c r="AE157" s="3">
        <f t="shared" si="92"/>
        <v>4.4704094089688855E-3</v>
      </c>
      <c r="AF157" s="3">
        <f t="shared" si="92"/>
        <v>4.038362941276674E-3</v>
      </c>
    </row>
    <row r="158" spans="1:32" x14ac:dyDescent="0.25">
      <c r="B158" s="3">
        <f t="shared" ref="B158:Z158" si="93">$C44*EXP(-B$129/$A44/EXP(-$B$126))</f>
        <v>2.8020776239336834E-3</v>
      </c>
      <c r="C158" s="3">
        <f t="shared" si="93"/>
        <v>2.8020776239336834E-3</v>
      </c>
      <c r="D158" s="3">
        <f t="shared" si="93"/>
        <v>2.8020776239336834E-3</v>
      </c>
      <c r="E158" s="3">
        <f t="shared" si="93"/>
        <v>2.8020776239336834E-3</v>
      </c>
      <c r="F158" s="3">
        <f t="shared" si="93"/>
        <v>2.8020776239336834E-3</v>
      </c>
      <c r="G158" s="3">
        <f t="shared" si="93"/>
        <v>2.8020776239336834E-3</v>
      </c>
      <c r="H158" s="3">
        <f t="shared" si="93"/>
        <v>2.8020776239336834E-3</v>
      </c>
      <c r="I158" s="3">
        <f t="shared" si="93"/>
        <v>2.8020776239336834E-3</v>
      </c>
      <c r="J158" s="3">
        <f t="shared" si="93"/>
        <v>2.8020776239336834E-3</v>
      </c>
      <c r="K158" s="3">
        <f t="shared" si="93"/>
        <v>2.8020776239336834E-3</v>
      </c>
      <c r="L158" s="3">
        <f t="shared" si="93"/>
        <v>2.8020776239336834E-3</v>
      </c>
      <c r="M158" s="3">
        <f t="shared" si="93"/>
        <v>2.8020776239336834E-3</v>
      </c>
      <c r="N158" s="3">
        <f t="shared" si="93"/>
        <v>2.8020776239336834E-3</v>
      </c>
      <c r="O158" s="3">
        <f t="shared" si="93"/>
        <v>2.8020776239336834E-3</v>
      </c>
      <c r="P158" s="3">
        <f t="shared" si="93"/>
        <v>2.8020776239336834E-3</v>
      </c>
      <c r="Q158" s="3">
        <f t="shared" si="93"/>
        <v>2.8020776239336834E-3</v>
      </c>
      <c r="R158" s="3">
        <f t="shared" si="93"/>
        <v>2.802077623933683E-3</v>
      </c>
      <c r="S158" s="3">
        <f t="shared" si="93"/>
        <v>2.8020776239336804E-3</v>
      </c>
      <c r="T158" s="3">
        <f t="shared" si="93"/>
        <v>2.8020776239336517E-3</v>
      </c>
      <c r="U158" s="3">
        <f t="shared" si="93"/>
        <v>2.8020776239333668E-3</v>
      </c>
      <c r="V158" s="3">
        <f t="shared" si="93"/>
        <v>2.8020776239305188E-3</v>
      </c>
      <c r="W158" s="3">
        <f t="shared" si="93"/>
        <v>2.8020776239020386E-3</v>
      </c>
      <c r="X158" s="3">
        <f t="shared" si="93"/>
        <v>2.8020776236172334E-3</v>
      </c>
      <c r="Y158" s="3">
        <f t="shared" si="93"/>
        <v>2.8020776207691852E-3</v>
      </c>
      <c r="Z158" s="3">
        <f t="shared" si="93"/>
        <v>2.8020775922887008E-3</v>
      </c>
      <c r="AA158" s="3">
        <f t="shared" ref="AA158:AF158" si="94">$C44*EXP(-AA$129/$A44/EXP(-$B$126))</f>
        <v>2.8020773074838748E-3</v>
      </c>
      <c r="AB158" s="3">
        <f t="shared" si="94"/>
        <v>2.8020744594372039E-3</v>
      </c>
      <c r="AC158" s="3">
        <f t="shared" si="94"/>
        <v>2.8020459791297104E-3</v>
      </c>
      <c r="AD158" s="3">
        <f t="shared" si="94"/>
        <v>2.8017611919753612E-3</v>
      </c>
      <c r="AE158" s="3">
        <f t="shared" si="94"/>
        <v>2.7989149118921764E-3</v>
      </c>
      <c r="AF158" s="3">
        <f t="shared" si="94"/>
        <v>2.7706106602141552E-3</v>
      </c>
    </row>
    <row r="159" spans="1:32" x14ac:dyDescent="0.25">
      <c r="A159" s="11" t="s">
        <v>75</v>
      </c>
      <c r="B159" s="3">
        <f t="shared" ref="B159:Z159" si="95">$C45*EXP(-B$129/$A45/EXP(-$B$126))</f>
        <v>1.1789652234967252E-3</v>
      </c>
      <c r="C159" s="3">
        <f t="shared" si="95"/>
        <v>1.1789652234967252E-3</v>
      </c>
      <c r="D159" s="3">
        <f t="shared" si="95"/>
        <v>1.1789652234967252E-3</v>
      </c>
      <c r="E159" s="3">
        <f t="shared" si="95"/>
        <v>1.1789652234967252E-3</v>
      </c>
      <c r="F159" s="3">
        <f t="shared" si="95"/>
        <v>1.1789652234967252E-3</v>
      </c>
      <c r="G159" s="3">
        <f t="shared" si="95"/>
        <v>1.1789652234967252E-3</v>
      </c>
      <c r="H159" s="3">
        <f t="shared" si="95"/>
        <v>1.1789652234967252E-3</v>
      </c>
      <c r="I159" s="3">
        <f t="shared" si="95"/>
        <v>1.1789652234967252E-3</v>
      </c>
      <c r="J159" s="3">
        <f t="shared" si="95"/>
        <v>1.1789652234967252E-3</v>
      </c>
      <c r="K159" s="3">
        <f t="shared" si="95"/>
        <v>1.1789652234967252E-3</v>
      </c>
      <c r="L159" s="3">
        <f t="shared" si="95"/>
        <v>1.1789652234967252E-3</v>
      </c>
      <c r="M159" s="3">
        <f t="shared" si="95"/>
        <v>1.1789652234967252E-3</v>
      </c>
      <c r="N159" s="3">
        <f t="shared" si="95"/>
        <v>1.1789652234967252E-3</v>
      </c>
      <c r="O159" s="3">
        <f t="shared" si="95"/>
        <v>1.1789652234967252E-3</v>
      </c>
      <c r="P159" s="3">
        <f t="shared" si="95"/>
        <v>1.1789652234967252E-3</v>
      </c>
      <c r="Q159" s="3">
        <f t="shared" si="95"/>
        <v>1.1789652234967252E-3</v>
      </c>
      <c r="R159" s="3">
        <f t="shared" si="95"/>
        <v>1.1789652234967252E-3</v>
      </c>
      <c r="S159" s="3">
        <f t="shared" si="95"/>
        <v>1.178965223496725E-3</v>
      </c>
      <c r="T159" s="3">
        <f t="shared" si="95"/>
        <v>1.1789652234967239E-3</v>
      </c>
      <c r="U159" s="3">
        <f t="shared" si="95"/>
        <v>1.1789652234967117E-3</v>
      </c>
      <c r="V159" s="3">
        <f t="shared" si="95"/>
        <v>1.178965223496592E-3</v>
      </c>
      <c r="W159" s="3">
        <f t="shared" si="95"/>
        <v>1.1789652234953938E-3</v>
      </c>
      <c r="X159" s="3">
        <f t="shared" si="95"/>
        <v>1.1789652234834107E-3</v>
      </c>
      <c r="Y159" s="3">
        <f t="shared" si="95"/>
        <v>1.1789652233635799E-3</v>
      </c>
      <c r="Z159" s="3">
        <f t="shared" si="95"/>
        <v>1.1789652221652726E-3</v>
      </c>
      <c r="AA159" s="3">
        <f t="shared" ref="AA159:AF159" si="96">$C45*EXP(-AA$129/$A45/EXP(-$B$126))</f>
        <v>1.1789652101821997E-3</v>
      </c>
      <c r="AB159" s="3">
        <f t="shared" si="96"/>
        <v>1.1789650903514775E-3</v>
      </c>
      <c r="AC159" s="3">
        <f t="shared" si="96"/>
        <v>1.1789638920449241E-3</v>
      </c>
      <c r="AD159" s="3">
        <f t="shared" si="96"/>
        <v>1.1789519090463795E-3</v>
      </c>
      <c r="AE159" s="3">
        <f t="shared" si="96"/>
        <v>1.1788320857594695E-3</v>
      </c>
      <c r="AF159" s="3">
        <f t="shared" si="96"/>
        <v>1.1776345224922195E-3</v>
      </c>
    </row>
    <row r="160" spans="1:32" x14ac:dyDescent="0.25">
      <c r="B160" s="3">
        <f t="shared" ref="B160:Z160" si="97">$C46*EXP(-B$129/$A46/EXP(-$B$126))</f>
        <v>7.7792567568049035E-4</v>
      </c>
      <c r="C160" s="3">
        <f t="shared" si="97"/>
        <v>7.7792567568049035E-4</v>
      </c>
      <c r="D160" s="3">
        <f t="shared" si="97"/>
        <v>7.7792567568049035E-4</v>
      </c>
      <c r="E160" s="3">
        <f t="shared" si="97"/>
        <v>7.7792567568049035E-4</v>
      </c>
      <c r="F160" s="3">
        <f t="shared" si="97"/>
        <v>7.7792567568049035E-4</v>
      </c>
      <c r="G160" s="3">
        <f t="shared" si="97"/>
        <v>7.7792567568049035E-4</v>
      </c>
      <c r="H160" s="3">
        <f t="shared" si="97"/>
        <v>7.7792567568049035E-4</v>
      </c>
      <c r="I160" s="3">
        <f t="shared" si="97"/>
        <v>7.7792567568049035E-4</v>
      </c>
      <c r="J160" s="3">
        <f t="shared" si="97"/>
        <v>7.7792567568049035E-4</v>
      </c>
      <c r="K160" s="3">
        <f t="shared" si="97"/>
        <v>7.7792567568049035E-4</v>
      </c>
      <c r="L160" s="3">
        <f t="shared" si="97"/>
        <v>7.7792567568049035E-4</v>
      </c>
      <c r="M160" s="3">
        <f t="shared" si="97"/>
        <v>7.7792567568049035E-4</v>
      </c>
      <c r="N160" s="3">
        <f t="shared" si="97"/>
        <v>7.7792567568049035E-4</v>
      </c>
      <c r="O160" s="3">
        <f t="shared" si="97"/>
        <v>7.7792567568049035E-4</v>
      </c>
      <c r="P160" s="3">
        <f t="shared" si="97"/>
        <v>7.7792567568049035E-4</v>
      </c>
      <c r="Q160" s="3">
        <f t="shared" si="97"/>
        <v>7.7792567568049035E-4</v>
      </c>
      <c r="R160" s="3">
        <f t="shared" si="97"/>
        <v>7.7792567568049035E-4</v>
      </c>
      <c r="S160" s="3">
        <f t="shared" si="97"/>
        <v>7.7792567568049035E-4</v>
      </c>
      <c r="T160" s="3">
        <f t="shared" si="97"/>
        <v>7.7792567568049024E-4</v>
      </c>
      <c r="U160" s="3">
        <f t="shared" si="97"/>
        <v>7.7792567568048948E-4</v>
      </c>
      <c r="V160" s="3">
        <f t="shared" si="97"/>
        <v>7.7792567568048157E-4</v>
      </c>
      <c r="W160" s="3">
        <f t="shared" si="97"/>
        <v>7.7792567568040253E-4</v>
      </c>
      <c r="X160" s="3">
        <f t="shared" si="97"/>
        <v>7.7792567567961182E-4</v>
      </c>
      <c r="Y160" s="3">
        <f t="shared" si="97"/>
        <v>7.7792567567170495E-4</v>
      </c>
      <c r="Z160" s="3">
        <f t="shared" si="97"/>
        <v>7.7792567559263615E-4</v>
      </c>
      <c r="AA160" s="3">
        <f t="shared" ref="AA160:AF160" si="98">$C46*EXP(-AA$129/$A46/EXP(-$B$126))</f>
        <v>7.7792567480194778E-4</v>
      </c>
      <c r="AB160" s="3">
        <f t="shared" si="98"/>
        <v>7.7792566689506484E-4</v>
      </c>
      <c r="AC160" s="3">
        <f t="shared" si="98"/>
        <v>7.7792558782623924E-4</v>
      </c>
      <c r="AD160" s="3">
        <f t="shared" si="98"/>
        <v>7.7792479713842541E-4</v>
      </c>
      <c r="AE160" s="3">
        <f t="shared" si="98"/>
        <v>7.7791689030448858E-4</v>
      </c>
      <c r="AF160" s="3">
        <f t="shared" si="98"/>
        <v>7.7783782638506679E-4</v>
      </c>
    </row>
    <row r="161" spans="1:34" x14ac:dyDescent="0.25">
      <c r="A161" s="11" t="s">
        <v>75</v>
      </c>
      <c r="B161" s="3">
        <f t="shared" ref="B161:Z161" si="99">$C47*EXP(-B$129/$A47/EXP(-$B$126))</f>
        <v>1.7877728547757263E-3</v>
      </c>
      <c r="C161" s="3">
        <f t="shared" si="99"/>
        <v>1.7877728547757263E-3</v>
      </c>
      <c r="D161" s="3">
        <f t="shared" si="99"/>
        <v>1.7877728547757263E-3</v>
      </c>
      <c r="E161" s="3">
        <f t="shared" si="99"/>
        <v>1.7877728547757263E-3</v>
      </c>
      <c r="F161" s="3">
        <f t="shared" si="99"/>
        <v>1.7877728547757263E-3</v>
      </c>
      <c r="G161" s="3">
        <f t="shared" si="99"/>
        <v>1.7877728547757263E-3</v>
      </c>
      <c r="H161" s="3">
        <f t="shared" si="99"/>
        <v>1.7877728547757263E-3</v>
      </c>
      <c r="I161" s="3">
        <f t="shared" si="99"/>
        <v>1.7877728547757263E-3</v>
      </c>
      <c r="J161" s="3">
        <f t="shared" si="99"/>
        <v>1.7877728547757263E-3</v>
      </c>
      <c r="K161" s="3">
        <f t="shared" si="99"/>
        <v>1.7877728547757263E-3</v>
      </c>
      <c r="L161" s="3">
        <f t="shared" si="99"/>
        <v>1.7877728547757263E-3</v>
      </c>
      <c r="M161" s="3">
        <f t="shared" si="99"/>
        <v>1.7877728547757263E-3</v>
      </c>
      <c r="N161" s="3">
        <f t="shared" si="99"/>
        <v>1.7877728547757263E-3</v>
      </c>
      <c r="O161" s="3">
        <f t="shared" si="99"/>
        <v>1.7877728547757263E-3</v>
      </c>
      <c r="P161" s="3">
        <f t="shared" si="99"/>
        <v>1.7877728547757263E-3</v>
      </c>
      <c r="Q161" s="3">
        <f t="shared" si="99"/>
        <v>1.7877728547757263E-3</v>
      </c>
      <c r="R161" s="3">
        <f t="shared" si="99"/>
        <v>1.7877728547757263E-3</v>
      </c>
      <c r="S161" s="3">
        <f t="shared" si="99"/>
        <v>1.7877728547757263E-3</v>
      </c>
      <c r="T161" s="3">
        <f t="shared" si="99"/>
        <v>1.7877728547757263E-3</v>
      </c>
      <c r="U161" s="3">
        <f t="shared" si="99"/>
        <v>1.7877728547757261E-3</v>
      </c>
      <c r="V161" s="3">
        <f t="shared" si="99"/>
        <v>1.7877728547757243E-3</v>
      </c>
      <c r="W161" s="3">
        <f t="shared" si="99"/>
        <v>1.7877728547757061E-3</v>
      </c>
      <c r="X161" s="3">
        <f t="shared" si="99"/>
        <v>1.7877728547755244E-3</v>
      </c>
      <c r="Y161" s="3">
        <f t="shared" si="99"/>
        <v>1.7877728547737073E-3</v>
      </c>
      <c r="Z161" s="3">
        <f t="shared" si="99"/>
        <v>1.7877728547555363E-3</v>
      </c>
      <c r="AA161" s="3">
        <f t="shared" ref="AA161:AF161" si="100">$C47*EXP(-AA$129/$A47/EXP(-$B$126))</f>
        <v>1.787772854573826E-3</v>
      </c>
      <c r="AB161" s="3">
        <f t="shared" si="100"/>
        <v>1.7877728527567231E-3</v>
      </c>
      <c r="AC161" s="3">
        <f t="shared" si="100"/>
        <v>1.7877728345856928E-3</v>
      </c>
      <c r="AD161" s="3">
        <f t="shared" si="100"/>
        <v>1.787772652875403E-3</v>
      </c>
      <c r="AE161" s="3">
        <f t="shared" si="100"/>
        <v>1.78777083577352E-3</v>
      </c>
      <c r="AF161" s="3">
        <f t="shared" si="100"/>
        <v>1.78775266485627E-3</v>
      </c>
    </row>
    <row r="162" spans="1:34" x14ac:dyDescent="0.25">
      <c r="B162" s="3">
        <f t="shared" ref="B162:Z162" si="101">$C48*EXP(-B$129/$A48/EXP(-$B$126))</f>
        <v>1.1370273508997292E-2</v>
      </c>
      <c r="C162" s="3">
        <f t="shared" si="101"/>
        <v>1.1370273508997292E-2</v>
      </c>
      <c r="D162" s="3">
        <f t="shared" si="101"/>
        <v>1.1370273508997292E-2</v>
      </c>
      <c r="E162" s="3">
        <f t="shared" si="101"/>
        <v>1.1370273508997292E-2</v>
      </c>
      <c r="F162" s="3">
        <f t="shared" si="101"/>
        <v>1.1370273508997292E-2</v>
      </c>
      <c r="G162" s="3">
        <f t="shared" si="101"/>
        <v>1.1370273508997292E-2</v>
      </c>
      <c r="H162" s="3">
        <f t="shared" si="101"/>
        <v>1.1370273508997292E-2</v>
      </c>
      <c r="I162" s="3">
        <f t="shared" si="101"/>
        <v>1.1370273508997292E-2</v>
      </c>
      <c r="J162" s="3">
        <f t="shared" si="101"/>
        <v>1.1370273508997292E-2</v>
      </c>
      <c r="K162" s="3">
        <f t="shared" si="101"/>
        <v>1.1370273508997292E-2</v>
      </c>
      <c r="L162" s="3">
        <f t="shared" si="101"/>
        <v>1.1370273508997292E-2</v>
      </c>
      <c r="M162" s="3">
        <f t="shared" si="101"/>
        <v>1.1370273508997292E-2</v>
      </c>
      <c r="N162" s="3">
        <f t="shared" si="101"/>
        <v>1.1370273508997292E-2</v>
      </c>
      <c r="O162" s="3">
        <f t="shared" si="101"/>
        <v>1.1370273508997292E-2</v>
      </c>
      <c r="P162" s="3">
        <f t="shared" si="101"/>
        <v>1.1370273508997292E-2</v>
      </c>
      <c r="Q162" s="3">
        <f t="shared" si="101"/>
        <v>1.1370273508997292E-2</v>
      </c>
      <c r="R162" s="3">
        <f t="shared" si="101"/>
        <v>1.1370273508997292E-2</v>
      </c>
      <c r="S162" s="3">
        <f t="shared" si="101"/>
        <v>1.1370273508997292E-2</v>
      </c>
      <c r="T162" s="3">
        <f t="shared" si="101"/>
        <v>1.1370273508997292E-2</v>
      </c>
      <c r="U162" s="3">
        <f t="shared" si="101"/>
        <v>1.1370273508997292E-2</v>
      </c>
      <c r="V162" s="3">
        <f t="shared" si="101"/>
        <v>1.1370273508997291E-2</v>
      </c>
      <c r="W162" s="3">
        <f t="shared" si="101"/>
        <v>1.137027350899728E-2</v>
      </c>
      <c r="X162" s="3">
        <f t="shared" si="101"/>
        <v>1.1370273508997164E-2</v>
      </c>
      <c r="Y162" s="3">
        <f t="shared" si="101"/>
        <v>1.1370273508996009E-2</v>
      </c>
      <c r="Z162" s="3">
        <f t="shared" si="101"/>
        <v>1.1370273508984452E-2</v>
      </c>
      <c r="AA162" s="3">
        <f t="shared" ref="AA162:AF162" si="102">$C48*EXP(-AA$129/$A48/EXP(-$B$126))</f>
        <v>1.1370273508868883E-2</v>
      </c>
      <c r="AB162" s="3">
        <f t="shared" si="102"/>
        <v>1.1370273507713202E-2</v>
      </c>
      <c r="AC162" s="3">
        <f t="shared" si="102"/>
        <v>1.1370273496156389E-2</v>
      </c>
      <c r="AD162" s="3">
        <f t="shared" si="102"/>
        <v>1.1370273380588249E-2</v>
      </c>
      <c r="AE162" s="3">
        <f t="shared" si="102"/>
        <v>1.1370272224906929E-2</v>
      </c>
      <c r="AF162" s="3">
        <f t="shared" si="102"/>
        <v>1.1370260668100174E-2</v>
      </c>
    </row>
    <row r="163" spans="1:34" x14ac:dyDescent="0.25">
      <c r="A163" s="79">
        <f>AVERAGE(B163:AF163)</f>
        <v>3.8268999776952993E-2</v>
      </c>
      <c r="B163" s="80">
        <f>IF($A$64&lt;=B129,IF($B$64&gt;=B129,ABS((B131-B130)/B130),0),0)</f>
        <v>7.1984759526684469E-2</v>
      </c>
      <c r="C163" s="80">
        <f t="shared" ref="C163:AF163" si="103">IF($A$64&lt;=C129,IF($B$64&gt;=C129,ABS((C131-C130)/C130),0),0)</f>
        <v>9.4720167842551536E-2</v>
      </c>
      <c r="D163" s="80">
        <f t="shared" si="103"/>
        <v>6.8742981952313126E-2</v>
      </c>
      <c r="E163" s="80">
        <f t="shared" si="103"/>
        <v>5.0237550215404617E-2</v>
      </c>
      <c r="F163" s="80">
        <f t="shared" si="103"/>
        <v>3.233001870294324E-2</v>
      </c>
      <c r="G163" s="80">
        <f t="shared" si="103"/>
        <v>1.2938287487021515E-2</v>
      </c>
      <c r="H163" s="80">
        <f t="shared" si="103"/>
        <v>1.6632437803361429E-3</v>
      </c>
      <c r="I163" s="80">
        <f t="shared" si="103"/>
        <v>1.4276542222516208E-2</v>
      </c>
      <c r="J163" s="80">
        <f t="shared" si="103"/>
        <v>9.8977694981135459E-3</v>
      </c>
      <c r="K163" s="80">
        <f t="shared" si="103"/>
        <v>9.9180240107556664E-3</v>
      </c>
      <c r="L163" s="80">
        <f t="shared" si="103"/>
        <v>1.0178243207198923E-2</v>
      </c>
      <c r="M163" s="80">
        <f t="shared" si="103"/>
        <v>8.7754823216988215E-3</v>
      </c>
      <c r="N163" s="80">
        <f t="shared" si="103"/>
        <v>6.233573122076016E-3</v>
      </c>
      <c r="O163" s="80">
        <f t="shared" si="103"/>
        <v>4.9186478182113693E-3</v>
      </c>
      <c r="P163" s="80">
        <f t="shared" si="103"/>
        <v>5.225536261595159E-3</v>
      </c>
      <c r="Q163" s="80">
        <f t="shared" si="103"/>
        <v>7.0170707598860918E-3</v>
      </c>
      <c r="R163" s="80">
        <f t="shared" si="103"/>
        <v>4.7814629065295201E-3</v>
      </c>
      <c r="S163" s="80">
        <f t="shared" si="103"/>
        <v>5.9470616918793776E-3</v>
      </c>
      <c r="T163" s="80">
        <f t="shared" si="103"/>
        <v>2.2957453012133733E-3</v>
      </c>
      <c r="U163" s="80">
        <f t="shared" si="103"/>
        <v>1.3867879178573043E-3</v>
      </c>
      <c r="V163" s="80">
        <f t="shared" si="103"/>
        <v>1.9484164534029486E-2</v>
      </c>
      <c r="W163" s="80">
        <f t="shared" si="103"/>
        <v>5.2453026577430326E-2</v>
      </c>
      <c r="X163" s="80">
        <f t="shared" si="103"/>
        <v>7.3719410678094913E-2</v>
      </c>
      <c r="Y163" s="80">
        <f t="shared" si="103"/>
        <v>7.4238705976620065E-2</v>
      </c>
      <c r="Z163" s="80">
        <f t="shared" si="103"/>
        <v>7.6854547628722181E-2</v>
      </c>
      <c r="AA163" s="80">
        <f t="shared" si="103"/>
        <v>8.3127085082779523E-2</v>
      </c>
      <c r="AB163" s="80">
        <f t="shared" si="103"/>
        <v>0.10366467124786355</v>
      </c>
      <c r="AC163" s="80">
        <f t="shared" si="103"/>
        <v>9.1728245822326832E-2</v>
      </c>
      <c r="AD163" s="80">
        <f t="shared" si="103"/>
        <v>9.3877954992390766E-2</v>
      </c>
      <c r="AE163" s="80">
        <f t="shared" si="103"/>
        <v>5.4541285388117512E-2</v>
      </c>
      <c r="AF163" s="80">
        <f t="shared" si="103"/>
        <v>3.9180938610381376E-2</v>
      </c>
    </row>
    <row r="164" spans="1:34" x14ac:dyDescent="0.25">
      <c r="B164" s="21">
        <f>(B131-B130)^2</f>
        <v>612410.16578441474</v>
      </c>
      <c r="C164" s="21">
        <f t="shared" ref="C164:AF164" si="104">(C131-C130)^2</f>
        <v>1043724.1224298453</v>
      </c>
      <c r="D164" s="21">
        <f t="shared" si="104"/>
        <v>519495.57890901959</v>
      </c>
      <c r="E164" s="21">
        <f t="shared" si="104"/>
        <v>266734.83415978623</v>
      </c>
      <c r="F164" s="21">
        <f t="shared" si="104"/>
        <v>106388.85873817113</v>
      </c>
      <c r="G164" s="21">
        <f t="shared" si="104"/>
        <v>16333.456836211111</v>
      </c>
      <c r="H164" s="21">
        <f t="shared" si="104"/>
        <v>257.91233861249333</v>
      </c>
      <c r="I164" s="21">
        <f t="shared" si="104"/>
        <v>18010.922391501372</v>
      </c>
      <c r="J164" s="21">
        <f t="shared" si="104"/>
        <v>8174.7945215059799</v>
      </c>
      <c r="K164" s="21">
        <f t="shared" si="104"/>
        <v>7682.0288473899463</v>
      </c>
      <c r="L164" s="21">
        <f t="shared" si="104"/>
        <v>7609.198511946177</v>
      </c>
      <c r="M164" s="21">
        <f t="shared" si="104"/>
        <v>5286.6060727723543</v>
      </c>
      <c r="N164" s="21">
        <f t="shared" si="104"/>
        <v>2447.5780397478138</v>
      </c>
      <c r="O164" s="21">
        <f t="shared" si="104"/>
        <v>1378.4025336777227</v>
      </c>
      <c r="P164" s="21">
        <f t="shared" si="104"/>
        <v>1409.9412271189842</v>
      </c>
      <c r="Q164" s="21">
        <f t="shared" si="104"/>
        <v>2341.5202769817101</v>
      </c>
      <c r="R164" s="21">
        <f t="shared" si="104"/>
        <v>995.41266068255868</v>
      </c>
      <c r="S164" s="21">
        <f t="shared" si="104"/>
        <v>1409.314833165404</v>
      </c>
      <c r="T164" s="21">
        <f t="shared" si="104"/>
        <v>190.33518548745508</v>
      </c>
      <c r="U164" s="21">
        <f t="shared" si="104"/>
        <v>62.78272223371971</v>
      </c>
      <c r="V164" s="21">
        <f t="shared" si="104"/>
        <v>10528.913693049206</v>
      </c>
      <c r="W164" s="21">
        <f t="shared" si="104"/>
        <v>59992.62042085432</v>
      </c>
      <c r="X164" s="21">
        <f t="shared" si="104"/>
        <v>87611.320441916963</v>
      </c>
      <c r="Y164" s="21">
        <f t="shared" si="104"/>
        <v>64122.439130835366</v>
      </c>
      <c r="Z164" s="21">
        <f t="shared" si="104"/>
        <v>47127.269041090258</v>
      </c>
      <c r="AA164" s="21">
        <f t="shared" si="104"/>
        <v>35001.182013144855</v>
      </c>
      <c r="AB164" s="21">
        <f t="shared" si="104"/>
        <v>30187.436596269588</v>
      </c>
      <c r="AC164" s="21">
        <f t="shared" si="104"/>
        <v>12511.19227453745</v>
      </c>
      <c r="AD164" s="21">
        <f t="shared" si="104"/>
        <v>6829.1017456208456</v>
      </c>
      <c r="AE164" s="21">
        <f t="shared" si="104"/>
        <v>1463.8510559205195</v>
      </c>
      <c r="AF164" s="21">
        <f t="shared" si="104"/>
        <v>552.41567500528561</v>
      </c>
    </row>
    <row r="165" spans="1:34" x14ac:dyDescent="0.25">
      <c r="A165" s="71">
        <f>SUM(B165:AF165)</f>
        <v>2978271.5091085164</v>
      </c>
      <c r="B165" s="60">
        <f>IF($A$64&lt;=B129,IF($B$64&gt;=B129,ABS(B164),0),0)</f>
        <v>612410.16578441474</v>
      </c>
      <c r="C165" s="60">
        <f t="shared" ref="C165:AF165" si="105">IF($A$64&lt;=C129,IF($B$64&gt;=C129,ABS(C164),0),0)</f>
        <v>1043724.1224298453</v>
      </c>
      <c r="D165" s="60">
        <f t="shared" si="105"/>
        <v>519495.57890901959</v>
      </c>
      <c r="E165" s="60">
        <f t="shared" si="105"/>
        <v>266734.83415978623</v>
      </c>
      <c r="F165" s="60">
        <f t="shared" si="105"/>
        <v>106388.85873817113</v>
      </c>
      <c r="G165" s="60">
        <f t="shared" si="105"/>
        <v>16333.456836211111</v>
      </c>
      <c r="H165" s="60">
        <f t="shared" si="105"/>
        <v>257.91233861249333</v>
      </c>
      <c r="I165" s="60">
        <f t="shared" si="105"/>
        <v>18010.922391501372</v>
      </c>
      <c r="J165" s="60">
        <f t="shared" si="105"/>
        <v>8174.7945215059799</v>
      </c>
      <c r="K165" s="60">
        <f t="shared" si="105"/>
        <v>7682.0288473899463</v>
      </c>
      <c r="L165" s="60">
        <f t="shared" si="105"/>
        <v>7609.198511946177</v>
      </c>
      <c r="M165" s="60">
        <f t="shared" si="105"/>
        <v>5286.6060727723543</v>
      </c>
      <c r="N165" s="60">
        <f t="shared" si="105"/>
        <v>2447.5780397478138</v>
      </c>
      <c r="O165" s="60">
        <f t="shared" si="105"/>
        <v>1378.4025336777227</v>
      </c>
      <c r="P165" s="60">
        <f t="shared" si="105"/>
        <v>1409.9412271189842</v>
      </c>
      <c r="Q165" s="60">
        <f t="shared" si="105"/>
        <v>2341.5202769817101</v>
      </c>
      <c r="R165" s="60">
        <f t="shared" si="105"/>
        <v>995.41266068255868</v>
      </c>
      <c r="S165" s="60">
        <f t="shared" si="105"/>
        <v>1409.314833165404</v>
      </c>
      <c r="T165" s="60">
        <f t="shared" si="105"/>
        <v>190.33518548745508</v>
      </c>
      <c r="U165" s="60">
        <f t="shared" si="105"/>
        <v>62.78272223371971</v>
      </c>
      <c r="V165" s="60">
        <f t="shared" si="105"/>
        <v>10528.913693049206</v>
      </c>
      <c r="W165" s="60">
        <f t="shared" si="105"/>
        <v>59992.62042085432</v>
      </c>
      <c r="X165" s="60">
        <f t="shared" si="105"/>
        <v>87611.320441916963</v>
      </c>
      <c r="Y165" s="60">
        <f t="shared" si="105"/>
        <v>64122.439130835366</v>
      </c>
      <c r="Z165" s="60">
        <f t="shared" si="105"/>
        <v>47127.269041090258</v>
      </c>
      <c r="AA165" s="60">
        <f t="shared" si="105"/>
        <v>35001.182013144855</v>
      </c>
      <c r="AB165" s="60">
        <f t="shared" si="105"/>
        <v>30187.436596269588</v>
      </c>
      <c r="AC165" s="60">
        <f t="shared" si="105"/>
        <v>12511.19227453745</v>
      </c>
      <c r="AD165" s="60">
        <f t="shared" si="105"/>
        <v>6829.1017456208456</v>
      </c>
      <c r="AE165" s="60">
        <f t="shared" si="105"/>
        <v>1463.8510559205195</v>
      </c>
      <c r="AF165" s="60">
        <f t="shared" si="105"/>
        <v>552.41567500528561</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10681.367679183619</v>
      </c>
      <c r="C169" s="26">
        <f>INDEX(Comparison!$AM$3:$AS$33,G$14,$C$122)</f>
        <v>10340.369878221287</v>
      </c>
      <c r="D169" s="26">
        <f>INDEX(Comparison!$AM$3:$AS$33,H$14,$C$122)</f>
        <v>10144.235493546155</v>
      </c>
      <c r="E169" s="26">
        <f>INDEX(Comparison!$AM$3:$AS$33,I$14,$C$122)</f>
        <v>9945.8458355930761</v>
      </c>
      <c r="F169" s="26">
        <f>INDEX(Comparison!$AM$3:$AS$33,J$14,$C$122)</f>
        <v>9733.3402923935464</v>
      </c>
      <c r="G169" s="26">
        <f>INDEX(Comparison!$AM$3:$AS$33,K$14,$C$122)</f>
        <v>9498.3871358707802</v>
      </c>
      <c r="H169" s="26">
        <f>INDEX(Comparison!$AM$3:$AS$33,L$14,$C$122)</f>
        <v>9242.4212792479666</v>
      </c>
      <c r="I169" s="26">
        <f>INDEX(Comparison!$AM$3:$AS$33,M$14,$C$122)</f>
        <v>8962.4165772503438</v>
      </c>
      <c r="J169" s="26">
        <f>INDEX(Comparison!$AM$3:$AS$33,N$14,$C$122)</f>
        <v>8679.0953494242967</v>
      </c>
      <c r="K169" s="26">
        <f>INDEX(Comparison!$AM$3:$AS$33,O$14,$C$122)</f>
        <v>8412.1987380125211</v>
      </c>
      <c r="L169" s="26">
        <f>INDEX(Comparison!$AM$3:$AS$33,P$14,$C$122)</f>
        <v>8104.719083836997</v>
      </c>
      <c r="M169" s="26">
        <f>INDEX(Comparison!$AM$3:$AS$33,Q$14,$C$122)</f>
        <v>7738.4866265331348</v>
      </c>
      <c r="N169" s="26">
        <f>INDEX(Comparison!$AM$3:$AS$33,R$14,$C$122)</f>
        <v>7356.7094808941847</v>
      </c>
      <c r="O169" s="26">
        <f>INDEX(Comparison!$AM$3:$AS$33,S$14,$C$122)</f>
        <v>7029.386180221145</v>
      </c>
      <c r="P169" s="26">
        <f>INDEX(Comparison!$AM$3:$AS$33,T$14,$C$122)</f>
        <v>6740.4128171607354</v>
      </c>
      <c r="Q169" s="26">
        <f>INDEX(Comparison!$AM$3:$AS$33,U$14,$C$122)</f>
        <v>6451.1295620052033</v>
      </c>
      <c r="R169" s="26">
        <f>INDEX(Comparison!$AM$3:$AS$33,V$14,$C$122)</f>
        <v>6158.0006144488207</v>
      </c>
      <c r="S169" s="26">
        <f>INDEX(Comparison!$AM$3:$AS$33,W$14,$C$122)</f>
        <v>5864.4544291342345</v>
      </c>
      <c r="T169" s="26">
        <f>INDEX(Comparison!$AM$3:$AS$33,X$14,$C$122)</f>
        <v>5497.1399794237341</v>
      </c>
      <c r="U169" s="26">
        <f>INDEX(Comparison!$AM$3:$AS$33,Y$14,$C$122)</f>
        <v>4940.0481403456943</v>
      </c>
      <c r="V169" s="26">
        <f>INDEX(Comparison!$AM$3:$AS$33,Z$14,$C$122)</f>
        <v>4302.8208260658694</v>
      </c>
      <c r="W169" s="26">
        <f>INDEX(Comparison!$AM$3:$AS$33,AA$14,$C$122)</f>
        <v>3694.2569609036786</v>
      </c>
      <c r="X169" s="26">
        <f>INDEX(Comparison!$AM$3:$AS$33,AB$14,$C$122)</f>
        <v>3126.9337293210729</v>
      </c>
      <c r="Y169" s="26">
        <f>INDEX(Comparison!$AM$3:$AS$33,AC$14,$C$122)</f>
        <v>2566.4428591616524</v>
      </c>
      <c r="Z169" s="26">
        <f>INDEX(Comparison!$AM$3:$AS$33,AD$14,$C$122)</f>
        <v>1999.3722885012867</v>
      </c>
      <c r="AA169" s="26">
        <f>INDEX(Comparison!$AM$3:$AS$33,AE$14,$C$122)</f>
        <v>1469.5776968625496</v>
      </c>
      <c r="AB169" s="26">
        <f>INDEX(Comparison!$AM$3:$AS$33,AF$14,$C$122)</f>
        <v>1062.2051299591283</v>
      </c>
      <c r="AC169" s="26">
        <f>INDEX(Comparison!$AM$3:$AS$33,AG$14,$C$122)</f>
        <v>790.39019215198527</v>
      </c>
      <c r="AD169" s="26">
        <f>INDEX(Comparison!$AM$3:$AS$33,AH$14,$C$122)</f>
        <v>652.53051651246926</v>
      </c>
      <c r="AE169" s="26">
        <f>INDEX(Comparison!$AM$3:$AS$33,AI$14,$C$122)</f>
        <v>578.9290265565794</v>
      </c>
      <c r="AF169" s="26">
        <f>INDEX(Comparison!$AM$3:$AS$33,AJ$14,$C$122)</f>
        <v>543.3455967986946</v>
      </c>
      <c r="AG169" s="26"/>
      <c r="AH169" s="26"/>
    </row>
    <row r="170" spans="1:34" x14ac:dyDescent="0.25">
      <c r="A170" s="70" t="s">
        <v>22</v>
      </c>
      <c r="B170" s="27">
        <f>($C$17+SUM(B171:B201))*$B$51</f>
        <v>9764.1053095562547</v>
      </c>
      <c r="C170" s="27">
        <f t="shared" ref="C170:AF170" si="106">($C$17+SUM(C171:C201))*$B$51</f>
        <v>9764.044783861531</v>
      </c>
      <c r="D170" s="27">
        <f t="shared" si="106"/>
        <v>9763.4399204635411</v>
      </c>
      <c r="E170" s="27">
        <f t="shared" si="106"/>
        <v>9757.4304637721762</v>
      </c>
      <c r="F170" s="27">
        <f t="shared" si="106"/>
        <v>9701.0818881059113</v>
      </c>
      <c r="G170" s="27">
        <f t="shared" si="106"/>
        <v>9386.3404535997397</v>
      </c>
      <c r="H170" s="27">
        <f t="shared" si="106"/>
        <v>9122.5787484353186</v>
      </c>
      <c r="I170" s="27">
        <f t="shared" si="106"/>
        <v>8856.2394206890021</v>
      </c>
      <c r="J170" s="27">
        <f t="shared" si="106"/>
        <v>8577.611723903723</v>
      </c>
      <c r="K170" s="27">
        <f t="shared" si="106"/>
        <v>8313.6483808029152</v>
      </c>
      <c r="L170" s="27">
        <f t="shared" si="106"/>
        <v>8011.390688821637</v>
      </c>
      <c r="M170" s="27">
        <f t="shared" si="106"/>
        <v>7650.2303622721302</v>
      </c>
      <c r="N170" s="27">
        <f t="shared" si="106"/>
        <v>7272.9164994133962</v>
      </c>
      <c r="O170" s="27">
        <f t="shared" si="106"/>
        <v>6944.1928422205956</v>
      </c>
      <c r="P170" s="27">
        <f t="shared" si="106"/>
        <v>6663.002415492625</v>
      </c>
      <c r="Q170" s="27">
        <f t="shared" si="106"/>
        <v>6372.7528362189878</v>
      </c>
      <c r="R170" s="27">
        <f t="shared" si="106"/>
        <v>6080.8555912355014</v>
      </c>
      <c r="S170" s="27">
        <f t="shared" si="106"/>
        <v>5802.0782434637877</v>
      </c>
      <c r="T170" s="27">
        <f t="shared" si="106"/>
        <v>5477.7288636711173</v>
      </c>
      <c r="U170" s="27">
        <f t="shared" si="106"/>
        <v>5076.2822708816639</v>
      </c>
      <c r="V170" s="27">
        <f t="shared" si="106"/>
        <v>4495.879794230992</v>
      </c>
      <c r="W170" s="27">
        <f t="shared" si="106"/>
        <v>3849.4567914445997</v>
      </c>
      <c r="X170" s="27">
        <f t="shared" si="106"/>
        <v>3215.1339280298384</v>
      </c>
      <c r="Y170" s="27">
        <f t="shared" si="106"/>
        <v>2622.2909989946315</v>
      </c>
      <c r="Z170" s="27">
        <f t="shared" si="106"/>
        <v>2001.6280583240259</v>
      </c>
      <c r="AA170" s="27">
        <f t="shared" si="106"/>
        <v>1525.2237968664133</v>
      </c>
      <c r="AB170" s="27">
        <f t="shared" si="106"/>
        <v>1055.9796865821786</v>
      </c>
      <c r="AC170" s="27">
        <f t="shared" si="106"/>
        <v>800.90380404711561</v>
      </c>
      <c r="AD170" s="27">
        <f t="shared" si="106"/>
        <v>647.54706329179032</v>
      </c>
      <c r="AE170" s="27">
        <f t="shared" si="106"/>
        <v>582.70660226424866</v>
      </c>
      <c r="AF170" s="27">
        <f t="shared" si="106"/>
        <v>542.44460365140958</v>
      </c>
      <c r="AG170" s="27"/>
      <c r="AH170" s="27"/>
    </row>
    <row r="171" spans="1:34" x14ac:dyDescent="0.25">
      <c r="B171" s="3">
        <f t="shared" ref="B171:AF171" si="107">$C18*EXP(-B$168/$A18/EXP(-$C$126))</f>
        <v>7.0121422698422335E-25</v>
      </c>
      <c r="C171" s="3">
        <f t="shared" si="107"/>
        <v>5.3888099555489201E-233</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4.398168756052686E-2</v>
      </c>
      <c r="C172" s="3">
        <f t="shared" si="108"/>
        <v>4.3976289162810163E-2</v>
      </c>
      <c r="D172" s="3">
        <f t="shared" si="108"/>
        <v>4.3922341615766872E-2</v>
      </c>
      <c r="E172" s="3">
        <f t="shared" si="108"/>
        <v>4.3386492666312296E-2</v>
      </c>
      <c r="F172" s="3">
        <f t="shared" si="108"/>
        <v>3.8374711539042504E-2</v>
      </c>
      <c r="G172" s="3">
        <f t="shared" si="108"/>
        <v>1.1244779100936807E-2</v>
      </c>
      <c r="H172" s="3">
        <f t="shared" si="108"/>
        <v>5.2481830255366271E-8</v>
      </c>
      <c r="I172" s="3">
        <f t="shared" si="108"/>
        <v>2.5738866158575581E-61</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1.7082413051267589E-2</v>
      </c>
      <c r="C173" s="3">
        <f t="shared" si="109"/>
        <v>1.7082223898348493E-2</v>
      </c>
      <c r="D173" s="3">
        <f t="shared" si="109"/>
        <v>1.7080332484350286E-2</v>
      </c>
      <c r="E173" s="3">
        <f t="shared" si="109"/>
        <v>1.7061429858924962E-2</v>
      </c>
      <c r="F173" s="3">
        <f t="shared" si="109"/>
        <v>1.6873550356752171E-2</v>
      </c>
      <c r="G173" s="3">
        <f t="shared" si="109"/>
        <v>1.5104868215578772E-2</v>
      </c>
      <c r="H173" s="3">
        <f t="shared" si="109"/>
        <v>4.9913914064009073E-3</v>
      </c>
      <c r="I173" s="3">
        <f t="shared" si="109"/>
        <v>7.7494073611416207E-8</v>
      </c>
      <c r="J173" s="3">
        <f t="shared" si="109"/>
        <v>6.305755548741971E-56</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3.0709119455685545E-2</v>
      </c>
      <c r="C174" s="3">
        <f t="shared" si="110"/>
        <v>3.0709088781010457E-2</v>
      </c>
      <c r="D174" s="3">
        <f t="shared" si="110"/>
        <v>3.0708782035944751E-2</v>
      </c>
      <c r="E174" s="3">
        <f t="shared" si="110"/>
        <v>3.070571475380246E-2</v>
      </c>
      <c r="F174" s="3">
        <f t="shared" si="110"/>
        <v>3.0675058777627988E-2</v>
      </c>
      <c r="G174" s="3">
        <f t="shared" si="110"/>
        <v>3.0370177331573427E-2</v>
      </c>
      <c r="H174" s="3">
        <f t="shared" si="110"/>
        <v>2.7483153899662018E-2</v>
      </c>
      <c r="I174" s="3">
        <f t="shared" si="110"/>
        <v>1.0121828867877393E-2</v>
      </c>
      <c r="J174" s="3">
        <f t="shared" si="110"/>
        <v>4.647112596333421E-7</v>
      </c>
      <c r="K174" s="3">
        <f t="shared" si="110"/>
        <v>1.9338609537070031E-50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2.5228837658162414E-2</v>
      </c>
      <c r="C175" s="3">
        <f t="shared" si="111"/>
        <v>2.5228835384863011E-2</v>
      </c>
      <c r="D175" s="3">
        <f t="shared" si="111"/>
        <v>2.5228812651880241E-2</v>
      </c>
      <c r="E175" s="3">
        <f t="shared" si="111"/>
        <v>2.5228585323179162E-2</v>
      </c>
      <c r="F175" s="3">
        <f t="shared" si="111"/>
        <v>2.5226312148826525E-2</v>
      </c>
      <c r="G175" s="3">
        <f t="shared" si="111"/>
        <v>2.5203591667361767E-2</v>
      </c>
      <c r="H175" s="3">
        <f t="shared" si="111"/>
        <v>2.4977509313171335E-2</v>
      </c>
      <c r="I175" s="3">
        <f t="shared" si="111"/>
        <v>2.2825278065882144E-2</v>
      </c>
      <c r="J175" s="3">
        <f t="shared" si="111"/>
        <v>9.2701241602209904E-3</v>
      </c>
      <c r="K175" s="3">
        <f t="shared" si="111"/>
        <v>1.1318276274103638E-6</v>
      </c>
      <c r="L175" s="3">
        <f t="shared" si="111"/>
        <v>8.3315861213229545E-46</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2.5050861303513413E-2</v>
      </c>
      <c r="C176" s="3">
        <f t="shared" si="112"/>
        <v>2.5050861099889552E-2</v>
      </c>
      <c r="D176" s="3">
        <f t="shared" si="112"/>
        <v>2.5050859063651038E-2</v>
      </c>
      <c r="E176" s="3">
        <f t="shared" si="112"/>
        <v>2.5050838701274999E-2</v>
      </c>
      <c r="F176" s="3">
        <f t="shared" si="112"/>
        <v>2.5050635078424942E-2</v>
      </c>
      <c r="G176" s="3">
        <f t="shared" si="112"/>
        <v>2.5048598940954011E-2</v>
      </c>
      <c r="H176" s="3">
        <f t="shared" si="112"/>
        <v>2.5028246666472138E-2</v>
      </c>
      <c r="I176" s="3">
        <f t="shared" si="112"/>
        <v>2.4825631213430822E-2</v>
      </c>
      <c r="J176" s="3">
        <f t="shared" si="112"/>
        <v>2.2887535483838192E-2</v>
      </c>
      <c r="K176" s="3">
        <f t="shared" si="112"/>
        <v>1.0152811910443777E-2</v>
      </c>
      <c r="L176" s="3">
        <f t="shared" si="112"/>
        <v>2.9954318286242747E-6</v>
      </c>
      <c r="M176" s="3">
        <f t="shared" si="112"/>
        <v>1.4968918922180937E-41</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3.1849669955926106E-2</v>
      </c>
      <c r="C177" s="3">
        <f t="shared" si="113"/>
        <v>3.1849669932572301E-2</v>
      </c>
      <c r="D177" s="3">
        <f t="shared" si="113"/>
        <v>3.1849669699034321E-2</v>
      </c>
      <c r="E177" s="3">
        <f t="shared" si="113"/>
        <v>3.1849667363654549E-2</v>
      </c>
      <c r="F177" s="3">
        <f t="shared" si="113"/>
        <v>3.184964400986625E-2</v>
      </c>
      <c r="G177" s="3">
        <f t="shared" si="113"/>
        <v>3.1849410472925124E-2</v>
      </c>
      <c r="H177" s="3">
        <f t="shared" si="113"/>
        <v>3.1847075197694093E-2</v>
      </c>
      <c r="I177" s="3">
        <f t="shared" si="113"/>
        <v>3.1823731860851759E-2</v>
      </c>
      <c r="J177" s="3">
        <f t="shared" si="113"/>
        <v>3.1591237489785248E-2</v>
      </c>
      <c r="K177" s="3">
        <f t="shared" si="113"/>
        <v>2.9357695184473384E-2</v>
      </c>
      <c r="L177" s="3">
        <f t="shared" si="113"/>
        <v>1.4101819214755977E-2</v>
      </c>
      <c r="M177" s="3">
        <f t="shared" si="113"/>
        <v>9.2216152910056713E-6</v>
      </c>
      <c r="N177" s="3">
        <f t="shared" si="113"/>
        <v>1.3186379665842628E-37</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3.8281553674251893E-2</v>
      </c>
      <c r="C178" s="3">
        <f t="shared" si="114"/>
        <v>3.8281553671719752E-2</v>
      </c>
      <c r="D178" s="3">
        <f t="shared" si="114"/>
        <v>3.8281553646398292E-2</v>
      </c>
      <c r="E178" s="3">
        <f t="shared" si="114"/>
        <v>3.828155339318369E-2</v>
      </c>
      <c r="F178" s="3">
        <f t="shared" si="114"/>
        <v>3.8281550861037787E-2</v>
      </c>
      <c r="G178" s="3">
        <f t="shared" si="114"/>
        <v>3.8281525539587975E-2</v>
      </c>
      <c r="H178" s="3">
        <f t="shared" si="114"/>
        <v>3.8281272326011064E-2</v>
      </c>
      <c r="I178" s="3">
        <f t="shared" si="114"/>
        <v>3.8278740282358677E-2</v>
      </c>
      <c r="J178" s="3">
        <f t="shared" si="114"/>
        <v>3.8253429055260128E-2</v>
      </c>
      <c r="K178" s="3">
        <f t="shared" si="114"/>
        <v>3.8001235476892437E-2</v>
      </c>
      <c r="L178" s="3">
        <f t="shared" si="114"/>
        <v>3.5568959794927212E-2</v>
      </c>
      <c r="M178" s="3">
        <f t="shared" si="114"/>
        <v>1.835716645238121E-2</v>
      </c>
      <c r="N178" s="3">
        <f t="shared" si="114"/>
        <v>2.4612201339319986E-5</v>
      </c>
      <c r="O178" s="3">
        <f t="shared" si="114"/>
        <v>4.6195385121419428E-34</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3.6020845242321096E-2</v>
      </c>
      <c r="C179" s="3">
        <f t="shared" si="115"/>
        <v>3.6020845242106171E-2</v>
      </c>
      <c r="D179" s="3">
        <f t="shared" si="115"/>
        <v>3.6020845239956856E-2</v>
      </c>
      <c r="E179" s="3">
        <f t="shared" si="115"/>
        <v>3.6020845218463722E-2</v>
      </c>
      <c r="F179" s="3">
        <f t="shared" si="115"/>
        <v>3.602084500353242E-2</v>
      </c>
      <c r="G179" s="3">
        <f t="shared" si="115"/>
        <v>3.6020842854219429E-2</v>
      </c>
      <c r="H179" s="3">
        <f t="shared" si="115"/>
        <v>3.6020821361096619E-2</v>
      </c>
      <c r="I179" s="3">
        <f t="shared" si="115"/>
        <v>3.6020606430573872E-2</v>
      </c>
      <c r="J179" s="3">
        <f t="shared" si="115"/>
        <v>3.601845719588026E-2</v>
      </c>
      <c r="K179" s="3">
        <f t="shared" si="115"/>
        <v>3.5996971900770565E-2</v>
      </c>
      <c r="L179" s="3">
        <f t="shared" si="115"/>
        <v>3.5782822577945551E-2</v>
      </c>
      <c r="M179" s="3">
        <f t="shared" si="115"/>
        <v>3.3710163232302581E-2</v>
      </c>
      <c r="N179" s="3">
        <f t="shared" si="115"/>
        <v>1.8561944057493042E-2</v>
      </c>
      <c r="O179" s="3">
        <f t="shared" si="115"/>
        <v>4.7560838116733823E-5</v>
      </c>
      <c r="P179" s="3">
        <f t="shared" si="115"/>
        <v>5.8010939115404516E-31</v>
      </c>
      <c r="Q179" s="3">
        <f t="shared" si="115"/>
        <v>4.2277944671490169E-290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2.69355512079998E-2</v>
      </c>
      <c r="C180" s="3">
        <f t="shared" si="116"/>
        <v>2.6935551207985305E-2</v>
      </c>
      <c r="D180" s="3">
        <f t="shared" si="116"/>
        <v>2.693555120784032E-2</v>
      </c>
      <c r="E180" s="3">
        <f t="shared" si="116"/>
        <v>2.6935551206390487E-2</v>
      </c>
      <c r="F180" s="3">
        <f t="shared" si="116"/>
        <v>2.6935551191892147E-2</v>
      </c>
      <c r="G180" s="3">
        <f t="shared" si="116"/>
        <v>2.6935551046908764E-2</v>
      </c>
      <c r="H180" s="3">
        <f t="shared" si="116"/>
        <v>2.6935549597074955E-2</v>
      </c>
      <c r="I180" s="3">
        <f t="shared" si="116"/>
        <v>2.6935535098741151E-2</v>
      </c>
      <c r="J180" s="3">
        <f t="shared" si="116"/>
        <v>2.6935390115832333E-2</v>
      </c>
      <c r="K180" s="3">
        <f t="shared" si="116"/>
        <v>2.6933940329664553E-2</v>
      </c>
      <c r="L180" s="3">
        <f t="shared" si="116"/>
        <v>2.6919446759171361E-2</v>
      </c>
      <c r="M180" s="3">
        <f t="shared" si="116"/>
        <v>2.6774939319312411E-2</v>
      </c>
      <c r="N180" s="3">
        <f t="shared" si="116"/>
        <v>2.53718506519394E-2</v>
      </c>
      <c r="O180" s="3">
        <f t="shared" si="116"/>
        <v>1.4811145793646214E-2</v>
      </c>
      <c r="P180" s="3">
        <f t="shared" si="116"/>
        <v>6.8069688501595365E-5</v>
      </c>
      <c r="Q180" s="3">
        <f t="shared" si="116"/>
        <v>2.8615729762538155E-28</v>
      </c>
      <c r="R180" s="3">
        <f t="shared" si="116"/>
        <v>4.9330492581284473E-262</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2.7296069607129537E-2</v>
      </c>
      <c r="C181" s="3">
        <f t="shared" si="117"/>
        <v>2.7296069607128211E-2</v>
      </c>
      <c r="D181" s="3">
        <f t="shared" si="117"/>
        <v>2.7296069607114962E-2</v>
      </c>
      <c r="E181" s="3">
        <f t="shared" si="117"/>
        <v>2.7296069606982422E-2</v>
      </c>
      <c r="F181" s="3">
        <f t="shared" si="117"/>
        <v>2.7296069605657045E-2</v>
      </c>
      <c r="G181" s="3">
        <f t="shared" si="117"/>
        <v>2.7296069592403285E-2</v>
      </c>
      <c r="H181" s="3">
        <f t="shared" si="117"/>
        <v>2.7296069459865693E-2</v>
      </c>
      <c r="I181" s="3">
        <f t="shared" si="117"/>
        <v>2.7296068134489808E-2</v>
      </c>
      <c r="J181" s="3">
        <f t="shared" si="117"/>
        <v>2.7296054880734479E-2</v>
      </c>
      <c r="K181" s="3">
        <f t="shared" si="117"/>
        <v>2.7295922343535128E-2</v>
      </c>
      <c r="L181" s="3">
        <f t="shared" si="117"/>
        <v>2.7294597006935827E-2</v>
      </c>
      <c r="M181" s="3">
        <f t="shared" si="117"/>
        <v>2.7281347179726679E-2</v>
      </c>
      <c r="N181" s="3">
        <f t="shared" si="117"/>
        <v>2.7149202151084705E-2</v>
      </c>
      <c r="O181" s="3">
        <f t="shared" si="117"/>
        <v>2.5862449746204053E-2</v>
      </c>
      <c r="P181" s="3">
        <f t="shared" si="117"/>
        <v>1.5914593318020389E-2</v>
      </c>
      <c r="Q181" s="3">
        <f t="shared" si="117"/>
        <v>1.2389517643644397E-4</v>
      </c>
      <c r="R181" s="3">
        <f t="shared" si="117"/>
        <v>1.0130781113994609E-25</v>
      </c>
      <c r="S181" s="3">
        <f t="shared" si="117"/>
        <v>1.3537182005586899E-236</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2.9627620760423613E-2</v>
      </c>
      <c r="C182" s="3">
        <f t="shared" si="118"/>
        <v>2.9627620760423481E-2</v>
      </c>
      <c r="D182" s="3">
        <f t="shared" si="118"/>
        <v>2.9627620760422187E-2</v>
      </c>
      <c r="E182" s="3">
        <f t="shared" si="118"/>
        <v>2.9627620760409208E-2</v>
      </c>
      <c r="F182" s="3">
        <f t="shared" si="118"/>
        <v>2.9627620760279437E-2</v>
      </c>
      <c r="G182" s="3">
        <f t="shared" si="118"/>
        <v>2.9627620758981711E-2</v>
      </c>
      <c r="H182" s="3">
        <f t="shared" si="118"/>
        <v>2.9627620746004474E-2</v>
      </c>
      <c r="I182" s="3">
        <f t="shared" si="118"/>
        <v>2.9627620616232076E-2</v>
      </c>
      <c r="J182" s="3">
        <f t="shared" si="118"/>
        <v>2.9627619318508134E-2</v>
      </c>
      <c r="K182" s="3">
        <f t="shared" si="118"/>
        <v>2.9627606341271838E-2</v>
      </c>
      <c r="L182" s="3">
        <f t="shared" si="118"/>
        <v>2.9627476569221493E-2</v>
      </c>
      <c r="M182" s="3">
        <f t="shared" si="118"/>
        <v>2.9626178879980519E-2</v>
      </c>
      <c r="N182" s="3">
        <f t="shared" si="118"/>
        <v>2.9613205113307301E-2</v>
      </c>
      <c r="O182" s="3">
        <f t="shared" si="118"/>
        <v>2.9483779514251213E-2</v>
      </c>
      <c r="P182" s="3">
        <f t="shared" si="118"/>
        <v>2.8220230411882895E-2</v>
      </c>
      <c r="Q182" s="3">
        <f t="shared" si="118"/>
        <v>1.8211032141891292E-2</v>
      </c>
      <c r="R182" s="3">
        <f t="shared" si="118"/>
        <v>2.2807338918483822E-4</v>
      </c>
      <c r="S182" s="3">
        <f t="shared" si="118"/>
        <v>2.1650860904489137E-23</v>
      </c>
      <c r="T182" s="3">
        <f t="shared" si="118"/>
        <v>1.2867100897243141E-213</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2.509047175142164E-2</v>
      </c>
      <c r="C183" s="3">
        <f t="shared" si="119"/>
        <v>2.5090471751421629E-2</v>
      </c>
      <c r="D183" s="3">
        <f t="shared" si="119"/>
        <v>2.5090471751421529E-2</v>
      </c>
      <c r="E183" s="3">
        <f t="shared" si="119"/>
        <v>2.509047175142054E-2</v>
      </c>
      <c r="F183" s="3">
        <f t="shared" si="119"/>
        <v>2.5090471751410624E-2</v>
      </c>
      <c r="G183" s="3">
        <f t="shared" si="119"/>
        <v>2.5090471751311485E-2</v>
      </c>
      <c r="H183" s="3">
        <f t="shared" si="119"/>
        <v>2.5090471750320104E-2</v>
      </c>
      <c r="I183" s="3">
        <f t="shared" si="119"/>
        <v>2.5090471740406285E-2</v>
      </c>
      <c r="J183" s="3">
        <f t="shared" si="119"/>
        <v>2.5090471641268101E-2</v>
      </c>
      <c r="K183" s="3">
        <f t="shared" si="119"/>
        <v>2.509047064988626E-2</v>
      </c>
      <c r="L183" s="3">
        <f t="shared" si="119"/>
        <v>2.5090460736070012E-2</v>
      </c>
      <c r="M183" s="3">
        <f t="shared" si="119"/>
        <v>2.5090361598122994E-2</v>
      </c>
      <c r="N183" s="3">
        <f t="shared" si="119"/>
        <v>2.5089370240196925E-2</v>
      </c>
      <c r="O183" s="3">
        <f t="shared" si="119"/>
        <v>2.5079458815033252E-2</v>
      </c>
      <c r="P183" s="3">
        <f t="shared" si="119"/>
        <v>2.4980559658510801E-2</v>
      </c>
      <c r="Q183" s="3">
        <f t="shared" si="119"/>
        <v>2.4012766441277034E-2</v>
      </c>
      <c r="R183" s="3">
        <f t="shared" si="119"/>
        <v>1.6174934268531272E-2</v>
      </c>
      <c r="S183" s="3">
        <f t="shared" si="119"/>
        <v>3.110611703127066E-4</v>
      </c>
      <c r="T183" s="3">
        <f t="shared" si="119"/>
        <v>2.1521799106553751E-21</v>
      </c>
      <c r="U183" s="3">
        <f t="shared" si="119"/>
        <v>5.4101124104756674E-193</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2.9857729564103035E-2</v>
      </c>
      <c r="C184" s="3">
        <f t="shared" si="120"/>
        <v>2.9857729564103035E-2</v>
      </c>
      <c r="D184" s="3">
        <f t="shared" si="120"/>
        <v>2.9857729564103021E-2</v>
      </c>
      <c r="E184" s="3">
        <f t="shared" si="120"/>
        <v>2.9857729564102917E-2</v>
      </c>
      <c r="F184" s="3">
        <f t="shared" si="120"/>
        <v>2.9857729564101852E-2</v>
      </c>
      <c r="G184" s="3">
        <f t="shared" si="120"/>
        <v>2.9857729564091211E-2</v>
      </c>
      <c r="H184" s="3">
        <f t="shared" si="120"/>
        <v>2.9857729563984785E-2</v>
      </c>
      <c r="I184" s="3">
        <f t="shared" si="120"/>
        <v>2.9857729562920557E-2</v>
      </c>
      <c r="J184" s="3">
        <f t="shared" si="120"/>
        <v>2.9857729552278257E-2</v>
      </c>
      <c r="K184" s="3">
        <f t="shared" si="120"/>
        <v>2.9857729445855252E-2</v>
      </c>
      <c r="L184" s="3">
        <f t="shared" si="120"/>
        <v>2.9857728381625235E-2</v>
      </c>
      <c r="M184" s="3">
        <f t="shared" si="120"/>
        <v>2.9857717739327147E-2</v>
      </c>
      <c r="N184" s="3">
        <f t="shared" si="120"/>
        <v>2.9857611316554893E-2</v>
      </c>
      <c r="O184" s="3">
        <f t="shared" si="120"/>
        <v>2.985654710969507E-2</v>
      </c>
      <c r="P184" s="3">
        <f t="shared" si="120"/>
        <v>2.9845907127091981E-2</v>
      </c>
      <c r="Q184" s="3">
        <f t="shared" si="120"/>
        <v>2.9739715625738902E-2</v>
      </c>
      <c r="R184" s="3">
        <f t="shared" si="120"/>
        <v>2.8698360940159571E-2</v>
      </c>
      <c r="S184" s="3">
        <f t="shared" si="120"/>
        <v>2.0093699971059573E-2</v>
      </c>
      <c r="T184" s="3">
        <f t="shared" si="120"/>
        <v>5.689683546606537E-4</v>
      </c>
      <c r="U184" s="3">
        <f t="shared" si="120"/>
        <v>1.8852549958713478E-19</v>
      </c>
      <c r="V184" s="3">
        <f t="shared" si="120"/>
        <v>3.007391599989245E-174</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3.2231679526116067E-2</v>
      </c>
      <c r="C185" s="3">
        <f t="shared" si="121"/>
        <v>3.2231679526116067E-2</v>
      </c>
      <c r="D185" s="3">
        <f t="shared" si="121"/>
        <v>3.2231679526116067E-2</v>
      </c>
      <c r="E185" s="3">
        <f t="shared" si="121"/>
        <v>3.2231679526116053E-2</v>
      </c>
      <c r="F185" s="3">
        <f t="shared" si="121"/>
        <v>3.2231679526115949E-2</v>
      </c>
      <c r="G185" s="3">
        <f t="shared" si="121"/>
        <v>3.2231679526114915E-2</v>
      </c>
      <c r="H185" s="3">
        <f t="shared" si="121"/>
        <v>3.2231679526104548E-2</v>
      </c>
      <c r="I185" s="3">
        <f t="shared" si="121"/>
        <v>3.2231679526000916E-2</v>
      </c>
      <c r="J185" s="3">
        <f t="shared" si="121"/>
        <v>3.2231679524964564E-2</v>
      </c>
      <c r="K185" s="3">
        <f t="shared" si="121"/>
        <v>3.2231679514601021E-2</v>
      </c>
      <c r="L185" s="3">
        <f t="shared" si="121"/>
        <v>3.2231679410965587E-2</v>
      </c>
      <c r="M185" s="3">
        <f t="shared" si="121"/>
        <v>3.2231678374611293E-2</v>
      </c>
      <c r="N185" s="3">
        <f t="shared" si="121"/>
        <v>3.223166801107015E-2</v>
      </c>
      <c r="O185" s="3">
        <f t="shared" si="121"/>
        <v>3.2231564375842056E-2</v>
      </c>
      <c r="P185" s="3">
        <f t="shared" si="121"/>
        <v>3.2230528041888064E-2</v>
      </c>
      <c r="Q185" s="3">
        <f t="shared" si="121"/>
        <v>3.2220166534826532E-2</v>
      </c>
      <c r="R185" s="3">
        <f t="shared" si="121"/>
        <v>3.2116734494235889E-2</v>
      </c>
      <c r="S185" s="3">
        <f t="shared" si="121"/>
        <v>3.1100501205241923E-2</v>
      </c>
      <c r="T185" s="3">
        <f t="shared" si="121"/>
        <v>2.2549008674336794E-2</v>
      </c>
      <c r="U185" s="3">
        <f t="shared" si="121"/>
        <v>9.0516574492872058E-4</v>
      </c>
      <c r="V185" s="3">
        <f t="shared" si="121"/>
        <v>9.8341012420280849E-18</v>
      </c>
      <c r="W185" s="3">
        <f t="shared" si="121"/>
        <v>2.2532030154162129E-157</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5.4486023207095342E-2</v>
      </c>
      <c r="C186" s="3">
        <f t="shared" si="122"/>
        <v>5.4486023207095342E-2</v>
      </c>
      <c r="D186" s="3">
        <f t="shared" si="122"/>
        <v>5.4486023207095342E-2</v>
      </c>
      <c r="E186" s="3">
        <f t="shared" si="122"/>
        <v>5.4486023207095342E-2</v>
      </c>
      <c r="F186" s="3">
        <f t="shared" si="122"/>
        <v>5.4486023207095322E-2</v>
      </c>
      <c r="G186" s="3">
        <f t="shared" si="122"/>
        <v>5.4486023207095169E-2</v>
      </c>
      <c r="H186" s="3">
        <f t="shared" si="122"/>
        <v>5.4486023207093587E-2</v>
      </c>
      <c r="I186" s="3">
        <f t="shared" si="122"/>
        <v>5.448602320707778E-2</v>
      </c>
      <c r="J186" s="3">
        <f t="shared" si="122"/>
        <v>5.4486023206919747E-2</v>
      </c>
      <c r="K186" s="3">
        <f t="shared" si="122"/>
        <v>5.4486023205339386E-2</v>
      </c>
      <c r="L186" s="3">
        <f t="shared" si="122"/>
        <v>5.4486023189535743E-2</v>
      </c>
      <c r="M186" s="3">
        <f t="shared" si="122"/>
        <v>5.4486023031499381E-2</v>
      </c>
      <c r="N186" s="3">
        <f t="shared" si="122"/>
        <v>5.4486021451135777E-2</v>
      </c>
      <c r="O186" s="3">
        <f t="shared" si="122"/>
        <v>5.4486005647502278E-2</v>
      </c>
      <c r="P186" s="3">
        <f t="shared" si="122"/>
        <v>5.4485847611419315E-2</v>
      </c>
      <c r="Q186" s="3">
        <f t="shared" si="122"/>
        <v>5.4484267275800503E-2</v>
      </c>
      <c r="R186" s="3">
        <f t="shared" si="122"/>
        <v>5.4468466440420846E-2</v>
      </c>
      <c r="S186" s="3">
        <f t="shared" si="122"/>
        <v>5.4310709897150596E-2</v>
      </c>
      <c r="T186" s="3">
        <f t="shared" si="122"/>
        <v>5.2758057362203861E-2</v>
      </c>
      <c r="U186" s="3">
        <f t="shared" si="122"/>
        <v>3.9474983579749677E-2</v>
      </c>
      <c r="V186" s="3">
        <f t="shared" si="122"/>
        <v>2.1709687944699244E-3</v>
      </c>
      <c r="W186" s="3">
        <f t="shared" si="122"/>
        <v>5.4950267397143243E-16</v>
      </c>
      <c r="X186" s="3">
        <f t="shared" si="122"/>
        <v>5.931057054464419E-142</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6.3038463709295806E-2</v>
      </c>
      <c r="C187" s="3">
        <f t="shared" si="123"/>
        <v>6.3038463709295806E-2</v>
      </c>
      <c r="D187" s="3">
        <f t="shared" si="123"/>
        <v>6.3038463709295806E-2</v>
      </c>
      <c r="E187" s="3">
        <f t="shared" si="123"/>
        <v>6.3038463709295806E-2</v>
      </c>
      <c r="F187" s="3">
        <f t="shared" si="123"/>
        <v>6.3038463709295806E-2</v>
      </c>
      <c r="G187" s="3">
        <f t="shared" si="123"/>
        <v>6.3038463709295778E-2</v>
      </c>
      <c r="H187" s="3">
        <f t="shared" si="123"/>
        <v>6.3038463709295625E-2</v>
      </c>
      <c r="I187" s="3">
        <f t="shared" si="123"/>
        <v>6.3038463709293974E-2</v>
      </c>
      <c r="J187" s="3">
        <f t="shared" si="123"/>
        <v>6.3038463709277473E-2</v>
      </c>
      <c r="K187" s="3">
        <f t="shared" si="123"/>
        <v>6.3038463709112535E-2</v>
      </c>
      <c r="L187" s="3">
        <f t="shared" si="123"/>
        <v>6.3038463707463147E-2</v>
      </c>
      <c r="M187" s="3">
        <f t="shared" si="123"/>
        <v>6.3038463690969215E-2</v>
      </c>
      <c r="N187" s="3">
        <f t="shared" si="123"/>
        <v>6.3038463526029931E-2</v>
      </c>
      <c r="O187" s="3">
        <f t="shared" si="123"/>
        <v>6.3038461876637031E-2</v>
      </c>
      <c r="P187" s="3">
        <f t="shared" si="123"/>
        <v>6.3038445382710431E-2</v>
      </c>
      <c r="Q187" s="3">
        <f t="shared" si="123"/>
        <v>6.303828044368176E-2</v>
      </c>
      <c r="R187" s="3">
        <f t="shared" si="123"/>
        <v>6.30366310771307E-2</v>
      </c>
      <c r="S187" s="3">
        <f t="shared" si="123"/>
        <v>6.3020139784952772E-2</v>
      </c>
      <c r="T187" s="3">
        <f t="shared" si="123"/>
        <v>6.2855463966833905E-2</v>
      </c>
      <c r="U187" s="3">
        <f t="shared" si="123"/>
        <v>6.1232188209265237E-2</v>
      </c>
      <c r="V187" s="3">
        <f t="shared" si="123"/>
        <v>4.7135401713673822E-2</v>
      </c>
      <c r="W187" s="3">
        <f t="shared" si="123"/>
        <v>3.4436701195759887E-3</v>
      </c>
      <c r="X187" s="3">
        <f t="shared" si="123"/>
        <v>1.4919863087969985E-14</v>
      </c>
      <c r="Y187" s="3">
        <f t="shared" si="123"/>
        <v>3.4769447813437655E-128</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6.2855042147651141E-2</v>
      </c>
      <c r="C188" s="3">
        <f t="shared" si="124"/>
        <v>6.2855042147651141E-2</v>
      </c>
      <c r="D188" s="3">
        <f t="shared" si="124"/>
        <v>6.2855042147651141E-2</v>
      </c>
      <c r="E188" s="3">
        <f t="shared" si="124"/>
        <v>6.2855042147651141E-2</v>
      </c>
      <c r="F188" s="3">
        <f t="shared" si="124"/>
        <v>6.2855042147651141E-2</v>
      </c>
      <c r="G188" s="3">
        <f t="shared" si="124"/>
        <v>6.2855042147651141E-2</v>
      </c>
      <c r="H188" s="3">
        <f t="shared" si="124"/>
        <v>6.2855042147651127E-2</v>
      </c>
      <c r="I188" s="3">
        <f t="shared" si="124"/>
        <v>6.2855042147650975E-2</v>
      </c>
      <c r="J188" s="3">
        <f t="shared" si="124"/>
        <v>6.285504214764949E-2</v>
      </c>
      <c r="K188" s="3">
        <f t="shared" si="124"/>
        <v>6.2855042147634654E-2</v>
      </c>
      <c r="L188" s="3">
        <f t="shared" si="124"/>
        <v>6.2855042147486301E-2</v>
      </c>
      <c r="M188" s="3">
        <f t="shared" si="124"/>
        <v>6.2855042146002738E-2</v>
      </c>
      <c r="N188" s="3">
        <f t="shared" si="124"/>
        <v>6.2855042131167133E-2</v>
      </c>
      <c r="O188" s="3">
        <f t="shared" si="124"/>
        <v>6.2855041982811097E-2</v>
      </c>
      <c r="P188" s="3">
        <f t="shared" si="124"/>
        <v>6.2855040499250767E-2</v>
      </c>
      <c r="Q188" s="3">
        <f t="shared" si="124"/>
        <v>6.2855025663649353E-2</v>
      </c>
      <c r="R188" s="3">
        <f t="shared" si="124"/>
        <v>6.2854877307827781E-2</v>
      </c>
      <c r="S188" s="3">
        <f t="shared" si="124"/>
        <v>6.2853393768870822E-2</v>
      </c>
      <c r="T188" s="3">
        <f t="shared" si="124"/>
        <v>6.2838560305011171E-2</v>
      </c>
      <c r="U188" s="3">
        <f t="shared" si="124"/>
        <v>6.2690418069338352E-2</v>
      </c>
      <c r="V188" s="3">
        <f t="shared" si="124"/>
        <v>6.1228069033768651E-2</v>
      </c>
      <c r="W188" s="3">
        <f t="shared" si="124"/>
        <v>4.8355350367395487E-2</v>
      </c>
      <c r="X188" s="3">
        <f t="shared" si="124"/>
        <v>4.5644057780378266E-3</v>
      </c>
      <c r="Y188" s="3">
        <f t="shared" si="124"/>
        <v>2.5631933471283697E-13</v>
      </c>
      <c r="Z188" s="3">
        <f t="shared" si="124"/>
        <v>7.9937870418848216E-116</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5.5175900384027046E-2</v>
      </c>
      <c r="C189" s="3">
        <f t="shared" si="125"/>
        <v>5.5175900384027046E-2</v>
      </c>
      <c r="D189" s="3">
        <f t="shared" si="125"/>
        <v>5.5175900384027046E-2</v>
      </c>
      <c r="E189" s="3">
        <f t="shared" si="125"/>
        <v>5.5175900384027046E-2</v>
      </c>
      <c r="F189" s="3">
        <f t="shared" si="125"/>
        <v>5.5175900384027046E-2</v>
      </c>
      <c r="G189" s="3">
        <f t="shared" si="125"/>
        <v>5.5175900384027046E-2</v>
      </c>
      <c r="H189" s="3">
        <f t="shared" si="125"/>
        <v>5.5175900384027046E-2</v>
      </c>
      <c r="I189" s="3">
        <f t="shared" si="125"/>
        <v>5.5175900384027032E-2</v>
      </c>
      <c r="J189" s="3">
        <f t="shared" si="125"/>
        <v>5.5175900384026914E-2</v>
      </c>
      <c r="K189" s="3">
        <f t="shared" si="125"/>
        <v>5.5175900384025742E-2</v>
      </c>
      <c r="L189" s="3">
        <f t="shared" si="125"/>
        <v>5.5175900384013994E-2</v>
      </c>
      <c r="M189" s="3">
        <f t="shared" si="125"/>
        <v>5.5175900383896512E-2</v>
      </c>
      <c r="N189" s="3">
        <f t="shared" si="125"/>
        <v>5.5175900382721722E-2</v>
      </c>
      <c r="O189" s="3">
        <f t="shared" si="125"/>
        <v>5.5175900370973793E-2</v>
      </c>
      <c r="P189" s="3">
        <f t="shared" si="125"/>
        <v>5.5175900253494559E-2</v>
      </c>
      <c r="Q189" s="3">
        <f t="shared" si="125"/>
        <v>5.5175899078702205E-2</v>
      </c>
      <c r="R189" s="3">
        <f t="shared" si="125"/>
        <v>5.5175887330780028E-2</v>
      </c>
      <c r="S189" s="3">
        <f t="shared" si="125"/>
        <v>5.5175769851695873E-2</v>
      </c>
      <c r="T189" s="3">
        <f t="shared" si="125"/>
        <v>5.5174595074611574E-2</v>
      </c>
      <c r="U189" s="3">
        <f t="shared" si="125"/>
        <v>5.5162848679385361E-2</v>
      </c>
      <c r="V189" s="3">
        <f t="shared" si="125"/>
        <v>5.5045522180497526E-2</v>
      </c>
      <c r="W189" s="3">
        <f t="shared" si="125"/>
        <v>5.3885894857869411E-2</v>
      </c>
      <c r="X189" s="3">
        <f t="shared" si="125"/>
        <v>4.3551802464991886E-2</v>
      </c>
      <c r="Y189" s="3">
        <f t="shared" si="125"/>
        <v>5.1798415764821477E-3</v>
      </c>
      <c r="Z189" s="3">
        <f t="shared" si="125"/>
        <v>2.9337284474210602E-12</v>
      </c>
      <c r="AA189" s="3">
        <f t="shared" si="125"/>
        <v>9.9644713031372473E-105</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6.6863486871893904E-2</v>
      </c>
      <c r="C190" s="3">
        <f t="shared" si="126"/>
        <v>6.6863486871893904E-2</v>
      </c>
      <c r="D190" s="3">
        <f t="shared" si="126"/>
        <v>6.6863486871893904E-2</v>
      </c>
      <c r="E190" s="3">
        <f t="shared" si="126"/>
        <v>6.6863486871893904E-2</v>
      </c>
      <c r="F190" s="3">
        <f t="shared" si="126"/>
        <v>6.6863486871893904E-2</v>
      </c>
      <c r="G190" s="3">
        <f t="shared" si="126"/>
        <v>6.6863486871893904E-2</v>
      </c>
      <c r="H190" s="3">
        <f t="shared" si="126"/>
        <v>6.6863486871893904E-2</v>
      </c>
      <c r="I190" s="3">
        <f t="shared" si="126"/>
        <v>6.6863486871893904E-2</v>
      </c>
      <c r="J190" s="3">
        <f t="shared" si="126"/>
        <v>6.686348687189389E-2</v>
      </c>
      <c r="K190" s="3">
        <f t="shared" si="126"/>
        <v>6.6863486871893765E-2</v>
      </c>
      <c r="L190" s="3">
        <f t="shared" si="126"/>
        <v>6.6863486871892475E-2</v>
      </c>
      <c r="M190" s="3">
        <f t="shared" si="126"/>
        <v>6.6863486871879638E-2</v>
      </c>
      <c r="N190" s="3">
        <f t="shared" si="126"/>
        <v>6.6863486871751213E-2</v>
      </c>
      <c r="O190" s="3">
        <f t="shared" si="126"/>
        <v>6.6863486870466962E-2</v>
      </c>
      <c r="P190" s="3">
        <f t="shared" si="126"/>
        <v>6.6863486857624527E-2</v>
      </c>
      <c r="Q190" s="3">
        <f t="shared" si="126"/>
        <v>6.6863486729200214E-2</v>
      </c>
      <c r="R190" s="3">
        <f t="shared" si="126"/>
        <v>6.6863485444956947E-2</v>
      </c>
      <c r="S190" s="3">
        <f t="shared" si="126"/>
        <v>6.6863472602525703E-2</v>
      </c>
      <c r="T190" s="3">
        <f t="shared" si="126"/>
        <v>6.6863344178348938E-2</v>
      </c>
      <c r="U190" s="3">
        <f t="shared" si="126"/>
        <v>6.6862059950147643E-2</v>
      </c>
      <c r="V190" s="3">
        <f t="shared" si="126"/>
        <v>6.6849219024678969E-2</v>
      </c>
      <c r="W190" s="3">
        <f t="shared" si="126"/>
        <v>6.6720945328066744E-2</v>
      </c>
      <c r="X190" s="3">
        <f t="shared" si="126"/>
        <v>6.5451668327039803E-2</v>
      </c>
      <c r="Y190" s="3">
        <f t="shared" si="126"/>
        <v>5.4013960345983575E-2</v>
      </c>
      <c r="Z190" s="3">
        <f t="shared" si="126"/>
        <v>7.9133253965481525E-3</v>
      </c>
      <c r="AA190" s="3">
        <f t="shared" si="126"/>
        <v>3.6048654115575109E-11</v>
      </c>
      <c r="AB190" s="3">
        <f t="shared" si="126"/>
        <v>1.3873606120989245E-94</v>
      </c>
      <c r="AC190" s="3">
        <f t="shared" si="126"/>
        <v>0</v>
      </c>
      <c r="AD190" s="3">
        <f t="shared" si="126"/>
        <v>0</v>
      </c>
      <c r="AE190" s="3">
        <f t="shared" si="126"/>
        <v>0</v>
      </c>
      <c r="AF190" s="3">
        <f t="shared" si="126"/>
        <v>0</v>
      </c>
      <c r="AG190" s="3"/>
      <c r="AH190" s="3"/>
    </row>
    <row r="191" spans="2:34" x14ac:dyDescent="0.25">
      <c r="B191" s="3">
        <f t="shared" ref="B191:AF191" si="127">$C38*EXP(-B$168/$A38/EXP(-$C$126))</f>
        <v>2.4965740314193043E-2</v>
      </c>
      <c r="C191" s="3">
        <f t="shared" si="127"/>
        <v>2.4965740314193043E-2</v>
      </c>
      <c r="D191" s="3">
        <f t="shared" si="127"/>
        <v>2.4965740314193043E-2</v>
      </c>
      <c r="E191" s="3">
        <f t="shared" si="127"/>
        <v>2.4965740314193043E-2</v>
      </c>
      <c r="F191" s="3">
        <f t="shared" si="127"/>
        <v>2.4965740314193043E-2</v>
      </c>
      <c r="G191" s="3">
        <f t="shared" si="127"/>
        <v>2.4965740314193043E-2</v>
      </c>
      <c r="H191" s="3">
        <f t="shared" si="127"/>
        <v>2.4965740314193043E-2</v>
      </c>
      <c r="I191" s="3">
        <f t="shared" si="127"/>
        <v>2.4965740314193043E-2</v>
      </c>
      <c r="J191" s="3">
        <f t="shared" si="127"/>
        <v>2.4965740314193043E-2</v>
      </c>
      <c r="K191" s="3">
        <f t="shared" si="127"/>
        <v>2.4965740314193036E-2</v>
      </c>
      <c r="L191" s="3">
        <f t="shared" si="127"/>
        <v>2.4965740314192995E-2</v>
      </c>
      <c r="M191" s="3">
        <f t="shared" si="127"/>
        <v>2.4965740314192564E-2</v>
      </c>
      <c r="N191" s="3">
        <f t="shared" si="127"/>
        <v>2.4965740314188238E-2</v>
      </c>
      <c r="O191" s="3">
        <f t="shared" si="127"/>
        <v>2.4965740314144981E-2</v>
      </c>
      <c r="P191" s="3">
        <f t="shared" si="127"/>
        <v>2.4965740313712417E-2</v>
      </c>
      <c r="Q191" s="3">
        <f t="shared" si="127"/>
        <v>2.4965740309386787E-2</v>
      </c>
      <c r="R191" s="3">
        <f t="shared" si="127"/>
        <v>2.4965740266130493E-2</v>
      </c>
      <c r="S191" s="3">
        <f t="shared" si="127"/>
        <v>2.4965739833567549E-2</v>
      </c>
      <c r="T191" s="3">
        <f t="shared" si="127"/>
        <v>2.49657355079385E-2</v>
      </c>
      <c r="U191" s="3">
        <f t="shared" si="127"/>
        <v>2.4965692251689233E-2</v>
      </c>
      <c r="V191" s="3">
        <f t="shared" si="127"/>
        <v>2.4965259693318646E-2</v>
      </c>
      <c r="W191" s="3">
        <f t="shared" si="127"/>
        <v>2.4960934521791836E-2</v>
      </c>
      <c r="X191" s="3">
        <f t="shared" si="127"/>
        <v>2.4917723998020239E-2</v>
      </c>
      <c r="Y191" s="3">
        <f t="shared" si="127"/>
        <v>2.4489711625188992E-2</v>
      </c>
      <c r="Z191" s="3">
        <f t="shared" si="127"/>
        <v>2.0593808626599562E-2</v>
      </c>
      <c r="AA191" s="3">
        <f t="shared" si="127"/>
        <v>3.6413857391550349E-3</v>
      </c>
      <c r="AB191" s="3">
        <f t="shared" si="127"/>
        <v>1.0878445270698003E-10</v>
      </c>
      <c r="AC191" s="3">
        <f t="shared" si="127"/>
        <v>6.1598235561089119E-86</v>
      </c>
      <c r="AD191" s="3">
        <f t="shared" si="127"/>
        <v>0</v>
      </c>
      <c r="AE191" s="3">
        <f t="shared" si="127"/>
        <v>0</v>
      </c>
      <c r="AF191" s="3">
        <f t="shared" si="127"/>
        <v>0</v>
      </c>
      <c r="AG191" s="3"/>
      <c r="AH191" s="3"/>
    </row>
    <row r="192" spans="2:34" x14ac:dyDescent="0.25">
      <c r="B192" s="3">
        <f t="shared" ref="B192:AF192" si="128">$C39*EXP(-B$168/$A39/EXP(-$C$126))</f>
        <v>4.9847103888797747E-2</v>
      </c>
      <c r="C192" s="3">
        <f t="shared" si="128"/>
        <v>4.9847103888797747E-2</v>
      </c>
      <c r="D192" s="3">
        <f t="shared" si="128"/>
        <v>4.9847103888797747E-2</v>
      </c>
      <c r="E192" s="3">
        <f t="shared" si="128"/>
        <v>4.9847103888797747E-2</v>
      </c>
      <c r="F192" s="3">
        <f t="shared" si="128"/>
        <v>4.9847103888797747E-2</v>
      </c>
      <c r="G192" s="3">
        <f t="shared" si="128"/>
        <v>4.9847103888797747E-2</v>
      </c>
      <c r="H192" s="3">
        <f t="shared" si="128"/>
        <v>4.9847103888797747E-2</v>
      </c>
      <c r="I192" s="3">
        <f t="shared" si="128"/>
        <v>4.9847103888797747E-2</v>
      </c>
      <c r="J192" s="3">
        <f t="shared" si="128"/>
        <v>4.9847103888797747E-2</v>
      </c>
      <c r="K192" s="3">
        <f t="shared" si="128"/>
        <v>4.9847103888797747E-2</v>
      </c>
      <c r="L192" s="3">
        <f t="shared" si="128"/>
        <v>4.984710388879772E-2</v>
      </c>
      <c r="M192" s="3">
        <f t="shared" si="128"/>
        <v>4.9847103888797484E-2</v>
      </c>
      <c r="N192" s="3">
        <f t="shared" si="128"/>
        <v>4.984710388879509E-2</v>
      </c>
      <c r="O192" s="3">
        <f t="shared" si="128"/>
        <v>4.9847103888771206E-2</v>
      </c>
      <c r="P192" s="3">
        <f t="shared" si="128"/>
        <v>4.9847103888532342E-2</v>
      </c>
      <c r="Q192" s="3">
        <f t="shared" si="128"/>
        <v>4.9847103886143662E-2</v>
      </c>
      <c r="R192" s="3">
        <f t="shared" si="128"/>
        <v>4.9847103862256881E-2</v>
      </c>
      <c r="S192" s="3">
        <f t="shared" si="128"/>
        <v>4.9847103623389045E-2</v>
      </c>
      <c r="T192" s="3">
        <f t="shared" si="128"/>
        <v>4.9847101234710825E-2</v>
      </c>
      <c r="U192" s="3">
        <f t="shared" si="128"/>
        <v>4.9847077347934893E-2</v>
      </c>
      <c r="V192" s="3">
        <f t="shared" si="128"/>
        <v>4.9846838480805108E-2</v>
      </c>
      <c r="W192" s="3">
        <f t="shared" si="128"/>
        <v>4.9844449872462206E-2</v>
      </c>
      <c r="X192" s="3">
        <f t="shared" si="128"/>
        <v>4.9820570083406956E-2</v>
      </c>
      <c r="Y192" s="3">
        <f t="shared" si="128"/>
        <v>4.9582400515641896E-2</v>
      </c>
      <c r="Z192" s="3">
        <f t="shared" si="128"/>
        <v>4.726243720855388E-2</v>
      </c>
      <c r="AA192" s="3">
        <f t="shared" si="128"/>
        <v>2.9268586934659915E-2</v>
      </c>
      <c r="AB192" s="3">
        <f t="shared" si="128"/>
        <v>2.4280530819016156E-4</v>
      </c>
      <c r="AC192" s="3">
        <f t="shared" si="128"/>
        <v>3.7481968548248483E-25</v>
      </c>
      <c r="AD192" s="3">
        <f t="shared" si="128"/>
        <v>2.88047785532016E-233</v>
      </c>
      <c r="AE192" s="3">
        <f t="shared" si="128"/>
        <v>0</v>
      </c>
      <c r="AF192" s="3">
        <f t="shared" si="128"/>
        <v>0</v>
      </c>
      <c r="AG192" s="3"/>
      <c r="AH192" s="3"/>
    </row>
    <row r="193" spans="1:34" x14ac:dyDescent="0.25">
      <c r="B193" s="3">
        <f t="shared" ref="B193:AF193" si="129">$C40*EXP(-B$168/$A40/EXP(-$C$126))</f>
        <v>2.7617180594802851E-2</v>
      </c>
      <c r="C193" s="3">
        <f t="shared" si="129"/>
        <v>2.7617180594802851E-2</v>
      </c>
      <c r="D193" s="3">
        <f t="shared" si="129"/>
        <v>2.7617180594802851E-2</v>
      </c>
      <c r="E193" s="3">
        <f t="shared" si="129"/>
        <v>2.7617180594802851E-2</v>
      </c>
      <c r="F193" s="3">
        <f t="shared" si="129"/>
        <v>2.7617180594802851E-2</v>
      </c>
      <c r="G193" s="3">
        <f t="shared" si="129"/>
        <v>2.7617180594802851E-2</v>
      </c>
      <c r="H193" s="3">
        <f t="shared" si="129"/>
        <v>2.7617180594802851E-2</v>
      </c>
      <c r="I193" s="3">
        <f t="shared" si="129"/>
        <v>2.7617180594802851E-2</v>
      </c>
      <c r="J193" s="3">
        <f t="shared" si="129"/>
        <v>2.7617180594802851E-2</v>
      </c>
      <c r="K193" s="3">
        <f t="shared" si="129"/>
        <v>2.7617180594802851E-2</v>
      </c>
      <c r="L193" s="3">
        <f t="shared" si="129"/>
        <v>2.7617180594802851E-2</v>
      </c>
      <c r="M193" s="3">
        <f t="shared" si="129"/>
        <v>2.7617180594802837E-2</v>
      </c>
      <c r="N193" s="3">
        <f t="shared" si="129"/>
        <v>2.7617180594802705E-2</v>
      </c>
      <c r="O193" s="3">
        <f t="shared" si="129"/>
        <v>2.761718059480138E-2</v>
      </c>
      <c r="P193" s="3">
        <f t="shared" si="129"/>
        <v>2.7617180594788147E-2</v>
      </c>
      <c r="Q193" s="3">
        <f t="shared" si="129"/>
        <v>2.7617180594655805E-2</v>
      </c>
      <c r="R193" s="3">
        <f t="shared" si="129"/>
        <v>2.7617180593332388E-2</v>
      </c>
      <c r="S193" s="3">
        <f t="shared" si="129"/>
        <v>2.7617180580098207E-2</v>
      </c>
      <c r="T193" s="3">
        <f t="shared" si="129"/>
        <v>2.7617180447756396E-2</v>
      </c>
      <c r="U193" s="3">
        <f t="shared" si="129"/>
        <v>2.761717912433833E-2</v>
      </c>
      <c r="V193" s="3">
        <f t="shared" si="129"/>
        <v>2.7617165890161149E-2</v>
      </c>
      <c r="W193" s="3">
        <f t="shared" si="129"/>
        <v>2.7617033548738144E-2</v>
      </c>
      <c r="X193" s="3">
        <f t="shared" si="129"/>
        <v>2.7615710169387492E-2</v>
      </c>
      <c r="Y193" s="3">
        <f t="shared" si="129"/>
        <v>2.7602479863202082E-2</v>
      </c>
      <c r="Z193" s="3">
        <f t="shared" si="129"/>
        <v>2.7470524915933183E-2</v>
      </c>
      <c r="AA193" s="3">
        <f t="shared" si="129"/>
        <v>2.6185177511034805E-2</v>
      </c>
      <c r="AB193" s="3">
        <f t="shared" si="129"/>
        <v>1.6215903995795526E-2</v>
      </c>
      <c r="AC193" s="3">
        <f t="shared" si="129"/>
        <v>1.3452332277164491E-4</v>
      </c>
      <c r="AD193" s="3">
        <f t="shared" si="129"/>
        <v>2.0766428010641749E-25</v>
      </c>
      <c r="AE193" s="3">
        <f t="shared" si="129"/>
        <v>1.5958936612882111E-233</v>
      </c>
      <c r="AF193" s="3">
        <f t="shared" si="129"/>
        <v>0</v>
      </c>
      <c r="AG193" s="3"/>
      <c r="AH193" s="3"/>
    </row>
    <row r="194" spans="1:34" x14ac:dyDescent="0.25">
      <c r="B194" s="3">
        <f t="shared" ref="B194:AF194" si="130">$C41*EXP(-B$168/$A41/EXP(-$C$126))</f>
        <v>1.9414083287208013E-2</v>
      </c>
      <c r="C194" s="3">
        <f t="shared" si="130"/>
        <v>1.9414083287208013E-2</v>
      </c>
      <c r="D194" s="3">
        <f t="shared" si="130"/>
        <v>1.9414083287208013E-2</v>
      </c>
      <c r="E194" s="3">
        <f t="shared" si="130"/>
        <v>1.9414083287208013E-2</v>
      </c>
      <c r="F194" s="3">
        <f t="shared" si="130"/>
        <v>1.9414083287208013E-2</v>
      </c>
      <c r="G194" s="3">
        <f t="shared" si="130"/>
        <v>1.9414083287208013E-2</v>
      </c>
      <c r="H194" s="3">
        <f t="shared" si="130"/>
        <v>1.9414083287208013E-2</v>
      </c>
      <c r="I194" s="3">
        <f t="shared" si="130"/>
        <v>1.9414083287208013E-2</v>
      </c>
      <c r="J194" s="3">
        <f t="shared" si="130"/>
        <v>1.9414083287208013E-2</v>
      </c>
      <c r="K194" s="3">
        <f t="shared" si="130"/>
        <v>1.9414083287208013E-2</v>
      </c>
      <c r="L194" s="3">
        <f t="shared" si="130"/>
        <v>1.9414083287208013E-2</v>
      </c>
      <c r="M194" s="3">
        <f t="shared" si="130"/>
        <v>1.9414083287208013E-2</v>
      </c>
      <c r="N194" s="3">
        <f t="shared" si="130"/>
        <v>1.9414083287208003E-2</v>
      </c>
      <c r="O194" s="3">
        <f t="shared" si="130"/>
        <v>1.9414083287207909E-2</v>
      </c>
      <c r="P194" s="3">
        <f t="shared" si="130"/>
        <v>1.9414083287206979E-2</v>
      </c>
      <c r="Q194" s="3">
        <f t="shared" si="130"/>
        <v>1.9414083287197674E-2</v>
      </c>
      <c r="R194" s="3">
        <f t="shared" si="130"/>
        <v>1.9414083287104644E-2</v>
      </c>
      <c r="S194" s="3">
        <f t="shared" si="130"/>
        <v>1.9414083286174319E-2</v>
      </c>
      <c r="T194" s="3">
        <f t="shared" si="130"/>
        <v>1.941408327687107E-2</v>
      </c>
      <c r="U194" s="3">
        <f t="shared" si="130"/>
        <v>1.9414083183838585E-2</v>
      </c>
      <c r="V194" s="3">
        <f t="shared" si="130"/>
        <v>1.9414082253513765E-2</v>
      </c>
      <c r="W194" s="3">
        <f t="shared" si="130"/>
        <v>1.9414072950268015E-2</v>
      </c>
      <c r="X194" s="3">
        <f t="shared" si="130"/>
        <v>1.9413979918055702E-2</v>
      </c>
      <c r="Y194" s="3">
        <f t="shared" si="130"/>
        <v>1.9413049620451792E-2</v>
      </c>
      <c r="Z194" s="3">
        <f t="shared" si="130"/>
        <v>1.9403749095899075E-2</v>
      </c>
      <c r="AA194" s="3">
        <f t="shared" si="130"/>
        <v>1.9310988564908461E-2</v>
      </c>
      <c r="AB194" s="3">
        <f t="shared" si="130"/>
        <v>1.8407426324511273E-2</v>
      </c>
      <c r="AC194" s="3">
        <f t="shared" si="130"/>
        <v>1.1399313904294325E-2</v>
      </c>
      <c r="AD194" s="3">
        <f t="shared" si="130"/>
        <v>9.4566025065286871E-5</v>
      </c>
      <c r="AE194" s="3">
        <f t="shared" si="130"/>
        <v>1.4598201347616104E-25</v>
      </c>
      <c r="AF194" s="3">
        <f t="shared" si="130"/>
        <v>1.1218673228217646E-233</v>
      </c>
      <c r="AG194" s="3"/>
      <c r="AH194" s="3"/>
    </row>
    <row r="195" spans="1:34" x14ac:dyDescent="0.25">
      <c r="B195" s="3">
        <f t="shared" ref="B195:AF195" si="131">$C42*EXP(-B$168/$A42/EXP(-$C$126))</f>
        <v>7.1410981840430545E-3</v>
      </c>
      <c r="C195" s="3">
        <f t="shared" si="131"/>
        <v>7.1410981840430545E-3</v>
      </c>
      <c r="D195" s="3">
        <f t="shared" si="131"/>
        <v>7.1410981840430545E-3</v>
      </c>
      <c r="E195" s="3">
        <f t="shared" si="131"/>
        <v>7.1410981840430545E-3</v>
      </c>
      <c r="F195" s="3">
        <f t="shared" si="131"/>
        <v>7.1410981840430545E-3</v>
      </c>
      <c r="G195" s="3">
        <f t="shared" si="131"/>
        <v>7.1410981840430545E-3</v>
      </c>
      <c r="H195" s="3">
        <f t="shared" si="131"/>
        <v>7.1410981840430545E-3</v>
      </c>
      <c r="I195" s="3">
        <f t="shared" si="131"/>
        <v>7.1410981840430545E-3</v>
      </c>
      <c r="J195" s="3">
        <f t="shared" si="131"/>
        <v>7.1410981840430545E-3</v>
      </c>
      <c r="K195" s="3">
        <f t="shared" si="131"/>
        <v>7.1410981840430545E-3</v>
      </c>
      <c r="L195" s="3">
        <f t="shared" si="131"/>
        <v>7.1410981840430545E-3</v>
      </c>
      <c r="M195" s="3">
        <f t="shared" si="131"/>
        <v>7.1410981840430545E-3</v>
      </c>
      <c r="N195" s="3">
        <f t="shared" si="131"/>
        <v>7.1410981840430545E-3</v>
      </c>
      <c r="O195" s="3">
        <f t="shared" si="131"/>
        <v>7.1410981840430501E-3</v>
      </c>
      <c r="P195" s="3">
        <f t="shared" si="131"/>
        <v>7.1410981840430163E-3</v>
      </c>
      <c r="Q195" s="3">
        <f t="shared" si="131"/>
        <v>7.1410981840426737E-3</v>
      </c>
      <c r="R195" s="3">
        <f t="shared" si="131"/>
        <v>7.141098184039252E-3</v>
      </c>
      <c r="S195" s="3">
        <f t="shared" si="131"/>
        <v>7.1410981840050319E-3</v>
      </c>
      <c r="T195" s="3">
        <f t="shared" si="131"/>
        <v>7.14109818366283E-3</v>
      </c>
      <c r="U195" s="3">
        <f t="shared" si="131"/>
        <v>7.1410981802408086E-3</v>
      </c>
      <c r="V195" s="3">
        <f t="shared" si="131"/>
        <v>7.1410981460205934E-3</v>
      </c>
      <c r="W195" s="3">
        <f t="shared" si="131"/>
        <v>7.1410978038184518E-3</v>
      </c>
      <c r="X195" s="3">
        <f t="shared" si="131"/>
        <v>7.1410943817979333E-3</v>
      </c>
      <c r="Y195" s="3">
        <f t="shared" si="131"/>
        <v>7.1410601616829494E-3</v>
      </c>
      <c r="Z195" s="3">
        <f t="shared" si="131"/>
        <v>7.1407179695520294E-3</v>
      </c>
      <c r="AA195" s="3">
        <f t="shared" si="131"/>
        <v>7.1372969499750808E-3</v>
      </c>
      <c r="AB195" s="3">
        <f t="shared" si="131"/>
        <v>7.1031767677543515E-3</v>
      </c>
      <c r="AC195" s="3">
        <f t="shared" si="131"/>
        <v>6.770818727530957E-3</v>
      </c>
      <c r="AD195" s="3">
        <f t="shared" si="131"/>
        <v>4.1930189861156099E-3</v>
      </c>
      <c r="AE195" s="3">
        <f t="shared" si="131"/>
        <v>3.4784298587554236E-5</v>
      </c>
      <c r="AF195" s="3">
        <f t="shared" si="131"/>
        <v>5.3696683789568861E-26</v>
      </c>
      <c r="AG195" s="3"/>
      <c r="AH195" s="3"/>
    </row>
    <row r="196" spans="1:34" x14ac:dyDescent="0.25">
      <c r="B196" s="3">
        <f t="shared" ref="B196:AF196" si="132">$C43*EXP(-B$168/$A43/EXP(-$C$126))</f>
        <v>4.5211816855299626E-3</v>
      </c>
      <c r="C196" s="3">
        <f t="shared" si="132"/>
        <v>4.5211816855299626E-3</v>
      </c>
      <c r="D196" s="3">
        <f t="shared" si="132"/>
        <v>4.5211816855299626E-3</v>
      </c>
      <c r="E196" s="3">
        <f t="shared" si="132"/>
        <v>4.5211816855299626E-3</v>
      </c>
      <c r="F196" s="3">
        <f t="shared" si="132"/>
        <v>4.5211816855299626E-3</v>
      </c>
      <c r="G196" s="3">
        <f t="shared" si="132"/>
        <v>4.5211816855299626E-3</v>
      </c>
      <c r="H196" s="3">
        <f t="shared" si="132"/>
        <v>4.5211816855299626E-3</v>
      </c>
      <c r="I196" s="3">
        <f t="shared" si="132"/>
        <v>4.5211816855299626E-3</v>
      </c>
      <c r="J196" s="3">
        <f t="shared" si="132"/>
        <v>4.5211816855299626E-3</v>
      </c>
      <c r="K196" s="3">
        <f t="shared" si="132"/>
        <v>4.5211816855299626E-3</v>
      </c>
      <c r="L196" s="3">
        <f t="shared" si="132"/>
        <v>4.5211816855299626E-3</v>
      </c>
      <c r="M196" s="3">
        <f t="shared" si="132"/>
        <v>4.5211816855299626E-3</v>
      </c>
      <c r="N196" s="3">
        <f t="shared" si="132"/>
        <v>4.5211816855299626E-3</v>
      </c>
      <c r="O196" s="3">
        <f t="shared" si="132"/>
        <v>4.5211816855299626E-3</v>
      </c>
      <c r="P196" s="3">
        <f t="shared" si="132"/>
        <v>4.52118168552996E-3</v>
      </c>
      <c r="Q196" s="3">
        <f t="shared" si="132"/>
        <v>4.5211816855299384E-3</v>
      </c>
      <c r="R196" s="3">
        <f t="shared" si="132"/>
        <v>4.5211816855297215E-3</v>
      </c>
      <c r="S196" s="3">
        <f t="shared" si="132"/>
        <v>4.5211816855275557E-3</v>
      </c>
      <c r="T196" s="3">
        <f t="shared" si="132"/>
        <v>4.5211816855058899E-3</v>
      </c>
      <c r="U196" s="3">
        <f t="shared" si="132"/>
        <v>4.5211816852892342E-3</v>
      </c>
      <c r="V196" s="3">
        <f t="shared" si="132"/>
        <v>4.5211816831226799E-3</v>
      </c>
      <c r="W196" s="3">
        <f t="shared" si="132"/>
        <v>4.5211816614571304E-3</v>
      </c>
      <c r="X196" s="3">
        <f t="shared" si="132"/>
        <v>4.5211814448016504E-3</v>
      </c>
      <c r="Y196" s="3">
        <f t="shared" si="132"/>
        <v>4.5211792782474183E-3</v>
      </c>
      <c r="Z196" s="3">
        <f t="shared" si="132"/>
        <v>4.5211576127622008E-3</v>
      </c>
      <c r="AA196" s="3">
        <f t="shared" si="132"/>
        <v>4.520940963620098E-3</v>
      </c>
      <c r="AB196" s="3">
        <f t="shared" si="132"/>
        <v>4.5187750431050005E-3</v>
      </c>
      <c r="AC196" s="3">
        <f t="shared" si="132"/>
        <v>4.4971728274530711E-3</v>
      </c>
      <c r="AD196" s="3">
        <f t="shared" si="132"/>
        <v>4.2867498580764062E-3</v>
      </c>
      <c r="AE196" s="3">
        <f t="shared" si="132"/>
        <v>2.6546898192026051E-3</v>
      </c>
      <c r="AF196" s="3">
        <f t="shared" si="132"/>
        <v>2.2022681899188936E-5</v>
      </c>
      <c r="AG196" s="3"/>
      <c r="AH196" s="3"/>
    </row>
    <row r="197" spans="1:34" x14ac:dyDescent="0.25">
      <c r="B197" s="3">
        <f t="shared" ref="B197:AF197" si="133">$C44*EXP(-B$168/$A44/EXP(-$C$126))</f>
        <v>2.8020776239336834E-3</v>
      </c>
      <c r="C197" s="3">
        <f t="shared" si="133"/>
        <v>2.8020776239336834E-3</v>
      </c>
      <c r="D197" s="3">
        <f t="shared" si="133"/>
        <v>2.8020776239336834E-3</v>
      </c>
      <c r="E197" s="3">
        <f t="shared" si="133"/>
        <v>2.8020776239336834E-3</v>
      </c>
      <c r="F197" s="3">
        <f t="shared" si="133"/>
        <v>2.8020776239336834E-3</v>
      </c>
      <c r="G197" s="3">
        <f t="shared" si="133"/>
        <v>2.8020776239336834E-3</v>
      </c>
      <c r="H197" s="3">
        <f t="shared" si="133"/>
        <v>2.8020776239336834E-3</v>
      </c>
      <c r="I197" s="3">
        <f t="shared" si="133"/>
        <v>2.8020776239336834E-3</v>
      </c>
      <c r="J197" s="3">
        <f t="shared" si="133"/>
        <v>2.8020776239336834E-3</v>
      </c>
      <c r="K197" s="3">
        <f t="shared" si="133"/>
        <v>2.8020776239336834E-3</v>
      </c>
      <c r="L197" s="3">
        <f t="shared" si="133"/>
        <v>2.8020776239336834E-3</v>
      </c>
      <c r="M197" s="3">
        <f t="shared" si="133"/>
        <v>2.8020776239336834E-3</v>
      </c>
      <c r="N197" s="3">
        <f t="shared" si="133"/>
        <v>2.8020776239336834E-3</v>
      </c>
      <c r="O197" s="3">
        <f t="shared" si="133"/>
        <v>2.8020776239336834E-3</v>
      </c>
      <c r="P197" s="3">
        <f t="shared" si="133"/>
        <v>2.8020776239336834E-3</v>
      </c>
      <c r="Q197" s="3">
        <f t="shared" si="133"/>
        <v>2.8020776239336817E-3</v>
      </c>
      <c r="R197" s="3">
        <f t="shared" si="133"/>
        <v>2.8020776239336687E-3</v>
      </c>
      <c r="S197" s="3">
        <f t="shared" si="133"/>
        <v>2.8020776239335342E-3</v>
      </c>
      <c r="T197" s="3">
        <f t="shared" si="133"/>
        <v>2.8020776239321915E-3</v>
      </c>
      <c r="U197" s="3">
        <f t="shared" si="133"/>
        <v>2.8020776239187639E-3</v>
      </c>
      <c r="V197" s="3">
        <f t="shared" si="133"/>
        <v>2.8020776237844881E-3</v>
      </c>
      <c r="W197" s="3">
        <f t="shared" si="133"/>
        <v>2.8020776224417297E-3</v>
      </c>
      <c r="X197" s="3">
        <f t="shared" si="133"/>
        <v>2.8020776090141451E-3</v>
      </c>
      <c r="Y197" s="3">
        <f t="shared" si="133"/>
        <v>2.8020774747383043E-3</v>
      </c>
      <c r="Z197" s="3">
        <f t="shared" si="133"/>
        <v>2.8020761319802472E-3</v>
      </c>
      <c r="AA197" s="3">
        <f t="shared" si="133"/>
        <v>2.8020627044350694E-3</v>
      </c>
      <c r="AB197" s="3">
        <f t="shared" si="133"/>
        <v>2.8019284325222034E-3</v>
      </c>
      <c r="AC197" s="3">
        <f t="shared" si="133"/>
        <v>2.8005860672219995E-3</v>
      </c>
      <c r="AD197" s="3">
        <f t="shared" si="133"/>
        <v>2.7871977344108246E-3</v>
      </c>
      <c r="AE197" s="3">
        <f t="shared" si="133"/>
        <v>2.6567845957530447E-3</v>
      </c>
      <c r="AF197" s="3">
        <f t="shared" si="133"/>
        <v>1.6452882140701305E-3</v>
      </c>
      <c r="AG197" s="3"/>
      <c r="AH197" s="3"/>
    </row>
    <row r="198" spans="1:34" x14ac:dyDescent="0.25">
      <c r="B198" s="3">
        <f t="shared" ref="B198:AF198" si="134">$C45*EXP(-B$168/$A45/EXP(-$C$126))</f>
        <v>1.1789652234967252E-3</v>
      </c>
      <c r="C198" s="3">
        <f t="shared" si="134"/>
        <v>1.1789652234967252E-3</v>
      </c>
      <c r="D198" s="3">
        <f t="shared" si="134"/>
        <v>1.1789652234967252E-3</v>
      </c>
      <c r="E198" s="3">
        <f t="shared" si="134"/>
        <v>1.1789652234967252E-3</v>
      </c>
      <c r="F198" s="3">
        <f t="shared" si="134"/>
        <v>1.1789652234967252E-3</v>
      </c>
      <c r="G198" s="3">
        <f t="shared" si="134"/>
        <v>1.1789652234967252E-3</v>
      </c>
      <c r="H198" s="3">
        <f t="shared" si="134"/>
        <v>1.1789652234967252E-3</v>
      </c>
      <c r="I198" s="3">
        <f t="shared" si="134"/>
        <v>1.1789652234967252E-3</v>
      </c>
      <c r="J198" s="3">
        <f t="shared" si="134"/>
        <v>1.1789652234967252E-3</v>
      </c>
      <c r="K198" s="3">
        <f t="shared" si="134"/>
        <v>1.1789652234967252E-3</v>
      </c>
      <c r="L198" s="3">
        <f t="shared" si="134"/>
        <v>1.1789652234967252E-3</v>
      </c>
      <c r="M198" s="3">
        <f t="shared" si="134"/>
        <v>1.1789652234967252E-3</v>
      </c>
      <c r="N198" s="3">
        <f t="shared" si="134"/>
        <v>1.1789652234967252E-3</v>
      </c>
      <c r="O198" s="3">
        <f t="shared" si="134"/>
        <v>1.1789652234967252E-3</v>
      </c>
      <c r="P198" s="3">
        <f t="shared" si="134"/>
        <v>1.1789652234967252E-3</v>
      </c>
      <c r="Q198" s="3">
        <f t="shared" si="134"/>
        <v>1.1789652234967252E-3</v>
      </c>
      <c r="R198" s="3">
        <f t="shared" si="134"/>
        <v>1.1789652234967245E-3</v>
      </c>
      <c r="S198" s="3">
        <f t="shared" si="134"/>
        <v>1.1789652234967189E-3</v>
      </c>
      <c r="T198" s="3">
        <f t="shared" si="134"/>
        <v>1.1789652234966623E-3</v>
      </c>
      <c r="U198" s="3">
        <f t="shared" si="134"/>
        <v>1.1789652234960974E-3</v>
      </c>
      <c r="V198" s="3">
        <f t="shared" si="134"/>
        <v>1.1789652234904479E-3</v>
      </c>
      <c r="W198" s="3">
        <f t="shared" si="134"/>
        <v>1.1789652234339518E-3</v>
      </c>
      <c r="X198" s="3">
        <f t="shared" si="134"/>
        <v>1.1789652228689903E-3</v>
      </c>
      <c r="Y198" s="3">
        <f t="shared" si="134"/>
        <v>1.178965217219377E-3</v>
      </c>
      <c r="Z198" s="3">
        <f t="shared" si="134"/>
        <v>1.1789651607232452E-3</v>
      </c>
      <c r="AA198" s="3">
        <f t="shared" si="134"/>
        <v>1.1789645957620753E-3</v>
      </c>
      <c r="AB198" s="3">
        <f t="shared" si="134"/>
        <v>1.1789589461652667E-3</v>
      </c>
      <c r="AC198" s="3">
        <f t="shared" si="134"/>
        <v>1.1789024516861667E-3</v>
      </c>
      <c r="AD198" s="3">
        <f t="shared" si="134"/>
        <v>1.1783376557673629E-3</v>
      </c>
      <c r="AE198" s="3">
        <f t="shared" si="134"/>
        <v>1.1727045574369834E-3</v>
      </c>
      <c r="AF198" s="3">
        <f t="shared" si="134"/>
        <v>1.117833645278335E-3</v>
      </c>
      <c r="AG198" s="3"/>
      <c r="AH198" s="3"/>
    </row>
    <row r="199" spans="1:34" x14ac:dyDescent="0.25">
      <c r="B199" s="3">
        <f t="shared" ref="B199:AF199" si="135">$C46*EXP(-B$168/$A46/EXP(-$C$126))</f>
        <v>7.7792567568049035E-4</v>
      </c>
      <c r="C199" s="3">
        <f t="shared" si="135"/>
        <v>7.7792567568049035E-4</v>
      </c>
      <c r="D199" s="3">
        <f t="shared" si="135"/>
        <v>7.7792567568049035E-4</v>
      </c>
      <c r="E199" s="3">
        <f t="shared" si="135"/>
        <v>7.7792567568049035E-4</v>
      </c>
      <c r="F199" s="3">
        <f t="shared" si="135"/>
        <v>7.7792567568049035E-4</v>
      </c>
      <c r="G199" s="3">
        <f t="shared" si="135"/>
        <v>7.7792567568049035E-4</v>
      </c>
      <c r="H199" s="3">
        <f t="shared" si="135"/>
        <v>7.7792567568049035E-4</v>
      </c>
      <c r="I199" s="3">
        <f t="shared" si="135"/>
        <v>7.7792567568049035E-4</v>
      </c>
      <c r="J199" s="3">
        <f t="shared" si="135"/>
        <v>7.7792567568049035E-4</v>
      </c>
      <c r="K199" s="3">
        <f t="shared" si="135"/>
        <v>7.7792567568049035E-4</v>
      </c>
      <c r="L199" s="3">
        <f t="shared" si="135"/>
        <v>7.7792567568049035E-4</v>
      </c>
      <c r="M199" s="3">
        <f t="shared" si="135"/>
        <v>7.7792567568049035E-4</v>
      </c>
      <c r="N199" s="3">
        <f t="shared" si="135"/>
        <v>7.7792567568049035E-4</v>
      </c>
      <c r="O199" s="3">
        <f t="shared" si="135"/>
        <v>7.7792567568049035E-4</v>
      </c>
      <c r="P199" s="3">
        <f t="shared" si="135"/>
        <v>7.7792567568049035E-4</v>
      </c>
      <c r="Q199" s="3">
        <f t="shared" si="135"/>
        <v>7.7792567568049035E-4</v>
      </c>
      <c r="R199" s="3">
        <f t="shared" si="135"/>
        <v>7.7792567568049035E-4</v>
      </c>
      <c r="S199" s="3">
        <f t="shared" si="135"/>
        <v>7.7792567568048991E-4</v>
      </c>
      <c r="T199" s="3">
        <f t="shared" si="135"/>
        <v>7.7792567568048623E-4</v>
      </c>
      <c r="U199" s="3">
        <f t="shared" si="135"/>
        <v>7.7792567568044893E-4</v>
      </c>
      <c r="V199" s="3">
        <f t="shared" si="135"/>
        <v>7.7792567568007618E-4</v>
      </c>
      <c r="W199" s="3">
        <f t="shared" si="135"/>
        <v>7.7792567567634837E-4</v>
      </c>
      <c r="X199" s="3">
        <f t="shared" si="135"/>
        <v>7.7792567563907003E-4</v>
      </c>
      <c r="Y199" s="3">
        <f t="shared" si="135"/>
        <v>7.7792567526628728E-4</v>
      </c>
      <c r="Z199" s="3">
        <f t="shared" si="135"/>
        <v>7.7792567153845945E-4</v>
      </c>
      <c r="AA199" s="3">
        <f t="shared" si="135"/>
        <v>7.7792563426018306E-4</v>
      </c>
      <c r="AB199" s="3">
        <f t="shared" si="135"/>
        <v>7.7792526147751645E-4</v>
      </c>
      <c r="AC199" s="3">
        <f t="shared" si="135"/>
        <v>7.7792153366067587E-4</v>
      </c>
      <c r="AD199" s="3">
        <f t="shared" si="135"/>
        <v>7.7788425647475881E-4</v>
      </c>
      <c r="AE199" s="3">
        <f t="shared" si="135"/>
        <v>7.7751158284707208E-4</v>
      </c>
      <c r="AF199" s="3">
        <f t="shared" si="135"/>
        <v>7.7379465232401713E-4</v>
      </c>
      <c r="AG199" s="3"/>
      <c r="AH199" s="3"/>
    </row>
    <row r="200" spans="1:34" x14ac:dyDescent="0.25">
      <c r="B200" s="3">
        <f t="shared" ref="B200:AF200" si="136">$C47*EXP(-B$168/$A47/EXP(-$C$126))</f>
        <v>1.7877728547757263E-3</v>
      </c>
      <c r="C200" s="3">
        <f t="shared" si="136"/>
        <v>1.7877728547757263E-3</v>
      </c>
      <c r="D200" s="3">
        <f t="shared" si="136"/>
        <v>1.7877728547757263E-3</v>
      </c>
      <c r="E200" s="3">
        <f t="shared" si="136"/>
        <v>1.7877728547757263E-3</v>
      </c>
      <c r="F200" s="3">
        <f t="shared" si="136"/>
        <v>1.7877728547757263E-3</v>
      </c>
      <c r="G200" s="3">
        <f t="shared" si="136"/>
        <v>1.7877728547757263E-3</v>
      </c>
      <c r="H200" s="3">
        <f t="shared" si="136"/>
        <v>1.7877728547757263E-3</v>
      </c>
      <c r="I200" s="3">
        <f t="shared" si="136"/>
        <v>1.7877728547757263E-3</v>
      </c>
      <c r="J200" s="3">
        <f t="shared" si="136"/>
        <v>1.7877728547757263E-3</v>
      </c>
      <c r="K200" s="3">
        <f t="shared" si="136"/>
        <v>1.7877728547757263E-3</v>
      </c>
      <c r="L200" s="3">
        <f t="shared" si="136"/>
        <v>1.7877728547757263E-3</v>
      </c>
      <c r="M200" s="3">
        <f t="shared" si="136"/>
        <v>1.7877728547757263E-3</v>
      </c>
      <c r="N200" s="3">
        <f t="shared" si="136"/>
        <v>1.7877728547757263E-3</v>
      </c>
      <c r="O200" s="3">
        <f t="shared" si="136"/>
        <v>1.7877728547757263E-3</v>
      </c>
      <c r="P200" s="3">
        <f t="shared" si="136"/>
        <v>1.7877728547757263E-3</v>
      </c>
      <c r="Q200" s="3">
        <f t="shared" si="136"/>
        <v>1.7877728547757263E-3</v>
      </c>
      <c r="R200" s="3">
        <f t="shared" si="136"/>
        <v>1.7877728547757263E-3</v>
      </c>
      <c r="S200" s="3">
        <f t="shared" si="136"/>
        <v>1.7877728547757263E-3</v>
      </c>
      <c r="T200" s="3">
        <f t="shared" si="136"/>
        <v>1.7877728547757252E-3</v>
      </c>
      <c r="U200" s="3">
        <f t="shared" si="136"/>
        <v>1.7877728547757168E-3</v>
      </c>
      <c r="V200" s="3">
        <f t="shared" si="136"/>
        <v>1.7877728547756311E-3</v>
      </c>
      <c r="W200" s="3">
        <f t="shared" si="136"/>
        <v>1.7877728547747744E-3</v>
      </c>
      <c r="X200" s="3">
        <f t="shared" si="136"/>
        <v>1.7877728547662074E-3</v>
      </c>
      <c r="Y200" s="3">
        <f t="shared" si="136"/>
        <v>1.7877728546805373E-3</v>
      </c>
      <c r="Z200" s="3">
        <f t="shared" si="136"/>
        <v>1.7877728538238345E-3</v>
      </c>
      <c r="AA200" s="3">
        <f t="shared" si="136"/>
        <v>1.7877728452568087E-3</v>
      </c>
      <c r="AB200" s="3">
        <f t="shared" si="136"/>
        <v>1.7877727595865542E-3</v>
      </c>
      <c r="AC200" s="3">
        <f t="shared" si="136"/>
        <v>1.7877719028842329E-3</v>
      </c>
      <c r="AD200" s="3">
        <f t="shared" si="136"/>
        <v>1.787763335883601E-3</v>
      </c>
      <c r="AE200" s="3">
        <f t="shared" si="136"/>
        <v>1.7876776681351667E-3</v>
      </c>
      <c r="AF200" s="3">
        <f t="shared" si="136"/>
        <v>1.7868212163993549E-3</v>
      </c>
      <c r="AG200" s="3"/>
      <c r="AH200" s="3"/>
    </row>
    <row r="201" spans="1:34" x14ac:dyDescent="0.25">
      <c r="B201" s="3">
        <f t="shared" ref="B201:AF201" si="137">$C48*EXP(-B$168/$A48/EXP(-$C$126))</f>
        <v>1.1370273508997292E-2</v>
      </c>
      <c r="C201" s="3">
        <f t="shared" si="137"/>
        <v>1.1370273508997292E-2</v>
      </c>
      <c r="D201" s="3">
        <f t="shared" si="137"/>
        <v>1.1370273508997292E-2</v>
      </c>
      <c r="E201" s="3">
        <f t="shared" si="137"/>
        <v>1.1370273508997292E-2</v>
      </c>
      <c r="F201" s="3">
        <f t="shared" si="137"/>
        <v>1.1370273508997292E-2</v>
      </c>
      <c r="G201" s="3">
        <f t="shared" si="137"/>
        <v>1.1370273508997292E-2</v>
      </c>
      <c r="H201" s="3">
        <f t="shared" si="137"/>
        <v>1.1370273508997292E-2</v>
      </c>
      <c r="I201" s="3">
        <f t="shared" si="137"/>
        <v>1.1370273508997292E-2</v>
      </c>
      <c r="J201" s="3">
        <f t="shared" si="137"/>
        <v>1.1370273508997292E-2</v>
      </c>
      <c r="K201" s="3">
        <f t="shared" si="137"/>
        <v>1.1370273508997292E-2</v>
      </c>
      <c r="L201" s="3">
        <f t="shared" si="137"/>
        <v>1.1370273508997292E-2</v>
      </c>
      <c r="M201" s="3">
        <f t="shared" si="137"/>
        <v>1.1370273508997292E-2</v>
      </c>
      <c r="N201" s="3">
        <f t="shared" si="137"/>
        <v>1.1370273508997292E-2</v>
      </c>
      <c r="O201" s="3">
        <f t="shared" si="137"/>
        <v>1.1370273508997292E-2</v>
      </c>
      <c r="P201" s="3">
        <f t="shared" si="137"/>
        <v>1.1370273508997292E-2</v>
      </c>
      <c r="Q201" s="3">
        <f t="shared" si="137"/>
        <v>1.1370273508997292E-2</v>
      </c>
      <c r="R201" s="3">
        <f t="shared" si="137"/>
        <v>1.1370273508997292E-2</v>
      </c>
      <c r="S201" s="3">
        <f t="shared" si="137"/>
        <v>1.1370273508997292E-2</v>
      </c>
      <c r="T201" s="3">
        <f t="shared" si="137"/>
        <v>1.1370273508997292E-2</v>
      </c>
      <c r="U201" s="3">
        <f t="shared" si="137"/>
        <v>1.1370273508997285E-2</v>
      </c>
      <c r="V201" s="3">
        <f t="shared" si="137"/>
        <v>1.1370273508997232E-2</v>
      </c>
      <c r="W201" s="3">
        <f t="shared" si="137"/>
        <v>1.1370273508996687E-2</v>
      </c>
      <c r="X201" s="3">
        <f t="shared" si="137"/>
        <v>1.1370273508991238E-2</v>
      </c>
      <c r="Y201" s="3">
        <f t="shared" si="137"/>
        <v>1.1370273508936752E-2</v>
      </c>
      <c r="Z201" s="3">
        <f t="shared" si="137"/>
        <v>1.1370273508391888E-2</v>
      </c>
      <c r="AA201" s="3">
        <f t="shared" si="137"/>
        <v>1.1370273502943241E-2</v>
      </c>
      <c r="AB201" s="3">
        <f t="shared" si="137"/>
        <v>1.1370273448456774E-2</v>
      </c>
      <c r="AC201" s="3">
        <f t="shared" si="137"/>
        <v>1.1370272903592127E-2</v>
      </c>
      <c r="AD201" s="3">
        <f t="shared" si="137"/>
        <v>1.1370267454947082E-2</v>
      </c>
      <c r="AE201" s="3">
        <f t="shared" si="137"/>
        <v>1.1370212968640233E-2</v>
      </c>
      <c r="AF201" s="3">
        <f t="shared" si="137"/>
        <v>1.1369668119931967E-2</v>
      </c>
      <c r="AG201" s="3"/>
      <c r="AH201" s="3"/>
    </row>
    <row r="202" spans="1:34" x14ac:dyDescent="0.25">
      <c r="A202" s="79">
        <f>AVERAGE(B202:AF202)</f>
        <v>1.9244656717963406E-2</v>
      </c>
      <c r="B202" s="80">
        <f>IF($A$64&lt;=B168,IF($B$64&gt;=B168,ABS((B170-B169)/B169),0),0)</f>
        <v>8.5874992526937408E-2</v>
      </c>
      <c r="C202" s="80">
        <f t="shared" ref="C202:AF202" si="138">IF($A$64&lt;=C168,IF($B$64&gt;=C168,ABS((C170-C169)/C169),0),0)</f>
        <v>5.5735442846546732E-2</v>
      </c>
      <c r="D202" s="80">
        <f t="shared" si="138"/>
        <v>3.7538124319460006E-2</v>
      </c>
      <c r="E202" s="80">
        <f t="shared" si="138"/>
        <v>1.8944127521725723E-2</v>
      </c>
      <c r="F202" s="80">
        <f t="shared" si="138"/>
        <v>3.3142172490203152E-3</v>
      </c>
      <c r="G202" s="80">
        <f t="shared" si="138"/>
        <v>1.1796390341671245E-2</v>
      </c>
      <c r="H202" s="80">
        <f t="shared" si="138"/>
        <v>1.2966573064758553E-2</v>
      </c>
      <c r="I202" s="80">
        <f t="shared" si="138"/>
        <v>1.1846933876166319E-2</v>
      </c>
      <c r="J202" s="80">
        <f t="shared" si="138"/>
        <v>1.1692880586604608E-2</v>
      </c>
      <c r="K202" s="80">
        <f t="shared" si="138"/>
        <v>1.171517224911516E-2</v>
      </c>
      <c r="L202" s="80">
        <f t="shared" si="138"/>
        <v>1.1515315219435806E-2</v>
      </c>
      <c r="M202" s="80">
        <f t="shared" si="138"/>
        <v>1.1404848069181673E-2</v>
      </c>
      <c r="N202" s="80">
        <f t="shared" si="138"/>
        <v>1.1390008222888767E-2</v>
      </c>
      <c r="O202" s="80">
        <f t="shared" si="138"/>
        <v>1.2119598470811172E-2</v>
      </c>
      <c r="P202" s="80">
        <f t="shared" si="138"/>
        <v>1.1484519385968105E-2</v>
      </c>
      <c r="Q202" s="80">
        <f t="shared" si="138"/>
        <v>1.2149302696976633E-2</v>
      </c>
      <c r="R202" s="80">
        <f t="shared" si="138"/>
        <v>1.2527608885310943E-2</v>
      </c>
      <c r="S202" s="80">
        <f t="shared" si="138"/>
        <v>1.0636315180584562E-2</v>
      </c>
      <c r="T202" s="80">
        <f t="shared" si="138"/>
        <v>3.5311299739999749E-3</v>
      </c>
      <c r="U202" s="80">
        <f t="shared" si="138"/>
        <v>2.7577490474907845E-2</v>
      </c>
      <c r="V202" s="80">
        <f t="shared" si="138"/>
        <v>4.4868000776513685E-2</v>
      </c>
      <c r="W202" s="80">
        <f t="shared" si="138"/>
        <v>4.2011108643335016E-2</v>
      </c>
      <c r="X202" s="80">
        <f t="shared" si="138"/>
        <v>2.820660952348223E-2</v>
      </c>
      <c r="Y202" s="80">
        <f t="shared" si="138"/>
        <v>2.1760913021543871E-2</v>
      </c>
      <c r="Z202" s="80">
        <f t="shared" si="138"/>
        <v>1.1282390156713367E-3</v>
      </c>
      <c r="AA202" s="80">
        <f t="shared" si="138"/>
        <v>3.7865367801011414E-2</v>
      </c>
      <c r="AB202" s="80">
        <f t="shared" si="138"/>
        <v>5.8608673610804473E-3</v>
      </c>
      <c r="AC202" s="80">
        <f t="shared" si="138"/>
        <v>1.3301799540939472E-2</v>
      </c>
      <c r="AD202" s="80">
        <f t="shared" si="138"/>
        <v>7.6371190228981568E-3</v>
      </c>
      <c r="AE202" s="80">
        <f t="shared" si="138"/>
        <v>6.5251102197068193E-3</v>
      </c>
      <c r="AF202" s="80">
        <f t="shared" si="138"/>
        <v>1.6582321686115225E-3</v>
      </c>
    </row>
    <row r="203" spans="1:34" x14ac:dyDescent="0.25">
      <c r="B203" s="21">
        <f>(B170-B169)^2</f>
        <v>841370.25473440695</v>
      </c>
      <c r="C203" s="21">
        <f t="shared" ref="C203:AF203" si="139">(C170-C169)^2</f>
        <v>332150.61438878154</v>
      </c>
      <c r="D203" s="21">
        <f t="shared" si="139"/>
        <v>145005.26847931664</v>
      </c>
      <c r="E203" s="21">
        <f t="shared" si="139"/>
        <v>35500.352338407982</v>
      </c>
      <c r="F203" s="21">
        <f t="shared" si="139"/>
        <v>1040.6046471845166</v>
      </c>
      <c r="G203" s="21">
        <f t="shared" si="139"/>
        <v>12554.459007947497</v>
      </c>
      <c r="H203" s="21">
        <f t="shared" si="139"/>
        <v>14362.232191580477</v>
      </c>
      <c r="I203" s="21">
        <f t="shared" si="139"/>
        <v>11273.588575451664</v>
      </c>
      <c r="J203" s="21">
        <f t="shared" si="139"/>
        <v>10298.926248800037</v>
      </c>
      <c r="K203" s="21">
        <f t="shared" si="139"/>
        <v>9712.1729061409151</v>
      </c>
      <c r="L203" s="21">
        <f t="shared" si="139"/>
        <v>8710.1893161430744</v>
      </c>
      <c r="M203" s="21">
        <f t="shared" si="139"/>
        <v>7789.1681813082805</v>
      </c>
      <c r="N203" s="21">
        <f t="shared" si="139"/>
        <v>7021.2637454397664</v>
      </c>
      <c r="O203" s="21">
        <f t="shared" si="139"/>
        <v>7257.9048396758499</v>
      </c>
      <c r="P203" s="21">
        <f t="shared" si="139"/>
        <v>5992.3702864181823</v>
      </c>
      <c r="Q203" s="21">
        <f t="shared" si="139"/>
        <v>6142.9111449676184</v>
      </c>
      <c r="R203" s="21">
        <f t="shared" si="139"/>
        <v>5951.3546065835726</v>
      </c>
      <c r="S203" s="21">
        <f t="shared" si="139"/>
        <v>3890.7885387940564</v>
      </c>
      <c r="T203" s="21">
        <f t="shared" si="139"/>
        <v>376.79141476148618</v>
      </c>
      <c r="U203" s="21">
        <f t="shared" si="139"/>
        <v>18559.738322891604</v>
      </c>
      <c r="V203" s="21">
        <f t="shared" si="139"/>
        <v>37271.765188981852</v>
      </c>
      <c r="W203" s="21">
        <f t="shared" si="139"/>
        <v>24086.987399930622</v>
      </c>
      <c r="X203" s="21">
        <f t="shared" si="139"/>
        <v>7779.2750522657343</v>
      </c>
      <c r="Y203" s="21">
        <f t="shared" si="139"/>
        <v>3119.0147228039855</v>
      </c>
      <c r="Z203" s="21">
        <f t="shared" si="139"/>
        <v>5.088497493181019</v>
      </c>
      <c r="AA203" s="21">
        <f t="shared" si="139"/>
        <v>3096.4884456399991</v>
      </c>
      <c r="AB203" s="21">
        <f t="shared" si="139"/>
        <v>38.756145239606511</v>
      </c>
      <c r="AC203" s="21">
        <f t="shared" si="139"/>
        <v>110.53603508142615</v>
      </c>
      <c r="AD203" s="21">
        <f t="shared" si="139"/>
        <v>24.834806002695291</v>
      </c>
      <c r="AE203" s="21">
        <f t="shared" si="139"/>
        <v>14.270078227172888</v>
      </c>
      <c r="AF203" s="21">
        <f t="shared" si="139"/>
        <v>0.81178865145456791</v>
      </c>
      <c r="AG203" s="3"/>
      <c r="AH203" s="3"/>
    </row>
    <row r="204" spans="1:34" x14ac:dyDescent="0.25">
      <c r="A204" s="71">
        <f>SUM(B204:AF204)</f>
        <v>1560508.7820753192</v>
      </c>
      <c r="B204" s="60">
        <f>IF($A$64&lt;=B168,IF($B$64&gt;=B168,ABS(B203),0),0)</f>
        <v>841370.25473440695</v>
      </c>
      <c r="C204" s="60">
        <f t="shared" ref="C204" si="140">IF($A$64&lt;=C168,IF($B$64&gt;=C168,ABS(C203),0),0)</f>
        <v>332150.61438878154</v>
      </c>
      <c r="D204" s="60">
        <f t="shared" ref="D204" si="141">IF($A$64&lt;=D168,IF($B$64&gt;=D168,ABS(D203),0),0)</f>
        <v>145005.26847931664</v>
      </c>
      <c r="E204" s="60">
        <f t="shared" ref="E204" si="142">IF($A$64&lt;=E168,IF($B$64&gt;=E168,ABS(E203),0),0)</f>
        <v>35500.352338407982</v>
      </c>
      <c r="F204" s="60">
        <f t="shared" ref="F204" si="143">IF($A$64&lt;=F168,IF($B$64&gt;=F168,ABS(F203),0),0)</f>
        <v>1040.6046471845166</v>
      </c>
      <c r="G204" s="60">
        <f t="shared" ref="G204" si="144">IF($A$64&lt;=G168,IF($B$64&gt;=G168,ABS(G203),0),0)</f>
        <v>12554.459007947497</v>
      </c>
      <c r="H204" s="60">
        <f t="shared" ref="H204" si="145">IF($A$64&lt;=H168,IF($B$64&gt;=H168,ABS(H203),0),0)</f>
        <v>14362.232191580477</v>
      </c>
      <c r="I204" s="60">
        <f t="shared" ref="I204" si="146">IF($A$64&lt;=I168,IF($B$64&gt;=I168,ABS(I203),0),0)</f>
        <v>11273.588575451664</v>
      </c>
      <c r="J204" s="60">
        <f t="shared" ref="J204" si="147">IF($A$64&lt;=J168,IF($B$64&gt;=J168,ABS(J203),0),0)</f>
        <v>10298.926248800037</v>
      </c>
      <c r="K204" s="60">
        <f t="shared" ref="K204" si="148">IF($A$64&lt;=K168,IF($B$64&gt;=K168,ABS(K203),0),0)</f>
        <v>9712.1729061409151</v>
      </c>
      <c r="L204" s="60">
        <f t="shared" ref="L204" si="149">IF($A$64&lt;=L168,IF($B$64&gt;=L168,ABS(L203),0),0)</f>
        <v>8710.1893161430744</v>
      </c>
      <c r="M204" s="60">
        <f t="shared" ref="M204" si="150">IF($A$64&lt;=M168,IF($B$64&gt;=M168,ABS(M203),0),0)</f>
        <v>7789.1681813082805</v>
      </c>
      <c r="N204" s="60">
        <f t="shared" ref="N204" si="151">IF($A$64&lt;=N168,IF($B$64&gt;=N168,ABS(N203),0),0)</f>
        <v>7021.2637454397664</v>
      </c>
      <c r="O204" s="60">
        <f t="shared" ref="O204" si="152">IF($A$64&lt;=O168,IF($B$64&gt;=O168,ABS(O203),0),0)</f>
        <v>7257.9048396758499</v>
      </c>
      <c r="P204" s="60">
        <f t="shared" ref="P204" si="153">IF($A$64&lt;=P168,IF($B$64&gt;=P168,ABS(P203),0),0)</f>
        <v>5992.3702864181823</v>
      </c>
      <c r="Q204" s="60">
        <f t="shared" ref="Q204" si="154">IF($A$64&lt;=Q168,IF($B$64&gt;=Q168,ABS(Q203),0),0)</f>
        <v>6142.9111449676184</v>
      </c>
      <c r="R204" s="60">
        <f t="shared" ref="R204" si="155">IF($A$64&lt;=R168,IF($B$64&gt;=R168,ABS(R203),0),0)</f>
        <v>5951.3546065835726</v>
      </c>
      <c r="S204" s="60">
        <f t="shared" ref="S204" si="156">IF($A$64&lt;=S168,IF($B$64&gt;=S168,ABS(S203),0),0)</f>
        <v>3890.7885387940564</v>
      </c>
      <c r="T204" s="60">
        <f t="shared" ref="T204" si="157">IF($A$64&lt;=T168,IF($B$64&gt;=T168,ABS(T203),0),0)</f>
        <v>376.79141476148618</v>
      </c>
      <c r="U204" s="60">
        <f t="shared" ref="U204" si="158">IF($A$64&lt;=U168,IF($B$64&gt;=U168,ABS(U203),0),0)</f>
        <v>18559.738322891604</v>
      </c>
      <c r="V204" s="60">
        <f t="shared" ref="V204" si="159">IF($A$64&lt;=V168,IF($B$64&gt;=V168,ABS(V203),0),0)</f>
        <v>37271.765188981852</v>
      </c>
      <c r="W204" s="60">
        <f t="shared" ref="W204" si="160">IF($A$64&lt;=W168,IF($B$64&gt;=W168,ABS(W203),0),0)</f>
        <v>24086.987399930622</v>
      </c>
      <c r="X204" s="60">
        <f t="shared" ref="X204" si="161">IF($A$64&lt;=X168,IF($B$64&gt;=X168,ABS(X203),0),0)</f>
        <v>7779.2750522657343</v>
      </c>
      <c r="Y204" s="60">
        <f t="shared" ref="Y204" si="162">IF($A$64&lt;=Y168,IF($B$64&gt;=Y168,ABS(Y203),0),0)</f>
        <v>3119.0147228039855</v>
      </c>
      <c r="Z204" s="60">
        <f t="shared" ref="Z204" si="163">IF($A$64&lt;=Z168,IF($B$64&gt;=Z168,ABS(Z203),0),0)</f>
        <v>5.088497493181019</v>
      </c>
      <c r="AA204" s="60">
        <f t="shared" ref="AA204" si="164">IF($A$64&lt;=AA168,IF($B$64&gt;=AA168,ABS(AA203),0),0)</f>
        <v>3096.4884456399991</v>
      </c>
      <c r="AB204" s="60">
        <f t="shared" ref="AB204" si="165">IF($A$64&lt;=AB168,IF($B$64&gt;=AB168,ABS(AB203),0),0)</f>
        <v>38.756145239606511</v>
      </c>
      <c r="AC204" s="60">
        <f t="shared" ref="AC204" si="166">IF($A$64&lt;=AC168,IF($B$64&gt;=AC168,ABS(AC203),0),0)</f>
        <v>110.53603508142615</v>
      </c>
      <c r="AD204" s="60">
        <f t="shared" ref="AD204" si="167">IF($A$64&lt;=AD168,IF($B$64&gt;=AD168,ABS(AD203),0),0)</f>
        <v>24.834806002695291</v>
      </c>
      <c r="AE204" s="60">
        <f t="shared" ref="AE204" si="168">IF($A$64&lt;=AE168,IF($B$64&gt;=AE168,ABS(AE203),0),0)</f>
        <v>14.270078227172888</v>
      </c>
      <c r="AF204" s="60">
        <f t="shared" ref="AF204" si="169">IF($A$64&lt;=AF168,IF($B$64&gt;=AF168,ABS(AF203),0),0)</f>
        <v>0.81178865145456791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10334.776176356636</v>
      </c>
      <c r="C208" s="26">
        <f>INDEX(Comparison!$AM$3:$AS$33,G$14,$D$122)</f>
        <v>10091.776344091975</v>
      </c>
      <c r="D208" s="26">
        <f>INDEX(Comparison!$AM$3:$AS$33,H$14,$D$122)</f>
        <v>9888.29643553188</v>
      </c>
      <c r="E208" s="26">
        <f>INDEX(Comparison!$AM$3:$AS$33,I$14,$D$122)</f>
        <v>9675.5582946416034</v>
      </c>
      <c r="F208" s="26">
        <f>INDEX(Comparison!$AM$3:$AS$33,J$14,$D$122)</f>
        <v>9437.8844555939704</v>
      </c>
      <c r="G208" s="26">
        <f>INDEX(Comparison!$AM$3:$AS$33,K$14,$D$122)</f>
        <v>9182.6179716248589</v>
      </c>
      <c r="H208" s="26">
        <f>INDEX(Comparison!$AM$3:$AS$33,L$14,$D$122)</f>
        <v>8899.8294294290881</v>
      </c>
      <c r="I208" s="26">
        <f>INDEX(Comparison!$AM$3:$AS$33,M$14,$D$122)</f>
        <v>8621.6067732840511</v>
      </c>
      <c r="J208" s="26">
        <f>INDEX(Comparison!$AM$3:$AS$33,N$14,$D$122)</f>
        <v>8354.3796068734482</v>
      </c>
      <c r="K208" s="26">
        <f>INDEX(Comparison!$AM$3:$AS$33,O$14,$D$122)</f>
        <v>8041.7904738604348</v>
      </c>
      <c r="L208" s="26">
        <f>INDEX(Comparison!$AM$3:$AS$33,P$14,$D$122)</f>
        <v>7673.2145085350385</v>
      </c>
      <c r="M208" s="26">
        <f>INDEX(Comparison!$AM$3:$AS$33,Q$14,$D$122)</f>
        <v>7295.4976540764501</v>
      </c>
      <c r="N208" s="26">
        <f>INDEX(Comparison!$AM$3:$AS$33,R$14,$D$122)</f>
        <v>6977.8752509418382</v>
      </c>
      <c r="O208" s="26">
        <f>INDEX(Comparison!$AM$3:$AS$33,S$14,$D$122)</f>
        <v>6688.5988498392426</v>
      </c>
      <c r="P208" s="26">
        <f>INDEX(Comparison!$AM$3:$AS$33,T$14,$D$122)</f>
        <v>6402.4667189627462</v>
      </c>
      <c r="Q208" s="26">
        <f>INDEX(Comparison!$AM$3:$AS$33,U$14,$D$122)</f>
        <v>6108.5862714487212</v>
      </c>
      <c r="R208" s="26">
        <f>INDEX(Comparison!$AM$3:$AS$33,V$14,$D$122)</f>
        <v>5821.8385981744532</v>
      </c>
      <c r="S208" s="26">
        <f>INDEX(Comparison!$AM$3:$AS$33,W$14,$D$122)</f>
        <v>5461.5612200441165</v>
      </c>
      <c r="T208" s="26">
        <f>INDEX(Comparison!$AM$3:$AS$33,X$14,$D$122)</f>
        <v>4936.5934069622945</v>
      </c>
      <c r="U208" s="26">
        <f>INDEX(Comparison!$AM$3:$AS$33,Y$14,$D$122)</f>
        <v>4296.9639126238171</v>
      </c>
      <c r="V208" s="26">
        <f>INDEX(Comparison!$AM$3:$AS$33,Z$14,$D$122)</f>
        <v>3679.1110460410682</v>
      </c>
      <c r="W208" s="26">
        <f>INDEX(Comparison!$AM$3:$AS$33,AA$14,$D$122)</f>
        <v>3097.6161878660678</v>
      </c>
      <c r="X208" s="26">
        <f>INDEX(Comparison!$AM$3:$AS$33,AB$14,$D$122)</f>
        <v>2528.090407055493</v>
      </c>
      <c r="Y208" s="26">
        <f>INDEX(Comparison!$AM$3:$AS$33,AC$14,$D$122)</f>
        <v>1953.6029786216222</v>
      </c>
      <c r="Z208" s="26">
        <f>INDEX(Comparison!$AM$3:$AS$33,AD$14,$D$122)</f>
        <v>1432.382407665888</v>
      </c>
      <c r="AA208" s="26">
        <f>INDEX(Comparison!$AM$3:$AS$33,AE$14,$D$122)</f>
        <v>1033.3489091490621</v>
      </c>
      <c r="AB208" s="26">
        <f>INDEX(Comparison!$AM$3:$AS$33,AF$14,$D$122)</f>
        <v>776.17019476824578</v>
      </c>
      <c r="AC208" s="26">
        <f>INDEX(Comparison!$AM$3:$AS$33,AG$14,$D$122)</f>
        <v>643.6842763640858</v>
      </c>
      <c r="AD208" s="26">
        <f>INDEX(Comparison!$AM$3:$AS$33,AH$14,$D$122)</f>
        <v>575.83936179835393</v>
      </c>
      <c r="AE208" s="26">
        <f>INDEX(Comparison!$AM$3:$AS$33,AI$14,$D$122)</f>
        <v>540.3807046910232</v>
      </c>
      <c r="AF208" s="26">
        <f>INDEX(Comparison!$AM$3:$AS$33,AJ$14,$D$122)</f>
        <v>518.13069577372926</v>
      </c>
      <c r="AG208" s="26"/>
      <c r="AH208" s="26"/>
    </row>
    <row r="209" spans="1:34" x14ac:dyDescent="0.25">
      <c r="A209" s="70" t="s">
        <v>22</v>
      </c>
      <c r="B209" s="27">
        <f>($C$17+SUM(B210:B240))*$B$51</f>
        <v>9764.0288166473965</v>
      </c>
      <c r="C209" s="27">
        <f t="shared" ref="C209:AF209" si="170">($C$17+SUM(C210:C240))*$B$51</f>
        <v>9763.2804594446752</v>
      </c>
      <c r="D209" s="27">
        <f t="shared" si="170"/>
        <v>9755.8568070152232</v>
      </c>
      <c r="E209" s="27">
        <f t="shared" si="170"/>
        <v>9687.2896807612597</v>
      </c>
      <c r="F209" s="27">
        <f t="shared" si="170"/>
        <v>9347.2281600721108</v>
      </c>
      <c r="G209" s="27">
        <f t="shared" si="170"/>
        <v>9100.5606199129415</v>
      </c>
      <c r="H209" s="27">
        <f t="shared" si="170"/>
        <v>8824.5670250950388</v>
      </c>
      <c r="I209" s="27">
        <f t="shared" si="170"/>
        <v>8550.5211173004609</v>
      </c>
      <c r="J209" s="27">
        <f t="shared" si="170"/>
        <v>8285.6992882093818</v>
      </c>
      <c r="K209" s="27">
        <f t="shared" si="170"/>
        <v>7977.375199207182</v>
      </c>
      <c r="L209" s="27">
        <f t="shared" si="170"/>
        <v>7612.3707772976813</v>
      </c>
      <c r="M209" s="27">
        <f t="shared" si="170"/>
        <v>7239.3170041572121</v>
      </c>
      <c r="N209" s="27">
        <f t="shared" si="170"/>
        <v>6918.7293652083526</v>
      </c>
      <c r="O209" s="27">
        <f t="shared" si="170"/>
        <v>6638.035677240955</v>
      </c>
      <c r="P209" s="27">
        <f t="shared" si="170"/>
        <v>6347.3711290177771</v>
      </c>
      <c r="Q209" s="27">
        <f t="shared" si="170"/>
        <v>6058.6945712438082</v>
      </c>
      <c r="R209" s="27">
        <f t="shared" si="170"/>
        <v>5777.1620336257229</v>
      </c>
      <c r="S209" s="27">
        <f t="shared" si="170"/>
        <v>5449.4023374839189</v>
      </c>
      <c r="T209" s="27">
        <f t="shared" si="170"/>
        <v>5034.399952063769</v>
      </c>
      <c r="U209" s="27">
        <f t="shared" si="170"/>
        <v>4445.0581537131602</v>
      </c>
      <c r="V209" s="27">
        <f t="shared" si="170"/>
        <v>3795.8985252607899</v>
      </c>
      <c r="W209" s="27">
        <f t="shared" si="170"/>
        <v>3162.9769160502847</v>
      </c>
      <c r="X209" s="27">
        <f t="shared" si="170"/>
        <v>2567.6616094545293</v>
      </c>
      <c r="Y209" s="27">
        <f t="shared" si="170"/>
        <v>1951.0486041852123</v>
      </c>
      <c r="Z209" s="27">
        <f t="shared" si="170"/>
        <v>1469.5914250080309</v>
      </c>
      <c r="AA209" s="27">
        <f t="shared" si="170"/>
        <v>1030.7723012971558</v>
      </c>
      <c r="AB209" s="27">
        <f t="shared" si="170"/>
        <v>784.305095335347</v>
      </c>
      <c r="AC209" s="27">
        <f t="shared" si="170"/>
        <v>640.83448963729722</v>
      </c>
      <c r="AD209" s="27">
        <f t="shared" si="170"/>
        <v>578.66602493667096</v>
      </c>
      <c r="AE209" s="27">
        <f t="shared" si="170"/>
        <v>540.00461377796535</v>
      </c>
      <c r="AF209" s="27">
        <f t="shared" si="170"/>
        <v>518.38394340741479</v>
      </c>
      <c r="AG209" s="27"/>
      <c r="AH209" s="27"/>
    </row>
    <row r="210" spans="1:34" x14ac:dyDescent="0.25">
      <c r="B210" s="3">
        <f t="shared" ref="B210:AF210" si="171">$C18*EXP(-B$207/$A18/EXP(-$D$126))</f>
        <v>6.6831197947495524E-288</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4.3974865021726935E-2</v>
      </c>
      <c r="C211" s="3">
        <f t="shared" si="172"/>
        <v>4.3908119748133051E-2</v>
      </c>
      <c r="D211" s="3">
        <f t="shared" si="172"/>
        <v>4.324621356546144E-2</v>
      </c>
      <c r="E211" s="3">
        <f t="shared" si="172"/>
        <v>3.7151861235596106E-2</v>
      </c>
      <c r="F211" s="3">
        <f t="shared" si="172"/>
        <v>8.1340239819153014E-3</v>
      </c>
      <c r="G211" s="3">
        <f t="shared" si="172"/>
        <v>2.0585156555519104E-9</v>
      </c>
      <c r="H211" s="3">
        <f t="shared" si="172"/>
        <v>2.2184080461621005E-75</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1.7082173994753348E-2</v>
      </c>
      <c r="C212" s="3">
        <f t="shared" si="173"/>
        <v>1.7079833510213787E-2</v>
      </c>
      <c r="D212" s="3">
        <f t="shared" si="173"/>
        <v>1.7056446294829924E-2</v>
      </c>
      <c r="E212" s="3">
        <f t="shared" si="173"/>
        <v>1.6824328236700426E-2</v>
      </c>
      <c r="F212" s="3">
        <f t="shared" si="173"/>
        <v>1.4669980894228093E-2</v>
      </c>
      <c r="G212" s="3">
        <f t="shared" si="173"/>
        <v>3.7268996882127E-3</v>
      </c>
      <c r="H212" s="3">
        <f t="shared" si="173"/>
        <v>4.1737771527013849E-9</v>
      </c>
      <c r="I212" s="3">
        <f t="shared" si="173"/>
        <v>1.2952237379077476E-68</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3.0709080688159869E-2</v>
      </c>
      <c r="C213" s="3">
        <f t="shared" si="174"/>
        <v>3.0708701108343249E-2</v>
      </c>
      <c r="D213" s="3">
        <f t="shared" si="174"/>
        <v>3.0704905568216409E-2</v>
      </c>
      <c r="E213" s="3">
        <f t="shared" si="174"/>
        <v>3.0666975959088908E-2</v>
      </c>
      <c r="F213" s="3">
        <f t="shared" si="174"/>
        <v>3.0290247324983106E-2</v>
      </c>
      <c r="G213" s="3">
        <f t="shared" si="174"/>
        <v>2.6768342870416826E-2</v>
      </c>
      <c r="H213" s="3">
        <f t="shared" si="174"/>
        <v>7.7769294029935996E-3</v>
      </c>
      <c r="I213" s="3">
        <f t="shared" si="174"/>
        <v>3.3317688053402933E-8</v>
      </c>
      <c r="J213" s="3">
        <f t="shared" si="174"/>
        <v>6.9397187316124883E-62</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2.5228834785101711E-2</v>
      </c>
      <c r="C214" s="3">
        <f t="shared" si="175"/>
        <v>2.5228806654273298E-2</v>
      </c>
      <c r="D214" s="3">
        <f t="shared" si="175"/>
        <v>2.5228525347714324E-2</v>
      </c>
      <c r="E214" s="3">
        <f t="shared" si="175"/>
        <v>2.5225712454633356E-2</v>
      </c>
      <c r="F214" s="3">
        <f t="shared" si="175"/>
        <v>2.519760076758543E-2</v>
      </c>
      <c r="G214" s="3">
        <f t="shared" si="175"/>
        <v>2.4918201180362566E-2</v>
      </c>
      <c r="H214" s="3">
        <f t="shared" si="175"/>
        <v>2.2289055192666638E-2</v>
      </c>
      <c r="I214" s="3">
        <f t="shared" si="175"/>
        <v>7.3087208968955868E-3</v>
      </c>
      <c r="J214" s="3">
        <f t="shared" si="175"/>
        <v>1.0503609231970687E-7</v>
      </c>
      <c r="K214" s="3">
        <f t="shared" si="175"/>
        <v>3.9473927899596223E-56</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2.5050861046167761E-2</v>
      </c>
      <c r="C215" s="3">
        <f t="shared" si="176"/>
        <v>2.5050858526433167E-2</v>
      </c>
      <c r="D215" s="3">
        <f t="shared" si="176"/>
        <v>2.5050833329101189E-2</v>
      </c>
      <c r="E215" s="3">
        <f t="shared" si="176"/>
        <v>2.5050581357175344E-2</v>
      </c>
      <c r="F215" s="3">
        <f t="shared" si="176"/>
        <v>2.5048061777306899E-2</v>
      </c>
      <c r="G215" s="3">
        <f t="shared" si="176"/>
        <v>2.5022879912439473E-2</v>
      </c>
      <c r="H215" s="3">
        <f t="shared" si="176"/>
        <v>2.4772449473729349E-2</v>
      </c>
      <c r="I215" s="3">
        <f t="shared" si="176"/>
        <v>2.2401935747468949E-2</v>
      </c>
      <c r="J215" s="3">
        <f t="shared" si="176"/>
        <v>8.1931613392862285E-3</v>
      </c>
      <c r="K215" s="3">
        <f t="shared" si="176"/>
        <v>3.5084161769918967E-7</v>
      </c>
      <c r="L215" s="3">
        <f t="shared" si="176"/>
        <v>7.2728910657380833E-51</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3.1849669926410903E-2</v>
      </c>
      <c r="C216" s="3">
        <f t="shared" si="177"/>
        <v>3.1849669637420322E-2</v>
      </c>
      <c r="D216" s="3">
        <f t="shared" si="177"/>
        <v>3.1849666747514667E-2</v>
      </c>
      <c r="E216" s="3">
        <f t="shared" si="177"/>
        <v>3.1849637848472515E-2</v>
      </c>
      <c r="F216" s="3">
        <f t="shared" si="177"/>
        <v>3.1849348859493178E-2</v>
      </c>
      <c r="G216" s="3">
        <f t="shared" si="177"/>
        <v>3.1846459113914302E-2</v>
      </c>
      <c r="H216" s="3">
        <f t="shared" si="177"/>
        <v>3.1817576074735204E-2</v>
      </c>
      <c r="I216" s="3">
        <f t="shared" si="177"/>
        <v>3.153018251565546E-2</v>
      </c>
      <c r="J216" s="3">
        <f t="shared" si="177"/>
        <v>2.879522127429128E-2</v>
      </c>
      <c r="K216" s="3">
        <f t="shared" si="177"/>
        <v>1.1621435463190073E-2</v>
      </c>
      <c r="L216" s="3">
        <f t="shared" si="177"/>
        <v>1.3324573631963549E-6</v>
      </c>
      <c r="M216" s="3">
        <f t="shared" si="177"/>
        <v>5.2310489499872096E-46</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3.8281553671051696E-2</v>
      </c>
      <c r="C217" s="3">
        <f t="shared" si="178"/>
        <v>3.8281553639717761E-2</v>
      </c>
      <c r="D217" s="3">
        <f t="shared" si="178"/>
        <v>3.8281553326378441E-2</v>
      </c>
      <c r="E217" s="3">
        <f t="shared" si="178"/>
        <v>3.8281550192985382E-2</v>
      </c>
      <c r="F217" s="3">
        <f t="shared" si="178"/>
        <v>3.8281518859068851E-2</v>
      </c>
      <c r="G217" s="3">
        <f t="shared" si="178"/>
        <v>3.828120552131415E-2</v>
      </c>
      <c r="H217" s="3">
        <f t="shared" si="178"/>
        <v>3.8278072284822114E-2</v>
      </c>
      <c r="I217" s="3">
        <f t="shared" si="178"/>
        <v>3.8246754021125387E-2</v>
      </c>
      <c r="J217" s="3">
        <f t="shared" si="178"/>
        <v>3.793497724531044E-2</v>
      </c>
      <c r="K217" s="3">
        <f t="shared" si="178"/>
        <v>3.4953629572986096E-2</v>
      </c>
      <c r="L217" s="3">
        <f t="shared" si="178"/>
        <v>1.5417600732007295E-2</v>
      </c>
      <c r="M217" s="3">
        <f t="shared" si="178"/>
        <v>4.2979558155018777E-6</v>
      </c>
      <c r="N217" s="3">
        <f t="shared" si="178"/>
        <v>1.2181856106015083E-41</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3.602084524204946E-2</v>
      </c>
      <c r="C218" s="3">
        <f t="shared" si="179"/>
        <v>3.6020845239389802E-2</v>
      </c>
      <c r="D218" s="3">
        <f t="shared" si="179"/>
        <v>3.6020845212793223E-2</v>
      </c>
      <c r="E218" s="3">
        <f t="shared" si="179"/>
        <v>3.6020844946827404E-2</v>
      </c>
      <c r="F218" s="3">
        <f t="shared" si="179"/>
        <v>3.6020842287169279E-2</v>
      </c>
      <c r="G218" s="3">
        <f t="shared" si="179"/>
        <v>3.6020815690598881E-2</v>
      </c>
      <c r="H218" s="3">
        <f t="shared" si="179"/>
        <v>3.6020549725975022E-2</v>
      </c>
      <c r="I218" s="3">
        <f t="shared" si="179"/>
        <v>3.6017890187742221E-2</v>
      </c>
      <c r="J218" s="3">
        <f t="shared" si="179"/>
        <v>3.5991305603049029E-2</v>
      </c>
      <c r="K218" s="3">
        <f t="shared" si="179"/>
        <v>3.5726536575550721E-2</v>
      </c>
      <c r="L218" s="3">
        <f t="shared" si="179"/>
        <v>3.3183643621487485E-2</v>
      </c>
      <c r="M218" s="3">
        <f t="shared" si="179"/>
        <v>1.5858262798626864E-2</v>
      </c>
      <c r="N218" s="3">
        <f t="shared" si="179"/>
        <v>9.8530573462784526E-6</v>
      </c>
      <c r="O218" s="3">
        <f t="shared" si="179"/>
        <v>8.4474379274441874E-38</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2.6935551207981478E-2</v>
      </c>
      <c r="C219" s="3">
        <f t="shared" si="180"/>
        <v>2.6935551207802069E-2</v>
      </c>
      <c r="D219" s="3">
        <f t="shared" si="180"/>
        <v>2.693555120600798E-2</v>
      </c>
      <c r="E219" s="3">
        <f t="shared" si="180"/>
        <v>2.6935551188067074E-2</v>
      </c>
      <c r="F219" s="3">
        <f t="shared" si="180"/>
        <v>2.6935551008658003E-2</v>
      </c>
      <c r="G219" s="3">
        <f t="shared" si="180"/>
        <v>2.6935549214567384E-2</v>
      </c>
      <c r="H219" s="3">
        <f t="shared" si="180"/>
        <v>2.6935531273667761E-2</v>
      </c>
      <c r="I219" s="3">
        <f t="shared" si="180"/>
        <v>2.6935351865328794E-2</v>
      </c>
      <c r="J219" s="3">
        <f t="shared" si="180"/>
        <v>2.6933557847661545E-2</v>
      </c>
      <c r="K219" s="3">
        <f t="shared" si="180"/>
        <v>2.6915624241614231E-2</v>
      </c>
      <c r="L219" s="3">
        <f t="shared" si="180"/>
        <v>2.6736943627239523E-2</v>
      </c>
      <c r="M219" s="3">
        <f t="shared" si="180"/>
        <v>2.5014095154344759E-2</v>
      </c>
      <c r="N219" s="3">
        <f t="shared" si="180"/>
        <v>1.2850356304414329E-2</v>
      </c>
      <c r="O219" s="3">
        <f t="shared" si="180"/>
        <v>1.6452007159562037E-5</v>
      </c>
      <c r="P219" s="3">
        <f t="shared" si="180"/>
        <v>1.9465075479411253E-34</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2.7296069607127865E-2</v>
      </c>
      <c r="C220" s="3">
        <f t="shared" si="181"/>
        <v>2.7296069607111464E-2</v>
      </c>
      <c r="D220" s="3">
        <f t="shared" si="181"/>
        <v>2.7296069606947453E-2</v>
      </c>
      <c r="E220" s="3">
        <f t="shared" si="181"/>
        <v>2.7296069605307376E-2</v>
      </c>
      <c r="F220" s="3">
        <f t="shared" si="181"/>
        <v>2.7296069588906569E-2</v>
      </c>
      <c r="G220" s="3">
        <f t="shared" si="181"/>
        <v>2.7296069424898494E-2</v>
      </c>
      <c r="H220" s="3">
        <f t="shared" si="181"/>
        <v>2.7296067784817794E-2</v>
      </c>
      <c r="I220" s="3">
        <f t="shared" si="181"/>
        <v>2.729605138401622E-2</v>
      </c>
      <c r="J220" s="3">
        <f t="shared" si="181"/>
        <v>2.7295887376542517E-2</v>
      </c>
      <c r="K220" s="3">
        <f t="shared" si="181"/>
        <v>2.7294247356003349E-2</v>
      </c>
      <c r="L220" s="3">
        <f t="shared" si="181"/>
        <v>2.7277852569195141E-2</v>
      </c>
      <c r="M220" s="3">
        <f t="shared" si="181"/>
        <v>2.7114445356765885E-2</v>
      </c>
      <c r="N220" s="3">
        <f t="shared" si="181"/>
        <v>2.5533255917868061E-2</v>
      </c>
      <c r="O220" s="3">
        <f t="shared" si="181"/>
        <v>1.4001060389348301E-2</v>
      </c>
      <c r="P220" s="3">
        <f t="shared" si="181"/>
        <v>3.4411866968059842E-5</v>
      </c>
      <c r="Q220" s="3">
        <f t="shared" si="181"/>
        <v>2.7680969721026081E-31</v>
      </c>
      <c r="R220" s="3">
        <f t="shared" si="181"/>
        <v>3.1398720434072419E-292</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2.962762076042345E-2</v>
      </c>
      <c r="C221" s="3">
        <f t="shared" si="182"/>
        <v>2.9627620760421844E-2</v>
      </c>
      <c r="D221" s="3">
        <f t="shared" si="182"/>
        <v>2.9627620760405787E-2</v>
      </c>
      <c r="E221" s="3">
        <f t="shared" si="182"/>
        <v>2.9627620760245197E-2</v>
      </c>
      <c r="F221" s="3">
        <f t="shared" si="182"/>
        <v>2.9627620758639336E-2</v>
      </c>
      <c r="G221" s="3">
        <f t="shared" si="182"/>
        <v>2.9627620742580706E-2</v>
      </c>
      <c r="H221" s="3">
        <f t="shared" si="182"/>
        <v>2.9627620581994408E-2</v>
      </c>
      <c r="I221" s="3">
        <f t="shared" si="182"/>
        <v>2.962761897613149E-2</v>
      </c>
      <c r="J221" s="3">
        <f t="shared" si="182"/>
        <v>2.9627602917507077E-2</v>
      </c>
      <c r="K221" s="3">
        <f t="shared" si="182"/>
        <v>2.9627442331741669E-2</v>
      </c>
      <c r="L221" s="3">
        <f t="shared" si="182"/>
        <v>2.9625836521958698E-2</v>
      </c>
      <c r="M221" s="3">
        <f t="shared" si="182"/>
        <v>2.9609783210276859E-2</v>
      </c>
      <c r="N221" s="3">
        <f t="shared" si="182"/>
        <v>2.9449727749794197E-2</v>
      </c>
      <c r="O221" s="3">
        <f t="shared" si="182"/>
        <v>2.7895994588704794E-2</v>
      </c>
      <c r="P221" s="3">
        <f t="shared" si="182"/>
        <v>1.622361040558724E-2</v>
      </c>
      <c r="Q221" s="3">
        <f t="shared" si="182"/>
        <v>7.1813169273328995E-5</v>
      </c>
      <c r="R221" s="3">
        <f t="shared" si="182"/>
        <v>2.0738146713757276E-28</v>
      </c>
      <c r="S221" s="3">
        <f t="shared" si="182"/>
        <v>8.3642775105164989E-264</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2.5090471751421626E-2</v>
      </c>
      <c r="C222" s="3">
        <f t="shared" si="183"/>
        <v>2.5090471751421504E-2</v>
      </c>
      <c r="D222" s="3">
        <f t="shared" si="183"/>
        <v>2.5090471751420276E-2</v>
      </c>
      <c r="E222" s="3">
        <f t="shared" si="183"/>
        <v>2.5090471751408008E-2</v>
      </c>
      <c r="F222" s="3">
        <f t="shared" si="183"/>
        <v>2.5090471751285332E-2</v>
      </c>
      <c r="G222" s="3">
        <f t="shared" si="183"/>
        <v>2.509047175005855E-2</v>
      </c>
      <c r="H222" s="3">
        <f t="shared" si="183"/>
        <v>2.5090471737790738E-2</v>
      </c>
      <c r="I222" s="3">
        <f t="shared" si="183"/>
        <v>2.5090471615112613E-2</v>
      </c>
      <c r="J222" s="3">
        <f t="shared" si="183"/>
        <v>2.5090470388331412E-2</v>
      </c>
      <c r="K222" s="3">
        <f t="shared" si="183"/>
        <v>2.5090458120522692E-2</v>
      </c>
      <c r="L222" s="3">
        <f t="shared" si="183"/>
        <v>2.5090335442765413E-2</v>
      </c>
      <c r="M222" s="3">
        <f t="shared" si="183"/>
        <v>2.5089108698182389E-2</v>
      </c>
      <c r="N222" s="3">
        <f t="shared" si="183"/>
        <v>2.5076844550733134E-2</v>
      </c>
      <c r="O222" s="3">
        <f t="shared" si="183"/>
        <v>2.4954532318412999E-2</v>
      </c>
      <c r="P222" s="3">
        <f t="shared" si="183"/>
        <v>2.3763746293662173E-2</v>
      </c>
      <c r="Q222" s="3">
        <f t="shared" si="183"/>
        <v>1.4573693383743638E-2</v>
      </c>
      <c r="R222" s="3">
        <f t="shared" si="183"/>
        <v>1.0967732220344562E-4</v>
      </c>
      <c r="S222" s="3">
        <f t="shared" si="183"/>
        <v>6.3912961562813731E-26</v>
      </c>
      <c r="T222" s="3">
        <f t="shared" si="183"/>
        <v>2.8860907178561408E-238</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2.9857729564103035E-2</v>
      </c>
      <c r="C223" s="3">
        <f t="shared" si="184"/>
        <v>2.9857729564103021E-2</v>
      </c>
      <c r="D223" s="3">
        <f t="shared" si="184"/>
        <v>2.9857729564102889E-2</v>
      </c>
      <c r="E223" s="3">
        <f t="shared" si="184"/>
        <v>2.9857729564101574E-2</v>
      </c>
      <c r="F223" s="3">
        <f t="shared" si="184"/>
        <v>2.9857729564088404E-2</v>
      </c>
      <c r="G223" s="3">
        <f t="shared" si="184"/>
        <v>2.9857729563956711E-2</v>
      </c>
      <c r="H223" s="3">
        <f t="shared" si="184"/>
        <v>2.9857729562639782E-2</v>
      </c>
      <c r="I223" s="3">
        <f t="shared" si="184"/>
        <v>2.9857729549470514E-2</v>
      </c>
      <c r="J223" s="3">
        <f t="shared" si="184"/>
        <v>2.9857729417777822E-2</v>
      </c>
      <c r="K223" s="3">
        <f t="shared" si="184"/>
        <v>2.985772810085096E-2</v>
      </c>
      <c r="L223" s="3">
        <f t="shared" si="184"/>
        <v>2.9857714931585483E-2</v>
      </c>
      <c r="M223" s="3">
        <f t="shared" si="184"/>
        <v>2.9857583239250217E-2</v>
      </c>
      <c r="N223" s="3">
        <f t="shared" si="184"/>
        <v>2.9856266347843906E-2</v>
      </c>
      <c r="O223" s="3">
        <f t="shared" si="184"/>
        <v>2.9843100627895452E-2</v>
      </c>
      <c r="P223" s="3">
        <f t="shared" si="184"/>
        <v>2.9711762319227692E-2</v>
      </c>
      <c r="Q223" s="3">
        <f t="shared" si="184"/>
        <v>2.8429753983387349E-2</v>
      </c>
      <c r="R223" s="3">
        <f t="shared" si="184"/>
        <v>1.8290264859304659E-2</v>
      </c>
      <c r="S223" s="3">
        <f t="shared" si="184"/>
        <v>2.2217179506653177E-4</v>
      </c>
      <c r="T223" s="3">
        <f t="shared" si="184"/>
        <v>1.5537395433954535E-23</v>
      </c>
      <c r="U223" s="3">
        <f t="shared" si="184"/>
        <v>4.3478161140446124E-215</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3.2231679526116067E-2</v>
      </c>
      <c r="C224" s="3">
        <f t="shared" si="185"/>
        <v>3.2231679526116067E-2</v>
      </c>
      <c r="D224" s="3">
        <f t="shared" si="185"/>
        <v>3.2231679526116053E-2</v>
      </c>
      <c r="E224" s="3">
        <f t="shared" si="185"/>
        <v>3.2231679526115921E-2</v>
      </c>
      <c r="F224" s="3">
        <f t="shared" si="185"/>
        <v>3.2231679526114644E-2</v>
      </c>
      <c r="G224" s="3">
        <f t="shared" si="185"/>
        <v>3.2231679526101814E-2</v>
      </c>
      <c r="H224" s="3">
        <f t="shared" si="185"/>
        <v>3.2231679525973576E-2</v>
      </c>
      <c r="I224" s="3">
        <f t="shared" si="185"/>
        <v>3.2231679524691144E-2</v>
      </c>
      <c r="J224" s="3">
        <f t="shared" si="185"/>
        <v>3.2231679511866819E-2</v>
      </c>
      <c r="K224" s="3">
        <f t="shared" si="185"/>
        <v>3.2231679383623597E-2</v>
      </c>
      <c r="L224" s="3">
        <f t="shared" si="185"/>
        <v>3.2231678101191423E-2</v>
      </c>
      <c r="M224" s="3">
        <f t="shared" si="185"/>
        <v>3.2231665276872462E-2</v>
      </c>
      <c r="N224" s="3">
        <f t="shared" si="185"/>
        <v>3.2231537033963482E-2</v>
      </c>
      <c r="O224" s="3">
        <f t="shared" si="185"/>
        <v>3.2230254632937196E-2</v>
      </c>
      <c r="P224" s="3">
        <f t="shared" si="185"/>
        <v>3.2217433428608951E-2</v>
      </c>
      <c r="Q224" s="3">
        <f t="shared" si="185"/>
        <v>3.2089501566152645E-2</v>
      </c>
      <c r="R224" s="3">
        <f t="shared" si="185"/>
        <v>3.0837792907904442E-2</v>
      </c>
      <c r="S224" s="3">
        <f t="shared" si="185"/>
        <v>2.0715072106084888E-2</v>
      </c>
      <c r="T224" s="3">
        <f t="shared" si="185"/>
        <v>3.875413670641436E-4</v>
      </c>
      <c r="U224" s="3">
        <f t="shared" si="185"/>
        <v>2.0353272283253667E-21</v>
      </c>
      <c r="V224" s="3">
        <f t="shared" si="185"/>
        <v>3.2493463016924395E-194</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5.4486023207095342E-2</v>
      </c>
      <c r="C225" s="3">
        <f t="shared" si="186"/>
        <v>5.4486023207095342E-2</v>
      </c>
      <c r="D225" s="3">
        <f t="shared" si="186"/>
        <v>5.4486023207095342E-2</v>
      </c>
      <c r="E225" s="3">
        <f t="shared" si="186"/>
        <v>5.4486023207095322E-2</v>
      </c>
      <c r="F225" s="3">
        <f t="shared" si="186"/>
        <v>5.4486023207095127E-2</v>
      </c>
      <c r="G225" s="3">
        <f t="shared" si="186"/>
        <v>5.448602320709317E-2</v>
      </c>
      <c r="H225" s="3">
        <f t="shared" si="186"/>
        <v>5.4486023207073617E-2</v>
      </c>
      <c r="I225" s="3">
        <f t="shared" si="186"/>
        <v>5.4486023206878051E-2</v>
      </c>
      <c r="J225" s="3">
        <f t="shared" si="186"/>
        <v>5.4486023204922442E-2</v>
      </c>
      <c r="K225" s="3">
        <f t="shared" si="186"/>
        <v>5.44860231853663E-2</v>
      </c>
      <c r="L225" s="3">
        <f t="shared" si="186"/>
        <v>5.4486022989804872E-2</v>
      </c>
      <c r="M225" s="3">
        <f t="shared" si="186"/>
        <v>5.4486021034190715E-2</v>
      </c>
      <c r="N225" s="3">
        <f t="shared" si="186"/>
        <v>5.4486001478052999E-2</v>
      </c>
      <c r="O225" s="3">
        <f t="shared" si="186"/>
        <v>5.4485805917061814E-2</v>
      </c>
      <c r="P225" s="3">
        <f t="shared" si="186"/>
        <v>5.4483850345754446E-2</v>
      </c>
      <c r="Q225" s="3">
        <f t="shared" si="186"/>
        <v>5.4464298492614624E-2</v>
      </c>
      <c r="R225" s="3">
        <f t="shared" si="186"/>
        <v>5.4269165442492044E-2</v>
      </c>
      <c r="S225" s="3">
        <f t="shared" si="186"/>
        <v>5.2355876025252733E-2</v>
      </c>
      <c r="T225" s="3">
        <f t="shared" si="186"/>
        <v>3.6566913737404318E-2</v>
      </c>
      <c r="U225" s="3">
        <f t="shared" si="186"/>
        <v>1.0099899985063123E-3</v>
      </c>
      <c r="V225" s="3">
        <f t="shared" si="186"/>
        <v>2.6097850105005249E-19</v>
      </c>
      <c r="W225" s="3">
        <f t="shared" si="186"/>
        <v>3.4632299182792523E-175</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6.3038463709295806E-2</v>
      </c>
      <c r="C226" s="3">
        <f t="shared" si="187"/>
        <v>6.3038463709295806E-2</v>
      </c>
      <c r="D226" s="3">
        <f t="shared" si="187"/>
        <v>6.3038463709295806E-2</v>
      </c>
      <c r="E226" s="3">
        <f t="shared" si="187"/>
        <v>6.3038463709295806E-2</v>
      </c>
      <c r="F226" s="3">
        <f t="shared" si="187"/>
        <v>6.3038463709295778E-2</v>
      </c>
      <c r="G226" s="3">
        <f t="shared" si="187"/>
        <v>6.3038463709295584E-2</v>
      </c>
      <c r="H226" s="3">
        <f t="shared" si="187"/>
        <v>6.3038463709293543E-2</v>
      </c>
      <c r="I226" s="3">
        <f t="shared" si="187"/>
        <v>6.3038463709273129E-2</v>
      </c>
      <c r="J226" s="3">
        <f t="shared" si="187"/>
        <v>6.3038463709069015E-2</v>
      </c>
      <c r="K226" s="3">
        <f t="shared" si="187"/>
        <v>6.3038463707027995E-2</v>
      </c>
      <c r="L226" s="3">
        <f t="shared" si="187"/>
        <v>6.3038463686617655E-2</v>
      </c>
      <c r="M226" s="3">
        <f t="shared" si="187"/>
        <v>6.3038463482514226E-2</v>
      </c>
      <c r="N226" s="3">
        <f t="shared" si="187"/>
        <v>6.3038461441480065E-2</v>
      </c>
      <c r="O226" s="3">
        <f t="shared" si="187"/>
        <v>6.3038441031142062E-2</v>
      </c>
      <c r="P226" s="3">
        <f t="shared" si="187"/>
        <v>6.3038236928125477E-2</v>
      </c>
      <c r="Q226" s="3">
        <f t="shared" si="187"/>
        <v>6.3036195934305303E-2</v>
      </c>
      <c r="R226" s="3">
        <f t="shared" si="187"/>
        <v>6.3015789630228192E-2</v>
      </c>
      <c r="S226" s="3">
        <f t="shared" si="187"/>
        <v>6.2812089566948393E-2</v>
      </c>
      <c r="T226" s="3">
        <f t="shared" si="187"/>
        <v>6.0810955586913948E-2</v>
      </c>
      <c r="U226" s="3">
        <f t="shared" si="187"/>
        <v>4.3991391045100678E-2</v>
      </c>
      <c r="V226" s="3">
        <f t="shared" si="187"/>
        <v>1.7267376739331371E-3</v>
      </c>
      <c r="W226" s="3">
        <f t="shared" si="187"/>
        <v>1.4990394436119018E-17</v>
      </c>
      <c r="X226" s="3">
        <f t="shared" si="187"/>
        <v>3.644853013222126E-158</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6.2855042147651141E-2</v>
      </c>
      <c r="C227" s="3">
        <f t="shared" si="188"/>
        <v>6.2855042147651141E-2</v>
      </c>
      <c r="D227" s="3">
        <f t="shared" si="188"/>
        <v>6.2855042147651141E-2</v>
      </c>
      <c r="E227" s="3">
        <f t="shared" si="188"/>
        <v>6.2855042147651141E-2</v>
      </c>
      <c r="F227" s="3">
        <f t="shared" si="188"/>
        <v>6.2855042147651141E-2</v>
      </c>
      <c r="G227" s="3">
        <f t="shared" si="188"/>
        <v>6.2855042147651113E-2</v>
      </c>
      <c r="H227" s="3">
        <f t="shared" si="188"/>
        <v>6.2855042147650933E-2</v>
      </c>
      <c r="I227" s="3">
        <f t="shared" si="188"/>
        <v>6.2855042147649101E-2</v>
      </c>
      <c r="J227" s="3">
        <f t="shared" si="188"/>
        <v>6.2855042147630741E-2</v>
      </c>
      <c r="K227" s="3">
        <f t="shared" si="188"/>
        <v>6.2855042147447152E-2</v>
      </c>
      <c r="L227" s="3">
        <f t="shared" si="188"/>
        <v>6.2855042145611328E-2</v>
      </c>
      <c r="M227" s="3">
        <f t="shared" si="188"/>
        <v>6.2855042127253083E-2</v>
      </c>
      <c r="N227" s="3">
        <f t="shared" si="188"/>
        <v>6.2855041943670545E-2</v>
      </c>
      <c r="O227" s="3">
        <f t="shared" si="188"/>
        <v>6.2855040107845164E-2</v>
      </c>
      <c r="P227" s="3">
        <f t="shared" si="188"/>
        <v>6.2855021749594411E-2</v>
      </c>
      <c r="Q227" s="3">
        <f t="shared" si="188"/>
        <v>6.2854838167381757E-2</v>
      </c>
      <c r="R227" s="3">
        <f t="shared" si="188"/>
        <v>6.2853002374745587E-2</v>
      </c>
      <c r="S227" s="3">
        <f t="shared" si="188"/>
        <v>6.2834647397101331E-2</v>
      </c>
      <c r="T227" s="3">
        <f t="shared" si="188"/>
        <v>6.2651392174001466E-2</v>
      </c>
      <c r="U227" s="3">
        <f t="shared" si="188"/>
        <v>6.0847979433934996E-2</v>
      </c>
      <c r="V227" s="3">
        <f t="shared" si="188"/>
        <v>4.5436044404577845E-2</v>
      </c>
      <c r="W227" s="3">
        <f t="shared" si="188"/>
        <v>2.4487477817339257E-3</v>
      </c>
      <c r="X227" s="3">
        <f t="shared" si="188"/>
        <v>5.0626681193076006E-16</v>
      </c>
      <c r="Y227" s="3">
        <f t="shared" si="188"/>
        <v>7.2232639688044994E-143</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5.5175900384027046E-2</v>
      </c>
      <c r="C228" s="3">
        <f t="shared" si="189"/>
        <v>5.5175900384027046E-2</v>
      </c>
      <c r="D228" s="3">
        <f t="shared" si="189"/>
        <v>5.5175900384027046E-2</v>
      </c>
      <c r="E228" s="3">
        <f t="shared" si="189"/>
        <v>5.5175900384027046E-2</v>
      </c>
      <c r="F228" s="3">
        <f t="shared" si="189"/>
        <v>5.5175900384027046E-2</v>
      </c>
      <c r="G228" s="3">
        <f t="shared" si="189"/>
        <v>5.5175900384027046E-2</v>
      </c>
      <c r="H228" s="3">
        <f t="shared" si="189"/>
        <v>5.5175900384027025E-2</v>
      </c>
      <c r="I228" s="3">
        <f t="shared" si="189"/>
        <v>5.5175900384026887E-2</v>
      </c>
      <c r="J228" s="3">
        <f t="shared" si="189"/>
        <v>5.5175900384025429E-2</v>
      </c>
      <c r="K228" s="3">
        <f t="shared" si="189"/>
        <v>5.5175900384010892E-2</v>
      </c>
      <c r="L228" s="3">
        <f t="shared" si="189"/>
        <v>5.5175900383865523E-2</v>
      </c>
      <c r="M228" s="3">
        <f t="shared" si="189"/>
        <v>5.5175900382411776E-2</v>
      </c>
      <c r="N228" s="3">
        <f t="shared" si="189"/>
        <v>5.5175900367874363E-2</v>
      </c>
      <c r="O228" s="3">
        <f t="shared" si="189"/>
        <v>5.5175900222500178E-2</v>
      </c>
      <c r="P228" s="3">
        <f t="shared" si="189"/>
        <v>5.5175898768758419E-2</v>
      </c>
      <c r="Q228" s="3">
        <f t="shared" si="189"/>
        <v>5.5175884231342932E-2</v>
      </c>
      <c r="R228" s="3">
        <f t="shared" si="189"/>
        <v>5.5175738857398689E-2</v>
      </c>
      <c r="S228" s="3">
        <f t="shared" si="189"/>
        <v>5.5174285139022339E-2</v>
      </c>
      <c r="T228" s="3">
        <f t="shared" si="189"/>
        <v>5.515975006165847E-2</v>
      </c>
      <c r="U228" s="3">
        <f t="shared" si="189"/>
        <v>5.5014609722782333E-2</v>
      </c>
      <c r="V228" s="3">
        <f t="shared" si="189"/>
        <v>5.3584046104853511E-2</v>
      </c>
      <c r="W228" s="3">
        <f t="shared" si="189"/>
        <v>4.1172778764375181E-2</v>
      </c>
      <c r="X228" s="3">
        <f t="shared" si="189"/>
        <v>2.9536356862261874E-3</v>
      </c>
      <c r="Y228" s="3">
        <f t="shared" si="189"/>
        <v>1.0661649615426257E-14</v>
      </c>
      <c r="Z228" s="3">
        <f t="shared" si="189"/>
        <v>4.0040472853451186E-129</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6.6863486871893904E-2</v>
      </c>
      <c r="C229" s="3">
        <f t="shared" si="190"/>
        <v>6.6863486871893904E-2</v>
      </c>
      <c r="D229" s="3">
        <f t="shared" si="190"/>
        <v>6.6863486871893904E-2</v>
      </c>
      <c r="E229" s="3">
        <f t="shared" si="190"/>
        <v>6.6863486871893904E-2</v>
      </c>
      <c r="F229" s="3">
        <f t="shared" si="190"/>
        <v>6.6863486871893904E-2</v>
      </c>
      <c r="G229" s="3">
        <f t="shared" si="190"/>
        <v>6.6863486871893904E-2</v>
      </c>
      <c r="H229" s="3">
        <f t="shared" si="190"/>
        <v>6.6863486871893904E-2</v>
      </c>
      <c r="I229" s="3">
        <f t="shared" si="190"/>
        <v>6.686348687189389E-2</v>
      </c>
      <c r="J229" s="3">
        <f t="shared" si="190"/>
        <v>6.6863486871893724E-2</v>
      </c>
      <c r="K229" s="3">
        <f t="shared" si="190"/>
        <v>6.6863486871892142E-2</v>
      </c>
      <c r="L229" s="3">
        <f t="shared" si="190"/>
        <v>6.6863486871876238E-2</v>
      </c>
      <c r="M229" s="3">
        <f t="shared" si="190"/>
        <v>6.6863486871717323E-2</v>
      </c>
      <c r="N229" s="3">
        <f t="shared" si="190"/>
        <v>6.686348687012815E-2</v>
      </c>
      <c r="O229" s="3">
        <f t="shared" si="190"/>
        <v>6.6863486854236334E-2</v>
      </c>
      <c r="P229" s="3">
        <f t="shared" si="190"/>
        <v>6.6863486695318206E-2</v>
      </c>
      <c r="Q229" s="3">
        <f t="shared" si="190"/>
        <v>6.6863485106136891E-2</v>
      </c>
      <c r="R229" s="3">
        <f t="shared" si="190"/>
        <v>6.686346921432583E-2</v>
      </c>
      <c r="S229" s="3">
        <f t="shared" si="190"/>
        <v>6.686331029642302E-2</v>
      </c>
      <c r="T229" s="3">
        <f t="shared" si="190"/>
        <v>6.6861721138168781E-2</v>
      </c>
      <c r="U229" s="3">
        <f t="shared" si="190"/>
        <v>6.6845831632825523E-2</v>
      </c>
      <c r="V229" s="3">
        <f t="shared" si="190"/>
        <v>6.6687144116759856E-2</v>
      </c>
      <c r="W229" s="3">
        <f t="shared" si="190"/>
        <v>6.5120841339053201E-2</v>
      </c>
      <c r="X229" s="3">
        <f t="shared" si="190"/>
        <v>5.1345080636564622E-2</v>
      </c>
      <c r="Y229" s="3">
        <f t="shared" si="190"/>
        <v>4.7674617153107331E-3</v>
      </c>
      <c r="Z229" s="3">
        <f t="shared" si="190"/>
        <v>2.2707585253647963E-13</v>
      </c>
      <c r="AA229" s="3">
        <f t="shared" si="190"/>
        <v>1.36460935913004E-116</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2.4965740314193043E-2</v>
      </c>
      <c r="C230" s="3">
        <f t="shared" si="191"/>
        <v>2.4965740314193043E-2</v>
      </c>
      <c r="D230" s="3">
        <f t="shared" si="191"/>
        <v>2.4965740314193043E-2</v>
      </c>
      <c r="E230" s="3">
        <f t="shared" si="191"/>
        <v>2.4965740314193043E-2</v>
      </c>
      <c r="F230" s="3">
        <f t="shared" si="191"/>
        <v>2.4965740314193043E-2</v>
      </c>
      <c r="G230" s="3">
        <f t="shared" si="191"/>
        <v>2.4965740314193043E-2</v>
      </c>
      <c r="H230" s="3">
        <f t="shared" si="191"/>
        <v>2.4965740314193043E-2</v>
      </c>
      <c r="I230" s="3">
        <f t="shared" si="191"/>
        <v>2.4965740314193043E-2</v>
      </c>
      <c r="J230" s="3">
        <f t="shared" si="191"/>
        <v>2.4965740314193036E-2</v>
      </c>
      <c r="K230" s="3">
        <f t="shared" si="191"/>
        <v>2.4965740314192984E-2</v>
      </c>
      <c r="L230" s="3">
        <f t="shared" si="191"/>
        <v>2.4965740314192447E-2</v>
      </c>
      <c r="M230" s="3">
        <f t="shared" si="191"/>
        <v>2.4965740314187097E-2</v>
      </c>
      <c r="N230" s="3">
        <f t="shared" si="191"/>
        <v>2.496574031413357E-2</v>
      </c>
      <c r="O230" s="3">
        <f t="shared" si="191"/>
        <v>2.4965740313598293E-2</v>
      </c>
      <c r="P230" s="3">
        <f t="shared" si="191"/>
        <v>2.4965740308245565E-2</v>
      </c>
      <c r="Q230" s="3">
        <f t="shared" si="191"/>
        <v>2.4965740254718247E-2</v>
      </c>
      <c r="R230" s="3">
        <f t="shared" si="191"/>
        <v>2.4965739719445084E-2</v>
      </c>
      <c r="S230" s="3">
        <f t="shared" si="191"/>
        <v>2.4965734366714093E-2</v>
      </c>
      <c r="T230" s="3">
        <f t="shared" si="191"/>
        <v>2.4965680839467302E-2</v>
      </c>
      <c r="U230" s="3">
        <f t="shared" si="191"/>
        <v>2.4965145573311365E-2</v>
      </c>
      <c r="V230" s="3">
        <f t="shared" si="191"/>
        <v>2.4959793542899556E-2</v>
      </c>
      <c r="W230" s="3">
        <f t="shared" si="191"/>
        <v>2.49063363034982E-2</v>
      </c>
      <c r="X230" s="3">
        <f t="shared" si="191"/>
        <v>2.4378020638081706E-2</v>
      </c>
      <c r="Y230" s="3">
        <f t="shared" si="191"/>
        <v>1.9673623890594783E-2</v>
      </c>
      <c r="Z230" s="3">
        <f t="shared" si="191"/>
        <v>2.3053857589889772E-3</v>
      </c>
      <c r="AA230" s="3">
        <f t="shared" si="191"/>
        <v>1.1254754378774892E-12</v>
      </c>
      <c r="AB230" s="3">
        <f t="shared" si="191"/>
        <v>8.6548625614840142E-106</v>
      </c>
      <c r="AC230" s="3">
        <f t="shared" si="191"/>
        <v>0</v>
      </c>
      <c r="AD230" s="3">
        <f t="shared" si="191"/>
        <v>0</v>
      </c>
      <c r="AE230" s="3">
        <f t="shared" si="191"/>
        <v>0</v>
      </c>
      <c r="AF230" s="3">
        <f t="shared" si="191"/>
        <v>0</v>
      </c>
      <c r="AG230" s="3"/>
      <c r="AH230" s="3"/>
    </row>
    <row r="231" spans="2:34" x14ac:dyDescent="0.25">
      <c r="B231" s="3">
        <f t="shared" ref="B231:AF231" si="192">$C39*EXP(-B$207/$A39/EXP(-$D$126))</f>
        <v>4.9847103888797747E-2</v>
      </c>
      <c r="C231" s="3">
        <f t="shared" si="192"/>
        <v>4.9847103888797747E-2</v>
      </c>
      <c r="D231" s="3">
        <f t="shared" si="192"/>
        <v>4.9847103888797747E-2</v>
      </c>
      <c r="E231" s="3">
        <f t="shared" si="192"/>
        <v>4.9847103888797747E-2</v>
      </c>
      <c r="F231" s="3">
        <f t="shared" si="192"/>
        <v>4.9847103888797747E-2</v>
      </c>
      <c r="G231" s="3">
        <f t="shared" si="192"/>
        <v>4.9847103888797747E-2</v>
      </c>
      <c r="H231" s="3">
        <f t="shared" si="192"/>
        <v>4.9847103888797747E-2</v>
      </c>
      <c r="I231" s="3">
        <f t="shared" si="192"/>
        <v>4.9847103888797747E-2</v>
      </c>
      <c r="J231" s="3">
        <f t="shared" si="192"/>
        <v>4.9847103888797741E-2</v>
      </c>
      <c r="K231" s="3">
        <f t="shared" si="192"/>
        <v>4.9847103888797713E-2</v>
      </c>
      <c r="L231" s="3">
        <f t="shared" si="192"/>
        <v>4.9847103888797421E-2</v>
      </c>
      <c r="M231" s="3">
        <f t="shared" si="192"/>
        <v>4.9847103888794465E-2</v>
      </c>
      <c r="N231" s="3">
        <f t="shared" si="192"/>
        <v>4.9847103888764906E-2</v>
      </c>
      <c r="O231" s="3">
        <f t="shared" si="192"/>
        <v>4.9847103888469316E-2</v>
      </c>
      <c r="P231" s="3">
        <f t="shared" si="192"/>
        <v>4.9847103885513458E-2</v>
      </c>
      <c r="Q231" s="3">
        <f t="shared" si="192"/>
        <v>4.9847103855954859E-2</v>
      </c>
      <c r="R231" s="3">
        <f t="shared" si="192"/>
        <v>4.9847103560368894E-2</v>
      </c>
      <c r="S231" s="3">
        <f t="shared" si="192"/>
        <v>4.9847100604509288E-2</v>
      </c>
      <c r="T231" s="3">
        <f t="shared" si="192"/>
        <v>4.9847071045922842E-2</v>
      </c>
      <c r="U231" s="3">
        <f t="shared" si="192"/>
        <v>4.9846775461022452E-2</v>
      </c>
      <c r="V231" s="3">
        <f t="shared" si="192"/>
        <v>4.9843819708419182E-2</v>
      </c>
      <c r="W231" s="3">
        <f t="shared" si="192"/>
        <v>4.9814271820333315E-2</v>
      </c>
      <c r="X231" s="3">
        <f t="shared" si="192"/>
        <v>4.9519754622900515E-2</v>
      </c>
      <c r="Y231" s="3">
        <f t="shared" si="192"/>
        <v>4.6668674063885564E-2</v>
      </c>
      <c r="Z231" s="3">
        <f t="shared" si="192"/>
        <v>2.5792607061166508E-2</v>
      </c>
      <c r="AA231" s="3">
        <f t="shared" si="192"/>
        <v>6.8579298880647792E-5</v>
      </c>
      <c r="AB231" s="3">
        <f t="shared" si="192"/>
        <v>1.2110749736592374E-30</v>
      </c>
      <c r="AC231" s="3">
        <f t="shared" si="192"/>
        <v>3.5723246379114827E-288</v>
      </c>
      <c r="AD231" s="3">
        <f t="shared" si="192"/>
        <v>0</v>
      </c>
      <c r="AE231" s="3">
        <f t="shared" si="192"/>
        <v>0</v>
      </c>
      <c r="AF231" s="3">
        <f t="shared" si="192"/>
        <v>0</v>
      </c>
      <c r="AG231" s="3"/>
      <c r="AH231" s="3"/>
    </row>
    <row r="232" spans="2:34" x14ac:dyDescent="0.25">
      <c r="B232" s="3">
        <f t="shared" ref="B232:AF232" si="193">$C40*EXP(-B$207/$A40/EXP(-$D$126))</f>
        <v>2.7617180594802851E-2</v>
      </c>
      <c r="C232" s="3">
        <f t="shared" si="193"/>
        <v>2.7617180594802851E-2</v>
      </c>
      <c r="D232" s="3">
        <f t="shared" si="193"/>
        <v>2.7617180594802851E-2</v>
      </c>
      <c r="E232" s="3">
        <f t="shared" si="193"/>
        <v>2.7617180594802851E-2</v>
      </c>
      <c r="F232" s="3">
        <f t="shared" si="193"/>
        <v>2.7617180594802851E-2</v>
      </c>
      <c r="G232" s="3">
        <f t="shared" si="193"/>
        <v>2.7617180594802851E-2</v>
      </c>
      <c r="H232" s="3">
        <f t="shared" si="193"/>
        <v>2.7617180594802851E-2</v>
      </c>
      <c r="I232" s="3">
        <f t="shared" si="193"/>
        <v>2.7617180594802851E-2</v>
      </c>
      <c r="J232" s="3">
        <f t="shared" si="193"/>
        <v>2.7617180594802851E-2</v>
      </c>
      <c r="K232" s="3">
        <f t="shared" si="193"/>
        <v>2.7617180594802847E-2</v>
      </c>
      <c r="L232" s="3">
        <f t="shared" si="193"/>
        <v>2.7617180594802834E-2</v>
      </c>
      <c r="M232" s="3">
        <f t="shared" si="193"/>
        <v>2.7617180594802671E-2</v>
      </c>
      <c r="N232" s="3">
        <f t="shared" si="193"/>
        <v>2.7617180594801033E-2</v>
      </c>
      <c r="O232" s="3">
        <f t="shared" si="193"/>
        <v>2.7617180594784654E-2</v>
      </c>
      <c r="P232" s="3">
        <f t="shared" si="193"/>
        <v>2.7617180594620889E-2</v>
      </c>
      <c r="Q232" s="3">
        <f t="shared" si="193"/>
        <v>2.761718059298323E-2</v>
      </c>
      <c r="R232" s="3">
        <f t="shared" si="193"/>
        <v>2.7617180576606649E-2</v>
      </c>
      <c r="S232" s="3">
        <f t="shared" si="193"/>
        <v>2.7617180412840846E-2</v>
      </c>
      <c r="T232" s="3">
        <f t="shared" si="193"/>
        <v>2.7617178775182844E-2</v>
      </c>
      <c r="U232" s="3">
        <f t="shared" si="193"/>
        <v>2.7617162398608154E-2</v>
      </c>
      <c r="V232" s="3">
        <f t="shared" si="193"/>
        <v>2.7616998633395364E-2</v>
      </c>
      <c r="W232" s="3">
        <f t="shared" si="193"/>
        <v>2.7615361034677089E-2</v>
      </c>
      <c r="X232" s="3">
        <f t="shared" si="193"/>
        <v>2.7598990387281346E-2</v>
      </c>
      <c r="Y232" s="3">
        <f t="shared" si="193"/>
        <v>2.7435816722309315E-2</v>
      </c>
      <c r="Z232" s="3">
        <f t="shared" si="193"/>
        <v>2.5856210274875516E-2</v>
      </c>
      <c r="AA232" s="3">
        <f t="shared" si="193"/>
        <v>1.4290079696668271E-2</v>
      </c>
      <c r="AB232" s="3">
        <f t="shared" si="193"/>
        <v>3.7995525005364389E-5</v>
      </c>
      <c r="AC232" s="3">
        <f t="shared" si="193"/>
        <v>6.7098133396090375E-31</v>
      </c>
      <c r="AD232" s="3">
        <f t="shared" si="193"/>
        <v>1.9792029420316364E-288</v>
      </c>
      <c r="AE232" s="3">
        <f t="shared" si="193"/>
        <v>0</v>
      </c>
      <c r="AF232" s="3">
        <f t="shared" si="193"/>
        <v>0</v>
      </c>
      <c r="AG232" s="3"/>
      <c r="AH232" s="3"/>
    </row>
    <row r="233" spans="2:34" x14ac:dyDescent="0.25">
      <c r="B233" s="3">
        <f t="shared" ref="B233:AF233" si="194">$C41*EXP(-B$207/$A41/EXP(-$D$126))</f>
        <v>1.9414083287208013E-2</v>
      </c>
      <c r="C233" s="3">
        <f t="shared" si="194"/>
        <v>1.9414083287208013E-2</v>
      </c>
      <c r="D233" s="3">
        <f t="shared" si="194"/>
        <v>1.9414083287208013E-2</v>
      </c>
      <c r="E233" s="3">
        <f t="shared" si="194"/>
        <v>1.9414083287208013E-2</v>
      </c>
      <c r="F233" s="3">
        <f t="shared" si="194"/>
        <v>1.9414083287208013E-2</v>
      </c>
      <c r="G233" s="3">
        <f t="shared" si="194"/>
        <v>1.9414083287208013E-2</v>
      </c>
      <c r="H233" s="3">
        <f t="shared" si="194"/>
        <v>1.9414083287208013E-2</v>
      </c>
      <c r="I233" s="3">
        <f t="shared" si="194"/>
        <v>1.9414083287208013E-2</v>
      </c>
      <c r="J233" s="3">
        <f t="shared" si="194"/>
        <v>1.9414083287208013E-2</v>
      </c>
      <c r="K233" s="3">
        <f t="shared" si="194"/>
        <v>1.9414083287208013E-2</v>
      </c>
      <c r="L233" s="3">
        <f t="shared" si="194"/>
        <v>1.9414083287208009E-2</v>
      </c>
      <c r="M233" s="3">
        <f t="shared" si="194"/>
        <v>1.9414083287207999E-2</v>
      </c>
      <c r="N233" s="3">
        <f t="shared" si="194"/>
        <v>1.9414083287207885E-2</v>
      </c>
      <c r="O233" s="3">
        <f t="shared" si="194"/>
        <v>1.9414083287206736E-2</v>
      </c>
      <c r="P233" s="3">
        <f t="shared" si="194"/>
        <v>1.9414083287195221E-2</v>
      </c>
      <c r="Q233" s="3">
        <f t="shared" si="194"/>
        <v>1.9414083287080098E-2</v>
      </c>
      <c r="R233" s="3">
        <f t="shared" si="194"/>
        <v>1.9414083285928873E-2</v>
      </c>
      <c r="S233" s="3">
        <f t="shared" si="194"/>
        <v>1.9414083274416606E-2</v>
      </c>
      <c r="T233" s="3">
        <f t="shared" si="194"/>
        <v>1.9414083159293959E-2</v>
      </c>
      <c r="U233" s="3">
        <f t="shared" si="194"/>
        <v>1.9414082008067504E-2</v>
      </c>
      <c r="V233" s="3">
        <f t="shared" si="194"/>
        <v>1.9414070495806728E-2</v>
      </c>
      <c r="W233" s="3">
        <f t="shared" si="194"/>
        <v>1.9413955373574401E-2</v>
      </c>
      <c r="X233" s="3">
        <f t="shared" si="194"/>
        <v>1.9412804188796561E-2</v>
      </c>
      <c r="Y233" s="3">
        <f t="shared" si="194"/>
        <v>1.9401296094734767E-2</v>
      </c>
      <c r="Z233" s="3">
        <f t="shared" si="194"/>
        <v>1.928658970350227E-2</v>
      </c>
      <c r="AA233" s="3">
        <f t="shared" si="194"/>
        <v>1.81761718233635E-2</v>
      </c>
      <c r="AB233" s="3">
        <f t="shared" si="194"/>
        <v>1.0045514836665336E-2</v>
      </c>
      <c r="AC233" s="3">
        <f t="shared" si="194"/>
        <v>2.6709760776020473E-5</v>
      </c>
      <c r="AD233" s="3">
        <f t="shared" si="194"/>
        <v>4.7168057061300152E-31</v>
      </c>
      <c r="AE233" s="3">
        <f t="shared" si="194"/>
        <v>1.391322717646284E-288</v>
      </c>
      <c r="AF233" s="3">
        <f t="shared" si="194"/>
        <v>0</v>
      </c>
      <c r="AG233" s="3"/>
      <c r="AH233" s="3"/>
    </row>
    <row r="234" spans="2:34" x14ac:dyDescent="0.25">
      <c r="B234" s="3">
        <f t="shared" ref="B234:AF234" si="195">$C42*EXP(-B$207/$A42/EXP(-$D$126))</f>
        <v>7.1410981840430545E-3</v>
      </c>
      <c r="C234" s="3">
        <f t="shared" si="195"/>
        <v>7.1410981840430545E-3</v>
      </c>
      <c r="D234" s="3">
        <f t="shared" si="195"/>
        <v>7.1410981840430545E-3</v>
      </c>
      <c r="E234" s="3">
        <f t="shared" si="195"/>
        <v>7.1410981840430545E-3</v>
      </c>
      <c r="F234" s="3">
        <f t="shared" si="195"/>
        <v>7.1410981840430545E-3</v>
      </c>
      <c r="G234" s="3">
        <f t="shared" si="195"/>
        <v>7.1410981840430545E-3</v>
      </c>
      <c r="H234" s="3">
        <f t="shared" si="195"/>
        <v>7.1410981840430545E-3</v>
      </c>
      <c r="I234" s="3">
        <f t="shared" si="195"/>
        <v>7.1410981840430545E-3</v>
      </c>
      <c r="J234" s="3">
        <f t="shared" si="195"/>
        <v>7.1410981840430545E-3</v>
      </c>
      <c r="K234" s="3">
        <f t="shared" si="195"/>
        <v>7.1410981840430545E-3</v>
      </c>
      <c r="L234" s="3">
        <f t="shared" si="195"/>
        <v>7.1410981840430545E-3</v>
      </c>
      <c r="M234" s="3">
        <f t="shared" si="195"/>
        <v>7.1410981840430536E-3</v>
      </c>
      <c r="N234" s="3">
        <f t="shared" si="195"/>
        <v>7.1410981840430501E-3</v>
      </c>
      <c r="O234" s="3">
        <f t="shared" si="195"/>
        <v>7.1410981840430076E-3</v>
      </c>
      <c r="P234" s="3">
        <f t="shared" si="195"/>
        <v>7.1410981840425844E-3</v>
      </c>
      <c r="Q234" s="3">
        <f t="shared" si="195"/>
        <v>7.141098184038349E-3</v>
      </c>
      <c r="R234" s="3">
        <f t="shared" si="195"/>
        <v>7.1410981839960036E-3</v>
      </c>
      <c r="S234" s="3">
        <f t="shared" si="195"/>
        <v>7.1410981835725472E-3</v>
      </c>
      <c r="T234" s="3">
        <f t="shared" si="195"/>
        <v>7.1410981793379813E-3</v>
      </c>
      <c r="U234" s="3">
        <f t="shared" si="195"/>
        <v>7.1410981369923231E-3</v>
      </c>
      <c r="V234" s="3">
        <f t="shared" si="195"/>
        <v>7.1410977135357521E-3</v>
      </c>
      <c r="W234" s="3">
        <f t="shared" si="195"/>
        <v>7.1410934789714244E-3</v>
      </c>
      <c r="X234" s="3">
        <f t="shared" si="195"/>
        <v>7.1410511334662552E-3</v>
      </c>
      <c r="Y234" s="3">
        <f t="shared" si="195"/>
        <v>7.1406276922249181E-3</v>
      </c>
      <c r="Z234" s="3">
        <f t="shared" si="195"/>
        <v>7.1363946605442208E-3</v>
      </c>
      <c r="AA234" s="3">
        <f t="shared" si="195"/>
        <v>7.0942021145449846E-3</v>
      </c>
      <c r="AB234" s="3">
        <f t="shared" si="195"/>
        <v>6.6857561946383395E-3</v>
      </c>
      <c r="AC234" s="3">
        <f t="shared" si="195"/>
        <v>3.6950499643295248E-3</v>
      </c>
      <c r="AD234" s="3">
        <f t="shared" si="195"/>
        <v>9.8246732205759773E-6</v>
      </c>
      <c r="AE234" s="3">
        <f t="shared" si="195"/>
        <v>1.7349865128436371E-31</v>
      </c>
      <c r="AF234" s="3">
        <f t="shared" si="195"/>
        <v>5.1177137675865943E-289</v>
      </c>
      <c r="AG234" s="3"/>
      <c r="AH234" s="3"/>
    </row>
    <row r="235" spans="2:34" x14ac:dyDescent="0.25">
      <c r="B235" s="3">
        <f t="shared" ref="B235:AF235" si="196">$C43*EXP(-B$207/$A43/EXP(-$D$126))</f>
        <v>4.5211816855299626E-3</v>
      </c>
      <c r="C235" s="3">
        <f t="shared" si="196"/>
        <v>4.5211816855299626E-3</v>
      </c>
      <c r="D235" s="3">
        <f t="shared" si="196"/>
        <v>4.5211816855299626E-3</v>
      </c>
      <c r="E235" s="3">
        <f t="shared" si="196"/>
        <v>4.5211816855299626E-3</v>
      </c>
      <c r="F235" s="3">
        <f t="shared" si="196"/>
        <v>4.5211816855299626E-3</v>
      </c>
      <c r="G235" s="3">
        <f t="shared" si="196"/>
        <v>4.5211816855299626E-3</v>
      </c>
      <c r="H235" s="3">
        <f t="shared" si="196"/>
        <v>4.5211816855299626E-3</v>
      </c>
      <c r="I235" s="3">
        <f t="shared" si="196"/>
        <v>4.5211816855299626E-3</v>
      </c>
      <c r="J235" s="3">
        <f t="shared" si="196"/>
        <v>4.5211816855299626E-3</v>
      </c>
      <c r="K235" s="3">
        <f t="shared" si="196"/>
        <v>4.5211816855299626E-3</v>
      </c>
      <c r="L235" s="3">
        <f t="shared" si="196"/>
        <v>4.5211816855299626E-3</v>
      </c>
      <c r="M235" s="3">
        <f t="shared" si="196"/>
        <v>4.5211816855299626E-3</v>
      </c>
      <c r="N235" s="3">
        <f t="shared" si="196"/>
        <v>4.5211816855299618E-3</v>
      </c>
      <c r="O235" s="3">
        <f t="shared" si="196"/>
        <v>4.52118168552996E-3</v>
      </c>
      <c r="P235" s="3">
        <f t="shared" si="196"/>
        <v>4.5211816855299332E-3</v>
      </c>
      <c r="Q235" s="3">
        <f t="shared" si="196"/>
        <v>4.5211816855296651E-3</v>
      </c>
      <c r="R235" s="3">
        <f t="shared" si="196"/>
        <v>4.5211816855269833E-3</v>
      </c>
      <c r="S235" s="3">
        <f t="shared" si="196"/>
        <v>4.521181685500174E-3</v>
      </c>
      <c r="T235" s="3">
        <f t="shared" si="196"/>
        <v>4.5211816852320742E-3</v>
      </c>
      <c r="U235" s="3">
        <f t="shared" si="196"/>
        <v>4.5211816825510799E-3</v>
      </c>
      <c r="V235" s="3">
        <f t="shared" si="196"/>
        <v>4.5211816557411402E-3</v>
      </c>
      <c r="W235" s="3">
        <f t="shared" si="196"/>
        <v>4.5211813876417468E-3</v>
      </c>
      <c r="X235" s="3">
        <f t="shared" si="196"/>
        <v>4.5211787066486847E-3</v>
      </c>
      <c r="Y235" s="3">
        <f t="shared" si="196"/>
        <v>4.5211518968055068E-3</v>
      </c>
      <c r="Z235" s="3">
        <f t="shared" si="196"/>
        <v>4.5208838071173537E-3</v>
      </c>
      <c r="AA235" s="3">
        <f t="shared" si="196"/>
        <v>4.5182037844071488E-3</v>
      </c>
      <c r="AB235" s="3">
        <f t="shared" si="196"/>
        <v>4.4914907829441686E-3</v>
      </c>
      <c r="AC235" s="3">
        <f t="shared" si="196"/>
        <v>4.2328949528605319E-3</v>
      </c>
      <c r="AD235" s="3">
        <f t="shared" si="196"/>
        <v>2.3394150024676464E-3</v>
      </c>
      <c r="AE235" s="3">
        <f t="shared" si="196"/>
        <v>6.2202103214937362E-6</v>
      </c>
      <c r="AF235" s="3">
        <f t="shared" si="196"/>
        <v>1.0984569941970781E-31</v>
      </c>
      <c r="AG235" s="3"/>
      <c r="AH235" s="3"/>
    </row>
    <row r="236" spans="2:34" x14ac:dyDescent="0.25">
      <c r="B236" s="3">
        <f t="shared" ref="B236:AF236" si="197">$C44*EXP(-B$207/$A44/EXP(-$D$126))</f>
        <v>2.8020776239336834E-3</v>
      </c>
      <c r="C236" s="3">
        <f t="shared" si="197"/>
        <v>2.8020776239336834E-3</v>
      </c>
      <c r="D236" s="3">
        <f t="shared" si="197"/>
        <v>2.8020776239336834E-3</v>
      </c>
      <c r="E236" s="3">
        <f t="shared" si="197"/>
        <v>2.8020776239336834E-3</v>
      </c>
      <c r="F236" s="3">
        <f t="shared" si="197"/>
        <v>2.8020776239336834E-3</v>
      </c>
      <c r="G236" s="3">
        <f t="shared" si="197"/>
        <v>2.8020776239336834E-3</v>
      </c>
      <c r="H236" s="3">
        <f t="shared" si="197"/>
        <v>2.8020776239336834E-3</v>
      </c>
      <c r="I236" s="3">
        <f t="shared" si="197"/>
        <v>2.8020776239336834E-3</v>
      </c>
      <c r="J236" s="3">
        <f t="shared" si="197"/>
        <v>2.8020776239336834E-3</v>
      </c>
      <c r="K236" s="3">
        <f t="shared" si="197"/>
        <v>2.8020776239336834E-3</v>
      </c>
      <c r="L236" s="3">
        <f t="shared" si="197"/>
        <v>2.8020776239336834E-3</v>
      </c>
      <c r="M236" s="3">
        <f t="shared" si="197"/>
        <v>2.8020776239336834E-3</v>
      </c>
      <c r="N236" s="3">
        <f t="shared" si="197"/>
        <v>2.8020776239336834E-3</v>
      </c>
      <c r="O236" s="3">
        <f t="shared" si="197"/>
        <v>2.802077623933683E-3</v>
      </c>
      <c r="P236" s="3">
        <f t="shared" si="197"/>
        <v>2.8020776239336817E-3</v>
      </c>
      <c r="Q236" s="3">
        <f t="shared" si="197"/>
        <v>2.8020776239336652E-3</v>
      </c>
      <c r="R236" s="3">
        <f t="shared" si="197"/>
        <v>2.8020776239334991E-3</v>
      </c>
      <c r="S236" s="3">
        <f t="shared" si="197"/>
        <v>2.8020776239318372E-3</v>
      </c>
      <c r="T236" s="3">
        <f t="shared" si="197"/>
        <v>2.8020776239152212E-3</v>
      </c>
      <c r="U236" s="3">
        <f t="shared" si="197"/>
        <v>2.802077623749062E-3</v>
      </c>
      <c r="V236" s="3">
        <f t="shared" si="197"/>
        <v>2.8020776220874714E-3</v>
      </c>
      <c r="W236" s="3">
        <f t="shared" si="197"/>
        <v>2.8020776054715649E-3</v>
      </c>
      <c r="X236" s="3">
        <f t="shared" si="197"/>
        <v>2.8020774393125018E-3</v>
      </c>
      <c r="Y236" s="3">
        <f t="shared" si="197"/>
        <v>2.8020757777224153E-3</v>
      </c>
      <c r="Z236" s="3">
        <f t="shared" si="197"/>
        <v>2.8020591618757415E-3</v>
      </c>
      <c r="AA236" s="3">
        <f t="shared" si="197"/>
        <v>2.801893008828014E-3</v>
      </c>
      <c r="AB236" s="3">
        <f t="shared" si="197"/>
        <v>2.8002320201329714E-3</v>
      </c>
      <c r="AC236" s="3">
        <f t="shared" si="197"/>
        <v>2.7836761927245999E-3</v>
      </c>
      <c r="AD236" s="3">
        <f t="shared" si="197"/>
        <v>2.6234071216012221E-3</v>
      </c>
      <c r="AE236" s="3">
        <f t="shared" si="197"/>
        <v>1.4498913973064471E-3</v>
      </c>
      <c r="AF236" s="3">
        <f t="shared" si="197"/>
        <v>3.8550789086406499E-6</v>
      </c>
      <c r="AG236" s="3"/>
      <c r="AH236" s="3"/>
    </row>
    <row r="237" spans="2:34" x14ac:dyDescent="0.25">
      <c r="B237" s="3">
        <f t="shared" ref="B237:AF237" si="198">$C45*EXP(-B$207/$A45/EXP(-$D$126))</f>
        <v>1.1789652234967252E-3</v>
      </c>
      <c r="C237" s="3">
        <f t="shared" si="198"/>
        <v>1.1789652234967252E-3</v>
      </c>
      <c r="D237" s="3">
        <f t="shared" si="198"/>
        <v>1.1789652234967252E-3</v>
      </c>
      <c r="E237" s="3">
        <f t="shared" si="198"/>
        <v>1.1789652234967252E-3</v>
      </c>
      <c r="F237" s="3">
        <f t="shared" si="198"/>
        <v>1.1789652234967252E-3</v>
      </c>
      <c r="G237" s="3">
        <f t="shared" si="198"/>
        <v>1.1789652234967252E-3</v>
      </c>
      <c r="H237" s="3">
        <f t="shared" si="198"/>
        <v>1.1789652234967252E-3</v>
      </c>
      <c r="I237" s="3">
        <f t="shared" si="198"/>
        <v>1.1789652234967252E-3</v>
      </c>
      <c r="J237" s="3">
        <f t="shared" si="198"/>
        <v>1.1789652234967252E-3</v>
      </c>
      <c r="K237" s="3">
        <f t="shared" si="198"/>
        <v>1.1789652234967252E-3</v>
      </c>
      <c r="L237" s="3">
        <f t="shared" si="198"/>
        <v>1.1789652234967252E-3</v>
      </c>
      <c r="M237" s="3">
        <f t="shared" si="198"/>
        <v>1.1789652234967252E-3</v>
      </c>
      <c r="N237" s="3">
        <f t="shared" si="198"/>
        <v>1.1789652234967252E-3</v>
      </c>
      <c r="O237" s="3">
        <f t="shared" si="198"/>
        <v>1.1789652234967252E-3</v>
      </c>
      <c r="P237" s="3">
        <f t="shared" si="198"/>
        <v>1.178965223496725E-3</v>
      </c>
      <c r="Q237" s="3">
        <f t="shared" si="198"/>
        <v>1.1789652234967243E-3</v>
      </c>
      <c r="R237" s="3">
        <f t="shared" si="198"/>
        <v>1.1789652234967174E-3</v>
      </c>
      <c r="S237" s="3">
        <f t="shared" si="198"/>
        <v>1.1789652234966475E-3</v>
      </c>
      <c r="T237" s="3">
        <f t="shared" si="198"/>
        <v>1.1789652234959482E-3</v>
      </c>
      <c r="U237" s="3">
        <f t="shared" si="198"/>
        <v>1.1789652234889573E-3</v>
      </c>
      <c r="V237" s="3">
        <f t="shared" si="198"/>
        <v>1.1789652234190464E-3</v>
      </c>
      <c r="W237" s="3">
        <f t="shared" si="198"/>
        <v>1.1789652227199375E-3</v>
      </c>
      <c r="X237" s="3">
        <f t="shared" si="198"/>
        <v>1.1789652157288477E-3</v>
      </c>
      <c r="Y237" s="3">
        <f t="shared" si="198"/>
        <v>1.1789651458179518E-3</v>
      </c>
      <c r="Z237" s="3">
        <f t="shared" si="198"/>
        <v>1.1789644467092224E-3</v>
      </c>
      <c r="AA237" s="3">
        <f t="shared" si="198"/>
        <v>1.1789574556447279E-3</v>
      </c>
      <c r="AB237" s="3">
        <f t="shared" si="198"/>
        <v>1.1788875472798148E-3</v>
      </c>
      <c r="AC237" s="3">
        <f t="shared" si="198"/>
        <v>1.1781886915838303E-3</v>
      </c>
      <c r="AD237" s="3">
        <f t="shared" si="198"/>
        <v>1.1712228800038918E-3</v>
      </c>
      <c r="AE237" s="3">
        <f t="shared" si="198"/>
        <v>1.1037901794810109E-3</v>
      </c>
      <c r="AF237" s="3">
        <f t="shared" si="198"/>
        <v>6.1003718122258209E-4</v>
      </c>
      <c r="AG237" s="3"/>
      <c r="AH237" s="3"/>
    </row>
    <row r="238" spans="2:34" x14ac:dyDescent="0.25">
      <c r="B238" s="3">
        <f t="shared" ref="B238:AF238" si="199">$C46*EXP(-B$207/$A46/EXP(-$D$126))</f>
        <v>7.7792567568049035E-4</v>
      </c>
      <c r="C238" s="3">
        <f t="shared" si="199"/>
        <v>7.7792567568049035E-4</v>
      </c>
      <c r="D238" s="3">
        <f t="shared" si="199"/>
        <v>7.7792567568049035E-4</v>
      </c>
      <c r="E238" s="3">
        <f t="shared" si="199"/>
        <v>7.7792567568049035E-4</v>
      </c>
      <c r="F238" s="3">
        <f t="shared" si="199"/>
        <v>7.7792567568049035E-4</v>
      </c>
      <c r="G238" s="3">
        <f t="shared" si="199"/>
        <v>7.7792567568049035E-4</v>
      </c>
      <c r="H238" s="3">
        <f t="shared" si="199"/>
        <v>7.7792567568049035E-4</v>
      </c>
      <c r="I238" s="3">
        <f t="shared" si="199"/>
        <v>7.7792567568049035E-4</v>
      </c>
      <c r="J238" s="3">
        <f t="shared" si="199"/>
        <v>7.7792567568049035E-4</v>
      </c>
      <c r="K238" s="3">
        <f t="shared" si="199"/>
        <v>7.7792567568049035E-4</v>
      </c>
      <c r="L238" s="3">
        <f t="shared" si="199"/>
        <v>7.7792567568049035E-4</v>
      </c>
      <c r="M238" s="3">
        <f t="shared" si="199"/>
        <v>7.7792567568049035E-4</v>
      </c>
      <c r="N238" s="3">
        <f t="shared" si="199"/>
        <v>7.7792567568049035E-4</v>
      </c>
      <c r="O238" s="3">
        <f t="shared" si="199"/>
        <v>7.7792567568049035E-4</v>
      </c>
      <c r="P238" s="3">
        <f t="shared" si="199"/>
        <v>7.7792567568049035E-4</v>
      </c>
      <c r="Q238" s="3">
        <f t="shared" si="199"/>
        <v>7.7792567568049024E-4</v>
      </c>
      <c r="R238" s="3">
        <f t="shared" si="199"/>
        <v>7.7792567568048981E-4</v>
      </c>
      <c r="S238" s="3">
        <f t="shared" si="199"/>
        <v>7.7792567568048525E-4</v>
      </c>
      <c r="T238" s="3">
        <f t="shared" si="199"/>
        <v>7.7792567568043917E-4</v>
      </c>
      <c r="U238" s="3">
        <f t="shared" si="199"/>
        <v>7.7792567567997774E-4</v>
      </c>
      <c r="V238" s="3">
        <f t="shared" si="199"/>
        <v>7.7792567567536478E-4</v>
      </c>
      <c r="W238" s="3">
        <f t="shared" si="199"/>
        <v>7.7792567562923491E-4</v>
      </c>
      <c r="X238" s="3">
        <f t="shared" si="199"/>
        <v>7.7792567516793648E-4</v>
      </c>
      <c r="Y238" s="3">
        <f t="shared" si="199"/>
        <v>7.7792567055495212E-4</v>
      </c>
      <c r="Z238" s="3">
        <f t="shared" si="199"/>
        <v>7.7792562442510901E-4</v>
      </c>
      <c r="AA238" s="3">
        <f t="shared" si="199"/>
        <v>7.7792516312682808E-4</v>
      </c>
      <c r="AB238" s="3">
        <f t="shared" si="199"/>
        <v>7.7792055015906433E-4</v>
      </c>
      <c r="AC238" s="3">
        <f t="shared" si="199"/>
        <v>7.7787442198587746E-4</v>
      </c>
      <c r="AD238" s="3">
        <f t="shared" si="199"/>
        <v>7.7741329066608389E-4</v>
      </c>
      <c r="AE238" s="3">
        <f t="shared" si="199"/>
        <v>7.7281698572681285E-4</v>
      </c>
      <c r="AF238" s="3">
        <f t="shared" si="199"/>
        <v>7.2832234918305064E-4</v>
      </c>
      <c r="AG238" s="3"/>
      <c r="AH238" s="3"/>
    </row>
    <row r="239" spans="2:34" x14ac:dyDescent="0.25">
      <c r="B239" s="3">
        <f t="shared" ref="B239:AF239" si="200">$C47*EXP(-B$207/$A47/EXP(-$D$126))</f>
        <v>1.7877728547757263E-3</v>
      </c>
      <c r="C239" s="3">
        <f t="shared" si="200"/>
        <v>1.7877728547757263E-3</v>
      </c>
      <c r="D239" s="3">
        <f t="shared" si="200"/>
        <v>1.7877728547757263E-3</v>
      </c>
      <c r="E239" s="3">
        <f t="shared" si="200"/>
        <v>1.7877728547757263E-3</v>
      </c>
      <c r="F239" s="3">
        <f t="shared" si="200"/>
        <v>1.7877728547757263E-3</v>
      </c>
      <c r="G239" s="3">
        <f t="shared" si="200"/>
        <v>1.7877728547757263E-3</v>
      </c>
      <c r="H239" s="3">
        <f t="shared" si="200"/>
        <v>1.7877728547757263E-3</v>
      </c>
      <c r="I239" s="3">
        <f t="shared" si="200"/>
        <v>1.7877728547757263E-3</v>
      </c>
      <c r="J239" s="3">
        <f t="shared" si="200"/>
        <v>1.7877728547757263E-3</v>
      </c>
      <c r="K239" s="3">
        <f t="shared" si="200"/>
        <v>1.7877728547757263E-3</v>
      </c>
      <c r="L239" s="3">
        <f t="shared" si="200"/>
        <v>1.7877728547757263E-3</v>
      </c>
      <c r="M239" s="3">
        <f t="shared" si="200"/>
        <v>1.7877728547757263E-3</v>
      </c>
      <c r="N239" s="3">
        <f t="shared" si="200"/>
        <v>1.7877728547757263E-3</v>
      </c>
      <c r="O239" s="3">
        <f t="shared" si="200"/>
        <v>1.7877728547757263E-3</v>
      </c>
      <c r="P239" s="3">
        <f t="shared" si="200"/>
        <v>1.7877728547757263E-3</v>
      </c>
      <c r="Q239" s="3">
        <f t="shared" si="200"/>
        <v>1.7877728547757263E-3</v>
      </c>
      <c r="R239" s="3">
        <f t="shared" si="200"/>
        <v>1.7877728547757261E-3</v>
      </c>
      <c r="S239" s="3">
        <f t="shared" si="200"/>
        <v>1.7877728547757252E-3</v>
      </c>
      <c r="T239" s="3">
        <f t="shared" si="200"/>
        <v>1.7877728547757146E-3</v>
      </c>
      <c r="U239" s="3">
        <f t="shared" si="200"/>
        <v>1.7877728547756086E-3</v>
      </c>
      <c r="V239" s="3">
        <f t="shared" si="200"/>
        <v>1.7877728547745482E-3</v>
      </c>
      <c r="W239" s="3">
        <f t="shared" si="200"/>
        <v>1.7877728547639471E-3</v>
      </c>
      <c r="X239" s="3">
        <f t="shared" si="200"/>
        <v>1.7877728546579349E-3</v>
      </c>
      <c r="Y239" s="3">
        <f t="shared" si="200"/>
        <v>1.787772853597812E-3</v>
      </c>
      <c r="Z239" s="3">
        <f t="shared" si="200"/>
        <v>1.7877728429965829E-3</v>
      </c>
      <c r="AA239" s="3">
        <f t="shared" si="200"/>
        <v>1.7877727369842941E-3</v>
      </c>
      <c r="AB239" s="3">
        <f t="shared" si="200"/>
        <v>1.7877716768617525E-3</v>
      </c>
      <c r="AC239" s="3">
        <f t="shared" si="200"/>
        <v>1.7877610756709113E-3</v>
      </c>
      <c r="AD239" s="3">
        <f t="shared" si="200"/>
        <v>1.7876550672199219E-3</v>
      </c>
      <c r="AE239" s="3">
        <f t="shared" si="200"/>
        <v>1.7865953283762428E-3</v>
      </c>
      <c r="AF239" s="3">
        <f t="shared" si="200"/>
        <v>1.7760324308404181E-3</v>
      </c>
      <c r="AG239" s="3"/>
      <c r="AH239" s="3"/>
    </row>
    <row r="240" spans="2:34" x14ac:dyDescent="0.25">
      <c r="B240" s="3">
        <f t="shared" ref="B240:AF240" si="201">$C48*EXP(-B$207/$A48/EXP(-$D$126))</f>
        <v>1.1370273508997292E-2</v>
      </c>
      <c r="C240" s="3">
        <f t="shared" si="201"/>
        <v>1.1370273508997292E-2</v>
      </c>
      <c r="D240" s="3">
        <f t="shared" si="201"/>
        <v>1.1370273508997292E-2</v>
      </c>
      <c r="E240" s="3">
        <f t="shared" si="201"/>
        <v>1.1370273508997292E-2</v>
      </c>
      <c r="F240" s="3">
        <f t="shared" si="201"/>
        <v>1.1370273508997292E-2</v>
      </c>
      <c r="G240" s="3">
        <f t="shared" si="201"/>
        <v>1.1370273508997292E-2</v>
      </c>
      <c r="H240" s="3">
        <f t="shared" si="201"/>
        <v>1.1370273508997292E-2</v>
      </c>
      <c r="I240" s="3">
        <f t="shared" si="201"/>
        <v>1.1370273508997292E-2</v>
      </c>
      <c r="J240" s="3">
        <f t="shared" si="201"/>
        <v>1.1370273508997292E-2</v>
      </c>
      <c r="K240" s="3">
        <f t="shared" si="201"/>
        <v>1.1370273508997292E-2</v>
      </c>
      <c r="L240" s="3">
        <f t="shared" si="201"/>
        <v>1.1370273508997292E-2</v>
      </c>
      <c r="M240" s="3">
        <f t="shared" si="201"/>
        <v>1.1370273508997292E-2</v>
      </c>
      <c r="N240" s="3">
        <f t="shared" si="201"/>
        <v>1.1370273508997292E-2</v>
      </c>
      <c r="O240" s="3">
        <f t="shared" si="201"/>
        <v>1.1370273508997292E-2</v>
      </c>
      <c r="P240" s="3">
        <f t="shared" si="201"/>
        <v>1.1370273508997292E-2</v>
      </c>
      <c r="Q240" s="3">
        <f t="shared" si="201"/>
        <v>1.1370273508997292E-2</v>
      </c>
      <c r="R240" s="3">
        <f t="shared" si="201"/>
        <v>1.1370273508997292E-2</v>
      </c>
      <c r="S240" s="3">
        <f t="shared" si="201"/>
        <v>1.1370273508997291E-2</v>
      </c>
      <c r="T240" s="3">
        <f t="shared" si="201"/>
        <v>1.1370273508997285E-2</v>
      </c>
      <c r="U240" s="3">
        <f t="shared" si="201"/>
        <v>1.1370273508997218E-2</v>
      </c>
      <c r="V240" s="3">
        <f t="shared" si="201"/>
        <v>1.1370273508996543E-2</v>
      </c>
      <c r="W240" s="3">
        <f t="shared" si="201"/>
        <v>1.13702735089898E-2</v>
      </c>
      <c r="X240" s="3">
        <f t="shared" si="201"/>
        <v>1.1370273508922377E-2</v>
      </c>
      <c r="Y240" s="3">
        <f t="shared" si="201"/>
        <v>1.1370273508248136E-2</v>
      </c>
      <c r="Z240" s="3">
        <f t="shared" si="201"/>
        <v>1.1370273501505731E-2</v>
      </c>
      <c r="AA240" s="3">
        <f t="shared" si="201"/>
        <v>1.1370273434081687E-2</v>
      </c>
      <c r="AB240" s="3">
        <f t="shared" si="201"/>
        <v>1.1370272759841269E-2</v>
      </c>
      <c r="AC240" s="3">
        <f t="shared" si="201"/>
        <v>1.1370266017439281E-2</v>
      </c>
      <c r="AD240" s="3">
        <f t="shared" si="201"/>
        <v>1.1370198593639294E-2</v>
      </c>
      <c r="AE240" s="3">
        <f t="shared" si="201"/>
        <v>1.1369524377628688E-2</v>
      </c>
      <c r="AF240" s="3">
        <f t="shared" si="201"/>
        <v>1.1362784415967142E-2</v>
      </c>
      <c r="AG240" s="3"/>
      <c r="AH240" s="3"/>
    </row>
    <row r="241" spans="1:34" x14ac:dyDescent="0.25">
      <c r="A241" s="79">
        <f>AVERAGE(B241:AF241)</f>
        <v>1.2443532202708158E-2</v>
      </c>
      <c r="B241" s="80">
        <f>IF($A$64&lt;=B207,IF($B$64&gt;=B207,ABS((B209-B208)/B208),0),0)</f>
        <v>5.5225904264377353E-2</v>
      </c>
      <c r="C241" s="80">
        <f t="shared" ref="C241:AF241" si="202">IF($A$64&lt;=C207,IF($B$64&gt;=C207,ABS((C209-C208)/C208),0),0)</f>
        <v>3.2550848675873725E-2</v>
      </c>
      <c r="D241" s="80">
        <f t="shared" si="202"/>
        <v>1.3393573845617925E-2</v>
      </c>
      <c r="E241" s="80">
        <f t="shared" si="202"/>
        <v>1.2124764031604424E-3</v>
      </c>
      <c r="F241" s="80">
        <f t="shared" si="202"/>
        <v>9.6055737859903918E-3</v>
      </c>
      <c r="G241" s="80">
        <f t="shared" si="202"/>
        <v>8.9361609037294371E-3</v>
      </c>
      <c r="H241" s="80">
        <f t="shared" si="202"/>
        <v>8.4566119981107617E-3</v>
      </c>
      <c r="I241" s="80">
        <f t="shared" si="202"/>
        <v>8.2450589377219986E-3</v>
      </c>
      <c r="J241" s="80">
        <f t="shared" si="202"/>
        <v>8.2208759831263346E-3</v>
      </c>
      <c r="K241" s="80">
        <f t="shared" si="202"/>
        <v>8.0100662735036882E-3</v>
      </c>
      <c r="L241" s="80">
        <f t="shared" si="202"/>
        <v>7.9293666519657021E-3</v>
      </c>
      <c r="M241" s="80">
        <f t="shared" si="202"/>
        <v>7.7007289403823445E-3</v>
      </c>
      <c r="N241" s="80">
        <f t="shared" si="202"/>
        <v>8.476202799054389E-3</v>
      </c>
      <c r="O241" s="80">
        <f t="shared" si="202"/>
        <v>7.5596060899216326E-3</v>
      </c>
      <c r="P241" s="80">
        <f t="shared" si="202"/>
        <v>8.6053692058699303E-3</v>
      </c>
      <c r="Q241" s="80">
        <f t="shared" si="202"/>
        <v>8.167470833325979E-3</v>
      </c>
      <c r="R241" s="80">
        <f t="shared" si="202"/>
        <v>7.6739613775516705E-3</v>
      </c>
      <c r="S241" s="80">
        <f t="shared" si="202"/>
        <v>2.2262649946271792E-3</v>
      </c>
      <c r="T241" s="80">
        <f t="shared" si="202"/>
        <v>1.9812558385613376E-2</v>
      </c>
      <c r="U241" s="80">
        <f t="shared" si="202"/>
        <v>3.4464855675018599E-2</v>
      </c>
      <c r="V241" s="80">
        <f t="shared" si="202"/>
        <v>3.1743396097106573E-2</v>
      </c>
      <c r="W241" s="80">
        <f t="shared" si="202"/>
        <v>2.1100331422674923E-2</v>
      </c>
      <c r="X241" s="80">
        <f t="shared" si="202"/>
        <v>1.5652605733006815E-2</v>
      </c>
      <c r="Y241" s="80">
        <f t="shared" si="202"/>
        <v>1.3075197286053484E-3</v>
      </c>
      <c r="Z241" s="80">
        <f t="shared" si="202"/>
        <v>2.597701364035614E-2</v>
      </c>
      <c r="AA241" s="80">
        <f t="shared" si="202"/>
        <v>2.4934538848336795E-3</v>
      </c>
      <c r="AB241" s="80">
        <f t="shared" si="202"/>
        <v>1.0480820600860873E-2</v>
      </c>
      <c r="AC241" s="80">
        <f t="shared" si="202"/>
        <v>4.4273051734087417E-3</v>
      </c>
      <c r="AD241" s="80">
        <f t="shared" si="202"/>
        <v>4.9087702679603638E-3</v>
      </c>
      <c r="AE241" s="80">
        <f t="shared" si="202"/>
        <v>6.9597398610464999E-4</v>
      </c>
      <c r="AF241" s="80">
        <f t="shared" si="202"/>
        <v>4.8877172449193632E-4</v>
      </c>
    </row>
    <row r="242" spans="1:34" x14ac:dyDescent="0.25">
      <c r="B242" s="21">
        <f>(B209-B208)^2</f>
        <v>325752.54861506791</v>
      </c>
      <c r="C242" s="21">
        <f t="shared" ref="C242:AF242" si="203">(C209-C208)^2</f>
        <v>107909.54623021226</v>
      </c>
      <c r="D242" s="21">
        <f t="shared" si="203"/>
        <v>17540.255201630036</v>
      </c>
      <c r="E242" s="21">
        <f t="shared" si="203"/>
        <v>137.62542028846298</v>
      </c>
      <c r="F242" s="21">
        <f t="shared" si="203"/>
        <v>8218.5639177467492</v>
      </c>
      <c r="G242" s="21">
        <f t="shared" si="203"/>
        <v>6733.4089699733076</v>
      </c>
      <c r="H242" s="21">
        <f t="shared" si="203"/>
        <v>5664.4295061419198</v>
      </c>
      <c r="I242" s="21">
        <f t="shared" si="203"/>
        <v>5053.1704866173313</v>
      </c>
      <c r="J242" s="21">
        <f t="shared" si="203"/>
        <v>4716.9861717977019</v>
      </c>
      <c r="K242" s="21">
        <f t="shared" si="203"/>
        <v>4149.3276086539809</v>
      </c>
      <c r="L242" s="21">
        <f t="shared" si="203"/>
        <v>3701.9596308837481</v>
      </c>
      <c r="M242" s="21">
        <f t="shared" si="203"/>
        <v>3156.2654253479791</v>
      </c>
      <c r="N242" s="21">
        <f t="shared" si="203"/>
        <v>3498.2357991985305</v>
      </c>
      <c r="O242" s="21">
        <f t="shared" si="203"/>
        <v>2556.6344232042184</v>
      </c>
      <c r="P242" s="21">
        <f t="shared" si="203"/>
        <v>3035.5240313841809</v>
      </c>
      <c r="Q242" s="21">
        <f t="shared" si="203"/>
        <v>2489.1817493369081</v>
      </c>
      <c r="R242" s="21">
        <f t="shared" si="203"/>
        <v>1995.995419876866</v>
      </c>
      <c r="S242" s="21">
        <f t="shared" si="203"/>
        <v>147.83842511267554</v>
      </c>
      <c r="T242" s="21">
        <f t="shared" si="203"/>
        <v>9566.1202646867678</v>
      </c>
      <c r="U242" s="21">
        <f t="shared" si="203"/>
        <v>21931.904243828474</v>
      </c>
      <c r="V242" s="21">
        <f t="shared" si="203"/>
        <v>13639.315302496932</v>
      </c>
      <c r="W242" s="21">
        <f t="shared" si="203"/>
        <v>4272.0247887710848</v>
      </c>
      <c r="X242" s="21">
        <f t="shared" si="203"/>
        <v>1565.8800593054991</v>
      </c>
      <c r="Y242" s="21">
        <f t="shared" si="203"/>
        <v>6.5248287613846188</v>
      </c>
      <c r="Z242" s="21">
        <f t="shared" si="203"/>
        <v>1384.5109715678943</v>
      </c>
      <c r="AA242" s="21">
        <f t="shared" si="203"/>
        <v>6.6389080225055785</v>
      </c>
      <c r="AB242" s="21">
        <f t="shared" si="203"/>
        <v>66.176607236623852</v>
      </c>
      <c r="AC242" s="21">
        <f t="shared" si="203"/>
        <v>8.1212843881803654</v>
      </c>
      <c r="AD242" s="21">
        <f t="shared" si="203"/>
        <v>7.9900244975202845</v>
      </c>
      <c r="AE242" s="21">
        <f t="shared" si="203"/>
        <v>0.14144437488468814</v>
      </c>
      <c r="AF242" s="21">
        <f t="shared" si="203"/>
        <v>6.4134363967321653E-2</v>
      </c>
      <c r="AG242" s="3"/>
      <c r="AH242" s="3"/>
    </row>
    <row r="243" spans="1:34" x14ac:dyDescent="0.25">
      <c r="A243" s="71">
        <f>SUM(B243:AF243)</f>
        <v>558912.90989477641</v>
      </c>
      <c r="B243" s="60">
        <f>IF($A$64&lt;=B207,IF($B$64&gt;=B207,ABS(B242),0),0)</f>
        <v>325752.54861506791</v>
      </c>
      <c r="C243" s="60">
        <f t="shared" ref="C243" si="204">IF($A$64&lt;=C207,IF($B$64&gt;=C207,ABS(C242),0),0)</f>
        <v>107909.54623021226</v>
      </c>
      <c r="D243" s="60">
        <f t="shared" ref="D243" si="205">IF($A$64&lt;=D207,IF($B$64&gt;=D207,ABS(D242),0),0)</f>
        <v>17540.255201630036</v>
      </c>
      <c r="E243" s="60">
        <f t="shared" ref="E243" si="206">IF($A$64&lt;=E207,IF($B$64&gt;=E207,ABS(E242),0),0)</f>
        <v>137.62542028846298</v>
      </c>
      <c r="F243" s="60">
        <f t="shared" ref="F243" si="207">IF($A$64&lt;=F207,IF($B$64&gt;=F207,ABS(F242),0),0)</f>
        <v>8218.5639177467492</v>
      </c>
      <c r="G243" s="60">
        <f t="shared" ref="G243" si="208">IF($A$64&lt;=G207,IF($B$64&gt;=G207,ABS(G242),0),0)</f>
        <v>6733.4089699733076</v>
      </c>
      <c r="H243" s="60">
        <f t="shared" ref="H243" si="209">IF($A$64&lt;=H207,IF($B$64&gt;=H207,ABS(H242),0),0)</f>
        <v>5664.4295061419198</v>
      </c>
      <c r="I243" s="60">
        <f t="shared" ref="I243" si="210">IF($A$64&lt;=I207,IF($B$64&gt;=I207,ABS(I242),0),0)</f>
        <v>5053.1704866173313</v>
      </c>
      <c r="J243" s="60">
        <f t="shared" ref="J243" si="211">IF($A$64&lt;=J207,IF($B$64&gt;=J207,ABS(J242),0),0)</f>
        <v>4716.9861717977019</v>
      </c>
      <c r="K243" s="60">
        <f t="shared" ref="K243" si="212">IF($A$64&lt;=K207,IF($B$64&gt;=K207,ABS(K242),0),0)</f>
        <v>4149.3276086539809</v>
      </c>
      <c r="L243" s="60">
        <f t="shared" ref="L243" si="213">IF($A$64&lt;=L207,IF($B$64&gt;=L207,ABS(L242),0),0)</f>
        <v>3701.9596308837481</v>
      </c>
      <c r="M243" s="60">
        <f t="shared" ref="M243" si="214">IF($A$64&lt;=M207,IF($B$64&gt;=M207,ABS(M242),0),0)</f>
        <v>3156.2654253479791</v>
      </c>
      <c r="N243" s="60">
        <f t="shared" ref="N243" si="215">IF($A$64&lt;=N207,IF($B$64&gt;=N207,ABS(N242),0),0)</f>
        <v>3498.2357991985305</v>
      </c>
      <c r="O243" s="60">
        <f t="shared" ref="O243" si="216">IF($A$64&lt;=O207,IF($B$64&gt;=O207,ABS(O242),0),0)</f>
        <v>2556.6344232042184</v>
      </c>
      <c r="P243" s="60">
        <f t="shared" ref="P243" si="217">IF($A$64&lt;=P207,IF($B$64&gt;=P207,ABS(P242),0),0)</f>
        <v>3035.5240313841809</v>
      </c>
      <c r="Q243" s="60">
        <f t="shared" ref="Q243" si="218">IF($A$64&lt;=Q207,IF($B$64&gt;=Q207,ABS(Q242),0),0)</f>
        <v>2489.1817493369081</v>
      </c>
      <c r="R243" s="60">
        <f t="shared" ref="R243" si="219">IF($A$64&lt;=R207,IF($B$64&gt;=R207,ABS(R242),0),0)</f>
        <v>1995.995419876866</v>
      </c>
      <c r="S243" s="60">
        <f t="shared" ref="S243" si="220">IF($A$64&lt;=S207,IF($B$64&gt;=S207,ABS(S242),0),0)</f>
        <v>147.83842511267554</v>
      </c>
      <c r="T243" s="60">
        <f t="shared" ref="T243" si="221">IF($A$64&lt;=T207,IF($B$64&gt;=T207,ABS(T242),0),0)</f>
        <v>9566.1202646867678</v>
      </c>
      <c r="U243" s="60">
        <f t="shared" ref="U243" si="222">IF($A$64&lt;=U207,IF($B$64&gt;=U207,ABS(U242),0),0)</f>
        <v>21931.904243828474</v>
      </c>
      <c r="V243" s="60">
        <f t="shared" ref="V243" si="223">IF($A$64&lt;=V207,IF($B$64&gt;=V207,ABS(V242),0),0)</f>
        <v>13639.315302496932</v>
      </c>
      <c r="W243" s="60">
        <f t="shared" ref="W243" si="224">IF($A$64&lt;=W207,IF($B$64&gt;=W207,ABS(W242),0),0)</f>
        <v>4272.0247887710848</v>
      </c>
      <c r="X243" s="60">
        <f t="shared" ref="X243" si="225">IF($A$64&lt;=X207,IF($B$64&gt;=X207,ABS(X242),0),0)</f>
        <v>1565.8800593054991</v>
      </c>
      <c r="Y243" s="60">
        <f t="shared" ref="Y243" si="226">IF($A$64&lt;=Y207,IF($B$64&gt;=Y207,ABS(Y242),0),0)</f>
        <v>6.5248287613846188</v>
      </c>
      <c r="Z243" s="60">
        <f t="shared" ref="Z243" si="227">IF($A$64&lt;=Z207,IF($B$64&gt;=Z207,ABS(Z242),0),0)</f>
        <v>1384.5109715678943</v>
      </c>
      <c r="AA243" s="60">
        <f t="shared" ref="AA243" si="228">IF($A$64&lt;=AA207,IF($B$64&gt;=AA207,ABS(AA242),0),0)</f>
        <v>6.6389080225055785</v>
      </c>
      <c r="AB243" s="60">
        <f t="shared" ref="AB243" si="229">IF($A$64&lt;=AB207,IF($B$64&gt;=AB207,ABS(AB242),0),0)</f>
        <v>66.176607236623852</v>
      </c>
      <c r="AC243" s="60">
        <f t="shared" ref="AC243" si="230">IF($A$64&lt;=AC207,IF($B$64&gt;=AC207,ABS(AC242),0),0)</f>
        <v>8.1212843881803654</v>
      </c>
      <c r="AD243" s="60">
        <f t="shared" ref="AD243" si="231">IF($A$64&lt;=AD207,IF($B$64&gt;=AD207,ABS(AD242),0),0)</f>
        <v>7.9900244975202845</v>
      </c>
      <c r="AE243" s="60">
        <f t="shared" ref="AE243" si="232">IF($A$64&lt;=AE207,IF($B$64&gt;=AE207,ABS(AE242),0),0)</f>
        <v>0.14144437488468814</v>
      </c>
      <c r="AF243" s="60">
        <f t="shared" ref="AF243" si="233">IF($A$64&lt;=AF207,IF($B$64&gt;=AF207,ABS(AF242),0),0)</f>
        <v>6.4134363967321653E-2</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10108.713203034791</v>
      </c>
      <c r="C247" s="26">
        <f>INDEX(Comparison!$AM$3:$AS$33,G$14,$E$122)</f>
        <v>9863.3085771990827</v>
      </c>
      <c r="D247" s="26">
        <f>INDEX(Comparison!$AM$3:$AS$33,H$14,$E$122)</f>
        <v>9647.7546876992856</v>
      </c>
      <c r="E247" s="26">
        <f>INDEX(Comparison!$AM$3:$AS$33,I$14,$E$122)</f>
        <v>9412.3170807609295</v>
      </c>
      <c r="F247" s="26">
        <f>INDEX(Comparison!$AM$3:$AS$33,J$14,$E$122)</f>
        <v>9158.3278957287839</v>
      </c>
      <c r="G247" s="26">
        <f>INDEX(Comparison!$AM$3:$AS$33,K$14,$E$122)</f>
        <v>8878.5637787646356</v>
      </c>
      <c r="H247" s="26">
        <f>INDEX(Comparison!$AM$3:$AS$33,L$14,$E$122)</f>
        <v>8599.940751813896</v>
      </c>
      <c r="I247" s="26">
        <f>INDEX(Comparison!$AM$3:$AS$33,M$14,$E$122)</f>
        <v>8334.6832742009774</v>
      </c>
      <c r="J247" s="26">
        <f>INDEX(Comparison!$AM$3:$AS$33,N$14,$E$122)</f>
        <v>8026.4753702879098</v>
      </c>
      <c r="K247" s="26">
        <f>INDEX(Comparison!$AM$3:$AS$33,O$14,$E$122)</f>
        <v>7661.4445647597695</v>
      </c>
      <c r="L247" s="26">
        <f>INDEX(Comparison!$AM$3:$AS$33,P$14,$E$122)</f>
        <v>7284.5164584803897</v>
      </c>
      <c r="M247" s="26">
        <f>INDEX(Comparison!$AM$3:$AS$33,Q$14,$E$122)</f>
        <v>6964.8609670274845</v>
      </c>
      <c r="N247" s="26">
        <f>INDEX(Comparison!$AM$3:$AS$33,R$14,$E$122)</f>
        <v>6677.7336683154199</v>
      </c>
      <c r="O247" s="26">
        <f>INDEX(Comparison!$AM$3:$AS$33,S$14,$E$122)</f>
        <v>6392.2538098508458</v>
      </c>
      <c r="P247" s="26">
        <f>INDEX(Comparison!$AM$3:$AS$33,T$14,$E$122)</f>
        <v>6101.0485432855839</v>
      </c>
      <c r="Q247" s="26">
        <f>INDEX(Comparison!$AM$3:$AS$33,U$14,$E$122)</f>
        <v>5816.6056093144152</v>
      </c>
      <c r="R247" s="26">
        <f>INDEX(Comparison!$AM$3:$AS$33,V$14,$E$122)</f>
        <v>5480.1263998982886</v>
      </c>
      <c r="S247" s="26">
        <f>INDEX(Comparison!$AM$3:$AS$33,W$14,$E$122)</f>
        <v>5001.3542238279779</v>
      </c>
      <c r="T247" s="26">
        <f>INDEX(Comparison!$AM$3:$AS$33,X$14,$E$122)</f>
        <v>4378.6857587374161</v>
      </c>
      <c r="U247" s="26">
        <f>INDEX(Comparison!$AM$3:$AS$33,Y$14,$E$122)</f>
        <v>3745.6038917295314</v>
      </c>
      <c r="V247" s="26">
        <f>INDEX(Comparison!$AM$3:$AS$33,Z$14,$E$122)</f>
        <v>3148.5137755573865</v>
      </c>
      <c r="W247" s="26">
        <f>INDEX(Comparison!$AM$3:$AS$33,AA$14,$E$122)</f>
        <v>2567.2806883234543</v>
      </c>
      <c r="X247" s="26">
        <f>INDEX(Comparison!$AM$3:$AS$33,AB$14,$E$122)</f>
        <v>1986.0678137294008</v>
      </c>
      <c r="Y247" s="26">
        <f>INDEX(Comparison!$AM$3:$AS$33,AC$14,$E$122)</f>
        <v>1454.0043020913115</v>
      </c>
      <c r="Z247" s="26">
        <f>INDEX(Comparison!$AM$3:$AS$33,AD$14,$E$122)</f>
        <v>1049.180195775346</v>
      </c>
      <c r="AA247" s="26">
        <f>INDEX(Comparison!$AM$3:$AS$33,AE$14,$E$122)</f>
        <v>784.12675101552475</v>
      </c>
      <c r="AB247" s="26">
        <f>INDEX(Comparison!$AM$3:$AS$33,AF$14,$E$122)</f>
        <v>648.62186552417882</v>
      </c>
      <c r="AC247" s="26">
        <f>INDEX(Comparison!$AM$3:$AS$33,AG$14,$E$122)</f>
        <v>577.86544910218402</v>
      </c>
      <c r="AD247" s="26">
        <f>INDEX(Comparison!$AM$3:$AS$33,AH$14,$E$122)</f>
        <v>542.13014146932505</v>
      </c>
      <c r="AE247" s="26">
        <f>INDEX(Comparison!$AM$3:$AS$33,AI$14,$E$122)</f>
        <v>519.06435890850435</v>
      </c>
      <c r="AF247" s="26">
        <f>INDEX(Comparison!$AM$3:$AS$33,AJ$14,$E$122)</f>
        <v>506.56668178937065</v>
      </c>
      <c r="AG247" s="26"/>
      <c r="AH247" s="26"/>
    </row>
    <row r="248" spans="1:34" x14ac:dyDescent="0.25">
      <c r="A248" s="70" t="s">
        <v>22</v>
      </c>
      <c r="B248" s="27">
        <f>($C$17+SUM(B249:B279))*$B$51</f>
        <v>9763.3459825722548</v>
      </c>
      <c r="C248" s="27">
        <f t="shared" ref="C248:AF248" si="234">($C$17+SUM(C249:C279))*$B$51</f>
        <v>9756.5028939150379</v>
      </c>
      <c r="D248" s="27">
        <f t="shared" si="234"/>
        <v>9692.9057172540561</v>
      </c>
      <c r="E248" s="27">
        <f t="shared" si="234"/>
        <v>9361.9865652681892</v>
      </c>
      <c r="F248" s="27">
        <f t="shared" si="234"/>
        <v>9109.1074367051715</v>
      </c>
      <c r="G248" s="27">
        <f t="shared" si="234"/>
        <v>8836.7675634488969</v>
      </c>
      <c r="H248" s="27">
        <f t="shared" si="234"/>
        <v>8561.0360977163</v>
      </c>
      <c r="I248" s="27">
        <f t="shared" si="234"/>
        <v>8296.6239998076107</v>
      </c>
      <c r="J248" s="27">
        <f t="shared" si="234"/>
        <v>7990.7117825818632</v>
      </c>
      <c r="K248" s="27">
        <f t="shared" si="234"/>
        <v>7627.2357780729271</v>
      </c>
      <c r="L248" s="27">
        <f t="shared" si="234"/>
        <v>7252.5245307295727</v>
      </c>
      <c r="M248" s="27">
        <f t="shared" si="234"/>
        <v>6928.756235104297</v>
      </c>
      <c r="N248" s="27">
        <f t="shared" si="234"/>
        <v>6647.8844335954336</v>
      </c>
      <c r="O248" s="27">
        <f t="shared" si="234"/>
        <v>6357.3606588571938</v>
      </c>
      <c r="P248" s="27">
        <f t="shared" si="234"/>
        <v>6067.3598622050004</v>
      </c>
      <c r="Q248" s="27">
        <f t="shared" si="234"/>
        <v>5786.9182554766076</v>
      </c>
      <c r="R248" s="27">
        <f t="shared" si="234"/>
        <v>5460.4305598127421</v>
      </c>
      <c r="S248" s="27">
        <f t="shared" si="234"/>
        <v>5050.7679588196634</v>
      </c>
      <c r="T248" s="27">
        <f t="shared" si="234"/>
        <v>4464.5389521255674</v>
      </c>
      <c r="U248" s="27">
        <f t="shared" si="234"/>
        <v>3816.1703170004403</v>
      </c>
      <c r="V248" s="27">
        <f t="shared" si="234"/>
        <v>3182.5619546199687</v>
      </c>
      <c r="W248" s="27">
        <f t="shared" si="234"/>
        <v>2588.3416868320533</v>
      </c>
      <c r="X248" s="27">
        <f t="shared" si="234"/>
        <v>1969.7332709590428</v>
      </c>
      <c r="Y248" s="27">
        <f t="shared" si="234"/>
        <v>1491.0953085550022</v>
      </c>
      <c r="Z248" s="27">
        <f t="shared" si="234"/>
        <v>1040.543320031408</v>
      </c>
      <c r="AA248" s="27">
        <f t="shared" si="234"/>
        <v>790.75420203601857</v>
      </c>
      <c r="AB248" s="27">
        <f t="shared" si="234"/>
        <v>643.40602067727582</v>
      </c>
      <c r="AC248" s="27">
        <f t="shared" si="234"/>
        <v>580.23579889846769</v>
      </c>
      <c r="AD248" s="27">
        <f t="shared" si="234"/>
        <v>540.95071131037378</v>
      </c>
      <c r="AE248" s="27">
        <f t="shared" si="234"/>
        <v>518.81968336601892</v>
      </c>
      <c r="AF248" s="27">
        <f t="shared" si="234"/>
        <v>506.85817379799715</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4.3913963546244709E-2</v>
      </c>
      <c r="C250" s="3">
        <f t="shared" si="236"/>
        <v>4.3303805089449955E-2</v>
      </c>
      <c r="D250" s="3">
        <f t="shared" si="236"/>
        <v>3.7649592703638164E-2</v>
      </c>
      <c r="E250" s="3">
        <f t="shared" si="236"/>
        <v>9.2918568905916085E-3</v>
      </c>
      <c r="F250" s="3">
        <f t="shared" si="236"/>
        <v>7.7897731866355235E-9</v>
      </c>
      <c r="G250" s="3">
        <f t="shared" si="236"/>
        <v>1.3358196107561773E-69</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1.7080038557627446E-2</v>
      </c>
      <c r="C251" s="3">
        <f t="shared" si="237"/>
        <v>1.7058494071902151E-2</v>
      </c>
      <c r="D251" s="3">
        <f t="shared" si="237"/>
        <v>1.6844538245538544E-2</v>
      </c>
      <c r="E251" s="3">
        <f t="shared" si="237"/>
        <v>1.4847157794788131E-2</v>
      </c>
      <c r="F251" s="3">
        <f t="shared" si="237"/>
        <v>4.2022846169297917E-3</v>
      </c>
      <c r="G251" s="3">
        <f t="shared" si="237"/>
        <v>1.3864584394687471E-8</v>
      </c>
      <c r="H251" s="3">
        <f t="shared" si="237"/>
        <v>2.118950337389245E-63</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3.0708734364827038E-2</v>
      </c>
      <c r="C252" s="3">
        <f t="shared" si="238"/>
        <v>3.0705238093570425E-2</v>
      </c>
      <c r="D252" s="3">
        <f t="shared" si="238"/>
        <v>3.0670297266817189E-2</v>
      </c>
      <c r="E252" s="3">
        <f t="shared" si="238"/>
        <v>3.0323068388563166E-2</v>
      </c>
      <c r="F252" s="3">
        <f t="shared" si="238"/>
        <v>2.7059810202261884E-2</v>
      </c>
      <c r="G252" s="3">
        <f t="shared" si="238"/>
        <v>8.666440373856275E-3</v>
      </c>
      <c r="H252" s="3">
        <f t="shared" si="238"/>
        <v>9.8401297674096203E-8</v>
      </c>
      <c r="I252" s="3">
        <f t="shared" si="238"/>
        <v>3.5043021869128448E-57</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2.5228809118938694E-2</v>
      </c>
      <c r="C253" s="3">
        <f t="shared" si="239"/>
        <v>2.5228549994104291E-2</v>
      </c>
      <c r="D253" s="3">
        <f t="shared" si="239"/>
        <v>2.5225958892136541E-2</v>
      </c>
      <c r="E253" s="3">
        <f t="shared" si="239"/>
        <v>2.5200062504523366E-2</v>
      </c>
      <c r="F253" s="3">
        <f t="shared" si="239"/>
        <v>2.4942556289465484E-2</v>
      </c>
      <c r="G253" s="3">
        <f t="shared" si="239"/>
        <v>2.2507869638486912E-2</v>
      </c>
      <c r="H253" s="3">
        <f t="shared" si="239"/>
        <v>8.058768729278229E-3</v>
      </c>
      <c r="I253" s="3">
        <f t="shared" si="239"/>
        <v>2.7900482046747892E-7</v>
      </c>
      <c r="J253" s="3">
        <f t="shared" si="239"/>
        <v>6.9030631953508992E-52</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2.5050858747198281E-2</v>
      </c>
      <c r="C254" s="3">
        <f t="shared" si="240"/>
        <v>2.505083553675019E-2</v>
      </c>
      <c r="D254" s="3">
        <f t="shared" si="240"/>
        <v>2.505060343345206E-2</v>
      </c>
      <c r="E254" s="3">
        <f t="shared" si="240"/>
        <v>2.5048282518745222E-2</v>
      </c>
      <c r="F254" s="3">
        <f t="shared" si="240"/>
        <v>2.5025085195070608E-2</v>
      </c>
      <c r="G254" s="3">
        <f t="shared" si="240"/>
        <v>2.4794290254461625E-2</v>
      </c>
      <c r="H254" s="3">
        <f t="shared" si="240"/>
        <v>2.2600229225220668E-2</v>
      </c>
      <c r="I254" s="3">
        <f t="shared" si="240"/>
        <v>8.9479690827306245E-3</v>
      </c>
      <c r="J254" s="3">
        <f t="shared" si="240"/>
        <v>8.4691686800157112E-7</v>
      </c>
      <c r="K254" s="3">
        <f t="shared" si="240"/>
        <v>4.8865670486871168E-47</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3.1849669662740068E-2</v>
      </c>
      <c r="C255" s="3">
        <f t="shared" si="241"/>
        <v>3.1849667000712109E-2</v>
      </c>
      <c r="D255" s="3">
        <f t="shared" si="241"/>
        <v>3.184964038044473E-2</v>
      </c>
      <c r="E255" s="3">
        <f t="shared" si="241"/>
        <v>3.1849374178994631E-2</v>
      </c>
      <c r="F255" s="3">
        <f t="shared" si="241"/>
        <v>3.1846712286861721E-2</v>
      </c>
      <c r="G255" s="3">
        <f t="shared" si="241"/>
        <v>3.1820105598555991E-2</v>
      </c>
      <c r="H255" s="3">
        <f t="shared" si="241"/>
        <v>3.1555258243216339E-2</v>
      </c>
      <c r="I255" s="3">
        <f t="shared" si="241"/>
        <v>2.9025048912132832E-2</v>
      </c>
      <c r="J255" s="3">
        <f t="shared" si="241"/>
        <v>1.2583028369525176E-2</v>
      </c>
      <c r="K255" s="3">
        <f t="shared" si="241"/>
        <v>2.9505795675111872E-6</v>
      </c>
      <c r="L255" s="3">
        <f t="shared" si="241"/>
        <v>1.4829580963845826E-42</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3.8281553642463072E-2</v>
      </c>
      <c r="C256" s="3">
        <f t="shared" si="242"/>
        <v>3.8281553353831488E-2</v>
      </c>
      <c r="D256" s="3">
        <f t="shared" si="242"/>
        <v>3.8281550467515836E-2</v>
      </c>
      <c r="E256" s="3">
        <f t="shared" si="242"/>
        <v>3.8281521604371233E-2</v>
      </c>
      <c r="F256" s="3">
        <f t="shared" si="242"/>
        <v>3.8281232974122108E-2</v>
      </c>
      <c r="G256" s="3">
        <f t="shared" si="242"/>
        <v>3.8278346791317988E-2</v>
      </c>
      <c r="H256" s="3">
        <f t="shared" si="242"/>
        <v>3.824949692864904E-2</v>
      </c>
      <c r="I256" s="3">
        <f t="shared" si="242"/>
        <v>3.7962191507941584E-2</v>
      </c>
      <c r="J256" s="3">
        <f t="shared" si="242"/>
        <v>3.5205195292268052E-2</v>
      </c>
      <c r="K256" s="3">
        <f t="shared" si="242"/>
        <v>1.6563861043875638E-2</v>
      </c>
      <c r="L256" s="3">
        <f t="shared" si="242"/>
        <v>8.8046031433300655E-6</v>
      </c>
      <c r="M256" s="3">
        <f t="shared" si="242"/>
        <v>1.5855934934567321E-38</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3.6020845239622831E-2</v>
      </c>
      <c r="C257" s="3">
        <f t="shared" si="243"/>
        <v>3.6020845215123463E-2</v>
      </c>
      <c r="D257" s="3">
        <f t="shared" si="243"/>
        <v>3.6020844970129848E-2</v>
      </c>
      <c r="E257" s="3">
        <f t="shared" si="243"/>
        <v>3.6020842520193719E-2</v>
      </c>
      <c r="F257" s="3">
        <f t="shared" si="243"/>
        <v>3.6020818020841602E-2</v>
      </c>
      <c r="G257" s="3">
        <f t="shared" si="243"/>
        <v>3.6020573028236885E-2</v>
      </c>
      <c r="H257" s="3">
        <f t="shared" si="243"/>
        <v>3.6018123193834191E-2</v>
      </c>
      <c r="I257" s="3">
        <f t="shared" si="243"/>
        <v>3.5993634011947176E-2</v>
      </c>
      <c r="J257" s="3">
        <f t="shared" si="243"/>
        <v>3.5749656105578648E-2</v>
      </c>
      <c r="K257" s="3">
        <f t="shared" si="243"/>
        <v>3.3399009644631189E-2</v>
      </c>
      <c r="L257" s="3">
        <f t="shared" si="243"/>
        <v>1.6918069185559437E-2</v>
      </c>
      <c r="M257" s="3">
        <f t="shared" si="243"/>
        <v>1.8815807929809214E-5</v>
      </c>
      <c r="N257" s="3">
        <f t="shared" si="243"/>
        <v>5.448081759582364E-35</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2.6935551207817789E-2</v>
      </c>
      <c r="C258" s="3">
        <f t="shared" si="244"/>
        <v>2.6935551206165167E-2</v>
      </c>
      <c r="D258" s="3">
        <f t="shared" si="244"/>
        <v>2.6935551189638952E-2</v>
      </c>
      <c r="E258" s="3">
        <f t="shared" si="244"/>
        <v>2.6935551024376829E-2</v>
      </c>
      <c r="F258" s="3">
        <f t="shared" si="244"/>
        <v>2.6935549371755619E-2</v>
      </c>
      <c r="G258" s="3">
        <f t="shared" si="244"/>
        <v>2.6935532845549077E-2</v>
      </c>
      <c r="H258" s="3">
        <f t="shared" si="244"/>
        <v>2.6935367584041355E-2</v>
      </c>
      <c r="I258" s="3">
        <f t="shared" si="244"/>
        <v>2.6933715024730534E-2</v>
      </c>
      <c r="J258" s="3">
        <f t="shared" si="244"/>
        <v>2.6917195006995749E-2</v>
      </c>
      <c r="K258" s="3">
        <f t="shared" si="244"/>
        <v>2.6752551103386989E-2</v>
      </c>
      <c r="L258" s="3">
        <f t="shared" si="244"/>
        <v>2.5160497089045279E-2</v>
      </c>
      <c r="M258" s="3">
        <f t="shared" si="244"/>
        <v>1.3622579928278056E-2</v>
      </c>
      <c r="N258" s="3">
        <f t="shared" si="244"/>
        <v>2.948905402766643E-5</v>
      </c>
      <c r="O258" s="3">
        <f t="shared" si="244"/>
        <v>6.6630888618480695E-32</v>
      </c>
      <c r="P258" s="3">
        <f t="shared" si="244"/>
        <v>2.3111239931279277E-298</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2.7296069607112901E-2</v>
      </c>
      <c r="C259" s="3">
        <f t="shared" si="245"/>
        <v>2.7296069606961824E-2</v>
      </c>
      <c r="D259" s="3">
        <f t="shared" si="245"/>
        <v>2.7296069605451067E-2</v>
      </c>
      <c r="E259" s="3">
        <f t="shared" si="245"/>
        <v>2.7296069590343513E-2</v>
      </c>
      <c r="F259" s="3">
        <f t="shared" si="245"/>
        <v>2.7296069439267965E-2</v>
      </c>
      <c r="G259" s="3">
        <f t="shared" si="245"/>
        <v>2.7296067928512531E-2</v>
      </c>
      <c r="H259" s="3">
        <f t="shared" si="245"/>
        <v>2.7296052820962799E-2</v>
      </c>
      <c r="I259" s="3">
        <f t="shared" si="245"/>
        <v>2.729590174592534E-2</v>
      </c>
      <c r="J259" s="3">
        <f t="shared" si="245"/>
        <v>2.7294391041538382E-2</v>
      </c>
      <c r="K259" s="3">
        <f t="shared" si="245"/>
        <v>2.7279288595490447E-2</v>
      </c>
      <c r="L259" s="3">
        <f t="shared" si="245"/>
        <v>2.7128722977004815E-2</v>
      </c>
      <c r="M259" s="3">
        <f t="shared" si="245"/>
        <v>2.5668025105822018E-2</v>
      </c>
      <c r="N259" s="3">
        <f t="shared" si="245"/>
        <v>1.4757863912688416E-2</v>
      </c>
      <c r="O259" s="3">
        <f t="shared" si="245"/>
        <v>5.8255101023228652E-5</v>
      </c>
      <c r="P259" s="3">
        <f t="shared" si="245"/>
        <v>5.3510442766654206E-29</v>
      </c>
      <c r="Q259" s="3">
        <f t="shared" si="245"/>
        <v>2.2881494788469577E-269</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2.9627620760421983E-2</v>
      </c>
      <c r="C260" s="3">
        <f t="shared" si="246"/>
        <v>2.9627620760407189E-2</v>
      </c>
      <c r="D260" s="3">
        <f t="shared" si="246"/>
        <v>2.9627620760259266E-2</v>
      </c>
      <c r="E260" s="3">
        <f t="shared" si="246"/>
        <v>2.9627620758780032E-2</v>
      </c>
      <c r="F260" s="3">
        <f t="shared" si="246"/>
        <v>2.9627620743987674E-2</v>
      </c>
      <c r="G260" s="3">
        <f t="shared" si="246"/>
        <v>2.9627620596064084E-2</v>
      </c>
      <c r="H260" s="3">
        <f t="shared" si="246"/>
        <v>2.962761911682826E-2</v>
      </c>
      <c r="I260" s="3">
        <f t="shared" si="246"/>
        <v>2.962760432447404E-2</v>
      </c>
      <c r="J260" s="3">
        <f t="shared" si="246"/>
        <v>2.962745640133805E-2</v>
      </c>
      <c r="K260" s="3">
        <f t="shared" si="246"/>
        <v>2.9625977210597405E-2</v>
      </c>
      <c r="L260" s="3">
        <f t="shared" si="246"/>
        <v>2.9611189364365301E-2</v>
      </c>
      <c r="M260" s="3">
        <f t="shared" si="246"/>
        <v>2.9463716270250725E-2</v>
      </c>
      <c r="N260" s="3">
        <f t="shared" si="246"/>
        <v>2.8028783200144337E-2</v>
      </c>
      <c r="O260" s="3">
        <f t="shared" si="246"/>
        <v>1.7012629769102158E-2</v>
      </c>
      <c r="P260" s="3">
        <f t="shared" si="246"/>
        <v>1.1546318064908991E-4</v>
      </c>
      <c r="Q260" s="3">
        <f t="shared" si="246"/>
        <v>2.3942206662298508E-26</v>
      </c>
      <c r="R260" s="3">
        <f t="shared" si="246"/>
        <v>3.5186069750132074E-243</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2.5090471751421515E-2</v>
      </c>
      <c r="C261" s="3">
        <f t="shared" si="247"/>
        <v>2.5090471751420384E-2</v>
      </c>
      <c r="D261" s="3">
        <f t="shared" si="247"/>
        <v>2.5090471751409084E-2</v>
      </c>
      <c r="E261" s="3">
        <f t="shared" si="247"/>
        <v>2.5090471751296081E-2</v>
      </c>
      <c r="F261" s="3">
        <f t="shared" si="247"/>
        <v>2.5090471750166033E-2</v>
      </c>
      <c r="G261" s="3">
        <f t="shared" si="247"/>
        <v>2.5090471738865576E-2</v>
      </c>
      <c r="H261" s="3">
        <f t="shared" si="247"/>
        <v>2.5090471625860988E-2</v>
      </c>
      <c r="I261" s="3">
        <f t="shared" si="247"/>
        <v>2.5090470495815153E-2</v>
      </c>
      <c r="J261" s="3">
        <f t="shared" si="247"/>
        <v>2.5090459195359589E-2</v>
      </c>
      <c r="K261" s="3">
        <f t="shared" si="247"/>
        <v>2.5090346191083877E-2</v>
      </c>
      <c r="L261" s="3">
        <f t="shared" si="247"/>
        <v>2.508921617631904E-2</v>
      </c>
      <c r="M261" s="3">
        <f t="shared" si="247"/>
        <v>2.507791882743023E-2</v>
      </c>
      <c r="N261" s="3">
        <f t="shared" si="247"/>
        <v>2.4965224748666453E-2</v>
      </c>
      <c r="O261" s="3">
        <f t="shared" si="247"/>
        <v>2.3865764910226194E-2</v>
      </c>
      <c r="P261" s="3">
        <f t="shared" si="247"/>
        <v>1.5211573487982126E-2</v>
      </c>
      <c r="Q261" s="3">
        <f t="shared" si="247"/>
        <v>1.683301675711233E-4</v>
      </c>
      <c r="R261" s="3">
        <f t="shared" si="247"/>
        <v>4.6348972901353484E-24</v>
      </c>
      <c r="S261" s="3">
        <f t="shared" si="247"/>
        <v>1.1609718850839706E-219</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2.9857729564103021E-2</v>
      </c>
      <c r="C262" s="3">
        <f t="shared" si="248"/>
        <v>2.9857729564102899E-2</v>
      </c>
      <c r="D262" s="3">
        <f t="shared" si="248"/>
        <v>2.9857729564101685E-2</v>
      </c>
      <c r="E262" s="3">
        <f t="shared" si="248"/>
        <v>2.9857729564089556E-2</v>
      </c>
      <c r="F262" s="3">
        <f t="shared" si="248"/>
        <v>2.985772956396825E-2</v>
      </c>
      <c r="G262" s="3">
        <f t="shared" si="248"/>
        <v>2.9857729562755165E-2</v>
      </c>
      <c r="H262" s="3">
        <f t="shared" si="248"/>
        <v>2.9857729550624334E-2</v>
      </c>
      <c r="I262" s="3">
        <f t="shared" si="248"/>
        <v>2.9857729429316002E-2</v>
      </c>
      <c r="J262" s="3">
        <f t="shared" si="248"/>
        <v>2.9857728216232757E-2</v>
      </c>
      <c r="K262" s="3">
        <f t="shared" si="248"/>
        <v>2.985771608540301E-2</v>
      </c>
      <c r="L262" s="3">
        <f t="shared" si="248"/>
        <v>2.9857594777376598E-2</v>
      </c>
      <c r="M262" s="3">
        <f t="shared" si="248"/>
        <v>2.9856381724219401E-2</v>
      </c>
      <c r="N262" s="3">
        <f t="shared" si="248"/>
        <v>2.9844253902930173E-2</v>
      </c>
      <c r="O262" s="3">
        <f t="shared" si="248"/>
        <v>2.9723246311328944E-2</v>
      </c>
      <c r="P262" s="3">
        <f t="shared" si="248"/>
        <v>2.8539830092162457E-2</v>
      </c>
      <c r="Q262" s="3">
        <f t="shared" si="248"/>
        <v>1.9010905883834341E-2</v>
      </c>
      <c r="R262" s="3">
        <f t="shared" si="248"/>
        <v>3.2697691892959581E-4</v>
      </c>
      <c r="S262" s="3">
        <f t="shared" si="248"/>
        <v>7.4073002878246895E-22</v>
      </c>
      <c r="T262" s="3">
        <f t="shared" si="248"/>
        <v>2.6368686064548757E-198</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3.2231679526116067E-2</v>
      </c>
      <c r="C263" s="3">
        <f t="shared" si="249"/>
        <v>3.2231679526116053E-2</v>
      </c>
      <c r="D263" s="3">
        <f t="shared" si="249"/>
        <v>3.2231679526115935E-2</v>
      </c>
      <c r="E263" s="3">
        <f t="shared" si="249"/>
        <v>3.2231679526114755E-2</v>
      </c>
      <c r="F263" s="3">
        <f t="shared" si="249"/>
        <v>3.2231679526102938E-2</v>
      </c>
      <c r="G263" s="3">
        <f t="shared" si="249"/>
        <v>3.223167952598481E-2</v>
      </c>
      <c r="H263" s="3">
        <f t="shared" si="249"/>
        <v>3.2231679524803498E-2</v>
      </c>
      <c r="I263" s="3">
        <f t="shared" si="249"/>
        <v>3.2231679512990413E-2</v>
      </c>
      <c r="J263" s="3">
        <f t="shared" si="249"/>
        <v>3.2231679394859561E-2</v>
      </c>
      <c r="K263" s="3">
        <f t="shared" si="249"/>
        <v>3.2231678213550996E-2</v>
      </c>
      <c r="L263" s="3">
        <f t="shared" si="249"/>
        <v>3.2231666400467721E-2</v>
      </c>
      <c r="M263" s="3">
        <f t="shared" si="249"/>
        <v>3.223154826987315E-2</v>
      </c>
      <c r="N263" s="3">
        <f t="shared" si="249"/>
        <v>3.2230366987739685E-2</v>
      </c>
      <c r="O263" s="3">
        <f t="shared" si="249"/>
        <v>3.2218556547304399E-2</v>
      </c>
      <c r="P263" s="3">
        <f t="shared" si="249"/>
        <v>3.2100689910339791E-2</v>
      </c>
      <c r="Q263" s="3">
        <f t="shared" si="249"/>
        <v>3.0945480986787646E-2</v>
      </c>
      <c r="R263" s="3">
        <f t="shared" si="249"/>
        <v>2.1449933335390314E-2</v>
      </c>
      <c r="S263" s="3">
        <f t="shared" si="249"/>
        <v>5.4917788617608865E-4</v>
      </c>
      <c r="T263" s="3">
        <f t="shared" si="249"/>
        <v>6.6463618894106222E-20</v>
      </c>
      <c r="U263" s="3">
        <f t="shared" si="249"/>
        <v>4.4801589179689784E-179</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5.4486023207095342E-2</v>
      </c>
      <c r="C264" s="3">
        <f t="shared" si="250"/>
        <v>5.4486023207095342E-2</v>
      </c>
      <c r="D264" s="3">
        <f t="shared" si="250"/>
        <v>5.4486023207095322E-2</v>
      </c>
      <c r="E264" s="3">
        <f t="shared" si="250"/>
        <v>5.4486023207095141E-2</v>
      </c>
      <c r="F264" s="3">
        <f t="shared" si="250"/>
        <v>5.4486023207093337E-2</v>
      </c>
      <c r="G264" s="3">
        <f t="shared" si="250"/>
        <v>5.4486023207075324E-2</v>
      </c>
      <c r="H264" s="3">
        <f t="shared" si="250"/>
        <v>5.448602320689519E-2</v>
      </c>
      <c r="I264" s="3">
        <f t="shared" si="250"/>
        <v>5.4486023205093777E-2</v>
      </c>
      <c r="J264" s="3">
        <f t="shared" si="250"/>
        <v>5.4486023187079693E-2</v>
      </c>
      <c r="K264" s="3">
        <f t="shared" si="250"/>
        <v>5.4486023006938882E-2</v>
      </c>
      <c r="L264" s="3">
        <f t="shared" si="250"/>
        <v>5.4486021205530748E-2</v>
      </c>
      <c r="M264" s="3">
        <f t="shared" si="250"/>
        <v>5.4486003191452678E-2</v>
      </c>
      <c r="N264" s="3">
        <f t="shared" si="250"/>
        <v>5.4485823050999582E-2</v>
      </c>
      <c r="O264" s="3">
        <f t="shared" si="250"/>
        <v>5.448402167922501E-2</v>
      </c>
      <c r="P264" s="3">
        <f t="shared" si="250"/>
        <v>5.4466011236716898E-2</v>
      </c>
      <c r="Q264" s="3">
        <f t="shared" si="250"/>
        <v>5.4286233935090585E-2</v>
      </c>
      <c r="R264" s="3">
        <f t="shared" si="250"/>
        <v>5.2520776612340773E-2</v>
      </c>
      <c r="S264" s="3">
        <f t="shared" si="250"/>
        <v>3.7735090283912837E-2</v>
      </c>
      <c r="T264" s="3">
        <f t="shared" si="250"/>
        <v>1.3832094098835145E-3</v>
      </c>
      <c r="U264" s="3">
        <f t="shared" si="250"/>
        <v>6.0577779237583355E-18</v>
      </c>
      <c r="V264" s="3">
        <f t="shared" si="250"/>
        <v>1.5724161022735132E-161</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6.3038463709295806E-2</v>
      </c>
      <c r="C265" s="3">
        <f t="shared" si="251"/>
        <v>6.3038463709295806E-2</v>
      </c>
      <c r="D265" s="3">
        <f t="shared" si="251"/>
        <v>6.3038463709295806E-2</v>
      </c>
      <c r="E265" s="3">
        <f t="shared" si="251"/>
        <v>6.3038463709295778E-2</v>
      </c>
      <c r="F265" s="3">
        <f t="shared" si="251"/>
        <v>6.3038463709295597E-2</v>
      </c>
      <c r="G265" s="3">
        <f t="shared" si="251"/>
        <v>6.3038463709293724E-2</v>
      </c>
      <c r="H265" s="3">
        <f t="shared" si="251"/>
        <v>6.3038463709274919E-2</v>
      </c>
      <c r="I265" s="3">
        <f t="shared" si="251"/>
        <v>6.3038463709086903E-2</v>
      </c>
      <c r="J265" s="3">
        <f t="shared" si="251"/>
        <v>6.303846370720681E-2</v>
      </c>
      <c r="K265" s="3">
        <f t="shared" si="251"/>
        <v>6.3038463688405891E-2</v>
      </c>
      <c r="L265" s="3">
        <f t="shared" si="251"/>
        <v>6.303846350039663E-2</v>
      </c>
      <c r="M265" s="3">
        <f t="shared" si="251"/>
        <v>6.3038461620304118E-2</v>
      </c>
      <c r="N265" s="3">
        <f t="shared" si="251"/>
        <v>6.3038442819382035E-2</v>
      </c>
      <c r="O265" s="3">
        <f t="shared" si="251"/>
        <v>6.3038254810469638E-2</v>
      </c>
      <c r="P265" s="3">
        <f t="shared" si="251"/>
        <v>6.3036374752185251E-2</v>
      </c>
      <c r="Q265" s="3">
        <f t="shared" si="251"/>
        <v>6.3017577252971579E-2</v>
      </c>
      <c r="R265" s="3">
        <f t="shared" si="251"/>
        <v>6.2829910283836332E-2</v>
      </c>
      <c r="S265" s="3">
        <f t="shared" si="251"/>
        <v>6.0983705681512831E-2</v>
      </c>
      <c r="T265" s="3">
        <f t="shared" si="251"/>
        <v>4.5257183490658492E-2</v>
      </c>
      <c r="U265" s="3">
        <f t="shared" si="251"/>
        <v>2.2931087066073025E-3</v>
      </c>
      <c r="V265" s="3">
        <f t="shared" si="251"/>
        <v>2.557383435500347E-16</v>
      </c>
      <c r="W265" s="3">
        <f t="shared" si="251"/>
        <v>7.612159746632875E-146</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6.2855042147651141E-2</v>
      </c>
      <c r="C266" s="3">
        <f t="shared" si="252"/>
        <v>6.2855042147651141E-2</v>
      </c>
      <c r="D266" s="3">
        <f t="shared" si="252"/>
        <v>6.2855042147651141E-2</v>
      </c>
      <c r="E266" s="3">
        <f t="shared" si="252"/>
        <v>6.2855042147651141E-2</v>
      </c>
      <c r="F266" s="3">
        <f t="shared" si="252"/>
        <v>6.2855042147651113E-2</v>
      </c>
      <c r="G266" s="3">
        <f t="shared" si="252"/>
        <v>6.2855042147650947E-2</v>
      </c>
      <c r="H266" s="3">
        <f t="shared" si="252"/>
        <v>6.2855042147649268E-2</v>
      </c>
      <c r="I266" s="3">
        <f t="shared" si="252"/>
        <v>6.2855042147632351E-2</v>
      </c>
      <c r="J266" s="3">
        <f t="shared" si="252"/>
        <v>6.285504214746325E-2</v>
      </c>
      <c r="K266" s="3">
        <f t="shared" si="252"/>
        <v>6.2855042145772186E-2</v>
      </c>
      <c r="L266" s="3">
        <f t="shared" si="252"/>
        <v>6.2855042128861532E-2</v>
      </c>
      <c r="M266" s="3">
        <f t="shared" si="252"/>
        <v>6.2855041959755026E-2</v>
      </c>
      <c r="N266" s="3">
        <f t="shared" si="252"/>
        <v>6.2855040268689974E-2</v>
      </c>
      <c r="O266" s="3">
        <f t="shared" si="252"/>
        <v>6.2855023358041967E-2</v>
      </c>
      <c r="P266" s="3">
        <f t="shared" si="252"/>
        <v>6.2854854251812239E-2</v>
      </c>
      <c r="Q266" s="3">
        <f t="shared" si="252"/>
        <v>6.2853163214537822E-2</v>
      </c>
      <c r="R266" s="3">
        <f t="shared" si="252"/>
        <v>6.283625534383902E-2</v>
      </c>
      <c r="S266" s="3">
        <f t="shared" si="252"/>
        <v>6.26674265924963E-2</v>
      </c>
      <c r="T266" s="3">
        <f t="shared" si="252"/>
        <v>6.1003887604324937E-2</v>
      </c>
      <c r="U266" s="3">
        <f t="shared" si="252"/>
        <v>4.6613748104755527E-2</v>
      </c>
      <c r="V266" s="3">
        <f t="shared" si="252"/>
        <v>3.1628540520238072E-3</v>
      </c>
      <c r="W266" s="3">
        <f t="shared" si="252"/>
        <v>6.5422995290212728E-15</v>
      </c>
      <c r="X266" s="3">
        <f t="shared" si="252"/>
        <v>9.3808704833322145E-132</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5.5175900384027046E-2</v>
      </c>
      <c r="C267" s="3">
        <f t="shared" si="253"/>
        <v>5.5175900384027046E-2</v>
      </c>
      <c r="D267" s="3">
        <f t="shared" si="253"/>
        <v>5.5175900384027046E-2</v>
      </c>
      <c r="E267" s="3">
        <f t="shared" si="253"/>
        <v>5.5175900384027046E-2</v>
      </c>
      <c r="F267" s="3">
        <f t="shared" si="253"/>
        <v>5.5175900384027046E-2</v>
      </c>
      <c r="G267" s="3">
        <f t="shared" si="253"/>
        <v>5.5175900384027032E-2</v>
      </c>
      <c r="H267" s="3">
        <f t="shared" si="253"/>
        <v>5.5175900384026901E-2</v>
      </c>
      <c r="I267" s="3">
        <f t="shared" si="253"/>
        <v>5.5175900384025554E-2</v>
      </c>
      <c r="J267" s="3">
        <f t="shared" si="253"/>
        <v>5.5175900384012169E-2</v>
      </c>
      <c r="K267" s="3">
        <f t="shared" si="253"/>
        <v>5.5175900383878256E-2</v>
      </c>
      <c r="L267" s="3">
        <f t="shared" si="253"/>
        <v>5.5175900382539146E-2</v>
      </c>
      <c r="M267" s="3">
        <f t="shared" si="253"/>
        <v>5.5175900369148045E-2</v>
      </c>
      <c r="N267" s="3">
        <f t="shared" si="253"/>
        <v>5.5175900235237059E-2</v>
      </c>
      <c r="O267" s="3">
        <f t="shared" si="253"/>
        <v>5.5175898896127187E-2</v>
      </c>
      <c r="P267" s="3">
        <f t="shared" si="253"/>
        <v>5.5175885505030234E-2</v>
      </c>
      <c r="Q267" s="3">
        <f t="shared" si="253"/>
        <v>5.5175751594239431E-2</v>
      </c>
      <c r="R267" s="3">
        <f t="shared" si="253"/>
        <v>5.5174412504206224E-2</v>
      </c>
      <c r="S267" s="3">
        <f t="shared" si="253"/>
        <v>5.5161023391194441E-2</v>
      </c>
      <c r="T267" s="3">
        <f t="shared" si="253"/>
        <v>5.502731083270361E-2</v>
      </c>
      <c r="U267" s="3">
        <f t="shared" si="253"/>
        <v>5.370788309174232E-2</v>
      </c>
      <c r="V267" s="3">
        <f t="shared" si="253"/>
        <v>4.2134271455378583E-2</v>
      </c>
      <c r="W267" s="3">
        <f t="shared" si="253"/>
        <v>3.7205747058394038E-3</v>
      </c>
      <c r="X267" s="3">
        <f t="shared" si="253"/>
        <v>1.0723966089802399E-13</v>
      </c>
      <c r="Y267" s="3">
        <f t="shared" si="253"/>
        <v>4.2443330979136069E-119</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6.6863486871893904E-2</v>
      </c>
      <c r="C268" s="3">
        <f t="shared" si="254"/>
        <v>6.6863486871893904E-2</v>
      </c>
      <c r="D268" s="3">
        <f t="shared" si="254"/>
        <v>6.6863486871893904E-2</v>
      </c>
      <c r="E268" s="3">
        <f t="shared" si="254"/>
        <v>6.6863486871893904E-2</v>
      </c>
      <c r="F268" s="3">
        <f t="shared" si="254"/>
        <v>6.6863486871893904E-2</v>
      </c>
      <c r="G268" s="3">
        <f t="shared" si="254"/>
        <v>6.6863486871893904E-2</v>
      </c>
      <c r="H268" s="3">
        <f t="shared" si="254"/>
        <v>6.686348687189389E-2</v>
      </c>
      <c r="I268" s="3">
        <f t="shared" si="254"/>
        <v>6.6863486871893738E-2</v>
      </c>
      <c r="J268" s="3">
        <f t="shared" si="254"/>
        <v>6.686348687189228E-2</v>
      </c>
      <c r="K268" s="3">
        <f t="shared" si="254"/>
        <v>6.6863486871877639E-2</v>
      </c>
      <c r="L268" s="3">
        <f t="shared" si="254"/>
        <v>6.6863486871731256E-2</v>
      </c>
      <c r="M268" s="3">
        <f t="shared" si="254"/>
        <v>6.6863486870267386E-2</v>
      </c>
      <c r="N268" s="3">
        <f t="shared" si="254"/>
        <v>6.6863486855628693E-2</v>
      </c>
      <c r="O268" s="3">
        <f t="shared" si="254"/>
        <v>6.6863486709241721E-2</v>
      </c>
      <c r="P268" s="3">
        <f t="shared" si="254"/>
        <v>6.6863485245372112E-2</v>
      </c>
      <c r="Q268" s="3">
        <f t="shared" si="254"/>
        <v>6.686347060667773E-2</v>
      </c>
      <c r="R268" s="3">
        <f t="shared" si="254"/>
        <v>6.6863324219910258E-2</v>
      </c>
      <c r="S268" s="3">
        <f t="shared" si="254"/>
        <v>6.686186036986233E-2</v>
      </c>
      <c r="T268" s="3">
        <f t="shared" si="254"/>
        <v>6.6847223631924704E-2</v>
      </c>
      <c r="U268" s="3">
        <f t="shared" si="254"/>
        <v>6.6701032364019336E-2</v>
      </c>
      <c r="V268" s="3">
        <f t="shared" si="254"/>
        <v>6.5256589003475307E-2</v>
      </c>
      <c r="W268" s="3">
        <f t="shared" si="254"/>
        <v>5.2425490699665504E-2</v>
      </c>
      <c r="X268" s="3">
        <f t="shared" si="254"/>
        <v>5.8711591499719133E-3</v>
      </c>
      <c r="Y268" s="3">
        <f t="shared" si="254"/>
        <v>1.8219537220729463E-12</v>
      </c>
      <c r="Z268" s="3">
        <f t="shared" si="254"/>
        <v>1.5089408918809561E-107</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2.4965740314193043E-2</v>
      </c>
      <c r="C269" s="3">
        <f t="shared" si="255"/>
        <v>2.4965740314193043E-2</v>
      </c>
      <c r="D269" s="3">
        <f t="shared" si="255"/>
        <v>2.4965740314193043E-2</v>
      </c>
      <c r="E269" s="3">
        <f t="shared" si="255"/>
        <v>2.4965740314193043E-2</v>
      </c>
      <c r="F269" s="3">
        <f t="shared" si="255"/>
        <v>2.4965740314193043E-2</v>
      </c>
      <c r="G269" s="3">
        <f t="shared" si="255"/>
        <v>2.4965740314193043E-2</v>
      </c>
      <c r="H269" s="3">
        <f t="shared" si="255"/>
        <v>2.4965740314193043E-2</v>
      </c>
      <c r="I269" s="3">
        <f t="shared" si="255"/>
        <v>2.4965740314193036E-2</v>
      </c>
      <c r="J269" s="3">
        <f t="shared" si="255"/>
        <v>2.4965740314192988E-2</v>
      </c>
      <c r="K269" s="3">
        <f t="shared" si="255"/>
        <v>2.4965740314192495E-2</v>
      </c>
      <c r="L269" s="3">
        <f t="shared" si="255"/>
        <v>2.4965740314187565E-2</v>
      </c>
      <c r="M269" s="3">
        <f t="shared" si="255"/>
        <v>2.4965740314138261E-2</v>
      </c>
      <c r="N269" s="3">
        <f t="shared" si="255"/>
        <v>2.4965740313645193E-2</v>
      </c>
      <c r="O269" s="3">
        <f t="shared" si="255"/>
        <v>2.496574030871454E-2</v>
      </c>
      <c r="P269" s="3">
        <f t="shared" si="255"/>
        <v>2.4965740259408013E-2</v>
      </c>
      <c r="Q269" s="3">
        <f t="shared" si="255"/>
        <v>2.496573976634274E-2</v>
      </c>
      <c r="R269" s="3">
        <f t="shared" si="255"/>
        <v>2.4965734835690551E-2</v>
      </c>
      <c r="S269" s="3">
        <f t="shared" si="255"/>
        <v>2.4965685529222219E-2</v>
      </c>
      <c r="T269" s="3">
        <f t="shared" si="255"/>
        <v>2.4965192469894707E-2</v>
      </c>
      <c r="U269" s="3">
        <f t="shared" si="255"/>
        <v>2.4960262412159453E-2</v>
      </c>
      <c r="V269" s="3">
        <f t="shared" si="255"/>
        <v>2.4911015349682129E-2</v>
      </c>
      <c r="W269" s="3">
        <f t="shared" si="255"/>
        <v>2.4423857312802773E-2</v>
      </c>
      <c r="X269" s="3">
        <f t="shared" si="255"/>
        <v>2.0046682022408471E-2</v>
      </c>
      <c r="Y269" s="3">
        <f t="shared" si="255"/>
        <v>2.7817940757722081E-3</v>
      </c>
      <c r="Z269" s="3">
        <f t="shared" si="255"/>
        <v>7.3646097696867931E-12</v>
      </c>
      <c r="AA269" s="3">
        <f t="shared" si="255"/>
        <v>1.2456538022367377E-97</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4.9847103888797747E-2</v>
      </c>
      <c r="C270" s="3">
        <f t="shared" si="256"/>
        <v>4.9847103888797747E-2</v>
      </c>
      <c r="D270" s="3">
        <f t="shared" si="256"/>
        <v>4.9847103888797747E-2</v>
      </c>
      <c r="E270" s="3">
        <f t="shared" si="256"/>
        <v>4.9847103888797747E-2</v>
      </c>
      <c r="F270" s="3">
        <f t="shared" si="256"/>
        <v>4.9847103888797747E-2</v>
      </c>
      <c r="G270" s="3">
        <f t="shared" si="256"/>
        <v>4.9847103888797747E-2</v>
      </c>
      <c r="H270" s="3">
        <f t="shared" si="256"/>
        <v>4.9847103888797747E-2</v>
      </c>
      <c r="I270" s="3">
        <f t="shared" si="256"/>
        <v>4.9847103888797741E-2</v>
      </c>
      <c r="J270" s="3">
        <f t="shared" si="256"/>
        <v>4.984710388879772E-2</v>
      </c>
      <c r="K270" s="3">
        <f t="shared" si="256"/>
        <v>4.9847103888797442E-2</v>
      </c>
      <c r="L270" s="3">
        <f t="shared" si="256"/>
        <v>4.9847103888794722E-2</v>
      </c>
      <c r="M270" s="3">
        <f t="shared" si="256"/>
        <v>4.9847103888767494E-2</v>
      </c>
      <c r="N270" s="3">
        <f t="shared" si="256"/>
        <v>4.9847103888495219E-2</v>
      </c>
      <c r="O270" s="3">
        <f t="shared" si="256"/>
        <v>4.9847103885772431E-2</v>
      </c>
      <c r="P270" s="3">
        <f t="shared" si="256"/>
        <v>4.9847103858544621E-2</v>
      </c>
      <c r="Q270" s="3">
        <f t="shared" si="256"/>
        <v>4.984710358626649E-2</v>
      </c>
      <c r="R270" s="3">
        <f t="shared" si="256"/>
        <v>4.9847100863485247E-2</v>
      </c>
      <c r="S270" s="3">
        <f t="shared" si="256"/>
        <v>4.9847073635681007E-2</v>
      </c>
      <c r="T270" s="3">
        <f t="shared" si="256"/>
        <v>4.9846801358456559E-2</v>
      </c>
      <c r="U270" s="3">
        <f t="shared" si="256"/>
        <v>4.9844078668009287E-2</v>
      </c>
      <c r="V270" s="3">
        <f t="shared" si="256"/>
        <v>4.9816859941605493E-2</v>
      </c>
      <c r="W270" s="3">
        <f t="shared" si="256"/>
        <v>4.9545488834053276E-2</v>
      </c>
      <c r="X270" s="3">
        <f t="shared" si="256"/>
        <v>4.6911767746647653E-2</v>
      </c>
      <c r="Y270" s="3">
        <f t="shared" si="256"/>
        <v>2.7168058689130872E-2</v>
      </c>
      <c r="Z270" s="3">
        <f t="shared" si="256"/>
        <v>1.1529930490620296E-4</v>
      </c>
      <c r="AA270" s="3">
        <f t="shared" si="256"/>
        <v>2.1852821225118156E-28</v>
      </c>
      <c r="AB270" s="3">
        <f t="shared" si="256"/>
        <v>1.3071208744611686E-265</v>
      </c>
      <c r="AC270" s="3">
        <f t="shared" si="256"/>
        <v>0</v>
      </c>
      <c r="AD270" s="3">
        <f t="shared" si="256"/>
        <v>0</v>
      </c>
      <c r="AE270" s="3">
        <f t="shared" si="256"/>
        <v>0</v>
      </c>
      <c r="AF270" s="3">
        <f t="shared" si="256"/>
        <v>0</v>
      </c>
      <c r="AG270" s="3"/>
      <c r="AH270" s="3"/>
    </row>
    <row r="271" spans="2:34" x14ac:dyDescent="0.25">
      <c r="B271" s="3">
        <f t="shared" ref="B271:AF271" si="257">$C40*EXP(-B$246/$A40/EXP(-$E$126))</f>
        <v>2.7617180594802851E-2</v>
      </c>
      <c r="C271" s="3">
        <f t="shared" si="257"/>
        <v>2.7617180594802851E-2</v>
      </c>
      <c r="D271" s="3">
        <f t="shared" si="257"/>
        <v>2.7617180594802851E-2</v>
      </c>
      <c r="E271" s="3">
        <f t="shared" si="257"/>
        <v>2.7617180594802851E-2</v>
      </c>
      <c r="F271" s="3">
        <f t="shared" si="257"/>
        <v>2.7617180594802851E-2</v>
      </c>
      <c r="G271" s="3">
        <f t="shared" si="257"/>
        <v>2.7617180594802851E-2</v>
      </c>
      <c r="H271" s="3">
        <f t="shared" si="257"/>
        <v>2.7617180594802851E-2</v>
      </c>
      <c r="I271" s="3">
        <f t="shared" si="257"/>
        <v>2.7617180594802851E-2</v>
      </c>
      <c r="J271" s="3">
        <f t="shared" si="257"/>
        <v>2.7617180594802847E-2</v>
      </c>
      <c r="K271" s="3">
        <f t="shared" si="257"/>
        <v>2.7617180594802837E-2</v>
      </c>
      <c r="L271" s="3">
        <f t="shared" si="257"/>
        <v>2.7617180594802681E-2</v>
      </c>
      <c r="M271" s="3">
        <f t="shared" si="257"/>
        <v>2.7617180594801175E-2</v>
      </c>
      <c r="N271" s="3">
        <f t="shared" si="257"/>
        <v>2.761718059478609E-2</v>
      </c>
      <c r="O271" s="3">
        <f t="shared" si="257"/>
        <v>2.7617180594635238E-2</v>
      </c>
      <c r="P271" s="3">
        <f t="shared" si="257"/>
        <v>2.7617180593126713E-2</v>
      </c>
      <c r="Q271" s="3">
        <f t="shared" si="257"/>
        <v>2.7617180578041477E-2</v>
      </c>
      <c r="R271" s="3">
        <f t="shared" si="257"/>
        <v>2.7617180427189091E-2</v>
      </c>
      <c r="S271" s="3">
        <f t="shared" si="257"/>
        <v>2.7617178918665317E-2</v>
      </c>
      <c r="T271" s="3">
        <f t="shared" si="257"/>
        <v>2.7617163833432108E-2</v>
      </c>
      <c r="U271" s="3">
        <f t="shared" si="257"/>
        <v>2.7617012981553207E-2</v>
      </c>
      <c r="V271" s="3">
        <f t="shared" si="257"/>
        <v>2.7615504508082936E-2</v>
      </c>
      <c r="W271" s="3">
        <f t="shared" si="257"/>
        <v>2.7600424304339687E-2</v>
      </c>
      <c r="X271" s="3">
        <f t="shared" si="257"/>
        <v>2.7450074448464399E-2</v>
      </c>
      <c r="Y271" s="3">
        <f t="shared" si="257"/>
        <v>2.5990893368065312E-2</v>
      </c>
      <c r="Z271" s="3">
        <f t="shared" si="257"/>
        <v>1.5052131913255403E-2</v>
      </c>
      <c r="AA271" s="3">
        <f t="shared" si="257"/>
        <v>6.3880175128197309E-5</v>
      </c>
      <c r="AB271" s="3">
        <f t="shared" si="257"/>
        <v>1.2107289354791542E-28</v>
      </c>
      <c r="AC271" s="3">
        <f t="shared" si="257"/>
        <v>7.241943951199807E-266</v>
      </c>
      <c r="AD271" s="3">
        <f t="shared" si="257"/>
        <v>0</v>
      </c>
      <c r="AE271" s="3">
        <f t="shared" si="257"/>
        <v>0</v>
      </c>
      <c r="AF271" s="3">
        <f t="shared" si="257"/>
        <v>0</v>
      </c>
      <c r="AG271" s="3"/>
      <c r="AH271" s="3"/>
    </row>
    <row r="272" spans="2:34" x14ac:dyDescent="0.25">
      <c r="B272" s="3">
        <f t="shared" ref="B272:AF272" si="258">$C41*EXP(-B$246/$A41/EXP(-$E$126))</f>
        <v>1.9414083287208013E-2</v>
      </c>
      <c r="C272" s="3">
        <f t="shared" si="258"/>
        <v>1.9414083287208013E-2</v>
      </c>
      <c r="D272" s="3">
        <f t="shared" si="258"/>
        <v>1.9414083287208013E-2</v>
      </c>
      <c r="E272" s="3">
        <f t="shared" si="258"/>
        <v>1.9414083287208013E-2</v>
      </c>
      <c r="F272" s="3">
        <f t="shared" si="258"/>
        <v>1.9414083287208013E-2</v>
      </c>
      <c r="G272" s="3">
        <f t="shared" si="258"/>
        <v>1.9414083287208013E-2</v>
      </c>
      <c r="H272" s="3">
        <f t="shared" si="258"/>
        <v>1.9414083287208013E-2</v>
      </c>
      <c r="I272" s="3">
        <f t="shared" si="258"/>
        <v>1.9414083287208013E-2</v>
      </c>
      <c r="J272" s="3">
        <f t="shared" si="258"/>
        <v>1.9414083287208013E-2</v>
      </c>
      <c r="K272" s="3">
        <f t="shared" si="258"/>
        <v>1.9414083287208009E-2</v>
      </c>
      <c r="L272" s="3">
        <f t="shared" si="258"/>
        <v>1.9414083287208003E-2</v>
      </c>
      <c r="M272" s="3">
        <f t="shared" si="258"/>
        <v>1.9414083287207895E-2</v>
      </c>
      <c r="N272" s="3">
        <f t="shared" si="258"/>
        <v>1.9414083287206833E-2</v>
      </c>
      <c r="O272" s="3">
        <f t="shared" si="258"/>
        <v>1.9414083287196231E-2</v>
      </c>
      <c r="P272" s="3">
        <f t="shared" si="258"/>
        <v>1.9414083287090187E-2</v>
      </c>
      <c r="Q272" s="3">
        <f t="shared" si="258"/>
        <v>1.9414083286029737E-2</v>
      </c>
      <c r="R272" s="3">
        <f t="shared" si="258"/>
        <v>1.9414083275425247E-2</v>
      </c>
      <c r="S272" s="3">
        <f t="shared" si="258"/>
        <v>1.9414083169380363E-2</v>
      </c>
      <c r="T272" s="3">
        <f t="shared" si="258"/>
        <v>1.9414082108931557E-2</v>
      </c>
      <c r="U272" s="3">
        <f t="shared" si="258"/>
        <v>1.941407150444668E-2</v>
      </c>
      <c r="V272" s="3">
        <f t="shared" si="258"/>
        <v>1.9413965459916502E-2</v>
      </c>
      <c r="W272" s="3">
        <f t="shared" si="258"/>
        <v>1.9412905046472494E-2</v>
      </c>
      <c r="X272" s="3">
        <f t="shared" si="258"/>
        <v>1.9402304097166517E-2</v>
      </c>
      <c r="Y272" s="3">
        <f t="shared" si="258"/>
        <v>1.9296612474730163E-2</v>
      </c>
      <c r="Z272" s="3">
        <f t="shared" si="258"/>
        <v>1.8270850162435431E-2</v>
      </c>
      <c r="AA272" s="3">
        <f t="shared" si="258"/>
        <v>1.0581215617244226E-2</v>
      </c>
      <c r="AB272" s="3">
        <f t="shared" si="258"/>
        <v>4.4905924994155237E-5</v>
      </c>
      <c r="AC272" s="3">
        <f t="shared" si="258"/>
        <v>8.5110760350563556E-29</v>
      </c>
      <c r="AD272" s="3">
        <f t="shared" si="258"/>
        <v>5.0908782142788098E-266</v>
      </c>
      <c r="AE272" s="3">
        <f t="shared" si="258"/>
        <v>0</v>
      </c>
      <c r="AF272" s="3">
        <f t="shared" si="258"/>
        <v>0</v>
      </c>
      <c r="AG272" s="3"/>
      <c r="AH272" s="3"/>
    </row>
    <row r="273" spans="1:34" x14ac:dyDescent="0.25">
      <c r="B273" s="3">
        <f t="shared" ref="B273:AF273" si="259">$C42*EXP(-B$246/$A42/EXP(-$E$126))</f>
        <v>7.1410981840430545E-3</v>
      </c>
      <c r="C273" s="3">
        <f t="shared" si="259"/>
        <v>7.1410981840430545E-3</v>
      </c>
      <c r="D273" s="3">
        <f t="shared" si="259"/>
        <v>7.1410981840430545E-3</v>
      </c>
      <c r="E273" s="3">
        <f t="shared" si="259"/>
        <v>7.1410981840430545E-3</v>
      </c>
      <c r="F273" s="3">
        <f t="shared" si="259"/>
        <v>7.1410981840430545E-3</v>
      </c>
      <c r="G273" s="3">
        <f t="shared" si="259"/>
        <v>7.1410981840430545E-3</v>
      </c>
      <c r="H273" s="3">
        <f t="shared" si="259"/>
        <v>7.1410981840430545E-3</v>
      </c>
      <c r="I273" s="3">
        <f t="shared" si="259"/>
        <v>7.1410981840430545E-3</v>
      </c>
      <c r="J273" s="3">
        <f t="shared" si="259"/>
        <v>7.1410981840430545E-3</v>
      </c>
      <c r="K273" s="3">
        <f t="shared" si="259"/>
        <v>7.1410981840430545E-3</v>
      </c>
      <c r="L273" s="3">
        <f t="shared" si="259"/>
        <v>7.1410981840430536E-3</v>
      </c>
      <c r="M273" s="3">
        <f t="shared" si="259"/>
        <v>7.1410981840430501E-3</v>
      </c>
      <c r="N273" s="3">
        <f t="shared" si="259"/>
        <v>7.1410981840430111E-3</v>
      </c>
      <c r="O273" s="3">
        <f t="shared" si="259"/>
        <v>7.1410981840426208E-3</v>
      </c>
      <c r="P273" s="3">
        <f t="shared" si="259"/>
        <v>7.1410981840387203E-3</v>
      </c>
      <c r="Q273" s="3">
        <f t="shared" si="259"/>
        <v>7.1410981839997141E-3</v>
      </c>
      <c r="R273" s="3">
        <f t="shared" si="259"/>
        <v>7.1410981836096477E-3</v>
      </c>
      <c r="S273" s="3">
        <f t="shared" si="259"/>
        <v>7.141098179708991E-3</v>
      </c>
      <c r="T273" s="3">
        <f t="shared" si="259"/>
        <v>7.1410981407024135E-3</v>
      </c>
      <c r="U273" s="3">
        <f t="shared" si="259"/>
        <v>7.1410977506366586E-3</v>
      </c>
      <c r="V273" s="3">
        <f t="shared" si="259"/>
        <v>7.1410938499802869E-3</v>
      </c>
      <c r="W273" s="3">
        <f t="shared" si="259"/>
        <v>7.1410548435337463E-3</v>
      </c>
      <c r="X273" s="3">
        <f t="shared" si="259"/>
        <v>7.1406647907866069E-3</v>
      </c>
      <c r="Y273" s="3">
        <f t="shared" si="259"/>
        <v>7.136765434905718E-3</v>
      </c>
      <c r="Z273" s="3">
        <f t="shared" si="259"/>
        <v>7.0978887987090383E-3</v>
      </c>
      <c r="AA273" s="3">
        <f t="shared" si="259"/>
        <v>6.7205818057791073E-3</v>
      </c>
      <c r="AB273" s="3">
        <f t="shared" si="259"/>
        <v>3.8920972219717636E-3</v>
      </c>
      <c r="AC273" s="3">
        <f t="shared" si="259"/>
        <v>1.6517783234186022E-5</v>
      </c>
      <c r="AD273" s="3">
        <f t="shared" si="259"/>
        <v>3.1306360809856192E-29</v>
      </c>
      <c r="AE273" s="3">
        <f t="shared" si="259"/>
        <v>1.8725819104281273E-266</v>
      </c>
      <c r="AF273" s="3">
        <f t="shared" si="259"/>
        <v>0</v>
      </c>
      <c r="AG273" s="3"/>
      <c r="AH273" s="3"/>
    </row>
    <row r="274" spans="1:34" x14ac:dyDescent="0.25">
      <c r="B274" s="3">
        <f t="shared" ref="B274:AF274" si="260">$C43*EXP(-B$246/$A43/EXP(-$E$126))</f>
        <v>4.5211816855299626E-3</v>
      </c>
      <c r="C274" s="3">
        <f t="shared" si="260"/>
        <v>4.5211816855299626E-3</v>
      </c>
      <c r="D274" s="3">
        <f t="shared" si="260"/>
        <v>4.5211816855299626E-3</v>
      </c>
      <c r="E274" s="3">
        <f t="shared" si="260"/>
        <v>4.5211816855299626E-3</v>
      </c>
      <c r="F274" s="3">
        <f t="shared" si="260"/>
        <v>4.5211816855299626E-3</v>
      </c>
      <c r="G274" s="3">
        <f t="shared" si="260"/>
        <v>4.5211816855299626E-3</v>
      </c>
      <c r="H274" s="3">
        <f t="shared" si="260"/>
        <v>4.5211816855299626E-3</v>
      </c>
      <c r="I274" s="3">
        <f t="shared" si="260"/>
        <v>4.5211816855299626E-3</v>
      </c>
      <c r="J274" s="3">
        <f t="shared" si="260"/>
        <v>4.5211816855299626E-3</v>
      </c>
      <c r="K274" s="3">
        <f t="shared" si="260"/>
        <v>4.5211816855299626E-3</v>
      </c>
      <c r="L274" s="3">
        <f t="shared" si="260"/>
        <v>4.5211816855299626E-3</v>
      </c>
      <c r="M274" s="3">
        <f t="shared" si="260"/>
        <v>4.5211816855299618E-3</v>
      </c>
      <c r="N274" s="3">
        <f t="shared" si="260"/>
        <v>4.52118168552996E-3</v>
      </c>
      <c r="O274" s="3">
        <f t="shared" si="260"/>
        <v>4.5211816855299349E-3</v>
      </c>
      <c r="P274" s="3">
        <f t="shared" si="260"/>
        <v>4.5211816855296877E-3</v>
      </c>
      <c r="Q274" s="3">
        <f t="shared" si="260"/>
        <v>4.5211816855272183E-3</v>
      </c>
      <c r="R274" s="3">
        <f t="shared" si="260"/>
        <v>4.5211816855025228E-3</v>
      </c>
      <c r="S274" s="3">
        <f t="shared" si="260"/>
        <v>4.5211816852555632E-3</v>
      </c>
      <c r="T274" s="3">
        <f t="shared" si="260"/>
        <v>4.5211816827859744E-3</v>
      </c>
      <c r="U274" s="3">
        <f t="shared" si="260"/>
        <v>4.5211816580900781E-3</v>
      </c>
      <c r="V274" s="3">
        <f t="shared" si="260"/>
        <v>4.5211814111311231E-3</v>
      </c>
      <c r="W274" s="3">
        <f t="shared" si="260"/>
        <v>4.5211789415423144E-3</v>
      </c>
      <c r="X274" s="3">
        <f t="shared" si="260"/>
        <v>4.5211542457284258E-3</v>
      </c>
      <c r="Y274" s="3">
        <f t="shared" si="260"/>
        <v>4.5209072950086193E-3</v>
      </c>
      <c r="Z274" s="3">
        <f t="shared" si="260"/>
        <v>4.518438529569512E-3</v>
      </c>
      <c r="AA274" s="3">
        <f t="shared" si="260"/>
        <v>4.4938249013799156E-3</v>
      </c>
      <c r="AB274" s="3">
        <f t="shared" si="260"/>
        <v>4.2549437906189676E-3</v>
      </c>
      <c r="AC274" s="3">
        <f t="shared" si="260"/>
        <v>2.4641698272124877E-3</v>
      </c>
      <c r="AD274" s="3">
        <f t="shared" si="260"/>
        <v>1.0457761134110947E-5</v>
      </c>
      <c r="AE274" s="3">
        <f t="shared" si="260"/>
        <v>1.9820725256290832E-29</v>
      </c>
      <c r="AF274" s="3">
        <f t="shared" si="260"/>
        <v>1.1855715773521302E-266</v>
      </c>
      <c r="AG274" s="3"/>
      <c r="AH274" s="3"/>
    </row>
    <row r="275" spans="1:34" x14ac:dyDescent="0.25">
      <c r="B275" s="3">
        <f t="shared" ref="B275:AF275" si="261">$C44*EXP(-B$246/$A44/EXP(-$E$126))</f>
        <v>2.8020776239336834E-3</v>
      </c>
      <c r="C275" s="3">
        <f t="shared" si="261"/>
        <v>2.8020776239336834E-3</v>
      </c>
      <c r="D275" s="3">
        <f t="shared" si="261"/>
        <v>2.8020776239336834E-3</v>
      </c>
      <c r="E275" s="3">
        <f t="shared" si="261"/>
        <v>2.8020776239336834E-3</v>
      </c>
      <c r="F275" s="3">
        <f t="shared" si="261"/>
        <v>2.8020776239336834E-3</v>
      </c>
      <c r="G275" s="3">
        <f t="shared" si="261"/>
        <v>2.8020776239336834E-3</v>
      </c>
      <c r="H275" s="3">
        <f t="shared" si="261"/>
        <v>2.8020776239336834E-3</v>
      </c>
      <c r="I275" s="3">
        <f t="shared" si="261"/>
        <v>2.8020776239336834E-3</v>
      </c>
      <c r="J275" s="3">
        <f t="shared" si="261"/>
        <v>2.8020776239336834E-3</v>
      </c>
      <c r="K275" s="3">
        <f t="shared" si="261"/>
        <v>2.8020776239336834E-3</v>
      </c>
      <c r="L275" s="3">
        <f t="shared" si="261"/>
        <v>2.8020776239336834E-3</v>
      </c>
      <c r="M275" s="3">
        <f t="shared" si="261"/>
        <v>2.8020776239336834E-3</v>
      </c>
      <c r="N275" s="3">
        <f t="shared" si="261"/>
        <v>2.802077623933683E-3</v>
      </c>
      <c r="O275" s="3">
        <f t="shared" si="261"/>
        <v>2.8020776239336817E-3</v>
      </c>
      <c r="P275" s="3">
        <f t="shared" si="261"/>
        <v>2.8020776239336665E-3</v>
      </c>
      <c r="Q275" s="3">
        <f t="shared" si="261"/>
        <v>2.8020776239335134E-3</v>
      </c>
      <c r="R275" s="3">
        <f t="shared" si="261"/>
        <v>2.8020776239319825E-3</v>
      </c>
      <c r="S275" s="3">
        <f t="shared" si="261"/>
        <v>2.802077623916677E-3</v>
      </c>
      <c r="T275" s="3">
        <f t="shared" si="261"/>
        <v>2.8020776237636198E-3</v>
      </c>
      <c r="U275" s="3">
        <f t="shared" si="261"/>
        <v>2.8020776222330507E-3</v>
      </c>
      <c r="V275" s="3">
        <f t="shared" si="261"/>
        <v>2.8020776069273578E-3</v>
      </c>
      <c r="W275" s="3">
        <f t="shared" si="261"/>
        <v>2.8020774538704339E-3</v>
      </c>
      <c r="X275" s="3">
        <f t="shared" si="261"/>
        <v>2.8020759233016532E-3</v>
      </c>
      <c r="Y275" s="3">
        <f t="shared" si="261"/>
        <v>2.8020606176598285E-3</v>
      </c>
      <c r="Z275" s="3">
        <f t="shared" si="261"/>
        <v>2.8019075658396821E-3</v>
      </c>
      <c r="AA275" s="3">
        <f t="shared" si="261"/>
        <v>2.8003775073556789E-3</v>
      </c>
      <c r="AB275" s="3">
        <f t="shared" si="261"/>
        <v>2.7851228014864971E-3</v>
      </c>
      <c r="AC275" s="3">
        <f t="shared" si="261"/>
        <v>2.6370722558988311E-3</v>
      </c>
      <c r="AD275" s="3">
        <f t="shared" si="261"/>
        <v>1.5272102770174957E-3</v>
      </c>
      <c r="AE275" s="3">
        <f t="shared" si="261"/>
        <v>6.4813715768426899E-6</v>
      </c>
      <c r="AF275" s="3">
        <f t="shared" si="261"/>
        <v>1.2284224477981709E-29</v>
      </c>
      <c r="AG275" s="3"/>
      <c r="AH275" s="3"/>
    </row>
    <row r="276" spans="1:34" x14ac:dyDescent="0.25">
      <c r="B276" s="3">
        <f t="shared" ref="B276:AF276" si="262">$C45*EXP(-B$246/$A45/EXP(-$E$126))</f>
        <v>1.1789652234967252E-3</v>
      </c>
      <c r="C276" s="3">
        <f t="shared" si="262"/>
        <v>1.1789652234967252E-3</v>
      </c>
      <c r="D276" s="3">
        <f t="shared" si="262"/>
        <v>1.1789652234967252E-3</v>
      </c>
      <c r="E276" s="3">
        <f t="shared" si="262"/>
        <v>1.1789652234967252E-3</v>
      </c>
      <c r="F276" s="3">
        <f t="shared" si="262"/>
        <v>1.1789652234967252E-3</v>
      </c>
      <c r="G276" s="3">
        <f t="shared" si="262"/>
        <v>1.1789652234967252E-3</v>
      </c>
      <c r="H276" s="3">
        <f t="shared" si="262"/>
        <v>1.1789652234967252E-3</v>
      </c>
      <c r="I276" s="3">
        <f t="shared" si="262"/>
        <v>1.1789652234967252E-3</v>
      </c>
      <c r="J276" s="3">
        <f t="shared" si="262"/>
        <v>1.1789652234967252E-3</v>
      </c>
      <c r="K276" s="3">
        <f t="shared" si="262"/>
        <v>1.1789652234967252E-3</v>
      </c>
      <c r="L276" s="3">
        <f t="shared" si="262"/>
        <v>1.1789652234967252E-3</v>
      </c>
      <c r="M276" s="3">
        <f t="shared" si="262"/>
        <v>1.1789652234967252E-3</v>
      </c>
      <c r="N276" s="3">
        <f t="shared" si="262"/>
        <v>1.1789652234967252E-3</v>
      </c>
      <c r="O276" s="3">
        <f t="shared" si="262"/>
        <v>1.178965223496725E-3</v>
      </c>
      <c r="P276" s="3">
        <f t="shared" si="262"/>
        <v>1.1789652234967245E-3</v>
      </c>
      <c r="Q276" s="3">
        <f t="shared" si="262"/>
        <v>1.178965223496718E-3</v>
      </c>
      <c r="R276" s="3">
        <f t="shared" si="262"/>
        <v>1.1789652234966536E-3</v>
      </c>
      <c r="S276" s="3">
        <f t="shared" si="262"/>
        <v>1.1789652234960096E-3</v>
      </c>
      <c r="T276" s="3">
        <f t="shared" si="262"/>
        <v>1.1789652234895699E-3</v>
      </c>
      <c r="U276" s="3">
        <f t="shared" si="262"/>
        <v>1.1789652234251715E-3</v>
      </c>
      <c r="V276" s="3">
        <f t="shared" si="262"/>
        <v>1.1789652227811895E-3</v>
      </c>
      <c r="W276" s="3">
        <f t="shared" si="262"/>
        <v>1.1789652163413679E-3</v>
      </c>
      <c r="X276" s="3">
        <f t="shared" si="262"/>
        <v>1.1789651519431552E-3</v>
      </c>
      <c r="Y276" s="3">
        <f t="shared" si="262"/>
        <v>1.1789645079612224E-3</v>
      </c>
      <c r="Z276" s="3">
        <f t="shared" si="262"/>
        <v>1.1789580681612394E-3</v>
      </c>
      <c r="AA276" s="3">
        <f t="shared" si="262"/>
        <v>1.1788936720960469E-3</v>
      </c>
      <c r="AB276" s="3">
        <f t="shared" si="262"/>
        <v>1.1782499048687766E-3</v>
      </c>
      <c r="AC276" s="3">
        <f t="shared" si="262"/>
        <v>1.1718315360267355E-3</v>
      </c>
      <c r="AD276" s="3">
        <f t="shared" si="262"/>
        <v>1.1095397411539944E-3</v>
      </c>
      <c r="AE276" s="3">
        <f t="shared" si="262"/>
        <v>6.4256885326494453E-4</v>
      </c>
      <c r="AF276" s="3">
        <f t="shared" si="262"/>
        <v>2.7270164196702176E-6</v>
      </c>
      <c r="AG276" s="3"/>
      <c r="AH276" s="3"/>
    </row>
    <row r="277" spans="1:34" x14ac:dyDescent="0.25">
      <c r="B277" s="3">
        <f t="shared" ref="B277:AF277" si="263">$C46*EXP(-B$246/$A46/EXP(-$E$126))</f>
        <v>7.7792567568049035E-4</v>
      </c>
      <c r="C277" s="3">
        <f t="shared" si="263"/>
        <v>7.7792567568049035E-4</v>
      </c>
      <c r="D277" s="3">
        <f t="shared" si="263"/>
        <v>7.7792567568049035E-4</v>
      </c>
      <c r="E277" s="3">
        <f t="shared" si="263"/>
        <v>7.7792567568049035E-4</v>
      </c>
      <c r="F277" s="3">
        <f t="shared" si="263"/>
        <v>7.7792567568049035E-4</v>
      </c>
      <c r="G277" s="3">
        <f t="shared" si="263"/>
        <v>7.7792567568049035E-4</v>
      </c>
      <c r="H277" s="3">
        <f t="shared" si="263"/>
        <v>7.7792567568049035E-4</v>
      </c>
      <c r="I277" s="3">
        <f t="shared" si="263"/>
        <v>7.7792567568049035E-4</v>
      </c>
      <c r="J277" s="3">
        <f t="shared" si="263"/>
        <v>7.7792567568049035E-4</v>
      </c>
      <c r="K277" s="3">
        <f t="shared" si="263"/>
        <v>7.7792567568049035E-4</v>
      </c>
      <c r="L277" s="3">
        <f t="shared" si="263"/>
        <v>7.7792567568049035E-4</v>
      </c>
      <c r="M277" s="3">
        <f t="shared" si="263"/>
        <v>7.7792567568049035E-4</v>
      </c>
      <c r="N277" s="3">
        <f t="shared" si="263"/>
        <v>7.7792567568049035E-4</v>
      </c>
      <c r="O277" s="3">
        <f t="shared" si="263"/>
        <v>7.7792567568049035E-4</v>
      </c>
      <c r="P277" s="3">
        <f t="shared" si="263"/>
        <v>7.7792567568049024E-4</v>
      </c>
      <c r="Q277" s="3">
        <f t="shared" si="263"/>
        <v>7.7792567568048991E-4</v>
      </c>
      <c r="R277" s="3">
        <f t="shared" si="263"/>
        <v>7.7792567568048558E-4</v>
      </c>
      <c r="S277" s="3">
        <f t="shared" si="263"/>
        <v>7.7792567568044308E-4</v>
      </c>
      <c r="T277" s="3">
        <f t="shared" si="263"/>
        <v>7.7792567568001818E-4</v>
      </c>
      <c r="U277" s="3">
        <f t="shared" si="263"/>
        <v>7.7792567567576897E-4</v>
      </c>
      <c r="V277" s="3">
        <f t="shared" si="263"/>
        <v>7.779256756332766E-4</v>
      </c>
      <c r="W277" s="3">
        <f t="shared" si="263"/>
        <v>7.7792567520835294E-4</v>
      </c>
      <c r="X277" s="3">
        <f t="shared" si="263"/>
        <v>7.7792567095911612E-4</v>
      </c>
      <c r="Y277" s="3">
        <f t="shared" si="263"/>
        <v>7.7792562846674897E-4</v>
      </c>
      <c r="Z277" s="3">
        <f t="shared" si="263"/>
        <v>7.7792520354320557E-4</v>
      </c>
      <c r="AA277" s="3">
        <f t="shared" si="263"/>
        <v>7.7792095432053707E-4</v>
      </c>
      <c r="AB277" s="3">
        <f t="shared" si="263"/>
        <v>7.7787846337039909E-4</v>
      </c>
      <c r="AC277" s="3">
        <f t="shared" si="263"/>
        <v>7.7745368149789414E-4</v>
      </c>
      <c r="AD277" s="3">
        <f t="shared" si="263"/>
        <v>7.7321859990371231E-4</v>
      </c>
      <c r="AE277" s="3">
        <f t="shared" si="263"/>
        <v>7.3211612660767768E-4</v>
      </c>
      <c r="AF277" s="3">
        <f t="shared" si="263"/>
        <v>4.2399114018375314E-4</v>
      </c>
      <c r="AG277" s="3"/>
      <c r="AH277" s="3"/>
    </row>
    <row r="278" spans="1:34" x14ac:dyDescent="0.25">
      <c r="B278" s="3">
        <f t="shared" ref="B278:AF278" si="264">$C47*EXP(-B$246/$A47/EXP(-$E$126))</f>
        <v>1.7877728547757263E-3</v>
      </c>
      <c r="C278" s="3">
        <f t="shared" si="264"/>
        <v>1.7877728547757263E-3</v>
      </c>
      <c r="D278" s="3">
        <f t="shared" si="264"/>
        <v>1.7877728547757263E-3</v>
      </c>
      <c r="E278" s="3">
        <f t="shared" si="264"/>
        <v>1.7877728547757263E-3</v>
      </c>
      <c r="F278" s="3">
        <f t="shared" si="264"/>
        <v>1.7877728547757263E-3</v>
      </c>
      <c r="G278" s="3">
        <f t="shared" si="264"/>
        <v>1.7877728547757263E-3</v>
      </c>
      <c r="H278" s="3">
        <f t="shared" si="264"/>
        <v>1.7877728547757263E-3</v>
      </c>
      <c r="I278" s="3">
        <f t="shared" si="264"/>
        <v>1.7877728547757263E-3</v>
      </c>
      <c r="J278" s="3">
        <f t="shared" si="264"/>
        <v>1.7877728547757263E-3</v>
      </c>
      <c r="K278" s="3">
        <f t="shared" si="264"/>
        <v>1.7877728547757263E-3</v>
      </c>
      <c r="L278" s="3">
        <f t="shared" si="264"/>
        <v>1.7877728547757263E-3</v>
      </c>
      <c r="M278" s="3">
        <f t="shared" si="264"/>
        <v>1.7877728547757263E-3</v>
      </c>
      <c r="N278" s="3">
        <f t="shared" si="264"/>
        <v>1.7877728547757263E-3</v>
      </c>
      <c r="O278" s="3">
        <f t="shared" si="264"/>
        <v>1.7877728547757263E-3</v>
      </c>
      <c r="P278" s="3">
        <f t="shared" si="264"/>
        <v>1.7877728547757263E-3</v>
      </c>
      <c r="Q278" s="3">
        <f t="shared" si="264"/>
        <v>1.7877728547757261E-3</v>
      </c>
      <c r="R278" s="3">
        <f t="shared" si="264"/>
        <v>1.7877728547757252E-3</v>
      </c>
      <c r="S278" s="3">
        <f t="shared" si="264"/>
        <v>1.7877728547757155E-3</v>
      </c>
      <c r="T278" s="3">
        <f t="shared" si="264"/>
        <v>1.7877728547756177E-3</v>
      </c>
      <c r="U278" s="3">
        <f t="shared" si="264"/>
        <v>1.7877728547746412E-3</v>
      </c>
      <c r="V278" s="3">
        <f t="shared" si="264"/>
        <v>1.787772854764876E-3</v>
      </c>
      <c r="W278" s="3">
        <f t="shared" si="264"/>
        <v>1.787772854667223E-3</v>
      </c>
      <c r="X278" s="3">
        <f t="shared" si="264"/>
        <v>1.7877728536906941E-3</v>
      </c>
      <c r="Y278" s="3">
        <f t="shared" si="264"/>
        <v>1.7877728439254035E-3</v>
      </c>
      <c r="Z278" s="3">
        <f t="shared" si="264"/>
        <v>1.7877727462725004E-3</v>
      </c>
      <c r="AA278" s="3">
        <f t="shared" si="264"/>
        <v>1.7877717697437653E-3</v>
      </c>
      <c r="AB278" s="3">
        <f t="shared" si="264"/>
        <v>1.7877620044857488E-3</v>
      </c>
      <c r="AC278" s="3">
        <f t="shared" si="264"/>
        <v>1.7876643548392528E-3</v>
      </c>
      <c r="AD278" s="3">
        <f t="shared" si="264"/>
        <v>1.7866881516817971E-3</v>
      </c>
      <c r="AE278" s="3">
        <f t="shared" si="264"/>
        <v>1.7769553916655969E-3</v>
      </c>
      <c r="AF278" s="3">
        <f t="shared" si="264"/>
        <v>1.6824966428159505E-3</v>
      </c>
      <c r="AG278" s="3"/>
      <c r="AH278" s="3"/>
    </row>
    <row r="279" spans="1:34" x14ac:dyDescent="0.25">
      <c r="B279" s="3">
        <f t="shared" ref="B279:AF279" si="265">$C48*EXP(-B$246/$A48/EXP(-$E$126))</f>
        <v>1.1370273508997292E-2</v>
      </c>
      <c r="C279" s="3">
        <f t="shared" si="265"/>
        <v>1.1370273508997292E-2</v>
      </c>
      <c r="D279" s="3">
        <f t="shared" si="265"/>
        <v>1.1370273508997292E-2</v>
      </c>
      <c r="E279" s="3">
        <f t="shared" si="265"/>
        <v>1.1370273508997292E-2</v>
      </c>
      <c r="F279" s="3">
        <f t="shared" si="265"/>
        <v>1.1370273508997292E-2</v>
      </c>
      <c r="G279" s="3">
        <f t="shared" si="265"/>
        <v>1.1370273508997292E-2</v>
      </c>
      <c r="H279" s="3">
        <f t="shared" si="265"/>
        <v>1.1370273508997292E-2</v>
      </c>
      <c r="I279" s="3">
        <f t="shared" si="265"/>
        <v>1.1370273508997292E-2</v>
      </c>
      <c r="J279" s="3">
        <f t="shared" si="265"/>
        <v>1.1370273508997292E-2</v>
      </c>
      <c r="K279" s="3">
        <f t="shared" si="265"/>
        <v>1.1370273508997292E-2</v>
      </c>
      <c r="L279" s="3">
        <f t="shared" si="265"/>
        <v>1.1370273508997292E-2</v>
      </c>
      <c r="M279" s="3">
        <f t="shared" si="265"/>
        <v>1.1370273508997292E-2</v>
      </c>
      <c r="N279" s="3">
        <f t="shared" si="265"/>
        <v>1.1370273508997292E-2</v>
      </c>
      <c r="O279" s="3">
        <f t="shared" si="265"/>
        <v>1.1370273508997292E-2</v>
      </c>
      <c r="P279" s="3">
        <f t="shared" si="265"/>
        <v>1.1370273508997292E-2</v>
      </c>
      <c r="Q279" s="3">
        <f t="shared" si="265"/>
        <v>1.1370273508997292E-2</v>
      </c>
      <c r="R279" s="3">
        <f t="shared" si="265"/>
        <v>1.1370273508997291E-2</v>
      </c>
      <c r="S279" s="3">
        <f t="shared" si="265"/>
        <v>1.1370273508997285E-2</v>
      </c>
      <c r="T279" s="3">
        <f t="shared" si="265"/>
        <v>1.1370273508997223E-2</v>
      </c>
      <c r="U279" s="3">
        <f t="shared" si="265"/>
        <v>1.1370273508996602E-2</v>
      </c>
      <c r="V279" s="3">
        <f t="shared" si="265"/>
        <v>1.1370273508990392E-2</v>
      </c>
      <c r="W279" s="3">
        <f t="shared" si="265"/>
        <v>1.1370273508928285E-2</v>
      </c>
      <c r="X279" s="3">
        <f t="shared" si="265"/>
        <v>1.1370273508307209E-2</v>
      </c>
      <c r="Y279" s="3">
        <f t="shared" si="265"/>
        <v>1.1370273502096464E-2</v>
      </c>
      <c r="Z279" s="3">
        <f t="shared" si="265"/>
        <v>1.1370273439989007E-2</v>
      </c>
      <c r="AA279" s="3">
        <f t="shared" si="265"/>
        <v>1.1370272818914461E-2</v>
      </c>
      <c r="AB279" s="3">
        <f t="shared" si="265"/>
        <v>1.1370266608170865E-2</v>
      </c>
      <c r="AC279" s="3">
        <f t="shared" si="265"/>
        <v>1.1370204500921481E-2</v>
      </c>
      <c r="AD279" s="3">
        <f t="shared" si="265"/>
        <v>1.1369583447085838E-2</v>
      </c>
      <c r="AE279" s="3">
        <f t="shared" si="265"/>
        <v>1.1363374774171398E-2</v>
      </c>
      <c r="AF279" s="3">
        <f t="shared" si="265"/>
        <v>1.1301474212762822E-2</v>
      </c>
      <c r="AG279" s="3"/>
      <c r="AH279" s="3"/>
    </row>
    <row r="280" spans="1:34" x14ac:dyDescent="0.25">
      <c r="A280" s="79">
        <f>AVERAGE(B280:AF280)</f>
        <v>7.029572195164366E-3</v>
      </c>
      <c r="B280" s="80">
        <f>IF($D$61&lt;=B246,IF($E$61&gt;=B246,ABS((B248-B247)/B247),0),0)</f>
        <v>3.416530012532671E-2</v>
      </c>
      <c r="C280" s="80">
        <f t="shared" ref="C280:AF280" si="266">IF($D$61&lt;=C246,IF($E$61&gt;=C246,ABS((C248-C247)/C247),0),0)</f>
        <v>1.0828585808513229E-2</v>
      </c>
      <c r="D280" s="80">
        <f t="shared" si="266"/>
        <v>4.6799520734432908E-3</v>
      </c>
      <c r="E280" s="80">
        <f t="shared" si="266"/>
        <v>5.3473034387693311E-3</v>
      </c>
      <c r="F280" s="80">
        <f t="shared" si="266"/>
        <v>5.3743936211944994E-3</v>
      </c>
      <c r="G280" s="80">
        <f t="shared" si="266"/>
        <v>4.7075423860450313E-3</v>
      </c>
      <c r="H280" s="80">
        <f t="shared" si="266"/>
        <v>4.5238281542102762E-3</v>
      </c>
      <c r="I280" s="80">
        <f t="shared" si="266"/>
        <v>4.5663732071468885E-3</v>
      </c>
      <c r="J280" s="80">
        <f t="shared" si="266"/>
        <v>4.4557026660088936E-3</v>
      </c>
      <c r="K280" s="80">
        <f t="shared" si="266"/>
        <v>4.4650570003719661E-3</v>
      </c>
      <c r="L280" s="80">
        <f t="shared" si="266"/>
        <v>4.3917709477577036E-3</v>
      </c>
      <c r="M280" s="80">
        <f t="shared" si="266"/>
        <v>5.183841011918512E-3</v>
      </c>
      <c r="N280" s="80">
        <f t="shared" si="266"/>
        <v>4.4699648417569019E-3</v>
      </c>
      <c r="O280" s="80">
        <f t="shared" si="266"/>
        <v>5.4586616914177452E-3</v>
      </c>
      <c r="P280" s="80">
        <f t="shared" si="266"/>
        <v>5.5217854507417672E-3</v>
      </c>
      <c r="Q280" s="80">
        <f t="shared" si="266"/>
        <v>5.1038966421013427E-3</v>
      </c>
      <c r="R280" s="80">
        <f t="shared" si="266"/>
        <v>3.5940485033177402E-3</v>
      </c>
      <c r="S280" s="80">
        <f t="shared" si="266"/>
        <v>9.8800710328141479E-3</v>
      </c>
      <c r="T280" s="80">
        <f t="shared" si="266"/>
        <v>1.9607068905741001E-2</v>
      </c>
      <c r="U280" s="80">
        <f t="shared" si="266"/>
        <v>1.8839799218150873E-2</v>
      </c>
      <c r="V280" s="80">
        <f t="shared" si="266"/>
        <v>1.0814047988897435E-2</v>
      </c>
      <c r="W280" s="80">
        <f t="shared" si="266"/>
        <v>8.2036212886221881E-3</v>
      </c>
      <c r="X280" s="80">
        <f t="shared" si="266"/>
        <v>8.224564467255167E-3</v>
      </c>
      <c r="Y280" s="80">
        <f t="shared" si="266"/>
        <v>2.5509557578572716E-2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119278.51697001819</v>
      </c>
      <c r="C281" s="21">
        <f t="shared" ref="C281:AF281" si="267">(C248-C247)^2</f>
        <v>11407.453981771685</v>
      </c>
      <c r="D281" s="21">
        <f t="shared" si="267"/>
        <v>2038.6154698557593</v>
      </c>
      <c r="E281" s="21">
        <f t="shared" si="267"/>
        <v>2533.1607897649646</v>
      </c>
      <c r="F281" s="21">
        <f t="shared" si="267"/>
        <v>2422.6535864951093</v>
      </c>
      <c r="G281" s="21">
        <f t="shared" si="267"/>
        <v>1746.9236147195872</v>
      </c>
      <c r="H281" s="21">
        <f t="shared" si="267"/>
        <v>1513.5721104535928</v>
      </c>
      <c r="I281" s="21">
        <f t="shared" si="267"/>
        <v>1448.5083673495744</v>
      </c>
      <c r="J281" s="21">
        <f t="shared" si="267"/>
        <v>1279.0342056080849</v>
      </c>
      <c r="K281" s="21">
        <f t="shared" si="267"/>
        <v>1170.2410865858831</v>
      </c>
      <c r="L281" s="21">
        <f t="shared" si="267"/>
        <v>1023.4834412134957</v>
      </c>
      <c r="M281" s="21">
        <f t="shared" si="267"/>
        <v>1303.5516672452345</v>
      </c>
      <c r="N281" s="21">
        <f t="shared" si="267"/>
        <v>890.97681336883386</v>
      </c>
      <c r="O281" s="21">
        <f t="shared" si="267"/>
        <v>1217.5319862657936</v>
      </c>
      <c r="P281" s="21">
        <f t="shared" si="267"/>
        <v>1134.9272329492708</v>
      </c>
      <c r="Q281" s="21">
        <f t="shared" si="267"/>
        <v>881.33897789119419</v>
      </c>
      <c r="R281" s="21">
        <f t="shared" si="267"/>
        <v>387.92611667541951</v>
      </c>
      <c r="S281" s="21">
        <f t="shared" si="267"/>
        <v>2441.7172058285228</v>
      </c>
      <c r="T281" s="21">
        <f t="shared" si="267"/>
        <v>7370.7708149433129</v>
      </c>
      <c r="U281" s="21">
        <f t="shared" si="267"/>
        <v>4979.620375514769</v>
      </c>
      <c r="V281" s="21">
        <f t="shared" si="267"/>
        <v>1159.2784974776623</v>
      </c>
      <c r="W281" s="21">
        <f t="shared" si="267"/>
        <v>443.56565817920568</v>
      </c>
      <c r="X281" s="21">
        <f t="shared" si="267"/>
        <v>266.81728751665429</v>
      </c>
      <c r="Y281" s="21">
        <f t="shared" si="267"/>
        <v>1375.7427604895488</v>
      </c>
      <c r="Z281" s="21">
        <f t="shared" si="267"/>
        <v>74.595622616223466</v>
      </c>
      <c r="AA281" s="21">
        <f t="shared" si="267"/>
        <v>43.923107029044608</v>
      </c>
      <c r="AB281" s="21">
        <f t="shared" si="267"/>
        <v>27.205037466964541</v>
      </c>
      <c r="AC281" s="21">
        <f t="shared" si="267"/>
        <v>5.6185581567420657</v>
      </c>
      <c r="AD281" s="21">
        <f t="shared" si="267"/>
        <v>1.3910554998438345</v>
      </c>
      <c r="AE281" s="21">
        <f t="shared" si="267"/>
        <v>5.9866121090536795E-2</v>
      </c>
      <c r="AF281" s="21">
        <f t="shared" si="267"/>
        <v>8.4967591093114817E-2</v>
      </c>
      <c r="AG281" s="3"/>
      <c r="AH281" s="3"/>
    </row>
    <row r="282" spans="1:34" s="3" customFormat="1" x14ac:dyDescent="0.25">
      <c r="A282" s="71">
        <f>SUM(B282:AF282)</f>
        <v>169715.92901818131</v>
      </c>
      <c r="B282" s="21">
        <f>IF($D$61&lt;=B246,IF($E$61&gt;=B246,ABS(B281),0),0)</f>
        <v>119278.51697001819</v>
      </c>
      <c r="C282" s="21">
        <f t="shared" ref="C282:AF282" si="268">IF($D$61&lt;=C246,IF($E$61&gt;=C246,ABS(C281),0),0)</f>
        <v>11407.453981771685</v>
      </c>
      <c r="D282" s="21">
        <f t="shared" si="268"/>
        <v>2038.6154698557593</v>
      </c>
      <c r="E282" s="21">
        <f t="shared" si="268"/>
        <v>2533.1607897649646</v>
      </c>
      <c r="F282" s="21">
        <f t="shared" si="268"/>
        <v>2422.6535864951093</v>
      </c>
      <c r="G282" s="21">
        <f t="shared" si="268"/>
        <v>1746.9236147195872</v>
      </c>
      <c r="H282" s="21">
        <f t="shared" si="268"/>
        <v>1513.5721104535928</v>
      </c>
      <c r="I282" s="21">
        <f t="shared" si="268"/>
        <v>1448.5083673495744</v>
      </c>
      <c r="J282" s="21">
        <f t="shared" si="268"/>
        <v>1279.0342056080849</v>
      </c>
      <c r="K282" s="21">
        <f t="shared" si="268"/>
        <v>1170.2410865858831</v>
      </c>
      <c r="L282" s="21">
        <f t="shared" si="268"/>
        <v>1023.4834412134957</v>
      </c>
      <c r="M282" s="21">
        <f t="shared" si="268"/>
        <v>1303.5516672452345</v>
      </c>
      <c r="N282" s="21">
        <f t="shared" si="268"/>
        <v>890.97681336883386</v>
      </c>
      <c r="O282" s="21">
        <f t="shared" si="268"/>
        <v>1217.5319862657936</v>
      </c>
      <c r="P282" s="21">
        <f t="shared" si="268"/>
        <v>1134.9272329492708</v>
      </c>
      <c r="Q282" s="21">
        <f t="shared" si="268"/>
        <v>881.33897789119419</v>
      </c>
      <c r="R282" s="21">
        <f t="shared" si="268"/>
        <v>387.92611667541951</v>
      </c>
      <c r="S282" s="21">
        <f t="shared" si="268"/>
        <v>2441.7172058285228</v>
      </c>
      <c r="T282" s="21">
        <f t="shared" si="268"/>
        <v>7370.7708149433129</v>
      </c>
      <c r="U282" s="21">
        <f t="shared" si="268"/>
        <v>4979.620375514769</v>
      </c>
      <c r="V282" s="21">
        <f t="shared" si="268"/>
        <v>1159.2784974776623</v>
      </c>
      <c r="W282" s="21">
        <f t="shared" si="268"/>
        <v>443.56565817920568</v>
      </c>
      <c r="X282" s="21">
        <f t="shared" si="268"/>
        <v>266.81728751665429</v>
      </c>
      <c r="Y282" s="21">
        <f t="shared" si="268"/>
        <v>1375.7427604895488</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9827.0404934265953</v>
      </c>
      <c r="C286" s="26">
        <f>INDEX(Comparison!$AM$3:$AS$33,G$14,$F$122)</f>
        <v>9554.6131285549327</v>
      </c>
      <c r="D286" s="26">
        <f>INDEX(Comparison!$AM$3:$AS$33,H$14,$F$122)</f>
        <v>9307.5270109220583</v>
      </c>
      <c r="E286" s="26">
        <f>INDEX(Comparison!$AM$3:$AS$33,I$14,$F$122)</f>
        <v>9052.7901664061646</v>
      </c>
      <c r="F286" s="26">
        <f>INDEX(Comparison!$AM$3:$AS$33,J$14,$F$122)</f>
        <v>8765.8976127630649</v>
      </c>
      <c r="G286" s="26">
        <f>INDEX(Comparison!$AM$3:$AS$33,K$14,$F$122)</f>
        <v>8497.5960737726527</v>
      </c>
      <c r="H286" s="26">
        <f>INDEX(Comparison!$AM$3:$AS$33,L$14,$F$122)</f>
        <v>8229.2269119551856</v>
      </c>
      <c r="I286" s="26">
        <f>INDEX(Comparison!$AM$3:$AS$33,M$14,$F$122)</f>
        <v>7906.9976228628248</v>
      </c>
      <c r="J286" s="26">
        <f>INDEX(Comparison!$AM$3:$AS$33,N$14,$F$122)</f>
        <v>7534.9505992492377</v>
      </c>
      <c r="K286" s="26">
        <f>INDEX(Comparison!$AM$3:$AS$33,O$14,$F$122)</f>
        <v>7166.8631213057552</v>
      </c>
      <c r="L286" s="26">
        <f>INDEX(Comparison!$AM$3:$AS$33,P$14,$F$122)</f>
        <v>6867.7062482363972</v>
      </c>
      <c r="M286" s="26">
        <f>INDEX(Comparison!$AM$3:$AS$33,Q$14,$F$122)</f>
        <v>6578.6198965937929</v>
      </c>
      <c r="N286" s="26">
        <f>INDEX(Comparison!$AM$3:$AS$33,R$14,$F$122)</f>
        <v>6298.4876021181899</v>
      </c>
      <c r="O286" s="26">
        <f>INDEX(Comparison!$AM$3:$AS$33,S$14,$F$122)</f>
        <v>6004.311404381504</v>
      </c>
      <c r="P286" s="26">
        <f>INDEX(Comparison!$AM$3:$AS$33,T$14,$F$122)</f>
        <v>5728.9563133722204</v>
      </c>
      <c r="Q286" s="26">
        <f>INDEX(Comparison!$AM$3:$AS$33,U$14,$F$122)</f>
        <v>5384.1034806229181</v>
      </c>
      <c r="R286" s="26">
        <f>INDEX(Comparison!$AM$3:$AS$33,V$14,$F$122)</f>
        <v>4946.9073871376504</v>
      </c>
      <c r="S286" s="26">
        <f>INDEX(Comparison!$AM$3:$AS$33,W$14,$F$122)</f>
        <v>4341.3949978794144</v>
      </c>
      <c r="T286" s="26">
        <f>INDEX(Comparison!$AM$3:$AS$33,X$14,$F$122)</f>
        <v>3695.6706844027317</v>
      </c>
      <c r="U286" s="26">
        <f>INDEX(Comparison!$AM$3:$AS$33,Y$14,$F$122)</f>
        <v>3068.755950536985</v>
      </c>
      <c r="V286" s="26">
        <f>INDEX(Comparison!$AM$3:$AS$33,Z$14,$F$122)</f>
        <v>2467.1652727793789</v>
      </c>
      <c r="W286" s="26">
        <f>INDEX(Comparison!$AM$3:$AS$33,AA$14,$F$122)</f>
        <v>1870.2488465480699</v>
      </c>
      <c r="X286" s="26">
        <f>INDEX(Comparison!$AM$3:$AS$33,AB$14,$F$122)</f>
        <v>1361.6454434772222</v>
      </c>
      <c r="Y286" s="26">
        <f>INDEX(Comparison!$AM$3:$AS$33,AC$14,$F$122)</f>
        <v>978.74851186182502</v>
      </c>
      <c r="Z286" s="26">
        <f>INDEX(Comparison!$AM$3:$AS$33,AD$14,$F$122)</f>
        <v>750.04973579798059</v>
      </c>
      <c r="AA286" s="26">
        <f>INDEX(Comparison!$AM$3:$AS$33,AE$14,$F$122)</f>
        <v>627.42168862186645</v>
      </c>
      <c r="AB286" s="26">
        <f>INDEX(Comparison!$AM$3:$AS$33,AF$14,$F$122)</f>
        <v>570.28890979557161</v>
      </c>
      <c r="AC286" s="26">
        <f>INDEX(Comparison!$AM$3:$AS$33,AG$14,$F$122)</f>
        <v>534.99091249150581</v>
      </c>
      <c r="AD286" s="26">
        <f>INDEX(Comparison!$AM$3:$AS$33,AH$14,$F$122)</f>
        <v>516.06818092277001</v>
      </c>
      <c r="AE286" s="26">
        <f>INDEX(Comparison!$AM$3:$AS$33,AI$14,$F$122)</f>
        <v>504.17354863560553</v>
      </c>
      <c r="AF286" s="26">
        <f>INDEX(Comparison!$AM$3:$AS$33,AJ$14,$F$122)</f>
        <v>480.31847035858652</v>
      </c>
      <c r="AG286" s="26"/>
      <c r="AH286" s="26"/>
    </row>
    <row r="287" spans="1:34" x14ac:dyDescent="0.25">
      <c r="A287" s="70" t="s">
        <v>22</v>
      </c>
      <c r="B287" s="27">
        <f>($C$17+SUM(B288:B318))*$B$51</f>
        <v>9751.5392404224167</v>
      </c>
      <c r="C287" s="27">
        <f t="shared" ref="C287:AF287" si="269">($C$17+SUM(C288:C318))*$B$51</f>
        <v>9651.3709425767756</v>
      </c>
      <c r="D287" s="27">
        <f t="shared" si="269"/>
        <v>9280.6772769268882</v>
      </c>
      <c r="E287" s="27">
        <f t="shared" si="269"/>
        <v>9056.1942591852585</v>
      </c>
      <c r="F287" s="27">
        <f t="shared" si="269"/>
        <v>8764.2692131729582</v>
      </c>
      <c r="G287" s="27">
        <f t="shared" si="269"/>
        <v>8496.7687189979133</v>
      </c>
      <c r="H287" s="27">
        <f t="shared" si="269"/>
        <v>8228.0245014508073</v>
      </c>
      <c r="I287" s="27">
        <f t="shared" si="269"/>
        <v>7906.111926116816</v>
      </c>
      <c r="J287" s="27">
        <f t="shared" si="269"/>
        <v>7532.4682623896688</v>
      </c>
      <c r="K287" s="27">
        <f t="shared" si="269"/>
        <v>7167.603224480401</v>
      </c>
      <c r="L287" s="27">
        <f t="shared" si="269"/>
        <v>6863.1105935619553</v>
      </c>
      <c r="M287" s="27">
        <f t="shared" si="269"/>
        <v>6582.669646095731</v>
      </c>
      <c r="N287" s="27">
        <f t="shared" si="269"/>
        <v>6291.1252669602272</v>
      </c>
      <c r="O287" s="27">
        <f t="shared" si="269"/>
        <v>6009.9296147579071</v>
      </c>
      <c r="P287" s="27">
        <f t="shared" si="269"/>
        <v>5721.9689395558644</v>
      </c>
      <c r="Q287" s="27">
        <f t="shared" si="269"/>
        <v>5387.4334234118587</v>
      </c>
      <c r="R287" s="27">
        <f t="shared" si="269"/>
        <v>4942.0465295991935</v>
      </c>
      <c r="S287" s="27">
        <f t="shared" si="269"/>
        <v>4341.1397190115085</v>
      </c>
      <c r="T287" s="27">
        <f t="shared" si="269"/>
        <v>3692.8832423124682</v>
      </c>
      <c r="U287" s="27">
        <f t="shared" si="269"/>
        <v>3067.39177335367</v>
      </c>
      <c r="V287" s="27">
        <f t="shared" si="269"/>
        <v>2465.1871108138498</v>
      </c>
      <c r="W287" s="27">
        <f t="shared" si="269"/>
        <v>1868.9447591612332</v>
      </c>
      <c r="X287" s="27">
        <f t="shared" si="269"/>
        <v>1359.6909545571457</v>
      </c>
      <c r="Y287" s="27">
        <f t="shared" si="269"/>
        <v>977.73658999758527</v>
      </c>
      <c r="Z287" s="27">
        <f t="shared" si="269"/>
        <v>749.39866930984533</v>
      </c>
      <c r="AA287" s="27">
        <f t="shared" si="269"/>
        <v>627.16376769960516</v>
      </c>
      <c r="AB287" s="27">
        <f t="shared" si="269"/>
        <v>570.12685538144046</v>
      </c>
      <c r="AC287" s="27">
        <f t="shared" si="269"/>
        <v>534.89348199459891</v>
      </c>
      <c r="AD287" s="27">
        <f t="shared" si="269"/>
        <v>516.03060321766316</v>
      </c>
      <c r="AE287" s="27">
        <f t="shared" si="269"/>
        <v>504.1227184729043</v>
      </c>
      <c r="AF287" s="27">
        <f t="shared" si="269"/>
        <v>480.17621134700209</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4.2861423325471E-2</v>
      </c>
      <c r="C289" s="3">
        <f t="shared" si="271"/>
        <v>3.3975478141826151E-2</v>
      </c>
      <c r="D289" s="3">
        <f t="shared" si="271"/>
        <v>3.3277865524379536E-3</v>
      </c>
      <c r="E289" s="3">
        <f t="shared" si="271"/>
        <v>2.7042965453032058E-13</v>
      </c>
      <c r="F289" s="3">
        <f t="shared" si="271"/>
        <v>3.396587621910091E-114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1.7042700326288004E-2</v>
      </c>
      <c r="C290" s="3">
        <f t="shared" si="272"/>
        <v>1.6689229886472458E-2</v>
      </c>
      <c r="D290" s="3">
        <f t="shared" si="272"/>
        <v>1.3533657777719569E-2</v>
      </c>
      <c r="E290" s="3">
        <f t="shared" si="272"/>
        <v>1.6641946640481966E-3</v>
      </c>
      <c r="F290" s="3">
        <f t="shared" si="272"/>
        <v>1.3155079383872737E-12</v>
      </c>
      <c r="G290" s="3">
        <f t="shared" si="272"/>
        <v>1.2531035287093196E-103</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3.0702672508080397E-2</v>
      </c>
      <c r="C291" s="3">
        <f t="shared" si="273"/>
        <v>3.0644680240279269E-2</v>
      </c>
      <c r="D291" s="3">
        <f t="shared" si="273"/>
        <v>3.007074813145711E-2</v>
      </c>
      <c r="E291" s="3">
        <f t="shared" si="273"/>
        <v>2.4890614737645256E-2</v>
      </c>
      <c r="F291" s="3">
        <f t="shared" si="273"/>
        <v>3.7579372127912172E-3</v>
      </c>
      <c r="G291" s="3">
        <f t="shared" si="273"/>
        <v>2.3125359287896078E-11</v>
      </c>
      <c r="H291" s="3">
        <f t="shared" si="273"/>
        <v>1.8008526572826108E-93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2.5228359829619899E-2</v>
      </c>
      <c r="C292" s="3">
        <f t="shared" si="274"/>
        <v>2.5224057507096293E-2</v>
      </c>
      <c r="D292" s="3">
        <f t="shared" si="274"/>
        <v>2.5181074614572901E-2</v>
      </c>
      <c r="E292" s="3">
        <f t="shared" si="274"/>
        <v>2.4755253624990241E-2</v>
      </c>
      <c r="F292" s="3">
        <f t="shared" si="274"/>
        <v>2.0873658927967505E-2</v>
      </c>
      <c r="G292" s="3">
        <f t="shared" si="274"/>
        <v>3.7923691944657671E-3</v>
      </c>
      <c r="H292" s="3">
        <f t="shared" si="274"/>
        <v>1.4860413103959811E-10</v>
      </c>
      <c r="I292" s="3">
        <f t="shared" si="274"/>
        <v>1.268333917665559E-84</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2.5050818503112096E-2</v>
      </c>
      <c r="C293" s="3">
        <f t="shared" si="275"/>
        <v>2.5050433099170516E-2</v>
      </c>
      <c r="D293" s="3">
        <f t="shared" si="275"/>
        <v>2.5046579385856391E-2</v>
      </c>
      <c r="E293" s="3">
        <f t="shared" si="275"/>
        <v>2.5008074844327006E-2</v>
      </c>
      <c r="F293" s="3">
        <f t="shared" si="275"/>
        <v>2.4626270113707986E-2</v>
      </c>
      <c r="G293" s="3">
        <f t="shared" si="275"/>
        <v>2.1114578763339133E-2</v>
      </c>
      <c r="H293" s="3">
        <f t="shared" si="275"/>
        <v>4.5333604447372576E-3</v>
      </c>
      <c r="I293" s="3">
        <f t="shared" si="275"/>
        <v>9.4362305581717168E-10</v>
      </c>
      <c r="J293" s="3">
        <f t="shared" si="275"/>
        <v>1.4407262538277317E-76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3.1849665047106825E-2</v>
      </c>
      <c r="C294" s="3">
        <f t="shared" si="276"/>
        <v>3.1849620844413604E-2</v>
      </c>
      <c r="D294" s="3">
        <f t="shared" si="276"/>
        <v>3.1849178820855487E-2</v>
      </c>
      <c r="E294" s="3">
        <f t="shared" si="276"/>
        <v>3.1844758922663502E-2</v>
      </c>
      <c r="F294" s="3">
        <f t="shared" si="276"/>
        <v>3.1800593662344667E-2</v>
      </c>
      <c r="G294" s="3">
        <f t="shared" si="276"/>
        <v>3.1362295967097165E-2</v>
      </c>
      <c r="H294" s="3">
        <f t="shared" si="276"/>
        <v>2.7298203223495389E-2</v>
      </c>
      <c r="I294" s="3">
        <f t="shared" si="276"/>
        <v>6.8139069538776598E-3</v>
      </c>
      <c r="J294" s="3">
        <f t="shared" si="276"/>
        <v>6.397607047821696E-9</v>
      </c>
      <c r="K294" s="3">
        <f t="shared" si="276"/>
        <v>3.4058944703821029E-69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3.8281553142010948E-2</v>
      </c>
      <c r="C295" s="3">
        <f t="shared" si="277"/>
        <v>3.82815483493106E-2</v>
      </c>
      <c r="D295" s="3">
        <f t="shared" si="277"/>
        <v>3.8281500422340145E-2</v>
      </c>
      <c r="E295" s="3">
        <f t="shared" si="277"/>
        <v>3.8281021155935714E-2</v>
      </c>
      <c r="F295" s="3">
        <f t="shared" si="277"/>
        <v>3.8276228821889489E-2</v>
      </c>
      <c r="G295" s="3">
        <f t="shared" si="277"/>
        <v>3.8228338465953082E-2</v>
      </c>
      <c r="H295" s="3">
        <f t="shared" si="277"/>
        <v>3.7752718130930209E-2</v>
      </c>
      <c r="I295" s="3">
        <f t="shared" si="277"/>
        <v>3.3310124502211963E-2</v>
      </c>
      <c r="J295" s="3">
        <f t="shared" si="277"/>
        <v>9.5248152355505052E-3</v>
      </c>
      <c r="K295" s="3">
        <f t="shared" si="277"/>
        <v>3.4806439471775115E-8</v>
      </c>
      <c r="L295" s="3">
        <f t="shared" si="277"/>
        <v>1.4780529550204433E-62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3.6020845197143908E-2</v>
      </c>
      <c r="C296" s="3">
        <f t="shared" si="278"/>
        <v>3.6020844790334267E-2</v>
      </c>
      <c r="D296" s="3">
        <f t="shared" si="278"/>
        <v>3.6020840722238059E-2</v>
      </c>
      <c r="E296" s="3">
        <f t="shared" si="278"/>
        <v>3.6020800041301301E-2</v>
      </c>
      <c r="F296" s="3">
        <f t="shared" si="278"/>
        <v>3.602039323446065E-2</v>
      </c>
      <c r="G296" s="3">
        <f t="shared" si="278"/>
        <v>3.6016325418734271E-2</v>
      </c>
      <c r="H296" s="3">
        <f t="shared" si="278"/>
        <v>3.5975672518929323E-2</v>
      </c>
      <c r="I296" s="3">
        <f t="shared" si="278"/>
        <v>3.5571658744291648E-2</v>
      </c>
      <c r="J296" s="3">
        <f t="shared" si="278"/>
        <v>3.1772843044197328E-2</v>
      </c>
      <c r="K296" s="3">
        <f t="shared" si="278"/>
        <v>1.0270123791336952E-2</v>
      </c>
      <c r="L296" s="3">
        <f t="shared" si="278"/>
        <v>1.2787089025354657E-7</v>
      </c>
      <c r="M296" s="3">
        <f t="shared" si="278"/>
        <v>1.1448057251921709E-56</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2.6935551204952345E-2</v>
      </c>
      <c r="C297" s="3">
        <f t="shared" si="279"/>
        <v>2.693555117751072E-2</v>
      </c>
      <c r="D297" s="3">
        <f t="shared" si="279"/>
        <v>2.6935550903094487E-2</v>
      </c>
      <c r="E297" s="3">
        <f t="shared" si="279"/>
        <v>2.6935548158932295E-2</v>
      </c>
      <c r="F297" s="3">
        <f t="shared" si="279"/>
        <v>2.6935520717325762E-2</v>
      </c>
      <c r="G297" s="3">
        <f t="shared" si="279"/>
        <v>2.6935246302798074E-2</v>
      </c>
      <c r="H297" s="3">
        <f t="shared" si="279"/>
        <v>2.6932502311279406E-2</v>
      </c>
      <c r="I297" s="3">
        <f t="shared" si="279"/>
        <v>2.6905077766116649E-2</v>
      </c>
      <c r="J297" s="3">
        <f t="shared" si="279"/>
        <v>2.6632363538885834E-2</v>
      </c>
      <c r="K297" s="3">
        <f t="shared" si="279"/>
        <v>2.4052725670684439E-2</v>
      </c>
      <c r="L297" s="3">
        <f t="shared" si="279"/>
        <v>8.6838072311017228E-3</v>
      </c>
      <c r="M297" s="3">
        <f t="shared" si="279"/>
        <v>3.2671489546228042E-7</v>
      </c>
      <c r="N297" s="3">
        <f t="shared" si="279"/>
        <v>1.856763306432789E-51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2.7296069606850951E-2</v>
      </c>
      <c r="C298" s="3">
        <f t="shared" si="280"/>
        <v>2.7296069604342357E-2</v>
      </c>
      <c r="D298" s="3">
        <f t="shared" si="280"/>
        <v>2.7296069579256402E-2</v>
      </c>
      <c r="E298" s="3">
        <f t="shared" si="280"/>
        <v>2.7296069328396851E-2</v>
      </c>
      <c r="F298" s="3">
        <f t="shared" si="280"/>
        <v>2.7296066819801464E-2</v>
      </c>
      <c r="G298" s="3">
        <f t="shared" si="280"/>
        <v>2.7296041733860261E-2</v>
      </c>
      <c r="H298" s="3">
        <f t="shared" si="280"/>
        <v>2.7295790875716257E-2</v>
      </c>
      <c r="I298" s="3">
        <f t="shared" si="280"/>
        <v>2.7293282421072772E-2</v>
      </c>
      <c r="J298" s="3">
        <f t="shared" si="280"/>
        <v>2.7268210549982824E-2</v>
      </c>
      <c r="K298" s="3">
        <f t="shared" si="280"/>
        <v>2.7018755073999919E-2</v>
      </c>
      <c r="L298" s="3">
        <f t="shared" si="280"/>
        <v>2.4646331842256296E-2</v>
      </c>
      <c r="M298" s="3">
        <f t="shared" si="280"/>
        <v>9.8315470789085303E-3</v>
      </c>
      <c r="N298" s="3">
        <f t="shared" si="280"/>
        <v>1.0030384450488837E-6</v>
      </c>
      <c r="O298" s="3">
        <f t="shared" si="280"/>
        <v>1.2253911503526581E-46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2.9627620760396337E-2</v>
      </c>
      <c r="C299" s="3">
        <f t="shared" si="281"/>
        <v>2.962762076015071E-2</v>
      </c>
      <c r="D299" s="3">
        <f t="shared" si="281"/>
        <v>2.9627620757694453E-2</v>
      </c>
      <c r="E299" s="3">
        <f t="shared" si="281"/>
        <v>2.9627620733131875E-2</v>
      </c>
      <c r="F299" s="3">
        <f t="shared" si="281"/>
        <v>2.9627620487506126E-2</v>
      </c>
      <c r="G299" s="3">
        <f t="shared" si="281"/>
        <v>2.9627618031248748E-2</v>
      </c>
      <c r="H299" s="3">
        <f t="shared" si="281"/>
        <v>2.9627593468686132E-2</v>
      </c>
      <c r="I299" s="3">
        <f t="shared" si="281"/>
        <v>2.9627347844179992E-2</v>
      </c>
      <c r="J299" s="3">
        <f t="shared" si="281"/>
        <v>2.9624891711113613E-2</v>
      </c>
      <c r="K299" s="3">
        <f t="shared" si="281"/>
        <v>2.9600341576522072E-2</v>
      </c>
      <c r="L299" s="3">
        <f t="shared" si="281"/>
        <v>2.9355956411081924E-2</v>
      </c>
      <c r="M299" s="3">
        <f t="shared" si="281"/>
        <v>2.7020373571257746E-2</v>
      </c>
      <c r="N299" s="3">
        <f t="shared" si="281"/>
        <v>1.1793494211403783E-2</v>
      </c>
      <c r="O299" s="3">
        <f t="shared" si="281"/>
        <v>2.959061486949427E-6</v>
      </c>
      <c r="P299" s="3">
        <f t="shared" si="281"/>
        <v>2.9259634910261645E-42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2.5090471751419555E-2</v>
      </c>
      <c r="C300" s="3">
        <f t="shared" si="282"/>
        <v>2.5090471751400788E-2</v>
      </c>
      <c r="D300" s="3">
        <f t="shared" si="282"/>
        <v>2.509047175121315E-2</v>
      </c>
      <c r="E300" s="3">
        <f t="shared" si="282"/>
        <v>2.5090471749336717E-2</v>
      </c>
      <c r="F300" s="3">
        <f t="shared" si="282"/>
        <v>2.5090471730572408E-2</v>
      </c>
      <c r="G300" s="3">
        <f t="shared" si="282"/>
        <v>2.5090471542929337E-2</v>
      </c>
      <c r="H300" s="3">
        <f t="shared" si="282"/>
        <v>2.5090469666498697E-2</v>
      </c>
      <c r="I300" s="3">
        <f t="shared" si="282"/>
        <v>2.5090450902200013E-2</v>
      </c>
      <c r="J300" s="3">
        <f t="shared" si="282"/>
        <v>2.5090263259984986E-2</v>
      </c>
      <c r="K300" s="3">
        <f t="shared" si="282"/>
        <v>2.5088386915014874E-2</v>
      </c>
      <c r="L300" s="3">
        <f t="shared" si="282"/>
        <v>2.506963118119284E-2</v>
      </c>
      <c r="M300" s="3">
        <f t="shared" si="282"/>
        <v>2.4882843300085125E-2</v>
      </c>
      <c r="N300" s="3">
        <f t="shared" si="282"/>
        <v>2.3089822956243049E-2</v>
      </c>
      <c r="O300" s="3">
        <f t="shared" si="282"/>
        <v>1.0930161683664319E-2</v>
      </c>
      <c r="P300" s="3">
        <f t="shared" si="282"/>
        <v>6.175703252927548E-6</v>
      </c>
      <c r="Q300" s="3">
        <f t="shared" si="282"/>
        <v>2.0477868677344923E-38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2.9857729564102809E-2</v>
      </c>
      <c r="C301" s="3">
        <f t="shared" si="283"/>
        <v>2.9857729564100797E-2</v>
      </c>
      <c r="D301" s="3">
        <f t="shared" si="283"/>
        <v>2.9857729564080653E-2</v>
      </c>
      <c r="E301" s="3">
        <f t="shared" si="283"/>
        <v>2.9857729563879221E-2</v>
      </c>
      <c r="F301" s="3">
        <f t="shared" si="283"/>
        <v>2.9857729561864908E-2</v>
      </c>
      <c r="G301" s="3">
        <f t="shared" si="283"/>
        <v>2.9857729541721771E-2</v>
      </c>
      <c r="H301" s="3">
        <f t="shared" si="283"/>
        <v>2.9857729340290417E-2</v>
      </c>
      <c r="I301" s="3">
        <f t="shared" si="283"/>
        <v>2.9857727325976923E-2</v>
      </c>
      <c r="J301" s="3">
        <f t="shared" si="283"/>
        <v>2.9857707182849465E-2</v>
      </c>
      <c r="K301" s="3">
        <f t="shared" si="283"/>
        <v>2.9857505752322301E-2</v>
      </c>
      <c r="L301" s="3">
        <f t="shared" si="283"/>
        <v>2.9855491521789811E-2</v>
      </c>
      <c r="M301" s="3">
        <f t="shared" si="283"/>
        <v>2.9835356688512359E-2</v>
      </c>
      <c r="N301" s="3">
        <f t="shared" si="283"/>
        <v>2.9634753698706544E-2</v>
      </c>
      <c r="O301" s="3">
        <f t="shared" si="283"/>
        <v>2.7701430701442507E-2</v>
      </c>
      <c r="P301" s="3">
        <f t="shared" si="283"/>
        <v>1.4109478966077631E-2</v>
      </c>
      <c r="Q301" s="3">
        <f t="shared" si="283"/>
        <v>1.6580542783224973E-5</v>
      </c>
      <c r="R301" s="3">
        <f t="shared" si="283"/>
        <v>8.3267670472661135E-35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3.2231679526116046E-2</v>
      </c>
      <c r="C302" s="3">
        <f t="shared" si="284"/>
        <v>3.2231679526115851E-2</v>
      </c>
      <c r="D302" s="3">
        <f t="shared" si="284"/>
        <v>3.2231679526113888E-2</v>
      </c>
      <c r="E302" s="3">
        <f t="shared" si="284"/>
        <v>3.2231679526094272E-2</v>
      </c>
      <c r="F302" s="3">
        <f t="shared" si="284"/>
        <v>3.2231679525898116E-2</v>
      </c>
      <c r="G302" s="3">
        <f t="shared" si="284"/>
        <v>3.223167952393656E-2</v>
      </c>
      <c r="H302" s="3">
        <f t="shared" si="284"/>
        <v>3.2231679504321042E-2</v>
      </c>
      <c r="I302" s="3">
        <f t="shared" si="284"/>
        <v>3.2231679308165846E-2</v>
      </c>
      <c r="J302" s="3">
        <f t="shared" si="284"/>
        <v>3.2231677346613911E-2</v>
      </c>
      <c r="K302" s="3">
        <f t="shared" si="284"/>
        <v>3.2231657731101142E-2</v>
      </c>
      <c r="L302" s="3">
        <f t="shared" si="284"/>
        <v>3.2231461576630059E-2</v>
      </c>
      <c r="M302" s="3">
        <f t="shared" si="284"/>
        <v>3.2229500097574318E-2</v>
      </c>
      <c r="N302" s="3">
        <f t="shared" si="284"/>
        <v>3.2209891871049855E-2</v>
      </c>
      <c r="O302" s="3">
        <f t="shared" si="284"/>
        <v>3.201446453345537E-2</v>
      </c>
      <c r="P302" s="3">
        <f t="shared" si="284"/>
        <v>3.0124232893638501E-2</v>
      </c>
      <c r="Q302" s="3">
        <f t="shared" si="284"/>
        <v>1.6391305268884233E-2</v>
      </c>
      <c r="R302" s="3">
        <f t="shared" si="284"/>
        <v>3.728970600155295E-5</v>
      </c>
      <c r="S302" s="3">
        <f t="shared" si="284"/>
        <v>1.3846600641585253E-31</v>
      </c>
      <c r="T302" s="3">
        <f t="shared" si="284"/>
        <v>6.9005743523677678E-296</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5.4486023207095335E-2</v>
      </c>
      <c r="C303" s="3">
        <f t="shared" si="285"/>
        <v>5.4486023207095315E-2</v>
      </c>
      <c r="D303" s="3">
        <f t="shared" si="285"/>
        <v>5.4486023207095009E-2</v>
      </c>
      <c r="E303" s="3">
        <f t="shared" si="285"/>
        <v>5.4486023207092019E-2</v>
      </c>
      <c r="F303" s="3">
        <f t="shared" si="285"/>
        <v>5.4486023207062105E-2</v>
      </c>
      <c r="G303" s="3">
        <f t="shared" si="285"/>
        <v>5.4486023206762983E-2</v>
      </c>
      <c r="H303" s="3">
        <f t="shared" si="285"/>
        <v>5.4486023203771765E-2</v>
      </c>
      <c r="I303" s="3">
        <f t="shared" si="285"/>
        <v>5.4486023173859546E-2</v>
      </c>
      <c r="J303" s="3">
        <f t="shared" si="285"/>
        <v>5.4486022874737382E-2</v>
      </c>
      <c r="K303" s="3">
        <f t="shared" si="285"/>
        <v>5.4486019883515854E-2</v>
      </c>
      <c r="L303" s="3">
        <f t="shared" si="285"/>
        <v>5.4485989971309587E-2</v>
      </c>
      <c r="M303" s="3">
        <f t="shared" si="285"/>
        <v>5.448569085015012E-2</v>
      </c>
      <c r="N303" s="3">
        <f t="shared" si="285"/>
        <v>5.4482699728871473E-2</v>
      </c>
      <c r="O303" s="3">
        <f t="shared" si="285"/>
        <v>5.4452797545856288E-2</v>
      </c>
      <c r="P303" s="3">
        <f t="shared" si="285"/>
        <v>5.4154676861341768E-2</v>
      </c>
      <c r="Q303" s="3">
        <f t="shared" si="285"/>
        <v>5.1261780689201578E-2</v>
      </c>
      <c r="R303" s="3">
        <f t="shared" si="285"/>
        <v>2.9605396601338416E-2</v>
      </c>
      <c r="S303" s="3">
        <f t="shared" si="285"/>
        <v>1.2222015619665032E-4</v>
      </c>
      <c r="T303" s="3">
        <f t="shared" si="285"/>
        <v>1.7573665056776185E-28</v>
      </c>
      <c r="U303" s="3">
        <f t="shared" si="285"/>
        <v>6.6383087579859442E-267</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6.3038463709295806E-2</v>
      </c>
      <c r="C304" s="3">
        <f t="shared" si="286"/>
        <v>6.3038463709295806E-2</v>
      </c>
      <c r="D304" s="3">
        <f t="shared" si="286"/>
        <v>6.3038463709295764E-2</v>
      </c>
      <c r="E304" s="3">
        <f t="shared" si="286"/>
        <v>6.3038463709295459E-2</v>
      </c>
      <c r="F304" s="3">
        <f t="shared" si="286"/>
        <v>6.3038463709292336E-2</v>
      </c>
      <c r="G304" s="3">
        <f t="shared" si="286"/>
        <v>6.3038463709261125E-2</v>
      </c>
      <c r="H304" s="3">
        <f t="shared" si="286"/>
        <v>6.303846370894893E-2</v>
      </c>
      <c r="I304" s="3">
        <f t="shared" si="286"/>
        <v>6.3038463705827052E-2</v>
      </c>
      <c r="J304" s="3">
        <f t="shared" si="286"/>
        <v>6.3038463674608289E-2</v>
      </c>
      <c r="K304" s="3">
        <f t="shared" si="286"/>
        <v>6.3038463362420666E-2</v>
      </c>
      <c r="L304" s="3">
        <f t="shared" si="286"/>
        <v>6.3038460240544436E-2</v>
      </c>
      <c r="M304" s="3">
        <f t="shared" si="286"/>
        <v>6.3038429021790715E-2</v>
      </c>
      <c r="N304" s="3">
        <f t="shared" si="286"/>
        <v>6.303811683510388E-2</v>
      </c>
      <c r="O304" s="3">
        <f t="shared" si="286"/>
        <v>6.3034995053266873E-2</v>
      </c>
      <c r="P304" s="3">
        <f t="shared" si="286"/>
        <v>6.3003785736484477E-2</v>
      </c>
      <c r="Q304" s="3">
        <f t="shared" si="286"/>
        <v>6.2692541171688626E-2</v>
      </c>
      <c r="R304" s="3">
        <f t="shared" si="286"/>
        <v>5.9663421259989996E-2</v>
      </c>
      <c r="S304" s="3">
        <f t="shared" si="286"/>
        <v>3.6360592246910815E-2</v>
      </c>
      <c r="T304" s="3">
        <f t="shared" si="286"/>
        <v>2.5695608081115662E-4</v>
      </c>
      <c r="U304" s="3">
        <f t="shared" si="286"/>
        <v>7.9824905173185305E-26</v>
      </c>
      <c r="V304" s="3">
        <f t="shared" si="286"/>
        <v>6.6824163036370683E-241</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6.2855042147651141E-2</v>
      </c>
      <c r="C305" s="3">
        <f t="shared" si="287"/>
        <v>6.2855042147651141E-2</v>
      </c>
      <c r="D305" s="3">
        <f t="shared" si="287"/>
        <v>6.2855042147651141E-2</v>
      </c>
      <c r="E305" s="3">
        <f t="shared" si="287"/>
        <v>6.2855042147651113E-2</v>
      </c>
      <c r="F305" s="3">
        <f t="shared" si="287"/>
        <v>6.2855042147650822E-2</v>
      </c>
      <c r="G305" s="3">
        <f t="shared" si="287"/>
        <v>6.2855042147648019E-2</v>
      </c>
      <c r="H305" s="3">
        <f t="shared" si="287"/>
        <v>6.2855042147619944E-2</v>
      </c>
      <c r="I305" s="3">
        <f t="shared" si="287"/>
        <v>6.2855042147339141E-2</v>
      </c>
      <c r="J305" s="3">
        <f t="shared" si="287"/>
        <v>6.2855042144531151E-2</v>
      </c>
      <c r="K305" s="3">
        <f t="shared" si="287"/>
        <v>6.2855042116451168E-2</v>
      </c>
      <c r="L305" s="3">
        <f t="shared" si="287"/>
        <v>6.2855041835651368E-2</v>
      </c>
      <c r="M305" s="3">
        <f t="shared" si="287"/>
        <v>6.2855039027653506E-2</v>
      </c>
      <c r="N305" s="3">
        <f t="shared" si="287"/>
        <v>6.2855010947681728E-2</v>
      </c>
      <c r="O305" s="3">
        <f t="shared" si="287"/>
        <v>6.2854730148654003E-2</v>
      </c>
      <c r="P305" s="3">
        <f t="shared" si="287"/>
        <v>6.2851922227370183E-2</v>
      </c>
      <c r="Q305" s="3">
        <f t="shared" si="287"/>
        <v>6.2823849912741439E-2</v>
      </c>
      <c r="R305" s="3">
        <f t="shared" si="287"/>
        <v>6.254381544852676E-2</v>
      </c>
      <c r="S305" s="3">
        <f t="shared" si="287"/>
        <v>5.9811214135067854E-2</v>
      </c>
      <c r="T305" s="3">
        <f t="shared" si="287"/>
        <v>3.8261772660676201E-2</v>
      </c>
      <c r="U305" s="3">
        <f t="shared" si="287"/>
        <v>4.3912662699296197E-4</v>
      </c>
      <c r="V305" s="3">
        <f t="shared" si="287"/>
        <v>1.741151740987937E-23</v>
      </c>
      <c r="W305" s="3">
        <f t="shared" si="287"/>
        <v>1.6722650640931997E-217</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5.5175900384027046E-2</v>
      </c>
      <c r="C306" s="3">
        <f t="shared" si="288"/>
        <v>5.5175900384027046E-2</v>
      </c>
      <c r="D306" s="3">
        <f t="shared" si="288"/>
        <v>5.5175900384027046E-2</v>
      </c>
      <c r="E306" s="3">
        <f t="shared" si="288"/>
        <v>5.5175900384027046E-2</v>
      </c>
      <c r="F306" s="3">
        <f t="shared" si="288"/>
        <v>5.5175900384027018E-2</v>
      </c>
      <c r="G306" s="3">
        <f t="shared" si="288"/>
        <v>5.5175900384026803E-2</v>
      </c>
      <c r="H306" s="3">
        <f t="shared" si="288"/>
        <v>5.5175900384024576E-2</v>
      </c>
      <c r="I306" s="3">
        <f t="shared" si="288"/>
        <v>5.5175900384002344E-2</v>
      </c>
      <c r="J306" s="3">
        <f t="shared" si="288"/>
        <v>5.517590038377998E-2</v>
      </c>
      <c r="K306" s="3">
        <f t="shared" si="288"/>
        <v>5.5175900381556398E-2</v>
      </c>
      <c r="L306" s="3">
        <f t="shared" si="288"/>
        <v>5.5175900359320608E-2</v>
      </c>
      <c r="M306" s="3">
        <f t="shared" si="288"/>
        <v>5.517590013696265E-2</v>
      </c>
      <c r="N306" s="3">
        <f t="shared" si="288"/>
        <v>5.5175897913383086E-2</v>
      </c>
      <c r="O306" s="3">
        <f t="shared" si="288"/>
        <v>5.5175875677592454E-2</v>
      </c>
      <c r="P306" s="3">
        <f t="shared" si="288"/>
        <v>5.5175653320178909E-2</v>
      </c>
      <c r="Q306" s="3">
        <f t="shared" si="288"/>
        <v>5.5173429795328105E-2</v>
      </c>
      <c r="R306" s="3">
        <f t="shared" si="288"/>
        <v>5.5151199474547524E-2</v>
      </c>
      <c r="S306" s="3">
        <f t="shared" si="288"/>
        <v>5.4929388305504777E-2</v>
      </c>
      <c r="T306" s="3">
        <f t="shared" si="288"/>
        <v>5.2759754657012034E-2</v>
      </c>
      <c r="U306" s="3">
        <f t="shared" si="288"/>
        <v>3.5260041020200056E-2</v>
      </c>
      <c r="V306" s="3">
        <f t="shared" si="288"/>
        <v>6.2673402367127143E-4</v>
      </c>
      <c r="W306" s="3">
        <f t="shared" si="288"/>
        <v>1.9728218072804134E-21</v>
      </c>
      <c r="X306" s="3">
        <f t="shared" si="288"/>
        <v>1.8842292399102596E-196</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6.6863486871893904E-2</v>
      </c>
      <c r="C307" s="3">
        <f t="shared" si="289"/>
        <v>6.6863486871893904E-2</v>
      </c>
      <c r="D307" s="3">
        <f t="shared" si="289"/>
        <v>6.6863486871893904E-2</v>
      </c>
      <c r="E307" s="3">
        <f t="shared" si="289"/>
        <v>6.6863486871893904E-2</v>
      </c>
      <c r="F307" s="3">
        <f t="shared" si="289"/>
        <v>6.6863486871893904E-2</v>
      </c>
      <c r="G307" s="3">
        <f t="shared" si="289"/>
        <v>6.6863486871893876E-2</v>
      </c>
      <c r="H307" s="3">
        <f t="shared" si="289"/>
        <v>6.686348687189364E-2</v>
      </c>
      <c r="I307" s="3">
        <f t="shared" si="289"/>
        <v>6.6863486871891198E-2</v>
      </c>
      <c r="J307" s="3">
        <f t="shared" si="289"/>
        <v>6.6863486871866898E-2</v>
      </c>
      <c r="K307" s="3">
        <f t="shared" si="289"/>
        <v>6.6863486871623815E-2</v>
      </c>
      <c r="L307" s="3">
        <f t="shared" si="289"/>
        <v>6.6863486869193078E-2</v>
      </c>
      <c r="M307" s="3">
        <f t="shared" si="289"/>
        <v>6.6863486844885661E-2</v>
      </c>
      <c r="N307" s="3">
        <f t="shared" si="289"/>
        <v>6.6863486601811462E-2</v>
      </c>
      <c r="O307" s="3">
        <f t="shared" si="289"/>
        <v>6.6863484171069507E-2</v>
      </c>
      <c r="P307" s="3">
        <f t="shared" si="289"/>
        <v>6.6863459863654842E-2</v>
      </c>
      <c r="Q307" s="3">
        <f t="shared" si="289"/>
        <v>6.6863216789994226E-2</v>
      </c>
      <c r="R307" s="3">
        <f t="shared" si="289"/>
        <v>6.6860786101989089E-2</v>
      </c>
      <c r="S307" s="3">
        <f t="shared" si="289"/>
        <v>6.6836484081380723E-2</v>
      </c>
      <c r="T307" s="3">
        <f t="shared" si="289"/>
        <v>6.65939491665965E-2</v>
      </c>
      <c r="U307" s="3">
        <f t="shared" si="289"/>
        <v>6.4216482686797471E-2</v>
      </c>
      <c r="V307" s="3">
        <f t="shared" si="289"/>
        <v>4.464408799839667E-2</v>
      </c>
      <c r="W307" s="3">
        <f t="shared" si="289"/>
        <v>1.1774388645054547E-3</v>
      </c>
      <c r="X307" s="3">
        <f t="shared" si="289"/>
        <v>1.9172664792373006E-19</v>
      </c>
      <c r="Y307" s="3">
        <f t="shared" si="289"/>
        <v>2.5126014417951078E-177</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2.4965740314193043E-2</v>
      </c>
      <c r="C308" s="3">
        <f t="shared" si="290"/>
        <v>2.4965740314193043E-2</v>
      </c>
      <c r="D308" s="3">
        <f t="shared" si="290"/>
        <v>2.4965740314193043E-2</v>
      </c>
      <c r="E308" s="3">
        <f t="shared" si="290"/>
        <v>2.4965740314193043E-2</v>
      </c>
      <c r="F308" s="3">
        <f t="shared" si="290"/>
        <v>2.4965740314193043E-2</v>
      </c>
      <c r="G308" s="3">
        <f t="shared" si="290"/>
        <v>2.4965740314193043E-2</v>
      </c>
      <c r="H308" s="3">
        <f t="shared" si="290"/>
        <v>2.4965740314193036E-2</v>
      </c>
      <c r="I308" s="3">
        <f t="shared" si="290"/>
        <v>2.4965740314192953E-2</v>
      </c>
      <c r="J308" s="3">
        <f t="shared" si="290"/>
        <v>2.4965740314192134E-2</v>
      </c>
      <c r="K308" s="3">
        <f t="shared" si="290"/>
        <v>2.4965740314183946E-2</v>
      </c>
      <c r="L308" s="3">
        <f t="shared" si="290"/>
        <v>2.4965740314102074E-2</v>
      </c>
      <c r="M308" s="3">
        <f t="shared" si="290"/>
        <v>2.4965740313283344E-2</v>
      </c>
      <c r="N308" s="3">
        <f t="shared" si="290"/>
        <v>2.4965740305096039E-2</v>
      </c>
      <c r="O308" s="3">
        <f t="shared" si="290"/>
        <v>2.4965740223223006E-2</v>
      </c>
      <c r="P308" s="3">
        <f t="shared" si="290"/>
        <v>2.4965739404492683E-2</v>
      </c>
      <c r="Q308" s="3">
        <f t="shared" si="290"/>
        <v>2.4965731217190913E-2</v>
      </c>
      <c r="R308" s="3">
        <f t="shared" si="290"/>
        <v>2.4965649344320894E-2</v>
      </c>
      <c r="S308" s="3">
        <f t="shared" si="290"/>
        <v>2.4964830630387784E-2</v>
      </c>
      <c r="T308" s="3">
        <f t="shared" si="290"/>
        <v>2.4956644967583912E-2</v>
      </c>
      <c r="U308" s="3">
        <f t="shared" si="290"/>
        <v>2.4874935813265789E-2</v>
      </c>
      <c r="V308" s="3">
        <f t="shared" si="290"/>
        <v>2.4072414258762841E-2</v>
      </c>
      <c r="W308" s="3">
        <f t="shared" si="290"/>
        <v>1.734189074605454E-2</v>
      </c>
      <c r="X308" s="3">
        <f t="shared" si="290"/>
        <v>6.5292668597285812E-4</v>
      </c>
      <c r="Y308" s="3">
        <f t="shared" si="290"/>
        <v>3.7371811728683068E-18</v>
      </c>
      <c r="Z308" s="3">
        <f t="shared" si="290"/>
        <v>1.4103973513971416E-160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4.9847103888797747E-2</v>
      </c>
      <c r="C309" s="3">
        <f t="shared" si="291"/>
        <v>4.9847103888797747E-2</v>
      </c>
      <c r="D309" s="3">
        <f t="shared" si="291"/>
        <v>4.9847103888797747E-2</v>
      </c>
      <c r="E309" s="3">
        <f t="shared" si="291"/>
        <v>4.9847103888797747E-2</v>
      </c>
      <c r="F309" s="3">
        <f t="shared" si="291"/>
        <v>4.9847103888797747E-2</v>
      </c>
      <c r="G309" s="3">
        <f t="shared" si="291"/>
        <v>4.9847103888797747E-2</v>
      </c>
      <c r="H309" s="3">
        <f t="shared" si="291"/>
        <v>4.9847103888797741E-2</v>
      </c>
      <c r="I309" s="3">
        <f t="shared" si="291"/>
        <v>4.9847103888797699E-2</v>
      </c>
      <c r="J309" s="3">
        <f t="shared" si="291"/>
        <v>4.9847103888797241E-2</v>
      </c>
      <c r="K309" s="3">
        <f t="shared" si="291"/>
        <v>4.9847103888792724E-2</v>
      </c>
      <c r="L309" s="3">
        <f t="shared" si="291"/>
        <v>4.9847103888747517E-2</v>
      </c>
      <c r="M309" s="3">
        <f t="shared" si="291"/>
        <v>4.9847103888295399E-2</v>
      </c>
      <c r="N309" s="3">
        <f t="shared" si="291"/>
        <v>4.9847103883774245E-2</v>
      </c>
      <c r="O309" s="3">
        <f t="shared" si="291"/>
        <v>4.9847103838562716E-2</v>
      </c>
      <c r="P309" s="3">
        <f t="shared" si="291"/>
        <v>4.9847103386447392E-2</v>
      </c>
      <c r="Q309" s="3">
        <f t="shared" si="291"/>
        <v>4.9847098865294384E-2</v>
      </c>
      <c r="R309" s="3">
        <f t="shared" si="291"/>
        <v>4.9847053653786867E-2</v>
      </c>
      <c r="S309" s="3">
        <f t="shared" si="291"/>
        <v>4.9846601540967136E-2</v>
      </c>
      <c r="T309" s="3">
        <f t="shared" si="291"/>
        <v>4.9842080638300174E-2</v>
      </c>
      <c r="U309" s="3">
        <f t="shared" si="291"/>
        <v>4.9796894157100251E-2</v>
      </c>
      <c r="V309" s="3">
        <f t="shared" si="291"/>
        <v>4.9347276344324995E-2</v>
      </c>
      <c r="W309" s="3">
        <f t="shared" si="291"/>
        <v>4.5068436868379726E-2</v>
      </c>
      <c r="X309" s="3">
        <f t="shared" si="291"/>
        <v>1.81955662919417E-2</v>
      </c>
      <c r="Y309" s="3">
        <f t="shared" si="291"/>
        <v>2.09361290417279E-6</v>
      </c>
      <c r="Z309" s="3">
        <f t="shared" si="291"/>
        <v>8.5153888836712252E-46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2.7617180594802851E-2</v>
      </c>
      <c r="C310" s="3">
        <f t="shared" si="292"/>
        <v>2.7617180594802851E-2</v>
      </c>
      <c r="D310" s="3">
        <f t="shared" si="292"/>
        <v>2.7617180594802851E-2</v>
      </c>
      <c r="E310" s="3">
        <f t="shared" si="292"/>
        <v>2.7617180594802851E-2</v>
      </c>
      <c r="F310" s="3">
        <f t="shared" si="292"/>
        <v>2.7617180594802851E-2</v>
      </c>
      <c r="G310" s="3">
        <f t="shared" si="292"/>
        <v>2.7617180594802851E-2</v>
      </c>
      <c r="H310" s="3">
        <f t="shared" si="292"/>
        <v>2.7617180594802851E-2</v>
      </c>
      <c r="I310" s="3">
        <f t="shared" si="292"/>
        <v>2.7617180594802847E-2</v>
      </c>
      <c r="J310" s="3">
        <f t="shared" si="292"/>
        <v>2.7617180594802823E-2</v>
      </c>
      <c r="K310" s="3">
        <f t="shared" si="292"/>
        <v>2.7617180594802573E-2</v>
      </c>
      <c r="L310" s="3">
        <f t="shared" si="292"/>
        <v>2.7617180594800068E-2</v>
      </c>
      <c r="M310" s="3">
        <f t="shared" si="292"/>
        <v>2.7617180594775019E-2</v>
      </c>
      <c r="N310" s="3">
        <f t="shared" si="292"/>
        <v>2.7617180594524528E-2</v>
      </c>
      <c r="O310" s="3">
        <f t="shared" si="292"/>
        <v>2.761718059201964E-2</v>
      </c>
      <c r="P310" s="3">
        <f t="shared" si="292"/>
        <v>2.7617180566970743E-2</v>
      </c>
      <c r="Q310" s="3">
        <f t="shared" si="292"/>
        <v>2.7617180316481756E-2</v>
      </c>
      <c r="R310" s="3">
        <f t="shared" si="292"/>
        <v>2.7617177811592016E-2</v>
      </c>
      <c r="S310" s="3">
        <f t="shared" si="292"/>
        <v>2.7617152762707115E-2</v>
      </c>
      <c r="T310" s="3">
        <f t="shared" si="292"/>
        <v>2.7616902275107682E-2</v>
      </c>
      <c r="U310" s="3">
        <f t="shared" si="292"/>
        <v>2.7614397524065706E-2</v>
      </c>
      <c r="V310" s="3">
        <f t="shared" si="292"/>
        <v>2.7589362504688734E-2</v>
      </c>
      <c r="W310" s="3">
        <f t="shared" si="292"/>
        <v>2.7340257233462634E-2</v>
      </c>
      <c r="X310" s="3">
        <f t="shared" si="292"/>
        <v>2.496961835327869E-2</v>
      </c>
      <c r="Y310" s="3">
        <f t="shared" si="292"/>
        <v>1.008103181742102E-2</v>
      </c>
      <c r="Z310" s="3">
        <f t="shared" si="292"/>
        <v>1.1599407219151114E-6</v>
      </c>
      <c r="AA310" s="3">
        <f t="shared" si="292"/>
        <v>4.7178474633142201E-46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1.9414083287208013E-2</v>
      </c>
      <c r="C311" s="3">
        <f t="shared" si="293"/>
        <v>1.9414083287208013E-2</v>
      </c>
      <c r="D311" s="3">
        <f t="shared" si="293"/>
        <v>1.9414083287208013E-2</v>
      </c>
      <c r="E311" s="3">
        <f t="shared" si="293"/>
        <v>1.9414083287208013E-2</v>
      </c>
      <c r="F311" s="3">
        <f t="shared" si="293"/>
        <v>1.9414083287208013E-2</v>
      </c>
      <c r="G311" s="3">
        <f t="shared" si="293"/>
        <v>1.9414083287208013E-2</v>
      </c>
      <c r="H311" s="3">
        <f t="shared" si="293"/>
        <v>1.9414083287208013E-2</v>
      </c>
      <c r="I311" s="3">
        <f t="shared" si="293"/>
        <v>1.9414083287208013E-2</v>
      </c>
      <c r="J311" s="3">
        <f t="shared" si="293"/>
        <v>1.9414083287208009E-2</v>
      </c>
      <c r="K311" s="3">
        <f t="shared" si="293"/>
        <v>1.9414083287207992E-2</v>
      </c>
      <c r="L311" s="3">
        <f t="shared" si="293"/>
        <v>1.9414083287207815E-2</v>
      </c>
      <c r="M311" s="3">
        <f t="shared" si="293"/>
        <v>1.9414083287206056E-2</v>
      </c>
      <c r="N311" s="3">
        <f t="shared" si="293"/>
        <v>1.9414083287188449E-2</v>
      </c>
      <c r="O311" s="3">
        <f t="shared" si="293"/>
        <v>1.941408328701236E-2</v>
      </c>
      <c r="P311" s="3">
        <f t="shared" si="293"/>
        <v>1.9414083285251495E-2</v>
      </c>
      <c r="Q311" s="3">
        <f t="shared" si="293"/>
        <v>1.9414083267642841E-2</v>
      </c>
      <c r="R311" s="3">
        <f t="shared" si="293"/>
        <v>1.9414083091556292E-2</v>
      </c>
      <c r="S311" s="3">
        <f t="shared" si="293"/>
        <v>1.9414081330690881E-2</v>
      </c>
      <c r="T311" s="3">
        <f t="shared" si="293"/>
        <v>1.9414063722045564E-2</v>
      </c>
      <c r="U311" s="3">
        <f t="shared" si="293"/>
        <v>1.9413887636470822E-2</v>
      </c>
      <c r="V311" s="3">
        <f t="shared" si="293"/>
        <v>1.9412126868561305E-2</v>
      </c>
      <c r="W311" s="3">
        <f t="shared" si="293"/>
        <v>1.9394527970309799E-2</v>
      </c>
      <c r="X311" s="3">
        <f t="shared" si="293"/>
        <v>1.9219414132520866E-2</v>
      </c>
      <c r="Y311" s="3">
        <f t="shared" si="293"/>
        <v>1.7552923213732231E-2</v>
      </c>
      <c r="Z311" s="3">
        <f t="shared" si="293"/>
        <v>7.0866752908599279E-3</v>
      </c>
      <c r="AA311" s="3">
        <f t="shared" si="293"/>
        <v>8.15404950776255E-7</v>
      </c>
      <c r="AB311" s="3">
        <f t="shared" si="293"/>
        <v>3.3165110129439399E-46</v>
      </c>
      <c r="AC311" s="3">
        <f t="shared" si="293"/>
        <v>0</v>
      </c>
      <c r="AD311" s="3">
        <f t="shared" si="293"/>
        <v>0</v>
      </c>
      <c r="AE311" s="3">
        <f t="shared" si="293"/>
        <v>0</v>
      </c>
      <c r="AF311" s="3">
        <f t="shared" si="293"/>
        <v>0</v>
      </c>
      <c r="AG311" s="3"/>
      <c r="AH311" s="3"/>
    </row>
    <row r="312" spans="1:34" x14ac:dyDescent="0.25">
      <c r="B312" s="3">
        <f t="shared" ref="B312:AF312" si="294">$C42*EXP(-B$285/$A42/EXP(-$F$126))</f>
        <v>7.1410981840430545E-3</v>
      </c>
      <c r="C312" s="3">
        <f t="shared" si="294"/>
        <v>7.1410981840430545E-3</v>
      </c>
      <c r="D312" s="3">
        <f t="shared" si="294"/>
        <v>7.1410981840430545E-3</v>
      </c>
      <c r="E312" s="3">
        <f t="shared" si="294"/>
        <v>7.1410981840430545E-3</v>
      </c>
      <c r="F312" s="3">
        <f t="shared" si="294"/>
        <v>7.1410981840430545E-3</v>
      </c>
      <c r="G312" s="3">
        <f t="shared" si="294"/>
        <v>7.1410981840430545E-3</v>
      </c>
      <c r="H312" s="3">
        <f t="shared" si="294"/>
        <v>7.1410981840430545E-3</v>
      </c>
      <c r="I312" s="3">
        <f t="shared" si="294"/>
        <v>7.1410981840430545E-3</v>
      </c>
      <c r="J312" s="3">
        <f t="shared" si="294"/>
        <v>7.1410981840430545E-3</v>
      </c>
      <c r="K312" s="3">
        <f t="shared" si="294"/>
        <v>7.1410981840430536E-3</v>
      </c>
      <c r="L312" s="3">
        <f t="shared" si="294"/>
        <v>7.1410981840430475E-3</v>
      </c>
      <c r="M312" s="3">
        <f t="shared" si="294"/>
        <v>7.1410981840429825E-3</v>
      </c>
      <c r="N312" s="3">
        <f t="shared" si="294"/>
        <v>7.1410981840423346E-3</v>
      </c>
      <c r="O312" s="3">
        <f t="shared" si="294"/>
        <v>7.141098184035858E-3</v>
      </c>
      <c r="P312" s="3">
        <f t="shared" si="294"/>
        <v>7.1410981839710877E-3</v>
      </c>
      <c r="Q312" s="3">
        <f t="shared" si="294"/>
        <v>7.1410981833233871E-3</v>
      </c>
      <c r="R312" s="3">
        <f t="shared" si="294"/>
        <v>7.1410981768463815E-3</v>
      </c>
      <c r="S312" s="3">
        <f t="shared" si="294"/>
        <v>7.1410981120763216E-3</v>
      </c>
      <c r="T312" s="3">
        <f t="shared" si="294"/>
        <v>7.141097464375753E-3</v>
      </c>
      <c r="U312" s="3">
        <f t="shared" si="294"/>
        <v>7.1410909873732987E-3</v>
      </c>
      <c r="V312" s="3">
        <f t="shared" si="294"/>
        <v>7.1410262176718701E-3</v>
      </c>
      <c r="W312" s="3">
        <f t="shared" si="294"/>
        <v>7.1403785529670699E-3</v>
      </c>
      <c r="X312" s="3">
        <f t="shared" si="294"/>
        <v>7.1339051357839989E-3</v>
      </c>
      <c r="Y312" s="3">
        <f t="shared" si="294"/>
        <v>7.0694928691559201E-3</v>
      </c>
      <c r="Z312" s="3">
        <f t="shared" si="294"/>
        <v>6.4565061472061352E-3</v>
      </c>
      <c r="AA312" s="3">
        <f t="shared" si="294"/>
        <v>2.6066975865817708E-3</v>
      </c>
      <c r="AB312" s="3">
        <f t="shared" si="294"/>
        <v>2.9993107205245922E-7</v>
      </c>
      <c r="AC312" s="3">
        <f t="shared" si="294"/>
        <v>1.2199149669610153E-46</v>
      </c>
      <c r="AD312" s="3">
        <f t="shared" si="294"/>
        <v>0</v>
      </c>
      <c r="AE312" s="3">
        <f t="shared" si="294"/>
        <v>0</v>
      </c>
      <c r="AF312" s="3">
        <f t="shared" si="294"/>
        <v>0</v>
      </c>
      <c r="AG312" s="3"/>
      <c r="AH312" s="3"/>
    </row>
    <row r="313" spans="1:34" x14ac:dyDescent="0.25">
      <c r="B313" s="3">
        <f t="shared" ref="B313:AF313" si="295">$C43*EXP(-B$285/$A43/EXP(-$F$126))</f>
        <v>4.5211816855299626E-3</v>
      </c>
      <c r="C313" s="3">
        <f t="shared" si="295"/>
        <v>4.5211816855299626E-3</v>
      </c>
      <c r="D313" s="3">
        <f t="shared" si="295"/>
        <v>4.5211816855299626E-3</v>
      </c>
      <c r="E313" s="3">
        <f t="shared" si="295"/>
        <v>4.5211816855299626E-3</v>
      </c>
      <c r="F313" s="3">
        <f t="shared" si="295"/>
        <v>4.5211816855299626E-3</v>
      </c>
      <c r="G313" s="3">
        <f t="shared" si="295"/>
        <v>4.5211816855299626E-3</v>
      </c>
      <c r="H313" s="3">
        <f t="shared" si="295"/>
        <v>4.5211816855299626E-3</v>
      </c>
      <c r="I313" s="3">
        <f t="shared" si="295"/>
        <v>4.5211816855299626E-3</v>
      </c>
      <c r="J313" s="3">
        <f t="shared" si="295"/>
        <v>4.5211816855299626E-3</v>
      </c>
      <c r="K313" s="3">
        <f t="shared" si="295"/>
        <v>4.5211816855299626E-3</v>
      </c>
      <c r="L313" s="3">
        <f t="shared" si="295"/>
        <v>4.5211816855299618E-3</v>
      </c>
      <c r="M313" s="3">
        <f t="shared" si="295"/>
        <v>4.5211816855299583E-3</v>
      </c>
      <c r="N313" s="3">
        <f t="shared" si="295"/>
        <v>4.5211816855299167E-3</v>
      </c>
      <c r="O313" s="3">
        <f t="shared" si="295"/>
        <v>4.5211816855295073E-3</v>
      </c>
      <c r="P313" s="3">
        <f t="shared" si="295"/>
        <v>4.5211816855254064E-3</v>
      </c>
      <c r="Q313" s="3">
        <f t="shared" si="295"/>
        <v>4.5211816854843993E-3</v>
      </c>
      <c r="R313" s="3">
        <f t="shared" si="295"/>
        <v>4.5211816850743254E-3</v>
      </c>
      <c r="S313" s="3">
        <f t="shared" si="295"/>
        <v>4.5211816809735952E-3</v>
      </c>
      <c r="T313" s="3">
        <f t="shared" si="295"/>
        <v>4.5211816399662874E-3</v>
      </c>
      <c r="U313" s="3">
        <f t="shared" si="295"/>
        <v>4.5211812298932329E-3</v>
      </c>
      <c r="V313" s="3">
        <f t="shared" si="295"/>
        <v>4.5211771291647287E-3</v>
      </c>
      <c r="W313" s="3">
        <f t="shared" si="295"/>
        <v>4.5211361220842588E-3</v>
      </c>
      <c r="X313" s="3">
        <f t="shared" si="295"/>
        <v>4.5207260717353859E-3</v>
      </c>
      <c r="Y313" s="3">
        <f t="shared" si="295"/>
        <v>4.5166276131430793E-3</v>
      </c>
      <c r="Z313" s="3">
        <f t="shared" si="295"/>
        <v>4.4758468322747972E-3</v>
      </c>
      <c r="AA313" s="3">
        <f t="shared" si="295"/>
        <v>4.0877518545380078E-3</v>
      </c>
      <c r="AB313" s="3">
        <f t="shared" si="295"/>
        <v>1.6503558814669843E-3</v>
      </c>
      <c r="AC313" s="3">
        <f t="shared" si="295"/>
        <v>1.8989276368094962E-7</v>
      </c>
      <c r="AD313" s="3">
        <f t="shared" si="295"/>
        <v>7.7235420440688593E-47</v>
      </c>
      <c r="AE313" s="3">
        <f t="shared" si="295"/>
        <v>0</v>
      </c>
      <c r="AF313" s="3">
        <f t="shared" si="295"/>
        <v>0</v>
      </c>
      <c r="AG313" s="3"/>
      <c r="AH313" s="3"/>
    </row>
    <row r="314" spans="1:34" x14ac:dyDescent="0.25">
      <c r="B314" s="3">
        <f t="shared" ref="B314:AF314" si="296">$C44*EXP(-B$285/$A44/EXP(-$F$126))</f>
        <v>2.8020776239336834E-3</v>
      </c>
      <c r="C314" s="3">
        <f t="shared" si="296"/>
        <v>2.8020776239336834E-3</v>
      </c>
      <c r="D314" s="3">
        <f t="shared" si="296"/>
        <v>2.8020776239336834E-3</v>
      </c>
      <c r="E314" s="3">
        <f t="shared" si="296"/>
        <v>2.8020776239336834E-3</v>
      </c>
      <c r="F314" s="3">
        <f t="shared" si="296"/>
        <v>2.8020776239336834E-3</v>
      </c>
      <c r="G314" s="3">
        <f t="shared" si="296"/>
        <v>2.8020776239336834E-3</v>
      </c>
      <c r="H314" s="3">
        <f t="shared" si="296"/>
        <v>2.8020776239336834E-3</v>
      </c>
      <c r="I314" s="3">
        <f t="shared" si="296"/>
        <v>2.8020776239336834E-3</v>
      </c>
      <c r="J314" s="3">
        <f t="shared" si="296"/>
        <v>2.8020776239336834E-3</v>
      </c>
      <c r="K314" s="3">
        <f t="shared" si="296"/>
        <v>2.8020776239336834E-3</v>
      </c>
      <c r="L314" s="3">
        <f t="shared" si="296"/>
        <v>2.8020776239336834E-3</v>
      </c>
      <c r="M314" s="3">
        <f t="shared" si="296"/>
        <v>2.802077623933683E-3</v>
      </c>
      <c r="N314" s="3">
        <f t="shared" si="296"/>
        <v>2.8020776239336808E-3</v>
      </c>
      <c r="O314" s="3">
        <f t="shared" si="296"/>
        <v>2.8020776239336552E-3</v>
      </c>
      <c r="P314" s="3">
        <f t="shared" si="296"/>
        <v>2.8020776239334011E-3</v>
      </c>
      <c r="Q314" s="3">
        <f t="shared" si="296"/>
        <v>2.8020776239308597E-3</v>
      </c>
      <c r="R314" s="3">
        <f t="shared" si="296"/>
        <v>2.8020776239054447E-3</v>
      </c>
      <c r="S314" s="3">
        <f t="shared" si="296"/>
        <v>2.8020776236512947E-3</v>
      </c>
      <c r="T314" s="3">
        <f t="shared" si="296"/>
        <v>2.802077621109799E-3</v>
      </c>
      <c r="U314" s="3">
        <f t="shared" si="296"/>
        <v>2.8020775956948372E-3</v>
      </c>
      <c r="V314" s="3">
        <f t="shared" si="296"/>
        <v>2.802077341545234E-3</v>
      </c>
      <c r="W314" s="3">
        <f t="shared" si="296"/>
        <v>2.8020748000504698E-3</v>
      </c>
      <c r="X314" s="3">
        <f t="shared" si="296"/>
        <v>2.8020493852296108E-3</v>
      </c>
      <c r="Y314" s="3">
        <f t="shared" si="296"/>
        <v>2.801795249698862E-3</v>
      </c>
      <c r="Z314" s="3">
        <f t="shared" si="296"/>
        <v>2.7992551617499802E-3</v>
      </c>
      <c r="AA314" s="3">
        <f t="shared" si="296"/>
        <v>2.7739805938370651E-3</v>
      </c>
      <c r="AB314" s="3">
        <f t="shared" si="296"/>
        <v>2.5334522698907498E-3</v>
      </c>
      <c r="AC314" s="3">
        <f t="shared" si="296"/>
        <v>1.0228355347422678E-3</v>
      </c>
      <c r="AD314" s="3">
        <f t="shared" si="296"/>
        <v>1.1768920186514134E-7</v>
      </c>
      <c r="AE314" s="3">
        <f t="shared" si="296"/>
        <v>4.7867937730663333E-47</v>
      </c>
      <c r="AF314" s="3">
        <f t="shared" si="296"/>
        <v>0</v>
      </c>
      <c r="AG314" s="3"/>
      <c r="AH314" s="3"/>
    </row>
    <row r="315" spans="1:34" x14ac:dyDescent="0.25">
      <c r="B315" s="3">
        <f t="shared" ref="B315:AF315" si="297">$C45*EXP(-B$285/$A45/EXP(-$F$126))</f>
        <v>1.1789652234967252E-3</v>
      </c>
      <c r="C315" s="3">
        <f t="shared" si="297"/>
        <v>1.1789652234967252E-3</v>
      </c>
      <c r="D315" s="3">
        <f t="shared" si="297"/>
        <v>1.1789652234967252E-3</v>
      </c>
      <c r="E315" s="3">
        <f t="shared" si="297"/>
        <v>1.1789652234967252E-3</v>
      </c>
      <c r="F315" s="3">
        <f t="shared" si="297"/>
        <v>1.1789652234967252E-3</v>
      </c>
      <c r="G315" s="3">
        <f t="shared" si="297"/>
        <v>1.1789652234967252E-3</v>
      </c>
      <c r="H315" s="3">
        <f t="shared" si="297"/>
        <v>1.1789652234967252E-3</v>
      </c>
      <c r="I315" s="3">
        <f t="shared" si="297"/>
        <v>1.1789652234967252E-3</v>
      </c>
      <c r="J315" s="3">
        <f t="shared" si="297"/>
        <v>1.1789652234967252E-3</v>
      </c>
      <c r="K315" s="3">
        <f t="shared" si="297"/>
        <v>1.1789652234967252E-3</v>
      </c>
      <c r="L315" s="3">
        <f t="shared" si="297"/>
        <v>1.1789652234967252E-3</v>
      </c>
      <c r="M315" s="3">
        <f t="shared" si="297"/>
        <v>1.1789652234967252E-3</v>
      </c>
      <c r="N315" s="3">
        <f t="shared" si="297"/>
        <v>1.178965223496725E-3</v>
      </c>
      <c r="O315" s="3">
        <f t="shared" si="297"/>
        <v>1.1789652234967241E-3</v>
      </c>
      <c r="P315" s="3">
        <f t="shared" si="297"/>
        <v>1.1789652234967132E-3</v>
      </c>
      <c r="Q315" s="3">
        <f t="shared" si="297"/>
        <v>1.1789652234966063E-3</v>
      </c>
      <c r="R315" s="3">
        <f t="shared" si="297"/>
        <v>1.1789652234955371E-3</v>
      </c>
      <c r="S315" s="3">
        <f t="shared" si="297"/>
        <v>1.1789652234848438E-3</v>
      </c>
      <c r="T315" s="3">
        <f t="shared" si="297"/>
        <v>1.1789652233779111E-3</v>
      </c>
      <c r="U315" s="3">
        <f t="shared" si="297"/>
        <v>1.1789652223085847E-3</v>
      </c>
      <c r="V315" s="3">
        <f t="shared" si="297"/>
        <v>1.1789652116153207E-3</v>
      </c>
      <c r="W315" s="3">
        <f t="shared" si="297"/>
        <v>1.1789651046826858E-3</v>
      </c>
      <c r="X315" s="3">
        <f t="shared" si="297"/>
        <v>1.1789640353568694E-3</v>
      </c>
      <c r="Y315" s="3">
        <f t="shared" si="297"/>
        <v>1.1789533421520495E-3</v>
      </c>
      <c r="Z315" s="3">
        <f t="shared" si="297"/>
        <v>1.1788464154380111E-3</v>
      </c>
      <c r="AA315" s="3">
        <f t="shared" si="297"/>
        <v>1.1777776815347187E-3</v>
      </c>
      <c r="AB315" s="3">
        <f t="shared" si="297"/>
        <v>1.1671434876945061E-3</v>
      </c>
      <c r="AC315" s="3">
        <f t="shared" si="297"/>
        <v>1.06594196252028E-3</v>
      </c>
      <c r="AD315" s="3">
        <f t="shared" si="297"/>
        <v>4.3035478907430501E-4</v>
      </c>
      <c r="AE315" s="3">
        <f t="shared" si="297"/>
        <v>4.9517356334083982E-8</v>
      </c>
      <c r="AF315" s="3">
        <f t="shared" si="297"/>
        <v>2.014028213313139E-47</v>
      </c>
      <c r="AG315" s="3"/>
      <c r="AH315" s="3"/>
    </row>
    <row r="316" spans="1:34" x14ac:dyDescent="0.25">
      <c r="B316" s="3">
        <f t="shared" ref="B316:AF316" si="298">$C46*EXP(-B$285/$A46/EXP(-$F$126))</f>
        <v>7.7792567568049035E-4</v>
      </c>
      <c r="C316" s="3">
        <f t="shared" si="298"/>
        <v>7.7792567568049035E-4</v>
      </c>
      <c r="D316" s="3">
        <f t="shared" si="298"/>
        <v>7.7792567568049035E-4</v>
      </c>
      <c r="E316" s="3">
        <f t="shared" si="298"/>
        <v>7.7792567568049035E-4</v>
      </c>
      <c r="F316" s="3">
        <f t="shared" si="298"/>
        <v>7.7792567568049035E-4</v>
      </c>
      <c r="G316" s="3">
        <f t="shared" si="298"/>
        <v>7.7792567568049035E-4</v>
      </c>
      <c r="H316" s="3">
        <f t="shared" si="298"/>
        <v>7.7792567568049035E-4</v>
      </c>
      <c r="I316" s="3">
        <f t="shared" si="298"/>
        <v>7.7792567568049035E-4</v>
      </c>
      <c r="J316" s="3">
        <f t="shared" si="298"/>
        <v>7.7792567568049035E-4</v>
      </c>
      <c r="K316" s="3">
        <f t="shared" si="298"/>
        <v>7.7792567568049035E-4</v>
      </c>
      <c r="L316" s="3">
        <f t="shared" si="298"/>
        <v>7.7792567568049035E-4</v>
      </c>
      <c r="M316" s="3">
        <f t="shared" si="298"/>
        <v>7.7792567568049035E-4</v>
      </c>
      <c r="N316" s="3">
        <f t="shared" si="298"/>
        <v>7.7792567568049035E-4</v>
      </c>
      <c r="O316" s="3">
        <f t="shared" si="298"/>
        <v>7.7792567568049024E-4</v>
      </c>
      <c r="P316" s="3">
        <f t="shared" si="298"/>
        <v>7.7792567568048959E-4</v>
      </c>
      <c r="Q316" s="3">
        <f t="shared" si="298"/>
        <v>7.7792567568048254E-4</v>
      </c>
      <c r="R316" s="3">
        <f t="shared" si="298"/>
        <v>7.7792567568041196E-4</v>
      </c>
      <c r="S316" s="3">
        <f t="shared" si="298"/>
        <v>7.7792567567970636E-4</v>
      </c>
      <c r="T316" s="3">
        <f t="shared" si="298"/>
        <v>7.7792567567265059E-4</v>
      </c>
      <c r="U316" s="3">
        <f t="shared" si="298"/>
        <v>7.7792567560209234E-4</v>
      </c>
      <c r="V316" s="3">
        <f t="shared" si="298"/>
        <v>7.7792567489651059E-4</v>
      </c>
      <c r="W316" s="3">
        <f t="shared" si="298"/>
        <v>7.7792566784069199E-4</v>
      </c>
      <c r="X316" s="3">
        <f t="shared" si="298"/>
        <v>7.779255972825104E-4</v>
      </c>
      <c r="Y316" s="3">
        <f t="shared" si="298"/>
        <v>7.7792489170104659E-4</v>
      </c>
      <c r="Z316" s="3">
        <f t="shared" si="298"/>
        <v>7.7791783592160639E-4</v>
      </c>
      <c r="AA316" s="3">
        <f t="shared" si="298"/>
        <v>7.7784728164688401E-4</v>
      </c>
      <c r="AB316" s="3">
        <f t="shared" si="298"/>
        <v>7.7714209074958556E-4</v>
      </c>
      <c r="AC316" s="3">
        <f t="shared" si="298"/>
        <v>7.7012524897716352E-4</v>
      </c>
      <c r="AD316" s="3">
        <f t="shared" si="298"/>
        <v>7.0334866958192345E-4</v>
      </c>
      <c r="AE316" s="3">
        <f t="shared" si="298"/>
        <v>2.8396430479943975E-4</v>
      </c>
      <c r="AF316" s="3">
        <f t="shared" si="298"/>
        <v>3.2673417431138408E-8</v>
      </c>
      <c r="AG316" s="3"/>
      <c r="AH316" s="3"/>
    </row>
    <row r="317" spans="1:34" x14ac:dyDescent="0.25">
      <c r="B317" s="3">
        <f t="shared" ref="B317:AF317" si="299">$C47*EXP(-B$285/$A47/EXP(-$F$126))</f>
        <v>1.7877728547757263E-3</v>
      </c>
      <c r="C317" s="3">
        <f t="shared" si="299"/>
        <v>1.7877728547757263E-3</v>
      </c>
      <c r="D317" s="3">
        <f t="shared" si="299"/>
        <v>1.7877728547757263E-3</v>
      </c>
      <c r="E317" s="3">
        <f t="shared" si="299"/>
        <v>1.7877728547757263E-3</v>
      </c>
      <c r="F317" s="3">
        <f t="shared" si="299"/>
        <v>1.7877728547757263E-3</v>
      </c>
      <c r="G317" s="3">
        <f t="shared" si="299"/>
        <v>1.7877728547757263E-3</v>
      </c>
      <c r="H317" s="3">
        <f t="shared" si="299"/>
        <v>1.7877728547757263E-3</v>
      </c>
      <c r="I317" s="3">
        <f t="shared" si="299"/>
        <v>1.7877728547757263E-3</v>
      </c>
      <c r="J317" s="3">
        <f t="shared" si="299"/>
        <v>1.7877728547757263E-3</v>
      </c>
      <c r="K317" s="3">
        <f t="shared" si="299"/>
        <v>1.7877728547757263E-3</v>
      </c>
      <c r="L317" s="3">
        <f t="shared" si="299"/>
        <v>1.7877728547757263E-3</v>
      </c>
      <c r="M317" s="3">
        <f t="shared" si="299"/>
        <v>1.7877728547757263E-3</v>
      </c>
      <c r="N317" s="3">
        <f t="shared" si="299"/>
        <v>1.7877728547757263E-3</v>
      </c>
      <c r="O317" s="3">
        <f t="shared" si="299"/>
        <v>1.7877728547757263E-3</v>
      </c>
      <c r="P317" s="3">
        <f t="shared" si="299"/>
        <v>1.7877728547757261E-3</v>
      </c>
      <c r="Q317" s="3">
        <f t="shared" si="299"/>
        <v>1.7877728547757246E-3</v>
      </c>
      <c r="R317" s="3">
        <f t="shared" si="299"/>
        <v>1.7877728547757083E-3</v>
      </c>
      <c r="S317" s="3">
        <f t="shared" si="299"/>
        <v>1.7877728547755461E-3</v>
      </c>
      <c r="T317" s="3">
        <f t="shared" si="299"/>
        <v>1.7877728547739246E-3</v>
      </c>
      <c r="U317" s="3">
        <f t="shared" si="299"/>
        <v>1.7877728547577095E-3</v>
      </c>
      <c r="V317" s="3">
        <f t="shared" si="299"/>
        <v>1.7877728545955577E-3</v>
      </c>
      <c r="W317" s="3">
        <f t="shared" si="299"/>
        <v>1.7877728529740403E-3</v>
      </c>
      <c r="X317" s="3">
        <f t="shared" si="299"/>
        <v>1.7877728367588655E-3</v>
      </c>
      <c r="Y317" s="3">
        <f t="shared" si="299"/>
        <v>1.7877726746071258E-3</v>
      </c>
      <c r="Z317" s="3">
        <f t="shared" si="299"/>
        <v>1.787771053090537E-3</v>
      </c>
      <c r="AA317" s="3">
        <f t="shared" si="299"/>
        <v>1.7877548380055399E-3</v>
      </c>
      <c r="AB317" s="3">
        <f t="shared" si="299"/>
        <v>1.7875926952442452E-3</v>
      </c>
      <c r="AC317" s="3">
        <f t="shared" si="299"/>
        <v>1.7859720762274959E-3</v>
      </c>
      <c r="AD317" s="3">
        <f t="shared" si="299"/>
        <v>1.7698464749789974E-3</v>
      </c>
      <c r="AE317" s="3">
        <f t="shared" si="299"/>
        <v>1.6163853414675505E-3</v>
      </c>
      <c r="AF317" s="3">
        <f t="shared" si="299"/>
        <v>6.5258634817731156E-4</v>
      </c>
      <c r="AG317" s="3"/>
      <c r="AH317" s="3"/>
    </row>
    <row r="318" spans="1:34" x14ac:dyDescent="0.25">
      <c r="B318" s="3">
        <f t="shared" ref="B318:AF318" si="300">$C48*EXP(-B$285/$A48/EXP(-$F$126))</f>
        <v>1.1370273508997292E-2</v>
      </c>
      <c r="C318" s="3">
        <f t="shared" si="300"/>
        <v>1.1370273508997292E-2</v>
      </c>
      <c r="D318" s="3">
        <f t="shared" si="300"/>
        <v>1.1370273508997292E-2</v>
      </c>
      <c r="E318" s="3">
        <f t="shared" si="300"/>
        <v>1.1370273508997292E-2</v>
      </c>
      <c r="F318" s="3">
        <f t="shared" si="300"/>
        <v>1.1370273508997292E-2</v>
      </c>
      <c r="G318" s="3">
        <f t="shared" si="300"/>
        <v>1.1370273508997292E-2</v>
      </c>
      <c r="H318" s="3">
        <f t="shared" si="300"/>
        <v>1.1370273508997292E-2</v>
      </c>
      <c r="I318" s="3">
        <f t="shared" si="300"/>
        <v>1.1370273508997292E-2</v>
      </c>
      <c r="J318" s="3">
        <f t="shared" si="300"/>
        <v>1.1370273508997292E-2</v>
      </c>
      <c r="K318" s="3">
        <f t="shared" si="300"/>
        <v>1.1370273508997292E-2</v>
      </c>
      <c r="L318" s="3">
        <f t="shared" si="300"/>
        <v>1.1370273508997292E-2</v>
      </c>
      <c r="M318" s="3">
        <f t="shared" si="300"/>
        <v>1.1370273508997292E-2</v>
      </c>
      <c r="N318" s="3">
        <f t="shared" si="300"/>
        <v>1.1370273508997292E-2</v>
      </c>
      <c r="O318" s="3">
        <f t="shared" si="300"/>
        <v>1.1370273508997292E-2</v>
      </c>
      <c r="P318" s="3">
        <f t="shared" si="300"/>
        <v>1.1370273508997292E-2</v>
      </c>
      <c r="Q318" s="3">
        <f t="shared" si="300"/>
        <v>1.1370273508997291E-2</v>
      </c>
      <c r="R318" s="3">
        <f t="shared" si="300"/>
        <v>1.137027350899728E-2</v>
      </c>
      <c r="S318" s="3">
        <f t="shared" si="300"/>
        <v>1.1370273508997178E-2</v>
      </c>
      <c r="T318" s="3">
        <f t="shared" si="300"/>
        <v>1.1370273508996146E-2</v>
      </c>
      <c r="U318" s="3">
        <f t="shared" si="300"/>
        <v>1.1370273508985835E-2</v>
      </c>
      <c r="V318" s="3">
        <f t="shared" si="300"/>
        <v>1.1370273508882705E-2</v>
      </c>
      <c r="W318" s="3">
        <f t="shared" si="300"/>
        <v>1.1370273507851416E-2</v>
      </c>
      <c r="X318" s="3">
        <f t="shared" si="300"/>
        <v>1.1370273497538531E-2</v>
      </c>
      <c r="Y318" s="3">
        <f t="shared" si="300"/>
        <v>1.1370273394409674E-2</v>
      </c>
      <c r="Z318" s="3">
        <f t="shared" si="300"/>
        <v>1.1370272363121148E-2</v>
      </c>
      <c r="AA318" s="3">
        <f t="shared" si="300"/>
        <v>1.137026205024104E-2</v>
      </c>
      <c r="AB318" s="3">
        <f t="shared" si="300"/>
        <v>1.1370158921954414E-2</v>
      </c>
      <c r="AC318" s="3">
        <f t="shared" si="300"/>
        <v>1.1369127690532312E-2</v>
      </c>
      <c r="AD318" s="3">
        <f t="shared" si="300"/>
        <v>1.1358820519000371E-2</v>
      </c>
      <c r="AE318" s="3">
        <f t="shared" si="300"/>
        <v>1.1256261350925599E-2</v>
      </c>
      <c r="AF318" s="3">
        <f t="shared" si="300"/>
        <v>1.0280245266799076E-2</v>
      </c>
      <c r="AG318" s="3"/>
      <c r="AH318" s="3"/>
    </row>
    <row r="319" spans="1:34" x14ac:dyDescent="0.25">
      <c r="A319" s="79">
        <f>AVERAGE(B319:AF319)</f>
        <v>1.1514774236968115E-3</v>
      </c>
      <c r="B319" s="80">
        <f>IF($A$64&lt;=B285,IF($B$64&gt;=B285,ABS((B287-B286)/B286),0),0)</f>
        <v>7.6830102668938947E-3</v>
      </c>
      <c r="C319" s="80">
        <f t="shared" ref="C319:AF319" si="301">IF($A$64&lt;=C285,IF($B$64&gt;=C285,ABS((C287-C286)/C286),0),0)</f>
        <v>1.0126816514702449E-2</v>
      </c>
      <c r="D319" s="80">
        <f t="shared" si="301"/>
        <v>2.8847333952039893E-3</v>
      </c>
      <c r="E319" s="80">
        <f t="shared" si="301"/>
        <v>3.7602691728413527E-4</v>
      </c>
      <c r="F319" s="80">
        <f t="shared" si="301"/>
        <v>1.8576529889372374E-4</v>
      </c>
      <c r="G319" s="80">
        <f t="shared" si="301"/>
        <v>9.7363391664734061E-5</v>
      </c>
      <c r="H319" s="80">
        <f t="shared" si="301"/>
        <v>1.4611463716373183E-4</v>
      </c>
      <c r="I319" s="80">
        <f t="shared" si="301"/>
        <v>1.1201429268775781E-4</v>
      </c>
      <c r="J319" s="80">
        <f t="shared" si="301"/>
        <v>3.2944301716009459E-4</v>
      </c>
      <c r="K319" s="80">
        <f t="shared" si="301"/>
        <v>1.0326737962186283E-4</v>
      </c>
      <c r="L319" s="80">
        <f t="shared" si="301"/>
        <v>6.6916878916043485E-4</v>
      </c>
      <c r="M319" s="80">
        <f t="shared" si="301"/>
        <v>6.1559256585639352E-4</v>
      </c>
      <c r="N319" s="80">
        <f t="shared" si="301"/>
        <v>1.168905239328676E-3</v>
      </c>
      <c r="O319" s="80">
        <f t="shared" si="301"/>
        <v>9.3569603540272022E-4</v>
      </c>
      <c r="P319" s="80">
        <f t="shared" si="301"/>
        <v>1.2196591201169508E-3</v>
      </c>
      <c r="Q319" s="80">
        <f t="shared" si="301"/>
        <v>6.1847674379306508E-4</v>
      </c>
      <c r="R319" s="80">
        <f t="shared" si="301"/>
        <v>9.8260532450951594E-4</v>
      </c>
      <c r="S319" s="80">
        <f t="shared" si="301"/>
        <v>5.8801115316750718E-5</v>
      </c>
      <c r="T319" s="80">
        <f t="shared" si="301"/>
        <v>7.5424525838508965E-4</v>
      </c>
      <c r="U319" s="80">
        <f t="shared" si="301"/>
        <v>4.4453752768324264E-4</v>
      </c>
      <c r="V319" s="80">
        <f t="shared" si="301"/>
        <v>8.0179548056812252E-4</v>
      </c>
      <c r="W319" s="80">
        <f t="shared" si="301"/>
        <v>6.9728014496236123E-4</v>
      </c>
      <c r="X319" s="80">
        <f t="shared" si="301"/>
        <v>1.4353875521996144E-3</v>
      </c>
      <c r="Y319" s="80">
        <f t="shared" si="301"/>
        <v>1.0338936427242414E-3</v>
      </c>
      <c r="Z319" s="80">
        <f t="shared" si="301"/>
        <v>8.6803108788857165E-4</v>
      </c>
      <c r="AA319" s="80">
        <f t="shared" si="301"/>
        <v>4.1108066064438379E-4</v>
      </c>
      <c r="AB319" s="80">
        <f t="shared" si="301"/>
        <v>2.8416195957455876E-4</v>
      </c>
      <c r="AC319" s="80">
        <f t="shared" si="301"/>
        <v>1.821161717554263E-4</v>
      </c>
      <c r="AD319" s="80">
        <f t="shared" si="301"/>
        <v>7.2815388539676019E-5</v>
      </c>
      <c r="AE319" s="80">
        <f t="shared" si="301"/>
        <v>1.0081878122878148E-4</v>
      </c>
      <c r="AF319" s="80">
        <f t="shared" si="301"/>
        <v>2.9617643368622446E-4</v>
      </c>
    </row>
    <row r="320" spans="1:34" x14ac:dyDescent="0.25">
      <c r="B320" s="21">
        <f>(B287-B286)^2</f>
        <v>5700.4392052009853</v>
      </c>
      <c r="C320" s="21">
        <f t="shared" ref="C320:AF320" si="302">(C287-C286)^2</f>
        <v>9362.0745742855452</v>
      </c>
      <c r="D320" s="21">
        <f t="shared" si="302"/>
        <v>720.90821561138898</v>
      </c>
      <c r="E320" s="21">
        <f t="shared" si="302"/>
        <v>11.587847648678851</v>
      </c>
      <c r="F320" s="21">
        <f t="shared" si="302"/>
        <v>2.6516852250597016</v>
      </c>
      <c r="G320" s="21">
        <f t="shared" si="302"/>
        <v>0.68451592328413824</v>
      </c>
      <c r="H320" s="21">
        <f t="shared" si="302"/>
        <v>1.4457910210393963</v>
      </c>
      <c r="I320" s="21">
        <f t="shared" si="302"/>
        <v>0.78445872589050891</v>
      </c>
      <c r="J320" s="21">
        <f t="shared" si="302"/>
        <v>6.1619962843745464</v>
      </c>
      <c r="K320" s="21">
        <f t="shared" si="302"/>
        <v>0.54775270912080665</v>
      </c>
      <c r="L320" s="21">
        <f t="shared" si="302"/>
        <v>21.120041886719711</v>
      </c>
      <c r="M320" s="21">
        <f t="shared" si="302"/>
        <v>16.400471028447846</v>
      </c>
      <c r="N320" s="21">
        <f t="shared" si="302"/>
        <v>54.20397897817309</v>
      </c>
      <c r="O320" s="21">
        <f t="shared" si="302"/>
        <v>31.564287833523604</v>
      </c>
      <c r="P320" s="21">
        <f t="shared" si="302"/>
        <v>48.82339284949758</v>
      </c>
      <c r="Q320" s="21">
        <f t="shared" si="302"/>
        <v>11.088518977617305</v>
      </c>
      <c r="R320" s="21">
        <f t="shared" si="302"/>
        <v>23.627936009173393</v>
      </c>
      <c r="S320" s="21">
        <f t="shared" si="302"/>
        <v>6.516730039930374E-2</v>
      </c>
      <c r="T320" s="21">
        <f t="shared" si="302"/>
        <v>7.7698334065727694</v>
      </c>
      <c r="U320" s="21">
        <f t="shared" si="302"/>
        <v>1.8609793874771121</v>
      </c>
      <c r="V320" s="21">
        <f t="shared" si="302"/>
        <v>3.9131247618660518</v>
      </c>
      <c r="W320" s="21">
        <f t="shared" si="302"/>
        <v>1.7006439125066435</v>
      </c>
      <c r="X320" s="21">
        <f t="shared" si="302"/>
        <v>3.8200269387019139</v>
      </c>
      <c r="Y320" s="21">
        <f t="shared" si="302"/>
        <v>1.0239858593264566</v>
      </c>
      <c r="Z320" s="21">
        <f t="shared" si="302"/>
        <v>0.42388757197277649</v>
      </c>
      <c r="AA320" s="21">
        <f t="shared" si="302"/>
        <v>6.6523202140115284E-2</v>
      </c>
      <c r="AB320" s="21">
        <f t="shared" si="302"/>
        <v>2.6261633139389753E-2</v>
      </c>
      <c r="AC320" s="21">
        <f t="shared" si="302"/>
        <v>9.4927017275245381E-3</v>
      </c>
      <c r="AD320" s="21">
        <f t="shared" si="302"/>
        <v>1.4120839210977803E-3</v>
      </c>
      <c r="AE320" s="21">
        <f t="shared" si="302"/>
        <v>2.5837054402336689E-3</v>
      </c>
      <c r="AF320" s="21">
        <f t="shared" si="302"/>
        <v>2.023762637697861E-2</v>
      </c>
      <c r="AG320" s="3"/>
      <c r="AH320" s="3"/>
    </row>
    <row r="321" spans="1:34" x14ac:dyDescent="0.25">
      <c r="A321" s="71">
        <f>SUM(B321:AF321)</f>
        <v>16034.818830290087</v>
      </c>
      <c r="B321" s="60">
        <f>IF($A$64&lt;=B285,IF($B$64&gt;=B285,ABS(B320),0),0)</f>
        <v>5700.4392052009853</v>
      </c>
      <c r="C321" s="60">
        <f t="shared" ref="C321" si="303">IF($A$64&lt;=C285,IF($B$64&gt;=C285,ABS(C320),0),0)</f>
        <v>9362.0745742855452</v>
      </c>
      <c r="D321" s="60">
        <f t="shared" ref="D321" si="304">IF($A$64&lt;=D285,IF($B$64&gt;=D285,ABS(D320),0),0)</f>
        <v>720.90821561138898</v>
      </c>
      <c r="E321" s="60">
        <f t="shared" ref="E321" si="305">IF($A$64&lt;=E285,IF($B$64&gt;=E285,ABS(E320),0),0)</f>
        <v>11.587847648678851</v>
      </c>
      <c r="F321" s="60">
        <f t="shared" ref="F321" si="306">IF($A$64&lt;=F285,IF($B$64&gt;=F285,ABS(F320),0),0)</f>
        <v>2.6516852250597016</v>
      </c>
      <c r="G321" s="60">
        <f t="shared" ref="G321" si="307">IF($A$64&lt;=G285,IF($B$64&gt;=G285,ABS(G320),0),0)</f>
        <v>0.68451592328413824</v>
      </c>
      <c r="H321" s="60">
        <f t="shared" ref="H321" si="308">IF($A$64&lt;=H285,IF($B$64&gt;=H285,ABS(H320),0),0)</f>
        <v>1.4457910210393963</v>
      </c>
      <c r="I321" s="60">
        <f t="shared" ref="I321" si="309">IF($A$64&lt;=I285,IF($B$64&gt;=I285,ABS(I320),0),0)</f>
        <v>0.78445872589050891</v>
      </c>
      <c r="J321" s="60">
        <f t="shared" ref="J321" si="310">IF($A$64&lt;=J285,IF($B$64&gt;=J285,ABS(J320),0),0)</f>
        <v>6.1619962843745464</v>
      </c>
      <c r="K321" s="60">
        <f t="shared" ref="K321" si="311">IF($A$64&lt;=K285,IF($B$64&gt;=K285,ABS(K320),0),0)</f>
        <v>0.54775270912080665</v>
      </c>
      <c r="L321" s="60">
        <f t="shared" ref="L321" si="312">IF($A$64&lt;=L285,IF($B$64&gt;=L285,ABS(L320),0),0)</f>
        <v>21.120041886719711</v>
      </c>
      <c r="M321" s="60">
        <f t="shared" ref="M321" si="313">IF($A$64&lt;=M285,IF($B$64&gt;=M285,ABS(M320),0),0)</f>
        <v>16.400471028447846</v>
      </c>
      <c r="N321" s="60">
        <f t="shared" ref="N321" si="314">IF($A$64&lt;=N285,IF($B$64&gt;=N285,ABS(N320),0),0)</f>
        <v>54.20397897817309</v>
      </c>
      <c r="O321" s="60">
        <f t="shared" ref="O321" si="315">IF($A$64&lt;=O285,IF($B$64&gt;=O285,ABS(O320),0),0)</f>
        <v>31.564287833523604</v>
      </c>
      <c r="P321" s="60">
        <f t="shared" ref="P321" si="316">IF($A$64&lt;=P285,IF($B$64&gt;=P285,ABS(P320),0),0)</f>
        <v>48.82339284949758</v>
      </c>
      <c r="Q321" s="60">
        <f t="shared" ref="Q321" si="317">IF($A$64&lt;=Q285,IF($B$64&gt;=Q285,ABS(Q320),0),0)</f>
        <v>11.088518977617305</v>
      </c>
      <c r="R321" s="60">
        <f t="shared" ref="R321" si="318">IF($A$64&lt;=R285,IF($B$64&gt;=R285,ABS(R320),0),0)</f>
        <v>23.627936009173393</v>
      </c>
      <c r="S321" s="60">
        <f t="shared" ref="S321" si="319">IF($A$64&lt;=S285,IF($B$64&gt;=S285,ABS(S320),0),0)</f>
        <v>6.516730039930374E-2</v>
      </c>
      <c r="T321" s="60">
        <f t="shared" ref="T321" si="320">IF($A$64&lt;=T285,IF($B$64&gt;=T285,ABS(T320),0),0)</f>
        <v>7.7698334065727694</v>
      </c>
      <c r="U321" s="60">
        <f t="shared" ref="U321" si="321">IF($A$64&lt;=U285,IF($B$64&gt;=U285,ABS(U320),0),0)</f>
        <v>1.8609793874771121</v>
      </c>
      <c r="V321" s="60">
        <f t="shared" ref="V321" si="322">IF($A$64&lt;=V285,IF($B$64&gt;=V285,ABS(V320),0),0)</f>
        <v>3.9131247618660518</v>
      </c>
      <c r="W321" s="60">
        <f t="shared" ref="W321" si="323">IF($A$64&lt;=W285,IF($B$64&gt;=W285,ABS(W320),0),0)</f>
        <v>1.7006439125066435</v>
      </c>
      <c r="X321" s="60">
        <f t="shared" ref="X321" si="324">IF($A$64&lt;=X285,IF($B$64&gt;=X285,ABS(X320),0),0)</f>
        <v>3.8200269387019139</v>
      </c>
      <c r="Y321" s="60">
        <f t="shared" ref="Y321" si="325">IF($A$64&lt;=Y285,IF($B$64&gt;=Y285,ABS(Y320),0),0)</f>
        <v>1.0239858593264566</v>
      </c>
      <c r="Z321" s="60">
        <f t="shared" ref="Z321" si="326">IF($A$64&lt;=Z285,IF($B$64&gt;=Z285,ABS(Z320),0),0)</f>
        <v>0.42388757197277649</v>
      </c>
      <c r="AA321" s="60">
        <f t="shared" ref="AA321" si="327">IF($A$64&lt;=AA285,IF($B$64&gt;=AA285,ABS(AA320),0),0)</f>
        <v>6.6523202140115284E-2</v>
      </c>
      <c r="AB321" s="60">
        <f t="shared" ref="AB321" si="328">IF($A$64&lt;=AB285,IF($B$64&gt;=AB285,ABS(AB320),0),0)</f>
        <v>2.6261633139389753E-2</v>
      </c>
      <c r="AC321" s="60">
        <f t="shared" ref="AC321" si="329">IF($A$64&lt;=AC285,IF($B$64&gt;=AC285,ABS(AC320),0),0)</f>
        <v>9.4927017275245381E-3</v>
      </c>
      <c r="AD321" s="60">
        <f t="shared" ref="AD321" si="330">IF($A$64&lt;=AD285,IF($B$64&gt;=AD285,ABS(AD320),0),0)</f>
        <v>1.4120839210977803E-3</v>
      </c>
      <c r="AE321" s="60">
        <f t="shared" ref="AE321" si="331">IF($A$64&lt;=AE285,IF($B$64&gt;=AE285,ABS(AE320),0),0)</f>
        <v>2.5837054402336689E-3</v>
      </c>
      <c r="AF321" s="60">
        <f t="shared" ref="AF321" si="332">IF($A$64&lt;=AF285,IF($B$64&gt;=AF285,ABS(AF320),0),0)</f>
        <v>2.023762637697861E-2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9149.8345482474924</v>
      </c>
      <c r="C325" s="26">
        <f>INDEX(Comparison!$AM$3:$AS$33,G$14,$G$122)</f>
        <v>8820.2788795776141</v>
      </c>
      <c r="D325" s="26">
        <f>INDEX(Comparison!$AM$3:$AS$33,H$14,$G$122)</f>
        <v>8533.8722605331295</v>
      </c>
      <c r="E325" s="26">
        <f>INDEX(Comparison!$AM$3:$AS$33,I$14,$G$122)</f>
        <v>8273.7015747988644</v>
      </c>
      <c r="F325" s="26">
        <f>INDEX(Comparison!$AM$3:$AS$33,J$14,$G$122)</f>
        <v>7979.0862222792848</v>
      </c>
      <c r="G325" s="26">
        <f>INDEX(Comparison!$AM$3:$AS$33,K$14,$G$122)</f>
        <v>7625.3190133909084</v>
      </c>
      <c r="H325" s="26">
        <f>INDEX(Comparison!$AM$3:$AS$33,L$14,$G$122)</f>
        <v>7251.0629198471606</v>
      </c>
      <c r="I325" s="26">
        <f>INDEX(Comparison!$AM$3:$AS$33,M$14,$G$122)</f>
        <v>6924.393407013602</v>
      </c>
      <c r="J325" s="26">
        <f>INDEX(Comparison!$AM$3:$AS$33,N$14,$G$122)</f>
        <v>6643.9609995540914</v>
      </c>
      <c r="K325" s="26">
        <f>INDEX(Comparison!$AM$3:$AS$33,O$14,$G$122)</f>
        <v>6360.2369441944311</v>
      </c>
      <c r="L325" s="26">
        <f>INDEX(Comparison!$AM$3:$AS$33,P$14,$G$122)</f>
        <v>6077.1759886859509</v>
      </c>
      <c r="M325" s="26">
        <f>INDEX(Comparison!$AM$3:$AS$33,Q$14,$G$122)</f>
        <v>5794.3492029841209</v>
      </c>
      <c r="N325" s="26">
        <f>INDEX(Comparison!$AM$3:$AS$33,R$14,$G$122)</f>
        <v>5497.4610054881305</v>
      </c>
      <c r="O325" s="26">
        <f>INDEX(Comparison!$AM$3:$AS$33,S$14,$G$122)</f>
        <v>5142.3629386905741</v>
      </c>
      <c r="P325" s="26">
        <f>INDEX(Comparison!$AM$3:$AS$33,T$14,$G$122)</f>
        <v>4755.3271416437765</v>
      </c>
      <c r="Q325" s="26">
        <f>INDEX(Comparison!$AM$3:$AS$33,U$14,$G$122)</f>
        <v>4259.9552232455089</v>
      </c>
      <c r="R325" s="26">
        <f>INDEX(Comparison!$AM$3:$AS$33,V$14,$G$122)</f>
        <v>3608.881023132205</v>
      </c>
      <c r="S325" s="26">
        <f>INDEX(Comparison!$AM$3:$AS$33,W$14,$G$122)</f>
        <v>2894.897040918956</v>
      </c>
      <c r="T325" s="26">
        <f>INDEX(Comparison!$AM$3:$AS$33,X$14,$G$122)</f>
        <v>2208.0535004045023</v>
      </c>
      <c r="U325" s="26">
        <f>INDEX(Comparison!$AM$3:$AS$33,Y$14,$G$122)</f>
        <v>1590.7510281023892</v>
      </c>
      <c r="V325" s="26">
        <f>INDEX(Comparison!$AM$3:$AS$33,Z$14,$G$122)</f>
        <v>1134.4072038150462</v>
      </c>
      <c r="W325" s="26">
        <f>INDEX(Comparison!$AM$3:$AS$33,AA$14,$G$122)</f>
        <v>828.10892034291578</v>
      </c>
      <c r="X325" s="26">
        <f>INDEX(Comparison!$AM$3:$AS$33,AB$14,$G$122)</f>
        <v>674.83435785785764</v>
      </c>
      <c r="Y325" s="26">
        <f>INDEX(Comparison!$AM$3:$AS$33,AC$14,$G$122)</f>
        <v>590.63358810768784</v>
      </c>
      <c r="Z325" s="26">
        <f>INDEX(Comparison!$AM$3:$AS$33,AD$14,$G$122)</f>
        <v>552.35798150339338</v>
      </c>
      <c r="AA325" s="26">
        <f>INDEX(Comparison!$AM$3:$AS$33,AE$14,$G$122)</f>
        <v>523.49731143746499</v>
      </c>
      <c r="AB325" s="26">
        <f>INDEX(Comparison!$AM$3:$AS$33,AF$14,$G$122)</f>
        <v>511.68260567729681</v>
      </c>
      <c r="AC325" s="26">
        <f>INDEX(Comparison!$AM$3:$AS$33,AG$14,$G$122)</f>
        <v>494.48298272135173</v>
      </c>
      <c r="AD325" s="26">
        <f>INDEX(Comparison!$AM$3:$AS$33,AH$14,$G$122)</f>
        <v>471.68716650538101</v>
      </c>
      <c r="AE325" s="26">
        <f>INDEX(Comparison!$AM$3:$AS$33,AI$14,$G$122)</f>
        <v>468.71385881352927</v>
      </c>
      <c r="AF325" s="26">
        <f>INDEX(Comparison!$AM$3:$AS$33,AJ$14,$G$122)</f>
        <v>468.47657281171303</v>
      </c>
      <c r="AG325" s="26"/>
      <c r="AH325" s="26"/>
    </row>
    <row r="326" spans="1:34" x14ac:dyDescent="0.25">
      <c r="A326" s="77" t="s">
        <v>22</v>
      </c>
      <c r="B326" s="27">
        <f>($C$17+SUM(B327:B357))*$B$51</f>
        <v>9184.1379286618503</v>
      </c>
      <c r="C326" s="27">
        <f t="shared" ref="C326:AF326" si="333">($C$17+SUM(C327:C357))*$B$51</f>
        <v>8947.0503561672231</v>
      </c>
      <c r="D326" s="27">
        <f t="shared" si="333"/>
        <v>8652.9789622504686</v>
      </c>
      <c r="E326" s="27">
        <f t="shared" si="333"/>
        <v>8388.9780863501455</v>
      </c>
      <c r="F326" s="27">
        <f t="shared" si="333"/>
        <v>8101.968155954426</v>
      </c>
      <c r="G326" s="27">
        <f t="shared" si="333"/>
        <v>7751.8262071447516</v>
      </c>
      <c r="H326" s="27">
        <f t="shared" si="333"/>
        <v>7365.8209798319695</v>
      </c>
      <c r="I326" s="27">
        <f t="shared" si="333"/>
        <v>7017.5571906292107</v>
      </c>
      <c r="J326" s="27">
        <f t="shared" si="333"/>
        <v>6734.0446845538299</v>
      </c>
      <c r="K326" s="27">
        <f t="shared" si="333"/>
        <v>6447.3770142173289</v>
      </c>
      <c r="L326" s="27">
        <f t="shared" si="333"/>
        <v>6151.6754649314726</v>
      </c>
      <c r="M326" s="27">
        <f t="shared" si="333"/>
        <v>5878.7946599758925</v>
      </c>
      <c r="N326" s="27">
        <f t="shared" si="333"/>
        <v>5568.4105060350466</v>
      </c>
      <c r="O326" s="27">
        <f t="shared" si="333"/>
        <v>5202.6340773856573</v>
      </c>
      <c r="P326" s="27">
        <f t="shared" si="333"/>
        <v>4668.3459620510566</v>
      </c>
      <c r="Q326" s="27">
        <f t="shared" si="333"/>
        <v>4040.3574723362981</v>
      </c>
      <c r="R326" s="27">
        <f t="shared" si="333"/>
        <v>3404.1175624599991</v>
      </c>
      <c r="S326" s="27">
        <f t="shared" si="333"/>
        <v>2807.7315157225576</v>
      </c>
      <c r="T326" s="27">
        <f t="shared" si="333"/>
        <v>2190.2155407062955</v>
      </c>
      <c r="U326" s="27">
        <f t="shared" si="333"/>
        <v>1685.1711013758459</v>
      </c>
      <c r="V326" s="27">
        <f t="shared" si="333"/>
        <v>1143.775553140762</v>
      </c>
      <c r="W326" s="27">
        <f t="shared" si="333"/>
        <v>856.20008129654479</v>
      </c>
      <c r="X326" s="27">
        <f t="shared" si="333"/>
        <v>674.24602201949563</v>
      </c>
      <c r="Y326" s="27">
        <f t="shared" si="333"/>
        <v>596.33731163652703</v>
      </c>
      <c r="Z326" s="27">
        <f t="shared" si="333"/>
        <v>550.81210087406384</v>
      </c>
      <c r="AA326" s="27">
        <f t="shared" si="333"/>
        <v>523.74395326673982</v>
      </c>
      <c r="AB326" s="27">
        <f t="shared" si="333"/>
        <v>510.43676841039485</v>
      </c>
      <c r="AC326" s="27">
        <f t="shared" si="333"/>
        <v>496.69269725387937</v>
      </c>
      <c r="AD326" s="27">
        <f t="shared" si="333"/>
        <v>456.57791649213283</v>
      </c>
      <c r="AE326" s="27">
        <f t="shared" si="333"/>
        <v>370.19991259855681</v>
      </c>
      <c r="AF326" s="27">
        <f t="shared" si="333"/>
        <v>362.44783789755337</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3.7434006132142375E-5</v>
      </c>
      <c r="C328" s="3">
        <f t="shared" si="335"/>
        <v>8.7732955651122072E-33</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9.0283663909290334E-3</v>
      </c>
      <c r="C329" s="3">
        <f t="shared" si="336"/>
        <v>2.9049855413722728E-5</v>
      </c>
      <c r="D329" s="3">
        <f t="shared" si="336"/>
        <v>3.455349430590808E-30</v>
      </c>
      <c r="E329" s="3">
        <f t="shared" si="336"/>
        <v>1.9587181671831698E-279</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2.8992460086522544E-2</v>
      </c>
      <c r="C330" s="3">
        <f t="shared" si="337"/>
        <v>1.7276030876848075E-2</v>
      </c>
      <c r="D330" s="3">
        <f t="shared" si="337"/>
        <v>9.7506374304632385E-5</v>
      </c>
      <c r="E330" s="3">
        <f t="shared" si="337"/>
        <v>3.1983307281706411E-27</v>
      </c>
      <c r="F330" s="3">
        <f t="shared" si="337"/>
        <v>4.6113384458686672E-252</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2.5098260999688246E-2</v>
      </c>
      <c r="C331" s="3">
        <f t="shared" si="338"/>
        <v>2.3953065047821045E-2</v>
      </c>
      <c r="D331" s="3">
        <f t="shared" si="338"/>
        <v>1.501535899405897E-2</v>
      </c>
      <c r="E331" s="3">
        <f t="shared" si="338"/>
        <v>1.4069607462124914E-4</v>
      </c>
      <c r="F331" s="3">
        <f t="shared" si="338"/>
        <v>7.3408202580154253E-25</v>
      </c>
      <c r="G331" s="3">
        <f t="shared" si="338"/>
        <v>1.0974144769293753E-227</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2.5039137669918922E-2</v>
      </c>
      <c r="C332" s="3">
        <f t="shared" si="339"/>
        <v>2.4933871353179801E-2</v>
      </c>
      <c r="D332" s="3">
        <f t="shared" si="339"/>
        <v>2.390524385919467E-2</v>
      </c>
      <c r="E332" s="3">
        <f t="shared" si="339"/>
        <v>1.5686563707147144E-2</v>
      </c>
      <c r="F332" s="3">
        <f t="shared" si="339"/>
        <v>2.3220641340860457E-4</v>
      </c>
      <c r="G332" s="3">
        <f t="shared" si="339"/>
        <v>1.1731083869089837E-22</v>
      </c>
      <c r="H332" s="3">
        <f t="shared" si="339"/>
        <v>1.2705080801454431E-205</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3.1848325075801591E-2</v>
      </c>
      <c r="C333" s="3">
        <f t="shared" si="340"/>
        <v>3.18362236865425E-2</v>
      </c>
      <c r="D333" s="3">
        <f t="shared" si="340"/>
        <v>3.1715462404564208E-2</v>
      </c>
      <c r="E333" s="3">
        <f t="shared" si="340"/>
        <v>3.053275901861377E-2</v>
      </c>
      <c r="F333" s="3">
        <f t="shared" si="340"/>
        <v>2.0879306683676806E-2</v>
      </c>
      <c r="G333" s="3">
        <f t="shared" si="340"/>
        <v>4.6689186538296498E-4</v>
      </c>
      <c r="H333" s="3">
        <f t="shared" si="340"/>
        <v>1.4595488875820306E-20</v>
      </c>
      <c r="I333" s="3">
        <f t="shared" si="340"/>
        <v>1.3008943744351288E-185</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3.8281407852225946E-2</v>
      </c>
      <c r="C334" s="3">
        <f t="shared" si="341"/>
        <v>3.8280095476456021E-2</v>
      </c>
      <c r="D334" s="3">
        <f t="shared" si="341"/>
        <v>3.8266974193023565E-2</v>
      </c>
      <c r="E334" s="3">
        <f t="shared" si="341"/>
        <v>3.8136008471815266E-2</v>
      </c>
      <c r="F334" s="3">
        <f t="shared" si="341"/>
        <v>3.6850751969986231E-2</v>
      </c>
      <c r="G334" s="3">
        <f t="shared" si="341"/>
        <v>2.6155169851881422E-2</v>
      </c>
      <c r="H334" s="3">
        <f t="shared" si="341"/>
        <v>8.4853438785028863E-4</v>
      </c>
      <c r="I334" s="3">
        <f t="shared" si="341"/>
        <v>1.0959442779313805E-18</v>
      </c>
      <c r="J334" s="3">
        <f t="shared" si="341"/>
        <v>1.4157244592118941E-167</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3.6020832864767517E-2</v>
      </c>
      <c r="C335" s="3">
        <f t="shared" si="342"/>
        <v>3.6020721466761704E-2</v>
      </c>
      <c r="D335" s="3">
        <f t="shared" si="342"/>
        <v>3.6019607505651481E-2</v>
      </c>
      <c r="E335" s="3">
        <f t="shared" si="342"/>
        <v>3.6008469789116593E-2</v>
      </c>
      <c r="F335" s="3">
        <f t="shared" si="342"/>
        <v>3.5897281863893758E-2</v>
      </c>
      <c r="G335" s="3">
        <f t="shared" si="342"/>
        <v>3.4804111863307209E-2</v>
      </c>
      <c r="H335" s="3">
        <f t="shared" si="342"/>
        <v>2.5545856196622089E-2</v>
      </c>
      <c r="I335" s="3">
        <f t="shared" si="342"/>
        <v>1.1593632657808258E-3</v>
      </c>
      <c r="J335" s="3">
        <f t="shared" si="342"/>
        <v>4.2974443527340934E-17</v>
      </c>
      <c r="K335" s="3">
        <f t="shared" si="342"/>
        <v>2.1043478093163407E-151</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2.6935550373063312E-2</v>
      </c>
      <c r="C336" s="3">
        <f t="shared" si="343"/>
        <v>2.6935542858621569E-2</v>
      </c>
      <c r="D336" s="3">
        <f t="shared" si="343"/>
        <v>2.6935467714319428E-2</v>
      </c>
      <c r="E336" s="3">
        <f t="shared" si="343"/>
        <v>2.6934716282827911E-2</v>
      </c>
      <c r="F336" s="3">
        <f t="shared" si="343"/>
        <v>2.6927203120783488E-2</v>
      </c>
      <c r="G336" s="3">
        <f t="shared" si="343"/>
        <v>2.6852186668497195E-2</v>
      </c>
      <c r="H336" s="3">
        <f t="shared" si="343"/>
        <v>2.611342096434684E-2</v>
      </c>
      <c r="I336" s="3">
        <f t="shared" si="343"/>
        <v>1.9756267265233319E-2</v>
      </c>
      <c r="J336" s="3">
        <f t="shared" si="343"/>
        <v>1.2137133278408024E-3</v>
      </c>
      <c r="K336" s="3">
        <f t="shared" si="343"/>
        <v>9.2945507593556558E-16</v>
      </c>
      <c r="L336" s="3">
        <f t="shared" si="343"/>
        <v>6.4469043832905885E-137</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2.7296069530803223E-2</v>
      </c>
      <c r="C337" s="3">
        <f t="shared" si="344"/>
        <v>2.7296068843865085E-2</v>
      </c>
      <c r="D337" s="3">
        <f t="shared" si="344"/>
        <v>2.7296061974484639E-2</v>
      </c>
      <c r="E337" s="3">
        <f t="shared" si="344"/>
        <v>2.7295993280775227E-2</v>
      </c>
      <c r="F337" s="3">
        <f t="shared" si="344"/>
        <v>2.7295306353189219E-2</v>
      </c>
      <c r="G337" s="3">
        <f t="shared" si="344"/>
        <v>2.7288438028049773E-2</v>
      </c>
      <c r="H337" s="3">
        <f t="shared" si="344"/>
        <v>2.7219849760250724E-2</v>
      </c>
      <c r="I337" s="3">
        <f t="shared" si="344"/>
        <v>2.6543377590123023E-2</v>
      </c>
      <c r="J337" s="3">
        <f t="shared" si="344"/>
        <v>2.0637676402687898E-2</v>
      </c>
      <c r="K337" s="3">
        <f t="shared" si="344"/>
        <v>1.6661225098191981E-3</v>
      </c>
      <c r="L337" s="3">
        <f t="shared" si="344"/>
        <v>1.9596037685044299E-14</v>
      </c>
      <c r="M337" s="3">
        <f t="shared" si="344"/>
        <v>9.9261676717991185E-124</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2.9627620752950223E-2</v>
      </c>
      <c r="C338" s="3">
        <f t="shared" si="345"/>
        <v>2.9627620685689603E-2</v>
      </c>
      <c r="D338" s="3">
        <f t="shared" si="345"/>
        <v>2.9627620013083378E-2</v>
      </c>
      <c r="E338" s="3">
        <f t="shared" si="345"/>
        <v>2.9627613287021983E-2</v>
      </c>
      <c r="F338" s="3">
        <f t="shared" si="345"/>
        <v>2.9627546026492022E-2</v>
      </c>
      <c r="G338" s="3">
        <f t="shared" si="345"/>
        <v>2.9626873429590552E-2</v>
      </c>
      <c r="H338" s="3">
        <f t="shared" si="345"/>
        <v>2.9620148300320316E-2</v>
      </c>
      <c r="I338" s="3">
        <f t="shared" si="345"/>
        <v>2.9552980911571925E-2</v>
      </c>
      <c r="J338" s="3">
        <f t="shared" si="345"/>
        <v>2.8889627368272757E-2</v>
      </c>
      <c r="K338" s="3">
        <f t="shared" si="345"/>
        <v>2.3022284098925771E-2</v>
      </c>
      <c r="L338" s="3">
        <f t="shared" si="345"/>
        <v>2.3780068221782424E-3</v>
      </c>
      <c r="M338" s="3">
        <f t="shared" si="345"/>
        <v>3.2874561566774842E-13</v>
      </c>
      <c r="N338" s="3">
        <f t="shared" si="345"/>
        <v>8.3816341974664529E-112</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2.5090471750850718E-2</v>
      </c>
      <c r="C339" s="3">
        <f t="shared" si="346"/>
        <v>2.5090471745712419E-2</v>
      </c>
      <c r="D339" s="3">
        <f t="shared" si="346"/>
        <v>2.5090471694329406E-2</v>
      </c>
      <c r="E339" s="3">
        <f t="shared" si="346"/>
        <v>2.509047118049933E-2</v>
      </c>
      <c r="F339" s="3">
        <f t="shared" si="346"/>
        <v>2.5090466042199128E-2</v>
      </c>
      <c r="G339" s="3">
        <f t="shared" si="346"/>
        <v>2.5090414659254986E-2</v>
      </c>
      <c r="H339" s="3">
        <f t="shared" si="346"/>
        <v>2.5089900835601031E-2</v>
      </c>
      <c r="I339" s="3">
        <f t="shared" si="346"/>
        <v>2.5084763177765333E-2</v>
      </c>
      <c r="J339" s="3">
        <f t="shared" si="346"/>
        <v>2.50334444259653E-2</v>
      </c>
      <c r="K339" s="3">
        <f t="shared" si="346"/>
        <v>2.4525995985942579E-2</v>
      </c>
      <c r="L339" s="3">
        <f t="shared" si="346"/>
        <v>1.9984214633946625E-2</v>
      </c>
      <c r="M339" s="3">
        <f t="shared" si="346"/>
        <v>2.5780504480992636E-3</v>
      </c>
      <c r="N339" s="3">
        <f t="shared" si="346"/>
        <v>3.2910514521434663E-12</v>
      </c>
      <c r="O339" s="3">
        <f t="shared" si="346"/>
        <v>3.7823984582824444E-101</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2.9857729564041747E-2</v>
      </c>
      <c r="C340" s="3">
        <f t="shared" si="347"/>
        <v>2.985772956349016E-2</v>
      </c>
      <c r="D340" s="3">
        <f t="shared" si="347"/>
        <v>2.9857729557974291E-2</v>
      </c>
      <c r="E340" s="3">
        <f t="shared" si="347"/>
        <v>2.9857729502815584E-2</v>
      </c>
      <c r="F340" s="3">
        <f t="shared" si="347"/>
        <v>2.9857728951228527E-2</v>
      </c>
      <c r="G340" s="3">
        <f t="shared" si="347"/>
        <v>2.9857723435358509E-2</v>
      </c>
      <c r="H340" s="3">
        <f t="shared" si="347"/>
        <v>2.9857668276714378E-2</v>
      </c>
      <c r="I340" s="3">
        <f t="shared" si="347"/>
        <v>2.9857116695877498E-2</v>
      </c>
      <c r="J340" s="3">
        <f t="shared" si="347"/>
        <v>2.9851601447912469E-2</v>
      </c>
      <c r="K340" s="3">
        <f t="shared" si="347"/>
        <v>2.9796504970355644E-2</v>
      </c>
      <c r="L340" s="3">
        <f t="shared" si="347"/>
        <v>2.9251102313316193E-2</v>
      </c>
      <c r="M340" s="3">
        <f t="shared" si="347"/>
        <v>2.4317075772039475E-2</v>
      </c>
      <c r="N340" s="3">
        <f t="shared" si="347"/>
        <v>3.8335617183319539E-3</v>
      </c>
      <c r="O340" s="3">
        <f t="shared" si="347"/>
        <v>3.6350766647190058E-11</v>
      </c>
      <c r="P340" s="3">
        <f t="shared" si="347"/>
        <v>2.1361154728323268E-91</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3.2231679526110099E-2</v>
      </c>
      <c r="C341" s="3">
        <f t="shared" si="348"/>
        <v>3.2231679526056385E-2</v>
      </c>
      <c r="D341" s="3">
        <f t="shared" si="348"/>
        <v>3.2231679525519245E-2</v>
      </c>
      <c r="E341" s="3">
        <f t="shared" si="348"/>
        <v>3.2231679520147855E-2</v>
      </c>
      <c r="F341" s="3">
        <f t="shared" si="348"/>
        <v>3.2231679466433932E-2</v>
      </c>
      <c r="G341" s="3">
        <f t="shared" si="348"/>
        <v>3.223167892929478E-2</v>
      </c>
      <c r="H341" s="3">
        <f t="shared" si="348"/>
        <v>3.2231673557903677E-2</v>
      </c>
      <c r="I341" s="3">
        <f t="shared" si="348"/>
        <v>3.2231619844041902E-2</v>
      </c>
      <c r="J341" s="3">
        <f t="shared" si="348"/>
        <v>3.2231082710347372E-2</v>
      </c>
      <c r="K341" s="3">
        <f t="shared" si="348"/>
        <v>3.2225711865695075E-2</v>
      </c>
      <c r="L341" s="3">
        <f t="shared" si="348"/>
        <v>3.2172052618128201E-2</v>
      </c>
      <c r="M341" s="3">
        <f t="shared" si="348"/>
        <v>3.1640349836602841E-2</v>
      </c>
      <c r="N341" s="3">
        <f t="shared" si="348"/>
        <v>2.6783439038114368E-2</v>
      </c>
      <c r="O341" s="3">
        <f t="shared" si="348"/>
        <v>5.0596092432497134E-3</v>
      </c>
      <c r="P341" s="3">
        <f t="shared" si="348"/>
        <v>2.9283524512536605E-10</v>
      </c>
      <c r="Q341" s="3">
        <f t="shared" si="348"/>
        <v>1.2350571031936133E-82</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5.4486023207094433E-2</v>
      </c>
      <c r="C342" s="3">
        <f t="shared" si="349"/>
        <v>5.4486023207086239E-2</v>
      </c>
      <c r="D342" s="3">
        <f t="shared" si="349"/>
        <v>5.4486023207004332E-2</v>
      </c>
      <c r="E342" s="3">
        <f t="shared" si="349"/>
        <v>5.4486023206185237E-2</v>
      </c>
      <c r="F342" s="3">
        <f t="shared" si="349"/>
        <v>5.4486023197994261E-2</v>
      </c>
      <c r="G342" s="3">
        <f t="shared" si="349"/>
        <v>5.4486023116084512E-2</v>
      </c>
      <c r="H342" s="3">
        <f t="shared" si="349"/>
        <v>5.4486022296987048E-2</v>
      </c>
      <c r="I342" s="3">
        <f t="shared" si="349"/>
        <v>5.4486014106013086E-2</v>
      </c>
      <c r="J342" s="3">
        <f t="shared" si="349"/>
        <v>5.4485932196341208E-2</v>
      </c>
      <c r="K342" s="3">
        <f t="shared" si="349"/>
        <v>5.4485113106394811E-2</v>
      </c>
      <c r="L342" s="3">
        <f t="shared" si="349"/>
        <v>5.4476922884138627E-2</v>
      </c>
      <c r="M342" s="3">
        <f t="shared" si="349"/>
        <v>5.4395088344697105E-2</v>
      </c>
      <c r="N342" s="3">
        <f t="shared" si="349"/>
        <v>5.3583473766028331E-2</v>
      </c>
      <c r="O342" s="3">
        <f t="shared" si="349"/>
        <v>4.6104429407117849E-2</v>
      </c>
      <c r="P342" s="3">
        <f t="shared" si="349"/>
        <v>1.0253225663331231E-2</v>
      </c>
      <c r="Q342" s="3">
        <f t="shared" si="349"/>
        <v>3.0341647556943428E-9</v>
      </c>
      <c r="R342" s="3">
        <f t="shared" si="349"/>
        <v>1.5625200334862975E-74</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6.3038463709295708E-2</v>
      </c>
      <c r="C343" s="3">
        <f t="shared" si="350"/>
        <v>6.3038463709294848E-2</v>
      </c>
      <c r="D343" s="3">
        <f t="shared" si="350"/>
        <v>6.3038463709286313E-2</v>
      </c>
      <c r="E343" s="3">
        <f t="shared" si="350"/>
        <v>6.3038463709200826E-2</v>
      </c>
      <c r="F343" s="3">
        <f t="shared" si="350"/>
        <v>6.303846370834594E-2</v>
      </c>
      <c r="G343" s="3">
        <f t="shared" si="350"/>
        <v>6.3038463699797195E-2</v>
      </c>
      <c r="H343" s="3">
        <f t="shared" si="350"/>
        <v>6.3038463614309675E-2</v>
      </c>
      <c r="I343" s="3">
        <f t="shared" si="350"/>
        <v>6.303846275943456E-2</v>
      </c>
      <c r="J343" s="3">
        <f t="shared" si="350"/>
        <v>6.3038454210683895E-2</v>
      </c>
      <c r="K343" s="3">
        <f t="shared" si="350"/>
        <v>6.3038368723241187E-2</v>
      </c>
      <c r="L343" s="3">
        <f t="shared" si="350"/>
        <v>6.3037513855190158E-2</v>
      </c>
      <c r="M343" s="3">
        <f t="shared" si="350"/>
        <v>6.302896581226515E-2</v>
      </c>
      <c r="N343" s="3">
        <f t="shared" si="350"/>
        <v>6.2943549109555033E-2</v>
      </c>
      <c r="O343" s="3">
        <f t="shared" si="350"/>
        <v>6.2095722876482892E-2</v>
      </c>
      <c r="P343" s="3">
        <f t="shared" si="350"/>
        <v>5.422084569895886E-2</v>
      </c>
      <c r="Q343" s="3">
        <f t="shared" si="350"/>
        <v>1.3970510825903285E-2</v>
      </c>
      <c r="R343" s="3">
        <f t="shared" si="350"/>
        <v>1.8016576787510598E-8</v>
      </c>
      <c r="S343" s="3">
        <f t="shared" si="350"/>
        <v>2.2923038569793291E-67</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6.2855042147651127E-2</v>
      </c>
      <c r="C344" s="3">
        <f t="shared" si="351"/>
        <v>6.2855042147651058E-2</v>
      </c>
      <c r="D344" s="3">
        <f t="shared" si="351"/>
        <v>6.2855042147650295E-2</v>
      </c>
      <c r="E344" s="3">
        <f t="shared" si="351"/>
        <v>6.2855042147642606E-2</v>
      </c>
      <c r="F344" s="3">
        <f t="shared" si="351"/>
        <v>6.285504214756571E-2</v>
      </c>
      <c r="G344" s="3">
        <f t="shared" si="351"/>
        <v>6.2855042146796783E-2</v>
      </c>
      <c r="H344" s="3">
        <f t="shared" si="351"/>
        <v>6.2855042139107531E-2</v>
      </c>
      <c r="I344" s="3">
        <f t="shared" si="351"/>
        <v>6.285504206221508E-2</v>
      </c>
      <c r="J344" s="3">
        <f t="shared" si="351"/>
        <v>6.2855041293290434E-2</v>
      </c>
      <c r="K344" s="3">
        <f t="shared" si="351"/>
        <v>6.2855033604044611E-2</v>
      </c>
      <c r="L344" s="3">
        <f t="shared" si="351"/>
        <v>6.2854956711638099E-2</v>
      </c>
      <c r="M344" s="3">
        <f t="shared" si="351"/>
        <v>6.2854187792746499E-2</v>
      </c>
      <c r="N344" s="3">
        <f t="shared" si="351"/>
        <v>6.2846499121161234E-2</v>
      </c>
      <c r="O344" s="3">
        <f t="shared" si="351"/>
        <v>6.276966411497388E-2</v>
      </c>
      <c r="P344" s="3">
        <f t="shared" si="351"/>
        <v>6.2006461690560052E-2</v>
      </c>
      <c r="Q344" s="3">
        <f t="shared" si="351"/>
        <v>5.4866644305355101E-2</v>
      </c>
      <c r="R344" s="3">
        <f t="shared" si="351"/>
        <v>1.6144436608778557E-2</v>
      </c>
      <c r="S344" s="3">
        <f t="shared" si="351"/>
        <v>7.8553916593128101E-8</v>
      </c>
      <c r="T344" s="3">
        <f t="shared" si="351"/>
        <v>5.8427504170131773E-61</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5.5175900384027046E-2</v>
      </c>
      <c r="C345" s="3">
        <f t="shared" si="352"/>
        <v>5.5175900384027039E-2</v>
      </c>
      <c r="D345" s="3">
        <f t="shared" si="352"/>
        <v>5.5175900384026977E-2</v>
      </c>
      <c r="E345" s="3">
        <f t="shared" si="352"/>
        <v>5.5175900384026373E-2</v>
      </c>
      <c r="F345" s="3">
        <f t="shared" si="352"/>
        <v>5.5175900384020281E-2</v>
      </c>
      <c r="G345" s="3">
        <f t="shared" si="352"/>
        <v>5.5175900383959392E-2</v>
      </c>
      <c r="H345" s="3">
        <f t="shared" si="352"/>
        <v>5.5175900383350497E-2</v>
      </c>
      <c r="I345" s="3">
        <f t="shared" si="352"/>
        <v>5.517590037726159E-2</v>
      </c>
      <c r="J345" s="3">
        <f t="shared" si="352"/>
        <v>5.517590031637247E-2</v>
      </c>
      <c r="K345" s="3">
        <f t="shared" si="352"/>
        <v>5.5175899707481303E-2</v>
      </c>
      <c r="L345" s="3">
        <f t="shared" si="352"/>
        <v>5.5175893618570025E-2</v>
      </c>
      <c r="M345" s="3">
        <f t="shared" si="352"/>
        <v>5.5175832729494112E-2</v>
      </c>
      <c r="N345" s="3">
        <f t="shared" si="352"/>
        <v>5.5175223842430683E-2</v>
      </c>
      <c r="O345" s="3">
        <f t="shared" si="352"/>
        <v>5.5169135341346077E-2</v>
      </c>
      <c r="P345" s="3">
        <f t="shared" si="352"/>
        <v>5.5108287270390119E-2</v>
      </c>
      <c r="Q345" s="3">
        <f t="shared" si="352"/>
        <v>5.4503485511257201E-2</v>
      </c>
      <c r="R345" s="3">
        <f t="shared" si="352"/>
        <v>4.8808774559608144E-2</v>
      </c>
      <c r="S345" s="3">
        <f t="shared" si="352"/>
        <v>1.6189527718935833E-2</v>
      </c>
      <c r="T345" s="3">
        <f t="shared" si="352"/>
        <v>2.6097381657858027E-7</v>
      </c>
      <c r="U345" s="3">
        <f t="shared" si="352"/>
        <v>3.0918933762470309E-55</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6.6863486871893904E-2</v>
      </c>
      <c r="C346" s="3">
        <f t="shared" si="353"/>
        <v>6.6863486871893904E-2</v>
      </c>
      <c r="D346" s="3">
        <f t="shared" si="353"/>
        <v>6.686348687189389E-2</v>
      </c>
      <c r="E346" s="3">
        <f t="shared" si="353"/>
        <v>6.6863486871893835E-2</v>
      </c>
      <c r="F346" s="3">
        <f t="shared" si="353"/>
        <v>6.6863486871893169E-2</v>
      </c>
      <c r="G346" s="3">
        <f t="shared" si="353"/>
        <v>6.6863486871886507E-2</v>
      </c>
      <c r="H346" s="3">
        <f t="shared" si="353"/>
        <v>6.6863486871819949E-2</v>
      </c>
      <c r="I346" s="3">
        <f t="shared" si="353"/>
        <v>6.6863486871154329E-2</v>
      </c>
      <c r="J346" s="3">
        <f t="shared" si="353"/>
        <v>6.6863486864498139E-2</v>
      </c>
      <c r="K346" s="3">
        <f t="shared" si="353"/>
        <v>6.6863486797936203E-2</v>
      </c>
      <c r="L346" s="3">
        <f t="shared" si="353"/>
        <v>6.686348613231699E-2</v>
      </c>
      <c r="M346" s="3">
        <f t="shared" si="353"/>
        <v>6.6863479476125115E-2</v>
      </c>
      <c r="N346" s="3">
        <f t="shared" si="353"/>
        <v>6.6863412914242859E-2</v>
      </c>
      <c r="O346" s="3">
        <f t="shared" si="353"/>
        <v>6.6862747299064607E-2</v>
      </c>
      <c r="P346" s="3">
        <f t="shared" si="353"/>
        <v>6.6856091511706656E-2</v>
      </c>
      <c r="Q346" s="3">
        <f t="shared" si="353"/>
        <v>6.6789570067161658E-2</v>
      </c>
      <c r="R346" s="3">
        <f t="shared" si="353"/>
        <v>6.6127985142868606E-2</v>
      </c>
      <c r="S346" s="3">
        <f t="shared" si="353"/>
        <v>5.9862067918225625E-2</v>
      </c>
      <c r="T346" s="3">
        <f t="shared" si="353"/>
        <v>2.2121570962921042E-2</v>
      </c>
      <c r="U346" s="3">
        <f t="shared" si="353"/>
        <v>1.0506509635010444E-6</v>
      </c>
      <c r="V346" s="3">
        <f t="shared" si="353"/>
        <v>6.1359730427517784E-50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2.4965740314193043E-2</v>
      </c>
      <c r="C347" s="3">
        <f t="shared" si="354"/>
        <v>2.4965740314193043E-2</v>
      </c>
      <c r="D347" s="3">
        <f t="shared" si="354"/>
        <v>2.4965740314193043E-2</v>
      </c>
      <c r="E347" s="3">
        <f t="shared" si="354"/>
        <v>2.496574031419304E-2</v>
      </c>
      <c r="F347" s="3">
        <f t="shared" si="354"/>
        <v>2.4965740314193019E-2</v>
      </c>
      <c r="G347" s="3">
        <f t="shared" si="354"/>
        <v>2.4965740314192793E-2</v>
      </c>
      <c r="H347" s="3">
        <f t="shared" si="354"/>
        <v>2.4965740314190552E-2</v>
      </c>
      <c r="I347" s="3">
        <f t="shared" si="354"/>
        <v>2.4965740314168133E-2</v>
      </c>
      <c r="J347" s="3">
        <f t="shared" si="354"/>
        <v>2.4965740313943937E-2</v>
      </c>
      <c r="K347" s="3">
        <f t="shared" si="354"/>
        <v>2.4965740311701977E-2</v>
      </c>
      <c r="L347" s="3">
        <f t="shared" si="354"/>
        <v>2.4965740289282376E-2</v>
      </c>
      <c r="M347" s="3">
        <f t="shared" si="354"/>
        <v>2.4965740065086367E-2</v>
      </c>
      <c r="N347" s="3">
        <f t="shared" si="354"/>
        <v>2.4965737823126399E-2</v>
      </c>
      <c r="O347" s="3">
        <f t="shared" si="354"/>
        <v>2.4965715403537786E-2</v>
      </c>
      <c r="P347" s="3">
        <f t="shared" si="354"/>
        <v>2.4965491208758964E-2</v>
      </c>
      <c r="Q347" s="3">
        <f t="shared" si="354"/>
        <v>2.4963249371698883E-2</v>
      </c>
      <c r="R347" s="3">
        <f t="shared" si="354"/>
        <v>2.4940842070232776E-2</v>
      </c>
      <c r="S347" s="3">
        <f t="shared" si="354"/>
        <v>2.4717872299968614E-2</v>
      </c>
      <c r="T347" s="3">
        <f t="shared" si="354"/>
        <v>2.2594919732379353E-2</v>
      </c>
      <c r="U347" s="3">
        <f t="shared" si="354"/>
        <v>9.2046650454556365E-3</v>
      </c>
      <c r="V347" s="3">
        <f t="shared" si="354"/>
        <v>1.1587236036083761E-6</v>
      </c>
      <c r="W347" s="3">
        <f t="shared" si="354"/>
        <v>1.1579731743378352E-45</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4.9847103888797747E-2</v>
      </c>
      <c r="C348" s="3">
        <f t="shared" si="355"/>
        <v>4.9847103888797747E-2</v>
      </c>
      <c r="D348" s="3">
        <f t="shared" si="355"/>
        <v>4.9847103888797747E-2</v>
      </c>
      <c r="E348" s="3">
        <f t="shared" si="355"/>
        <v>4.9847103888797747E-2</v>
      </c>
      <c r="F348" s="3">
        <f t="shared" si="355"/>
        <v>4.9847103888797734E-2</v>
      </c>
      <c r="G348" s="3">
        <f t="shared" si="355"/>
        <v>4.9847103888797609E-2</v>
      </c>
      <c r="H348" s="3">
        <f t="shared" si="355"/>
        <v>4.9847103888796367E-2</v>
      </c>
      <c r="I348" s="3">
        <f t="shared" si="355"/>
        <v>4.9847103888783988E-2</v>
      </c>
      <c r="J348" s="3">
        <f t="shared" si="355"/>
        <v>4.9847103888660184E-2</v>
      </c>
      <c r="K348" s="3">
        <f t="shared" si="355"/>
        <v>4.9847103887422139E-2</v>
      </c>
      <c r="L348" s="3">
        <f t="shared" si="355"/>
        <v>4.9847103875041703E-2</v>
      </c>
      <c r="M348" s="3">
        <f t="shared" si="355"/>
        <v>4.9847103751237257E-2</v>
      </c>
      <c r="N348" s="3">
        <f t="shared" si="355"/>
        <v>4.9847102513192874E-2</v>
      </c>
      <c r="O348" s="3">
        <f t="shared" si="355"/>
        <v>4.984709013275071E-2</v>
      </c>
      <c r="P348" s="3">
        <f t="shared" si="355"/>
        <v>4.9846966328498207E-2</v>
      </c>
      <c r="Q348" s="3">
        <f t="shared" si="355"/>
        <v>4.984572830288507E-2</v>
      </c>
      <c r="R348" s="3">
        <f t="shared" si="355"/>
        <v>4.9833349737781821E-2</v>
      </c>
      <c r="S348" s="3">
        <f t="shared" si="355"/>
        <v>4.9709733034276386E-2</v>
      </c>
      <c r="T348" s="3">
        <f t="shared" si="355"/>
        <v>4.849030652145616E-2</v>
      </c>
      <c r="U348" s="3">
        <f t="shared" si="355"/>
        <v>3.7825956257324884E-2</v>
      </c>
      <c r="V348" s="3">
        <f t="shared" si="355"/>
        <v>3.1560202541080959E-3</v>
      </c>
      <c r="W348" s="3">
        <f t="shared" si="355"/>
        <v>5.1598661808861284E-14</v>
      </c>
      <c r="X348" s="3">
        <f t="shared" si="355"/>
        <v>7.0408486183950813E-122</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2.7617180594802851E-2</v>
      </c>
      <c r="C349" s="3">
        <f t="shared" si="356"/>
        <v>2.7617180594802851E-2</v>
      </c>
      <c r="D349" s="3">
        <f t="shared" si="356"/>
        <v>2.7617180594802851E-2</v>
      </c>
      <c r="E349" s="3">
        <f t="shared" si="356"/>
        <v>2.7617180594802851E-2</v>
      </c>
      <c r="F349" s="3">
        <f t="shared" si="356"/>
        <v>2.7617180594802851E-2</v>
      </c>
      <c r="G349" s="3">
        <f t="shared" si="356"/>
        <v>2.7617180594802844E-2</v>
      </c>
      <c r="H349" s="3">
        <f t="shared" si="356"/>
        <v>2.7617180594802775E-2</v>
      </c>
      <c r="I349" s="3">
        <f t="shared" si="356"/>
        <v>2.7617180594802088E-2</v>
      </c>
      <c r="J349" s="3">
        <f t="shared" si="356"/>
        <v>2.7617180594795229E-2</v>
      </c>
      <c r="K349" s="3">
        <f t="shared" si="356"/>
        <v>2.7617180594726638E-2</v>
      </c>
      <c r="L349" s="3">
        <f t="shared" si="356"/>
        <v>2.7617180594040714E-2</v>
      </c>
      <c r="M349" s="3">
        <f t="shared" si="356"/>
        <v>2.7617180587181482E-2</v>
      </c>
      <c r="N349" s="3">
        <f t="shared" si="356"/>
        <v>2.7617180518589135E-2</v>
      </c>
      <c r="O349" s="3">
        <f t="shared" si="356"/>
        <v>2.761717983266573E-2</v>
      </c>
      <c r="P349" s="3">
        <f t="shared" si="356"/>
        <v>2.7617172973432587E-2</v>
      </c>
      <c r="Q349" s="3">
        <f t="shared" si="356"/>
        <v>2.7617104381194864E-2</v>
      </c>
      <c r="R349" s="3">
        <f t="shared" si="356"/>
        <v>2.7616418468187454E-2</v>
      </c>
      <c r="S349" s="3">
        <f t="shared" si="356"/>
        <v>2.7609560275006891E-2</v>
      </c>
      <c r="T349" s="3">
        <f t="shared" si="356"/>
        <v>2.7541071946520248E-2</v>
      </c>
      <c r="U349" s="3">
        <f t="shared" si="356"/>
        <v>2.6865463544038612E-2</v>
      </c>
      <c r="V349" s="3">
        <f t="shared" si="356"/>
        <v>2.0957010209863368E-2</v>
      </c>
      <c r="W349" s="3">
        <f t="shared" si="356"/>
        <v>1.7485545702515051E-3</v>
      </c>
      <c r="X349" s="3">
        <f t="shared" si="356"/>
        <v>2.8587609920216939E-14</v>
      </c>
      <c r="Y349" s="3">
        <f t="shared" si="356"/>
        <v>3.9008963944760672E-122</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1.9414083287208013E-2</v>
      </c>
      <c r="C350" s="3">
        <f t="shared" si="357"/>
        <v>1.9414083287208013E-2</v>
      </c>
      <c r="D350" s="3">
        <f t="shared" si="357"/>
        <v>1.9414083287208013E-2</v>
      </c>
      <c r="E350" s="3">
        <f t="shared" si="357"/>
        <v>1.9414083287208013E-2</v>
      </c>
      <c r="F350" s="3">
        <f t="shared" si="357"/>
        <v>1.9414083287208013E-2</v>
      </c>
      <c r="G350" s="3">
        <f t="shared" si="357"/>
        <v>1.9414083287208013E-2</v>
      </c>
      <c r="H350" s="3">
        <f t="shared" si="357"/>
        <v>1.9414083287208009E-2</v>
      </c>
      <c r="I350" s="3">
        <f t="shared" si="357"/>
        <v>1.9414083287207957E-2</v>
      </c>
      <c r="J350" s="3">
        <f t="shared" si="357"/>
        <v>1.9414083287207475E-2</v>
      </c>
      <c r="K350" s="3">
        <f t="shared" si="357"/>
        <v>1.9414083287202656E-2</v>
      </c>
      <c r="L350" s="3">
        <f t="shared" si="357"/>
        <v>1.9414083287154438E-2</v>
      </c>
      <c r="M350" s="3">
        <f t="shared" si="357"/>
        <v>1.9414083286672254E-2</v>
      </c>
      <c r="N350" s="3">
        <f t="shared" si="357"/>
        <v>1.941408328185041E-2</v>
      </c>
      <c r="O350" s="3">
        <f t="shared" si="357"/>
        <v>1.9414083233631963E-2</v>
      </c>
      <c r="P350" s="3">
        <f t="shared" si="357"/>
        <v>1.9414082751447546E-2</v>
      </c>
      <c r="Q350" s="3">
        <f t="shared" si="357"/>
        <v>1.9414077929604021E-2</v>
      </c>
      <c r="R350" s="3">
        <f t="shared" si="357"/>
        <v>1.9414029711234609E-2</v>
      </c>
      <c r="S350" s="3">
        <f t="shared" si="357"/>
        <v>1.9413547534127211E-2</v>
      </c>
      <c r="T350" s="3">
        <f t="shared" si="357"/>
        <v>1.9408726421662449E-2</v>
      </c>
      <c r="U350" s="3">
        <f t="shared" si="357"/>
        <v>1.9360581097454678E-2</v>
      </c>
      <c r="V350" s="3">
        <f t="shared" si="357"/>
        <v>1.8885647830813247E-2</v>
      </c>
      <c r="W350" s="3">
        <f t="shared" si="357"/>
        <v>1.473217514975882E-2</v>
      </c>
      <c r="X350" s="3">
        <f t="shared" si="357"/>
        <v>1.2291835490795605E-3</v>
      </c>
      <c r="Y350" s="3">
        <f t="shared" si="357"/>
        <v>2.0096267179342302E-14</v>
      </c>
      <c r="Z350" s="3">
        <f t="shared" si="357"/>
        <v>2.7422179189203526E-122</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7.1410981840430545E-3</v>
      </c>
      <c r="C351" s="3">
        <f t="shared" si="358"/>
        <v>7.1410981840430545E-3</v>
      </c>
      <c r="D351" s="3">
        <f t="shared" si="358"/>
        <v>7.1410981840430545E-3</v>
      </c>
      <c r="E351" s="3">
        <f t="shared" si="358"/>
        <v>7.1410981840430545E-3</v>
      </c>
      <c r="F351" s="3">
        <f t="shared" si="358"/>
        <v>7.1410981840430545E-3</v>
      </c>
      <c r="G351" s="3">
        <f t="shared" si="358"/>
        <v>7.1410981840430545E-3</v>
      </c>
      <c r="H351" s="3">
        <f t="shared" si="358"/>
        <v>7.1410981840430545E-3</v>
      </c>
      <c r="I351" s="3">
        <f t="shared" si="358"/>
        <v>7.1410981840430527E-3</v>
      </c>
      <c r="J351" s="3">
        <f t="shared" si="358"/>
        <v>7.1410981840430345E-3</v>
      </c>
      <c r="K351" s="3">
        <f t="shared" si="358"/>
        <v>7.1410981840428567E-3</v>
      </c>
      <c r="L351" s="3">
        <f t="shared" si="358"/>
        <v>7.1410981840410838E-3</v>
      </c>
      <c r="M351" s="3">
        <f t="shared" si="358"/>
        <v>7.1410981840233471E-3</v>
      </c>
      <c r="N351" s="3">
        <f t="shared" si="358"/>
        <v>7.1410981838459855E-3</v>
      </c>
      <c r="O351" s="3">
        <f t="shared" si="358"/>
        <v>7.1410981820723626E-3</v>
      </c>
      <c r="P351" s="3">
        <f t="shared" si="358"/>
        <v>7.1410981643361326E-3</v>
      </c>
      <c r="Q351" s="3">
        <f t="shared" si="358"/>
        <v>7.1410979869738428E-3</v>
      </c>
      <c r="R351" s="3">
        <f t="shared" si="358"/>
        <v>7.1410962133511818E-3</v>
      </c>
      <c r="S351" s="3">
        <f t="shared" si="358"/>
        <v>7.1410784771488E-3</v>
      </c>
      <c r="T351" s="3">
        <f t="shared" si="358"/>
        <v>7.1409011175477786E-3</v>
      </c>
      <c r="U351" s="3">
        <f t="shared" si="358"/>
        <v>7.1391277637943267E-3</v>
      </c>
      <c r="V351" s="3">
        <f t="shared" si="358"/>
        <v>7.1214184296895938E-3</v>
      </c>
      <c r="W351" s="3">
        <f t="shared" si="358"/>
        <v>6.9467233365563819E-3</v>
      </c>
      <c r="X351" s="3">
        <f t="shared" si="358"/>
        <v>5.4189480725193983E-3</v>
      </c>
      <c r="Y351" s="3">
        <f t="shared" si="358"/>
        <v>4.5213159335580409E-4</v>
      </c>
      <c r="Z351" s="3">
        <f t="shared" si="358"/>
        <v>7.3920264447924801E-15</v>
      </c>
      <c r="AA351" s="3">
        <f t="shared" si="358"/>
        <v>1.0086722670009032E-122</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4.5211816855299626E-3</v>
      </c>
      <c r="C352" s="3">
        <f t="shared" si="359"/>
        <v>4.5211816855299626E-3</v>
      </c>
      <c r="D352" s="3">
        <f t="shared" si="359"/>
        <v>4.5211816855299626E-3</v>
      </c>
      <c r="E352" s="3">
        <f t="shared" si="359"/>
        <v>4.5211816855299626E-3</v>
      </c>
      <c r="F352" s="3">
        <f t="shared" si="359"/>
        <v>4.5211816855299626E-3</v>
      </c>
      <c r="G352" s="3">
        <f t="shared" si="359"/>
        <v>4.5211816855299626E-3</v>
      </c>
      <c r="H352" s="3">
        <f t="shared" si="359"/>
        <v>4.5211816855299626E-3</v>
      </c>
      <c r="I352" s="3">
        <f t="shared" si="359"/>
        <v>4.5211816855299626E-3</v>
      </c>
      <c r="J352" s="3">
        <f t="shared" si="359"/>
        <v>4.5211816855299618E-3</v>
      </c>
      <c r="K352" s="3">
        <f t="shared" si="359"/>
        <v>4.5211816855299505E-3</v>
      </c>
      <c r="L352" s="3">
        <f t="shared" si="359"/>
        <v>4.5211816855298377E-3</v>
      </c>
      <c r="M352" s="3">
        <f t="shared" si="359"/>
        <v>4.5211816855287145E-3</v>
      </c>
      <c r="N352" s="3">
        <f t="shared" si="359"/>
        <v>4.5211816855174856E-3</v>
      </c>
      <c r="O352" s="3">
        <f t="shared" si="359"/>
        <v>4.5211816854051935E-3</v>
      </c>
      <c r="P352" s="3">
        <f t="shared" si="359"/>
        <v>4.5211816842822758E-3</v>
      </c>
      <c r="Q352" s="3">
        <f t="shared" si="359"/>
        <v>4.5211816730530898E-3</v>
      </c>
      <c r="R352" s="3">
        <f t="shared" si="359"/>
        <v>4.5211815607612378E-3</v>
      </c>
      <c r="S352" s="3">
        <f t="shared" si="359"/>
        <v>4.5211804378428744E-3</v>
      </c>
      <c r="T352" s="3">
        <f t="shared" si="359"/>
        <v>4.5211692086745709E-3</v>
      </c>
      <c r="U352" s="3">
        <f t="shared" si="359"/>
        <v>4.5210569185254613E-3</v>
      </c>
      <c r="V352" s="3">
        <f t="shared" si="359"/>
        <v>4.5199341704122951E-3</v>
      </c>
      <c r="W352" s="3">
        <f t="shared" si="359"/>
        <v>4.508722012988642E-3</v>
      </c>
      <c r="X352" s="3">
        <f t="shared" si="359"/>
        <v>4.3981188206966334E-3</v>
      </c>
      <c r="Y352" s="3">
        <f t="shared" si="359"/>
        <v>3.4308516909988033E-3</v>
      </c>
      <c r="Z352" s="3">
        <f t="shared" si="359"/>
        <v>2.862541624056485E-4</v>
      </c>
      <c r="AA352" s="3">
        <f t="shared" si="359"/>
        <v>4.6800497234204426E-15</v>
      </c>
      <c r="AB352" s="3">
        <f t="shared" si="359"/>
        <v>6.3861194213192138E-123</v>
      </c>
      <c r="AC352" s="3">
        <f t="shared" si="359"/>
        <v>0</v>
      </c>
      <c r="AD352" s="3">
        <f t="shared" si="359"/>
        <v>0</v>
      </c>
      <c r="AE352" s="3">
        <f t="shared" si="359"/>
        <v>0</v>
      </c>
      <c r="AF352" s="3">
        <f t="shared" si="359"/>
        <v>0</v>
      </c>
      <c r="AG352" s="3"/>
      <c r="AH352" s="3"/>
    </row>
    <row r="353" spans="1:34" x14ac:dyDescent="0.25">
      <c r="B353" s="3">
        <f t="shared" ref="B353:AF353" si="360">$C44*EXP(-B$363/$A44/EXP(-$G$126))</f>
        <v>2.8020776239336834E-3</v>
      </c>
      <c r="C353" s="3">
        <f t="shared" si="360"/>
        <v>2.8020776239336834E-3</v>
      </c>
      <c r="D353" s="3">
        <f t="shared" si="360"/>
        <v>2.8020776239336834E-3</v>
      </c>
      <c r="E353" s="3">
        <f t="shared" si="360"/>
        <v>2.8020776239336834E-3</v>
      </c>
      <c r="F353" s="3">
        <f t="shared" si="360"/>
        <v>2.8020776239336834E-3</v>
      </c>
      <c r="G353" s="3">
        <f t="shared" si="360"/>
        <v>2.8020776239336834E-3</v>
      </c>
      <c r="H353" s="3">
        <f t="shared" si="360"/>
        <v>2.8020776239336834E-3</v>
      </c>
      <c r="I353" s="3">
        <f t="shared" si="360"/>
        <v>2.8020776239336834E-3</v>
      </c>
      <c r="J353" s="3">
        <f t="shared" si="360"/>
        <v>2.8020776239336834E-3</v>
      </c>
      <c r="K353" s="3">
        <f t="shared" si="360"/>
        <v>2.802077623933683E-3</v>
      </c>
      <c r="L353" s="3">
        <f t="shared" si="360"/>
        <v>2.8020776239336756E-3</v>
      </c>
      <c r="M353" s="3">
        <f t="shared" si="360"/>
        <v>2.8020776239336058E-3</v>
      </c>
      <c r="N353" s="3">
        <f t="shared" si="360"/>
        <v>2.8020776239329102E-3</v>
      </c>
      <c r="O353" s="3">
        <f t="shared" si="360"/>
        <v>2.8020776239259504E-3</v>
      </c>
      <c r="P353" s="3">
        <f t="shared" si="360"/>
        <v>2.8020776238563559E-3</v>
      </c>
      <c r="Q353" s="3">
        <f t="shared" si="360"/>
        <v>2.8020776231604087E-3</v>
      </c>
      <c r="R353" s="3">
        <f t="shared" si="360"/>
        <v>2.8020776162009336E-3</v>
      </c>
      <c r="S353" s="3">
        <f t="shared" si="360"/>
        <v>2.8020775466061892E-3</v>
      </c>
      <c r="T353" s="3">
        <f t="shared" si="360"/>
        <v>2.8020768506588373E-3</v>
      </c>
      <c r="U353" s="3">
        <f t="shared" si="360"/>
        <v>2.802069891194824E-3</v>
      </c>
      <c r="V353" s="3">
        <f t="shared" si="360"/>
        <v>2.8020002975053652E-3</v>
      </c>
      <c r="W353" s="3">
        <f t="shared" si="360"/>
        <v>2.8013044556693062E-3</v>
      </c>
      <c r="X353" s="3">
        <f t="shared" si="360"/>
        <v>2.7943555344318804E-3</v>
      </c>
      <c r="Y353" s="3">
        <f t="shared" si="360"/>
        <v>2.7258073645476735E-3</v>
      </c>
      <c r="Z353" s="3">
        <f t="shared" si="360"/>
        <v>2.126327456636132E-3</v>
      </c>
      <c r="AA353" s="3">
        <f t="shared" si="360"/>
        <v>1.7741078307069298E-4</v>
      </c>
      <c r="AB353" s="3">
        <f t="shared" si="360"/>
        <v>2.9005387354514752E-15</v>
      </c>
      <c r="AC353" s="3">
        <f t="shared" si="360"/>
        <v>3.9579038355211226E-123</v>
      </c>
      <c r="AD353" s="3">
        <f t="shared" si="360"/>
        <v>0</v>
      </c>
      <c r="AE353" s="3">
        <f t="shared" si="360"/>
        <v>0</v>
      </c>
      <c r="AF353" s="3">
        <f t="shared" si="360"/>
        <v>0</v>
      </c>
      <c r="AG353" s="3"/>
      <c r="AH353" s="3"/>
    </row>
    <row r="354" spans="1:34" x14ac:dyDescent="0.25">
      <c r="B354" s="3">
        <f t="shared" ref="B354:AF354" si="361">$C45*EXP(-B$363/$A45/EXP(-$G$126))</f>
        <v>1.1789652234967252E-3</v>
      </c>
      <c r="C354" s="3">
        <f t="shared" si="361"/>
        <v>1.1789652234967252E-3</v>
      </c>
      <c r="D354" s="3">
        <f t="shared" si="361"/>
        <v>1.1789652234967252E-3</v>
      </c>
      <c r="E354" s="3">
        <f t="shared" si="361"/>
        <v>1.1789652234967252E-3</v>
      </c>
      <c r="F354" s="3">
        <f t="shared" si="361"/>
        <v>1.1789652234967252E-3</v>
      </c>
      <c r="G354" s="3">
        <f t="shared" si="361"/>
        <v>1.1789652234967252E-3</v>
      </c>
      <c r="H354" s="3">
        <f t="shared" si="361"/>
        <v>1.1789652234967252E-3</v>
      </c>
      <c r="I354" s="3">
        <f t="shared" si="361"/>
        <v>1.1789652234967252E-3</v>
      </c>
      <c r="J354" s="3">
        <f t="shared" si="361"/>
        <v>1.1789652234967252E-3</v>
      </c>
      <c r="K354" s="3">
        <f t="shared" si="361"/>
        <v>1.1789652234967252E-3</v>
      </c>
      <c r="L354" s="3">
        <f t="shared" si="361"/>
        <v>1.178965223496725E-3</v>
      </c>
      <c r="M354" s="3">
        <f t="shared" si="361"/>
        <v>1.1789652234967219E-3</v>
      </c>
      <c r="N354" s="3">
        <f t="shared" si="361"/>
        <v>1.1789652234966926E-3</v>
      </c>
      <c r="O354" s="3">
        <f t="shared" si="361"/>
        <v>1.1789652234963997E-3</v>
      </c>
      <c r="P354" s="3">
        <f t="shared" si="361"/>
        <v>1.1789652234934717E-3</v>
      </c>
      <c r="Q354" s="3">
        <f t="shared" si="361"/>
        <v>1.1789652234641898E-3</v>
      </c>
      <c r="R354" s="3">
        <f t="shared" si="361"/>
        <v>1.1789652231713724E-3</v>
      </c>
      <c r="S354" s="3">
        <f t="shared" si="361"/>
        <v>1.1789652202431953E-3</v>
      </c>
      <c r="T354" s="3">
        <f t="shared" si="361"/>
        <v>1.1789651909614287E-3</v>
      </c>
      <c r="U354" s="3">
        <f t="shared" si="361"/>
        <v>1.1789648981437998E-3</v>
      </c>
      <c r="V354" s="3">
        <f t="shared" si="361"/>
        <v>1.1789619699715123E-3</v>
      </c>
      <c r="W354" s="3">
        <f t="shared" si="361"/>
        <v>1.1789326886486305E-3</v>
      </c>
      <c r="X354" s="3">
        <f t="shared" si="361"/>
        <v>1.1786399154153835E-3</v>
      </c>
      <c r="Y354" s="3">
        <f t="shared" si="361"/>
        <v>1.175716178967197E-3</v>
      </c>
      <c r="Z354" s="3">
        <f t="shared" si="361"/>
        <v>1.1468747551117179E-3</v>
      </c>
      <c r="AA354" s="3">
        <f t="shared" si="361"/>
        <v>8.9464549580214284E-4</v>
      </c>
      <c r="AB354" s="3">
        <f t="shared" si="361"/>
        <v>7.4645021153995982E-5</v>
      </c>
      <c r="AC354" s="3">
        <f t="shared" si="361"/>
        <v>1.2203924221420459E-15</v>
      </c>
      <c r="AD354" s="3">
        <f t="shared" si="361"/>
        <v>1.6652754157013821E-123</v>
      </c>
      <c r="AE354" s="3">
        <f t="shared" si="361"/>
        <v>0</v>
      </c>
      <c r="AF354" s="3">
        <f t="shared" si="361"/>
        <v>0</v>
      </c>
      <c r="AG354" s="3"/>
      <c r="AH354" s="3"/>
    </row>
    <row r="355" spans="1:34" x14ac:dyDescent="0.25">
      <c r="B355" s="3">
        <f t="shared" ref="B355:AF355" si="362">$C46*EXP(-B$363/$A46/EXP(-$G$126))</f>
        <v>7.7792567568049035E-4</v>
      </c>
      <c r="C355" s="3">
        <f t="shared" si="362"/>
        <v>7.7792567568049035E-4</v>
      </c>
      <c r="D355" s="3">
        <f t="shared" si="362"/>
        <v>7.7792567568049035E-4</v>
      </c>
      <c r="E355" s="3">
        <f t="shared" si="362"/>
        <v>7.7792567568049035E-4</v>
      </c>
      <c r="F355" s="3">
        <f t="shared" si="362"/>
        <v>7.7792567568049035E-4</v>
      </c>
      <c r="G355" s="3">
        <f t="shared" si="362"/>
        <v>7.7792567568049035E-4</v>
      </c>
      <c r="H355" s="3">
        <f t="shared" si="362"/>
        <v>7.7792567568049035E-4</v>
      </c>
      <c r="I355" s="3">
        <f t="shared" si="362"/>
        <v>7.7792567568049035E-4</v>
      </c>
      <c r="J355" s="3">
        <f t="shared" si="362"/>
        <v>7.7792567568049035E-4</v>
      </c>
      <c r="K355" s="3">
        <f t="shared" si="362"/>
        <v>7.7792567568049035E-4</v>
      </c>
      <c r="L355" s="3">
        <f t="shared" si="362"/>
        <v>7.7792567568049035E-4</v>
      </c>
      <c r="M355" s="3">
        <f t="shared" si="362"/>
        <v>7.7792567568049013E-4</v>
      </c>
      <c r="N355" s="3">
        <f t="shared" si="362"/>
        <v>7.7792567568048818E-4</v>
      </c>
      <c r="O355" s="3">
        <f t="shared" si="362"/>
        <v>7.7792567568046888E-4</v>
      </c>
      <c r="P355" s="3">
        <f t="shared" si="362"/>
        <v>7.7792567568027568E-4</v>
      </c>
      <c r="Q355" s="3">
        <f t="shared" si="362"/>
        <v>7.7792567567834352E-4</v>
      </c>
      <c r="R355" s="3">
        <f t="shared" si="362"/>
        <v>7.7792567565902239E-4</v>
      </c>
      <c r="S355" s="3">
        <f t="shared" si="362"/>
        <v>7.7792567546581019E-4</v>
      </c>
      <c r="T355" s="3">
        <f t="shared" si="362"/>
        <v>7.7792567353368884E-4</v>
      </c>
      <c r="U355" s="3">
        <f t="shared" si="362"/>
        <v>7.7792565421247581E-4</v>
      </c>
      <c r="V355" s="3">
        <f t="shared" si="362"/>
        <v>7.7792546100037151E-4</v>
      </c>
      <c r="W355" s="3">
        <f t="shared" si="362"/>
        <v>7.7792352888196819E-4</v>
      </c>
      <c r="X355" s="3">
        <f t="shared" si="362"/>
        <v>7.779042079618649E-4</v>
      </c>
      <c r="Y355" s="3">
        <f t="shared" si="362"/>
        <v>7.7771102515141756E-4</v>
      </c>
      <c r="Z355" s="3">
        <f t="shared" si="362"/>
        <v>7.757818336819514E-4</v>
      </c>
      <c r="AA355" s="3">
        <f t="shared" si="362"/>
        <v>7.5675117553088557E-4</v>
      </c>
      <c r="AB355" s="3">
        <f t="shared" si="362"/>
        <v>5.9032080670895417E-4</v>
      </c>
      <c r="AC355" s="3">
        <f t="shared" si="362"/>
        <v>4.9253597443002193E-5</v>
      </c>
      <c r="AD355" s="3">
        <f t="shared" si="362"/>
        <v>8.0526090224648469E-16</v>
      </c>
      <c r="AE355" s="3">
        <f t="shared" si="362"/>
        <v>1.0988114637608779E-123</v>
      </c>
      <c r="AF355" s="3">
        <f t="shared" si="362"/>
        <v>0</v>
      </c>
      <c r="AG355" s="3"/>
      <c r="AH355" s="3"/>
    </row>
    <row r="356" spans="1:34" x14ac:dyDescent="0.25">
      <c r="B356" s="3">
        <f t="shared" ref="B356:AF356" si="363">$C47*EXP(-B$363/$A47/EXP(-$G$126))</f>
        <v>1.7877728547757263E-3</v>
      </c>
      <c r="C356" s="3">
        <f t="shared" si="363"/>
        <v>1.7877728547757263E-3</v>
      </c>
      <c r="D356" s="3">
        <f t="shared" si="363"/>
        <v>1.7877728547757263E-3</v>
      </c>
      <c r="E356" s="3">
        <f t="shared" si="363"/>
        <v>1.7877728547757263E-3</v>
      </c>
      <c r="F356" s="3">
        <f t="shared" si="363"/>
        <v>1.7877728547757263E-3</v>
      </c>
      <c r="G356" s="3">
        <f t="shared" si="363"/>
        <v>1.7877728547757263E-3</v>
      </c>
      <c r="H356" s="3">
        <f t="shared" si="363"/>
        <v>1.7877728547757263E-3</v>
      </c>
      <c r="I356" s="3">
        <f t="shared" si="363"/>
        <v>1.7877728547757263E-3</v>
      </c>
      <c r="J356" s="3">
        <f t="shared" si="363"/>
        <v>1.7877728547757263E-3</v>
      </c>
      <c r="K356" s="3">
        <f t="shared" si="363"/>
        <v>1.7877728547757263E-3</v>
      </c>
      <c r="L356" s="3">
        <f t="shared" si="363"/>
        <v>1.7877728547757263E-3</v>
      </c>
      <c r="M356" s="3">
        <f t="shared" si="363"/>
        <v>1.7877728547757263E-3</v>
      </c>
      <c r="N356" s="3">
        <f t="shared" si="363"/>
        <v>1.7877728547757259E-3</v>
      </c>
      <c r="O356" s="3">
        <f t="shared" si="363"/>
        <v>1.7877728547757213E-3</v>
      </c>
      <c r="P356" s="3">
        <f t="shared" si="363"/>
        <v>1.7877728547756769E-3</v>
      </c>
      <c r="Q356" s="3">
        <f t="shared" si="363"/>
        <v>1.7877728547752328E-3</v>
      </c>
      <c r="R356" s="3">
        <f t="shared" si="363"/>
        <v>1.7877728547707925E-3</v>
      </c>
      <c r="S356" s="3">
        <f t="shared" si="363"/>
        <v>1.7877728547263901E-3</v>
      </c>
      <c r="T356" s="3">
        <f t="shared" si="363"/>
        <v>1.787772854282364E-3</v>
      </c>
      <c r="U356" s="3">
        <f t="shared" si="363"/>
        <v>1.7877728498421014E-3</v>
      </c>
      <c r="V356" s="3">
        <f t="shared" si="363"/>
        <v>1.7877728054394788E-3</v>
      </c>
      <c r="W356" s="3">
        <f t="shared" si="363"/>
        <v>1.7877723614133129E-3</v>
      </c>
      <c r="X356" s="3">
        <f t="shared" si="363"/>
        <v>1.787767921157718E-3</v>
      </c>
      <c r="Y356" s="3">
        <f t="shared" si="363"/>
        <v>1.7877235192083163E-3</v>
      </c>
      <c r="Z356" s="3">
        <f t="shared" si="363"/>
        <v>1.787279560363244E-3</v>
      </c>
      <c r="AA356" s="3">
        <f t="shared" si="363"/>
        <v>1.7828460312375222E-3</v>
      </c>
      <c r="AB356" s="3">
        <f t="shared" si="363"/>
        <v>1.7391111409843746E-3</v>
      </c>
      <c r="AC356" s="3">
        <f t="shared" si="363"/>
        <v>1.3566328337477757E-3</v>
      </c>
      <c r="AD356" s="3">
        <f t="shared" si="363"/>
        <v>1.1319107629610632E-4</v>
      </c>
      <c r="AE356" s="3">
        <f t="shared" si="363"/>
        <v>1.8505927070592759E-15</v>
      </c>
      <c r="AF356" s="3">
        <f t="shared" si="363"/>
        <v>2.5252095011643606E-123</v>
      </c>
      <c r="AG356" s="3"/>
      <c r="AH356" s="3"/>
    </row>
    <row r="357" spans="1:34" x14ac:dyDescent="0.25">
      <c r="B357" s="3">
        <f t="shared" ref="B357:AF357" si="364">$C48*EXP(-B$363/$A48/EXP(-$G$126))</f>
        <v>1.1370273508997292E-2</v>
      </c>
      <c r="C357" s="3">
        <f t="shared" si="364"/>
        <v>1.1370273508997292E-2</v>
      </c>
      <c r="D357" s="3">
        <f t="shared" si="364"/>
        <v>1.1370273508997292E-2</v>
      </c>
      <c r="E357" s="3">
        <f t="shared" si="364"/>
        <v>1.1370273508997292E-2</v>
      </c>
      <c r="F357" s="3">
        <f t="shared" si="364"/>
        <v>1.1370273508997292E-2</v>
      </c>
      <c r="G357" s="3">
        <f t="shared" si="364"/>
        <v>1.1370273508997292E-2</v>
      </c>
      <c r="H357" s="3">
        <f t="shared" si="364"/>
        <v>1.1370273508997292E-2</v>
      </c>
      <c r="I357" s="3">
        <f t="shared" si="364"/>
        <v>1.1370273508997292E-2</v>
      </c>
      <c r="J357" s="3">
        <f t="shared" si="364"/>
        <v>1.1370273508997292E-2</v>
      </c>
      <c r="K357" s="3">
        <f t="shared" si="364"/>
        <v>1.1370273508997292E-2</v>
      </c>
      <c r="L357" s="3">
        <f t="shared" si="364"/>
        <v>1.1370273508997292E-2</v>
      </c>
      <c r="M357" s="3">
        <f t="shared" si="364"/>
        <v>1.1370273508997292E-2</v>
      </c>
      <c r="N357" s="3">
        <f t="shared" si="364"/>
        <v>1.1370273508997292E-2</v>
      </c>
      <c r="O357" s="3">
        <f t="shared" si="364"/>
        <v>1.1370273508997291E-2</v>
      </c>
      <c r="P357" s="3">
        <f t="shared" si="364"/>
        <v>1.1370273508997261E-2</v>
      </c>
      <c r="Q357" s="3">
        <f t="shared" si="364"/>
        <v>1.1370273508996978E-2</v>
      </c>
      <c r="R357" s="3">
        <f t="shared" si="364"/>
        <v>1.1370273508994154E-2</v>
      </c>
      <c r="S357" s="3">
        <f t="shared" si="364"/>
        <v>1.1370273508965915E-2</v>
      </c>
      <c r="T357" s="3">
        <f t="shared" si="364"/>
        <v>1.1370273508683512E-2</v>
      </c>
      <c r="U357" s="3">
        <f t="shared" si="364"/>
        <v>1.1370273505859497E-2</v>
      </c>
      <c r="V357" s="3">
        <f t="shared" si="364"/>
        <v>1.1370273477619333E-2</v>
      </c>
      <c r="W357" s="3">
        <f t="shared" si="364"/>
        <v>1.1370273195217705E-2</v>
      </c>
      <c r="X357" s="3">
        <f t="shared" si="364"/>
        <v>1.1370270371201814E-2</v>
      </c>
      <c r="Y357" s="3">
        <f t="shared" si="364"/>
        <v>1.1370242131081471E-2</v>
      </c>
      <c r="Z357" s="3">
        <f t="shared" si="364"/>
        <v>1.1369959733735701E-2</v>
      </c>
      <c r="AA357" s="3">
        <f t="shared" si="364"/>
        <v>1.1367136146006575E-2</v>
      </c>
      <c r="AB357" s="3">
        <f t="shared" si="364"/>
        <v>1.1338938806151624E-2</v>
      </c>
      <c r="AC357" s="3">
        <f t="shared" si="364"/>
        <v>1.1060783970801107E-2</v>
      </c>
      <c r="AD357" s="3">
        <f t="shared" si="364"/>
        <v>8.6282137743574506E-3</v>
      </c>
      <c r="AE357" s="3">
        <f t="shared" si="364"/>
        <v>7.1989766083900141E-4</v>
      </c>
      <c r="AF357" s="3">
        <f t="shared" si="364"/>
        <v>1.1769809110150814E-14</v>
      </c>
      <c r="AG357" s="3"/>
      <c r="AH357" s="3"/>
    </row>
    <row r="358" spans="1:34" x14ac:dyDescent="0.25">
      <c r="A358" s="79">
        <f>AVERAGE(B358:AF358)</f>
        <v>3.0372465580943694E-2</v>
      </c>
      <c r="B358" s="80">
        <f>IF($A$64&lt;=B324,IF($B$64&gt;=B324,ABS((B326-B325)/B325),0),0)</f>
        <v>3.7490711152725889E-3</v>
      </c>
      <c r="C358" s="80">
        <f t="shared" ref="C358:AF358" si="365">IF($A$64&lt;=C324,IF($B$64&gt;=C324,ABS((C326-C325)/C325),0),0)</f>
        <v>1.4372728835494572E-2</v>
      </c>
      <c r="D358" s="80">
        <f t="shared" si="365"/>
        <v>1.3956935149846998E-2</v>
      </c>
      <c r="E358" s="80">
        <f t="shared" si="365"/>
        <v>1.3932882460059425E-2</v>
      </c>
      <c r="F358" s="80">
        <f t="shared" si="365"/>
        <v>1.5400502043959503E-2</v>
      </c>
      <c r="G358" s="80">
        <f t="shared" si="365"/>
        <v>1.6590413270799888E-2</v>
      </c>
      <c r="H358" s="80">
        <f t="shared" si="365"/>
        <v>1.5826377629505898E-2</v>
      </c>
      <c r="I358" s="80">
        <f t="shared" si="365"/>
        <v>1.3454432488085484E-2</v>
      </c>
      <c r="J358" s="80">
        <f t="shared" si="365"/>
        <v>1.3558731757423701E-2</v>
      </c>
      <c r="K358" s="80">
        <f t="shared" si="365"/>
        <v>1.3700758444610859E-2</v>
      </c>
      <c r="L358" s="80">
        <f t="shared" si="365"/>
        <v>1.2258897287855322E-2</v>
      </c>
      <c r="M358" s="80">
        <f t="shared" si="365"/>
        <v>1.4573760405790136E-2</v>
      </c>
      <c r="N358" s="80">
        <f t="shared" si="365"/>
        <v>1.2905866994979516E-2</v>
      </c>
      <c r="O358" s="80">
        <f t="shared" si="365"/>
        <v>1.1720514365411624E-2</v>
      </c>
      <c r="P358" s="80">
        <f t="shared" si="365"/>
        <v>1.8291313510483954E-2</v>
      </c>
      <c r="Q358" s="80">
        <f t="shared" si="365"/>
        <v>5.1549309652580595E-2</v>
      </c>
      <c r="R358" s="80">
        <f t="shared" si="365"/>
        <v>5.6738767324196346E-2</v>
      </c>
      <c r="S358" s="80">
        <f t="shared" si="365"/>
        <v>3.0110060552871555E-2</v>
      </c>
      <c r="T358" s="80">
        <f t="shared" si="365"/>
        <v>8.0785903488927932E-3</v>
      </c>
      <c r="U358" s="80">
        <f t="shared" si="365"/>
        <v>5.9355657551320634E-2</v>
      </c>
      <c r="V358" s="80">
        <f t="shared" si="365"/>
        <v>8.2583655095011567E-3</v>
      </c>
      <c r="W358" s="80">
        <f t="shared" si="365"/>
        <v>3.3922060569033123E-2</v>
      </c>
      <c r="X358" s="80">
        <f t="shared" si="365"/>
        <v>8.7182259099785836E-4</v>
      </c>
      <c r="Y358" s="80">
        <f t="shared" si="365"/>
        <v>9.6569576192122256E-3</v>
      </c>
      <c r="Z358" s="80">
        <f t="shared" si="365"/>
        <v>2.7986933856228419E-3</v>
      </c>
      <c r="AA358" s="80">
        <f t="shared" si="365"/>
        <v>4.7114249469130026E-4</v>
      </c>
      <c r="AB358" s="80">
        <f t="shared" si="365"/>
        <v>2.4347852615644143E-3</v>
      </c>
      <c r="AC358" s="80">
        <f t="shared" si="365"/>
        <v>4.4687372664811145E-3</v>
      </c>
      <c r="AD358" s="80">
        <f t="shared" si="365"/>
        <v>3.203235340318681E-2</v>
      </c>
      <c r="AE358" s="80">
        <f t="shared" si="365"/>
        <v>0.2101792903336463</v>
      </c>
      <c r="AF358" s="80">
        <f t="shared" si="365"/>
        <v>0.22632665338587596</v>
      </c>
    </row>
    <row r="359" spans="1:34" x14ac:dyDescent="0.25">
      <c r="B359" s="21">
        <f>(B326-B325)^2</f>
        <v>1176.7219078521525</v>
      </c>
      <c r="C359" s="21">
        <f t="shared" ref="C359:AF359" si="366">(C326-C325)^2</f>
        <v>16071.007276709766</v>
      </c>
      <c r="D359" s="21">
        <f t="shared" si="366"/>
        <v>14186.406393983187</v>
      </c>
      <c r="E359" s="21">
        <f t="shared" si="366"/>
        <v>13288.674115432656</v>
      </c>
      <c r="F359" s="21">
        <f t="shared" si="366"/>
        <v>15099.969623741807</v>
      </c>
      <c r="G359" s="21">
        <f t="shared" si="366"/>
        <v>16004.070071472433</v>
      </c>
      <c r="H359" s="21">
        <f t="shared" si="366"/>
        <v>13169.41233147698</v>
      </c>
      <c r="I359" s="21">
        <f t="shared" si="366"/>
        <v>8679.4905775759671</v>
      </c>
      <c r="J359" s="21">
        <f t="shared" si="366"/>
        <v>8115.0703031321254</v>
      </c>
      <c r="K359" s="21">
        <f t="shared" si="366"/>
        <v>7593.3918035955348</v>
      </c>
      <c r="L359" s="21">
        <f t="shared" si="366"/>
        <v>5550.1719608570511</v>
      </c>
      <c r="M359" s="21">
        <f t="shared" si="366"/>
        <v>7131.0352065491479</v>
      </c>
      <c r="N359" s="21">
        <f t="shared" si="366"/>
        <v>5033.8316278568582</v>
      </c>
      <c r="O359" s="21">
        <f t="shared" si="366"/>
        <v>3632.6101596019566</v>
      </c>
      <c r="P359" s="21">
        <f t="shared" si="366"/>
        <v>7565.7256033409849</v>
      </c>
      <c r="Q359" s="21">
        <f t="shared" si="366"/>
        <v>48223.172204383809</v>
      </c>
      <c r="R359" s="21">
        <f t="shared" si="366"/>
        <v>41928.074826457989</v>
      </c>
      <c r="S359" s="21">
        <f t="shared" si="366"/>
        <v>7597.8287827639724</v>
      </c>
      <c r="T359" s="21">
        <f t="shared" si="366"/>
        <v>318.19280619484857</v>
      </c>
      <c r="U359" s="21">
        <f t="shared" si="366"/>
        <v>8915.1502369649206</v>
      </c>
      <c r="V359" s="21">
        <f t="shared" si="366"/>
        <v>87.765969088640176</v>
      </c>
      <c r="W359" s="21">
        <f t="shared" si="366"/>
        <v>789.11332372269135</v>
      </c>
      <c r="X359" s="21">
        <f t="shared" si="366"/>
        <v>0.34613905870113321</v>
      </c>
      <c r="Y359" s="21">
        <f t="shared" si="366"/>
        <v>32.532462093433793</v>
      </c>
      <c r="Z359" s="21">
        <f t="shared" si="366"/>
        <v>2.3897469201362669</v>
      </c>
      <c r="AA359" s="21">
        <f t="shared" si="366"/>
        <v>6.0832191948037247E-2</v>
      </c>
      <c r="AB359" s="21">
        <f t="shared" si="366"/>
        <v>1.5521104956017409</v>
      </c>
      <c r="AC359" s="21">
        <f t="shared" si="366"/>
        <v>4.8828383152638528</v>
      </c>
      <c r="AD359" s="21">
        <f t="shared" si="366"/>
        <v>228.28943596284032</v>
      </c>
      <c r="AE359" s="21">
        <f t="shared" si="366"/>
        <v>9704.9975988464867</v>
      </c>
      <c r="AF359" s="21">
        <f t="shared" si="366"/>
        <v>11242.092627497139</v>
      </c>
      <c r="AG359" s="3"/>
      <c r="AH359" s="3"/>
    </row>
    <row r="360" spans="1:34" x14ac:dyDescent="0.25">
      <c r="A360" s="71">
        <f>SUM(B360:AF360)</f>
        <v>271374.03090413712</v>
      </c>
      <c r="B360" s="60">
        <f>IF($A$64&lt;=B324,IF($B$64&gt;=B324,ABS(B359),0),0)</f>
        <v>1176.7219078521525</v>
      </c>
      <c r="C360" s="60">
        <f t="shared" ref="C360:AF360" si="367">IF($A$64&lt;=C324,IF($B$64&gt;=C324,ABS(C359),0),0)</f>
        <v>16071.007276709766</v>
      </c>
      <c r="D360" s="60">
        <f t="shared" si="367"/>
        <v>14186.406393983187</v>
      </c>
      <c r="E360" s="60">
        <f t="shared" si="367"/>
        <v>13288.674115432656</v>
      </c>
      <c r="F360" s="60">
        <f t="shared" si="367"/>
        <v>15099.969623741807</v>
      </c>
      <c r="G360" s="60">
        <f t="shared" si="367"/>
        <v>16004.070071472433</v>
      </c>
      <c r="H360" s="60">
        <f t="shared" si="367"/>
        <v>13169.41233147698</v>
      </c>
      <c r="I360" s="60">
        <f t="shared" si="367"/>
        <v>8679.4905775759671</v>
      </c>
      <c r="J360" s="60">
        <f t="shared" si="367"/>
        <v>8115.0703031321254</v>
      </c>
      <c r="K360" s="60">
        <f t="shared" si="367"/>
        <v>7593.3918035955348</v>
      </c>
      <c r="L360" s="60">
        <f t="shared" si="367"/>
        <v>5550.1719608570511</v>
      </c>
      <c r="M360" s="60">
        <f t="shared" si="367"/>
        <v>7131.0352065491479</v>
      </c>
      <c r="N360" s="60">
        <f t="shared" si="367"/>
        <v>5033.8316278568582</v>
      </c>
      <c r="O360" s="60">
        <f t="shared" si="367"/>
        <v>3632.6101596019566</v>
      </c>
      <c r="P360" s="60">
        <f t="shared" si="367"/>
        <v>7565.7256033409849</v>
      </c>
      <c r="Q360" s="60">
        <f t="shared" si="367"/>
        <v>48223.172204383809</v>
      </c>
      <c r="R360" s="60">
        <f t="shared" si="367"/>
        <v>41928.074826457989</v>
      </c>
      <c r="S360" s="60">
        <f t="shared" si="367"/>
        <v>7597.8287827639724</v>
      </c>
      <c r="T360" s="60">
        <f t="shared" si="367"/>
        <v>318.19280619484857</v>
      </c>
      <c r="U360" s="60">
        <f t="shared" si="367"/>
        <v>8915.1502369649206</v>
      </c>
      <c r="V360" s="60">
        <f t="shared" si="367"/>
        <v>87.765969088640176</v>
      </c>
      <c r="W360" s="60">
        <f t="shared" si="367"/>
        <v>789.11332372269135</v>
      </c>
      <c r="X360" s="60">
        <f t="shared" si="367"/>
        <v>0.34613905870113321</v>
      </c>
      <c r="Y360" s="60">
        <f t="shared" si="367"/>
        <v>32.532462093433793</v>
      </c>
      <c r="Z360" s="60">
        <f t="shared" si="367"/>
        <v>2.3897469201362669</v>
      </c>
      <c r="AA360" s="60">
        <f t="shared" si="367"/>
        <v>6.0832191948037247E-2</v>
      </c>
      <c r="AB360" s="60">
        <f t="shared" si="367"/>
        <v>1.5521104956017409</v>
      </c>
      <c r="AC360" s="60">
        <f t="shared" si="367"/>
        <v>4.8828383152638528</v>
      </c>
      <c r="AD360" s="60">
        <f t="shared" si="367"/>
        <v>228.28943596284032</v>
      </c>
      <c r="AE360" s="60">
        <f t="shared" si="367"/>
        <v>9704.9975988464867</v>
      </c>
      <c r="AF360" s="60">
        <f t="shared" si="367"/>
        <v>11242.092627497139</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8426.4757441054771</v>
      </c>
      <c r="C364" s="26">
        <f>INDEX(Comparison!$AM$3:$AS$33,G$14,$H$122)</f>
        <v>8085.1354599765227</v>
      </c>
      <c r="D364" s="26">
        <f>INDEX(Comparison!$AM$3:$AS$33,H$14,$H$122)</f>
        <v>7751.6368467103184</v>
      </c>
      <c r="E364" s="26">
        <f>INDEX(Comparison!$AM$3:$AS$33,I$14,$H$122)</f>
        <v>7379.8266913065718</v>
      </c>
      <c r="F364" s="26">
        <f>INDEX(Comparison!$AM$3:$AS$33,J$14,$H$122)</f>
        <v>7023.3701518062126</v>
      </c>
      <c r="G364" s="26">
        <f>INDEX(Comparison!$AM$3:$AS$33,K$14,$H$122)</f>
        <v>6738.7256441372629</v>
      </c>
      <c r="H364" s="26">
        <f>INDEX(Comparison!$AM$3:$AS$33,L$14,$H$122)</f>
        <v>6452.9254698981604</v>
      </c>
      <c r="I364" s="26">
        <f>INDEX(Comparison!$AM$3:$AS$33,M$14,$H$122)</f>
        <v>6178.6253583876323</v>
      </c>
      <c r="J364" s="26">
        <f>INDEX(Comparison!$AM$3:$AS$33,N$14,$H$122)</f>
        <v>5887.9416764587622</v>
      </c>
      <c r="K364" s="26">
        <f>INDEX(Comparison!$AM$3:$AS$33,O$14,$H$122)</f>
        <v>5619.2322674786419</v>
      </c>
      <c r="L364" s="26">
        <f>INDEX(Comparison!$AM$3:$AS$33,P$14,$H$122)</f>
        <v>5280.3661713673137</v>
      </c>
      <c r="M364" s="26">
        <f>INDEX(Comparison!$AM$3:$AS$33,Q$14,$H$122)</f>
        <v>4925.7855811728932</v>
      </c>
      <c r="N364" s="26">
        <f>INDEX(Comparison!$AM$3:$AS$33,R$14,$H$122)</f>
        <v>4516.2157436003417</v>
      </c>
      <c r="O364" s="26">
        <f>INDEX(Comparison!$AM$3:$AS$33,S$14,$H$122)</f>
        <v>4054.7135164176284</v>
      </c>
      <c r="P364" s="26">
        <f>INDEX(Comparison!$AM$3:$AS$33,T$14,$H$122)</f>
        <v>3480.9757019740573</v>
      </c>
      <c r="Q364" s="26">
        <f>INDEX(Comparison!$AM$3:$AS$33,U$14,$H$122)</f>
        <v>2776.8290278599252</v>
      </c>
      <c r="R364" s="26">
        <f>INDEX(Comparison!$AM$3:$AS$33,V$14,$H$122)</f>
        <v>2021.5623770745678</v>
      </c>
      <c r="S364" s="26">
        <f>INDEX(Comparison!$AM$3:$AS$33,W$14,$H$122)</f>
        <v>1425.0251284859655</v>
      </c>
      <c r="T364" s="26">
        <f>INDEX(Comparison!$AM$3:$AS$33,X$14,$H$122)</f>
        <v>1000.3144588532851</v>
      </c>
      <c r="U364" s="26">
        <f>INDEX(Comparison!$AM$3:$AS$33,Y$14,$H$122)</f>
        <v>766.53007991277559</v>
      </c>
      <c r="V364" s="26">
        <f>INDEX(Comparison!$AM$3:$AS$33,Z$14,$H$122)</f>
        <v>637.70408339015069</v>
      </c>
      <c r="W364" s="26">
        <f>INDEX(Comparison!$AM$3:$AS$33,AA$14,$H$122)</f>
        <v>580.81989332695025</v>
      </c>
      <c r="X364" s="26">
        <f>INDEX(Comparison!$AM$3:$AS$33,AB$14,$H$122)</f>
        <v>540.7919524224219</v>
      </c>
      <c r="Y364" s="26">
        <f>INDEX(Comparison!$AM$3:$AS$33,AC$14,$H$122)</f>
        <v>519.88174858869183</v>
      </c>
      <c r="Z364" s="26">
        <f>INDEX(Comparison!$AM$3:$AS$33,AD$14,$H$122)</f>
        <v>509.34643430573385</v>
      </c>
      <c r="AA364" s="26">
        <f>INDEX(Comparison!$AM$3:$AS$33,AE$14,$H$122)</f>
        <v>480.55733666885891</v>
      </c>
      <c r="AB364" s="26">
        <f>INDEX(Comparison!$AM$3:$AS$33,AF$14,$H$122)</f>
        <v>471.54124630560909</v>
      </c>
      <c r="AC364" s="26">
        <f>INDEX(Comparison!$AM$3:$AS$33,AG$14,$H$122)</f>
        <v>469.40352706055</v>
      </c>
      <c r="AD364" s="26">
        <f>INDEX(Comparison!$AM$3:$AS$33,AH$14,$H$122)</f>
        <v>469.06241231883331</v>
      </c>
      <c r="AE364" s="26">
        <f>INDEX(Comparison!$AM$3:$AS$33,AI$14,$H$122)</f>
        <v>467.11183046926152</v>
      </c>
      <c r="AF364" s="26">
        <f>INDEX(Comparison!$AM$3:$AS$33,AJ$14,$H$122)</f>
        <v>466.16000667860783</v>
      </c>
      <c r="AG364" s="26"/>
      <c r="AH364" s="26"/>
    </row>
    <row r="365" spans="1:34" x14ac:dyDescent="0.25">
      <c r="A365" s="70" t="s">
        <v>22</v>
      </c>
      <c r="B365" s="27">
        <f>($C$17+SUM(B366:B396))*$B$51</f>
        <v>8526.2135698452912</v>
      </c>
      <c r="C365" s="27">
        <f t="shared" ref="C365:AF365" si="368">($C$17+SUM(C366:C396))*$B$51</f>
        <v>8260.0253203562279</v>
      </c>
      <c r="D365" s="27">
        <f t="shared" si="368"/>
        <v>7945.8222109781709</v>
      </c>
      <c r="E365" s="27">
        <f t="shared" si="368"/>
        <v>7577.078255392039</v>
      </c>
      <c r="F365" s="27">
        <f t="shared" si="368"/>
        <v>7207.806628064377</v>
      </c>
      <c r="G365" s="27">
        <f t="shared" si="368"/>
        <v>6894.5858041713873</v>
      </c>
      <c r="H365" s="27">
        <f t="shared" si="368"/>
        <v>6614.1790040338465</v>
      </c>
      <c r="I365" s="27">
        <f t="shared" si="368"/>
        <v>6323.1934816450294</v>
      </c>
      <c r="J365" s="27">
        <f t="shared" si="368"/>
        <v>6037.8177840962207</v>
      </c>
      <c r="K365" s="27">
        <f t="shared" si="368"/>
        <v>5753.6054417258692</v>
      </c>
      <c r="L365" s="27">
        <f t="shared" si="368"/>
        <v>5422.9625285928178</v>
      </c>
      <c r="M365" s="27">
        <f t="shared" si="368"/>
        <v>4995.0184172579238</v>
      </c>
      <c r="N365" s="27">
        <f t="shared" si="368"/>
        <v>4399.7944253580954</v>
      </c>
      <c r="O365" s="27">
        <f t="shared" si="368"/>
        <v>3750.0802401433716</v>
      </c>
      <c r="P365" s="27">
        <f t="shared" si="368"/>
        <v>3119.6338202029606</v>
      </c>
      <c r="Q365" s="27">
        <f t="shared" si="368"/>
        <v>2521.365458063739</v>
      </c>
      <c r="R365" s="27">
        <f t="shared" si="368"/>
        <v>1911.6990774940077</v>
      </c>
      <c r="S365" s="27">
        <f t="shared" si="368"/>
        <v>1420.0538981577163</v>
      </c>
      <c r="T365" s="27">
        <f t="shared" si="368"/>
        <v>1007.6513917681418</v>
      </c>
      <c r="U365" s="27">
        <f t="shared" si="368"/>
        <v>769.03840674125411</v>
      </c>
      <c r="V365" s="27">
        <f t="shared" si="368"/>
        <v>634.83836834153465</v>
      </c>
      <c r="W365" s="27">
        <f t="shared" si="368"/>
        <v>574.94347545269841</v>
      </c>
      <c r="X365" s="27">
        <f t="shared" si="368"/>
        <v>537.76923493817083</v>
      </c>
      <c r="Y365" s="27">
        <f t="shared" si="368"/>
        <v>517.35811871894998</v>
      </c>
      <c r="Z365" s="27">
        <f t="shared" si="368"/>
        <v>505.47418572341837</v>
      </c>
      <c r="AA365" s="27">
        <f t="shared" si="368"/>
        <v>484.19631102229857</v>
      </c>
      <c r="AB365" s="27">
        <f t="shared" si="368"/>
        <v>417.66399160363568</v>
      </c>
      <c r="AC365" s="27">
        <f t="shared" si="368"/>
        <v>362.49038523758685</v>
      </c>
      <c r="AD365" s="27">
        <f t="shared" si="368"/>
        <v>362.44783789742661</v>
      </c>
      <c r="AE365" s="27">
        <f t="shared" si="368"/>
        <v>362.44783789742661</v>
      </c>
      <c r="AF365" s="27">
        <f t="shared" si="368"/>
        <v>362.44783789742661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2.0112798809658079E-82</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1.8923423059081355E-9</v>
      </c>
      <c r="C369" s="3">
        <f t="shared" si="372"/>
        <v>2.4243218702439583E-74</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5.6424941196206863E-3</v>
      </c>
      <c r="C370" s="3">
        <f t="shared" si="373"/>
        <v>7.9001608301792458E-9</v>
      </c>
      <c r="D370" s="3">
        <f t="shared" si="373"/>
        <v>2.2870944919761739E-67</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2.188511407908687E-2</v>
      </c>
      <c r="C371" s="3">
        <f t="shared" si="374"/>
        <v>6.4876017472484827E-3</v>
      </c>
      <c r="D371" s="3">
        <f t="shared" si="374"/>
        <v>3.3996785517366451E-8</v>
      </c>
      <c r="E371" s="3">
        <f t="shared" si="374"/>
        <v>5.3085338098779463E-61</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3.1463864790349794E-2</v>
      </c>
      <c r="C372" s="3">
        <f t="shared" si="375"/>
        <v>2.8195269116397453E-2</v>
      </c>
      <c r="D372" s="3">
        <f t="shared" si="375"/>
        <v>9.4149499306453149E-3</v>
      </c>
      <c r="E372" s="3">
        <f t="shared" si="375"/>
        <v>1.6226906007031529E-7</v>
      </c>
      <c r="F372" s="3">
        <f t="shared" si="375"/>
        <v>3.7532956770337189E-55</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3.8239490282712292E-2</v>
      </c>
      <c r="C373" s="3">
        <f t="shared" si="376"/>
        <v>3.7862993521564962E-2</v>
      </c>
      <c r="D373" s="3">
        <f t="shared" si="376"/>
        <v>3.4296000113141302E-2</v>
      </c>
      <c r="E373" s="3">
        <f t="shared" si="376"/>
        <v>1.275054416262378E-2</v>
      </c>
      <c r="F373" s="3">
        <f t="shared" si="376"/>
        <v>6.4325207906638522E-7</v>
      </c>
      <c r="G373" s="3">
        <f t="shared" si="376"/>
        <v>6.8691972314769643E-50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3.6017273070051536E-2</v>
      </c>
      <c r="C374" s="3">
        <f t="shared" si="377"/>
        <v>3.5985139456483677E-2</v>
      </c>
      <c r="D374" s="3">
        <f t="shared" si="377"/>
        <v>3.566537588765506E-2</v>
      </c>
      <c r="E374" s="3">
        <f t="shared" si="377"/>
        <v>3.2619925138158284E-2</v>
      </c>
      <c r="F374" s="3">
        <f t="shared" si="377"/>
        <v>1.3361170462207781E-2</v>
      </c>
      <c r="G374" s="3">
        <f t="shared" si="377"/>
        <v>1.776069483949561E-6</v>
      </c>
      <c r="H374" s="3">
        <f t="shared" si="377"/>
        <v>3.059246194409133E-45</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2.6935310233800341E-2</v>
      </c>
      <c r="C375" s="3">
        <f t="shared" si="378"/>
        <v>2.6933141563000886E-2</v>
      </c>
      <c r="D375" s="3">
        <f t="shared" si="378"/>
        <v>2.6911464456152365E-2</v>
      </c>
      <c r="E375" s="3">
        <f t="shared" si="378"/>
        <v>2.6695650648104318E-2</v>
      </c>
      <c r="F375" s="3">
        <f t="shared" si="378"/>
        <v>2.4630447181098126E-2</v>
      </c>
      <c r="G375" s="3">
        <f t="shared" si="378"/>
        <v>1.1010072069038059E-2</v>
      </c>
      <c r="H375" s="3">
        <f t="shared" si="378"/>
        <v>3.5072668579674059E-6</v>
      </c>
      <c r="I375" s="3">
        <f t="shared" si="378"/>
        <v>3.7735951711871347E-41</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2.7296047578212156E-2</v>
      </c>
      <c r="C376" s="3">
        <f t="shared" si="379"/>
        <v>2.7295849318754398E-2</v>
      </c>
      <c r="D376" s="3">
        <f t="shared" si="379"/>
        <v>2.7293866803376116E-2</v>
      </c>
      <c r="E376" s="3">
        <f t="shared" si="379"/>
        <v>2.7274049567394276E-2</v>
      </c>
      <c r="F376" s="3">
        <f t="shared" si="379"/>
        <v>2.7076666863946729E-2</v>
      </c>
      <c r="G376" s="3">
        <f t="shared" si="379"/>
        <v>2.5179723919654798E-2</v>
      </c>
      <c r="H376" s="3">
        <f t="shared" si="379"/>
        <v>1.2178914664763046E-2</v>
      </c>
      <c r="I376" s="3">
        <f t="shared" si="379"/>
        <v>8.5346324352873132E-6</v>
      </c>
      <c r="J376" s="3">
        <f t="shared" si="379"/>
        <v>2.4375142666545511E-37</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2.9627618603491061E-2</v>
      </c>
      <c r="C377" s="3">
        <f t="shared" si="380"/>
        <v>2.9627599191105043E-2</v>
      </c>
      <c r="D377" s="3">
        <f t="shared" si="380"/>
        <v>2.962740506794441E-2</v>
      </c>
      <c r="E377" s="3">
        <f t="shared" si="380"/>
        <v>2.9625463906292039E-2</v>
      </c>
      <c r="F377" s="3">
        <f t="shared" si="380"/>
        <v>2.9606059283470276E-2</v>
      </c>
      <c r="G377" s="3">
        <f t="shared" si="380"/>
        <v>2.9412710732940536E-2</v>
      </c>
      <c r="H377" s="3">
        <f t="shared" si="380"/>
        <v>2.7547330860031593E-2</v>
      </c>
      <c r="I377" s="3">
        <f t="shared" si="380"/>
        <v>1.4306198915854419E-2</v>
      </c>
      <c r="J377" s="3">
        <f t="shared" si="380"/>
        <v>2.0416044325356017E-5</v>
      </c>
      <c r="K377" s="3">
        <f t="shared" si="380"/>
        <v>7.1522882138539597E-34</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2.5090471586645159E-2</v>
      </c>
      <c r="C378" s="3">
        <f t="shared" si="381"/>
        <v>2.5090470103656882E-2</v>
      </c>
      <c r="D378" s="3">
        <f t="shared" si="381"/>
        <v>2.5090455273778935E-2</v>
      </c>
      <c r="E378" s="3">
        <f t="shared" si="381"/>
        <v>2.5090306975481536E-2</v>
      </c>
      <c r="F378" s="3">
        <f t="shared" si="381"/>
        <v>2.5088824040715517E-2</v>
      </c>
      <c r="G378" s="3">
        <f t="shared" si="381"/>
        <v>2.5073999512797512E-2</v>
      </c>
      <c r="H378" s="3">
        <f t="shared" si="381"/>
        <v>2.492623515546397E-2</v>
      </c>
      <c r="I378" s="3">
        <f t="shared" si="381"/>
        <v>2.3495648455656139E-2</v>
      </c>
      <c r="J378" s="3">
        <f t="shared" si="381"/>
        <v>1.3010527740348195E-2</v>
      </c>
      <c r="K378" s="3">
        <f t="shared" si="381"/>
        <v>3.5267094954564962E-5</v>
      </c>
      <c r="L378" s="3">
        <f t="shared" si="381"/>
        <v>7.5529642371445425E-31</v>
      </c>
      <c r="M378" s="3">
        <f t="shared" si="381"/>
        <v>1.5331859840366873E-287</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2.9857729546414587E-2</v>
      </c>
      <c r="C379" s="3">
        <f t="shared" si="382"/>
        <v>2.9857729387218541E-2</v>
      </c>
      <c r="D379" s="3">
        <f t="shared" si="382"/>
        <v>2.9857727795258127E-2</v>
      </c>
      <c r="E379" s="3">
        <f t="shared" si="382"/>
        <v>2.9857711875658687E-2</v>
      </c>
      <c r="F379" s="3">
        <f t="shared" si="382"/>
        <v>2.9857552680131093E-2</v>
      </c>
      <c r="G379" s="3">
        <f t="shared" si="382"/>
        <v>2.9855960771538431E-2</v>
      </c>
      <c r="H379" s="3">
        <f t="shared" si="382"/>
        <v>2.9840046353014481E-2</v>
      </c>
      <c r="I379" s="3">
        <f t="shared" si="382"/>
        <v>2.9681367988583236E-2</v>
      </c>
      <c r="J379" s="3">
        <f t="shared" si="382"/>
        <v>2.8140260425093818E-2</v>
      </c>
      <c r="K379" s="3">
        <f t="shared" si="382"/>
        <v>1.6510875483033788E-2</v>
      </c>
      <c r="L379" s="3">
        <f t="shared" si="382"/>
        <v>7.9834388079236778E-5</v>
      </c>
      <c r="M379" s="3">
        <f t="shared" si="382"/>
        <v>5.576850306204848E-28</v>
      </c>
      <c r="N379" s="3">
        <f t="shared" si="382"/>
        <v>1.5430459259150926E-259</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3.2231679524393556E-2</v>
      </c>
      <c r="C380" s="3">
        <f t="shared" si="383"/>
        <v>3.2231679508890936E-2</v>
      </c>
      <c r="D380" s="3">
        <f t="shared" si="383"/>
        <v>3.2231679353864763E-2</v>
      </c>
      <c r="E380" s="3">
        <f t="shared" si="383"/>
        <v>3.223167780360308E-2</v>
      </c>
      <c r="F380" s="3">
        <f t="shared" si="383"/>
        <v>3.2231662300990387E-2</v>
      </c>
      <c r="G380" s="3">
        <f t="shared" si="383"/>
        <v>3.2231507275273533E-2</v>
      </c>
      <c r="H380" s="3">
        <f t="shared" si="383"/>
        <v>3.2229957059114141E-2</v>
      </c>
      <c r="I380" s="3">
        <f t="shared" si="383"/>
        <v>3.221445899770977E-2</v>
      </c>
      <c r="J380" s="3">
        <f t="shared" si="383"/>
        <v>3.2059887673883625E-2</v>
      </c>
      <c r="K380" s="3">
        <f t="shared" si="383"/>
        <v>3.0554384358026643E-2</v>
      </c>
      <c r="L380" s="3">
        <f t="shared" si="383"/>
        <v>1.8888129366720352E-2</v>
      </c>
      <c r="M380" s="3">
        <f t="shared" si="383"/>
        <v>1.5393701450441843E-4</v>
      </c>
      <c r="N380" s="3">
        <f t="shared" si="383"/>
        <v>1.9901424722700133E-25</v>
      </c>
      <c r="O380" s="3">
        <f t="shared" si="383"/>
        <v>2.595943617686568E-234</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5.4486023206832671E-2</v>
      </c>
      <c r="C381" s="3">
        <f t="shared" si="384"/>
        <v>5.4486023204468638E-2</v>
      </c>
      <c r="D381" s="3">
        <f t="shared" si="384"/>
        <v>5.4486023180828291E-2</v>
      </c>
      <c r="E381" s="3">
        <f t="shared" si="384"/>
        <v>5.4486022944424853E-2</v>
      </c>
      <c r="F381" s="3">
        <f t="shared" si="384"/>
        <v>5.4486020580390523E-2</v>
      </c>
      <c r="G381" s="3">
        <f t="shared" si="384"/>
        <v>5.4485996940052871E-2</v>
      </c>
      <c r="H381" s="3">
        <f t="shared" si="384"/>
        <v>5.4485760537240448E-2</v>
      </c>
      <c r="I381" s="3">
        <f t="shared" si="384"/>
        <v>5.4483396565529009E-2</v>
      </c>
      <c r="J381" s="3">
        <f t="shared" si="384"/>
        <v>5.4459762488785923E-2</v>
      </c>
      <c r="K381" s="3">
        <f t="shared" si="384"/>
        <v>5.4223984854058674E-2</v>
      </c>
      <c r="L381" s="3">
        <f t="shared" si="384"/>
        <v>5.1921628146567561E-2</v>
      </c>
      <c r="M381" s="3">
        <f t="shared" si="384"/>
        <v>3.3644728323874211E-2</v>
      </c>
      <c r="N381" s="3">
        <f t="shared" si="384"/>
        <v>4.39141275089802E-4</v>
      </c>
      <c r="O381" s="3">
        <f t="shared" si="384"/>
        <v>6.301973697966051E-23</v>
      </c>
      <c r="P381" s="3">
        <f t="shared" si="384"/>
        <v>2.3345321719814792E-211</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6.3038463709268397E-2</v>
      </c>
      <c r="C382" s="3">
        <f t="shared" si="385"/>
        <v>6.3038463709021664E-2</v>
      </c>
      <c r="D382" s="3">
        <f t="shared" si="385"/>
        <v>6.3038463706554373E-2</v>
      </c>
      <c r="E382" s="3">
        <f t="shared" si="385"/>
        <v>6.3038463681881429E-2</v>
      </c>
      <c r="F382" s="3">
        <f t="shared" si="385"/>
        <v>6.3038463435152042E-2</v>
      </c>
      <c r="G382" s="3">
        <f t="shared" si="385"/>
        <v>6.3038460967858159E-2</v>
      </c>
      <c r="H382" s="3">
        <f t="shared" si="385"/>
        <v>6.3038436294924727E-2</v>
      </c>
      <c r="I382" s="3">
        <f t="shared" si="385"/>
        <v>6.3038189566121533E-2</v>
      </c>
      <c r="J382" s="3">
        <f t="shared" si="385"/>
        <v>6.3035722331201444E-2</v>
      </c>
      <c r="K382" s="3">
        <f t="shared" si="385"/>
        <v>6.3011055292421875E-2</v>
      </c>
      <c r="L382" s="3">
        <f t="shared" si="385"/>
        <v>6.2764915178519565E-2</v>
      </c>
      <c r="M382" s="3">
        <f t="shared" si="385"/>
        <v>6.03557814798776E-2</v>
      </c>
      <c r="N382" s="3">
        <f t="shared" si="385"/>
        <v>4.0807330925430811E-2</v>
      </c>
      <c r="O382" s="3">
        <f t="shared" si="385"/>
        <v>8.1457544464595623E-4</v>
      </c>
      <c r="P382" s="3">
        <f t="shared" si="385"/>
        <v>8.1820580523049868E-21</v>
      </c>
      <c r="Q382" s="3">
        <f t="shared" si="385"/>
        <v>8.5541129458580655E-191</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6.2855042147648671E-2</v>
      </c>
      <c r="C383" s="3">
        <f t="shared" si="386"/>
        <v>6.285504214762648E-2</v>
      </c>
      <c r="D383" s="3">
        <f t="shared" si="386"/>
        <v>6.2855042147404561E-2</v>
      </c>
      <c r="E383" s="3">
        <f t="shared" si="386"/>
        <v>6.2855042145185336E-2</v>
      </c>
      <c r="F383" s="3">
        <f t="shared" si="386"/>
        <v>6.2855042122993046E-2</v>
      </c>
      <c r="G383" s="3">
        <f t="shared" si="386"/>
        <v>6.2855041901070219E-2</v>
      </c>
      <c r="H383" s="3">
        <f t="shared" si="386"/>
        <v>6.2855039681841959E-2</v>
      </c>
      <c r="I383" s="3">
        <f t="shared" si="386"/>
        <v>6.285501748956368E-2</v>
      </c>
      <c r="J383" s="3">
        <f t="shared" si="386"/>
        <v>6.285479556721188E-2</v>
      </c>
      <c r="K383" s="3">
        <f t="shared" si="386"/>
        <v>6.2852576386788178E-2</v>
      </c>
      <c r="L383" s="3">
        <f t="shared" si="386"/>
        <v>6.2830388891422229E-2</v>
      </c>
      <c r="M383" s="3">
        <f t="shared" si="386"/>
        <v>6.2608944262504296E-2</v>
      </c>
      <c r="N383" s="3">
        <f t="shared" si="386"/>
        <v>6.0436973557149783E-2</v>
      </c>
      <c r="O383" s="3">
        <f t="shared" si="386"/>
        <v>4.2458631021080023E-2</v>
      </c>
      <c r="P383" s="3">
        <f t="shared" si="386"/>
        <v>1.2433653920348817E-3</v>
      </c>
      <c r="Q383" s="3">
        <f t="shared" si="386"/>
        <v>5.7666906221619291E-19</v>
      </c>
      <c r="R383" s="3">
        <f t="shared" si="386"/>
        <v>2.655861526785201E-172</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5.5175900384026852E-2</v>
      </c>
      <c r="C384" s="3">
        <f t="shared" si="387"/>
        <v>5.5175900384025089E-2</v>
      </c>
      <c r="D384" s="3">
        <f t="shared" si="387"/>
        <v>5.517590038400752E-2</v>
      </c>
      <c r="E384" s="3">
        <f t="shared" si="387"/>
        <v>5.5175900383831786E-2</v>
      </c>
      <c r="F384" s="3">
        <f t="shared" si="387"/>
        <v>5.5175900382074435E-2</v>
      </c>
      <c r="G384" s="3">
        <f t="shared" si="387"/>
        <v>5.517590036450095E-2</v>
      </c>
      <c r="H384" s="3">
        <f t="shared" si="387"/>
        <v>5.5175900188766107E-2</v>
      </c>
      <c r="I384" s="3">
        <f t="shared" si="387"/>
        <v>5.5175898431417701E-2</v>
      </c>
      <c r="J384" s="3">
        <f t="shared" si="387"/>
        <v>5.5175880857936684E-2</v>
      </c>
      <c r="K384" s="3">
        <f t="shared" si="387"/>
        <v>5.5175705123434365E-2</v>
      </c>
      <c r="L384" s="3">
        <f t="shared" si="387"/>
        <v>5.5173947809195115E-2</v>
      </c>
      <c r="M384" s="3">
        <f t="shared" si="387"/>
        <v>5.5156377744827706E-2</v>
      </c>
      <c r="N384" s="3">
        <f t="shared" si="387"/>
        <v>5.4980984541244268E-2</v>
      </c>
      <c r="O384" s="3">
        <f t="shared" si="387"/>
        <v>5.3257437278407038E-2</v>
      </c>
      <c r="P384" s="3">
        <f t="shared" si="387"/>
        <v>3.8730917543841503E-2</v>
      </c>
      <c r="Q384" s="3">
        <f t="shared" si="387"/>
        <v>1.602628996960231E-3</v>
      </c>
      <c r="R384" s="3">
        <f t="shared" si="387"/>
        <v>2.358224262158171E-17</v>
      </c>
      <c r="S384" s="3">
        <f t="shared" si="387"/>
        <v>1.1222927879469212E-155</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6.6863486871893876E-2</v>
      </c>
      <c r="C385" s="3">
        <f t="shared" si="388"/>
        <v>6.6863486871893682E-2</v>
      </c>
      <c r="D385" s="3">
        <f t="shared" si="388"/>
        <v>6.6863486871891767E-2</v>
      </c>
      <c r="E385" s="3">
        <f t="shared" si="388"/>
        <v>6.686348687187256E-2</v>
      </c>
      <c r="F385" s="3">
        <f t="shared" si="388"/>
        <v>6.686348687168045E-2</v>
      </c>
      <c r="G385" s="3">
        <f t="shared" si="388"/>
        <v>6.6863486869759375E-2</v>
      </c>
      <c r="H385" s="3">
        <f t="shared" si="388"/>
        <v>6.6863486850548631E-2</v>
      </c>
      <c r="I385" s="3">
        <f t="shared" si="388"/>
        <v>6.686348665844126E-2</v>
      </c>
      <c r="J385" s="3">
        <f t="shared" si="388"/>
        <v>6.6863484737367418E-2</v>
      </c>
      <c r="K385" s="3">
        <f t="shared" si="388"/>
        <v>6.6863465526632138E-2</v>
      </c>
      <c r="L385" s="3">
        <f t="shared" si="388"/>
        <v>6.68632734195828E-2</v>
      </c>
      <c r="M385" s="3">
        <f t="shared" si="388"/>
        <v>6.6861352379446307E-2</v>
      </c>
      <c r="N385" s="3">
        <f t="shared" si="388"/>
        <v>6.6842145013443502E-2</v>
      </c>
      <c r="O385" s="3">
        <f t="shared" si="388"/>
        <v>6.6650374567191792E-2</v>
      </c>
      <c r="P385" s="3">
        <f t="shared" si="388"/>
        <v>6.4762671610837985E-2</v>
      </c>
      <c r="Q385" s="3">
        <f t="shared" si="388"/>
        <v>4.8589941119324478E-2</v>
      </c>
      <c r="R385" s="3">
        <f t="shared" si="388"/>
        <v>2.7463920901574001E-3</v>
      </c>
      <c r="S385" s="3">
        <f t="shared" si="388"/>
        <v>9.1395372629296719E-16</v>
      </c>
      <c r="T385" s="3">
        <f t="shared" si="388"/>
        <v>1.522442468989499E-140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2.4965740314193043E-2</v>
      </c>
      <c r="C386" s="3">
        <f t="shared" si="389"/>
        <v>2.4965740314193036E-2</v>
      </c>
      <c r="D386" s="3">
        <f t="shared" si="389"/>
        <v>2.496574031419297E-2</v>
      </c>
      <c r="E386" s="3">
        <f t="shared" si="389"/>
        <v>2.4965740314192325E-2</v>
      </c>
      <c r="F386" s="3">
        <f t="shared" si="389"/>
        <v>2.4965740314185855E-2</v>
      </c>
      <c r="G386" s="3">
        <f t="shared" si="389"/>
        <v>2.4965740314121146E-2</v>
      </c>
      <c r="H386" s="3">
        <f t="shared" si="389"/>
        <v>2.4965740313474087E-2</v>
      </c>
      <c r="I386" s="3">
        <f t="shared" si="389"/>
        <v>2.4965740307003461E-2</v>
      </c>
      <c r="J386" s="3">
        <f t="shared" si="389"/>
        <v>2.4965740242297235E-2</v>
      </c>
      <c r="K386" s="3">
        <f t="shared" si="389"/>
        <v>2.4965739595234966E-2</v>
      </c>
      <c r="L386" s="3">
        <f t="shared" si="389"/>
        <v>2.4965733124613202E-2</v>
      </c>
      <c r="M386" s="3">
        <f t="shared" si="389"/>
        <v>2.4965668418487814E-2</v>
      </c>
      <c r="N386" s="3">
        <f t="shared" si="389"/>
        <v>2.4965021366457642E-2</v>
      </c>
      <c r="O386" s="3">
        <f t="shared" si="389"/>
        <v>2.495855176843878E-2</v>
      </c>
      <c r="P386" s="3">
        <f t="shared" si="389"/>
        <v>2.4893947928152537E-2</v>
      </c>
      <c r="Q386" s="3">
        <f t="shared" si="389"/>
        <v>2.4257035765686646E-2</v>
      </c>
      <c r="R386" s="3">
        <f t="shared" si="389"/>
        <v>1.8718767333904346E-2</v>
      </c>
      <c r="S386" s="3">
        <f t="shared" si="389"/>
        <v>1.401755998026622E-3</v>
      </c>
      <c r="T386" s="3">
        <f t="shared" si="389"/>
        <v>7.7736358340750501E-15</v>
      </c>
      <c r="U386" s="3">
        <f t="shared" si="389"/>
        <v>2.1386606445761568E-127</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4.9847103888797747E-2</v>
      </c>
      <c r="C387" s="3">
        <f t="shared" si="390"/>
        <v>4.9847103888797741E-2</v>
      </c>
      <c r="D387" s="3">
        <f t="shared" si="390"/>
        <v>4.9847103888797706E-2</v>
      </c>
      <c r="E387" s="3">
        <f t="shared" si="390"/>
        <v>4.9847103888797352E-2</v>
      </c>
      <c r="F387" s="3">
        <f t="shared" si="390"/>
        <v>4.9847103888793778E-2</v>
      </c>
      <c r="G387" s="3">
        <f t="shared" si="390"/>
        <v>4.9847103888758043E-2</v>
      </c>
      <c r="H387" s="3">
        <f t="shared" si="390"/>
        <v>4.9847103888400732E-2</v>
      </c>
      <c r="I387" s="3">
        <f t="shared" si="390"/>
        <v>4.9847103884827548E-2</v>
      </c>
      <c r="J387" s="3">
        <f t="shared" si="390"/>
        <v>4.984710384909579E-2</v>
      </c>
      <c r="K387" s="3">
        <f t="shared" si="390"/>
        <v>4.9847103491778177E-2</v>
      </c>
      <c r="L387" s="3">
        <f t="shared" si="390"/>
        <v>4.9847099918602179E-2</v>
      </c>
      <c r="M387" s="3">
        <f t="shared" si="390"/>
        <v>4.9847064186856319E-2</v>
      </c>
      <c r="N387" s="3">
        <f t="shared" si="390"/>
        <v>4.9846706870806404E-2</v>
      </c>
      <c r="O387" s="3">
        <f t="shared" si="390"/>
        <v>4.9843133851177369E-2</v>
      </c>
      <c r="P387" s="3">
        <f t="shared" si="390"/>
        <v>4.9807417738161226E-2</v>
      </c>
      <c r="Q387" s="3">
        <f t="shared" si="390"/>
        <v>4.945166120731713E-2</v>
      </c>
      <c r="R387" s="3">
        <f t="shared" si="390"/>
        <v>4.6030900821624178E-2</v>
      </c>
      <c r="S387" s="3">
        <f t="shared" si="390"/>
        <v>2.2476845617477693E-2</v>
      </c>
      <c r="T387" s="3">
        <f t="shared" si="390"/>
        <v>1.7321848986416229E-5</v>
      </c>
      <c r="U387" s="3">
        <f t="shared" si="390"/>
        <v>1.2799208161145271E-36</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2.7617180594802851E-2</v>
      </c>
      <c r="C388" s="3">
        <f t="shared" si="391"/>
        <v>2.7617180594802851E-2</v>
      </c>
      <c r="D388" s="3">
        <f t="shared" si="391"/>
        <v>2.7617180594802847E-2</v>
      </c>
      <c r="E388" s="3">
        <f t="shared" si="391"/>
        <v>2.761718059480283E-2</v>
      </c>
      <c r="F388" s="3">
        <f t="shared" si="391"/>
        <v>2.7617180594802629E-2</v>
      </c>
      <c r="G388" s="3">
        <f t="shared" si="391"/>
        <v>2.7617180594800651E-2</v>
      </c>
      <c r="H388" s="3">
        <f t="shared" si="391"/>
        <v>2.7617180594780855E-2</v>
      </c>
      <c r="I388" s="3">
        <f t="shared" si="391"/>
        <v>2.7617180594582888E-2</v>
      </c>
      <c r="J388" s="3">
        <f t="shared" si="391"/>
        <v>2.7617180592603211E-2</v>
      </c>
      <c r="K388" s="3">
        <f t="shared" si="391"/>
        <v>2.7617180572806467E-2</v>
      </c>
      <c r="L388" s="3">
        <f t="shared" si="391"/>
        <v>2.7617180374838995E-2</v>
      </c>
      <c r="M388" s="3">
        <f t="shared" si="391"/>
        <v>2.7617178395164369E-2</v>
      </c>
      <c r="N388" s="3">
        <f t="shared" si="391"/>
        <v>2.7617158598425912E-2</v>
      </c>
      <c r="O388" s="3">
        <f t="shared" si="391"/>
        <v>2.7616960631821837E-2</v>
      </c>
      <c r="P388" s="3">
        <f t="shared" si="391"/>
        <v>2.7614981043828441E-2</v>
      </c>
      <c r="Q388" s="3">
        <f t="shared" si="391"/>
        <v>2.7595192966560971E-2</v>
      </c>
      <c r="R388" s="3">
        <f t="shared" si="391"/>
        <v>2.7398090395025013E-2</v>
      </c>
      <c r="S388" s="3">
        <f t="shared" si="391"/>
        <v>2.5502859780344094E-2</v>
      </c>
      <c r="T388" s="3">
        <f t="shared" si="391"/>
        <v>1.2453022466544667E-2</v>
      </c>
      <c r="U388" s="3">
        <f t="shared" si="391"/>
        <v>9.5969593892749153E-6</v>
      </c>
      <c r="V388" s="3">
        <f t="shared" si="391"/>
        <v>7.0912453418635101E-37</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1.9414083287208013E-2</v>
      </c>
      <c r="C389" s="3">
        <f t="shared" si="392"/>
        <v>1.9414083287208013E-2</v>
      </c>
      <c r="D389" s="3">
        <f t="shared" si="392"/>
        <v>1.9414083287208013E-2</v>
      </c>
      <c r="E389" s="3">
        <f t="shared" si="392"/>
        <v>1.9414083287208009E-2</v>
      </c>
      <c r="F389" s="3">
        <f t="shared" si="392"/>
        <v>1.9414083287207999E-2</v>
      </c>
      <c r="G389" s="3">
        <f t="shared" si="392"/>
        <v>1.9414083287207857E-2</v>
      </c>
      <c r="H389" s="3">
        <f t="shared" si="392"/>
        <v>1.9414083287206469E-2</v>
      </c>
      <c r="I389" s="3">
        <f t="shared" si="392"/>
        <v>1.941408328719255E-2</v>
      </c>
      <c r="J389" s="3">
        <f t="shared" si="392"/>
        <v>1.9414083287053383E-2</v>
      </c>
      <c r="K389" s="3">
        <f t="shared" si="392"/>
        <v>1.9414083285661729E-2</v>
      </c>
      <c r="L389" s="3">
        <f t="shared" si="392"/>
        <v>1.9414083271745187E-2</v>
      </c>
      <c r="M389" s="3">
        <f t="shared" si="392"/>
        <v>1.9414083132579751E-2</v>
      </c>
      <c r="N389" s="3">
        <f t="shared" si="392"/>
        <v>1.9414081740925453E-2</v>
      </c>
      <c r="O389" s="3">
        <f t="shared" si="392"/>
        <v>1.9414067824387961E-2</v>
      </c>
      <c r="P389" s="3">
        <f t="shared" si="392"/>
        <v>1.9413928659561687E-2</v>
      </c>
      <c r="Q389" s="3">
        <f t="shared" si="392"/>
        <v>1.9412537066164012E-2</v>
      </c>
      <c r="R389" s="3">
        <f t="shared" si="392"/>
        <v>1.9398626617237277E-2</v>
      </c>
      <c r="S389" s="3">
        <f t="shared" si="392"/>
        <v>1.9260069180978126E-2</v>
      </c>
      <c r="T389" s="3">
        <f t="shared" si="392"/>
        <v>1.7927776593196519E-2</v>
      </c>
      <c r="U389" s="3">
        <f t="shared" si="392"/>
        <v>8.7541164643166799E-3</v>
      </c>
      <c r="V389" s="3">
        <f t="shared" si="392"/>
        <v>6.7463863028218794E-6</v>
      </c>
      <c r="W389" s="3">
        <f t="shared" si="392"/>
        <v>4.9849414281945757E-37</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7.1410981840430545E-3</v>
      </c>
      <c r="C390" s="3">
        <f t="shared" si="393"/>
        <v>7.1410981840430545E-3</v>
      </c>
      <c r="D390" s="3">
        <f t="shared" si="393"/>
        <v>7.1410981840430545E-3</v>
      </c>
      <c r="E390" s="3">
        <f t="shared" si="393"/>
        <v>7.1410981840430545E-3</v>
      </c>
      <c r="F390" s="3">
        <f t="shared" si="393"/>
        <v>7.1410981840430536E-3</v>
      </c>
      <c r="G390" s="3">
        <f t="shared" si="393"/>
        <v>7.1410981840430493E-3</v>
      </c>
      <c r="H390" s="3">
        <f t="shared" si="393"/>
        <v>7.1410981840429972E-3</v>
      </c>
      <c r="I390" s="3">
        <f t="shared" si="393"/>
        <v>7.1410981840424863E-3</v>
      </c>
      <c r="J390" s="3">
        <f t="shared" si="393"/>
        <v>7.1410981840373672E-3</v>
      </c>
      <c r="K390" s="3">
        <f t="shared" si="393"/>
        <v>7.1410981839861772E-3</v>
      </c>
      <c r="L390" s="3">
        <f t="shared" si="393"/>
        <v>7.1410981834742837E-3</v>
      </c>
      <c r="M390" s="3">
        <f t="shared" si="393"/>
        <v>7.1410981783553507E-3</v>
      </c>
      <c r="N390" s="3">
        <f t="shared" si="393"/>
        <v>7.1410981271660141E-3</v>
      </c>
      <c r="O390" s="3">
        <f t="shared" si="393"/>
        <v>7.1410976152726721E-3</v>
      </c>
      <c r="P390" s="3">
        <f t="shared" si="393"/>
        <v>7.1410924963412675E-3</v>
      </c>
      <c r="Q390" s="3">
        <f t="shared" si="393"/>
        <v>7.1410413072290407E-3</v>
      </c>
      <c r="R390" s="3">
        <f t="shared" si="393"/>
        <v>7.1405294362878249E-3</v>
      </c>
      <c r="S390" s="3">
        <f t="shared" si="393"/>
        <v>7.1354127444461157E-3</v>
      </c>
      <c r="T390" s="3">
        <f t="shared" si="393"/>
        <v>7.0844470489858586E-3</v>
      </c>
      <c r="U390" s="3">
        <f t="shared" si="393"/>
        <v>6.5943887733272777E-3</v>
      </c>
      <c r="V390" s="3">
        <f t="shared" si="393"/>
        <v>3.2200338414857771E-3</v>
      </c>
      <c r="W390" s="3">
        <f t="shared" si="393"/>
        <v>2.4815288089176964E-6</v>
      </c>
      <c r="X390" s="3">
        <f t="shared" si="393"/>
        <v>1.8336150954857011E-37</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4.5211816855299626E-3</v>
      </c>
      <c r="C391" s="3">
        <f t="shared" si="394"/>
        <v>4.5211816855299626E-3</v>
      </c>
      <c r="D391" s="3">
        <f t="shared" si="394"/>
        <v>4.5211816855299626E-3</v>
      </c>
      <c r="E391" s="3">
        <f t="shared" si="394"/>
        <v>4.5211816855299626E-3</v>
      </c>
      <c r="F391" s="3">
        <f t="shared" si="394"/>
        <v>4.5211816855299626E-3</v>
      </c>
      <c r="G391" s="3">
        <f t="shared" si="394"/>
        <v>4.5211816855299618E-3</v>
      </c>
      <c r="H391" s="3">
        <f t="shared" si="394"/>
        <v>4.5211816855299592E-3</v>
      </c>
      <c r="I391" s="3">
        <f t="shared" si="394"/>
        <v>4.5211816855299262E-3</v>
      </c>
      <c r="J391" s="3">
        <f t="shared" si="394"/>
        <v>4.5211816855296027E-3</v>
      </c>
      <c r="K391" s="3">
        <f t="shared" si="394"/>
        <v>4.5211816855263614E-3</v>
      </c>
      <c r="L391" s="3">
        <f t="shared" si="394"/>
        <v>4.5211816854939524E-3</v>
      </c>
      <c r="M391" s="3">
        <f t="shared" si="394"/>
        <v>4.5211816851698618E-3</v>
      </c>
      <c r="N391" s="3">
        <f t="shared" si="394"/>
        <v>4.521181681928956E-3</v>
      </c>
      <c r="O391" s="3">
        <f t="shared" si="394"/>
        <v>4.5211816495198945E-3</v>
      </c>
      <c r="P391" s="3">
        <f t="shared" si="394"/>
        <v>4.5211813254292929E-3</v>
      </c>
      <c r="Q391" s="3">
        <f t="shared" si="394"/>
        <v>4.5211780845245591E-3</v>
      </c>
      <c r="R391" s="3">
        <f t="shared" si="394"/>
        <v>4.5211456756049867E-3</v>
      </c>
      <c r="S391" s="3">
        <f t="shared" si="394"/>
        <v>4.5208215991863277E-3</v>
      </c>
      <c r="T391" s="3">
        <f t="shared" si="394"/>
        <v>4.517582112366649E-3</v>
      </c>
      <c r="U391" s="3">
        <f t="shared" si="394"/>
        <v>4.4853146427188996E-3</v>
      </c>
      <c r="V391" s="3">
        <f t="shared" si="394"/>
        <v>4.1750482882104466E-3</v>
      </c>
      <c r="W391" s="3">
        <f t="shared" si="394"/>
        <v>2.0386721559777971E-3</v>
      </c>
      <c r="X391" s="3">
        <f t="shared" si="394"/>
        <v>1.5711088566270901E-6</v>
      </c>
      <c r="Y391" s="3">
        <f t="shared" si="394"/>
        <v>1.1609008550737556E-37</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2.8020776239336834E-3</v>
      </c>
      <c r="C392" s="3">
        <f t="shared" si="395"/>
        <v>2.8020776239336834E-3</v>
      </c>
      <c r="D392" s="3">
        <f t="shared" si="395"/>
        <v>2.8020776239336834E-3</v>
      </c>
      <c r="E392" s="3">
        <f t="shared" si="395"/>
        <v>2.8020776239336834E-3</v>
      </c>
      <c r="F392" s="3">
        <f t="shared" si="395"/>
        <v>2.8020776239336834E-3</v>
      </c>
      <c r="G392" s="3">
        <f t="shared" si="395"/>
        <v>2.8020776239336834E-3</v>
      </c>
      <c r="H392" s="3">
        <f t="shared" si="395"/>
        <v>2.802077623933683E-3</v>
      </c>
      <c r="I392" s="3">
        <f t="shared" si="395"/>
        <v>2.8020776239336812E-3</v>
      </c>
      <c r="J392" s="3">
        <f t="shared" si="395"/>
        <v>2.8020776239336609E-3</v>
      </c>
      <c r="K392" s="3">
        <f t="shared" si="395"/>
        <v>2.8020776239334605E-3</v>
      </c>
      <c r="L392" s="3">
        <f t="shared" si="395"/>
        <v>2.8020776239314517E-3</v>
      </c>
      <c r="M392" s="3">
        <f t="shared" si="395"/>
        <v>2.8020776239113658E-3</v>
      </c>
      <c r="N392" s="3">
        <f t="shared" si="395"/>
        <v>2.8020776237105047E-3</v>
      </c>
      <c r="O392" s="3">
        <f t="shared" si="395"/>
        <v>2.8020776217018996E-3</v>
      </c>
      <c r="P392" s="3">
        <f t="shared" si="395"/>
        <v>2.802077601615844E-3</v>
      </c>
      <c r="Q392" s="3">
        <f t="shared" si="395"/>
        <v>2.8020774007552983E-3</v>
      </c>
      <c r="R392" s="3">
        <f t="shared" si="395"/>
        <v>2.8020753921506303E-3</v>
      </c>
      <c r="S392" s="3">
        <f t="shared" si="395"/>
        <v>2.8020553061831413E-3</v>
      </c>
      <c r="T392" s="3">
        <f t="shared" si="395"/>
        <v>2.8018544544270449E-3</v>
      </c>
      <c r="U392" s="3">
        <f t="shared" si="395"/>
        <v>2.7998467285354927E-3</v>
      </c>
      <c r="V392" s="3">
        <f t="shared" si="395"/>
        <v>2.7798484269918287E-3</v>
      </c>
      <c r="W392" s="3">
        <f t="shared" si="395"/>
        <v>2.5875556880802088E-3</v>
      </c>
      <c r="X392" s="3">
        <f t="shared" si="395"/>
        <v>1.2635010110487116E-3</v>
      </c>
      <c r="Y392" s="3">
        <f t="shared" si="395"/>
        <v>9.7372087169347339E-7</v>
      </c>
      <c r="Z392" s="3">
        <f t="shared" si="395"/>
        <v>7.1948763307138556E-38</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1.1789652234967252E-3</v>
      </c>
      <c r="C393" s="3">
        <f t="shared" si="396"/>
        <v>1.1789652234967252E-3</v>
      </c>
      <c r="D393" s="3">
        <f t="shared" si="396"/>
        <v>1.1789652234967252E-3</v>
      </c>
      <c r="E393" s="3">
        <f t="shared" si="396"/>
        <v>1.1789652234967252E-3</v>
      </c>
      <c r="F393" s="3">
        <f t="shared" si="396"/>
        <v>1.1789652234967252E-3</v>
      </c>
      <c r="G393" s="3">
        <f t="shared" si="396"/>
        <v>1.1789652234967252E-3</v>
      </c>
      <c r="H393" s="3">
        <f t="shared" si="396"/>
        <v>1.1789652234967252E-3</v>
      </c>
      <c r="I393" s="3">
        <f t="shared" si="396"/>
        <v>1.178965223496725E-3</v>
      </c>
      <c r="J393" s="3">
        <f t="shared" si="396"/>
        <v>1.1789652234967243E-3</v>
      </c>
      <c r="K393" s="3">
        <f t="shared" si="396"/>
        <v>1.1789652234967158E-3</v>
      </c>
      <c r="L393" s="3">
        <f t="shared" si="396"/>
        <v>1.1789652234966313E-3</v>
      </c>
      <c r="M393" s="3">
        <f t="shared" si="396"/>
        <v>1.1789652234957862E-3</v>
      </c>
      <c r="N393" s="3">
        <f t="shared" si="396"/>
        <v>1.1789652234873351E-3</v>
      </c>
      <c r="O393" s="3">
        <f t="shared" si="396"/>
        <v>1.1789652234028235E-3</v>
      </c>
      <c r="P393" s="3">
        <f t="shared" si="396"/>
        <v>1.1789652225577092E-3</v>
      </c>
      <c r="Q393" s="3">
        <f t="shared" si="396"/>
        <v>1.1789652141065655E-3</v>
      </c>
      <c r="R393" s="3">
        <f t="shared" si="396"/>
        <v>1.1789651295951314E-3</v>
      </c>
      <c r="S393" s="3">
        <f t="shared" si="396"/>
        <v>1.1789642844811233E-3</v>
      </c>
      <c r="T393" s="3">
        <f t="shared" si="396"/>
        <v>1.1789558333743634E-3</v>
      </c>
      <c r="U393" s="3">
        <f t="shared" si="396"/>
        <v>1.1788713256385701E-3</v>
      </c>
      <c r="V393" s="3">
        <f t="shared" si="396"/>
        <v>1.1780265813730166E-3</v>
      </c>
      <c r="W393" s="3">
        <f t="shared" si="396"/>
        <v>1.1696123597798682E-3</v>
      </c>
      <c r="X393" s="3">
        <f t="shared" si="396"/>
        <v>1.0887058031693933E-3</v>
      </c>
      <c r="Y393" s="3">
        <f t="shared" si="396"/>
        <v>5.3161402066662989E-4</v>
      </c>
      <c r="Z393" s="3">
        <f t="shared" si="396"/>
        <v>4.0968995123979873E-7</v>
      </c>
      <c r="AA393" s="3">
        <f t="shared" si="396"/>
        <v>3.0272212692535009E-38</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7.7792567568049035E-4</v>
      </c>
      <c r="C394" s="3">
        <f t="shared" si="397"/>
        <v>7.7792567568049035E-4</v>
      </c>
      <c r="D394" s="3">
        <f t="shared" si="397"/>
        <v>7.7792567568049035E-4</v>
      </c>
      <c r="E394" s="3">
        <f t="shared" si="397"/>
        <v>7.7792567568049035E-4</v>
      </c>
      <c r="F394" s="3">
        <f t="shared" si="397"/>
        <v>7.7792567568049035E-4</v>
      </c>
      <c r="G394" s="3">
        <f t="shared" si="397"/>
        <v>7.7792567568049035E-4</v>
      </c>
      <c r="H394" s="3">
        <f t="shared" si="397"/>
        <v>7.7792567568049035E-4</v>
      </c>
      <c r="I394" s="3">
        <f t="shared" si="397"/>
        <v>7.7792567568049035E-4</v>
      </c>
      <c r="J394" s="3">
        <f t="shared" si="397"/>
        <v>7.7792567568049024E-4</v>
      </c>
      <c r="K394" s="3">
        <f t="shared" si="397"/>
        <v>7.779256756804897E-4</v>
      </c>
      <c r="L394" s="3">
        <f t="shared" si="397"/>
        <v>7.7792567568048417E-4</v>
      </c>
      <c r="M394" s="3">
        <f t="shared" si="397"/>
        <v>7.7792567568042844E-4</v>
      </c>
      <c r="N394" s="3">
        <f t="shared" si="397"/>
        <v>7.7792567567987073E-4</v>
      </c>
      <c r="O394" s="3">
        <f t="shared" si="397"/>
        <v>7.7792567567429435E-4</v>
      </c>
      <c r="P394" s="3">
        <f t="shared" si="397"/>
        <v>7.7792567561853047E-4</v>
      </c>
      <c r="Q394" s="3">
        <f t="shared" si="397"/>
        <v>7.7792567506089223E-4</v>
      </c>
      <c r="R394" s="3">
        <f t="shared" si="397"/>
        <v>7.7792566948450923E-4</v>
      </c>
      <c r="S394" s="3">
        <f t="shared" si="397"/>
        <v>7.7792561372068067E-4</v>
      </c>
      <c r="T394" s="3">
        <f t="shared" si="397"/>
        <v>7.7792505608261593E-4</v>
      </c>
      <c r="U394" s="3">
        <f t="shared" si="397"/>
        <v>7.7791947972395367E-4</v>
      </c>
      <c r="V394" s="3">
        <f t="shared" si="397"/>
        <v>7.7786371833578284E-4</v>
      </c>
      <c r="W394" s="3">
        <f t="shared" si="397"/>
        <v>7.7730632424097756E-4</v>
      </c>
      <c r="X394" s="3">
        <f t="shared" si="397"/>
        <v>7.717543038015947E-4</v>
      </c>
      <c r="Y394" s="3">
        <f t="shared" si="397"/>
        <v>7.1836910934139505E-4</v>
      </c>
      <c r="Z394" s="3">
        <f t="shared" si="397"/>
        <v>3.5077896106361188E-4</v>
      </c>
      <c r="AA394" s="3">
        <f t="shared" si="397"/>
        <v>2.7032886618356885E-7</v>
      </c>
      <c r="AB394" s="3">
        <f t="shared" si="397"/>
        <v>1.9974746535218073E-38</v>
      </c>
      <c r="AC394" s="3">
        <f t="shared" si="397"/>
        <v>0</v>
      </c>
      <c r="AD394" s="3">
        <f t="shared" si="397"/>
        <v>0</v>
      </c>
      <c r="AE394" s="3">
        <f t="shared" si="397"/>
        <v>0</v>
      </c>
      <c r="AF394" s="3">
        <f t="shared" si="397"/>
        <v>0</v>
      </c>
      <c r="AG394" s="3"/>
      <c r="AH394" s="3"/>
    </row>
    <row r="395" spans="1:34" x14ac:dyDescent="0.25">
      <c r="B395" s="3">
        <f t="shared" ref="B395:AF395" si="398">$C47*EXP(-B$363/$A47/EXP(-$H$126))</f>
        <v>1.7877728547757263E-3</v>
      </c>
      <c r="C395" s="3">
        <f t="shared" si="398"/>
        <v>1.7877728547757263E-3</v>
      </c>
      <c r="D395" s="3">
        <f t="shared" si="398"/>
        <v>1.7877728547757263E-3</v>
      </c>
      <c r="E395" s="3">
        <f t="shared" si="398"/>
        <v>1.7877728547757263E-3</v>
      </c>
      <c r="F395" s="3">
        <f t="shared" si="398"/>
        <v>1.7877728547757263E-3</v>
      </c>
      <c r="G395" s="3">
        <f t="shared" si="398"/>
        <v>1.7877728547757263E-3</v>
      </c>
      <c r="H395" s="3">
        <f t="shared" si="398"/>
        <v>1.7877728547757263E-3</v>
      </c>
      <c r="I395" s="3">
        <f t="shared" si="398"/>
        <v>1.7877728547757263E-3</v>
      </c>
      <c r="J395" s="3">
        <f t="shared" si="398"/>
        <v>1.7877728547757263E-3</v>
      </c>
      <c r="K395" s="3">
        <f t="shared" si="398"/>
        <v>1.7877728547757261E-3</v>
      </c>
      <c r="L395" s="3">
        <f t="shared" si="398"/>
        <v>1.787772854775725E-3</v>
      </c>
      <c r="M395" s="3">
        <f t="shared" si="398"/>
        <v>1.787772854775712E-3</v>
      </c>
      <c r="N395" s="3">
        <f t="shared" si="398"/>
        <v>1.7877728547755841E-3</v>
      </c>
      <c r="O395" s="3">
        <f t="shared" si="398"/>
        <v>1.7877728547743023E-3</v>
      </c>
      <c r="P395" s="3">
        <f t="shared" si="398"/>
        <v>1.7877728547614873E-3</v>
      </c>
      <c r="Q395" s="3">
        <f t="shared" si="398"/>
        <v>1.7877728546333346E-3</v>
      </c>
      <c r="R395" s="3">
        <f t="shared" si="398"/>
        <v>1.7877728533518104E-3</v>
      </c>
      <c r="S395" s="3">
        <f t="shared" si="398"/>
        <v>1.7877728405365678E-3</v>
      </c>
      <c r="T395" s="3">
        <f t="shared" si="398"/>
        <v>1.7877727123841467E-3</v>
      </c>
      <c r="U395" s="3">
        <f t="shared" si="398"/>
        <v>1.7877714308604407E-3</v>
      </c>
      <c r="V395" s="3">
        <f t="shared" si="398"/>
        <v>1.7877586156739046E-3</v>
      </c>
      <c r="W395" s="3">
        <f t="shared" si="398"/>
        <v>1.78763046886087E-3</v>
      </c>
      <c r="X395" s="3">
        <f t="shared" si="398"/>
        <v>1.7863495058289792E-3</v>
      </c>
      <c r="Y395" s="3">
        <f t="shared" si="398"/>
        <v>1.7735902516470088E-3</v>
      </c>
      <c r="Z395" s="3">
        <f t="shared" si="398"/>
        <v>1.6509042361489575E-3</v>
      </c>
      <c r="AA395" s="3">
        <f t="shared" si="398"/>
        <v>8.0613498721120072E-4</v>
      </c>
      <c r="AB395" s="3">
        <f t="shared" si="398"/>
        <v>6.2125036354215892E-7</v>
      </c>
      <c r="AC395" s="3">
        <f t="shared" si="398"/>
        <v>4.5904526297387957E-38</v>
      </c>
      <c r="AD395" s="3">
        <f t="shared" si="398"/>
        <v>0</v>
      </c>
      <c r="AE395" s="3">
        <f t="shared" si="398"/>
        <v>0</v>
      </c>
      <c r="AF395" s="3">
        <f t="shared" si="398"/>
        <v>0</v>
      </c>
      <c r="AG395" s="3"/>
      <c r="AH395" s="3"/>
    </row>
    <row r="396" spans="1:34" x14ac:dyDescent="0.25">
      <c r="B396" s="3">
        <f t="shared" ref="B396:AF396" si="399">$C48*EXP(-B$363/$A48/EXP(-$H$126))</f>
        <v>1.1370273508997292E-2</v>
      </c>
      <c r="C396" s="3">
        <f t="shared" si="399"/>
        <v>1.1370273508997292E-2</v>
      </c>
      <c r="D396" s="3">
        <f t="shared" si="399"/>
        <v>1.1370273508997292E-2</v>
      </c>
      <c r="E396" s="3">
        <f t="shared" si="399"/>
        <v>1.1370273508997292E-2</v>
      </c>
      <c r="F396" s="3">
        <f t="shared" si="399"/>
        <v>1.1370273508997292E-2</v>
      </c>
      <c r="G396" s="3">
        <f t="shared" si="399"/>
        <v>1.1370273508997292E-2</v>
      </c>
      <c r="H396" s="3">
        <f t="shared" si="399"/>
        <v>1.1370273508997292E-2</v>
      </c>
      <c r="I396" s="3">
        <f t="shared" si="399"/>
        <v>1.1370273508997292E-2</v>
      </c>
      <c r="J396" s="3">
        <f t="shared" si="399"/>
        <v>1.1370273508997292E-2</v>
      </c>
      <c r="K396" s="3">
        <f t="shared" si="399"/>
        <v>1.1370273508997292E-2</v>
      </c>
      <c r="L396" s="3">
        <f t="shared" si="399"/>
        <v>1.1370273508997291E-2</v>
      </c>
      <c r="M396" s="3">
        <f t="shared" si="399"/>
        <v>1.1370273508997284E-2</v>
      </c>
      <c r="N396" s="3">
        <f t="shared" si="399"/>
        <v>1.1370273508997202E-2</v>
      </c>
      <c r="O396" s="3">
        <f t="shared" si="399"/>
        <v>1.1370273508996387E-2</v>
      </c>
      <c r="P396" s="3">
        <f t="shared" si="399"/>
        <v>1.1370273508988235E-2</v>
      </c>
      <c r="Q396" s="3">
        <f t="shared" si="399"/>
        <v>1.1370273508906731E-2</v>
      </c>
      <c r="R396" s="3">
        <f t="shared" si="399"/>
        <v>1.1370273508091678E-2</v>
      </c>
      <c r="S396" s="3">
        <f t="shared" si="399"/>
        <v>1.1370273499941158E-2</v>
      </c>
      <c r="T396" s="3">
        <f t="shared" si="399"/>
        <v>1.1370273418435941E-2</v>
      </c>
      <c r="U396" s="3">
        <f t="shared" si="399"/>
        <v>1.1370272603383807E-2</v>
      </c>
      <c r="V396" s="3">
        <f t="shared" si="399"/>
        <v>1.1370264452865689E-2</v>
      </c>
      <c r="W396" s="3">
        <f t="shared" si="399"/>
        <v>1.1370182948005833E-2</v>
      </c>
      <c r="X396" s="3">
        <f t="shared" si="399"/>
        <v>1.1369367931540168E-2</v>
      </c>
      <c r="Y396" s="3">
        <f t="shared" si="399"/>
        <v>1.1361220979320481E-2</v>
      </c>
      <c r="Z396" s="3">
        <f t="shared" si="399"/>
        <v>1.1280071850429594E-2</v>
      </c>
      <c r="AA396" s="3">
        <f t="shared" si="399"/>
        <v>1.0499786173635985E-2</v>
      </c>
      <c r="AB396" s="3">
        <f t="shared" si="399"/>
        <v>5.1270357222832127E-3</v>
      </c>
      <c r="AC396" s="3">
        <f t="shared" si="399"/>
        <v>3.9511655701498433E-6</v>
      </c>
      <c r="AD396" s="3">
        <f t="shared" si="399"/>
        <v>2.9195376689380228E-37</v>
      </c>
      <c r="AE396" s="3">
        <f t="shared" si="399"/>
        <v>0</v>
      </c>
      <c r="AF396" s="3">
        <f t="shared" si="399"/>
        <v>0</v>
      </c>
      <c r="AG396" s="3"/>
      <c r="AH396" s="3"/>
    </row>
    <row r="397" spans="1:34" x14ac:dyDescent="0.25">
      <c r="A397" s="79">
        <f>AVERAGE(B397:AF397)</f>
        <v>5.4667653844247668E-2</v>
      </c>
      <c r="B397" s="80">
        <f>IF($A$64&lt;=B363,IF($B$64&gt;=B363,ABS((B365-B364)/B364),0),0)</f>
        <v>1.1836244329022496E-2</v>
      </c>
      <c r="C397" s="80">
        <f t="shared" ref="C397:AF397" si="400">IF($A$64&lt;=C363,IF($B$64&gt;=C363,ABS((C365-C364)/C364),0),0)</f>
        <v>2.1631036517007596E-2</v>
      </c>
      <c r="D397" s="80">
        <f t="shared" si="400"/>
        <v>2.5050885136635614E-2</v>
      </c>
      <c r="E397" s="80">
        <f t="shared" si="400"/>
        <v>2.6728481892105856E-2</v>
      </c>
      <c r="F397" s="80">
        <f t="shared" si="400"/>
        <v>2.6260395262057007E-2</v>
      </c>
      <c r="G397" s="80">
        <f t="shared" si="400"/>
        <v>2.3129025911557004E-2</v>
      </c>
      <c r="H397" s="80">
        <f t="shared" si="400"/>
        <v>2.4989213789607116E-2</v>
      </c>
      <c r="I397" s="80">
        <f t="shared" si="400"/>
        <v>2.3398104735569105E-2</v>
      </c>
      <c r="J397" s="80">
        <f t="shared" si="400"/>
        <v>2.5454754118352588E-2</v>
      </c>
      <c r="K397" s="80">
        <f t="shared" si="400"/>
        <v>2.3913084181430497E-2</v>
      </c>
      <c r="L397" s="80">
        <f t="shared" si="400"/>
        <v>2.7005013023288078E-2</v>
      </c>
      <c r="M397" s="80">
        <f t="shared" si="400"/>
        <v>1.4055186719789248E-2</v>
      </c>
      <c r="N397" s="80">
        <f t="shared" si="400"/>
        <v>2.577851122529299E-2</v>
      </c>
      <c r="O397" s="80">
        <f t="shared" si="400"/>
        <v>7.5130653507526401E-2</v>
      </c>
      <c r="P397" s="80">
        <f t="shared" si="400"/>
        <v>0.10380476990005422</v>
      </c>
      <c r="Q397" s="80">
        <f t="shared" si="400"/>
        <v>9.1998307145711986E-2</v>
      </c>
      <c r="R397" s="80">
        <f t="shared" si="400"/>
        <v>5.4345738141182112E-2</v>
      </c>
      <c r="S397" s="80">
        <f t="shared" si="400"/>
        <v>3.4885211698203454E-3</v>
      </c>
      <c r="T397" s="80">
        <f t="shared" si="400"/>
        <v>7.3346264766255605E-3</v>
      </c>
      <c r="U397" s="80">
        <f t="shared" si="400"/>
        <v>3.2723136302282383E-3</v>
      </c>
      <c r="V397" s="80">
        <f t="shared" si="400"/>
        <v>4.4938006879011614E-3</v>
      </c>
      <c r="W397" s="80">
        <f t="shared" si="400"/>
        <v>1.011745283136151E-2</v>
      </c>
      <c r="X397" s="80">
        <f t="shared" si="400"/>
        <v>5.5894276361013193E-3</v>
      </c>
      <c r="Y397" s="80">
        <f t="shared" si="400"/>
        <v>4.8542382505111581E-3</v>
      </c>
      <c r="Z397" s="80">
        <f t="shared" si="400"/>
        <v>7.6023867480167172E-3</v>
      </c>
      <c r="AA397" s="80">
        <f t="shared" si="400"/>
        <v>7.5724041144900854E-3</v>
      </c>
      <c r="AB397" s="80">
        <f t="shared" si="400"/>
        <v>0.11425777728689973</v>
      </c>
      <c r="AC397" s="80">
        <f t="shared" si="400"/>
        <v>0.22776382293602165</v>
      </c>
      <c r="AD397" s="80">
        <f t="shared" si="400"/>
        <v>0.22729293932198119</v>
      </c>
      <c r="AE397" s="80">
        <f t="shared" si="400"/>
        <v>0.22406624226727301</v>
      </c>
      <c r="AF397" s="80">
        <f t="shared" si="400"/>
        <v>0.22248191027825595</v>
      </c>
    </row>
    <row r="398" spans="1:34" x14ac:dyDescent="0.25">
      <c r="B398" s="21">
        <f>(B365-B364)^2</f>
        <v>9947.6338833055179</v>
      </c>
      <c r="C398" s="21">
        <f t="shared" ref="C398:AF398" si="401">(C365-C364)^2</f>
        <v>30586.46326363277</v>
      </c>
      <c r="D398" s="21">
        <f t="shared" si="401"/>
        <v>37707.955695838566</v>
      </c>
      <c r="E398" s="21">
        <f t="shared" si="401"/>
        <v>38908.179534163166</v>
      </c>
      <c r="F398" s="21">
        <f t="shared" si="401"/>
        <v>34016.813774528469</v>
      </c>
      <c r="G398" s="21">
        <f t="shared" si="401"/>
        <v>24292.389485862874</v>
      </c>
      <c r="H398" s="21">
        <f t="shared" si="401"/>
        <v>26002.70227124888</v>
      </c>
      <c r="I398" s="21">
        <f t="shared" si="401"/>
        <v>20899.942262165936</v>
      </c>
      <c r="J398" s="21">
        <f t="shared" si="401"/>
        <v>22462.84764055505</v>
      </c>
      <c r="K398" s="21">
        <f t="shared" si="401"/>
        <v>18056.149957275717</v>
      </c>
      <c r="L398" s="21">
        <f t="shared" si="401"/>
        <v>20333.721093983579</v>
      </c>
      <c r="M398" s="21">
        <f t="shared" si="401"/>
        <v>4793.1855923767171</v>
      </c>
      <c r="N398" s="21">
        <f t="shared" si="401"/>
        <v>13553.923341262402</v>
      </c>
      <c r="O398" s="21">
        <f t="shared" si="401"/>
        <v>92801.433013587666</v>
      </c>
      <c r="P398" s="21">
        <f t="shared" si="401"/>
        <v>130567.95552187724</v>
      </c>
      <c r="Q398" s="21">
        <f t="shared" si="401"/>
        <v>65261.635493010908</v>
      </c>
      <c r="R398" s="21">
        <f t="shared" si="401"/>
        <v>12069.944594727902</v>
      </c>
      <c r="S398" s="21">
        <f t="shared" si="401"/>
        <v>24.713130976505131</v>
      </c>
      <c r="T398" s="21">
        <f t="shared" si="401"/>
        <v>53.830584597107261</v>
      </c>
      <c r="U398" s="21">
        <f t="shared" si="401"/>
        <v>6.2917034784650925</v>
      </c>
      <c r="V398" s="21">
        <f t="shared" si="401"/>
        <v>8.2123227398644261</v>
      </c>
      <c r="W398" s="21">
        <f t="shared" si="401"/>
        <v>34.532287032826545</v>
      </c>
      <c r="X398" s="21">
        <f t="shared" si="401"/>
        <v>9.1368209895971475</v>
      </c>
      <c r="Y398" s="21">
        <f t="shared" si="401"/>
        <v>6.3687077194532833</v>
      </c>
      <c r="Z398" s="21">
        <f t="shared" si="401"/>
        <v>14.994309083244232</v>
      </c>
      <c r="AA398" s="21">
        <f t="shared" si="401"/>
        <v>13.242134344991623</v>
      </c>
      <c r="AB398" s="21">
        <f t="shared" si="401"/>
        <v>2902.7585742213164</v>
      </c>
      <c r="AC398" s="21">
        <f t="shared" si="401"/>
        <v>11430.419894457033</v>
      </c>
      <c r="AD398" s="21">
        <f t="shared" si="401"/>
        <v>11366.667479057667</v>
      </c>
      <c r="AE398" s="21">
        <f t="shared" si="401"/>
        <v>10954.551341077113</v>
      </c>
      <c r="AF398" s="21">
        <f t="shared" si="401"/>
        <v>10756.213953296221</v>
      </c>
      <c r="AG398" s="3"/>
      <c r="AH398" s="3"/>
    </row>
    <row r="399" spans="1:34" x14ac:dyDescent="0.25">
      <c r="A399" s="71">
        <f>SUM(B399:AF399)</f>
        <v>649844.80966247455</v>
      </c>
      <c r="B399" s="60">
        <f>IF($A$64&lt;=B363,IF($B$64&gt;=B363,ABS(B398),0),0)</f>
        <v>9947.6338833055179</v>
      </c>
      <c r="C399" s="60">
        <f t="shared" ref="C399" si="402">IF($A$64&lt;=C363,IF($B$64&gt;=C363,ABS(C398),0),0)</f>
        <v>30586.46326363277</v>
      </c>
      <c r="D399" s="60">
        <f t="shared" ref="D399" si="403">IF($A$64&lt;=D363,IF($B$64&gt;=D363,ABS(D398),0),0)</f>
        <v>37707.955695838566</v>
      </c>
      <c r="E399" s="60">
        <f t="shared" ref="E399" si="404">IF($A$64&lt;=E363,IF($B$64&gt;=E363,ABS(E398),0),0)</f>
        <v>38908.179534163166</v>
      </c>
      <c r="F399" s="60">
        <f t="shared" ref="F399" si="405">IF($A$64&lt;=F363,IF($B$64&gt;=F363,ABS(F398),0),0)</f>
        <v>34016.813774528469</v>
      </c>
      <c r="G399" s="60">
        <f t="shared" ref="G399" si="406">IF($A$64&lt;=G363,IF($B$64&gt;=G363,ABS(G398),0),0)</f>
        <v>24292.389485862874</v>
      </c>
      <c r="H399" s="60">
        <f t="shared" ref="H399" si="407">IF($A$64&lt;=H363,IF($B$64&gt;=H363,ABS(H398),0),0)</f>
        <v>26002.70227124888</v>
      </c>
      <c r="I399" s="60">
        <f t="shared" ref="I399" si="408">IF($A$64&lt;=I363,IF($B$64&gt;=I363,ABS(I398),0),0)</f>
        <v>20899.942262165936</v>
      </c>
      <c r="J399" s="60">
        <f t="shared" ref="J399" si="409">IF($A$64&lt;=J363,IF($B$64&gt;=J363,ABS(J398),0),0)</f>
        <v>22462.84764055505</v>
      </c>
      <c r="K399" s="60">
        <f t="shared" ref="K399" si="410">IF($A$64&lt;=K363,IF($B$64&gt;=K363,ABS(K398),0),0)</f>
        <v>18056.149957275717</v>
      </c>
      <c r="L399" s="60">
        <f t="shared" ref="L399" si="411">IF($A$64&lt;=L363,IF($B$64&gt;=L363,ABS(L398),0),0)</f>
        <v>20333.721093983579</v>
      </c>
      <c r="M399" s="60">
        <f t="shared" ref="M399" si="412">IF($A$64&lt;=M363,IF($B$64&gt;=M363,ABS(M398),0),0)</f>
        <v>4793.1855923767171</v>
      </c>
      <c r="N399" s="60">
        <f t="shared" ref="N399" si="413">IF($A$64&lt;=N363,IF($B$64&gt;=N363,ABS(N398),0),0)</f>
        <v>13553.923341262402</v>
      </c>
      <c r="O399" s="60">
        <f t="shared" ref="O399" si="414">IF($A$64&lt;=O363,IF($B$64&gt;=O363,ABS(O398),0),0)</f>
        <v>92801.433013587666</v>
      </c>
      <c r="P399" s="60">
        <f t="shared" ref="P399" si="415">IF($A$64&lt;=P363,IF($B$64&gt;=P363,ABS(P398),0),0)</f>
        <v>130567.95552187724</v>
      </c>
      <c r="Q399" s="60">
        <f t="shared" ref="Q399" si="416">IF($A$64&lt;=Q363,IF($B$64&gt;=Q363,ABS(Q398),0),0)</f>
        <v>65261.635493010908</v>
      </c>
      <c r="R399" s="60">
        <f t="shared" ref="R399" si="417">IF($A$64&lt;=R363,IF($B$64&gt;=R363,ABS(R398),0),0)</f>
        <v>12069.944594727902</v>
      </c>
      <c r="S399" s="60">
        <f t="shared" ref="S399" si="418">IF($A$64&lt;=S363,IF($B$64&gt;=S363,ABS(S398),0),0)</f>
        <v>24.713130976505131</v>
      </c>
      <c r="T399" s="60">
        <f t="shared" ref="T399" si="419">IF($A$64&lt;=T363,IF($B$64&gt;=T363,ABS(T398),0),0)</f>
        <v>53.830584597107261</v>
      </c>
      <c r="U399" s="60">
        <f t="shared" ref="U399" si="420">IF($A$64&lt;=U363,IF($B$64&gt;=U363,ABS(U398),0),0)</f>
        <v>6.2917034784650925</v>
      </c>
      <c r="V399" s="60">
        <f t="shared" ref="V399" si="421">IF($A$64&lt;=V363,IF($B$64&gt;=V363,ABS(V398),0),0)</f>
        <v>8.2123227398644261</v>
      </c>
      <c r="W399" s="60">
        <f t="shared" ref="W399" si="422">IF($A$64&lt;=W363,IF($B$64&gt;=W363,ABS(W398),0),0)</f>
        <v>34.532287032826545</v>
      </c>
      <c r="X399" s="60">
        <f t="shared" ref="X399" si="423">IF($A$64&lt;=X363,IF($B$64&gt;=X363,ABS(X398),0),0)</f>
        <v>9.1368209895971475</v>
      </c>
      <c r="Y399" s="60">
        <f t="shared" ref="Y399" si="424">IF($A$64&lt;=Y363,IF($B$64&gt;=Y363,ABS(Y398),0),0)</f>
        <v>6.3687077194532833</v>
      </c>
      <c r="Z399" s="60">
        <f t="shared" ref="Z399" si="425">IF($A$64&lt;=Z363,IF($B$64&gt;=Z363,ABS(Z398),0),0)</f>
        <v>14.994309083244232</v>
      </c>
      <c r="AA399" s="60">
        <f t="shared" ref="AA399" si="426">IF($A$64&lt;=AA363,IF($B$64&gt;=AA363,ABS(AA398),0),0)</f>
        <v>13.242134344991623</v>
      </c>
      <c r="AB399" s="60">
        <f t="shared" ref="AB399" si="427">IF($A$64&lt;=AB363,IF($B$64&gt;=AB363,ABS(AB398),0),0)</f>
        <v>2902.7585742213164</v>
      </c>
      <c r="AC399" s="60">
        <f t="shared" ref="AC399" si="428">IF($A$64&lt;=AC363,IF($B$64&gt;=AC363,ABS(AC398),0),0)</f>
        <v>11430.419894457033</v>
      </c>
      <c r="AD399" s="60">
        <f t="shared" ref="AD399" si="429">IF($A$64&lt;=AD363,IF($B$64&gt;=AD363,ABS(AD398),0),0)</f>
        <v>11366.667479057667</v>
      </c>
      <c r="AE399" s="60">
        <f t="shared" ref="AE399" si="430">IF($A$64&lt;=AE363,IF($B$64&gt;=AE363,ABS(AE398),0),0)</f>
        <v>10954.551341077113</v>
      </c>
      <c r="AF399" s="60">
        <f t="shared" ref="AF399" si="431">IF($A$64&lt;=AF363,IF($B$64&gt;=AF363,ABS(AF398),0),0)</f>
        <v>10756.213953296221</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163</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-11.391292098198942</v>
      </c>
      <c r="C403" s="107">
        <f t="shared" ref="C403:H403" si="432">IF(C125=$B$2,0,C126)</f>
        <v>-7.5380298710792095</v>
      </c>
      <c r="D403" s="107">
        <f t="shared" si="432"/>
        <v>-5.0223954311930123</v>
      </c>
      <c r="E403" s="107">
        <f t="shared" si="432"/>
        <v>-2.8019459756969982</v>
      </c>
      <c r="F403" s="107">
        <f t="shared" si="432"/>
        <v>0</v>
      </c>
      <c r="G403" s="107">
        <f t="shared" si="432"/>
        <v>5.6202735306509899</v>
      </c>
      <c r="H403" s="107">
        <f t="shared" si="432"/>
        <v>11.285365554047905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1.1293399723077821E-20</v>
      </c>
      <c r="C404" s="3">
        <f t="shared" ref="C404:H419" si="433">$A404/EXP(-C$403)</f>
        <v>5.3244557558446669E-19</v>
      </c>
      <c r="D404" s="3">
        <f t="shared" si="433"/>
        <v>6.5887249535855139E-18</v>
      </c>
      <c r="E404" s="3">
        <f t="shared" si="433"/>
        <v>6.06918427849908E-17</v>
      </c>
      <c r="F404" s="3">
        <f t="shared" si="433"/>
        <v>1.0000000000000001E-15</v>
      </c>
      <c r="G404" s="3">
        <f t="shared" si="433"/>
        <v>2.7596485775920713E-13</v>
      </c>
      <c r="H404" s="3">
        <f t="shared" si="433"/>
        <v>7.9647470253402662E-11</v>
      </c>
      <c r="I404" s="109">
        <f>Comparison!AL3</f>
        <v>1.0000000000000001E-15</v>
      </c>
      <c r="J404" s="3">
        <f>Comparison!AM3</f>
        <v>10871.278895571992</v>
      </c>
      <c r="K404" s="3">
        <f>Comparison!AN3</f>
        <v>10681.367679183619</v>
      </c>
      <c r="L404" s="3">
        <f>Comparison!AO3</f>
        <v>10334.776176356636</v>
      </c>
      <c r="M404" s="3">
        <f>Comparison!AP3</f>
        <v>10108.713203034791</v>
      </c>
      <c r="N404" s="3">
        <f>Comparison!AQ3</f>
        <v>9827.0404934265953</v>
      </c>
      <c r="O404" s="3">
        <f>Comparison!AR3</f>
        <v>9149.8345482474924</v>
      </c>
      <c r="P404" s="3">
        <f>Comparison!AS3</f>
        <v>8426.4757441054771</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1.1293399723077819E-19</v>
      </c>
      <c r="C405" s="3">
        <f t="shared" si="433"/>
        <v>5.3244557558446659E-18</v>
      </c>
      <c r="D405" s="3">
        <f t="shared" si="433"/>
        <v>6.5887249535855135E-17</v>
      </c>
      <c r="E405" s="3">
        <f t="shared" si="433"/>
        <v>6.0691842784990793E-16</v>
      </c>
      <c r="F405" s="3">
        <f t="shared" si="433"/>
        <v>1E-14</v>
      </c>
      <c r="G405" s="3">
        <f t="shared" si="433"/>
        <v>2.7596485775920709E-12</v>
      </c>
      <c r="H405" s="3">
        <f t="shared" si="433"/>
        <v>7.9647470253402654E-10</v>
      </c>
      <c r="I405" s="109">
        <f>Comparison!AL4</f>
        <v>1E-14</v>
      </c>
      <c r="J405" s="3">
        <f>Comparison!AM4</f>
        <v>10785.751287884957</v>
      </c>
      <c r="K405" s="3">
        <f>Comparison!AN4</f>
        <v>10340.369878221287</v>
      </c>
      <c r="L405" s="3">
        <f>Comparison!AO4</f>
        <v>10091.776344091975</v>
      </c>
      <c r="M405" s="3">
        <f>Comparison!AP4</f>
        <v>9863.3085771990827</v>
      </c>
      <c r="N405" s="3">
        <f>Comparison!AQ4</f>
        <v>9554.6131285549327</v>
      </c>
      <c r="O405" s="3">
        <f>Comparison!AR4</f>
        <v>8820.2788795776141</v>
      </c>
      <c r="P405" s="3">
        <f>Comparison!AS4</f>
        <v>8085.1354599765227</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1.1293399723077821E-18</v>
      </c>
      <c r="C406" s="3">
        <f t="shared" si="433"/>
        <v>5.3244557558446664E-17</v>
      </c>
      <c r="D406" s="3">
        <f t="shared" si="433"/>
        <v>6.5887249535855132E-16</v>
      </c>
      <c r="E406" s="3">
        <f t="shared" si="433"/>
        <v>6.0691842784990799E-15</v>
      </c>
      <c r="F406" s="3">
        <f t="shared" si="433"/>
        <v>1E-13</v>
      </c>
      <c r="G406" s="3">
        <f t="shared" si="433"/>
        <v>2.7596485775920709E-11</v>
      </c>
      <c r="H406" s="3">
        <f t="shared" si="433"/>
        <v>7.9647470253402654E-9</v>
      </c>
      <c r="I406" s="109">
        <f>Comparison!AL5</f>
        <v>1E-13</v>
      </c>
      <c r="J406" s="3">
        <f>Comparison!AM5</f>
        <v>10484.858187200372</v>
      </c>
      <c r="K406" s="3">
        <f>Comparison!AN5</f>
        <v>10144.235493546155</v>
      </c>
      <c r="L406" s="3">
        <f>Comparison!AO5</f>
        <v>9888.29643553188</v>
      </c>
      <c r="M406" s="3">
        <f>Comparison!AP5</f>
        <v>9647.7546876992856</v>
      </c>
      <c r="N406" s="3">
        <f>Comparison!AQ5</f>
        <v>9307.5270109220583</v>
      </c>
      <c r="O406" s="3">
        <f>Comparison!AR5</f>
        <v>8533.8722605331295</v>
      </c>
      <c r="P406" s="3">
        <f>Comparison!AS5</f>
        <v>7751.6368467103184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1.129339972307782E-17</v>
      </c>
      <c r="C407" s="3">
        <f t="shared" si="433"/>
        <v>5.3244557558446656E-16</v>
      </c>
      <c r="D407" s="3">
        <f t="shared" si="433"/>
        <v>6.5887249535855126E-15</v>
      </c>
      <c r="E407" s="3">
        <f t="shared" si="433"/>
        <v>6.0691842784990792E-14</v>
      </c>
      <c r="F407" s="3">
        <f t="shared" si="433"/>
        <v>9.9999999999999998E-13</v>
      </c>
      <c r="G407" s="3">
        <f t="shared" si="433"/>
        <v>2.759648577592071E-10</v>
      </c>
      <c r="H407" s="3">
        <f t="shared" si="433"/>
        <v>7.9647470253402661E-8</v>
      </c>
      <c r="I407" s="109">
        <f>Comparison!AL6</f>
        <v>9.9999999999999998E-13</v>
      </c>
      <c r="J407" s="3">
        <f>Comparison!AM6</f>
        <v>10280.433181032142</v>
      </c>
      <c r="K407" s="3">
        <f>Comparison!AN6</f>
        <v>9945.8458355930761</v>
      </c>
      <c r="L407" s="3">
        <f>Comparison!AO6</f>
        <v>9675.5582946416034</v>
      </c>
      <c r="M407" s="3">
        <f>Comparison!AP6</f>
        <v>9412.3170807609295</v>
      </c>
      <c r="N407" s="3">
        <f>Comparison!AQ6</f>
        <v>9052.7901664061646</v>
      </c>
      <c r="O407" s="3">
        <f>Comparison!AR6</f>
        <v>8273.7015747988644</v>
      </c>
      <c r="P407" s="3">
        <f>Comparison!AS6</f>
        <v>7379.8266913065718</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1.1293399723077818E-16</v>
      </c>
      <c r="C408" s="3">
        <f t="shared" si="433"/>
        <v>5.3244557558446654E-15</v>
      </c>
      <c r="D408" s="3">
        <f t="shared" si="433"/>
        <v>6.5887249535855133E-14</v>
      </c>
      <c r="E408" s="3">
        <f t="shared" si="433"/>
        <v>6.0691842784990792E-13</v>
      </c>
      <c r="F408" s="3">
        <f t="shared" si="433"/>
        <v>9.9999999999999994E-12</v>
      </c>
      <c r="G408" s="3">
        <f t="shared" si="433"/>
        <v>2.7596485775920706E-9</v>
      </c>
      <c r="H408" s="3">
        <f t="shared" si="433"/>
        <v>7.9647470253402647E-7</v>
      </c>
      <c r="I408" s="109">
        <f>Comparison!AL7</f>
        <v>9.9999999999999994E-12</v>
      </c>
      <c r="J408" s="3">
        <f>Comparison!AM7</f>
        <v>10088.860550656809</v>
      </c>
      <c r="K408" s="3">
        <f>Comparison!AN7</f>
        <v>9733.3402923935464</v>
      </c>
      <c r="L408" s="3">
        <f>Comparison!AO7</f>
        <v>9437.8844555939704</v>
      </c>
      <c r="M408" s="3">
        <f>Comparison!AP7</f>
        <v>9158.3278957287839</v>
      </c>
      <c r="N408" s="3">
        <f>Comparison!AQ7</f>
        <v>8765.8976127630649</v>
      </c>
      <c r="O408" s="3">
        <f>Comparison!AR7</f>
        <v>7979.0862222792848</v>
      </c>
      <c r="P408" s="3">
        <f>Comparison!AS7</f>
        <v>7023.3701518062126</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1.1293399723077819E-15</v>
      </c>
      <c r="C409" s="3">
        <f t="shared" si="433"/>
        <v>5.3244557558446659E-14</v>
      </c>
      <c r="D409" s="3">
        <f t="shared" si="433"/>
        <v>6.5887249535855138E-13</v>
      </c>
      <c r="E409" s="3">
        <f t="shared" si="433"/>
        <v>6.0691842784990796E-12</v>
      </c>
      <c r="F409" s="3">
        <f t="shared" si="433"/>
        <v>1E-10</v>
      </c>
      <c r="G409" s="3">
        <f t="shared" si="433"/>
        <v>2.759648577592071E-8</v>
      </c>
      <c r="H409" s="3">
        <f t="shared" si="433"/>
        <v>7.9647470253402666E-6</v>
      </c>
      <c r="I409" s="109">
        <f>Comparison!AL8</f>
        <v>1E-10</v>
      </c>
      <c r="J409" s="3">
        <f>Comparison!AM8</f>
        <v>9877.8461517898249</v>
      </c>
      <c r="K409" s="3">
        <f>Comparison!AN8</f>
        <v>9498.3871358707802</v>
      </c>
      <c r="L409" s="3">
        <f>Comparison!AO8</f>
        <v>9182.6179716248589</v>
      </c>
      <c r="M409" s="3">
        <f>Comparison!AP8</f>
        <v>8878.5637787646356</v>
      </c>
      <c r="N409" s="3">
        <f>Comparison!AQ8</f>
        <v>8497.5960737726527</v>
      </c>
      <c r="O409" s="3">
        <f>Comparison!AR8</f>
        <v>7625.3190133909084</v>
      </c>
      <c r="P409" s="3">
        <f>Comparison!AS8</f>
        <v>6738.7256441372629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1.129339972307782E-14</v>
      </c>
      <c r="C410" s="3">
        <f t="shared" si="433"/>
        <v>5.324455755844666E-13</v>
      </c>
      <c r="D410" s="3">
        <f t="shared" si="433"/>
        <v>6.5887249535855136E-12</v>
      </c>
      <c r="E410" s="3">
        <f t="shared" si="433"/>
        <v>6.0691842784990798E-11</v>
      </c>
      <c r="F410" s="3">
        <f t="shared" si="433"/>
        <v>1.0000000000000001E-9</v>
      </c>
      <c r="G410" s="3">
        <f t="shared" si="433"/>
        <v>2.759648577592071E-7</v>
      </c>
      <c r="H410" s="3">
        <f t="shared" si="433"/>
        <v>7.9647470253402656E-5</v>
      </c>
      <c r="I410" s="109">
        <f>Comparison!AL9</f>
        <v>1.0000000000000001E-9</v>
      </c>
      <c r="J410" s="3">
        <f>Comparison!AM9</f>
        <v>9655.619688733279</v>
      </c>
      <c r="K410" s="3">
        <f>Comparison!AN9</f>
        <v>9242.4212792479666</v>
      </c>
      <c r="L410" s="3">
        <f>Comparison!AO9</f>
        <v>8899.8294294290881</v>
      </c>
      <c r="M410" s="3">
        <f>Comparison!AP9</f>
        <v>8599.940751813896</v>
      </c>
      <c r="N410" s="3">
        <f>Comparison!AQ9</f>
        <v>8229.2269119551856</v>
      </c>
      <c r="O410" s="3">
        <f>Comparison!AR9</f>
        <v>7251.0629198471606</v>
      </c>
      <c r="P410" s="3">
        <f>Comparison!AS9</f>
        <v>6452.9254698981604</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1.129339972307782E-13</v>
      </c>
      <c r="C411" s="3">
        <f t="shared" si="433"/>
        <v>5.324455755844666E-12</v>
      </c>
      <c r="D411" s="3">
        <f t="shared" si="433"/>
        <v>6.5887249535855136E-11</v>
      </c>
      <c r="E411" s="3">
        <f t="shared" si="433"/>
        <v>6.0691842784990793E-10</v>
      </c>
      <c r="F411" s="3">
        <f t="shared" si="433"/>
        <v>1E-8</v>
      </c>
      <c r="G411" s="3">
        <f t="shared" si="433"/>
        <v>2.7596485775920711E-6</v>
      </c>
      <c r="H411" s="3">
        <f t="shared" si="433"/>
        <v>7.9647470253402654E-4</v>
      </c>
      <c r="I411" s="109">
        <f>Comparison!AL10</f>
        <v>1E-8</v>
      </c>
      <c r="J411" s="3">
        <f>Comparison!AM10</f>
        <v>9400.3699029441887</v>
      </c>
      <c r="K411" s="3">
        <f>Comparison!AN10</f>
        <v>8962.4165772503438</v>
      </c>
      <c r="L411" s="3">
        <f>Comparison!AO10</f>
        <v>8621.6067732840511</v>
      </c>
      <c r="M411" s="3">
        <f>Comparison!AP10</f>
        <v>8334.6832742009774</v>
      </c>
      <c r="N411" s="3">
        <f>Comparison!AQ10</f>
        <v>7906.9976228628248</v>
      </c>
      <c r="O411" s="3">
        <f>Comparison!AR10</f>
        <v>6924.393407013602</v>
      </c>
      <c r="P411" s="3">
        <f>Comparison!AS10</f>
        <v>6178.6253583876323</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1.1293399723077819E-12</v>
      </c>
      <c r="C412" s="3">
        <f t="shared" si="433"/>
        <v>5.3244557558446656E-11</v>
      </c>
      <c r="D412" s="3">
        <f t="shared" si="433"/>
        <v>6.5887249535855123E-10</v>
      </c>
      <c r="E412" s="3">
        <f t="shared" si="433"/>
        <v>6.0691842784990791E-9</v>
      </c>
      <c r="F412" s="3">
        <f t="shared" si="433"/>
        <v>9.9999999999999995E-8</v>
      </c>
      <c r="G412" s="3">
        <f t="shared" si="433"/>
        <v>2.7596485775920708E-5</v>
      </c>
      <c r="H412" s="3">
        <f t="shared" si="433"/>
        <v>7.9647470253402658E-3</v>
      </c>
      <c r="I412" s="109">
        <f>Comparison!AL11</f>
        <v>9.9999999999999995E-8</v>
      </c>
      <c r="J412" s="3">
        <f>Comparison!AM11</f>
        <v>9134.8429877609706</v>
      </c>
      <c r="K412" s="3">
        <f>Comparison!AN11</f>
        <v>8679.0953494242967</v>
      </c>
      <c r="L412" s="3">
        <f>Comparison!AO11</f>
        <v>8354.3796068734482</v>
      </c>
      <c r="M412" s="3">
        <f>Comparison!AP11</f>
        <v>8026.4753702879098</v>
      </c>
      <c r="N412" s="3">
        <f>Comparison!AQ11</f>
        <v>7534.9505992492377</v>
      </c>
      <c r="O412" s="3">
        <f>Comparison!AR11</f>
        <v>6643.9609995540914</v>
      </c>
      <c r="P412" s="3">
        <f>Comparison!AS11</f>
        <v>5887.9416764587622</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1.1293399723077819E-11</v>
      </c>
      <c r="C413" s="3">
        <f t="shared" si="433"/>
        <v>5.3244557558446658E-10</v>
      </c>
      <c r="D413" s="3">
        <f t="shared" si="433"/>
        <v>6.5887249535855131E-9</v>
      </c>
      <c r="E413" s="3">
        <f t="shared" si="433"/>
        <v>6.0691842784990796E-8</v>
      </c>
      <c r="F413" s="3">
        <f t="shared" si="433"/>
        <v>9.9999999999999995E-7</v>
      </c>
      <c r="G413" s="3">
        <f t="shared" si="433"/>
        <v>2.7596485775920705E-4</v>
      </c>
      <c r="H413" s="3">
        <f t="shared" si="433"/>
        <v>7.9647470253402658E-2</v>
      </c>
      <c r="I413" s="109">
        <f>Comparison!AL12</f>
        <v>9.9999999999999995E-7</v>
      </c>
      <c r="J413" s="3">
        <f>Comparison!AM12</f>
        <v>8837.1618999065868</v>
      </c>
      <c r="K413" s="3">
        <f>Comparison!AN12</f>
        <v>8412.1987380125211</v>
      </c>
      <c r="L413" s="3">
        <f>Comparison!AO12</f>
        <v>8041.7904738604348</v>
      </c>
      <c r="M413" s="3">
        <f>Comparison!AP12</f>
        <v>7661.4445647597695</v>
      </c>
      <c r="N413" s="3">
        <f>Comparison!AQ12</f>
        <v>7166.8631213057552</v>
      </c>
      <c r="O413" s="3">
        <f>Comparison!AR12</f>
        <v>6360.2369441944311</v>
      </c>
      <c r="P413" s="3">
        <f>Comparison!AS12</f>
        <v>5619.2322674786419</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1.1293399723077821E-10</v>
      </c>
      <c r="C414" s="3">
        <f t="shared" si="433"/>
        <v>5.3244557558446662E-9</v>
      </c>
      <c r="D414" s="3">
        <f t="shared" si="433"/>
        <v>6.5887249535855134E-8</v>
      </c>
      <c r="E414" s="3">
        <f t="shared" si="433"/>
        <v>6.0691842784990798E-7</v>
      </c>
      <c r="F414" s="3">
        <f t="shared" si="433"/>
        <v>1.0000000000000001E-5</v>
      </c>
      <c r="G414" s="3">
        <f t="shared" si="433"/>
        <v>2.7596485775920709E-3</v>
      </c>
      <c r="H414" s="3">
        <f t="shared" si="433"/>
        <v>0.79647470253402664</v>
      </c>
      <c r="I414" s="109">
        <f>Comparison!AL13</f>
        <v>1.0000000000000001E-5</v>
      </c>
      <c r="J414" s="3">
        <f>Comparison!AM13</f>
        <v>8570.3120101913646</v>
      </c>
      <c r="K414" s="3">
        <f>Comparison!AN13</f>
        <v>8104.719083836997</v>
      </c>
      <c r="L414" s="3">
        <f>Comparison!AO13</f>
        <v>7673.2145085350385</v>
      </c>
      <c r="M414" s="3">
        <f>Comparison!AP13</f>
        <v>7284.5164584803897</v>
      </c>
      <c r="N414" s="3">
        <f>Comparison!AQ13</f>
        <v>6867.7062482363972</v>
      </c>
      <c r="O414" s="3">
        <f>Comparison!AR13</f>
        <v>6077.1759886859509</v>
      </c>
      <c r="P414" s="3">
        <f>Comparison!AS13</f>
        <v>5280.3661713673137</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1.129339972307782E-9</v>
      </c>
      <c r="C415" s="3">
        <f t="shared" si="433"/>
        <v>5.3244557558446664E-8</v>
      </c>
      <c r="D415" s="3">
        <f t="shared" si="433"/>
        <v>6.5887249535855129E-7</v>
      </c>
      <c r="E415" s="3">
        <f t="shared" si="433"/>
        <v>6.0691842784990796E-6</v>
      </c>
      <c r="F415" s="3">
        <f t="shared" si="433"/>
        <v>1E-4</v>
      </c>
      <c r="G415" s="3">
        <f t="shared" si="433"/>
        <v>2.759648577592071E-2</v>
      </c>
      <c r="H415" s="3">
        <f t="shared" si="433"/>
        <v>7.9647470253402659</v>
      </c>
      <c r="I415" s="109">
        <f>Comparison!AL14</f>
        <v>1E-4</v>
      </c>
      <c r="J415" s="3">
        <f>Comparison!AM14</f>
        <v>8285.4763038384153</v>
      </c>
      <c r="K415" s="3">
        <f>Comparison!AN14</f>
        <v>7738.4866265331348</v>
      </c>
      <c r="L415" s="3">
        <f>Comparison!AO14</f>
        <v>7295.4976540764501</v>
      </c>
      <c r="M415" s="3">
        <f>Comparison!AP14</f>
        <v>6964.8609670274845</v>
      </c>
      <c r="N415" s="3">
        <f>Comparison!AQ14</f>
        <v>6578.6198965937929</v>
      </c>
      <c r="O415" s="3">
        <f>Comparison!AR14</f>
        <v>5794.3492029841209</v>
      </c>
      <c r="P415" s="3">
        <f>Comparison!AS14</f>
        <v>4925.7855811728932</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1.129339972307782E-8</v>
      </c>
      <c r="C416" s="3">
        <f t="shared" si="433"/>
        <v>5.3244557558446663E-7</v>
      </c>
      <c r="D416" s="3">
        <f t="shared" si="433"/>
        <v>6.5887249535855135E-6</v>
      </c>
      <c r="E416" s="3">
        <f t="shared" si="433"/>
        <v>6.0691842784990795E-5</v>
      </c>
      <c r="F416" s="3">
        <f t="shared" si="433"/>
        <v>1E-3</v>
      </c>
      <c r="G416" s="3">
        <f t="shared" si="433"/>
        <v>0.27596485775920709</v>
      </c>
      <c r="H416" s="3">
        <f t="shared" si="433"/>
        <v>79.647470253402659</v>
      </c>
      <c r="I416" s="109">
        <f>Comparison!AL15</f>
        <v>1E-3</v>
      </c>
      <c r="J416" s="3">
        <f>Comparison!AM15</f>
        <v>7936.5401145889446</v>
      </c>
      <c r="K416" s="3">
        <f>Comparison!AN15</f>
        <v>7356.7094808941847</v>
      </c>
      <c r="L416" s="3">
        <f>Comparison!AO15</f>
        <v>6977.8752509418382</v>
      </c>
      <c r="M416" s="3">
        <f>Comparison!AP15</f>
        <v>6677.7336683154199</v>
      </c>
      <c r="N416" s="3">
        <f>Comparison!AQ15</f>
        <v>6298.4876021181899</v>
      </c>
      <c r="O416" s="3">
        <f>Comparison!AR15</f>
        <v>5497.4610054881305</v>
      </c>
      <c r="P416" s="3">
        <f>Comparison!AS15</f>
        <v>4516.2157436003417</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1.129339972307782E-7</v>
      </c>
      <c r="C417" s="3">
        <f t="shared" si="433"/>
        <v>5.3244557558446665E-6</v>
      </c>
      <c r="D417" s="3">
        <f t="shared" si="433"/>
        <v>6.5887249535855129E-5</v>
      </c>
      <c r="E417" s="3">
        <f t="shared" si="433"/>
        <v>6.0691842784990797E-4</v>
      </c>
      <c r="F417" s="3">
        <f t="shared" si="433"/>
        <v>0.01</v>
      </c>
      <c r="G417" s="3">
        <f t="shared" si="433"/>
        <v>2.7596485775920709</v>
      </c>
      <c r="H417" s="3">
        <f t="shared" si="433"/>
        <v>796.47470253402662</v>
      </c>
      <c r="I417" s="109">
        <f>Comparison!AL16</f>
        <v>0.01</v>
      </c>
      <c r="J417" s="3">
        <f>Comparison!AM16</f>
        <v>7548.1809664568409</v>
      </c>
      <c r="K417" s="3">
        <f>Comparison!AN16</f>
        <v>7029.386180221145</v>
      </c>
      <c r="L417" s="3">
        <f>Comparison!AO16</f>
        <v>6688.5988498392426</v>
      </c>
      <c r="M417" s="3">
        <f>Comparison!AP16</f>
        <v>6392.2538098508458</v>
      </c>
      <c r="N417" s="3">
        <f>Comparison!AQ16</f>
        <v>6004.311404381504</v>
      </c>
      <c r="O417" s="3">
        <f>Comparison!AR16</f>
        <v>5142.3629386905741</v>
      </c>
      <c r="P417" s="3">
        <f>Comparison!AS16</f>
        <v>4054.7135164176284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1.129339972307782E-6</v>
      </c>
      <c r="C418" s="3">
        <f t="shared" si="433"/>
        <v>5.3244557558446665E-5</v>
      </c>
      <c r="D418" s="3">
        <f t="shared" si="433"/>
        <v>6.588724953585514E-4</v>
      </c>
      <c r="E418" s="3">
        <f t="shared" si="433"/>
        <v>6.0691842784990797E-3</v>
      </c>
      <c r="F418" s="3">
        <f t="shared" si="433"/>
        <v>0.1</v>
      </c>
      <c r="G418" s="3">
        <f t="shared" si="433"/>
        <v>27.596485775920712</v>
      </c>
      <c r="H418" s="3">
        <f t="shared" si="433"/>
        <v>7964.7470253402662</v>
      </c>
      <c r="I418" s="109">
        <f>Comparison!AL17</f>
        <v>0.1</v>
      </c>
      <c r="J418" s="3">
        <f>Comparison!AM17</f>
        <v>7185.7092224582611</v>
      </c>
      <c r="K418" s="3">
        <f>Comparison!AN17</f>
        <v>6740.4128171607354</v>
      </c>
      <c r="L418" s="3">
        <f>Comparison!AO17</f>
        <v>6402.4667189627462</v>
      </c>
      <c r="M418" s="3">
        <f>Comparison!AP17</f>
        <v>6101.0485432855839</v>
      </c>
      <c r="N418" s="3">
        <f>Comparison!AQ17</f>
        <v>5728.9563133722204</v>
      </c>
      <c r="O418" s="3">
        <f>Comparison!AR17</f>
        <v>4755.3271416437765</v>
      </c>
      <c r="P418" s="3">
        <f>Comparison!AS17</f>
        <v>3480.9757019740573</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1.129339972307782E-5</v>
      </c>
      <c r="C419" s="3">
        <f t="shared" si="433"/>
        <v>5.3244557558446658E-4</v>
      </c>
      <c r="D419" s="3">
        <f t="shared" si="433"/>
        <v>6.5887249535855133E-3</v>
      </c>
      <c r="E419" s="3">
        <f t="shared" si="433"/>
        <v>6.069184278499079E-2</v>
      </c>
      <c r="F419" s="3">
        <f t="shared" si="433"/>
        <v>1</v>
      </c>
      <c r="G419" s="3">
        <f t="shared" si="433"/>
        <v>275.96485775920706</v>
      </c>
      <c r="H419" s="3">
        <f t="shared" si="433"/>
        <v>79647.470253402658</v>
      </c>
      <c r="I419" s="109">
        <f>Comparison!AL18</f>
        <v>1</v>
      </c>
      <c r="J419" s="3">
        <f>Comparison!AM18</f>
        <v>6895.934147375373</v>
      </c>
      <c r="K419" s="3">
        <f>Comparison!AN18</f>
        <v>6451.1295620052033</v>
      </c>
      <c r="L419" s="3">
        <f>Comparison!AO18</f>
        <v>6108.5862714487212</v>
      </c>
      <c r="M419" s="3">
        <f>Comparison!AP18</f>
        <v>5816.6056093144152</v>
      </c>
      <c r="N419" s="3">
        <f>Comparison!AQ18</f>
        <v>5384.1034806229181</v>
      </c>
      <c r="O419" s="3">
        <f>Comparison!AR18</f>
        <v>4259.9552232455089</v>
      </c>
      <c r="P419" s="3">
        <f>Comparison!AS18</f>
        <v>2776.8290278599252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1.129339972307782E-4</v>
      </c>
      <c r="C420" s="3">
        <f t="shared" si="434"/>
        <v>5.324455755844666E-3</v>
      </c>
      <c r="D420" s="3">
        <f t="shared" si="434"/>
        <v>6.5887249535855133E-2</v>
      </c>
      <c r="E420" s="3">
        <f t="shared" si="434"/>
        <v>0.6069184278499079</v>
      </c>
      <c r="F420" s="3">
        <f t="shared" si="434"/>
        <v>10</v>
      </c>
      <c r="G420" s="3">
        <f t="shared" si="434"/>
        <v>2759.648577592071</v>
      </c>
      <c r="H420" s="3">
        <f t="shared" si="434"/>
        <v>796474.70253402658</v>
      </c>
      <c r="I420" s="109">
        <f>Comparison!AL19</f>
        <v>10</v>
      </c>
      <c r="J420" s="3">
        <f>Comparison!AM19</f>
        <v>6598.4326641088546</v>
      </c>
      <c r="K420" s="3">
        <f>Comparison!AN19</f>
        <v>6158.0006144488207</v>
      </c>
      <c r="L420" s="3">
        <f>Comparison!AO19</f>
        <v>5821.8385981744532</v>
      </c>
      <c r="M420" s="3">
        <f>Comparison!AP19</f>
        <v>5480.1263998982886</v>
      </c>
      <c r="N420" s="3">
        <f>Comparison!AQ19</f>
        <v>4946.9073871376504</v>
      </c>
      <c r="O420" s="3">
        <f>Comparison!AR19</f>
        <v>3608.881023132205</v>
      </c>
      <c r="P420" s="3">
        <f>Comparison!AS19</f>
        <v>2021.5623770745678</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1.1293399723077821E-3</v>
      </c>
      <c r="C421" s="3">
        <f t="shared" si="434"/>
        <v>5.3244557558446662E-2</v>
      </c>
      <c r="D421" s="3">
        <f t="shared" si="434"/>
        <v>0.6588724953585513</v>
      </c>
      <c r="E421" s="3">
        <f t="shared" si="434"/>
        <v>6.0691842784990797</v>
      </c>
      <c r="F421" s="3">
        <f t="shared" si="434"/>
        <v>100</v>
      </c>
      <c r="G421" s="3">
        <f t="shared" si="434"/>
        <v>27596.485775920708</v>
      </c>
      <c r="H421" s="3">
        <f t="shared" si="434"/>
        <v>7964747.0253402656</v>
      </c>
      <c r="I421" s="109">
        <f>Comparison!AL20</f>
        <v>100</v>
      </c>
      <c r="J421" s="3">
        <f>Comparison!AM20</f>
        <v>6312.5025678358661</v>
      </c>
      <c r="K421" s="3">
        <f>Comparison!AN20</f>
        <v>5864.4544291342345</v>
      </c>
      <c r="L421" s="3">
        <f>Comparison!AO20</f>
        <v>5461.5612200441165</v>
      </c>
      <c r="M421" s="3">
        <f>Comparison!AP20</f>
        <v>5001.3542238279779</v>
      </c>
      <c r="N421" s="3">
        <f>Comparison!AQ20</f>
        <v>4341.3949978794144</v>
      </c>
      <c r="O421" s="3">
        <f>Comparison!AR20</f>
        <v>2894.897040918956</v>
      </c>
      <c r="P421" s="3">
        <f>Comparison!AS20</f>
        <v>1425.0251284859655</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1.1293399723077819E-2</v>
      </c>
      <c r="C422" s="3">
        <f t="shared" si="434"/>
        <v>0.53244557558446659</v>
      </c>
      <c r="D422" s="3">
        <f t="shared" si="434"/>
        <v>6.5887249535855128</v>
      </c>
      <c r="E422" s="3">
        <f t="shared" si="434"/>
        <v>60.691842784990797</v>
      </c>
      <c r="F422" s="3">
        <f t="shared" si="434"/>
        <v>1000</v>
      </c>
      <c r="G422" s="3">
        <f t="shared" si="434"/>
        <v>275964.85775920708</v>
      </c>
      <c r="H422" s="3">
        <f t="shared" si="434"/>
        <v>79647470.25340265</v>
      </c>
      <c r="I422" s="109">
        <f>Comparison!AL21</f>
        <v>1000</v>
      </c>
      <c r="J422" s="3">
        <f>Comparison!AM21</f>
        <v>6009.4653543505283</v>
      </c>
      <c r="K422" s="3">
        <f>Comparison!AN21</f>
        <v>5497.1399794237341</v>
      </c>
      <c r="L422" s="3">
        <f>Comparison!AO21</f>
        <v>4936.5934069622945</v>
      </c>
      <c r="M422" s="3">
        <f>Comparison!AP21</f>
        <v>4378.6857587374161</v>
      </c>
      <c r="N422" s="3">
        <f>Comparison!AQ21</f>
        <v>3695.6706844027317</v>
      </c>
      <c r="O422" s="3">
        <f>Comparison!AR21</f>
        <v>2208.0535004045023</v>
      </c>
      <c r="P422" s="3">
        <f>Comparison!AS21</f>
        <v>1000.3144588532851</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0.1129339972307782</v>
      </c>
      <c r="C423" s="3">
        <f t="shared" si="434"/>
        <v>5.3244557558446663</v>
      </c>
      <c r="D423" s="3">
        <f t="shared" si="434"/>
        <v>65.887249535855133</v>
      </c>
      <c r="E423" s="3">
        <f t="shared" si="434"/>
        <v>606.91842784990797</v>
      </c>
      <c r="F423" s="3">
        <f t="shared" si="434"/>
        <v>10000</v>
      </c>
      <c r="G423" s="3">
        <f t="shared" si="434"/>
        <v>2759648.5775920707</v>
      </c>
      <c r="H423" s="3">
        <f t="shared" si="434"/>
        <v>796474702.5340265</v>
      </c>
      <c r="I423" s="109">
        <f>Comparison!AL22</f>
        <v>10000</v>
      </c>
      <c r="J423" s="3">
        <f>Comparison!AM22</f>
        <v>5713.6024886963633</v>
      </c>
      <c r="K423" s="3">
        <f>Comparison!AN22</f>
        <v>4940.0481403456943</v>
      </c>
      <c r="L423" s="3">
        <f>Comparison!AO22</f>
        <v>4296.9639126238171</v>
      </c>
      <c r="M423" s="3">
        <f>Comparison!AP22</f>
        <v>3745.6038917295314</v>
      </c>
      <c r="N423" s="3">
        <f>Comparison!AQ22</f>
        <v>3068.755950536985</v>
      </c>
      <c r="O423" s="3">
        <f>Comparison!AR22</f>
        <v>1590.7510281023892</v>
      </c>
      <c r="P423" s="3">
        <f>Comparison!AS22</f>
        <v>766.53007991277559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1.1293399723077819</v>
      </c>
      <c r="C424" s="3">
        <f t="shared" si="434"/>
        <v>53.244557558446658</v>
      </c>
      <c r="D424" s="3">
        <f t="shared" si="434"/>
        <v>658.8724953585513</v>
      </c>
      <c r="E424" s="3">
        <f t="shared" si="434"/>
        <v>6069.1842784990795</v>
      </c>
      <c r="F424" s="3">
        <f t="shared" si="434"/>
        <v>100000</v>
      </c>
      <c r="G424" s="3">
        <f t="shared" si="434"/>
        <v>27596485.775920708</v>
      </c>
      <c r="H424" s="3">
        <f t="shared" si="434"/>
        <v>7964747025.3402653</v>
      </c>
      <c r="I424" s="109">
        <f>Comparison!AL23</f>
        <v>100000</v>
      </c>
      <c r="J424" s="3">
        <f>Comparison!AM23</f>
        <v>5266.353343720587</v>
      </c>
      <c r="K424" s="3">
        <f>Comparison!AN23</f>
        <v>4302.8208260658694</v>
      </c>
      <c r="L424" s="3">
        <f>Comparison!AO23</f>
        <v>3679.1110460410682</v>
      </c>
      <c r="M424" s="3">
        <f>Comparison!AP23</f>
        <v>3148.5137755573865</v>
      </c>
      <c r="N424" s="3">
        <f>Comparison!AQ23</f>
        <v>2467.1652727793789</v>
      </c>
      <c r="O424" s="3">
        <f>Comparison!AR23</f>
        <v>1134.4072038150462</v>
      </c>
      <c r="P424" s="3">
        <f>Comparison!AS23</f>
        <v>637.70408339015069</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11.293399723077819</v>
      </c>
      <c r="C425" s="3">
        <f t="shared" si="434"/>
        <v>532.44557558446661</v>
      </c>
      <c r="D425" s="3">
        <f t="shared" si="434"/>
        <v>6588.7249535855135</v>
      </c>
      <c r="E425" s="3">
        <f t="shared" si="434"/>
        <v>60691.842784990797</v>
      </c>
      <c r="F425" s="3">
        <f t="shared" si="434"/>
        <v>1000000</v>
      </c>
      <c r="G425" s="3">
        <f t="shared" si="434"/>
        <v>275964857.75920707</v>
      </c>
      <c r="H425" s="3">
        <f t="shared" si="434"/>
        <v>79647470253.402649</v>
      </c>
      <c r="I425" s="109">
        <f>Comparison!AL24</f>
        <v>1000000</v>
      </c>
      <c r="J425" s="3">
        <f>Comparison!AM24</f>
        <v>4669.585842690939</v>
      </c>
      <c r="K425" s="3">
        <f>Comparison!AN24</f>
        <v>3694.2569609036786</v>
      </c>
      <c r="L425" s="3">
        <f>Comparison!AO24</f>
        <v>3097.6161878660678</v>
      </c>
      <c r="M425" s="3">
        <f>Comparison!AP24</f>
        <v>2567.2806883234543</v>
      </c>
      <c r="N425" s="3">
        <f>Comparison!AQ24</f>
        <v>1870.2488465480699</v>
      </c>
      <c r="O425" s="3">
        <f>Comparison!AR24</f>
        <v>828.10892034291578</v>
      </c>
      <c r="P425" s="3">
        <f>Comparison!AS24</f>
        <v>580.81989332695025</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112.9339972307782</v>
      </c>
      <c r="C426" s="3">
        <f t="shared" si="434"/>
        <v>5324.4557558446659</v>
      </c>
      <c r="D426" s="3">
        <f t="shared" si="434"/>
        <v>65887.249535855124</v>
      </c>
      <c r="E426" s="3">
        <f t="shared" si="434"/>
        <v>606918.42784990789</v>
      </c>
      <c r="F426" s="3">
        <f t="shared" si="434"/>
        <v>10000000</v>
      </c>
      <c r="G426" s="3">
        <f t="shared" si="434"/>
        <v>2759648577.5920711</v>
      </c>
      <c r="H426" s="3">
        <f t="shared" si="434"/>
        <v>796474702534.02661</v>
      </c>
      <c r="I426" s="109">
        <f>Comparison!AL25</f>
        <v>10000000</v>
      </c>
      <c r="J426" s="3">
        <f>Comparison!AM25</f>
        <v>4015.1174909416081</v>
      </c>
      <c r="K426" s="3">
        <f>Comparison!AN25</f>
        <v>3126.9337293210729</v>
      </c>
      <c r="L426" s="3">
        <f>Comparison!AO25</f>
        <v>2528.090407055493</v>
      </c>
      <c r="M426" s="3">
        <f>Comparison!AP25</f>
        <v>1986.0678137294008</v>
      </c>
      <c r="N426" s="3">
        <f>Comparison!AQ25</f>
        <v>1361.6454434772222</v>
      </c>
      <c r="O426" s="3">
        <f>Comparison!AR25</f>
        <v>674.83435785785764</v>
      </c>
      <c r="P426" s="3">
        <f>Comparison!AS25</f>
        <v>540.7919524224219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1129.3399723077819</v>
      </c>
      <c r="C427" s="3">
        <f t="shared" si="434"/>
        <v>53244.557558446657</v>
      </c>
      <c r="D427" s="3">
        <f t="shared" si="434"/>
        <v>658872.49535855127</v>
      </c>
      <c r="E427" s="3">
        <f t="shared" si="434"/>
        <v>6069184.2784990789</v>
      </c>
      <c r="F427" s="3">
        <f t="shared" si="434"/>
        <v>100000000</v>
      </c>
      <c r="G427" s="3">
        <f t="shared" si="434"/>
        <v>27596485775.920708</v>
      </c>
      <c r="H427" s="3">
        <f t="shared" si="434"/>
        <v>7964747025340.2656</v>
      </c>
      <c r="I427" s="109">
        <f>Comparison!AL26</f>
        <v>100000000</v>
      </c>
      <c r="J427" s="3">
        <f>Comparison!AM26</f>
        <v>3410.9442700239138</v>
      </c>
      <c r="K427" s="3">
        <f>Comparison!AN26</f>
        <v>2566.4428591616524</v>
      </c>
      <c r="L427" s="3">
        <f>Comparison!AO26</f>
        <v>1953.6029786216222</v>
      </c>
      <c r="M427" s="3">
        <f>Comparison!AP26</f>
        <v>1454.0043020913115</v>
      </c>
      <c r="N427" s="3">
        <f>Comparison!AQ26</f>
        <v>978.74851186182502</v>
      </c>
      <c r="O427" s="3">
        <f>Comparison!AR26</f>
        <v>590.63358810768784</v>
      </c>
      <c r="P427" s="3">
        <f>Comparison!AS26</f>
        <v>519.88174858869183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11293.39972307782</v>
      </c>
      <c r="C428" s="3">
        <f t="shared" si="434"/>
        <v>532445.57558446657</v>
      </c>
      <c r="D428" s="3">
        <f t="shared" si="434"/>
        <v>6588724.9535855129</v>
      </c>
      <c r="E428" s="3">
        <f t="shared" si="434"/>
        <v>60691842.784990795</v>
      </c>
      <c r="F428" s="3">
        <f t="shared" si="434"/>
        <v>1000000000</v>
      </c>
      <c r="G428" s="3">
        <f t="shared" si="434"/>
        <v>275964857759.20709</v>
      </c>
      <c r="H428" s="3">
        <f t="shared" si="434"/>
        <v>79647470253402.656</v>
      </c>
      <c r="I428" s="109">
        <f>Comparison!AL27</f>
        <v>1000000000</v>
      </c>
      <c r="J428" s="3">
        <f>Comparison!AM27</f>
        <v>2824.662512551186</v>
      </c>
      <c r="K428" s="3">
        <f>Comparison!AN27</f>
        <v>1999.3722885012867</v>
      </c>
      <c r="L428" s="3">
        <f>Comparison!AO27</f>
        <v>1432.382407665888</v>
      </c>
      <c r="M428" s="3">
        <f>Comparison!AP27</f>
        <v>1049.180195775346</v>
      </c>
      <c r="N428" s="3">
        <f>Comparison!AQ27</f>
        <v>750.04973579798059</v>
      </c>
      <c r="O428" s="3">
        <f>Comparison!AR27</f>
        <v>552.35798150339338</v>
      </c>
      <c r="P428" s="3">
        <f>Comparison!AS27</f>
        <v>509.34643430573385</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112933.9972307782</v>
      </c>
      <c r="C429" s="3">
        <f t="shared" si="434"/>
        <v>5324455.7558446657</v>
      </c>
      <c r="D429" s="3">
        <f t="shared" si="434"/>
        <v>65887249.535855129</v>
      </c>
      <c r="E429" s="3">
        <f t="shared" si="434"/>
        <v>606918427.84990799</v>
      </c>
      <c r="F429" s="3">
        <f t="shared" si="434"/>
        <v>10000000000</v>
      </c>
      <c r="G429" s="3">
        <f t="shared" si="434"/>
        <v>2759648577592.0708</v>
      </c>
      <c r="H429" s="3">
        <f t="shared" si="434"/>
        <v>796474702534026.5</v>
      </c>
      <c r="I429" s="109">
        <f>Comparison!AL28</f>
        <v>10000000000</v>
      </c>
      <c r="J429" s="3">
        <f>Comparison!AM28</f>
        <v>2250.6025345256894</v>
      </c>
      <c r="K429" s="3">
        <f>Comparison!AN28</f>
        <v>1469.5776968625496</v>
      </c>
      <c r="L429" s="3">
        <f>Comparison!AO28</f>
        <v>1033.3489091490621</v>
      </c>
      <c r="M429" s="3">
        <f>Comparison!AP28</f>
        <v>784.12675101552475</v>
      </c>
      <c r="N429" s="3">
        <f>Comparison!AQ28</f>
        <v>627.42168862186645</v>
      </c>
      <c r="O429" s="3">
        <f>Comparison!AR28</f>
        <v>523.49731143746499</v>
      </c>
      <c r="P429" s="3">
        <f>Comparison!AS28</f>
        <v>480.55733666885891</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1129339.9723077819</v>
      </c>
      <c r="C430" s="3">
        <f t="shared" si="434"/>
        <v>53244557.558446661</v>
      </c>
      <c r="D430" s="3">
        <f t="shared" si="434"/>
        <v>658872495.35855126</v>
      </c>
      <c r="E430" s="3">
        <f t="shared" si="434"/>
        <v>6069184278.4990797</v>
      </c>
      <c r="F430" s="3">
        <f t="shared" si="434"/>
        <v>100000000000</v>
      </c>
      <c r="G430" s="3">
        <f t="shared" si="434"/>
        <v>27596485775920.707</v>
      </c>
      <c r="H430" s="3">
        <f t="shared" si="434"/>
        <v>7964747025340266</v>
      </c>
      <c r="I430" s="109">
        <f>Comparison!AL29</f>
        <v>100000000000</v>
      </c>
      <c r="J430" s="3">
        <f>Comparison!AM29</f>
        <v>1676.0321427337321</v>
      </c>
      <c r="K430" s="3">
        <f>Comparison!AN29</f>
        <v>1062.2051299591283</v>
      </c>
      <c r="L430" s="3">
        <f>Comparison!AO29</f>
        <v>776.17019476824578</v>
      </c>
      <c r="M430" s="3">
        <f>Comparison!AP29</f>
        <v>648.62186552417882</v>
      </c>
      <c r="N430" s="3">
        <f>Comparison!AQ29</f>
        <v>570.28890979557161</v>
      </c>
      <c r="O430" s="3">
        <f>Comparison!AR29</f>
        <v>511.68260567729681</v>
      </c>
      <c r="P430" s="3">
        <f>Comparison!AS29</f>
        <v>471.54124630560909</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11293399.723077821</v>
      </c>
      <c r="C431" s="3">
        <f t="shared" si="434"/>
        <v>532445575.58446658</v>
      </c>
      <c r="D431" s="3">
        <f t="shared" si="434"/>
        <v>6588724953.5855131</v>
      </c>
      <c r="E431" s="3">
        <f t="shared" si="434"/>
        <v>60691842784.990791</v>
      </c>
      <c r="F431" s="3">
        <f t="shared" si="434"/>
        <v>1000000000000</v>
      </c>
      <c r="G431" s="3">
        <f t="shared" si="434"/>
        <v>275964857759207.09</v>
      </c>
      <c r="H431" s="3">
        <f t="shared" si="434"/>
        <v>7.9647470253402656E+16</v>
      </c>
      <c r="I431" s="109">
        <f>Comparison!AL30</f>
        <v>1000000000000</v>
      </c>
      <c r="J431" s="3">
        <f>Comparison!AM30</f>
        <v>1219.4001972501756</v>
      </c>
      <c r="K431" s="3">
        <f>Comparison!AN30</f>
        <v>790.39019215198527</v>
      </c>
      <c r="L431" s="3">
        <f>Comparison!AO30</f>
        <v>643.6842763640858</v>
      </c>
      <c r="M431" s="3">
        <f>Comparison!AP30</f>
        <v>577.86544910218402</v>
      </c>
      <c r="N431" s="3">
        <f>Comparison!AQ30</f>
        <v>534.99091249150581</v>
      </c>
      <c r="O431" s="3">
        <f>Comparison!AR30</f>
        <v>494.48298272135173</v>
      </c>
      <c r="P431" s="3">
        <f>Comparison!AS30</f>
        <v>469.40352706055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112933997.2307782</v>
      </c>
      <c r="C432" s="3">
        <f t="shared" si="434"/>
        <v>5324455755.8446665</v>
      </c>
      <c r="D432" s="3">
        <f t="shared" si="434"/>
        <v>65887249535.855133</v>
      </c>
      <c r="E432" s="3">
        <f t="shared" si="434"/>
        <v>606918427849.90796</v>
      </c>
      <c r="F432" s="3">
        <f t="shared" si="434"/>
        <v>10000000000000</v>
      </c>
      <c r="G432" s="3">
        <f t="shared" si="434"/>
        <v>2759648577592071</v>
      </c>
      <c r="H432" s="3">
        <f t="shared" si="434"/>
        <v>7.9647470253402662E+17</v>
      </c>
      <c r="I432" s="109">
        <f>Comparison!AL31</f>
        <v>10000000000000</v>
      </c>
      <c r="J432" s="3">
        <f>Comparison!AM31</f>
        <v>880.27460100786607</v>
      </c>
      <c r="K432" s="3">
        <f>Comparison!AN31</f>
        <v>652.53051651246926</v>
      </c>
      <c r="L432" s="3">
        <f>Comparison!AO31</f>
        <v>575.83936179835393</v>
      </c>
      <c r="M432" s="3">
        <f>Comparison!AP31</f>
        <v>542.13014146932505</v>
      </c>
      <c r="N432" s="3">
        <f>Comparison!AQ31</f>
        <v>516.06818092277001</v>
      </c>
      <c r="O432" s="3">
        <f>Comparison!AR31</f>
        <v>471.68716650538101</v>
      </c>
      <c r="P432" s="3">
        <f>Comparison!AS31</f>
        <v>469.06241231883331</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1129339972.3077819</v>
      </c>
      <c r="C433" s="3">
        <f t="shared" si="434"/>
        <v>53244557558.446663</v>
      </c>
      <c r="D433" s="3">
        <f t="shared" si="434"/>
        <v>658872495358.55127</v>
      </c>
      <c r="E433" s="3">
        <f t="shared" si="434"/>
        <v>6069184278499.0791</v>
      </c>
      <c r="F433" s="3">
        <f t="shared" si="434"/>
        <v>100000000000000</v>
      </c>
      <c r="G433" s="3">
        <f t="shared" si="434"/>
        <v>2.7596485775920708E+16</v>
      </c>
      <c r="H433" s="3">
        <f t="shared" si="434"/>
        <v>7.9647470253402655E+18</v>
      </c>
      <c r="I433" s="109">
        <f>Comparison!AL32</f>
        <v>100000000000000</v>
      </c>
      <c r="J433" s="3">
        <f>Comparison!AM32</f>
        <v>701.49257135601476</v>
      </c>
      <c r="K433" s="3">
        <f>Comparison!AN32</f>
        <v>578.9290265565794</v>
      </c>
      <c r="L433" s="3">
        <f>Comparison!AO32</f>
        <v>540.3807046910232</v>
      </c>
      <c r="M433" s="3">
        <f>Comparison!AP32</f>
        <v>519.06435890850435</v>
      </c>
      <c r="N433" s="3">
        <f>Comparison!AQ32</f>
        <v>504.17354863560553</v>
      </c>
      <c r="O433" s="3">
        <f>Comparison!AR32</f>
        <v>468.71385881352927</v>
      </c>
      <c r="P433" s="3">
        <f>Comparison!AS32</f>
        <v>467.11183046926152</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11293399723.07782</v>
      </c>
      <c r="C434" s="3">
        <f t="shared" si="434"/>
        <v>532445575584.46661</v>
      </c>
      <c r="D434" s="3">
        <f t="shared" si="434"/>
        <v>6588724953585.5127</v>
      </c>
      <c r="E434" s="3">
        <f t="shared" si="434"/>
        <v>60691842784990.797</v>
      </c>
      <c r="F434" s="3">
        <f t="shared" si="434"/>
        <v>1000000000000000</v>
      </c>
      <c r="G434" s="3">
        <f t="shared" si="434"/>
        <v>2.7596485775920707E+17</v>
      </c>
      <c r="H434" s="3">
        <f t="shared" si="434"/>
        <v>7.9647470253402653E+19</v>
      </c>
      <c r="I434" s="109">
        <f>Comparison!AL33</f>
        <v>1000000000000000</v>
      </c>
      <c r="J434" s="3">
        <f>Comparison!AM33</f>
        <v>599.87140608085383</v>
      </c>
      <c r="K434" s="3">
        <f>Comparison!AN33</f>
        <v>543.3455967986946</v>
      </c>
      <c r="L434" s="3">
        <f>Comparison!AO33</f>
        <v>518.13069577372926</v>
      </c>
      <c r="M434" s="3">
        <f>Comparison!AP33</f>
        <v>506.56668178937065</v>
      </c>
      <c r="N434" s="3">
        <f>Comparison!AQ33</f>
        <v>480.31847035858652</v>
      </c>
      <c r="O434" s="3">
        <f>Comparison!AR33</f>
        <v>468.47657281171303</v>
      </c>
      <c r="P434" s="3">
        <f>Comparison!AS33</f>
        <v>466.16000667860783</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164</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1.1293399723077821E-10</v>
      </c>
      <c r="C438" s="92">
        <f t="shared" si="435"/>
        <v>5.3244557558446662E-9</v>
      </c>
      <c r="D438" s="92">
        <f t="shared" si="435"/>
        <v>6.5887249535855134E-8</v>
      </c>
      <c r="E438" s="92">
        <f t="shared" si="435"/>
        <v>6.0691842784990798E-7</v>
      </c>
      <c r="F438" s="92">
        <f t="shared" si="435"/>
        <v>1.0000000000000001E-5</v>
      </c>
      <c r="G438" s="92">
        <f t="shared" si="435"/>
        <v>2.7596485775920709E-3</v>
      </c>
      <c r="H438" s="92">
        <f t="shared" si="435"/>
        <v>0.79647470253402664</v>
      </c>
      <c r="I438" s="92">
        <f t="shared" si="435"/>
        <v>1.0000000000000001E-5</v>
      </c>
      <c r="J438" s="92">
        <f t="shared" si="435"/>
        <v>8570.3120101913646</v>
      </c>
      <c r="K438" s="92">
        <f t="shared" si="435"/>
        <v>8104.719083836997</v>
      </c>
      <c r="L438" s="92">
        <f t="shared" si="435"/>
        <v>7673.2145085350385</v>
      </c>
      <c r="M438" s="92">
        <f t="shared" si="435"/>
        <v>7284.5164584803897</v>
      </c>
      <c r="N438" s="92">
        <f t="shared" si="435"/>
        <v>6867.7062482363972</v>
      </c>
      <c r="O438" s="92">
        <f t="shared" si="435"/>
        <v>6077.1759886859509</v>
      </c>
      <c r="P438" s="92">
        <f t="shared" si="435"/>
        <v>5280.3661713673137</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1.129339972307782E-9</v>
      </c>
      <c r="C439" s="92">
        <f t="shared" si="436"/>
        <v>5.3244557558446664E-8</v>
      </c>
      <c r="D439" s="92">
        <f t="shared" si="436"/>
        <v>6.5887249535855129E-7</v>
      </c>
      <c r="E439" s="92">
        <f t="shared" si="436"/>
        <v>6.0691842784990796E-6</v>
      </c>
      <c r="F439" s="92">
        <f t="shared" si="436"/>
        <v>1E-4</v>
      </c>
      <c r="G439" s="92">
        <f t="shared" si="436"/>
        <v>2.759648577592071E-2</v>
      </c>
      <c r="H439" s="92">
        <f t="shared" si="436"/>
        <v>7.9647470253402659</v>
      </c>
      <c r="I439" s="92">
        <f t="shared" si="436"/>
        <v>1E-4</v>
      </c>
      <c r="J439" s="92">
        <f t="shared" si="436"/>
        <v>8285.4763038384153</v>
      </c>
      <c r="K439" s="92">
        <f t="shared" si="436"/>
        <v>7738.4866265331348</v>
      </c>
      <c r="L439" s="92">
        <f t="shared" si="436"/>
        <v>7295.4976540764501</v>
      </c>
      <c r="M439" s="92">
        <f t="shared" si="436"/>
        <v>6964.8609670274845</v>
      </c>
      <c r="N439" s="92">
        <f t="shared" si="436"/>
        <v>6578.6198965937929</v>
      </c>
      <c r="O439" s="92">
        <f t="shared" si="436"/>
        <v>5794.3492029841209</v>
      </c>
      <c r="P439" s="92">
        <f t="shared" si="436"/>
        <v>4925.7855811728932</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1.129339972307782E-8</v>
      </c>
      <c r="C440" s="92">
        <f t="shared" si="436"/>
        <v>5.3244557558446663E-7</v>
      </c>
      <c r="D440" s="92">
        <f t="shared" si="436"/>
        <v>6.5887249535855135E-6</v>
      </c>
      <c r="E440" s="92">
        <f t="shared" si="436"/>
        <v>6.0691842784990795E-5</v>
      </c>
      <c r="F440" s="92">
        <f t="shared" si="436"/>
        <v>1E-3</v>
      </c>
      <c r="G440" s="92">
        <f t="shared" si="436"/>
        <v>0.27596485775920709</v>
      </c>
      <c r="H440" s="92">
        <f t="shared" si="436"/>
        <v>79.647470253402659</v>
      </c>
      <c r="I440" s="92">
        <f t="shared" si="436"/>
        <v>1E-3</v>
      </c>
      <c r="J440" s="92">
        <f t="shared" si="436"/>
        <v>7936.5401145889446</v>
      </c>
      <c r="K440" s="92">
        <f t="shared" si="436"/>
        <v>7356.7094808941847</v>
      </c>
      <c r="L440" s="92">
        <f t="shared" si="436"/>
        <v>6977.8752509418382</v>
      </c>
      <c r="M440" s="92">
        <f t="shared" si="436"/>
        <v>6677.7336683154199</v>
      </c>
      <c r="N440" s="92">
        <f t="shared" si="436"/>
        <v>6298.4876021181899</v>
      </c>
      <c r="O440" s="92">
        <f t="shared" si="436"/>
        <v>5497.4610054881305</v>
      </c>
      <c r="P440" s="92">
        <f t="shared" si="436"/>
        <v>4516.2157436003417</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1.129339972307782E-7</v>
      </c>
      <c r="C441" s="92">
        <f t="shared" si="436"/>
        <v>5.3244557558446665E-6</v>
      </c>
      <c r="D441" s="92">
        <f t="shared" si="436"/>
        <v>6.5887249535855129E-5</v>
      </c>
      <c r="E441" s="92">
        <f t="shared" si="436"/>
        <v>6.0691842784990797E-4</v>
      </c>
      <c r="F441" s="92">
        <f t="shared" si="436"/>
        <v>0.01</v>
      </c>
      <c r="G441" s="92">
        <f t="shared" si="436"/>
        <v>2.7596485775920709</v>
      </c>
      <c r="H441" s="92">
        <f t="shared" si="436"/>
        <v>796.47470253402662</v>
      </c>
      <c r="I441" s="92">
        <f t="shared" si="436"/>
        <v>0.01</v>
      </c>
      <c r="J441" s="92">
        <f t="shared" si="436"/>
        <v>7548.1809664568409</v>
      </c>
      <c r="K441" s="92">
        <f t="shared" si="436"/>
        <v>7029.386180221145</v>
      </c>
      <c r="L441" s="92">
        <f t="shared" si="436"/>
        <v>6688.5988498392426</v>
      </c>
      <c r="M441" s="92">
        <f t="shared" si="436"/>
        <v>6392.2538098508458</v>
      </c>
      <c r="N441" s="92">
        <f t="shared" si="436"/>
        <v>6004.311404381504</v>
      </c>
      <c r="O441" s="92">
        <f t="shared" si="436"/>
        <v>5142.3629386905741</v>
      </c>
      <c r="P441" s="92">
        <f t="shared" si="436"/>
        <v>4054.7135164176284</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1.129339972307782E-6</v>
      </c>
      <c r="C442" s="92">
        <f t="shared" si="436"/>
        <v>5.3244557558446665E-5</v>
      </c>
      <c r="D442" s="92">
        <f t="shared" si="436"/>
        <v>6.588724953585514E-4</v>
      </c>
      <c r="E442" s="92">
        <f t="shared" si="436"/>
        <v>6.0691842784990797E-3</v>
      </c>
      <c r="F442" s="92">
        <f t="shared" si="436"/>
        <v>0.1</v>
      </c>
      <c r="G442" s="92">
        <f t="shared" si="436"/>
        <v>27.596485775920712</v>
      </c>
      <c r="H442" s="92">
        <f t="shared" si="436"/>
        <v>7964.7470253402662</v>
      </c>
      <c r="I442" s="92">
        <f t="shared" si="436"/>
        <v>0.1</v>
      </c>
      <c r="J442" s="92">
        <f t="shared" si="436"/>
        <v>7185.7092224582611</v>
      </c>
      <c r="K442" s="92">
        <f t="shared" si="436"/>
        <v>6740.4128171607354</v>
      </c>
      <c r="L442" s="92">
        <f t="shared" si="436"/>
        <v>6402.4667189627462</v>
      </c>
      <c r="M442" s="92">
        <f t="shared" si="436"/>
        <v>6101.0485432855839</v>
      </c>
      <c r="N442" s="92">
        <f t="shared" si="436"/>
        <v>5728.9563133722204</v>
      </c>
      <c r="O442" s="92">
        <f t="shared" si="436"/>
        <v>4755.3271416437765</v>
      </c>
      <c r="P442" s="92">
        <f t="shared" si="436"/>
        <v>3480.9757019740573</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1.129339972307782E-5</v>
      </c>
      <c r="C443" s="92">
        <f t="shared" si="436"/>
        <v>5.3244557558446658E-4</v>
      </c>
      <c r="D443" s="92">
        <f t="shared" si="436"/>
        <v>6.5887249535855133E-3</v>
      </c>
      <c r="E443" s="92">
        <f t="shared" si="436"/>
        <v>6.069184278499079E-2</v>
      </c>
      <c r="F443" s="92">
        <f t="shared" si="436"/>
        <v>1</v>
      </c>
      <c r="G443" s="92">
        <f t="shared" si="436"/>
        <v>275.96485775920706</v>
      </c>
      <c r="H443" s="92">
        <f t="shared" si="436"/>
        <v>79647.470253402658</v>
      </c>
      <c r="I443" s="92">
        <f t="shared" si="436"/>
        <v>1</v>
      </c>
      <c r="J443" s="92">
        <f t="shared" si="436"/>
        <v>6895.934147375373</v>
      </c>
      <c r="K443" s="92">
        <f t="shared" si="436"/>
        <v>6451.1295620052033</v>
      </c>
      <c r="L443" s="92">
        <f t="shared" si="436"/>
        <v>6108.5862714487212</v>
      </c>
      <c r="M443" s="92">
        <f t="shared" si="436"/>
        <v>5816.6056093144152</v>
      </c>
      <c r="N443" s="92">
        <f t="shared" si="436"/>
        <v>5384.1034806229181</v>
      </c>
      <c r="O443" s="92">
        <f t="shared" si="436"/>
        <v>4259.9552232455089</v>
      </c>
      <c r="P443" s="92">
        <f t="shared" si="436"/>
        <v>2776.8290278599252</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1.129339972307782E-4</v>
      </c>
      <c r="C444" s="92">
        <f t="shared" si="436"/>
        <v>5.324455755844666E-3</v>
      </c>
      <c r="D444" s="92">
        <f t="shared" si="436"/>
        <v>6.5887249535855133E-2</v>
      </c>
      <c r="E444" s="92">
        <f t="shared" si="436"/>
        <v>0.6069184278499079</v>
      </c>
      <c r="F444" s="92">
        <f t="shared" si="436"/>
        <v>10</v>
      </c>
      <c r="G444" s="92">
        <f t="shared" si="436"/>
        <v>2759.648577592071</v>
      </c>
      <c r="H444" s="92">
        <f t="shared" si="436"/>
        <v>796474.70253402658</v>
      </c>
      <c r="I444" s="92">
        <f t="shared" si="436"/>
        <v>10</v>
      </c>
      <c r="J444" s="92">
        <f t="shared" si="436"/>
        <v>6598.4326641088546</v>
      </c>
      <c r="K444" s="92">
        <f t="shared" si="436"/>
        <v>6158.0006144488207</v>
      </c>
      <c r="L444" s="92">
        <f t="shared" si="436"/>
        <v>5821.8385981744532</v>
      </c>
      <c r="M444" s="92">
        <f t="shared" si="436"/>
        <v>5480.1263998982886</v>
      </c>
      <c r="N444" s="92">
        <f t="shared" si="436"/>
        <v>4946.9073871376504</v>
      </c>
      <c r="O444" s="92">
        <f t="shared" si="436"/>
        <v>3608.881023132205</v>
      </c>
      <c r="P444" s="92">
        <f t="shared" si="436"/>
        <v>2021.5623770745678</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1.1293399723077821E-3</v>
      </c>
      <c r="C445" s="92">
        <f t="shared" si="436"/>
        <v>5.3244557558446662E-2</v>
      </c>
      <c r="D445" s="92">
        <f t="shared" si="436"/>
        <v>0.6588724953585513</v>
      </c>
      <c r="E445" s="92">
        <f t="shared" si="436"/>
        <v>6.0691842784990797</v>
      </c>
      <c r="F445" s="92">
        <f t="shared" si="436"/>
        <v>100</v>
      </c>
      <c r="G445" s="92">
        <f t="shared" si="436"/>
        <v>27596.485775920708</v>
      </c>
      <c r="H445" s="92">
        <f t="shared" si="436"/>
        <v>7964747.0253402656</v>
      </c>
      <c r="I445" s="92">
        <f t="shared" si="436"/>
        <v>100</v>
      </c>
      <c r="J445" s="92">
        <f t="shared" si="436"/>
        <v>6312.5025678358661</v>
      </c>
      <c r="K445" s="92">
        <f t="shared" si="436"/>
        <v>5864.4544291342345</v>
      </c>
      <c r="L445" s="92">
        <f t="shared" si="436"/>
        <v>5461.5612200441165</v>
      </c>
      <c r="M445" s="92">
        <f t="shared" si="436"/>
        <v>5001.3542238279779</v>
      </c>
      <c r="N445" s="92">
        <f t="shared" si="436"/>
        <v>4341.3949978794144</v>
      </c>
      <c r="O445" s="92">
        <f t="shared" si="436"/>
        <v>2894.897040918956</v>
      </c>
      <c r="P445" s="92">
        <f t="shared" si="436"/>
        <v>1425.0251284859655</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1.1293399723077819E-2</v>
      </c>
      <c r="C446" s="92">
        <f t="shared" si="436"/>
        <v>0.53244557558446659</v>
      </c>
      <c r="D446" s="92">
        <f t="shared" si="436"/>
        <v>6.5887249535855128</v>
      </c>
      <c r="E446" s="92">
        <f t="shared" si="436"/>
        <v>60.691842784990797</v>
      </c>
      <c r="F446" s="92">
        <f t="shared" si="436"/>
        <v>1000</v>
      </c>
      <c r="G446" s="92">
        <f t="shared" si="436"/>
        <v>275964.85775920708</v>
      </c>
      <c r="H446" s="92">
        <f t="shared" si="436"/>
        <v>79647470.25340265</v>
      </c>
      <c r="I446" s="92">
        <f t="shared" si="436"/>
        <v>1000</v>
      </c>
      <c r="J446" s="92">
        <f t="shared" si="436"/>
        <v>6009.4653543505283</v>
      </c>
      <c r="K446" s="92">
        <f t="shared" si="436"/>
        <v>5497.1399794237341</v>
      </c>
      <c r="L446" s="92">
        <f t="shared" si="436"/>
        <v>4936.5934069622945</v>
      </c>
      <c r="M446" s="92">
        <f t="shared" si="436"/>
        <v>4378.6857587374161</v>
      </c>
      <c r="N446" s="92">
        <f t="shared" si="436"/>
        <v>3695.6706844027317</v>
      </c>
      <c r="O446" s="92">
        <f t="shared" si="436"/>
        <v>2208.0535004045023</v>
      </c>
      <c r="P446" s="92">
        <f t="shared" si="436"/>
        <v>1000.3144588532851</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0.1129339972307782</v>
      </c>
      <c r="C447" s="92">
        <f t="shared" si="436"/>
        <v>5.3244557558446663</v>
      </c>
      <c r="D447" s="92">
        <f t="shared" si="436"/>
        <v>65.887249535855133</v>
      </c>
      <c r="E447" s="92">
        <f t="shared" si="436"/>
        <v>606.91842784990797</v>
      </c>
      <c r="F447" s="92">
        <f t="shared" si="436"/>
        <v>10000</v>
      </c>
      <c r="G447" s="92">
        <f t="shared" si="436"/>
        <v>2759648.5775920707</v>
      </c>
      <c r="H447" s="92">
        <f t="shared" si="436"/>
        <v>796474702.5340265</v>
      </c>
      <c r="I447" s="92">
        <f t="shared" si="436"/>
        <v>10000</v>
      </c>
      <c r="J447" s="92">
        <f t="shared" si="436"/>
        <v>5713.6024886963633</v>
      </c>
      <c r="K447" s="92">
        <f t="shared" si="436"/>
        <v>4940.0481403456943</v>
      </c>
      <c r="L447" s="92">
        <f t="shared" si="436"/>
        <v>4296.9639126238171</v>
      </c>
      <c r="M447" s="92">
        <f t="shared" si="436"/>
        <v>3745.6038917295314</v>
      </c>
      <c r="N447" s="92">
        <f t="shared" si="436"/>
        <v>3068.755950536985</v>
      </c>
      <c r="O447" s="92">
        <f t="shared" si="436"/>
        <v>1590.7510281023892</v>
      </c>
      <c r="P447" s="92">
        <f t="shared" si="436"/>
        <v>766.53007991277559</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1.1293399723077819</v>
      </c>
      <c r="C448" s="92">
        <f t="shared" si="436"/>
        <v>53.244557558446658</v>
      </c>
      <c r="D448" s="92">
        <f t="shared" si="436"/>
        <v>658.8724953585513</v>
      </c>
      <c r="E448" s="92">
        <f t="shared" si="436"/>
        <v>6069.1842784990795</v>
      </c>
      <c r="F448" s="92">
        <f t="shared" si="436"/>
        <v>100000</v>
      </c>
      <c r="G448" s="92">
        <f t="shared" si="436"/>
        <v>27596485.775920708</v>
      </c>
      <c r="H448" s="92">
        <f t="shared" si="436"/>
        <v>7964747025.3402653</v>
      </c>
      <c r="I448" s="92">
        <f t="shared" si="436"/>
        <v>100000</v>
      </c>
      <c r="J448" s="92">
        <f t="shared" si="436"/>
        <v>5266.353343720587</v>
      </c>
      <c r="K448" s="92">
        <f t="shared" si="436"/>
        <v>4302.8208260658694</v>
      </c>
      <c r="L448" s="92">
        <f t="shared" si="436"/>
        <v>3679.1110460410682</v>
      </c>
      <c r="M448" s="92">
        <f t="shared" si="436"/>
        <v>3148.5137755573865</v>
      </c>
      <c r="N448" s="92">
        <f t="shared" si="436"/>
        <v>2467.1652727793789</v>
      </c>
      <c r="O448" s="92">
        <f t="shared" si="436"/>
        <v>1134.4072038150462</v>
      </c>
      <c r="P448" s="92">
        <f t="shared" si="436"/>
        <v>637.70408339015069</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11.293399723077819</v>
      </c>
      <c r="C449" s="92">
        <f t="shared" si="436"/>
        <v>532.44557558446661</v>
      </c>
      <c r="D449" s="92">
        <f t="shared" si="436"/>
        <v>6588.7249535855135</v>
      </c>
      <c r="E449" s="92">
        <f t="shared" si="436"/>
        <v>60691.842784990797</v>
      </c>
      <c r="F449" s="92">
        <f t="shared" si="436"/>
        <v>1000000</v>
      </c>
      <c r="G449" s="92">
        <f t="shared" si="436"/>
        <v>275964857.75920707</v>
      </c>
      <c r="H449" s="92">
        <f t="shared" si="436"/>
        <v>79647470253.402649</v>
      </c>
      <c r="I449" s="92">
        <f t="shared" si="436"/>
        <v>1000000</v>
      </c>
      <c r="J449" s="92">
        <f t="shared" si="436"/>
        <v>4669.585842690939</v>
      </c>
      <c r="K449" s="92">
        <f t="shared" si="436"/>
        <v>3694.2569609036786</v>
      </c>
      <c r="L449" s="92">
        <f t="shared" si="436"/>
        <v>3097.6161878660678</v>
      </c>
      <c r="M449" s="92">
        <f t="shared" si="436"/>
        <v>2567.2806883234543</v>
      </c>
      <c r="N449" s="92">
        <f t="shared" si="436"/>
        <v>1870.2488465480699</v>
      </c>
      <c r="O449" s="92">
        <f t="shared" si="436"/>
        <v>828.10892034291578</v>
      </c>
      <c r="P449" s="92">
        <f t="shared" si="436"/>
        <v>580.81989332695025</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112.9339972307782</v>
      </c>
      <c r="C450" s="92">
        <f t="shared" si="436"/>
        <v>5324.4557558446659</v>
      </c>
      <c r="D450" s="92">
        <f t="shared" si="436"/>
        <v>65887.249535855124</v>
      </c>
      <c r="E450" s="92">
        <f t="shared" si="436"/>
        <v>606918.42784990789</v>
      </c>
      <c r="F450" s="92">
        <f t="shared" si="436"/>
        <v>10000000</v>
      </c>
      <c r="G450" s="92">
        <f t="shared" si="436"/>
        <v>2759648577.5920711</v>
      </c>
      <c r="H450" s="92">
        <f t="shared" si="436"/>
        <v>796474702534.02661</v>
      </c>
      <c r="I450" s="92">
        <f t="shared" si="436"/>
        <v>10000000</v>
      </c>
      <c r="J450" s="92">
        <f t="shared" si="436"/>
        <v>4015.1174909416081</v>
      </c>
      <c r="K450" s="92">
        <f t="shared" si="436"/>
        <v>3126.9337293210729</v>
      </c>
      <c r="L450" s="92">
        <f t="shared" si="436"/>
        <v>2528.090407055493</v>
      </c>
      <c r="M450" s="92">
        <f t="shared" si="436"/>
        <v>1986.0678137294008</v>
      </c>
      <c r="N450" s="92">
        <f t="shared" si="436"/>
        <v>1361.6454434772222</v>
      </c>
      <c r="O450" s="92">
        <f t="shared" si="436"/>
        <v>674.83435785785764</v>
      </c>
      <c r="P450" s="92">
        <f t="shared" si="436"/>
        <v>540.7919524224219</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1129.3399723077819</v>
      </c>
      <c r="C451" s="92">
        <f t="shared" si="436"/>
        <v>53244.557558446657</v>
      </c>
      <c r="D451" s="92">
        <f t="shared" si="436"/>
        <v>658872.49535855127</v>
      </c>
      <c r="E451" s="92">
        <f t="shared" si="436"/>
        <v>6069184.2784990789</v>
      </c>
      <c r="F451" s="92">
        <f t="shared" si="436"/>
        <v>100000000</v>
      </c>
      <c r="G451" s="92">
        <f t="shared" si="436"/>
        <v>27596485775.920708</v>
      </c>
      <c r="H451" s="92">
        <f t="shared" si="436"/>
        <v>7964747025340.2656</v>
      </c>
      <c r="I451" s="92">
        <f t="shared" si="436"/>
        <v>100000000</v>
      </c>
      <c r="J451" s="92">
        <f t="shared" si="436"/>
        <v>3410.9442700239138</v>
      </c>
      <c r="K451" s="92">
        <f t="shared" si="436"/>
        <v>2566.4428591616524</v>
      </c>
      <c r="L451" s="92">
        <f t="shared" si="436"/>
        <v>1953.6029786216222</v>
      </c>
      <c r="M451" s="92">
        <f t="shared" si="436"/>
        <v>1454.0043020913115</v>
      </c>
      <c r="N451" s="92">
        <f t="shared" si="436"/>
        <v>978.74851186182502</v>
      </c>
      <c r="O451" s="92">
        <f t="shared" si="436"/>
        <v>590.63358810768784</v>
      </c>
      <c r="P451" s="92">
        <f t="shared" si="436"/>
        <v>519.88174858869183</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11293.39972307782</v>
      </c>
      <c r="C452" s="92">
        <f t="shared" si="436"/>
        <v>532445.57558446657</v>
      </c>
      <c r="D452" s="92">
        <f t="shared" si="436"/>
        <v>6588724.9535855129</v>
      </c>
      <c r="E452" s="92">
        <f t="shared" si="436"/>
        <v>60691842.784990795</v>
      </c>
      <c r="F452" s="92">
        <f t="shared" si="436"/>
        <v>1000000000</v>
      </c>
      <c r="G452" s="92">
        <f t="shared" si="436"/>
        <v>275964857759.20709</v>
      </c>
      <c r="H452" s="92">
        <f t="shared" si="436"/>
        <v>79647470253402.656</v>
      </c>
      <c r="I452" s="92">
        <f t="shared" si="436"/>
        <v>1000000000</v>
      </c>
      <c r="J452" s="92">
        <f t="shared" si="436"/>
        <v>2824.662512551186</v>
      </c>
      <c r="K452" s="92">
        <f t="shared" si="436"/>
        <v>1999.3722885012867</v>
      </c>
      <c r="L452" s="92">
        <f t="shared" si="436"/>
        <v>1432.382407665888</v>
      </c>
      <c r="M452" s="92">
        <f t="shared" si="436"/>
        <v>1049.180195775346</v>
      </c>
      <c r="N452" s="92">
        <f t="shared" si="436"/>
        <v>750.04973579798059</v>
      </c>
      <c r="O452" s="92">
        <f t="shared" si="436"/>
        <v>552.35798150339338</v>
      </c>
      <c r="P452" s="92">
        <f t="shared" si="436"/>
        <v>509.34643430573385</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112933.9972307782</v>
      </c>
      <c r="C453" s="92">
        <f t="shared" si="436"/>
        <v>5324455.7558446657</v>
      </c>
      <c r="D453" s="92">
        <f t="shared" si="436"/>
        <v>65887249.535855129</v>
      </c>
      <c r="E453" s="92">
        <f t="shared" si="436"/>
        <v>606918427.84990799</v>
      </c>
      <c r="F453" s="92">
        <f t="shared" si="436"/>
        <v>10000000000</v>
      </c>
      <c r="G453" s="92">
        <f t="shared" si="436"/>
        <v>2759648577592.0708</v>
      </c>
      <c r="H453" s="92">
        <f t="shared" si="436"/>
        <v>796474702534026.5</v>
      </c>
      <c r="I453" s="92">
        <f t="shared" si="436"/>
        <v>10000000000</v>
      </c>
      <c r="J453" s="92">
        <f t="shared" si="436"/>
        <v>2250.6025345256894</v>
      </c>
      <c r="K453" s="92">
        <f t="shared" si="436"/>
        <v>1469.5776968625496</v>
      </c>
      <c r="L453" s="92">
        <f t="shared" si="436"/>
        <v>1033.3489091490621</v>
      </c>
      <c r="M453" s="92">
        <f t="shared" si="436"/>
        <v>784.12675101552475</v>
      </c>
      <c r="N453" s="92">
        <f t="shared" si="436"/>
        <v>627.42168862186645</v>
      </c>
      <c r="O453" s="92">
        <f t="shared" si="436"/>
        <v>523.49731143746499</v>
      </c>
      <c r="P453" s="92">
        <f t="shared" si="436"/>
        <v>480.55733666885891</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1129339.9723077819</v>
      </c>
      <c r="C454" s="92">
        <f t="shared" si="437"/>
        <v>53244557.558446661</v>
      </c>
      <c r="D454" s="92">
        <f t="shared" si="437"/>
        <v>658872495.35855126</v>
      </c>
      <c r="E454" s="92">
        <f t="shared" si="437"/>
        <v>6069184278.4990797</v>
      </c>
      <c r="F454" s="92">
        <f t="shared" si="437"/>
        <v>100000000000</v>
      </c>
      <c r="G454" s="92">
        <f t="shared" si="437"/>
        <v>27596485775920.707</v>
      </c>
      <c r="H454" s="92">
        <f t="shared" si="437"/>
        <v>7964747025340266</v>
      </c>
      <c r="I454" s="92">
        <f t="shared" si="437"/>
        <v>100000000000</v>
      </c>
      <c r="J454" s="92">
        <f t="shared" si="437"/>
        <v>1676.0321427337321</v>
      </c>
      <c r="K454" s="92">
        <f t="shared" si="437"/>
        <v>1062.2051299591283</v>
      </c>
      <c r="L454" s="92">
        <f t="shared" si="437"/>
        <v>776.17019476824578</v>
      </c>
      <c r="M454" s="92">
        <f t="shared" si="437"/>
        <v>648.62186552417882</v>
      </c>
      <c r="N454" s="92">
        <f t="shared" si="437"/>
        <v>570.28890979557161</v>
      </c>
      <c r="O454" s="92">
        <f t="shared" si="437"/>
        <v>511.68260567729681</v>
      </c>
      <c r="P454" s="92">
        <f t="shared" si="437"/>
        <v>471.54124630560909</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11293399.723077821</v>
      </c>
      <c r="C455" s="92">
        <f t="shared" si="437"/>
        <v>532445575.58446658</v>
      </c>
      <c r="D455" s="92">
        <f t="shared" si="437"/>
        <v>6588724953.5855131</v>
      </c>
      <c r="E455" s="92">
        <f t="shared" si="437"/>
        <v>60691842784.990791</v>
      </c>
      <c r="F455" s="92">
        <f t="shared" si="437"/>
        <v>1000000000000</v>
      </c>
      <c r="G455" s="92">
        <f t="shared" si="437"/>
        <v>275964857759207.09</v>
      </c>
      <c r="H455" s="92">
        <f t="shared" si="437"/>
        <v>7.9647470253402656E+16</v>
      </c>
      <c r="I455" s="92">
        <f t="shared" si="437"/>
        <v>1000000000000</v>
      </c>
      <c r="J455" s="92">
        <f t="shared" si="437"/>
        <v>1219.4001972501756</v>
      </c>
      <c r="K455" s="92">
        <f t="shared" si="437"/>
        <v>790.39019215198527</v>
      </c>
      <c r="L455" s="92">
        <f t="shared" si="437"/>
        <v>643.6842763640858</v>
      </c>
      <c r="M455" s="92">
        <f t="shared" si="437"/>
        <v>577.86544910218402</v>
      </c>
      <c r="N455" s="92">
        <f t="shared" si="437"/>
        <v>534.99091249150581</v>
      </c>
      <c r="O455" s="92">
        <f t="shared" si="437"/>
        <v>494.48298272135173</v>
      </c>
      <c r="P455" s="92">
        <f t="shared" si="437"/>
        <v>469.40352706055</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112933997.2307782</v>
      </c>
      <c r="C456" s="92">
        <f t="shared" si="437"/>
        <v>5324455755.8446665</v>
      </c>
      <c r="D456" s="92">
        <f t="shared" si="437"/>
        <v>65887249535.855133</v>
      </c>
      <c r="E456" s="92">
        <f t="shared" si="437"/>
        <v>606918427849.90796</v>
      </c>
      <c r="F456" s="92">
        <f t="shared" si="437"/>
        <v>10000000000000</v>
      </c>
      <c r="G456" s="92">
        <f t="shared" si="437"/>
        <v>2759648577592071</v>
      </c>
      <c r="H456" s="92">
        <f t="shared" si="437"/>
        <v>7.9647470253402662E+17</v>
      </c>
      <c r="I456" s="92">
        <f t="shared" si="437"/>
        <v>10000000000000</v>
      </c>
      <c r="J456" s="92">
        <f t="shared" si="437"/>
        <v>880.27460100786607</v>
      </c>
      <c r="K456" s="92">
        <f t="shared" si="437"/>
        <v>652.53051651246926</v>
      </c>
      <c r="L456" s="92">
        <f t="shared" si="437"/>
        <v>575.83936179835393</v>
      </c>
      <c r="M456" s="92">
        <f t="shared" si="437"/>
        <v>542.13014146932505</v>
      </c>
      <c r="N456" s="92">
        <f t="shared" si="437"/>
        <v>516.06818092277001</v>
      </c>
      <c r="O456" s="92">
        <f t="shared" si="437"/>
        <v>471.68716650538101</v>
      </c>
      <c r="P456" s="92">
        <f t="shared" si="437"/>
        <v>469.06241231883331</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1129339972.3077819</v>
      </c>
      <c r="C457" s="92">
        <f t="shared" si="437"/>
        <v>53244557558.446663</v>
      </c>
      <c r="D457" s="92">
        <f t="shared" si="437"/>
        <v>658872495358.55127</v>
      </c>
      <c r="E457" s="92">
        <f t="shared" si="437"/>
        <v>6069184278499.0791</v>
      </c>
      <c r="F457" s="92">
        <f t="shared" si="437"/>
        <v>100000000000000</v>
      </c>
      <c r="G457" s="92">
        <f t="shared" si="437"/>
        <v>2.7596485775920708E+16</v>
      </c>
      <c r="H457" s="92">
        <f t="shared" si="437"/>
        <v>7.9647470253402655E+18</v>
      </c>
      <c r="I457" s="92">
        <f t="shared" si="437"/>
        <v>100000000000000</v>
      </c>
      <c r="J457" s="92">
        <f t="shared" si="437"/>
        <v>701.49257135601476</v>
      </c>
      <c r="K457" s="92">
        <f t="shared" si="437"/>
        <v>578.9290265565794</v>
      </c>
      <c r="L457" s="92">
        <f t="shared" si="437"/>
        <v>540.3807046910232</v>
      </c>
      <c r="M457" s="92">
        <f t="shared" si="437"/>
        <v>519.06435890850435</v>
      </c>
      <c r="N457" s="92">
        <f t="shared" si="437"/>
        <v>504.17354863560553</v>
      </c>
      <c r="O457" s="92">
        <f t="shared" si="437"/>
        <v>468.71385881352927</v>
      </c>
      <c r="P457" s="92">
        <f t="shared" si="437"/>
        <v>467.11183046926152</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11293399723.07782</v>
      </c>
      <c r="C458" s="92">
        <f t="shared" si="437"/>
        <v>532445575584.46661</v>
      </c>
      <c r="D458" s="92">
        <f t="shared" si="437"/>
        <v>6588724953585.5127</v>
      </c>
      <c r="E458" s="92">
        <f t="shared" si="437"/>
        <v>60691842784990.797</v>
      </c>
      <c r="F458" s="92">
        <f t="shared" si="437"/>
        <v>1000000000000000</v>
      </c>
      <c r="G458" s="92">
        <f t="shared" si="437"/>
        <v>2.7596485775920707E+17</v>
      </c>
      <c r="H458" s="92">
        <f t="shared" si="437"/>
        <v>7.9647470253402653E+19</v>
      </c>
      <c r="I458" s="92">
        <f t="shared" si="437"/>
        <v>1000000000000000</v>
      </c>
      <c r="J458" s="92">
        <f t="shared" si="437"/>
        <v>599.87140608085383</v>
      </c>
      <c r="K458" s="92">
        <f t="shared" si="437"/>
        <v>543.3455967986946</v>
      </c>
      <c r="L458" s="92">
        <f t="shared" si="437"/>
        <v>518.13069577372926</v>
      </c>
      <c r="M458" s="92">
        <f t="shared" si="437"/>
        <v>506.56668178937065</v>
      </c>
      <c r="N458" s="92">
        <f t="shared" si="437"/>
        <v>480.31847035858652</v>
      </c>
      <c r="O458" s="92">
        <f t="shared" si="437"/>
        <v>468.47657281171303</v>
      </c>
      <c r="P458" s="92">
        <f t="shared" si="437"/>
        <v>466.16000667860783</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74" zoomScale="110" zoomScaleNormal="110" workbookViewId="0">
      <selection activeCell="J102" sqref="J102"/>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-9.9471752999959158</v>
      </c>
      <c r="C4" s="10">
        <f>LOG10('Mastercurve bestimmen'!C438)</f>
        <v>-8.2737247774315819</v>
      </c>
      <c r="D4" s="10">
        <f>LOG10('Mastercurve bestimmen'!D438)</f>
        <v>-7.1811986217032286</v>
      </c>
      <c r="E4" s="10">
        <f>LOG10('Mastercurve bestimmen'!E438)</f>
        <v>-6.2168696758362296</v>
      </c>
      <c r="F4" s="10">
        <f>LOG10('Mastercurve bestimmen'!F438)</f>
        <v>-5</v>
      </c>
      <c r="G4" s="10">
        <f>LOG10('Mastercurve bestimmen'!G438)</f>
        <v>-2.5591462188513683</v>
      </c>
      <c r="H4" s="10">
        <f>LOG10('Mastercurve bestimmen'!H438)</f>
        <v>-9.8828013615960539E-2</v>
      </c>
      <c r="I4" s="3">
        <f>'Mastercurve bestimmen'!I438</f>
        <v>1.0000000000000001E-5</v>
      </c>
      <c r="J4" s="3">
        <f>'Mastercurve bestimmen'!J438</f>
        <v>8570.3120101913646</v>
      </c>
      <c r="K4" s="3">
        <f>'Mastercurve bestimmen'!K438</f>
        <v>8104.719083836997</v>
      </c>
      <c r="L4" s="3">
        <f>'Mastercurve bestimmen'!L438</f>
        <v>7673.2145085350385</v>
      </c>
      <c r="M4" s="3">
        <f>'Mastercurve bestimmen'!M438</f>
        <v>7284.5164584803897</v>
      </c>
      <c r="N4" s="3">
        <f>'Mastercurve bestimmen'!N438</f>
        <v>6867.7062482363972</v>
      </c>
      <c r="O4" s="3">
        <f>'Mastercurve bestimmen'!O438</f>
        <v>6077.1759886859509</v>
      </c>
      <c r="P4" s="3">
        <f>'Mastercurve bestimmen'!P438</f>
        <v>5280.3661713673137</v>
      </c>
      <c r="Q4" s="3"/>
    </row>
    <row r="5" spans="1:17" x14ac:dyDescent="0.25">
      <c r="A5" s="10">
        <f>LOG10('Mastercurve bestimmen'!A439)</f>
        <v>-4</v>
      </c>
      <c r="B5" s="10">
        <f>LOG10('Mastercurve bestimmen'!B439)</f>
        <v>-8.9471752999959158</v>
      </c>
      <c r="C5" s="10">
        <f>LOG10('Mastercurve bestimmen'!C439)</f>
        <v>-7.2737247774315819</v>
      </c>
      <c r="D5" s="10">
        <f>LOG10('Mastercurve bestimmen'!D439)</f>
        <v>-6.1811986217032286</v>
      </c>
      <c r="E5" s="10">
        <f>LOG10('Mastercurve bestimmen'!E439)</f>
        <v>-5.2168696758362296</v>
      </c>
      <c r="F5" s="10">
        <f>LOG10('Mastercurve bestimmen'!F439)</f>
        <v>-4</v>
      </c>
      <c r="G5" s="10">
        <f>LOG10('Mastercurve bestimmen'!G439)</f>
        <v>-1.5591462188513683</v>
      </c>
      <c r="H5" s="10">
        <f>LOG10('Mastercurve bestimmen'!H439)</f>
        <v>0.90117198638403939</v>
      </c>
      <c r="I5" s="3">
        <f>'Mastercurve bestimmen'!I439</f>
        <v>1E-4</v>
      </c>
      <c r="J5" s="3">
        <f>'Mastercurve bestimmen'!J439</f>
        <v>8285.4763038384153</v>
      </c>
      <c r="K5" s="3">
        <f>'Mastercurve bestimmen'!K439</f>
        <v>7738.4866265331348</v>
      </c>
      <c r="L5" s="3">
        <f>'Mastercurve bestimmen'!L439</f>
        <v>7295.4976540764501</v>
      </c>
      <c r="M5" s="3">
        <f>'Mastercurve bestimmen'!M439</f>
        <v>6964.8609670274845</v>
      </c>
      <c r="N5" s="3">
        <f>'Mastercurve bestimmen'!N439</f>
        <v>6578.6198965937929</v>
      </c>
      <c r="O5" s="3">
        <f>'Mastercurve bestimmen'!O439</f>
        <v>5794.3492029841209</v>
      </c>
      <c r="P5" s="3">
        <f>'Mastercurve bestimmen'!P439</f>
        <v>4925.7855811728932</v>
      </c>
    </row>
    <row r="6" spans="1:17" x14ac:dyDescent="0.25">
      <c r="A6" s="10">
        <f>LOG10('Mastercurve bestimmen'!A440)</f>
        <v>-3</v>
      </c>
      <c r="B6" s="10">
        <f>LOG10('Mastercurve bestimmen'!B440)</f>
        <v>-7.9471752999959158</v>
      </c>
      <c r="C6" s="10">
        <f>LOG10('Mastercurve bestimmen'!C440)</f>
        <v>-6.2737247774315819</v>
      </c>
      <c r="D6" s="10">
        <f>LOG10('Mastercurve bestimmen'!D440)</f>
        <v>-5.1811986217032286</v>
      </c>
      <c r="E6" s="10">
        <f>LOG10('Mastercurve bestimmen'!E440)</f>
        <v>-4.2168696758362296</v>
      </c>
      <c r="F6" s="10">
        <f>LOG10('Mastercurve bestimmen'!F440)</f>
        <v>-3</v>
      </c>
      <c r="G6" s="10">
        <f>LOG10('Mastercurve bestimmen'!G440)</f>
        <v>-0.55914621885136839</v>
      </c>
      <c r="H6" s="10">
        <f>LOG10('Mastercurve bestimmen'!H440)</f>
        <v>1.9011719863840395</v>
      </c>
      <c r="I6" s="3">
        <f>'Mastercurve bestimmen'!I440</f>
        <v>1E-3</v>
      </c>
      <c r="J6" s="3">
        <f>'Mastercurve bestimmen'!J440</f>
        <v>7936.5401145889446</v>
      </c>
      <c r="K6" s="3">
        <f>'Mastercurve bestimmen'!K440</f>
        <v>7356.7094808941847</v>
      </c>
      <c r="L6" s="3">
        <f>'Mastercurve bestimmen'!L440</f>
        <v>6977.8752509418382</v>
      </c>
      <c r="M6" s="3">
        <f>'Mastercurve bestimmen'!M440</f>
        <v>6677.7336683154199</v>
      </c>
      <c r="N6" s="3">
        <f>'Mastercurve bestimmen'!N440</f>
        <v>6298.4876021181899</v>
      </c>
      <c r="O6" s="3">
        <f>'Mastercurve bestimmen'!O440</f>
        <v>5497.4610054881305</v>
      </c>
      <c r="P6" s="3">
        <f>'Mastercurve bestimmen'!P440</f>
        <v>4516.2157436003417</v>
      </c>
    </row>
    <row r="7" spans="1:17" x14ac:dyDescent="0.25">
      <c r="A7" s="10">
        <f>LOG10('Mastercurve bestimmen'!A441)</f>
        <v>-2</v>
      </c>
      <c r="B7" s="10">
        <f>LOG10('Mastercurve bestimmen'!B441)</f>
        <v>-6.9471752999959158</v>
      </c>
      <c r="C7" s="10">
        <f>LOG10('Mastercurve bestimmen'!C441)</f>
        <v>-5.2737247774315819</v>
      </c>
      <c r="D7" s="10">
        <f>LOG10('Mastercurve bestimmen'!D441)</f>
        <v>-4.1811986217032286</v>
      </c>
      <c r="E7" s="10">
        <f>LOG10('Mastercurve bestimmen'!E441)</f>
        <v>-3.2168696758362292</v>
      </c>
      <c r="F7" s="10">
        <f>LOG10('Mastercurve bestimmen'!F441)</f>
        <v>-2</v>
      </c>
      <c r="G7" s="10">
        <f>LOG10('Mastercurve bestimmen'!G441)</f>
        <v>0.44085378114863161</v>
      </c>
      <c r="H7" s="10">
        <f>LOG10('Mastercurve bestimmen'!H441)</f>
        <v>2.9011719863840395</v>
      </c>
      <c r="I7" s="3">
        <f>'Mastercurve bestimmen'!I441</f>
        <v>0.01</v>
      </c>
      <c r="J7" s="3">
        <f>'Mastercurve bestimmen'!J441</f>
        <v>7548.1809664568409</v>
      </c>
      <c r="K7" s="3">
        <f>'Mastercurve bestimmen'!K441</f>
        <v>7029.386180221145</v>
      </c>
      <c r="L7" s="3">
        <f>'Mastercurve bestimmen'!L441</f>
        <v>6688.5988498392426</v>
      </c>
      <c r="M7" s="3">
        <f>'Mastercurve bestimmen'!M441</f>
        <v>6392.2538098508458</v>
      </c>
      <c r="N7" s="3">
        <f>'Mastercurve bestimmen'!N441</f>
        <v>6004.311404381504</v>
      </c>
      <c r="O7" s="3">
        <f>'Mastercurve bestimmen'!O441</f>
        <v>5142.3629386905741</v>
      </c>
      <c r="P7" s="3">
        <f>'Mastercurve bestimmen'!P441</f>
        <v>4054.7135164176284</v>
      </c>
    </row>
    <row r="8" spans="1:17" x14ac:dyDescent="0.25">
      <c r="A8" s="10">
        <f>LOG10('Mastercurve bestimmen'!A442)</f>
        <v>-1</v>
      </c>
      <c r="B8" s="10">
        <f>LOG10('Mastercurve bestimmen'!B442)</f>
        <v>-5.9471752999959158</v>
      </c>
      <c r="C8" s="10">
        <f>LOG10('Mastercurve bestimmen'!C442)</f>
        <v>-4.2737247774315819</v>
      </c>
      <c r="D8" s="10">
        <f>LOG10('Mastercurve bestimmen'!D442)</f>
        <v>-3.1811986217032282</v>
      </c>
      <c r="E8" s="10">
        <f>LOG10('Mastercurve bestimmen'!E442)</f>
        <v>-2.2168696758362292</v>
      </c>
      <c r="F8" s="10">
        <f>LOG10('Mastercurve bestimmen'!F442)</f>
        <v>-1</v>
      </c>
      <c r="G8" s="10">
        <f>LOG10('Mastercurve bestimmen'!G442)</f>
        <v>1.4408537811486317</v>
      </c>
      <c r="H8" s="10">
        <f>LOG10('Mastercurve bestimmen'!H442)</f>
        <v>3.9011719863840395</v>
      </c>
      <c r="I8" s="3">
        <f>'Mastercurve bestimmen'!I442</f>
        <v>0.1</v>
      </c>
      <c r="J8" s="3">
        <f>'Mastercurve bestimmen'!J442</f>
        <v>7185.7092224582611</v>
      </c>
      <c r="K8" s="3">
        <f>'Mastercurve bestimmen'!K442</f>
        <v>6740.4128171607354</v>
      </c>
      <c r="L8" s="3">
        <f>'Mastercurve bestimmen'!L442</f>
        <v>6402.4667189627462</v>
      </c>
      <c r="M8" s="3">
        <f>'Mastercurve bestimmen'!M442</f>
        <v>6101.0485432855839</v>
      </c>
      <c r="N8" s="3">
        <f>'Mastercurve bestimmen'!N442</f>
        <v>5728.9563133722204</v>
      </c>
      <c r="O8" s="3">
        <f>'Mastercurve bestimmen'!O442</f>
        <v>4755.3271416437765</v>
      </c>
      <c r="P8" s="3">
        <f>'Mastercurve bestimmen'!P442</f>
        <v>3480.9757019740573</v>
      </c>
    </row>
    <row r="9" spans="1:17" x14ac:dyDescent="0.25">
      <c r="A9" s="10">
        <f>LOG10('Mastercurve bestimmen'!A443)</f>
        <v>0</v>
      </c>
      <c r="B9" s="10">
        <f>LOG10('Mastercurve bestimmen'!B443)</f>
        <v>-4.9471752999959158</v>
      </c>
      <c r="C9" s="10">
        <f>LOG10('Mastercurve bestimmen'!C443)</f>
        <v>-3.2737247774315814</v>
      </c>
      <c r="D9" s="10">
        <f>LOG10('Mastercurve bestimmen'!D443)</f>
        <v>-2.1811986217032282</v>
      </c>
      <c r="E9" s="10">
        <f>LOG10('Mastercurve bestimmen'!E443)</f>
        <v>-1.2168696758362294</v>
      </c>
      <c r="F9" s="10">
        <f>LOG10('Mastercurve bestimmen'!F443)</f>
        <v>0</v>
      </c>
      <c r="G9" s="10">
        <f>LOG10('Mastercurve bestimmen'!G443)</f>
        <v>2.4408537811486317</v>
      </c>
      <c r="H9" s="10">
        <f>LOG10('Mastercurve bestimmen'!H443)</f>
        <v>4.9011719863840391</v>
      </c>
      <c r="I9" s="3">
        <f>'Mastercurve bestimmen'!I443</f>
        <v>1</v>
      </c>
      <c r="J9" s="3">
        <f>'Mastercurve bestimmen'!J443</f>
        <v>6895.934147375373</v>
      </c>
      <c r="K9" s="3">
        <f>'Mastercurve bestimmen'!K443</f>
        <v>6451.1295620052033</v>
      </c>
      <c r="L9" s="3">
        <f>'Mastercurve bestimmen'!L443</f>
        <v>6108.5862714487212</v>
      </c>
      <c r="M9" s="3">
        <f>'Mastercurve bestimmen'!M443</f>
        <v>5816.6056093144152</v>
      </c>
      <c r="N9" s="3">
        <f>'Mastercurve bestimmen'!N443</f>
        <v>5384.1034806229181</v>
      </c>
      <c r="O9" s="3">
        <f>'Mastercurve bestimmen'!O443</f>
        <v>4259.9552232455089</v>
      </c>
      <c r="P9" s="3">
        <f>'Mastercurve bestimmen'!P443</f>
        <v>2776.8290278599252</v>
      </c>
    </row>
    <row r="10" spans="1:17" x14ac:dyDescent="0.25">
      <c r="A10" s="10">
        <f>LOG10('Mastercurve bestimmen'!A444)</f>
        <v>1</v>
      </c>
      <c r="B10" s="10">
        <f>LOG10('Mastercurve bestimmen'!B444)</f>
        <v>-3.9471752999959162</v>
      </c>
      <c r="C10" s="10">
        <f>LOG10('Mastercurve bestimmen'!C444)</f>
        <v>-2.2737247774315814</v>
      </c>
      <c r="D10" s="10">
        <f>LOG10('Mastercurve bestimmen'!D444)</f>
        <v>-1.1811986217032284</v>
      </c>
      <c r="E10" s="10">
        <f>LOG10('Mastercurve bestimmen'!E444)</f>
        <v>-0.21686967583622929</v>
      </c>
      <c r="F10" s="10">
        <f>LOG10('Mastercurve bestimmen'!F444)</f>
        <v>1</v>
      </c>
      <c r="G10" s="10">
        <f>LOG10('Mastercurve bestimmen'!G444)</f>
        <v>3.4408537811486317</v>
      </c>
      <c r="H10" s="10">
        <f>LOG10('Mastercurve bestimmen'!H444)</f>
        <v>5.9011719863840391</v>
      </c>
      <c r="I10" s="3">
        <f>'Mastercurve bestimmen'!I444</f>
        <v>10</v>
      </c>
      <c r="J10" s="3">
        <f>'Mastercurve bestimmen'!J444</f>
        <v>6598.4326641088546</v>
      </c>
      <c r="K10" s="3">
        <f>'Mastercurve bestimmen'!K444</f>
        <v>6158.0006144488207</v>
      </c>
      <c r="L10" s="3">
        <f>'Mastercurve bestimmen'!L444</f>
        <v>5821.8385981744532</v>
      </c>
      <c r="M10" s="3">
        <f>'Mastercurve bestimmen'!M444</f>
        <v>5480.1263998982886</v>
      </c>
      <c r="N10" s="3">
        <f>'Mastercurve bestimmen'!N444</f>
        <v>4946.9073871376504</v>
      </c>
      <c r="O10" s="3">
        <f>'Mastercurve bestimmen'!O444</f>
        <v>3608.881023132205</v>
      </c>
      <c r="P10" s="3">
        <f>'Mastercurve bestimmen'!P444</f>
        <v>2021.5623770745678</v>
      </c>
    </row>
    <row r="11" spans="1:17" x14ac:dyDescent="0.25">
      <c r="A11" s="10">
        <f>LOG10('Mastercurve bestimmen'!A445)</f>
        <v>2</v>
      </c>
      <c r="B11" s="10">
        <f>LOG10('Mastercurve bestimmen'!B445)</f>
        <v>-2.9471752999959162</v>
      </c>
      <c r="C11" s="10">
        <f>LOG10('Mastercurve bestimmen'!C445)</f>
        <v>-1.2737247774315814</v>
      </c>
      <c r="D11" s="10">
        <f>LOG10('Mastercurve bestimmen'!D445)</f>
        <v>-0.18119862170322834</v>
      </c>
      <c r="E11" s="10">
        <f>LOG10('Mastercurve bestimmen'!E445)</f>
        <v>0.78313032416377071</v>
      </c>
      <c r="F11" s="10">
        <f>LOG10('Mastercurve bestimmen'!F445)</f>
        <v>2</v>
      </c>
      <c r="G11" s="10">
        <f>LOG10('Mastercurve bestimmen'!G445)</f>
        <v>4.4408537811486317</v>
      </c>
      <c r="H11" s="10">
        <f>LOG10('Mastercurve bestimmen'!H445)</f>
        <v>6.9011719863840391</v>
      </c>
      <c r="I11" s="3">
        <f>'Mastercurve bestimmen'!I445</f>
        <v>100</v>
      </c>
      <c r="J11" s="3">
        <f>'Mastercurve bestimmen'!J445</f>
        <v>6312.5025678358661</v>
      </c>
      <c r="K11" s="3">
        <f>'Mastercurve bestimmen'!K445</f>
        <v>5864.4544291342345</v>
      </c>
      <c r="L11" s="3">
        <f>'Mastercurve bestimmen'!L445</f>
        <v>5461.5612200441165</v>
      </c>
      <c r="M11" s="3">
        <f>'Mastercurve bestimmen'!M445</f>
        <v>5001.3542238279779</v>
      </c>
      <c r="N11" s="3">
        <f>'Mastercurve bestimmen'!N445</f>
        <v>4341.3949978794144</v>
      </c>
      <c r="O11" s="3">
        <f>'Mastercurve bestimmen'!O445</f>
        <v>2894.897040918956</v>
      </c>
      <c r="P11" s="3">
        <f>'Mastercurve bestimmen'!P445</f>
        <v>1425.0251284859655</v>
      </c>
    </row>
    <row r="12" spans="1:17" x14ac:dyDescent="0.25">
      <c r="A12" s="10">
        <f>LOG10('Mastercurve bestimmen'!A446)</f>
        <v>3</v>
      </c>
      <c r="B12" s="10">
        <f>LOG10('Mastercurve bestimmen'!B446)</f>
        <v>-1.9471752999959162</v>
      </c>
      <c r="C12" s="10">
        <f>LOG10('Mastercurve bestimmen'!C446)</f>
        <v>-0.27372477743158147</v>
      </c>
      <c r="D12" s="10">
        <f>LOG10('Mastercurve bestimmen'!D446)</f>
        <v>0.81880137829677169</v>
      </c>
      <c r="E12" s="10">
        <f>LOG10('Mastercurve bestimmen'!E446)</f>
        <v>1.7831303241637708</v>
      </c>
      <c r="F12" s="10">
        <f>LOG10('Mastercurve bestimmen'!F446)</f>
        <v>3</v>
      </c>
      <c r="G12" s="10">
        <f>LOG10('Mastercurve bestimmen'!G446)</f>
        <v>5.4408537811486317</v>
      </c>
      <c r="H12" s="10">
        <f>LOG10('Mastercurve bestimmen'!H446)</f>
        <v>7.9011719863840391</v>
      </c>
      <c r="I12" s="3">
        <f>'Mastercurve bestimmen'!I446</f>
        <v>1000</v>
      </c>
      <c r="J12" s="3">
        <f>'Mastercurve bestimmen'!J446</f>
        <v>6009.4653543505283</v>
      </c>
      <c r="K12" s="3">
        <f>'Mastercurve bestimmen'!K446</f>
        <v>5497.1399794237341</v>
      </c>
      <c r="L12" s="3">
        <f>'Mastercurve bestimmen'!L446</f>
        <v>4936.5934069622945</v>
      </c>
      <c r="M12" s="3">
        <f>'Mastercurve bestimmen'!M446</f>
        <v>4378.6857587374161</v>
      </c>
      <c r="N12" s="3">
        <f>'Mastercurve bestimmen'!N446</f>
        <v>3695.6706844027317</v>
      </c>
      <c r="O12" s="3">
        <f>'Mastercurve bestimmen'!O446</f>
        <v>2208.0535004045023</v>
      </c>
      <c r="P12" s="3">
        <f>'Mastercurve bestimmen'!P446</f>
        <v>1000.3144588532851</v>
      </c>
    </row>
    <row r="13" spans="1:17" x14ac:dyDescent="0.25">
      <c r="A13" s="10">
        <f>LOG10('Mastercurve bestimmen'!A447)</f>
        <v>4</v>
      </c>
      <c r="B13" s="10">
        <f>LOG10('Mastercurve bestimmen'!B447)</f>
        <v>-0.9471752999959161</v>
      </c>
      <c r="C13" s="10">
        <f>LOG10('Mastercurve bestimmen'!C447)</f>
        <v>0.72627522256841859</v>
      </c>
      <c r="D13" s="10">
        <f>LOG10('Mastercurve bestimmen'!D447)</f>
        <v>1.8188013782967716</v>
      </c>
      <c r="E13" s="10">
        <f>LOG10('Mastercurve bestimmen'!E447)</f>
        <v>2.7831303241637708</v>
      </c>
      <c r="F13" s="10">
        <f>LOG10('Mastercurve bestimmen'!F447)</f>
        <v>4</v>
      </c>
      <c r="G13" s="10">
        <f>LOG10('Mastercurve bestimmen'!G447)</f>
        <v>6.4408537811486317</v>
      </c>
      <c r="H13" s="10">
        <f>LOG10('Mastercurve bestimmen'!H447)</f>
        <v>8.9011719863840391</v>
      </c>
      <c r="I13" s="3">
        <f>'Mastercurve bestimmen'!I447</f>
        <v>10000</v>
      </c>
      <c r="J13" s="3">
        <f>'Mastercurve bestimmen'!J447</f>
        <v>5713.6024886963633</v>
      </c>
      <c r="K13" s="3">
        <f>'Mastercurve bestimmen'!K447</f>
        <v>4940.0481403456943</v>
      </c>
      <c r="L13" s="3">
        <f>'Mastercurve bestimmen'!L447</f>
        <v>4296.9639126238171</v>
      </c>
      <c r="M13" s="3">
        <f>'Mastercurve bestimmen'!M447</f>
        <v>3745.6038917295314</v>
      </c>
      <c r="N13" s="3">
        <f>'Mastercurve bestimmen'!N447</f>
        <v>3068.755950536985</v>
      </c>
      <c r="O13" s="3">
        <f>'Mastercurve bestimmen'!O447</f>
        <v>1590.7510281023892</v>
      </c>
      <c r="P13" s="3">
        <f>'Mastercurve bestimmen'!P447</f>
        <v>766.53007991277559</v>
      </c>
    </row>
    <row r="14" spans="1:17" x14ac:dyDescent="0.25">
      <c r="A14" s="10">
        <f>LOG10('Mastercurve bestimmen'!A448)</f>
        <v>5</v>
      </c>
      <c r="B14" s="10">
        <f>LOG10('Mastercurve bestimmen'!B448)</f>
        <v>5.2824700004083902E-2</v>
      </c>
      <c r="C14" s="10">
        <f>LOG10('Mastercurve bestimmen'!C448)</f>
        <v>1.7262752225684186</v>
      </c>
      <c r="D14" s="10">
        <f>LOG10('Mastercurve bestimmen'!D448)</f>
        <v>2.8188013782967718</v>
      </c>
      <c r="E14" s="10">
        <f>LOG10('Mastercurve bestimmen'!E448)</f>
        <v>3.7831303241637708</v>
      </c>
      <c r="F14" s="10">
        <f>LOG10('Mastercurve bestimmen'!F448)</f>
        <v>5</v>
      </c>
      <c r="G14" s="10">
        <f>LOG10('Mastercurve bestimmen'!G448)</f>
        <v>7.4408537811486317</v>
      </c>
      <c r="H14" s="10">
        <f>LOG10('Mastercurve bestimmen'!H448)</f>
        <v>9.9011719863840391</v>
      </c>
      <c r="I14" s="3">
        <f>'Mastercurve bestimmen'!I448</f>
        <v>100000</v>
      </c>
      <c r="J14" s="3">
        <f>'Mastercurve bestimmen'!J448</f>
        <v>5266.353343720587</v>
      </c>
      <c r="K14" s="3">
        <f>'Mastercurve bestimmen'!K448</f>
        <v>4302.8208260658694</v>
      </c>
      <c r="L14" s="3">
        <f>'Mastercurve bestimmen'!L448</f>
        <v>3679.1110460410682</v>
      </c>
      <c r="M14" s="3">
        <f>'Mastercurve bestimmen'!M448</f>
        <v>3148.5137755573865</v>
      </c>
      <c r="N14" s="3">
        <f>'Mastercurve bestimmen'!N448</f>
        <v>2467.1652727793789</v>
      </c>
      <c r="O14" s="3">
        <f>'Mastercurve bestimmen'!O448</f>
        <v>1134.4072038150462</v>
      </c>
      <c r="P14" s="3">
        <f>'Mastercurve bestimmen'!P448</f>
        <v>637.70408339015069</v>
      </c>
    </row>
    <row r="15" spans="1:17" x14ac:dyDescent="0.25">
      <c r="A15" s="10">
        <f>LOG10('Mastercurve bestimmen'!A449)</f>
        <v>6</v>
      </c>
      <c r="B15" s="10">
        <f>LOG10('Mastercurve bestimmen'!B449)</f>
        <v>1.0528247000040838</v>
      </c>
      <c r="C15" s="10">
        <f>LOG10('Mastercurve bestimmen'!C449)</f>
        <v>2.7262752225684186</v>
      </c>
      <c r="D15" s="10">
        <f>LOG10('Mastercurve bestimmen'!D449)</f>
        <v>3.8188013782967718</v>
      </c>
      <c r="E15" s="10">
        <f>LOG10('Mastercurve bestimmen'!E449)</f>
        <v>4.7831303241637704</v>
      </c>
      <c r="F15" s="10">
        <f>LOG10('Mastercurve bestimmen'!F449)</f>
        <v>6</v>
      </c>
      <c r="G15" s="10">
        <f>LOG10('Mastercurve bestimmen'!G449)</f>
        <v>8.4408537811486308</v>
      </c>
      <c r="H15" s="10">
        <f>LOG10('Mastercurve bestimmen'!H449)</f>
        <v>10.901171986384039</v>
      </c>
      <c r="I15" s="3">
        <f>'Mastercurve bestimmen'!I449</f>
        <v>1000000</v>
      </c>
      <c r="J15" s="3">
        <f>'Mastercurve bestimmen'!J449</f>
        <v>4669.585842690939</v>
      </c>
      <c r="K15" s="3">
        <f>'Mastercurve bestimmen'!K449</f>
        <v>3694.2569609036786</v>
      </c>
      <c r="L15" s="3">
        <f>'Mastercurve bestimmen'!L449</f>
        <v>3097.6161878660678</v>
      </c>
      <c r="M15" s="3">
        <f>'Mastercurve bestimmen'!M449</f>
        <v>2567.2806883234543</v>
      </c>
      <c r="N15" s="3">
        <f>'Mastercurve bestimmen'!N449</f>
        <v>1870.2488465480699</v>
      </c>
      <c r="O15" s="3">
        <f>'Mastercurve bestimmen'!O449</f>
        <v>828.10892034291578</v>
      </c>
      <c r="P15" s="3">
        <f>'Mastercurve bestimmen'!P449</f>
        <v>580.81989332695025</v>
      </c>
    </row>
    <row r="16" spans="1:17" x14ac:dyDescent="0.25">
      <c r="A16" s="10">
        <f>LOG10('Mastercurve bestimmen'!A450)</f>
        <v>7</v>
      </c>
      <c r="B16" s="10">
        <f>LOG10('Mastercurve bestimmen'!B450)</f>
        <v>2.0528247000040838</v>
      </c>
      <c r="C16" s="10">
        <f>LOG10('Mastercurve bestimmen'!C450)</f>
        <v>3.7262752225684186</v>
      </c>
      <c r="D16" s="10">
        <f>LOG10('Mastercurve bestimmen'!D450)</f>
        <v>4.8188013782967714</v>
      </c>
      <c r="E16" s="10">
        <f>LOG10('Mastercurve bestimmen'!E450)</f>
        <v>5.7831303241637704</v>
      </c>
      <c r="F16" s="10">
        <f>LOG10('Mastercurve bestimmen'!F450)</f>
        <v>7</v>
      </c>
      <c r="G16" s="10">
        <f>LOG10('Mastercurve bestimmen'!G450)</f>
        <v>9.4408537811486308</v>
      </c>
      <c r="H16" s="10">
        <f>LOG10('Mastercurve bestimmen'!H450)</f>
        <v>11.901171986384039</v>
      </c>
      <c r="I16" s="3">
        <f>'Mastercurve bestimmen'!I450</f>
        <v>10000000</v>
      </c>
      <c r="J16" s="3">
        <f>'Mastercurve bestimmen'!J450</f>
        <v>4015.1174909416081</v>
      </c>
      <c r="K16" s="3">
        <f>'Mastercurve bestimmen'!K450</f>
        <v>3126.9337293210729</v>
      </c>
      <c r="L16" s="3">
        <f>'Mastercurve bestimmen'!L450</f>
        <v>2528.090407055493</v>
      </c>
      <c r="M16" s="3">
        <f>'Mastercurve bestimmen'!M450</f>
        <v>1986.0678137294008</v>
      </c>
      <c r="N16" s="3">
        <f>'Mastercurve bestimmen'!N450</f>
        <v>1361.6454434772222</v>
      </c>
      <c r="O16" s="3">
        <f>'Mastercurve bestimmen'!O450</f>
        <v>674.83435785785764</v>
      </c>
      <c r="P16" s="3">
        <f>'Mastercurve bestimmen'!P450</f>
        <v>540.7919524224219</v>
      </c>
    </row>
    <row r="17" spans="1:16" x14ac:dyDescent="0.25">
      <c r="A17" s="10">
        <f>LOG10('Mastercurve bestimmen'!A451)</f>
        <v>8</v>
      </c>
      <c r="B17" s="10">
        <f>LOG10('Mastercurve bestimmen'!B451)</f>
        <v>3.0528247000040838</v>
      </c>
      <c r="C17" s="10">
        <f>LOG10('Mastercurve bestimmen'!C451)</f>
        <v>4.7262752225684181</v>
      </c>
      <c r="D17" s="10">
        <f>LOG10('Mastercurve bestimmen'!D451)</f>
        <v>5.8188013782967714</v>
      </c>
      <c r="E17" s="10">
        <f>LOG10('Mastercurve bestimmen'!E451)</f>
        <v>6.7831303241637704</v>
      </c>
      <c r="F17" s="10">
        <f>LOG10('Mastercurve bestimmen'!F451)</f>
        <v>8</v>
      </c>
      <c r="G17" s="10">
        <f>LOG10('Mastercurve bestimmen'!G451)</f>
        <v>10.440853781148631</v>
      </c>
      <c r="H17" s="10">
        <f>LOG10('Mastercurve bestimmen'!H451)</f>
        <v>12.901171986384039</v>
      </c>
      <c r="I17" s="3">
        <f>'Mastercurve bestimmen'!I451</f>
        <v>100000000</v>
      </c>
      <c r="J17" s="3">
        <f>'Mastercurve bestimmen'!J451</f>
        <v>3410.9442700239138</v>
      </c>
      <c r="K17" s="3">
        <f>'Mastercurve bestimmen'!K451</f>
        <v>2566.4428591616524</v>
      </c>
      <c r="L17" s="3">
        <f>'Mastercurve bestimmen'!L451</f>
        <v>1953.6029786216222</v>
      </c>
      <c r="M17" s="3">
        <f>'Mastercurve bestimmen'!M451</f>
        <v>1454.0043020913115</v>
      </c>
      <c r="N17" s="3">
        <f>'Mastercurve bestimmen'!N451</f>
        <v>978.74851186182502</v>
      </c>
      <c r="O17" s="3">
        <f>'Mastercurve bestimmen'!O451</f>
        <v>590.63358810768784</v>
      </c>
      <c r="P17" s="3">
        <f>'Mastercurve bestimmen'!P451</f>
        <v>519.88174858869183</v>
      </c>
    </row>
    <row r="18" spans="1:16" x14ac:dyDescent="0.25">
      <c r="A18" s="10">
        <f>LOG10('Mastercurve bestimmen'!A452)</f>
        <v>9</v>
      </c>
      <c r="B18" s="10">
        <f>LOG10('Mastercurve bestimmen'!B452)</f>
        <v>4.0528247000040842</v>
      </c>
      <c r="C18" s="10">
        <f>LOG10('Mastercurve bestimmen'!C452)</f>
        <v>5.7262752225684181</v>
      </c>
      <c r="D18" s="10">
        <f>LOG10('Mastercurve bestimmen'!D452)</f>
        <v>6.8188013782967714</v>
      </c>
      <c r="E18" s="10">
        <f>LOG10('Mastercurve bestimmen'!E452)</f>
        <v>7.7831303241637704</v>
      </c>
      <c r="F18" s="10">
        <f>LOG10('Mastercurve bestimmen'!F452)</f>
        <v>9</v>
      </c>
      <c r="G18" s="10">
        <f>LOG10('Mastercurve bestimmen'!G452)</f>
        <v>11.440853781148631</v>
      </c>
      <c r="H18" s="10">
        <f>LOG10('Mastercurve bestimmen'!H452)</f>
        <v>13.901171986384039</v>
      </c>
      <c r="I18" s="3">
        <f>'Mastercurve bestimmen'!I452</f>
        <v>1000000000</v>
      </c>
      <c r="J18" s="3">
        <f>'Mastercurve bestimmen'!J452</f>
        <v>2824.662512551186</v>
      </c>
      <c r="K18" s="3">
        <f>'Mastercurve bestimmen'!K452</f>
        <v>1999.3722885012867</v>
      </c>
      <c r="L18" s="3">
        <f>'Mastercurve bestimmen'!L452</f>
        <v>1432.382407665888</v>
      </c>
      <c r="M18" s="3">
        <f>'Mastercurve bestimmen'!M452</f>
        <v>1049.180195775346</v>
      </c>
      <c r="N18" s="3">
        <f>'Mastercurve bestimmen'!N452</f>
        <v>750.04973579798059</v>
      </c>
      <c r="O18" s="3">
        <f>'Mastercurve bestimmen'!O452</f>
        <v>552.35798150339338</v>
      </c>
      <c r="P18" s="3">
        <f>'Mastercurve bestimmen'!P452</f>
        <v>509.34643430573385</v>
      </c>
    </row>
    <row r="19" spans="1:16" x14ac:dyDescent="0.25">
      <c r="A19" s="10">
        <f>LOG10('Mastercurve bestimmen'!A453)</f>
        <v>10</v>
      </c>
      <c r="B19" s="10">
        <f>LOG10('Mastercurve bestimmen'!B453)</f>
        <v>5.0528247000040842</v>
      </c>
      <c r="C19" s="10">
        <f>LOG10('Mastercurve bestimmen'!C453)</f>
        <v>6.7262752225684181</v>
      </c>
      <c r="D19" s="10">
        <f>LOG10('Mastercurve bestimmen'!D453)</f>
        <v>7.8188013782967714</v>
      </c>
      <c r="E19" s="10">
        <f>LOG10('Mastercurve bestimmen'!E453)</f>
        <v>8.7831303241637713</v>
      </c>
      <c r="F19" s="10">
        <f>LOG10('Mastercurve bestimmen'!F453)</f>
        <v>10</v>
      </c>
      <c r="G19" s="10">
        <f>LOG10('Mastercurve bestimmen'!G453)</f>
        <v>12.440853781148631</v>
      </c>
      <c r="H19" s="10">
        <f>LOG10('Mastercurve bestimmen'!H453)</f>
        <v>14.901171986384039</v>
      </c>
      <c r="I19" s="3">
        <f>'Mastercurve bestimmen'!I453</f>
        <v>10000000000</v>
      </c>
      <c r="J19" s="3">
        <f>'Mastercurve bestimmen'!J453</f>
        <v>2250.6025345256894</v>
      </c>
      <c r="K19" s="3">
        <f>'Mastercurve bestimmen'!K453</f>
        <v>1469.5776968625496</v>
      </c>
      <c r="L19" s="3">
        <f>'Mastercurve bestimmen'!L453</f>
        <v>1033.3489091490621</v>
      </c>
      <c r="M19" s="3">
        <f>'Mastercurve bestimmen'!M453</f>
        <v>784.12675101552475</v>
      </c>
      <c r="N19" s="3">
        <f>'Mastercurve bestimmen'!N453</f>
        <v>627.42168862186645</v>
      </c>
      <c r="O19" s="3">
        <f>'Mastercurve bestimmen'!O453</f>
        <v>523.49731143746499</v>
      </c>
      <c r="P19" s="3">
        <f>'Mastercurve bestimmen'!P453</f>
        <v>480.55733666885891</v>
      </c>
    </row>
    <row r="20" spans="1:16" x14ac:dyDescent="0.25">
      <c r="A20" s="10">
        <f>LOG10('Mastercurve bestimmen'!A454)</f>
        <v>11</v>
      </c>
      <c r="B20" s="10">
        <f>LOG10('Mastercurve bestimmen'!B454)</f>
        <v>6.0528247000040842</v>
      </c>
      <c r="C20" s="10">
        <f>LOG10('Mastercurve bestimmen'!C454)</f>
        <v>7.7262752225684181</v>
      </c>
      <c r="D20" s="10">
        <f>LOG10('Mastercurve bestimmen'!D454)</f>
        <v>8.8188013782967722</v>
      </c>
      <c r="E20" s="10">
        <f>LOG10('Mastercurve bestimmen'!E454)</f>
        <v>9.7831303241637713</v>
      </c>
      <c r="F20" s="10">
        <f>LOG10('Mastercurve bestimmen'!F454)</f>
        <v>11</v>
      </c>
      <c r="G20" s="10">
        <f>LOG10('Mastercurve bestimmen'!G454)</f>
        <v>13.440853781148631</v>
      </c>
      <c r="H20" s="10">
        <f>LOG10('Mastercurve bestimmen'!H454)</f>
        <v>15.901171986384039</v>
      </c>
      <c r="I20" s="3">
        <f>'Mastercurve bestimmen'!I454</f>
        <v>100000000000</v>
      </c>
      <c r="J20" s="3">
        <f>'Mastercurve bestimmen'!J454</f>
        <v>1676.0321427337321</v>
      </c>
      <c r="K20" s="3">
        <f>'Mastercurve bestimmen'!K454</f>
        <v>1062.2051299591283</v>
      </c>
      <c r="L20" s="3">
        <f>'Mastercurve bestimmen'!L454</f>
        <v>776.17019476824578</v>
      </c>
      <c r="M20" s="3">
        <f>'Mastercurve bestimmen'!M454</f>
        <v>648.62186552417882</v>
      </c>
      <c r="N20" s="3">
        <f>'Mastercurve bestimmen'!N454</f>
        <v>570.28890979557161</v>
      </c>
      <c r="O20" s="3">
        <f>'Mastercurve bestimmen'!O454</f>
        <v>511.68260567729681</v>
      </c>
      <c r="P20" s="3">
        <f>'Mastercurve bestimmen'!P454</f>
        <v>471.54124630560909</v>
      </c>
    </row>
    <row r="21" spans="1:16" x14ac:dyDescent="0.25">
      <c r="A21" s="10">
        <f>LOG10('Mastercurve bestimmen'!A455)</f>
        <v>12</v>
      </c>
      <c r="B21" s="10">
        <f>LOG10('Mastercurve bestimmen'!B455)</f>
        <v>7.0528247000040842</v>
      </c>
      <c r="C21" s="10">
        <f>LOG10('Mastercurve bestimmen'!C455)</f>
        <v>8.7262752225684181</v>
      </c>
      <c r="D21" s="10">
        <f>LOG10('Mastercurve bestimmen'!D455)</f>
        <v>9.8188013782967722</v>
      </c>
      <c r="E21" s="10">
        <f>LOG10('Mastercurve bestimmen'!E455)</f>
        <v>10.783130324163771</v>
      </c>
      <c r="F21" s="10">
        <f>LOG10('Mastercurve bestimmen'!F455)</f>
        <v>12</v>
      </c>
      <c r="G21" s="10">
        <f>LOG10('Mastercurve bestimmen'!G455)</f>
        <v>14.440853781148631</v>
      </c>
      <c r="H21" s="10">
        <f>LOG10('Mastercurve bestimmen'!H455)</f>
        <v>16.901171986384039</v>
      </c>
      <c r="I21" s="3">
        <f>'Mastercurve bestimmen'!I455</f>
        <v>1000000000000</v>
      </c>
      <c r="J21" s="3">
        <f>'Mastercurve bestimmen'!J455</f>
        <v>1219.4001972501756</v>
      </c>
      <c r="K21" s="3">
        <f>'Mastercurve bestimmen'!K455</f>
        <v>790.39019215198527</v>
      </c>
      <c r="L21" s="3">
        <f>'Mastercurve bestimmen'!L455</f>
        <v>643.6842763640858</v>
      </c>
      <c r="M21" s="3">
        <f>'Mastercurve bestimmen'!M455</f>
        <v>577.86544910218402</v>
      </c>
      <c r="N21" s="3">
        <f>'Mastercurve bestimmen'!N455</f>
        <v>534.99091249150581</v>
      </c>
      <c r="O21" s="3">
        <f>'Mastercurve bestimmen'!O455</f>
        <v>494.48298272135173</v>
      </c>
      <c r="P21" s="3">
        <f>'Mastercurve bestimmen'!P455</f>
        <v>469.40352706055</v>
      </c>
    </row>
    <row r="22" spans="1:16" x14ac:dyDescent="0.25">
      <c r="A22" s="10">
        <f>LOG10('Mastercurve bestimmen'!A456)</f>
        <v>13</v>
      </c>
      <c r="B22" s="10">
        <f>LOG10('Mastercurve bestimmen'!B456)</f>
        <v>8.0528247000040842</v>
      </c>
      <c r="C22" s="10">
        <f>LOG10('Mastercurve bestimmen'!C456)</f>
        <v>9.7262752225684181</v>
      </c>
      <c r="D22" s="10">
        <f>LOG10('Mastercurve bestimmen'!D456)</f>
        <v>10.818801378296772</v>
      </c>
      <c r="E22" s="10">
        <f>LOG10('Mastercurve bestimmen'!E456)</f>
        <v>11.783130324163771</v>
      </c>
      <c r="F22" s="10">
        <f>LOG10('Mastercurve bestimmen'!F456)</f>
        <v>13</v>
      </c>
      <c r="G22" s="10">
        <f>LOG10('Mastercurve bestimmen'!G456)</f>
        <v>15.440853781148631</v>
      </c>
      <c r="H22" s="10">
        <f>LOG10('Mastercurve bestimmen'!H456)</f>
        <v>17.901171986384039</v>
      </c>
      <c r="I22" s="3">
        <f>'Mastercurve bestimmen'!I456</f>
        <v>10000000000000</v>
      </c>
      <c r="J22" s="3">
        <f>'Mastercurve bestimmen'!J456</f>
        <v>880.27460100786607</v>
      </c>
      <c r="K22" s="3">
        <f>'Mastercurve bestimmen'!K456</f>
        <v>652.53051651246926</v>
      </c>
      <c r="L22" s="3">
        <f>'Mastercurve bestimmen'!L456</f>
        <v>575.83936179835393</v>
      </c>
      <c r="M22" s="3">
        <f>'Mastercurve bestimmen'!M456</f>
        <v>542.13014146932505</v>
      </c>
      <c r="N22" s="3">
        <f>'Mastercurve bestimmen'!N456</f>
        <v>516.06818092277001</v>
      </c>
      <c r="O22" s="3">
        <f>'Mastercurve bestimmen'!O456</f>
        <v>471.68716650538101</v>
      </c>
      <c r="P22" s="3">
        <f>'Mastercurve bestimmen'!P456</f>
        <v>469.06241231883331</v>
      </c>
    </row>
    <row r="23" spans="1:16" x14ac:dyDescent="0.25">
      <c r="A23" s="10">
        <f>LOG10('Mastercurve bestimmen'!A457)</f>
        <v>14</v>
      </c>
      <c r="B23" s="10">
        <f>LOG10('Mastercurve bestimmen'!B457)</f>
        <v>9.0528247000040842</v>
      </c>
      <c r="C23" s="10">
        <f>LOG10('Mastercurve bestimmen'!C457)</f>
        <v>10.726275222568418</v>
      </c>
      <c r="D23" s="10">
        <f>LOG10('Mastercurve bestimmen'!D457)</f>
        <v>11.818801378296772</v>
      </c>
      <c r="E23" s="10">
        <f>LOG10('Mastercurve bestimmen'!E457)</f>
        <v>12.783130324163771</v>
      </c>
      <c r="F23" s="10">
        <f>LOG10('Mastercurve bestimmen'!F457)</f>
        <v>14</v>
      </c>
      <c r="G23" s="10">
        <f>LOG10('Mastercurve bestimmen'!G457)</f>
        <v>16.440853781148633</v>
      </c>
      <c r="H23" s="10">
        <f>LOG10('Mastercurve bestimmen'!H457)</f>
        <v>18.901171986384039</v>
      </c>
      <c r="I23" s="3">
        <f>'Mastercurve bestimmen'!I457</f>
        <v>100000000000000</v>
      </c>
      <c r="J23" s="3">
        <f>'Mastercurve bestimmen'!J457</f>
        <v>701.49257135601476</v>
      </c>
      <c r="K23" s="3">
        <f>'Mastercurve bestimmen'!K457</f>
        <v>578.9290265565794</v>
      </c>
      <c r="L23" s="3">
        <f>'Mastercurve bestimmen'!L457</f>
        <v>540.3807046910232</v>
      </c>
      <c r="M23" s="3">
        <f>'Mastercurve bestimmen'!M457</f>
        <v>519.06435890850435</v>
      </c>
      <c r="N23" s="3">
        <f>'Mastercurve bestimmen'!N457</f>
        <v>504.17354863560553</v>
      </c>
      <c r="O23" s="3">
        <f>'Mastercurve bestimmen'!O457</f>
        <v>468.71385881352927</v>
      </c>
      <c r="P23" s="3">
        <f>'Mastercurve bestimmen'!P457</f>
        <v>467.11183046926152</v>
      </c>
    </row>
    <row r="24" spans="1:16" x14ac:dyDescent="0.25">
      <c r="A24" s="10">
        <f>LOG10('Mastercurve bestimmen'!A458)</f>
        <v>15</v>
      </c>
      <c r="B24" s="10">
        <f>LOG10('Mastercurve bestimmen'!B458)</f>
        <v>10.052824700004084</v>
      </c>
      <c r="C24" s="10">
        <f>LOG10('Mastercurve bestimmen'!C458)</f>
        <v>11.726275222568418</v>
      </c>
      <c r="D24" s="10">
        <f>LOG10('Mastercurve bestimmen'!D458)</f>
        <v>12.818801378296772</v>
      </c>
      <c r="E24" s="10">
        <f>LOG10('Mastercurve bestimmen'!E458)</f>
        <v>13.783130324163771</v>
      </c>
      <c r="F24" s="10">
        <f>LOG10('Mastercurve bestimmen'!F458)</f>
        <v>15</v>
      </c>
      <c r="G24" s="10">
        <f>LOG10('Mastercurve bestimmen'!G458)</f>
        <v>17.440853781148633</v>
      </c>
      <c r="H24" s="10">
        <f>LOG10('Mastercurve bestimmen'!H458)</f>
        <v>19.901171986384039</v>
      </c>
      <c r="I24" s="3">
        <f>'Mastercurve bestimmen'!I458</f>
        <v>1000000000000000</v>
      </c>
      <c r="J24" s="3">
        <f>'Mastercurve bestimmen'!J458</f>
        <v>599.87140608085383</v>
      </c>
      <c r="K24" s="3">
        <f>'Mastercurve bestimmen'!K458</f>
        <v>543.3455967986946</v>
      </c>
      <c r="L24" s="3">
        <f>'Mastercurve bestimmen'!L458</f>
        <v>518.13069577372926</v>
      </c>
      <c r="M24" s="3">
        <f>'Mastercurve bestimmen'!M458</f>
        <v>506.56668178937065</v>
      </c>
      <c r="N24" s="3">
        <f>'Mastercurve bestimmen'!N458</f>
        <v>480.31847035858652</v>
      </c>
      <c r="O24" s="3">
        <f>'Mastercurve bestimmen'!O458</f>
        <v>468.47657281171303</v>
      </c>
      <c r="P24" s="3">
        <f>'Mastercurve bestimmen'!P458</f>
        <v>466.16000667860783</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165</v>
      </c>
      <c r="B36" s="3"/>
      <c r="C36" s="3"/>
      <c r="D36" s="3"/>
      <c r="E36" s="3"/>
      <c r="F36" s="3"/>
      <c r="G36" s="3"/>
      <c r="H36" s="3"/>
      <c r="I36" s="3"/>
      <c r="J36" s="3"/>
      <c r="K36" s="3"/>
      <c r="L36" s="3"/>
      <c r="M36" s="3"/>
      <c r="N36" s="3"/>
      <c r="O36" s="3"/>
      <c r="P36" s="3"/>
    </row>
    <row r="37" spans="1:16" x14ac:dyDescent="0.25">
      <c r="A37" s="119">
        <f>-15</f>
        <v>-15</v>
      </c>
      <c r="B37" s="3"/>
      <c r="C37" s="3">
        <v>5292.1654665875922</v>
      </c>
      <c r="D37" s="3">
        <v>4768.8043574646254</v>
      </c>
      <c r="E37" s="3">
        <v>4181.9637657055955</v>
      </c>
      <c r="F37" s="3">
        <v>3613.6056822985643</v>
      </c>
      <c r="G37" s="3">
        <v>2467.1652727793789</v>
      </c>
      <c r="H37" s="3">
        <v>1321.8060684020516</v>
      </c>
      <c r="I37" s="3"/>
      <c r="J37" s="3"/>
      <c r="K37" s="3"/>
      <c r="L37" s="3"/>
      <c r="M37" s="3"/>
      <c r="N37" s="3"/>
      <c r="O37" s="3"/>
      <c r="P37" s="3"/>
    </row>
    <row r="38" spans="1:16" x14ac:dyDescent="0.25">
      <c r="A38" s="120">
        <f>A37+1</f>
        <v>-14</v>
      </c>
      <c r="B38" s="3"/>
      <c r="C38" s="3">
        <v>5292.1654665875922</v>
      </c>
      <c r="D38" s="3">
        <v>4768.8043574646254</v>
      </c>
      <c r="E38" s="3">
        <v>4181.9637657055955</v>
      </c>
      <c r="F38" s="3">
        <v>3613.6056822985643</v>
      </c>
      <c r="G38" s="3">
        <v>2467.1652727793789</v>
      </c>
      <c r="H38" s="3">
        <v>1321.8060684020516</v>
      </c>
      <c r="I38" s="3"/>
      <c r="J38" s="3"/>
      <c r="K38" s="3"/>
      <c r="L38" s="3"/>
      <c r="M38" s="3"/>
      <c r="N38" s="3"/>
      <c r="O38" s="3"/>
      <c r="P38" s="3"/>
    </row>
    <row r="39" spans="1:16" x14ac:dyDescent="0.25">
      <c r="A39" s="120">
        <f t="shared" ref="A39:A67" si="0">A38+1</f>
        <v>-13</v>
      </c>
      <c r="B39" s="3"/>
      <c r="C39" s="3">
        <v>5292.1654665875922</v>
      </c>
      <c r="D39" s="3">
        <v>4768.8043574646254</v>
      </c>
      <c r="E39" s="3">
        <v>4181.9637657055955</v>
      </c>
      <c r="F39" s="3">
        <v>3613.6056822985643</v>
      </c>
      <c r="G39" s="3">
        <v>2467.1652727793789</v>
      </c>
      <c r="H39" s="3">
        <v>1321.8060684020516</v>
      </c>
      <c r="I39" s="3"/>
      <c r="J39" s="3"/>
      <c r="K39" s="3"/>
      <c r="L39" s="3"/>
      <c r="M39" s="3"/>
      <c r="N39" s="3"/>
      <c r="O39" s="3"/>
      <c r="P39" s="3"/>
    </row>
    <row r="40" spans="1:16" x14ac:dyDescent="0.25">
      <c r="A40" s="120">
        <f t="shared" si="0"/>
        <v>-12</v>
      </c>
      <c r="B40" s="3"/>
      <c r="C40" s="3">
        <v>5292.1654665875922</v>
      </c>
      <c r="D40" s="3">
        <v>4768.8043574646254</v>
      </c>
      <c r="E40" s="3">
        <v>4181.9637657055955</v>
      </c>
      <c r="F40" s="3">
        <v>3613.6056822985643</v>
      </c>
      <c r="G40" s="3">
        <v>2467.1652727793789</v>
      </c>
      <c r="H40" s="3">
        <v>1321.8060684020516</v>
      </c>
      <c r="I40" s="3"/>
      <c r="J40" s="3"/>
      <c r="K40" s="3"/>
      <c r="L40" s="3"/>
      <c r="M40" s="3"/>
      <c r="N40" s="3"/>
      <c r="O40" s="3"/>
      <c r="P40" s="3"/>
    </row>
    <row r="41" spans="1:16" x14ac:dyDescent="0.25">
      <c r="A41" s="120">
        <f t="shared" si="0"/>
        <v>-11</v>
      </c>
      <c r="B41" s="3"/>
      <c r="C41" s="3">
        <v>5292.1654665875922</v>
      </c>
      <c r="D41" s="3">
        <v>4768.8043574646254</v>
      </c>
      <c r="E41" s="3">
        <v>4181.9637657055955</v>
      </c>
      <c r="F41" s="3">
        <v>3613.6056822985643</v>
      </c>
      <c r="G41" s="3">
        <v>2467.1652727793789</v>
      </c>
      <c r="H41" s="3">
        <v>1321.8060684020516</v>
      </c>
      <c r="I41" s="3"/>
      <c r="J41" s="3"/>
      <c r="K41" s="3"/>
      <c r="L41" s="3"/>
      <c r="M41" s="3"/>
      <c r="N41" s="3"/>
      <c r="O41" s="3"/>
      <c r="P41" s="3"/>
    </row>
    <row r="42" spans="1:16" x14ac:dyDescent="0.25">
      <c r="A42" s="120">
        <f t="shared" si="0"/>
        <v>-10</v>
      </c>
      <c r="B42" s="3"/>
      <c r="C42" s="3">
        <v>5292.1654665875922</v>
      </c>
      <c r="D42" s="3">
        <v>4768.8043574646254</v>
      </c>
      <c r="E42" s="3">
        <v>4181.9637657055955</v>
      </c>
      <c r="F42" s="3">
        <v>3613.6056822985643</v>
      </c>
      <c r="G42" s="3">
        <v>2467.1652727793789</v>
      </c>
      <c r="H42" s="3">
        <v>1321.8060684020516</v>
      </c>
      <c r="I42" s="3"/>
      <c r="J42" s="3"/>
      <c r="K42" s="3"/>
      <c r="L42" s="3"/>
      <c r="M42" s="3"/>
      <c r="N42" s="3"/>
      <c r="O42" s="3"/>
      <c r="P42" s="3"/>
    </row>
    <row r="43" spans="1:16" x14ac:dyDescent="0.25">
      <c r="A43" s="120">
        <f t="shared" si="0"/>
        <v>-9</v>
      </c>
      <c r="B43" s="3">
        <v>8309.7199443087939</v>
      </c>
      <c r="C43" s="3">
        <v>5292.1654665875922</v>
      </c>
      <c r="D43" s="3">
        <v>4768.8043574646254</v>
      </c>
      <c r="E43" s="3">
        <v>4181.9637657055955</v>
      </c>
      <c r="F43" s="3">
        <v>3613.6056822985643</v>
      </c>
      <c r="G43" s="3">
        <v>2467.1652727793789</v>
      </c>
      <c r="H43" s="3">
        <v>1321.8060684020516</v>
      </c>
      <c r="I43" s="3"/>
      <c r="J43" s="3"/>
      <c r="K43" s="3"/>
      <c r="L43" s="3"/>
      <c r="M43" s="3"/>
      <c r="N43" s="3"/>
      <c r="O43" s="3"/>
      <c r="P43" s="3"/>
    </row>
    <row r="44" spans="1:16" x14ac:dyDescent="0.25">
      <c r="A44" s="120">
        <f t="shared" si="0"/>
        <v>-8</v>
      </c>
      <c r="B44" s="3">
        <v>7958.5485464600843</v>
      </c>
      <c r="C44" s="3">
        <v>8034.113051729757</v>
      </c>
      <c r="D44" s="3">
        <v>4768.8043574646254</v>
      </c>
      <c r="E44" s="3">
        <v>4181.9637657055955</v>
      </c>
      <c r="F44" s="3">
        <v>3613.6056822985643</v>
      </c>
      <c r="G44" s="3">
        <v>2467.1652727793789</v>
      </c>
      <c r="H44" s="3">
        <v>1321.8060684020516</v>
      </c>
      <c r="I44" s="3"/>
      <c r="J44" s="3"/>
      <c r="K44" s="3"/>
      <c r="L44" s="3"/>
      <c r="M44" s="3"/>
      <c r="N44" s="3"/>
      <c r="O44" s="3"/>
      <c r="P44" s="3"/>
    </row>
    <row r="45" spans="1:16" x14ac:dyDescent="0.25">
      <c r="A45" s="120">
        <f t="shared" si="0"/>
        <v>-7</v>
      </c>
      <c r="B45" s="3">
        <v>7568.1718356162974</v>
      </c>
      <c r="C45" s="3">
        <v>7663.2112215761608</v>
      </c>
      <c r="D45" s="3">
        <v>7621.5628325153975</v>
      </c>
      <c r="E45" s="3">
        <v>4181.9637657055955</v>
      </c>
      <c r="F45" s="3">
        <v>3613.6056822985643</v>
      </c>
      <c r="G45" s="3">
        <v>2467.1652727793789</v>
      </c>
      <c r="H45" s="3">
        <v>1321.8060684020516</v>
      </c>
      <c r="I45" s="3"/>
      <c r="J45" s="3"/>
      <c r="K45" s="3"/>
      <c r="L45" s="3"/>
      <c r="M45" s="3"/>
      <c r="N45" s="3"/>
      <c r="O45" s="3"/>
      <c r="P45" s="3"/>
    </row>
    <row r="46" spans="1:16" x14ac:dyDescent="0.25">
      <c r="A46" s="120">
        <f t="shared" si="0"/>
        <v>-6</v>
      </c>
      <c r="B46" s="3">
        <v>7202.931649228899</v>
      </c>
      <c r="C46" s="3">
        <v>7252.631702555811</v>
      </c>
      <c r="D46" s="3">
        <v>7258.049550142312</v>
      </c>
      <c r="E46" s="3">
        <v>7232.4549338999259</v>
      </c>
      <c r="F46" s="3">
        <v>3613.6056822985643</v>
      </c>
      <c r="G46" s="3">
        <v>2467.1652727793789</v>
      </c>
      <c r="H46" s="3">
        <v>1321.8060684020516</v>
      </c>
      <c r="I46" s="3"/>
      <c r="J46" s="3"/>
      <c r="K46" s="3"/>
      <c r="L46" s="3"/>
      <c r="M46" s="3"/>
      <c r="N46" s="3"/>
      <c r="O46" s="3"/>
      <c r="P46" s="3"/>
    </row>
    <row r="47" spans="1:16" x14ac:dyDescent="0.25">
      <c r="A47" s="120">
        <f t="shared" si="0"/>
        <v>-5</v>
      </c>
      <c r="B47" s="3">
        <v>6911.0194678969983</v>
      </c>
      <c r="C47" s="3">
        <v>6950.587244061564</v>
      </c>
      <c r="D47" s="3">
        <v>6917.8438868271314</v>
      </c>
      <c r="E47" s="3">
        <v>6923.0327317177052</v>
      </c>
      <c r="F47" s="3">
        <v>6867.7062482363972</v>
      </c>
      <c r="G47" s="3">
        <v>2467.1652727793789</v>
      </c>
      <c r="H47" s="3">
        <v>1321.8060684020516</v>
      </c>
      <c r="I47" s="3"/>
      <c r="J47" s="3"/>
      <c r="K47" s="3"/>
      <c r="L47" s="3"/>
      <c r="M47" s="3"/>
      <c r="N47" s="3"/>
      <c r="O47" s="3"/>
      <c r="P47" s="3"/>
    </row>
    <row r="48" spans="1:16" x14ac:dyDescent="0.25">
      <c r="A48" s="120">
        <f t="shared" si="0"/>
        <v>-4</v>
      </c>
      <c r="B48" s="3">
        <v>6613.8842535858075</v>
      </c>
      <c r="C48" s="3">
        <v>6661.4266047046394</v>
      </c>
      <c r="D48" s="3">
        <v>6638.9068452549709</v>
      </c>
      <c r="E48" s="3">
        <v>6610.5220620322516</v>
      </c>
      <c r="F48" s="3">
        <v>6578.6198965937929</v>
      </c>
      <c r="G48" s="3">
        <v>2467.1652727793789</v>
      </c>
      <c r="H48" s="3">
        <v>1321.8060684020516</v>
      </c>
      <c r="I48" s="3"/>
      <c r="J48" s="3"/>
      <c r="K48" s="3"/>
      <c r="L48" s="3"/>
      <c r="M48" s="3"/>
      <c r="N48" s="3"/>
      <c r="O48" s="3"/>
      <c r="P48" s="3"/>
    </row>
    <row r="49" spans="1:16" x14ac:dyDescent="0.25">
      <c r="A49" s="120">
        <f t="shared" si="0"/>
        <v>-3</v>
      </c>
      <c r="B49" s="3">
        <v>6328.163707401749</v>
      </c>
      <c r="C49" s="3">
        <v>6370.8816840297723</v>
      </c>
      <c r="D49" s="3">
        <v>6348.7213065056649</v>
      </c>
      <c r="E49" s="3">
        <v>6330.5423316866436</v>
      </c>
      <c r="F49" s="3">
        <v>6298.4876021181899</v>
      </c>
      <c r="G49" s="3">
        <v>2467.1652727793789</v>
      </c>
      <c r="H49" s="3">
        <v>1321.8060684020516</v>
      </c>
      <c r="I49" s="3"/>
      <c r="J49" s="3"/>
      <c r="K49" s="3"/>
      <c r="L49" s="3"/>
      <c r="M49" s="3"/>
      <c r="N49" s="3"/>
      <c r="O49" s="3"/>
      <c r="P49" s="3"/>
    </row>
    <row r="50" spans="1:16" x14ac:dyDescent="0.25">
      <c r="A50" s="120">
        <f t="shared" si="0"/>
        <v>-2</v>
      </c>
      <c r="B50" s="3">
        <v>6024.5662886940763</v>
      </c>
      <c r="C50" s="3">
        <v>6078.9222825150782</v>
      </c>
      <c r="D50" s="3">
        <v>6057.2928183084568</v>
      </c>
      <c r="E50" s="3">
        <v>6039.2290477078677</v>
      </c>
      <c r="F50" s="3">
        <v>6004.311404381504</v>
      </c>
      <c r="G50" s="3">
        <v>5948.7159874898443</v>
      </c>
      <c r="H50" s="3">
        <v>1321.8060684020516</v>
      </c>
      <c r="I50" s="3"/>
      <c r="J50" s="3"/>
      <c r="K50" s="3"/>
      <c r="L50" s="3"/>
      <c r="M50" s="3"/>
      <c r="N50" s="3"/>
      <c r="O50" s="3"/>
      <c r="P50" s="3"/>
    </row>
    <row r="51" spans="1:16" x14ac:dyDescent="0.25">
      <c r="A51" s="120">
        <f t="shared" si="0"/>
        <v>-1</v>
      </c>
      <c r="B51" s="3">
        <v>5732.5042425485744</v>
      </c>
      <c r="C51" s="3">
        <v>5777.6549406466856</v>
      </c>
      <c r="D51" s="3">
        <v>5765.3534634611515</v>
      </c>
      <c r="E51" s="3">
        <v>5751.4275604690338</v>
      </c>
      <c r="F51" s="3">
        <v>5728.9563133722204</v>
      </c>
      <c r="G51" s="3">
        <v>5653.4636774432001</v>
      </c>
      <c r="H51" s="3">
        <v>1321.8060684020516</v>
      </c>
      <c r="I51" s="3"/>
      <c r="J51" s="3"/>
      <c r="K51" s="3"/>
      <c r="L51" s="3"/>
      <c r="M51" s="3"/>
      <c r="N51" s="3"/>
      <c r="O51" s="3"/>
      <c r="P51" s="3"/>
    </row>
    <row r="52" spans="1:16" x14ac:dyDescent="0.25">
      <c r="A52" s="120">
        <f t="shared" si="0"/>
        <v>0</v>
      </c>
      <c r="B52" s="3">
        <v>5292.1654665875922</v>
      </c>
      <c r="C52" s="3">
        <v>5361.773937449505</v>
      </c>
      <c r="D52" s="3">
        <v>5379.2901391630639</v>
      </c>
      <c r="E52" s="3">
        <v>5390.4177469897659</v>
      </c>
      <c r="F52" s="3">
        <v>5384.1034806229181</v>
      </c>
      <c r="G52" s="3">
        <v>5298.7086216197331</v>
      </c>
      <c r="H52" s="3">
        <v>5256.4461681813818</v>
      </c>
      <c r="I52" s="3"/>
      <c r="J52" s="3"/>
      <c r="K52" s="3"/>
      <c r="L52" s="3"/>
      <c r="M52" s="3"/>
      <c r="N52" s="3"/>
      <c r="O52" s="3"/>
      <c r="P52" s="3"/>
    </row>
    <row r="53" spans="1:16" x14ac:dyDescent="0.25">
      <c r="A53" s="120">
        <f t="shared" si="0"/>
        <v>1</v>
      </c>
      <c r="B53" s="3">
        <v>5292.1654665875922</v>
      </c>
      <c r="C53" s="3">
        <v>4768.8043574646254</v>
      </c>
      <c r="D53" s="3">
        <v>4825.0230611322722</v>
      </c>
      <c r="E53" s="3">
        <v>4874.8634562647458</v>
      </c>
      <c r="F53" s="3">
        <v>4946.9073871376504</v>
      </c>
      <c r="G53" s="3">
        <v>4934.5867883930332</v>
      </c>
      <c r="H53" s="3">
        <v>4902.3483723124718</v>
      </c>
      <c r="I53" s="3"/>
      <c r="J53" s="3"/>
      <c r="K53" s="3"/>
      <c r="L53" s="3"/>
      <c r="M53" s="3"/>
      <c r="N53" s="3"/>
      <c r="O53" s="3"/>
      <c r="P53" s="3"/>
    </row>
    <row r="54" spans="1:16" x14ac:dyDescent="0.25">
      <c r="A54" s="120">
        <f t="shared" si="0"/>
        <v>2</v>
      </c>
      <c r="B54" s="3">
        <v>5292.1654665875922</v>
      </c>
      <c r="C54" s="3">
        <v>4768.8043574646254</v>
      </c>
      <c r="D54" s="3">
        <v>4181.9637657055955</v>
      </c>
      <c r="E54" s="3">
        <v>4238.8083836295591</v>
      </c>
      <c r="F54" s="3">
        <v>4341.3949978794144</v>
      </c>
      <c r="G54" s="3">
        <v>4496.989121281028</v>
      </c>
      <c r="H54" s="3">
        <v>4469.5692078431921</v>
      </c>
      <c r="I54" s="3"/>
      <c r="J54" s="3"/>
      <c r="K54" s="3"/>
      <c r="L54" s="3"/>
      <c r="M54" s="3"/>
      <c r="N54" s="3"/>
      <c r="O54" s="3"/>
      <c r="P54" s="3"/>
    </row>
    <row r="55" spans="1:16" x14ac:dyDescent="0.25">
      <c r="A55" s="120">
        <f t="shared" si="0"/>
        <v>3</v>
      </c>
      <c r="B55" s="3">
        <v>5292.1654665875922</v>
      </c>
      <c r="C55" s="3">
        <v>4768.8043574646254</v>
      </c>
      <c r="D55" s="3">
        <v>4181.9637657055955</v>
      </c>
      <c r="E55" s="3">
        <v>3613.6056822985643</v>
      </c>
      <c r="F55" s="3">
        <v>3695.6706844027317</v>
      </c>
      <c r="G55" s="3">
        <v>3911.0062993935735</v>
      </c>
      <c r="H55" s="3">
        <v>4004.8980277129244</v>
      </c>
      <c r="I55" s="3"/>
      <c r="J55" s="3"/>
      <c r="K55" s="3"/>
      <c r="L55" s="3"/>
      <c r="M55" s="3"/>
      <c r="N55" s="3"/>
      <c r="O55" s="3"/>
      <c r="P55" s="3"/>
    </row>
    <row r="56" spans="1:16" x14ac:dyDescent="0.25">
      <c r="A56" s="120">
        <f t="shared" si="0"/>
        <v>4</v>
      </c>
      <c r="B56" s="3">
        <v>5292.1654665875922</v>
      </c>
      <c r="C56" s="3">
        <v>4768.8043574646254</v>
      </c>
      <c r="D56" s="3">
        <v>4181.9637657055955</v>
      </c>
      <c r="E56" s="3">
        <v>3613.6056822985643</v>
      </c>
      <c r="F56" s="3">
        <v>3068.755950536985</v>
      </c>
      <c r="G56" s="3">
        <v>3210.1047455777912</v>
      </c>
      <c r="H56" s="3">
        <v>3416.6458930401773</v>
      </c>
      <c r="I56" s="3"/>
      <c r="J56" s="3"/>
      <c r="K56" s="3"/>
      <c r="L56" s="3"/>
      <c r="M56" s="3"/>
      <c r="N56" s="3"/>
      <c r="O56" s="3"/>
      <c r="P56" s="3"/>
    </row>
    <row r="57" spans="1:16" x14ac:dyDescent="0.25">
      <c r="A57" s="120">
        <f t="shared" si="0"/>
        <v>5</v>
      </c>
      <c r="B57" s="3">
        <v>5292.1654665875922</v>
      </c>
      <c r="C57" s="3">
        <v>4768.8043574646254</v>
      </c>
      <c r="D57" s="3">
        <v>4181.9637657055955</v>
      </c>
      <c r="E57" s="3">
        <v>3613.6056822985643</v>
      </c>
      <c r="F57" s="3">
        <v>2467.1652727793789</v>
      </c>
      <c r="G57" s="3">
        <v>2505.8865591462391</v>
      </c>
      <c r="H57" s="3">
        <v>2701.3468283431143</v>
      </c>
      <c r="I57" s="3"/>
      <c r="J57" s="3"/>
      <c r="K57" s="3"/>
      <c r="L57" s="3"/>
      <c r="M57" s="3"/>
      <c r="N57" s="3"/>
      <c r="O57" s="3"/>
      <c r="P57" s="3"/>
    </row>
    <row r="58" spans="1:16" x14ac:dyDescent="0.25">
      <c r="A58" s="120">
        <f t="shared" si="0"/>
        <v>6</v>
      </c>
      <c r="B58" s="3">
        <v>5292.1654665875922</v>
      </c>
      <c r="C58" s="3">
        <v>4768.8043574646254</v>
      </c>
      <c r="D58" s="3">
        <v>4181.9637657055955</v>
      </c>
      <c r="E58" s="3">
        <v>3613.6056822985643</v>
      </c>
      <c r="F58" s="3">
        <v>2467.1652727793789</v>
      </c>
      <c r="G58" s="3">
        <v>1845.9376188107622</v>
      </c>
      <c r="H58" s="3">
        <v>1953.8329187385543</v>
      </c>
      <c r="I58" s="3"/>
      <c r="J58" s="3"/>
      <c r="K58" s="3"/>
      <c r="L58" s="3"/>
      <c r="M58" s="3"/>
      <c r="N58" s="3"/>
      <c r="O58" s="3"/>
      <c r="P58" s="3"/>
    </row>
    <row r="59" spans="1:16" x14ac:dyDescent="0.25">
      <c r="A59" s="120">
        <f t="shared" si="0"/>
        <v>7</v>
      </c>
      <c r="B59" s="3">
        <v>5292.1654665875922</v>
      </c>
      <c r="C59" s="3">
        <v>4768.8043574646254</v>
      </c>
      <c r="D59" s="3">
        <v>4181.9637657055955</v>
      </c>
      <c r="E59" s="3">
        <v>3613.6056822985643</v>
      </c>
      <c r="F59" s="3">
        <v>2467.1652727793789</v>
      </c>
      <c r="G59" s="3">
        <v>1321.8060684020516</v>
      </c>
      <c r="H59" s="3">
        <v>1375.3004398040346</v>
      </c>
      <c r="I59" s="3"/>
      <c r="J59" s="3"/>
      <c r="K59" s="3"/>
      <c r="L59" s="3"/>
      <c r="M59" s="3"/>
      <c r="N59" s="3"/>
      <c r="O59" s="3"/>
      <c r="P59" s="3"/>
    </row>
    <row r="60" spans="1:16" x14ac:dyDescent="0.25">
      <c r="A60" s="120">
        <f t="shared" si="0"/>
        <v>8</v>
      </c>
      <c r="B60" s="3">
        <v>5292.1654665875922</v>
      </c>
      <c r="C60" s="3">
        <v>4768.8043574646254</v>
      </c>
      <c r="D60" s="3">
        <v>4181.9637657055955</v>
      </c>
      <c r="E60" s="3">
        <v>3613.6056822985643</v>
      </c>
      <c r="F60" s="3">
        <v>2467.1652727793789</v>
      </c>
      <c r="G60" s="3">
        <v>1321.8060684020516</v>
      </c>
      <c r="H60" s="3">
        <v>969.21207678892347</v>
      </c>
      <c r="I60" s="3"/>
      <c r="J60" s="3"/>
      <c r="K60" s="3"/>
      <c r="L60" s="3"/>
      <c r="M60" s="3"/>
      <c r="N60" s="3"/>
      <c r="O60" s="3"/>
      <c r="P60" s="3"/>
    </row>
    <row r="61" spans="1:16" x14ac:dyDescent="0.25">
      <c r="A61" s="120">
        <f t="shared" si="0"/>
        <v>9</v>
      </c>
      <c r="B61" s="3">
        <v>5292.1654665875922</v>
      </c>
      <c r="C61" s="3">
        <v>4768.8043574646254</v>
      </c>
      <c r="D61" s="3">
        <v>4181.9637657055955</v>
      </c>
      <c r="E61" s="3">
        <v>3613.6056822985643</v>
      </c>
      <c r="F61" s="3">
        <v>2467.1652727793789</v>
      </c>
      <c r="G61" s="3">
        <v>1321.8060684020516</v>
      </c>
      <c r="H61" s="3">
        <v>750.94236102963646</v>
      </c>
      <c r="I61" s="3"/>
      <c r="J61" s="3"/>
      <c r="K61" s="3"/>
      <c r="L61" s="3"/>
      <c r="M61" s="3"/>
      <c r="N61" s="3"/>
      <c r="O61" s="3"/>
      <c r="P61" s="3"/>
    </row>
    <row r="62" spans="1:16" x14ac:dyDescent="0.25">
      <c r="A62" s="120">
        <f t="shared" si="0"/>
        <v>10</v>
      </c>
      <c r="B62" s="3">
        <v>5292.1654665875922</v>
      </c>
      <c r="C62" s="3">
        <v>4768.8043574646254</v>
      </c>
      <c r="D62" s="3">
        <v>4181.9637657055955</v>
      </c>
      <c r="E62" s="3">
        <v>3613.6056822985643</v>
      </c>
      <c r="F62" s="3">
        <v>2467.1652727793789</v>
      </c>
      <c r="G62" s="3">
        <v>1321.8060684020516</v>
      </c>
      <c r="H62" s="3">
        <v>750.94236102963646</v>
      </c>
      <c r="I62" s="3"/>
      <c r="J62" s="3"/>
      <c r="K62" s="3"/>
      <c r="L62" s="3"/>
      <c r="M62" s="3"/>
      <c r="N62" s="3"/>
      <c r="O62" s="3"/>
      <c r="P62" s="3"/>
    </row>
    <row r="63" spans="1:16" x14ac:dyDescent="0.25">
      <c r="A63" s="120">
        <f t="shared" si="0"/>
        <v>11</v>
      </c>
      <c r="B63" s="3">
        <v>5292.1654665875922</v>
      </c>
      <c r="C63" s="3">
        <v>4768.8043574646254</v>
      </c>
      <c r="D63" s="3">
        <v>4181.9637657055955</v>
      </c>
      <c r="E63" s="3">
        <v>3613.6056822985643</v>
      </c>
      <c r="F63" s="3">
        <v>2467.1652727793789</v>
      </c>
      <c r="G63" s="3">
        <v>1321.8060684020516</v>
      </c>
      <c r="H63" s="3">
        <v>750.94236102963646</v>
      </c>
      <c r="I63" s="3"/>
      <c r="J63" s="3"/>
      <c r="K63" s="3"/>
      <c r="L63" s="3"/>
      <c r="M63" s="3"/>
      <c r="N63" s="3"/>
      <c r="O63" s="3"/>
      <c r="P63" s="3"/>
    </row>
    <row r="64" spans="1:16" x14ac:dyDescent="0.25">
      <c r="A64" s="120">
        <f t="shared" si="0"/>
        <v>12</v>
      </c>
      <c r="B64" s="3">
        <v>5292.1654665875922</v>
      </c>
      <c r="C64" s="3">
        <v>4768.8043574646254</v>
      </c>
      <c r="D64" s="3">
        <v>4181.9637657055955</v>
      </c>
      <c r="E64" s="3">
        <v>3613.6056822985643</v>
      </c>
      <c r="F64" s="3">
        <v>2467.1652727793789</v>
      </c>
      <c r="G64" s="3">
        <v>1321.8060684020516</v>
      </c>
      <c r="H64" s="3">
        <v>750.94236102963646</v>
      </c>
      <c r="I64" s="3"/>
      <c r="J64" s="3"/>
      <c r="K64" s="3"/>
      <c r="L64" s="3"/>
      <c r="M64" s="3"/>
      <c r="N64" s="3"/>
      <c r="O64" s="3"/>
      <c r="P64" s="3"/>
    </row>
    <row r="65" spans="1:16" x14ac:dyDescent="0.25">
      <c r="A65" s="120">
        <f t="shared" si="0"/>
        <v>13</v>
      </c>
      <c r="B65" s="3">
        <v>5292.1654665875922</v>
      </c>
      <c r="C65" s="3">
        <v>4768.8043574646254</v>
      </c>
      <c r="D65" s="3">
        <v>4181.9637657055955</v>
      </c>
      <c r="E65" s="3">
        <v>3613.6056822985643</v>
      </c>
      <c r="F65" s="3">
        <v>2467.1652727793789</v>
      </c>
      <c r="G65" s="3">
        <v>1321.8060684020516</v>
      </c>
      <c r="H65" s="3">
        <v>750.94236102963646</v>
      </c>
      <c r="I65" s="3"/>
      <c r="J65" s="3"/>
      <c r="K65" s="3"/>
      <c r="L65" s="3"/>
      <c r="M65" s="3"/>
      <c r="N65" s="3"/>
      <c r="O65" s="3"/>
      <c r="P65" s="3"/>
    </row>
    <row r="66" spans="1:16" x14ac:dyDescent="0.25">
      <c r="A66" s="120">
        <f t="shared" si="0"/>
        <v>14</v>
      </c>
      <c r="B66" s="3">
        <v>5292.1654665875922</v>
      </c>
      <c r="C66" s="3">
        <v>4768.8043574646254</v>
      </c>
      <c r="D66" s="3">
        <v>4181.9637657055955</v>
      </c>
      <c r="E66" s="3">
        <v>3613.6056822985643</v>
      </c>
      <c r="F66" s="3">
        <v>2467.1652727793789</v>
      </c>
      <c r="G66" s="3">
        <v>1321.8060684020516</v>
      </c>
      <c r="H66" s="3">
        <v>750.94236102963646</v>
      </c>
      <c r="I66" s="3"/>
      <c r="J66" s="3"/>
      <c r="K66" s="3"/>
      <c r="L66" s="3"/>
      <c r="M66" s="3"/>
      <c r="N66" s="3"/>
      <c r="O66" s="3"/>
      <c r="P66" s="3"/>
    </row>
    <row r="67" spans="1:16" x14ac:dyDescent="0.25">
      <c r="A67" s="120">
        <f t="shared" si="0"/>
        <v>15</v>
      </c>
      <c r="B67" s="3">
        <v>5292.1654665875922</v>
      </c>
      <c r="C67" s="3">
        <v>4768.8043574646254</v>
      </c>
      <c r="D67" s="3">
        <v>4181.9637657055955</v>
      </c>
      <c r="E67" s="3">
        <v>3613.6056822985643</v>
      </c>
      <c r="F67" s="3">
        <v>2467.1652727793789</v>
      </c>
      <c r="G67" s="3">
        <v>1321.8060684020516</v>
      </c>
      <c r="H67" s="3">
        <v>750.94236102963646</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t="str">
        <f t="shared" ref="B72:H79" si="1">IF($A72&gt;=10^B$4,IF($A72&lt;=10^INDEX($B$4:$H$34,$A$1,COLUMN(B4)-1),B37,"nv"),"nv")</f>
        <v>nv</v>
      </c>
      <c r="C72" s="122" t="str">
        <f t="shared" si="1"/>
        <v>nv</v>
      </c>
      <c r="D72" s="122" t="str">
        <f t="shared" si="1"/>
        <v>nv</v>
      </c>
      <c r="E72" s="122" t="str">
        <f t="shared" si="1"/>
        <v>nv</v>
      </c>
      <c r="F72" s="122" t="str">
        <f t="shared" si="1"/>
        <v>nv</v>
      </c>
      <c r="G72" s="122" t="str">
        <f t="shared" si="1"/>
        <v>nv</v>
      </c>
      <c r="H72" s="122" t="str">
        <f t="shared" si="1"/>
        <v>nv</v>
      </c>
      <c r="I72" s="122"/>
      <c r="J72" s="122">
        <f t="shared" ref="J72:J102" si="2">IF(ISERROR(AVERAGE(B72:H72)),IF(J71&gt;0,J71,$K$72),AVERAGE(B72:H72))</f>
        <v>8309.7199443087939</v>
      </c>
      <c r="K72" s="3">
        <f>MAX(B72:H102)</f>
        <v>8309.7199443087939</v>
      </c>
      <c r="L72" s="3"/>
      <c r="M72" s="3"/>
      <c r="N72" s="3"/>
      <c r="O72" s="3"/>
      <c r="P72" s="3"/>
    </row>
    <row r="73" spans="1:16" x14ac:dyDescent="0.25">
      <c r="A73" s="121">
        <f t="shared" ref="A73:A102" si="3">10^A38</f>
        <v>1E-14</v>
      </c>
      <c r="B73" s="122" t="str">
        <f t="shared" si="1"/>
        <v>nv</v>
      </c>
      <c r="C73" s="122" t="str">
        <f t="shared" si="1"/>
        <v>nv</v>
      </c>
      <c r="D73" s="122" t="str">
        <f t="shared" si="1"/>
        <v>nv</v>
      </c>
      <c r="E73" s="122" t="str">
        <f t="shared" si="1"/>
        <v>nv</v>
      </c>
      <c r="F73" s="122" t="str">
        <f t="shared" si="1"/>
        <v>nv</v>
      </c>
      <c r="G73" s="122" t="str">
        <f t="shared" si="1"/>
        <v>nv</v>
      </c>
      <c r="H73" s="122" t="str">
        <f t="shared" si="1"/>
        <v>nv</v>
      </c>
      <c r="I73" s="122"/>
      <c r="J73" s="122">
        <f t="shared" si="2"/>
        <v>8309.7199443087939</v>
      </c>
      <c r="K73" s="3"/>
      <c r="L73" s="3"/>
      <c r="M73" s="3"/>
      <c r="N73" s="3"/>
      <c r="O73" s="3"/>
      <c r="P73" s="3"/>
    </row>
    <row r="74" spans="1:16" x14ac:dyDescent="0.25">
      <c r="A74" s="121">
        <f t="shared" si="3"/>
        <v>1E-13</v>
      </c>
      <c r="B74" s="122" t="str">
        <f t="shared" si="1"/>
        <v>nv</v>
      </c>
      <c r="C74" s="122" t="str">
        <f t="shared" si="1"/>
        <v>nv</v>
      </c>
      <c r="D74" s="122" t="str">
        <f t="shared" si="1"/>
        <v>nv</v>
      </c>
      <c r="E74" s="122" t="str">
        <f t="shared" si="1"/>
        <v>nv</v>
      </c>
      <c r="F74" s="122" t="str">
        <f t="shared" si="1"/>
        <v>nv</v>
      </c>
      <c r="G74" s="122" t="str">
        <f t="shared" si="1"/>
        <v>nv</v>
      </c>
      <c r="H74" s="122" t="str">
        <f t="shared" si="1"/>
        <v>nv</v>
      </c>
      <c r="I74" s="122"/>
      <c r="J74" s="122">
        <f t="shared" si="2"/>
        <v>8309.7199443087939</v>
      </c>
      <c r="K74" s="3"/>
      <c r="L74" s="3"/>
      <c r="M74" s="3"/>
      <c r="N74" s="3"/>
      <c r="O74" s="3"/>
      <c r="P74" s="3"/>
    </row>
    <row r="75" spans="1:16" x14ac:dyDescent="0.25">
      <c r="A75" s="121">
        <f t="shared" si="3"/>
        <v>9.9999999999999998E-13</v>
      </c>
      <c r="B75" s="122" t="str">
        <f t="shared" si="1"/>
        <v>nv</v>
      </c>
      <c r="C75" s="122" t="str">
        <f t="shared" si="1"/>
        <v>nv</v>
      </c>
      <c r="D75" s="122" t="str">
        <f t="shared" si="1"/>
        <v>nv</v>
      </c>
      <c r="E75" s="122" t="str">
        <f t="shared" si="1"/>
        <v>nv</v>
      </c>
      <c r="F75" s="122" t="str">
        <f t="shared" si="1"/>
        <v>nv</v>
      </c>
      <c r="G75" s="122" t="str">
        <f t="shared" si="1"/>
        <v>nv</v>
      </c>
      <c r="H75" s="122" t="str">
        <f t="shared" si="1"/>
        <v>nv</v>
      </c>
      <c r="I75" s="122"/>
      <c r="J75" s="122">
        <f t="shared" si="2"/>
        <v>8309.7199443087939</v>
      </c>
      <c r="K75" s="3"/>
      <c r="L75" s="3"/>
      <c r="M75" s="3"/>
      <c r="N75" s="3"/>
      <c r="O75" s="3"/>
      <c r="P75" s="3"/>
    </row>
    <row r="76" spans="1:16" x14ac:dyDescent="0.25">
      <c r="A76" s="121">
        <f t="shared" si="3"/>
        <v>9.9999999999999994E-12</v>
      </c>
      <c r="B76" s="122" t="str">
        <f t="shared" si="1"/>
        <v>nv</v>
      </c>
      <c r="C76" s="122" t="str">
        <f t="shared" si="1"/>
        <v>nv</v>
      </c>
      <c r="D76" s="122" t="str">
        <f t="shared" si="1"/>
        <v>nv</v>
      </c>
      <c r="E76" s="122" t="str">
        <f t="shared" si="1"/>
        <v>nv</v>
      </c>
      <c r="F76" s="122" t="str">
        <f t="shared" si="1"/>
        <v>nv</v>
      </c>
      <c r="G76" s="122" t="str">
        <f t="shared" si="1"/>
        <v>nv</v>
      </c>
      <c r="H76" s="122" t="str">
        <f t="shared" si="1"/>
        <v>nv</v>
      </c>
      <c r="I76" s="122"/>
      <c r="J76" s="122">
        <f t="shared" si="2"/>
        <v>8309.7199443087939</v>
      </c>
      <c r="K76" s="3"/>
      <c r="L76" s="3"/>
      <c r="M76" s="3"/>
      <c r="N76" s="3"/>
      <c r="O76" s="3"/>
      <c r="P76" s="3"/>
    </row>
    <row r="77" spans="1:16" x14ac:dyDescent="0.25">
      <c r="A77" s="121">
        <f t="shared" si="3"/>
        <v>1E-10</v>
      </c>
      <c r="B77" s="122" t="str">
        <f t="shared" si="1"/>
        <v>nv</v>
      </c>
      <c r="C77" s="122" t="str">
        <f t="shared" si="1"/>
        <v>nv</v>
      </c>
      <c r="D77" s="122" t="str">
        <f t="shared" si="1"/>
        <v>nv</v>
      </c>
      <c r="E77" s="122" t="str">
        <f t="shared" si="1"/>
        <v>nv</v>
      </c>
      <c r="F77" s="122" t="str">
        <f t="shared" si="1"/>
        <v>nv</v>
      </c>
      <c r="G77" s="122" t="str">
        <f t="shared" si="1"/>
        <v>nv</v>
      </c>
      <c r="H77" s="122" t="str">
        <f t="shared" si="1"/>
        <v>nv</v>
      </c>
      <c r="I77" s="122"/>
      <c r="J77" s="122">
        <f t="shared" si="2"/>
        <v>8309.7199443087939</v>
      </c>
      <c r="K77" s="3"/>
      <c r="L77" s="3"/>
      <c r="M77" s="3"/>
      <c r="N77" s="3"/>
      <c r="O77" s="3"/>
      <c r="P77" s="3"/>
    </row>
    <row r="78" spans="1:16" x14ac:dyDescent="0.25">
      <c r="A78" s="121">
        <f t="shared" si="3"/>
        <v>1.0000000000000001E-9</v>
      </c>
      <c r="B78" s="122">
        <f t="shared" si="1"/>
        <v>8309.7199443087939</v>
      </c>
      <c r="C78" s="122" t="str">
        <f t="shared" si="1"/>
        <v>nv</v>
      </c>
      <c r="D78" s="122" t="str">
        <f t="shared" si="1"/>
        <v>nv</v>
      </c>
      <c r="E78" s="122" t="str">
        <f t="shared" si="1"/>
        <v>nv</v>
      </c>
      <c r="F78" s="122" t="str">
        <f t="shared" si="1"/>
        <v>nv</v>
      </c>
      <c r="G78" s="122" t="str">
        <f t="shared" si="1"/>
        <v>nv</v>
      </c>
      <c r="H78" s="122" t="str">
        <f t="shared" si="1"/>
        <v>nv</v>
      </c>
      <c r="I78" s="122"/>
      <c r="J78" s="122">
        <f t="shared" si="2"/>
        <v>8309.7199443087939</v>
      </c>
    </row>
    <row r="79" spans="1:16" x14ac:dyDescent="0.25">
      <c r="A79" s="121">
        <f t="shared" si="3"/>
        <v>1E-8</v>
      </c>
      <c r="B79" s="122">
        <f t="shared" si="1"/>
        <v>7958.5485464600843</v>
      </c>
      <c r="C79" s="122">
        <f t="shared" si="1"/>
        <v>8034.113051729757</v>
      </c>
      <c r="D79" s="122" t="str">
        <f t="shared" si="1"/>
        <v>nv</v>
      </c>
      <c r="E79" s="122" t="str">
        <f t="shared" si="1"/>
        <v>nv</v>
      </c>
      <c r="F79" s="122" t="str">
        <f t="shared" si="1"/>
        <v>nv</v>
      </c>
      <c r="G79" s="122" t="str">
        <f t="shared" si="1"/>
        <v>nv</v>
      </c>
      <c r="H79" s="122" t="str">
        <f t="shared" si="1"/>
        <v>nv</v>
      </c>
      <c r="I79" s="122"/>
      <c r="J79" s="122">
        <f t="shared" si="2"/>
        <v>7996.3307990949206</v>
      </c>
    </row>
    <row r="80" spans="1:16" x14ac:dyDescent="0.25">
      <c r="A80" s="121">
        <f t="shared" si="3"/>
        <v>9.9999999999999995E-8</v>
      </c>
      <c r="B80" s="122">
        <f>IF($A80&gt;=10^B$4,IF($A80&lt;=10^INDEX($B$4:$H$34,$A$1,COLUMN(B12)-1),B45,"nv"),"nv")</f>
        <v>7568.1718356162974</v>
      </c>
      <c r="C80" s="122">
        <f t="shared" ref="C80:H80" si="4">IF($A80&gt;=10^C$4,IF($A80&lt;=10^INDEX($B$4:$H$34,$A$1,COLUMN(C12)-1),C45,"nv"),"nv")</f>
        <v>7663.2112215761608</v>
      </c>
      <c r="D80" s="122">
        <f t="shared" si="4"/>
        <v>7621.5628325153975</v>
      </c>
      <c r="E80" s="122" t="str">
        <f t="shared" si="4"/>
        <v>nv</v>
      </c>
      <c r="F80" s="122" t="str">
        <f t="shared" si="4"/>
        <v>nv</v>
      </c>
      <c r="G80" s="122" t="str">
        <f t="shared" si="4"/>
        <v>nv</v>
      </c>
      <c r="H80" s="122" t="str">
        <f t="shared" si="4"/>
        <v>nv</v>
      </c>
      <c r="I80" s="122"/>
      <c r="J80" s="122">
        <f t="shared" si="2"/>
        <v>7617.6486299026192</v>
      </c>
    </row>
    <row r="81" spans="1:10" x14ac:dyDescent="0.25">
      <c r="A81" s="121">
        <f t="shared" si="3"/>
        <v>9.9999999999999995E-7</v>
      </c>
      <c r="B81" s="122">
        <f t="shared" ref="B81:H102" si="5">IF($A81&gt;=10^B$4,IF($A81&lt;=10^INDEX($B$4:$H$34,$A$1,COLUMN(B13)-1),B46,"nv"),"nv")</f>
        <v>7202.931649228899</v>
      </c>
      <c r="C81" s="122">
        <f t="shared" si="5"/>
        <v>7252.631702555811</v>
      </c>
      <c r="D81" s="122">
        <f t="shared" si="5"/>
        <v>7258.049550142312</v>
      </c>
      <c r="E81" s="122">
        <f t="shared" si="5"/>
        <v>7232.4549338999259</v>
      </c>
      <c r="F81" s="122" t="str">
        <f t="shared" si="5"/>
        <v>nv</v>
      </c>
      <c r="G81" s="122" t="str">
        <f t="shared" si="5"/>
        <v>nv</v>
      </c>
      <c r="H81" s="122" t="str">
        <f t="shared" si="5"/>
        <v>nv</v>
      </c>
      <c r="I81" s="122"/>
      <c r="J81" s="122">
        <f t="shared" si="2"/>
        <v>7236.5169589567377</v>
      </c>
    </row>
    <row r="82" spans="1:10" x14ac:dyDescent="0.25">
      <c r="A82" s="121">
        <f t="shared" si="3"/>
        <v>1.0000000000000001E-5</v>
      </c>
      <c r="B82" s="122">
        <f t="shared" si="5"/>
        <v>6911.0194678969983</v>
      </c>
      <c r="C82" s="122">
        <f t="shared" si="5"/>
        <v>6950.587244061564</v>
      </c>
      <c r="D82" s="122">
        <f t="shared" si="5"/>
        <v>6917.8438868271314</v>
      </c>
      <c r="E82" s="122">
        <f t="shared" si="5"/>
        <v>6923.0327317177052</v>
      </c>
      <c r="F82" s="122">
        <f t="shared" si="5"/>
        <v>6867.7062482363972</v>
      </c>
      <c r="G82" s="122" t="str">
        <f t="shared" si="5"/>
        <v>nv</v>
      </c>
      <c r="H82" s="122" t="str">
        <f t="shared" si="5"/>
        <v>nv</v>
      </c>
      <c r="I82" s="122"/>
      <c r="J82" s="122">
        <f t="shared" si="2"/>
        <v>6914.0379157479592</v>
      </c>
    </row>
    <row r="83" spans="1:10" x14ac:dyDescent="0.25">
      <c r="A83" s="121">
        <f t="shared" si="3"/>
        <v>1E-4</v>
      </c>
      <c r="B83" s="122">
        <f t="shared" si="5"/>
        <v>6613.8842535858075</v>
      </c>
      <c r="C83" s="122">
        <f t="shared" si="5"/>
        <v>6661.4266047046394</v>
      </c>
      <c r="D83" s="122">
        <f t="shared" si="5"/>
        <v>6638.9068452549709</v>
      </c>
      <c r="E83" s="122">
        <f t="shared" si="5"/>
        <v>6610.5220620322516</v>
      </c>
      <c r="F83" s="122">
        <f t="shared" si="5"/>
        <v>6578.6198965937929</v>
      </c>
      <c r="G83" s="122" t="str">
        <f t="shared" si="5"/>
        <v>nv</v>
      </c>
      <c r="H83" s="122" t="str">
        <f t="shared" si="5"/>
        <v>nv</v>
      </c>
      <c r="I83" s="122"/>
      <c r="J83" s="122">
        <f t="shared" si="2"/>
        <v>6620.6719324342921</v>
      </c>
    </row>
    <row r="84" spans="1:10" x14ac:dyDescent="0.25">
      <c r="A84" s="121">
        <f t="shared" si="3"/>
        <v>1E-3</v>
      </c>
      <c r="B84" s="122">
        <f t="shared" si="5"/>
        <v>6328.163707401749</v>
      </c>
      <c r="C84" s="122">
        <f t="shared" si="5"/>
        <v>6370.8816840297723</v>
      </c>
      <c r="D84" s="122">
        <f t="shared" si="5"/>
        <v>6348.7213065056649</v>
      </c>
      <c r="E84" s="122">
        <f t="shared" si="5"/>
        <v>6330.5423316866436</v>
      </c>
      <c r="F84" s="122">
        <f t="shared" si="5"/>
        <v>6298.4876021181899</v>
      </c>
      <c r="G84" s="122" t="str">
        <f t="shared" si="5"/>
        <v>nv</v>
      </c>
      <c r="H84" s="122" t="str">
        <f t="shared" si="5"/>
        <v>nv</v>
      </c>
      <c r="I84" s="122"/>
      <c r="J84" s="122">
        <f t="shared" si="2"/>
        <v>6335.3593263484045</v>
      </c>
    </row>
    <row r="85" spans="1:10" x14ac:dyDescent="0.25">
      <c r="A85" s="121">
        <f t="shared" si="3"/>
        <v>0.01</v>
      </c>
      <c r="B85" s="122">
        <f t="shared" si="5"/>
        <v>6024.5662886940763</v>
      </c>
      <c r="C85" s="122">
        <f t="shared" si="5"/>
        <v>6078.9222825150782</v>
      </c>
      <c r="D85" s="122">
        <f t="shared" si="5"/>
        <v>6057.2928183084568</v>
      </c>
      <c r="E85" s="122">
        <f t="shared" si="5"/>
        <v>6039.2290477078677</v>
      </c>
      <c r="F85" s="122">
        <f t="shared" si="5"/>
        <v>6004.311404381504</v>
      </c>
      <c r="G85" s="122">
        <f t="shared" si="5"/>
        <v>5948.7159874898443</v>
      </c>
      <c r="H85" s="122" t="str">
        <f t="shared" si="5"/>
        <v>nv</v>
      </c>
      <c r="I85" s="122"/>
      <c r="J85" s="122">
        <f t="shared" si="2"/>
        <v>6025.5063048494712</v>
      </c>
    </row>
    <row r="86" spans="1:10" x14ac:dyDescent="0.25">
      <c r="A86" s="121">
        <f t="shared" si="3"/>
        <v>0.1</v>
      </c>
      <c r="B86" s="122">
        <f t="shared" si="5"/>
        <v>5732.5042425485744</v>
      </c>
      <c r="C86" s="122">
        <f t="shared" si="5"/>
        <v>5777.6549406466856</v>
      </c>
      <c r="D86" s="122">
        <f t="shared" si="5"/>
        <v>5765.3534634611515</v>
      </c>
      <c r="E86" s="122">
        <f t="shared" si="5"/>
        <v>5751.4275604690338</v>
      </c>
      <c r="F86" s="122">
        <f t="shared" si="5"/>
        <v>5728.9563133722204</v>
      </c>
      <c r="G86" s="122">
        <f t="shared" si="5"/>
        <v>5653.4636774432001</v>
      </c>
      <c r="H86" s="122" t="str">
        <f t="shared" si="5"/>
        <v>nv</v>
      </c>
      <c r="I86" s="122"/>
      <c r="J86" s="122">
        <f t="shared" si="2"/>
        <v>5734.8933663234775</v>
      </c>
    </row>
    <row r="87" spans="1:10" x14ac:dyDescent="0.25">
      <c r="A87" s="121">
        <f t="shared" si="3"/>
        <v>1</v>
      </c>
      <c r="B87" s="122">
        <f t="shared" si="5"/>
        <v>5292.1654665875922</v>
      </c>
      <c r="C87" s="122">
        <f t="shared" si="5"/>
        <v>5361.773937449505</v>
      </c>
      <c r="D87" s="122">
        <f t="shared" si="5"/>
        <v>5379.2901391630639</v>
      </c>
      <c r="E87" s="122">
        <f t="shared" si="5"/>
        <v>5390.4177469897659</v>
      </c>
      <c r="F87" s="122">
        <f t="shared" si="5"/>
        <v>5384.1034806229181</v>
      </c>
      <c r="G87" s="122">
        <f t="shared" si="5"/>
        <v>5298.7086216197331</v>
      </c>
      <c r="H87" s="122">
        <f t="shared" si="5"/>
        <v>5256.4461681813818</v>
      </c>
      <c r="I87" s="122"/>
      <c r="J87" s="122">
        <f t="shared" si="2"/>
        <v>5337.5579372305656</v>
      </c>
    </row>
    <row r="88" spans="1:10" x14ac:dyDescent="0.25">
      <c r="A88" s="121">
        <f t="shared" si="3"/>
        <v>10</v>
      </c>
      <c r="B88" s="122" t="str">
        <f t="shared" si="5"/>
        <v>nv</v>
      </c>
      <c r="C88" s="122">
        <f t="shared" si="5"/>
        <v>4768.8043574646254</v>
      </c>
      <c r="D88" s="122">
        <f t="shared" si="5"/>
        <v>4825.0230611322722</v>
      </c>
      <c r="E88" s="122">
        <f t="shared" si="5"/>
        <v>4874.8634562647458</v>
      </c>
      <c r="F88" s="122">
        <f t="shared" si="5"/>
        <v>4946.9073871376504</v>
      </c>
      <c r="G88" s="122">
        <f t="shared" si="5"/>
        <v>4934.5867883930332</v>
      </c>
      <c r="H88" s="122">
        <f t="shared" si="5"/>
        <v>4902.3483723124718</v>
      </c>
      <c r="I88" s="122"/>
      <c r="J88" s="122">
        <f t="shared" si="2"/>
        <v>4875.4222371174665</v>
      </c>
    </row>
    <row r="89" spans="1:10" x14ac:dyDescent="0.25">
      <c r="A89" s="121">
        <f t="shared" si="3"/>
        <v>100</v>
      </c>
      <c r="B89" s="122" t="str">
        <f t="shared" si="5"/>
        <v>nv</v>
      </c>
      <c r="C89" s="122" t="str">
        <f t="shared" si="5"/>
        <v>nv</v>
      </c>
      <c r="D89" s="122">
        <f t="shared" si="5"/>
        <v>4181.9637657055955</v>
      </c>
      <c r="E89" s="122">
        <f t="shared" si="5"/>
        <v>4238.8083836295591</v>
      </c>
      <c r="F89" s="122">
        <f t="shared" si="5"/>
        <v>4341.3949978794144</v>
      </c>
      <c r="G89" s="122">
        <f t="shared" si="5"/>
        <v>4496.989121281028</v>
      </c>
      <c r="H89" s="122">
        <f t="shared" si="5"/>
        <v>4469.5692078431921</v>
      </c>
      <c r="I89" s="122"/>
      <c r="J89" s="122">
        <f t="shared" si="2"/>
        <v>4345.7450952677582</v>
      </c>
    </row>
    <row r="90" spans="1:10" x14ac:dyDescent="0.25">
      <c r="A90" s="121">
        <f t="shared" si="3"/>
        <v>1000</v>
      </c>
      <c r="B90" s="122" t="str">
        <f t="shared" si="5"/>
        <v>nv</v>
      </c>
      <c r="C90" s="122" t="str">
        <f t="shared" si="5"/>
        <v>nv</v>
      </c>
      <c r="D90" s="122" t="str">
        <f t="shared" si="5"/>
        <v>nv</v>
      </c>
      <c r="E90" s="122">
        <f t="shared" si="5"/>
        <v>3613.6056822985643</v>
      </c>
      <c r="F90" s="122">
        <f t="shared" si="5"/>
        <v>3695.6706844027317</v>
      </c>
      <c r="G90" s="122">
        <f t="shared" si="5"/>
        <v>3911.0062993935735</v>
      </c>
      <c r="H90" s="122">
        <f t="shared" si="5"/>
        <v>4004.8980277129244</v>
      </c>
      <c r="I90" s="122"/>
      <c r="J90" s="122">
        <f t="shared" si="2"/>
        <v>3806.2951734519488</v>
      </c>
    </row>
    <row r="91" spans="1:10" x14ac:dyDescent="0.25">
      <c r="A91" s="121">
        <f t="shared" si="3"/>
        <v>10000</v>
      </c>
      <c r="B91" s="122" t="str">
        <f t="shared" si="5"/>
        <v>nv</v>
      </c>
      <c r="C91" s="122" t="str">
        <f t="shared" si="5"/>
        <v>nv</v>
      </c>
      <c r="D91" s="122" t="str">
        <f t="shared" si="5"/>
        <v>nv</v>
      </c>
      <c r="E91" s="122" t="str">
        <f t="shared" si="5"/>
        <v>nv</v>
      </c>
      <c r="F91" s="122">
        <f t="shared" si="5"/>
        <v>3068.755950536985</v>
      </c>
      <c r="G91" s="122">
        <f t="shared" si="5"/>
        <v>3210.1047455777912</v>
      </c>
      <c r="H91" s="122">
        <f t="shared" si="5"/>
        <v>3416.6458930401773</v>
      </c>
      <c r="I91" s="122"/>
      <c r="J91" s="122">
        <f t="shared" si="2"/>
        <v>3231.8355297183175</v>
      </c>
    </row>
    <row r="92" spans="1:10" x14ac:dyDescent="0.25">
      <c r="A92" s="121">
        <f t="shared" si="3"/>
        <v>100000</v>
      </c>
      <c r="B92" s="122" t="str">
        <f t="shared" si="5"/>
        <v>nv</v>
      </c>
      <c r="C92" s="122" t="str">
        <f t="shared" si="5"/>
        <v>nv</v>
      </c>
      <c r="D92" s="122" t="str">
        <f t="shared" si="5"/>
        <v>nv</v>
      </c>
      <c r="E92" s="122" t="str">
        <f t="shared" si="5"/>
        <v>nv</v>
      </c>
      <c r="F92" s="122">
        <f t="shared" si="5"/>
        <v>2467.1652727793789</v>
      </c>
      <c r="G92" s="122">
        <f t="shared" si="5"/>
        <v>2505.8865591462391</v>
      </c>
      <c r="H92" s="122">
        <f t="shared" si="5"/>
        <v>2701.3468283431143</v>
      </c>
      <c r="I92" s="122"/>
      <c r="J92" s="122">
        <f t="shared" si="2"/>
        <v>2558.1328867562443</v>
      </c>
    </row>
    <row r="93" spans="1:10" x14ac:dyDescent="0.25">
      <c r="A93" s="121">
        <f t="shared" si="3"/>
        <v>1000000</v>
      </c>
      <c r="B93" s="122" t="str">
        <f t="shared" si="5"/>
        <v>nv</v>
      </c>
      <c r="C93" s="122" t="str">
        <f t="shared" si="5"/>
        <v>nv</v>
      </c>
      <c r="D93" s="122" t="str">
        <f t="shared" si="5"/>
        <v>nv</v>
      </c>
      <c r="E93" s="122" t="str">
        <f t="shared" si="5"/>
        <v>nv</v>
      </c>
      <c r="F93" s="122" t="str">
        <f t="shared" si="5"/>
        <v>nv</v>
      </c>
      <c r="G93" s="122">
        <f t="shared" si="5"/>
        <v>1845.9376188107622</v>
      </c>
      <c r="H93" s="122">
        <f t="shared" si="5"/>
        <v>1953.8329187385543</v>
      </c>
      <c r="I93" s="122"/>
      <c r="J93" s="122">
        <f t="shared" si="2"/>
        <v>1899.8852687746582</v>
      </c>
    </row>
    <row r="94" spans="1:10" x14ac:dyDescent="0.25">
      <c r="A94" s="121">
        <f t="shared" si="3"/>
        <v>10000000</v>
      </c>
      <c r="B94" s="122" t="str">
        <f t="shared" si="5"/>
        <v>nv</v>
      </c>
      <c r="C94" s="122" t="str">
        <f t="shared" si="5"/>
        <v>nv</v>
      </c>
      <c r="D94" s="122" t="str">
        <f t="shared" si="5"/>
        <v>nv</v>
      </c>
      <c r="E94" s="122" t="str">
        <f t="shared" si="5"/>
        <v>nv</v>
      </c>
      <c r="F94" s="122" t="str">
        <f t="shared" si="5"/>
        <v>nv</v>
      </c>
      <c r="G94" s="122">
        <f t="shared" si="5"/>
        <v>1321.8060684020516</v>
      </c>
      <c r="H94" s="122">
        <f t="shared" si="5"/>
        <v>1375.3004398040346</v>
      </c>
      <c r="I94" s="122"/>
      <c r="J94" s="122">
        <f t="shared" si="2"/>
        <v>1348.5532541030429</v>
      </c>
    </row>
    <row r="95" spans="1:10" x14ac:dyDescent="0.25">
      <c r="A95" s="121">
        <f t="shared" si="3"/>
        <v>100000000</v>
      </c>
      <c r="B95" s="122" t="str">
        <f t="shared" si="5"/>
        <v>nv</v>
      </c>
      <c r="C95" s="122" t="str">
        <f t="shared" si="5"/>
        <v>nv</v>
      </c>
      <c r="D95" s="122" t="str">
        <f t="shared" si="5"/>
        <v>nv</v>
      </c>
      <c r="E95" s="122" t="str">
        <f t="shared" si="5"/>
        <v>nv</v>
      </c>
      <c r="F95" s="122" t="str">
        <f t="shared" si="5"/>
        <v>nv</v>
      </c>
      <c r="G95" s="122" t="str">
        <f t="shared" si="5"/>
        <v>nv</v>
      </c>
      <c r="H95" s="122">
        <f t="shared" si="5"/>
        <v>969.21207678892347</v>
      </c>
      <c r="I95" s="122"/>
      <c r="J95" s="122">
        <f t="shared" si="2"/>
        <v>969.21207678892347</v>
      </c>
    </row>
    <row r="96" spans="1:10" x14ac:dyDescent="0.25">
      <c r="A96" s="121">
        <f t="shared" si="3"/>
        <v>1000000000</v>
      </c>
      <c r="B96" s="122" t="str">
        <f t="shared" si="5"/>
        <v>nv</v>
      </c>
      <c r="C96" s="122" t="str">
        <f t="shared" si="5"/>
        <v>nv</v>
      </c>
      <c r="D96" s="122" t="str">
        <f t="shared" si="5"/>
        <v>nv</v>
      </c>
      <c r="E96" s="122" t="str">
        <f t="shared" si="5"/>
        <v>nv</v>
      </c>
      <c r="F96" s="122" t="str">
        <f t="shared" si="5"/>
        <v>nv</v>
      </c>
      <c r="G96" s="122" t="str">
        <f t="shared" si="5"/>
        <v>nv</v>
      </c>
      <c r="H96" s="122">
        <f t="shared" si="5"/>
        <v>750.94236102963646</v>
      </c>
      <c r="I96" s="122"/>
      <c r="J96" s="122">
        <f t="shared" si="2"/>
        <v>750.94236102963646</v>
      </c>
    </row>
    <row r="97" spans="1:36" x14ac:dyDescent="0.25">
      <c r="A97" s="121">
        <f t="shared" si="3"/>
        <v>10000000000</v>
      </c>
      <c r="B97" s="122" t="str">
        <f t="shared" si="5"/>
        <v>nv</v>
      </c>
      <c r="C97" s="122" t="str">
        <f t="shared" si="5"/>
        <v>nv</v>
      </c>
      <c r="D97" s="122" t="str">
        <f t="shared" si="5"/>
        <v>nv</v>
      </c>
      <c r="E97" s="122" t="str">
        <f t="shared" si="5"/>
        <v>nv</v>
      </c>
      <c r="F97" s="122" t="str">
        <f t="shared" si="5"/>
        <v>nv</v>
      </c>
      <c r="G97" s="122" t="str">
        <f t="shared" si="5"/>
        <v>nv</v>
      </c>
      <c r="H97" s="122" t="str">
        <f t="shared" si="5"/>
        <v>nv</v>
      </c>
      <c r="I97" s="122"/>
      <c r="J97" s="122">
        <f t="shared" si="2"/>
        <v>750.94236102963646</v>
      </c>
    </row>
    <row r="98" spans="1:36" x14ac:dyDescent="0.25">
      <c r="A98" s="121">
        <f t="shared" si="3"/>
        <v>100000000000</v>
      </c>
      <c r="B98" s="122" t="str">
        <f t="shared" si="5"/>
        <v>nv</v>
      </c>
      <c r="C98" s="122" t="str">
        <f t="shared" si="5"/>
        <v>nv</v>
      </c>
      <c r="D98" s="122" t="str">
        <f t="shared" si="5"/>
        <v>nv</v>
      </c>
      <c r="E98" s="122" t="str">
        <f t="shared" si="5"/>
        <v>nv</v>
      </c>
      <c r="F98" s="122" t="str">
        <f t="shared" si="5"/>
        <v>nv</v>
      </c>
      <c r="G98" s="122" t="str">
        <f t="shared" si="5"/>
        <v>nv</v>
      </c>
      <c r="H98" s="122" t="str">
        <f t="shared" si="5"/>
        <v>nv</v>
      </c>
      <c r="I98" s="122"/>
      <c r="J98" s="122">
        <f t="shared" si="2"/>
        <v>750.94236102963646</v>
      </c>
    </row>
    <row r="99" spans="1:36" x14ac:dyDescent="0.25">
      <c r="A99" s="121">
        <f t="shared" si="3"/>
        <v>1000000000000</v>
      </c>
      <c r="B99" s="122" t="str">
        <f t="shared" si="5"/>
        <v>nv</v>
      </c>
      <c r="C99" s="122" t="str">
        <f t="shared" si="5"/>
        <v>nv</v>
      </c>
      <c r="D99" s="122" t="str">
        <f t="shared" si="5"/>
        <v>nv</v>
      </c>
      <c r="E99" s="122" t="str">
        <f t="shared" si="5"/>
        <v>nv</v>
      </c>
      <c r="F99" s="122" t="str">
        <f t="shared" si="5"/>
        <v>nv</v>
      </c>
      <c r="G99" s="122" t="str">
        <f t="shared" si="5"/>
        <v>nv</v>
      </c>
      <c r="H99" s="122" t="str">
        <f t="shared" si="5"/>
        <v>nv</v>
      </c>
      <c r="I99" s="122"/>
      <c r="J99" s="122">
        <f t="shared" si="2"/>
        <v>750.94236102963646</v>
      </c>
    </row>
    <row r="100" spans="1:36" x14ac:dyDescent="0.25">
      <c r="A100" s="121">
        <f t="shared" si="3"/>
        <v>10000000000000</v>
      </c>
      <c r="B100" s="122" t="str">
        <f t="shared" si="5"/>
        <v>nv</v>
      </c>
      <c r="C100" s="122" t="str">
        <f t="shared" si="5"/>
        <v>nv</v>
      </c>
      <c r="D100" s="122" t="str">
        <f t="shared" si="5"/>
        <v>nv</v>
      </c>
      <c r="E100" s="122" t="str">
        <f t="shared" si="5"/>
        <v>nv</v>
      </c>
      <c r="F100" s="122" t="str">
        <f t="shared" si="5"/>
        <v>nv</v>
      </c>
      <c r="G100" s="122" t="str">
        <f t="shared" si="5"/>
        <v>nv</v>
      </c>
      <c r="H100" s="122" t="str">
        <f t="shared" si="5"/>
        <v>nv</v>
      </c>
      <c r="I100" s="122"/>
      <c r="J100" s="122">
        <f t="shared" si="2"/>
        <v>750.94236102963646</v>
      </c>
    </row>
    <row r="101" spans="1:36" x14ac:dyDescent="0.25">
      <c r="A101" s="121">
        <f t="shared" si="3"/>
        <v>100000000000000</v>
      </c>
      <c r="B101" s="122" t="str">
        <f t="shared" si="5"/>
        <v>nv</v>
      </c>
      <c r="C101" s="122" t="str">
        <f t="shared" si="5"/>
        <v>nv</v>
      </c>
      <c r="D101" s="122" t="str">
        <f t="shared" si="5"/>
        <v>nv</v>
      </c>
      <c r="E101" s="122" t="str">
        <f t="shared" si="5"/>
        <v>nv</v>
      </c>
      <c r="F101" s="122" t="str">
        <f t="shared" si="5"/>
        <v>nv</v>
      </c>
      <c r="G101" s="122" t="str">
        <f t="shared" si="5"/>
        <v>nv</v>
      </c>
      <c r="H101" s="122" t="str">
        <f t="shared" si="5"/>
        <v>nv</v>
      </c>
      <c r="I101" s="122"/>
      <c r="J101" s="122">
        <f t="shared" si="2"/>
        <v>750.94236102963646</v>
      </c>
    </row>
    <row r="102" spans="1:36" x14ac:dyDescent="0.25">
      <c r="A102" s="121">
        <f t="shared" si="3"/>
        <v>1000000000000000</v>
      </c>
      <c r="B102" s="122" t="str">
        <f t="shared" si="5"/>
        <v>nv</v>
      </c>
      <c r="C102" s="122" t="str">
        <f t="shared" si="5"/>
        <v>nv</v>
      </c>
      <c r="D102" s="122" t="str">
        <f t="shared" si="5"/>
        <v>nv</v>
      </c>
      <c r="E102" s="122" t="str">
        <f t="shared" si="5"/>
        <v>nv</v>
      </c>
      <c r="F102" s="122" t="str">
        <f t="shared" si="5"/>
        <v>nv</v>
      </c>
      <c r="G102" s="122" t="str">
        <f t="shared" si="5"/>
        <v>nv</v>
      </c>
      <c r="H102" s="122" t="str">
        <f t="shared" si="5"/>
        <v>nv</v>
      </c>
      <c r="I102" s="122"/>
      <c r="J102" s="122">
        <f t="shared" si="2"/>
        <v>750.94236102963646</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8309.7199443087939</v>
      </c>
      <c r="G109" s="26">
        <f t="shared" ref="G109:AJ109" si="7">INDEX($J$72:$J$102,COLUMN(B72),1)</f>
        <v>8309.7199443087939</v>
      </c>
      <c r="H109" s="26">
        <f t="shared" si="7"/>
        <v>8309.7199443087939</v>
      </c>
      <c r="I109" s="26">
        <f t="shared" si="7"/>
        <v>8309.7199443087939</v>
      </c>
      <c r="J109" s="26">
        <f t="shared" si="7"/>
        <v>8309.7199443087939</v>
      </c>
      <c r="K109" s="26">
        <f t="shared" si="7"/>
        <v>8309.7199443087939</v>
      </c>
      <c r="L109" s="26">
        <f t="shared" si="7"/>
        <v>8309.7199443087939</v>
      </c>
      <c r="M109" s="26">
        <f t="shared" si="7"/>
        <v>7996.3307990949206</v>
      </c>
      <c r="N109" s="26">
        <f t="shared" si="7"/>
        <v>7617.6486299026192</v>
      </c>
      <c r="O109" s="26">
        <f t="shared" si="7"/>
        <v>7236.5169589567377</v>
      </c>
      <c r="P109" s="26">
        <f t="shared" si="7"/>
        <v>6914.0379157479592</v>
      </c>
      <c r="Q109" s="26">
        <f t="shared" si="7"/>
        <v>6620.6719324342921</v>
      </c>
      <c r="R109" s="26">
        <f t="shared" si="7"/>
        <v>6335.3593263484045</v>
      </c>
      <c r="S109" s="26">
        <f t="shared" si="7"/>
        <v>6025.5063048494712</v>
      </c>
      <c r="T109" s="26">
        <f t="shared" si="7"/>
        <v>5734.8933663234775</v>
      </c>
      <c r="U109" s="26">
        <f t="shared" si="7"/>
        <v>5337.5579372305656</v>
      </c>
      <c r="V109" s="26">
        <f t="shared" si="7"/>
        <v>4875.4222371174665</v>
      </c>
      <c r="W109" s="26">
        <f t="shared" si="7"/>
        <v>4345.7450952677582</v>
      </c>
      <c r="X109" s="26">
        <f t="shared" si="7"/>
        <v>3806.2951734519488</v>
      </c>
      <c r="Y109" s="26">
        <f t="shared" si="7"/>
        <v>3231.8355297183175</v>
      </c>
      <c r="Z109" s="26">
        <f t="shared" si="7"/>
        <v>2558.1328867562443</v>
      </c>
      <c r="AA109" s="26">
        <f t="shared" si="7"/>
        <v>1899.8852687746582</v>
      </c>
      <c r="AB109" s="26">
        <f t="shared" si="7"/>
        <v>1348.5532541030429</v>
      </c>
      <c r="AC109" s="26">
        <f t="shared" si="7"/>
        <v>969.21207678892347</v>
      </c>
      <c r="AD109" s="26">
        <f t="shared" si="7"/>
        <v>750.94236102963646</v>
      </c>
      <c r="AE109" s="26">
        <f t="shared" si="7"/>
        <v>750.94236102963646</v>
      </c>
      <c r="AF109" s="26">
        <f t="shared" si="7"/>
        <v>750.94236102963646</v>
      </c>
      <c r="AG109" s="26">
        <f t="shared" si="7"/>
        <v>750.94236102963646</v>
      </c>
      <c r="AH109" s="26">
        <f t="shared" si="7"/>
        <v>750.94236102963646</v>
      </c>
      <c r="AI109" s="26">
        <f t="shared" si="7"/>
        <v>750.94236102963646</v>
      </c>
      <c r="AJ109" s="26">
        <f t="shared" si="7"/>
        <v>750.94236102963646</v>
      </c>
    </row>
    <row r="110" spans="1:36" x14ac:dyDescent="0.25">
      <c r="A110" s="14" t="s">
        <v>20</v>
      </c>
      <c r="B110" s="105">
        <v>4.04435895126238E-2</v>
      </c>
      <c r="C110" s="18">
        <f>ABS(B110/$B$142)</f>
        <v>6.9735847300235465E-2</v>
      </c>
      <c r="D110" s="111"/>
      <c r="E110" s="77" t="s">
        <v>22</v>
      </c>
      <c r="F110" s="27">
        <f>($C$110+SUM(F111:F141))*$B$144</f>
        <v>8316.771738969841</v>
      </c>
      <c r="G110" s="27">
        <f t="shared" ref="G110:AJ110" si="8">($C$110+SUM(G111:G141))*$B$144</f>
        <v>8316.7712425232585</v>
      </c>
      <c r="H110" s="27">
        <f t="shared" si="8"/>
        <v>8316.7662780908558</v>
      </c>
      <c r="I110" s="27">
        <f t="shared" si="8"/>
        <v>8316.7166371083604</v>
      </c>
      <c r="J110" s="27">
        <f t="shared" si="8"/>
        <v>8316.2205612671205</v>
      </c>
      <c r="K110" s="27">
        <f t="shared" si="8"/>
        <v>8311.2930334418688</v>
      </c>
      <c r="L110" s="27">
        <f t="shared" si="8"/>
        <v>8265.1792540876941</v>
      </c>
      <c r="M110" s="27">
        <f t="shared" si="8"/>
        <v>8005.7356049914242</v>
      </c>
      <c r="N110" s="27">
        <f t="shared" si="8"/>
        <v>7615.7430856327182</v>
      </c>
      <c r="O110" s="27">
        <f t="shared" si="8"/>
        <v>7238.8087185128688</v>
      </c>
      <c r="P110" s="27">
        <f t="shared" si="8"/>
        <v>6910.2178335724193</v>
      </c>
      <c r="Q110" s="27">
        <f t="shared" si="8"/>
        <v>6626.1922257911128</v>
      </c>
      <c r="R110" s="27">
        <f t="shared" si="8"/>
        <v>6328.5718196961416</v>
      </c>
      <c r="S110" s="27">
        <f t="shared" si="8"/>
        <v>6032.6333191228759</v>
      </c>
      <c r="T110" s="27">
        <f t="shared" si="8"/>
        <v>5728.4821362259081</v>
      </c>
      <c r="U110" s="27">
        <f t="shared" si="8"/>
        <v>5342.5141383570453</v>
      </c>
      <c r="V110" s="27">
        <f t="shared" si="8"/>
        <v>4872.1207918839273</v>
      </c>
      <c r="W110" s="27">
        <f t="shared" si="8"/>
        <v>4347.6433912567154</v>
      </c>
      <c r="X110" s="27">
        <f t="shared" si="8"/>
        <v>3805.350336602427</v>
      </c>
      <c r="Y110" s="27">
        <f t="shared" si="8"/>
        <v>3232.2429328924513</v>
      </c>
      <c r="Z110" s="27">
        <f t="shared" si="8"/>
        <v>2557.9809322701331</v>
      </c>
      <c r="AA110" s="27">
        <f t="shared" si="8"/>
        <v>1899.9354056407537</v>
      </c>
      <c r="AB110" s="27">
        <f t="shared" si="8"/>
        <v>1348.5315561670509</v>
      </c>
      <c r="AC110" s="27">
        <f t="shared" si="8"/>
        <v>969.23551335732293</v>
      </c>
      <c r="AD110" s="27">
        <f t="shared" si="8"/>
        <v>750.96353378116055</v>
      </c>
      <c r="AE110" s="27">
        <f t="shared" si="8"/>
        <v>750.9365942189728</v>
      </c>
      <c r="AF110" s="27">
        <f t="shared" si="8"/>
        <v>750.9365942189728</v>
      </c>
      <c r="AG110" s="27">
        <f t="shared" si="8"/>
        <v>750.9365942189728</v>
      </c>
      <c r="AH110" s="27">
        <f t="shared" si="8"/>
        <v>750.9365942189728</v>
      </c>
      <c r="AI110" s="27">
        <f t="shared" si="8"/>
        <v>750.9365942189728</v>
      </c>
      <c r="AJ110" s="27">
        <f t="shared" si="8"/>
        <v>750.9365942189728</v>
      </c>
    </row>
    <row r="111" spans="1:36" x14ac:dyDescent="0.25">
      <c r="A111" s="3">
        <f>0.000000000000001/10^5</f>
        <v>1.0000000000000001E-20</v>
      </c>
      <c r="B111" s="105">
        <v>0.1320333056661219</v>
      </c>
      <c r="C111" s="18">
        <f t="shared" ref="C111:C141" si="9">ABS(B111/$B$142)</f>
        <v>0.22766165301930075</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5">
        <v>0</v>
      </c>
      <c r="C112" s="18">
        <f t="shared" si="9"/>
        <v>0</v>
      </c>
      <c r="D112" s="17"/>
      <c r="E112" s="11"/>
      <c r="F112" s="3">
        <f t="shared" ref="F112:U141" si="11">$C112*EXP(-F$108/$A112)</f>
        <v>0</v>
      </c>
      <c r="G112" s="3">
        <f t="shared" si="11"/>
        <v>0</v>
      </c>
      <c r="H112" s="3">
        <f t="shared" si="11"/>
        <v>0</v>
      </c>
      <c r="I112" s="3">
        <f t="shared" si="11"/>
        <v>0</v>
      </c>
      <c r="J112" s="3">
        <f t="shared" si="11"/>
        <v>0</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5">
        <v>0</v>
      </c>
      <c r="C113" s="18">
        <f t="shared" si="9"/>
        <v>0</v>
      </c>
      <c r="D113" s="17"/>
      <c r="E113" s="11"/>
      <c r="F113" s="3">
        <f t="shared" si="11"/>
        <v>0</v>
      </c>
      <c r="G113" s="3">
        <f t="shared" si="10"/>
        <v>0</v>
      </c>
      <c r="H113" s="3">
        <f t="shared" si="10"/>
        <v>0</v>
      </c>
      <c r="I113" s="3">
        <f t="shared" si="10"/>
        <v>0</v>
      </c>
      <c r="J113" s="3">
        <f t="shared" si="10"/>
        <v>0</v>
      </c>
      <c r="K113" s="3">
        <f t="shared" si="10"/>
        <v>0</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5">
        <v>0</v>
      </c>
      <c r="C114" s="18">
        <f t="shared" si="9"/>
        <v>0</v>
      </c>
      <c r="D114" s="17"/>
      <c r="E114" s="11"/>
      <c r="F114" s="3">
        <f t="shared" si="11"/>
        <v>0</v>
      </c>
      <c r="G114" s="3">
        <f t="shared" si="10"/>
        <v>0</v>
      </c>
      <c r="H114" s="3">
        <f t="shared" si="10"/>
        <v>0</v>
      </c>
      <c r="I114" s="3">
        <f t="shared" si="10"/>
        <v>0</v>
      </c>
      <c r="J114" s="3">
        <f t="shared" si="10"/>
        <v>0</v>
      </c>
      <c r="K114" s="3">
        <f t="shared" si="10"/>
        <v>0</v>
      </c>
      <c r="L114" s="3">
        <f t="shared" si="10"/>
        <v>0</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5">
        <v>0</v>
      </c>
      <c r="C115" s="18">
        <f t="shared" si="9"/>
        <v>0</v>
      </c>
      <c r="D115" s="17"/>
      <c r="E115" s="11"/>
      <c r="F115" s="3">
        <f t="shared" si="11"/>
        <v>0</v>
      </c>
      <c r="G115" s="3">
        <f t="shared" si="10"/>
        <v>0</v>
      </c>
      <c r="H115" s="3">
        <f t="shared" si="10"/>
        <v>0</v>
      </c>
      <c r="I115" s="3">
        <f t="shared" si="10"/>
        <v>0</v>
      </c>
      <c r="J115" s="3">
        <f t="shared" si="10"/>
        <v>0</v>
      </c>
      <c r="K115" s="3">
        <f t="shared" si="10"/>
        <v>0</v>
      </c>
      <c r="L115" s="3">
        <f t="shared" si="10"/>
        <v>0</v>
      </c>
      <c r="M115" s="3">
        <f t="shared" si="10"/>
        <v>0</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5">
        <v>0</v>
      </c>
      <c r="C116" s="18">
        <f t="shared" si="9"/>
        <v>0</v>
      </c>
      <c r="D116" s="17"/>
      <c r="E116" s="11"/>
      <c r="F116" s="3">
        <f t="shared" si="11"/>
        <v>0</v>
      </c>
      <c r="G116" s="3">
        <f t="shared" si="10"/>
        <v>0</v>
      </c>
      <c r="H116" s="3">
        <f t="shared" si="10"/>
        <v>0</v>
      </c>
      <c r="I116" s="3">
        <f t="shared" si="10"/>
        <v>0</v>
      </c>
      <c r="J116" s="3">
        <f t="shared" si="10"/>
        <v>0</v>
      </c>
      <c r="K116" s="3">
        <f t="shared" si="10"/>
        <v>0</v>
      </c>
      <c r="L116" s="3">
        <f t="shared" si="10"/>
        <v>0</v>
      </c>
      <c r="M116" s="3">
        <f t="shared" si="10"/>
        <v>0</v>
      </c>
      <c r="N116" s="3">
        <f t="shared" si="10"/>
        <v>0</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5">
        <v>1.7056722347737349E-2</v>
      </c>
      <c r="C117" s="18">
        <f t="shared" si="9"/>
        <v>2.9410470223298395E-2</v>
      </c>
      <c r="D117" s="17"/>
      <c r="E117" s="11"/>
      <c r="F117" s="3">
        <f t="shared" si="11"/>
        <v>2.9410465723046741E-2</v>
      </c>
      <c r="G117" s="3">
        <f t="shared" si="10"/>
        <v>2.9410425220812844E-2</v>
      </c>
      <c r="H117" s="3">
        <f t="shared" si="10"/>
        <v>2.9410020201541581E-2</v>
      </c>
      <c r="I117" s="3">
        <f t="shared" si="10"/>
        <v>2.940597031558621E-2</v>
      </c>
      <c r="J117" s="3">
        <f t="shared" si="10"/>
        <v>2.936550211613155E-2</v>
      </c>
      <c r="K117" s="3">
        <f t="shared" si="10"/>
        <v>2.8963870566297324E-2</v>
      </c>
      <c r="L117" s="3">
        <f t="shared" si="10"/>
        <v>2.5237612429155249E-2</v>
      </c>
      <c r="M117" s="3">
        <f t="shared" si="10"/>
        <v>6.3674413426356782E-3</v>
      </c>
      <c r="N117" s="3">
        <f t="shared" si="10"/>
        <v>6.6547510781968019E-9</v>
      </c>
      <c r="O117" s="3">
        <f t="shared" si="10"/>
        <v>1.0346666217795217E-68</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5">
        <v>2.4110593680291562E-2</v>
      </c>
      <c r="C118" s="18">
        <f t="shared" si="9"/>
        <v>4.157328020258988E-2</v>
      </c>
      <c r="D118" s="17"/>
      <c r="E118" s="11"/>
      <c r="F118" s="3">
        <f t="shared" si="11"/>
        <v>4.1573279628743368E-2</v>
      </c>
      <c r="G118" s="3">
        <f t="shared" si="10"/>
        <v>4.1573274464125128E-2</v>
      </c>
      <c r="H118" s="3">
        <f t="shared" si="10"/>
        <v>4.157322281797797E-2</v>
      </c>
      <c r="I118" s="3">
        <f t="shared" si="10"/>
        <v>4.1572706360035197E-2</v>
      </c>
      <c r="J118" s="3">
        <f t="shared" si="10"/>
        <v>4.1567542133467743E-2</v>
      </c>
      <c r="K118" s="3">
        <f t="shared" si="10"/>
        <v>4.1515935137604064E-2</v>
      </c>
      <c r="L118" s="3">
        <f t="shared" si="10"/>
        <v>4.1003376002075008E-2</v>
      </c>
      <c r="M118" s="3">
        <f t="shared" si="10"/>
        <v>3.6213251868707295E-2</v>
      </c>
      <c r="N118" s="3">
        <f t="shared" si="10"/>
        <v>1.0455543674574274E-2</v>
      </c>
      <c r="O118" s="3">
        <f t="shared" si="10"/>
        <v>4.2085992452014733E-8</v>
      </c>
      <c r="P118" s="3">
        <f t="shared" si="10"/>
        <v>4.6994506973557575E-62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5">
        <v>2.0783254566986663E-2</v>
      </c>
      <c r="C119" s="18">
        <f t="shared" si="9"/>
        <v>3.5836034445778271E-2</v>
      </c>
      <c r="D119" s="17"/>
      <c r="E119" s="11"/>
      <c r="F119" s="3">
        <f t="shared" si="11"/>
        <v>3.5836034401156375E-2</v>
      </c>
      <c r="G119" s="3">
        <f t="shared" si="10"/>
        <v>3.5836033999559341E-2</v>
      </c>
      <c r="H119" s="3">
        <f t="shared" si="10"/>
        <v>3.5836029983589229E-2</v>
      </c>
      <c r="I119" s="3">
        <f t="shared" si="10"/>
        <v>3.5835989823912846E-2</v>
      </c>
      <c r="J119" s="3">
        <f t="shared" si="10"/>
        <v>3.5835588229624307E-2</v>
      </c>
      <c r="K119" s="3">
        <f t="shared" si="10"/>
        <v>3.5831572534255132E-2</v>
      </c>
      <c r="L119" s="3">
        <f t="shared" si="10"/>
        <v>3.5791440321929789E-2</v>
      </c>
      <c r="M119" s="3">
        <f t="shared" si="10"/>
        <v>3.5392582107204966E-2</v>
      </c>
      <c r="N119" s="3">
        <f t="shared" si="10"/>
        <v>3.164047351233313E-2</v>
      </c>
      <c r="O119" s="3">
        <f t="shared" si="10"/>
        <v>1.0316924072579694E-2</v>
      </c>
      <c r="P119" s="3">
        <f t="shared" si="10"/>
        <v>1.4015959546301168E-7</v>
      </c>
      <c r="Q119" s="3">
        <f t="shared" si="10"/>
        <v>3.0015725507030454E-56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5">
        <v>1.8118343564317067E-2</v>
      </c>
      <c r="C120" s="18">
        <f t="shared" si="9"/>
        <v>3.1240996542605075E-2</v>
      </c>
      <c r="D120" s="17"/>
      <c r="E120" s="11"/>
      <c r="F120" s="3">
        <f t="shared" si="11"/>
        <v>3.1240996539095945E-2</v>
      </c>
      <c r="G120" s="3">
        <f t="shared" ref="G120:AJ128" si="12">$C120*EXP(-G$108/$A120)</f>
        <v>3.1240996507513771E-2</v>
      </c>
      <c r="H120" s="3">
        <f t="shared" si="12"/>
        <v>3.124099619169203E-2</v>
      </c>
      <c r="I120" s="3">
        <f t="shared" si="12"/>
        <v>3.1240993033474794E-2</v>
      </c>
      <c r="J120" s="3">
        <f t="shared" si="12"/>
        <v>3.1240961451319989E-2</v>
      </c>
      <c r="K120" s="3">
        <f t="shared" si="12"/>
        <v>3.1240645631527938E-2</v>
      </c>
      <c r="L120" s="3">
        <f t="shared" si="12"/>
        <v>3.123748760919905E-2</v>
      </c>
      <c r="M120" s="3">
        <f t="shared" si="12"/>
        <v>3.1205924938507237E-2</v>
      </c>
      <c r="N120" s="3">
        <f t="shared" si="12"/>
        <v>3.0892046943627394E-2</v>
      </c>
      <c r="O120" s="3">
        <f t="shared" si="12"/>
        <v>2.7921770432778957E-2</v>
      </c>
      <c r="P120" s="3">
        <f t="shared" si="12"/>
        <v>1.0160278484780112E-2</v>
      </c>
      <c r="Q120" s="3">
        <f t="shared" si="12"/>
        <v>4.1355398352339981E-7</v>
      </c>
      <c r="R120" s="3">
        <f t="shared" si="12"/>
        <v>5.161764372766388E-51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5">
        <v>1.4453914695752933E-2</v>
      </c>
      <c r="C121" s="18">
        <f t="shared" si="9"/>
        <v>2.4922515539799923E-2</v>
      </c>
      <c r="D121" s="17"/>
      <c r="E121" s="11"/>
      <c r="F121" s="3">
        <f t="shared" si="11"/>
        <v>2.4922515539547392E-2</v>
      </c>
      <c r="G121" s="3">
        <f t="shared" si="12"/>
        <v>2.4922515537274623E-2</v>
      </c>
      <c r="H121" s="3">
        <f t="shared" si="12"/>
        <v>2.4922515514546915E-2</v>
      </c>
      <c r="I121" s="3">
        <f t="shared" si="12"/>
        <v>2.4922515287269853E-2</v>
      </c>
      <c r="J121" s="3">
        <f t="shared" si="12"/>
        <v>2.4922513014499319E-2</v>
      </c>
      <c r="K121" s="3">
        <f t="shared" si="12"/>
        <v>2.4922490286805411E-2</v>
      </c>
      <c r="L121" s="3">
        <f t="shared" si="12"/>
        <v>2.4922263011006234E-2</v>
      </c>
      <c r="M121" s="3">
        <f t="shared" si="12"/>
        <v>2.4919990367004239E-2</v>
      </c>
      <c r="N121" s="3">
        <f t="shared" si="12"/>
        <v>2.4897275322112916E-2</v>
      </c>
      <c r="O121" s="3">
        <f t="shared" si="12"/>
        <v>2.4671260550529872E-2</v>
      </c>
      <c r="P121" s="3">
        <f t="shared" si="12"/>
        <v>2.2520940299026852E-2</v>
      </c>
      <c r="Q121" s="3">
        <f t="shared" si="12"/>
        <v>9.0477025406850136E-3</v>
      </c>
      <c r="R121" s="3">
        <f t="shared" si="12"/>
        <v>9.9096030969274276E-7</v>
      </c>
      <c r="S121" s="3">
        <f t="shared" si="12"/>
        <v>2.4617033912382528E-46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5">
        <v>1.8766432231590937E-2</v>
      </c>
      <c r="C122" s="18">
        <f t="shared" si="9"/>
        <v>3.2358479260698549E-2</v>
      </c>
      <c r="D122" s="17"/>
      <c r="E122" s="11"/>
      <c r="F122" s="3">
        <f t="shared" si="11"/>
        <v>3.2358479260668968E-2</v>
      </c>
      <c r="G122" s="3">
        <f t="shared" si="12"/>
        <v>3.2358479260402778E-2</v>
      </c>
      <c r="H122" s="3">
        <f t="shared" si="12"/>
        <v>3.2358479257740838E-2</v>
      </c>
      <c r="I122" s="3">
        <f t="shared" si="12"/>
        <v>3.2358479231121423E-2</v>
      </c>
      <c r="J122" s="3">
        <f t="shared" si="12"/>
        <v>3.2358478964927322E-2</v>
      </c>
      <c r="K122" s="3">
        <f t="shared" si="12"/>
        <v>3.2358476302986418E-2</v>
      </c>
      <c r="L122" s="3">
        <f t="shared" si="12"/>
        <v>3.235844968358937E-2</v>
      </c>
      <c r="M122" s="3">
        <f t="shared" si="12"/>
        <v>3.2358183490823339E-2</v>
      </c>
      <c r="N122" s="3">
        <f t="shared" si="12"/>
        <v>3.2355521683599141E-2</v>
      </c>
      <c r="O122" s="3">
        <f t="shared" si="12"/>
        <v>3.2328915651304392E-2</v>
      </c>
      <c r="P122" s="3">
        <f t="shared" si="12"/>
        <v>3.2064055666444526E-2</v>
      </c>
      <c r="Q122" s="3">
        <f t="shared" si="12"/>
        <v>2.9531915078599338E-2</v>
      </c>
      <c r="R122" s="3">
        <f t="shared" si="12"/>
        <v>1.297248513242092E-2</v>
      </c>
      <c r="S122" s="3">
        <f t="shared" si="12"/>
        <v>3.4700752191056174E-6</v>
      </c>
      <c r="T122" s="3">
        <f t="shared" si="12"/>
        <v>6.508725581925068E-42</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5">
        <v>1.4645010422701698E-2</v>
      </c>
      <c r="C123" s="18">
        <f t="shared" si="9"/>
        <v>2.5252017015678245E-2</v>
      </c>
      <c r="D123" s="17"/>
      <c r="E123" s="11"/>
      <c r="F123" s="3">
        <f t="shared" si="11"/>
        <v>2.5252017015676163E-2</v>
      </c>
      <c r="G123" s="3">
        <f t="shared" si="12"/>
        <v>2.5252017015657425E-2</v>
      </c>
      <c r="H123" s="3">
        <f t="shared" si="12"/>
        <v>2.5252017015470033E-2</v>
      </c>
      <c r="I123" s="3">
        <f t="shared" si="12"/>
        <v>2.5252017013596102E-2</v>
      </c>
      <c r="J123" s="3">
        <f t="shared" si="12"/>
        <v>2.5252016994856817E-2</v>
      </c>
      <c r="K123" s="3">
        <f t="shared" si="12"/>
        <v>2.525201680746398E-2</v>
      </c>
      <c r="L123" s="3">
        <f t="shared" si="12"/>
        <v>2.5252014933535662E-2</v>
      </c>
      <c r="M123" s="3">
        <f t="shared" si="12"/>
        <v>2.5251996194260141E-2</v>
      </c>
      <c r="N123" s="3">
        <f t="shared" si="12"/>
        <v>2.5251808802269786E-2</v>
      </c>
      <c r="O123" s="3">
        <f t="shared" si="12"/>
        <v>2.5249934958848259E-2</v>
      </c>
      <c r="P123" s="3">
        <f t="shared" si="12"/>
        <v>2.5231204170735481E-2</v>
      </c>
      <c r="Q123" s="3">
        <f t="shared" si="12"/>
        <v>2.5044658804600845E-2</v>
      </c>
      <c r="R123" s="3">
        <f t="shared" si="12"/>
        <v>2.3253403889508965E-2</v>
      </c>
      <c r="S123" s="3">
        <f t="shared" si="12"/>
        <v>1.1071352791168569E-2</v>
      </c>
      <c r="T123" s="3">
        <f t="shared" si="12"/>
        <v>6.6273855895274156E-6</v>
      </c>
      <c r="U123" s="3">
        <f t="shared" si="12"/>
        <v>3.9152340726245361E-38</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5">
        <v>1.8475670974745562E-2</v>
      </c>
      <c r="C124" s="18">
        <f t="shared" si="9"/>
        <v>3.185712705995325E-2</v>
      </c>
      <c r="D124" s="17"/>
      <c r="E124" s="11"/>
      <c r="F124" s="3">
        <f t="shared" si="11"/>
        <v>3.1857127059953014E-2</v>
      </c>
      <c r="G124" s="3">
        <f t="shared" si="12"/>
        <v>3.1857127059950877E-2</v>
      </c>
      <c r="H124" s="3">
        <f t="shared" si="12"/>
        <v>3.1857127059929553E-2</v>
      </c>
      <c r="I124" s="3">
        <f t="shared" si="12"/>
        <v>3.1857127059716293E-2</v>
      </c>
      <c r="J124" s="3">
        <f t="shared" si="12"/>
        <v>3.1857127057583687E-2</v>
      </c>
      <c r="K124" s="3">
        <f t="shared" si="12"/>
        <v>3.1857127036257656E-2</v>
      </c>
      <c r="L124" s="3">
        <f t="shared" si="12"/>
        <v>3.1857126822997302E-2</v>
      </c>
      <c r="M124" s="3">
        <f t="shared" si="12"/>
        <v>3.1857124690393888E-2</v>
      </c>
      <c r="N124" s="3">
        <f t="shared" si="12"/>
        <v>3.1857103364367555E-2</v>
      </c>
      <c r="O124" s="3">
        <f t="shared" si="12"/>
        <v>3.1856890104889388E-2</v>
      </c>
      <c r="P124" s="3">
        <f t="shared" si="12"/>
        <v>3.1854757588624869E-2</v>
      </c>
      <c r="Q124" s="3">
        <f t="shared" si="12"/>
        <v>3.183344027574736E-2</v>
      </c>
      <c r="R124" s="3">
        <f t="shared" si="12"/>
        <v>3.1621050182922696E-2</v>
      </c>
      <c r="S124" s="3">
        <f t="shared" si="12"/>
        <v>2.9573547602565833E-2</v>
      </c>
      <c r="T124" s="3">
        <f t="shared" si="12"/>
        <v>1.5141705014986432E-2</v>
      </c>
      <c r="U124" s="3">
        <f t="shared" si="12"/>
        <v>1.8745125076385509E-5</v>
      </c>
      <c r="V124" s="3">
        <f t="shared" si="12"/>
        <v>1.5849806215295861E-34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5">
        <v>2.4407441779713053E-2</v>
      </c>
      <c r="C125" s="18">
        <f t="shared" si="9"/>
        <v>4.2085127790355566E-2</v>
      </c>
      <c r="D125" s="17"/>
      <c r="E125" s="11"/>
      <c r="F125" s="3">
        <f t="shared" si="11"/>
        <v>4.2085127790355538E-2</v>
      </c>
      <c r="G125" s="3">
        <f t="shared" si="12"/>
        <v>4.2085127790355288E-2</v>
      </c>
      <c r="H125" s="3">
        <f t="shared" si="12"/>
        <v>4.2085127790352742E-2</v>
      </c>
      <c r="I125" s="3">
        <f t="shared" si="12"/>
        <v>4.2085127790327324E-2</v>
      </c>
      <c r="J125" s="3">
        <f t="shared" si="12"/>
        <v>4.2085127790073187E-2</v>
      </c>
      <c r="K125" s="3">
        <f t="shared" si="12"/>
        <v>4.2085127787531755E-2</v>
      </c>
      <c r="L125" s="3">
        <f t="shared" si="12"/>
        <v>4.2085127762117418E-2</v>
      </c>
      <c r="M125" s="3">
        <f t="shared" si="12"/>
        <v>4.2085127507974066E-2</v>
      </c>
      <c r="N125" s="3">
        <f t="shared" si="12"/>
        <v>4.2085124966540648E-2</v>
      </c>
      <c r="O125" s="3">
        <f t="shared" si="12"/>
        <v>4.2085099552214907E-2</v>
      </c>
      <c r="P125" s="3">
        <f t="shared" si="12"/>
        <v>4.2084845409801591E-2</v>
      </c>
      <c r="Q125" s="3">
        <f t="shared" si="12"/>
        <v>4.2082304070075897E-2</v>
      </c>
      <c r="R125" s="3">
        <f t="shared" si="12"/>
        <v>4.2056899111677919E-2</v>
      </c>
      <c r="S125" s="3">
        <f t="shared" si="12"/>
        <v>4.1803691531100286E-2</v>
      </c>
      <c r="T125" s="3">
        <f t="shared" si="12"/>
        <v>3.9353964735436855E-2</v>
      </c>
      <c r="U125" s="3">
        <f t="shared" si="12"/>
        <v>2.1514292511784674E-2</v>
      </c>
      <c r="V125" s="3">
        <f t="shared" si="12"/>
        <v>5.1299465311461343E-5</v>
      </c>
      <c r="W125" s="3">
        <f t="shared" si="12"/>
        <v>3.0476881974893365E-31</v>
      </c>
      <c r="X125" s="3">
        <f t="shared" si="12"/>
        <v>1.6693503010919767E-293</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5">
        <v>2.8488468340092325E-2</v>
      </c>
      <c r="C126" s="18">
        <f t="shared" si="9"/>
        <v>4.9121937541230495E-2</v>
      </c>
      <c r="D126" s="17"/>
      <c r="E126" s="11"/>
      <c r="F126" s="3">
        <f t="shared" si="11"/>
        <v>4.9121937541230488E-2</v>
      </c>
      <c r="G126" s="3">
        <f t="shared" si="12"/>
        <v>4.9121937541230468E-2</v>
      </c>
      <c r="H126" s="3">
        <f t="shared" si="12"/>
        <v>4.9121937541230197E-2</v>
      </c>
      <c r="I126" s="3">
        <f t="shared" si="12"/>
        <v>4.9121937541227526E-2</v>
      </c>
      <c r="J126" s="3">
        <f t="shared" si="12"/>
        <v>4.9121937541200762E-2</v>
      </c>
      <c r="K126" s="3">
        <f t="shared" si="12"/>
        <v>4.9121937540933171E-2</v>
      </c>
      <c r="L126" s="3">
        <f t="shared" si="12"/>
        <v>4.9121937538257256E-2</v>
      </c>
      <c r="M126" s="3">
        <f t="shared" si="12"/>
        <v>4.9121937511498112E-2</v>
      </c>
      <c r="N126" s="3">
        <f t="shared" si="12"/>
        <v>4.9121937243906698E-2</v>
      </c>
      <c r="O126" s="3">
        <f t="shared" si="12"/>
        <v>4.9121934567992603E-2</v>
      </c>
      <c r="P126" s="3">
        <f t="shared" si="12"/>
        <v>4.9121907808859673E-2</v>
      </c>
      <c r="Q126" s="3">
        <f t="shared" si="12"/>
        <v>4.9121640218332083E-2</v>
      </c>
      <c r="R126" s="3">
        <f t="shared" si="12"/>
        <v>4.9118964393228048E-2</v>
      </c>
      <c r="S126" s="3">
        <f t="shared" si="12"/>
        <v>4.9092214157755755E-2</v>
      </c>
      <c r="T126" s="3">
        <f t="shared" si="12"/>
        <v>4.8825511746595801E-2</v>
      </c>
      <c r="U126" s="3">
        <f t="shared" si="12"/>
        <v>4.6236892871543853E-2</v>
      </c>
      <c r="V126" s="3">
        <f t="shared" si="12"/>
        <v>2.6816804139453289E-2</v>
      </c>
      <c r="W126" s="3">
        <f t="shared" si="12"/>
        <v>1.1550234553543258E-4</v>
      </c>
      <c r="X126" s="3">
        <f t="shared" si="12"/>
        <v>2.5376319834053213E-28</v>
      </c>
      <c r="Y126" s="3">
        <f t="shared" si="12"/>
        <v>6.649775699235469E-265</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5">
        <v>3.0808754744564345E-2</v>
      </c>
      <c r="C127" s="18">
        <f t="shared" si="9"/>
        <v>5.3122748061388891E-2</v>
      </c>
      <c r="D127" s="17"/>
      <c r="E127" s="11"/>
      <c r="F127" s="3">
        <f t="shared" si="11"/>
        <v>5.3122748061388891E-2</v>
      </c>
      <c r="G127" s="3">
        <f t="shared" si="12"/>
        <v>5.3122748061388891E-2</v>
      </c>
      <c r="H127" s="3">
        <f t="shared" si="12"/>
        <v>5.3122748061388864E-2</v>
      </c>
      <c r="I127" s="3">
        <f t="shared" si="12"/>
        <v>5.31227480613886E-2</v>
      </c>
      <c r="J127" s="3">
        <f t="shared" si="12"/>
        <v>5.3122748061385991E-2</v>
      </c>
      <c r="K127" s="3">
        <f t="shared" si="12"/>
        <v>5.3122748061359887E-2</v>
      </c>
      <c r="L127" s="3">
        <f t="shared" si="12"/>
        <v>5.3122748061098839E-2</v>
      </c>
      <c r="M127" s="3">
        <f t="shared" si="12"/>
        <v>5.3122748058488337E-2</v>
      </c>
      <c r="N127" s="3">
        <f t="shared" si="12"/>
        <v>5.312274803238333E-2</v>
      </c>
      <c r="O127" s="3">
        <f t="shared" si="12"/>
        <v>5.3122747771333252E-2</v>
      </c>
      <c r="P127" s="3">
        <f t="shared" si="12"/>
        <v>5.3122745160832617E-2</v>
      </c>
      <c r="Q127" s="3">
        <f t="shared" si="12"/>
        <v>5.3122719055833267E-2</v>
      </c>
      <c r="R127" s="3">
        <f t="shared" si="12"/>
        <v>5.3122458006545338E-2</v>
      </c>
      <c r="S127" s="3">
        <f t="shared" si="12"/>
        <v>5.3119847584219913E-2</v>
      </c>
      <c r="T127" s="3">
        <f t="shared" si="12"/>
        <v>5.3093750415072929E-2</v>
      </c>
      <c r="U127" s="3">
        <f t="shared" si="12"/>
        <v>5.2833482853420773E-2</v>
      </c>
      <c r="V127" s="3">
        <f t="shared" si="12"/>
        <v>5.0299956614132446E-2</v>
      </c>
      <c r="W127" s="3">
        <f t="shared" si="12"/>
        <v>3.0771686983101339E-2</v>
      </c>
      <c r="X127" s="3">
        <f t="shared" si="12"/>
        <v>2.2593747029383667E-4</v>
      </c>
      <c r="Y127" s="3">
        <f t="shared" si="12"/>
        <v>1.0288636415410591E-25</v>
      </c>
      <c r="Z127" s="3">
        <f t="shared" si="12"/>
        <v>3.9450580984573015E-239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5">
        <v>2.8754164073093579E-2</v>
      </c>
      <c r="C128" s="18">
        <f t="shared" si="9"/>
        <v>4.9580069900108187E-2</v>
      </c>
      <c r="D128" s="17"/>
      <c r="E128" s="11"/>
      <c r="F128" s="3">
        <f t="shared" si="11"/>
        <v>4.9580069900108187E-2</v>
      </c>
      <c r="G128" s="3">
        <f t="shared" si="12"/>
        <v>4.9580069900108187E-2</v>
      </c>
      <c r="H128" s="3">
        <f t="shared" si="12"/>
        <v>4.9580069900108187E-2</v>
      </c>
      <c r="I128" s="3">
        <f t="shared" si="12"/>
        <v>4.9580069900108166E-2</v>
      </c>
      <c r="J128" s="3">
        <f t="shared" si="12"/>
        <v>4.9580069900107944E-2</v>
      </c>
      <c r="K128" s="3">
        <f t="shared" si="12"/>
        <v>4.9580069900105744E-2</v>
      </c>
      <c r="L128" s="3">
        <f t="shared" si="12"/>
        <v>4.9580069900083769E-2</v>
      </c>
      <c r="M128" s="3">
        <f t="shared" si="12"/>
        <v>4.9580069899863979E-2</v>
      </c>
      <c r="N128" s="3">
        <f t="shared" si="12"/>
        <v>4.9580069897666133E-2</v>
      </c>
      <c r="O128" s="3">
        <f t="shared" si="12"/>
        <v>4.9580069875687686E-2</v>
      </c>
      <c r="P128" s="3">
        <f t="shared" si="12"/>
        <v>4.9580069655903211E-2</v>
      </c>
      <c r="Q128" s="3">
        <f t="shared" si="12"/>
        <v>4.9580067458058534E-2</v>
      </c>
      <c r="R128" s="3">
        <f t="shared" si="12"/>
        <v>4.9580045479617099E-2</v>
      </c>
      <c r="S128" s="3">
        <f t="shared" si="12"/>
        <v>4.9579825695738579E-2</v>
      </c>
      <c r="T128" s="3">
        <f t="shared" si="12"/>
        <v>4.95776279105382E-2</v>
      </c>
      <c r="U128" s="3">
        <f t="shared" si="12"/>
        <v>4.9555655416136116E-2</v>
      </c>
      <c r="V128" s="3">
        <f t="shared" ref="G128:AJ136" si="13">$C128*EXP(-V$108/$A128)</f>
        <v>4.9336465354590547E-2</v>
      </c>
      <c r="W128" s="3">
        <f t="shared" si="13"/>
        <v>4.7197185988358425E-2</v>
      </c>
      <c r="X128" s="3">
        <f t="shared" si="13"/>
        <v>3.0296805901815292E-2</v>
      </c>
      <c r="Y128" s="3">
        <f t="shared" si="13"/>
        <v>3.5991855246268219E-4</v>
      </c>
      <c r="Z128" s="3">
        <f t="shared" si="13"/>
        <v>2.0150142532408634E-23</v>
      </c>
      <c r="AA128" s="3">
        <f t="shared" si="13"/>
        <v>6.0956077466211339E-216</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5">
        <v>3.7738941476665927E-2</v>
      </c>
      <c r="C129" s="18">
        <f t="shared" si="9"/>
        <v>6.5072291846593841E-2</v>
      </c>
      <c r="D129" s="17"/>
      <c r="E129" s="11"/>
      <c r="F129" s="3">
        <f t="shared" si="11"/>
        <v>6.5072291846593841E-2</v>
      </c>
      <c r="G129" s="3">
        <f t="shared" si="13"/>
        <v>6.5072291846593841E-2</v>
      </c>
      <c r="H129" s="3">
        <f t="shared" si="13"/>
        <v>6.5072291846593841E-2</v>
      </c>
      <c r="I129" s="3">
        <f t="shared" si="13"/>
        <v>6.5072291846593841E-2</v>
      </c>
      <c r="J129" s="3">
        <f t="shared" si="13"/>
        <v>6.5072291846593813E-2</v>
      </c>
      <c r="K129" s="3">
        <f t="shared" si="13"/>
        <v>6.507229184659355E-2</v>
      </c>
      <c r="L129" s="3">
        <f t="shared" si="13"/>
        <v>6.5072291846590954E-2</v>
      </c>
      <c r="M129" s="3">
        <f t="shared" si="13"/>
        <v>6.5072291846564934E-2</v>
      </c>
      <c r="N129" s="3">
        <f t="shared" si="13"/>
        <v>6.5072291846304711E-2</v>
      </c>
      <c r="O129" s="3">
        <f t="shared" si="13"/>
        <v>6.5072291843702557E-2</v>
      </c>
      <c r="P129" s="3">
        <f t="shared" si="13"/>
        <v>6.5072291817681052E-2</v>
      </c>
      <c r="Q129" s="3">
        <f t="shared" si="13"/>
        <v>6.5072291557465897E-2</v>
      </c>
      <c r="R129" s="3">
        <f t="shared" si="13"/>
        <v>6.5072288955314528E-2</v>
      </c>
      <c r="S129" s="3">
        <f t="shared" si="13"/>
        <v>6.5072262933806441E-2</v>
      </c>
      <c r="T129" s="3">
        <f t="shared" si="13"/>
        <v>6.5072002719297958E-2</v>
      </c>
      <c r="U129" s="3">
        <f t="shared" si="13"/>
        <v>6.506940063144323E-2</v>
      </c>
      <c r="V129" s="3">
        <f t="shared" si="13"/>
        <v>6.5043385475060306E-2</v>
      </c>
      <c r="W129" s="3">
        <f t="shared" si="13"/>
        <v>6.4783805281933865E-2</v>
      </c>
      <c r="X129" s="3">
        <f t="shared" si="13"/>
        <v>6.2244303999199536E-2</v>
      </c>
      <c r="Y129" s="3">
        <f t="shared" si="13"/>
        <v>4.172835126192119E-2</v>
      </c>
      <c r="Z129" s="3">
        <f t="shared" si="13"/>
        <v>7.651513163441174E-4</v>
      </c>
      <c r="AA129" s="3">
        <f t="shared" si="13"/>
        <v>3.287822563799439E-21</v>
      </c>
      <c r="AB129" s="3">
        <f t="shared" si="13"/>
        <v>7.0553536970383638E-195</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5">
        <v>3.8408373227710006E-2</v>
      </c>
      <c r="C130" s="18">
        <f t="shared" si="9"/>
        <v>6.6226575898314016E-2</v>
      </c>
      <c r="D130" s="17"/>
      <c r="E130" s="11"/>
      <c r="F130" s="3">
        <f t="shared" si="11"/>
        <v>6.6226575898314016E-2</v>
      </c>
      <c r="G130" s="3">
        <f t="shared" si="13"/>
        <v>6.6226575898314016E-2</v>
      </c>
      <c r="H130" s="3">
        <f t="shared" si="13"/>
        <v>6.6226575898314016E-2</v>
      </c>
      <c r="I130" s="3">
        <f t="shared" si="13"/>
        <v>6.6226575898314016E-2</v>
      </c>
      <c r="J130" s="3">
        <f t="shared" si="13"/>
        <v>6.6226575898314016E-2</v>
      </c>
      <c r="K130" s="3">
        <f t="shared" si="13"/>
        <v>6.6226575898313988E-2</v>
      </c>
      <c r="L130" s="3">
        <f t="shared" si="13"/>
        <v>6.6226575898313753E-2</v>
      </c>
      <c r="M130" s="3">
        <f t="shared" si="13"/>
        <v>6.6226575898311366E-2</v>
      </c>
      <c r="N130" s="3">
        <f t="shared" si="13"/>
        <v>6.6226575898287468E-2</v>
      </c>
      <c r="O130" s="3">
        <f t="shared" si="13"/>
        <v>6.6226575898048576E-2</v>
      </c>
      <c r="P130" s="3">
        <f t="shared" si="13"/>
        <v>6.6226575895659584E-2</v>
      </c>
      <c r="Q130" s="3">
        <f t="shared" si="13"/>
        <v>6.6226575871769625E-2</v>
      </c>
      <c r="R130" s="3">
        <f t="shared" si="13"/>
        <v>6.6226575632870058E-2</v>
      </c>
      <c r="S130" s="3">
        <f t="shared" si="13"/>
        <v>6.6226573243874459E-2</v>
      </c>
      <c r="T130" s="3">
        <f t="shared" si="13"/>
        <v>6.6226549353923275E-2</v>
      </c>
      <c r="U130" s="3">
        <f t="shared" si="13"/>
        <v>6.622631045488539E-2</v>
      </c>
      <c r="V130" s="3">
        <f t="shared" si="13"/>
        <v>6.6223921511903955E-2</v>
      </c>
      <c r="W130" s="3">
        <f t="shared" si="13"/>
        <v>6.6200036821198627E-2</v>
      </c>
      <c r="X130" s="3">
        <f t="shared" si="13"/>
        <v>6.5961663193127379E-2</v>
      </c>
      <c r="Y130" s="3">
        <f t="shared" si="13"/>
        <v>6.3624629172368857E-2</v>
      </c>
      <c r="Z130" s="3">
        <f t="shared" si="13"/>
        <v>4.4356975804297614E-2</v>
      </c>
      <c r="AA130" s="3">
        <f t="shared" si="13"/>
        <v>1.2031743829891343E-3</v>
      </c>
      <c r="AB130" s="3">
        <f t="shared" si="13"/>
        <v>2.5941498222214526E-19</v>
      </c>
      <c r="AC130" s="3">
        <f t="shared" si="13"/>
        <v>5.6319635357975794E-176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5">
        <v>3.4113864861314507E-2</v>
      </c>
      <c r="C131" s="18">
        <f t="shared" si="9"/>
        <v>5.8821664927811212E-2</v>
      </c>
      <c r="D131" s="17"/>
      <c r="E131" s="11"/>
      <c r="F131" s="3">
        <f t="shared" si="11"/>
        <v>5.8821664927811212E-2</v>
      </c>
      <c r="G131" s="3">
        <f t="shared" si="13"/>
        <v>5.8821664927811212E-2</v>
      </c>
      <c r="H131" s="3">
        <f t="shared" si="13"/>
        <v>5.8821664927811212E-2</v>
      </c>
      <c r="I131" s="3">
        <f t="shared" si="13"/>
        <v>5.8821664927811212E-2</v>
      </c>
      <c r="J131" s="3">
        <f t="shared" si="13"/>
        <v>5.8821664927811212E-2</v>
      </c>
      <c r="K131" s="3">
        <f t="shared" si="13"/>
        <v>5.8821664927811212E-2</v>
      </c>
      <c r="L131" s="3">
        <f t="shared" si="13"/>
        <v>5.8821664927811192E-2</v>
      </c>
      <c r="M131" s="3">
        <f t="shared" si="13"/>
        <v>5.8821664927810997E-2</v>
      </c>
      <c r="N131" s="3">
        <f t="shared" si="13"/>
        <v>5.8821664927809082E-2</v>
      </c>
      <c r="O131" s="3">
        <f t="shared" si="13"/>
        <v>5.8821664927789945E-2</v>
      </c>
      <c r="P131" s="3">
        <f t="shared" si="13"/>
        <v>5.8821664927598535E-2</v>
      </c>
      <c r="Q131" s="3">
        <f t="shared" si="13"/>
        <v>5.8821664925684428E-2</v>
      </c>
      <c r="R131" s="3">
        <f t="shared" si="13"/>
        <v>5.8821664906543315E-2</v>
      </c>
      <c r="S131" s="3">
        <f t="shared" si="13"/>
        <v>5.8821664715132289E-2</v>
      </c>
      <c r="T131" s="3">
        <f t="shared" si="13"/>
        <v>5.8821662801022023E-2</v>
      </c>
      <c r="U131" s="3">
        <f t="shared" si="13"/>
        <v>5.8821643659922818E-2</v>
      </c>
      <c r="V131" s="3">
        <f t="shared" si="13"/>
        <v>5.8821452249273314E-2</v>
      </c>
      <c r="W131" s="3">
        <f t="shared" si="13"/>
        <v>5.8819538177035599E-2</v>
      </c>
      <c r="X131" s="3">
        <f t="shared" si="13"/>
        <v>5.8800400879978815E-2</v>
      </c>
      <c r="Y131" s="3">
        <f t="shared" si="13"/>
        <v>5.8609370029395327E-2</v>
      </c>
      <c r="Z131" s="3">
        <f t="shared" si="13"/>
        <v>5.6732865165739305E-2</v>
      </c>
      <c r="AA131" s="3">
        <f t="shared" si="13"/>
        <v>4.0974282339255291E-2</v>
      </c>
      <c r="AB131" s="3">
        <f t="shared" si="13"/>
        <v>1.5822596047962683E-3</v>
      </c>
      <c r="AC131" s="3">
        <f t="shared" si="13"/>
        <v>1.1666526997384844E-17</v>
      </c>
      <c r="AD131" s="3">
        <f t="shared" si="13"/>
        <v>5.5408971338457224E-159</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5">
        <v>6.3890780296534605E-3</v>
      </c>
      <c r="C132" s="18">
        <f t="shared" si="9"/>
        <v>1.1016523885105021E-2</v>
      </c>
      <c r="D132" s="17"/>
      <c r="E132" s="11"/>
      <c r="F132" s="3">
        <f t="shared" si="11"/>
        <v>1.1016523885105021E-2</v>
      </c>
      <c r="G132" s="3">
        <f t="shared" si="13"/>
        <v>1.1016523885105021E-2</v>
      </c>
      <c r="H132" s="3">
        <f t="shared" si="13"/>
        <v>1.1016523885105021E-2</v>
      </c>
      <c r="I132" s="3">
        <f t="shared" si="13"/>
        <v>1.1016523885105021E-2</v>
      </c>
      <c r="J132" s="3">
        <f t="shared" si="13"/>
        <v>1.1016523885105021E-2</v>
      </c>
      <c r="K132" s="3">
        <f t="shared" si="13"/>
        <v>1.1016523885105021E-2</v>
      </c>
      <c r="L132" s="3">
        <f t="shared" si="13"/>
        <v>1.1016523885105019E-2</v>
      </c>
      <c r="M132" s="3">
        <f t="shared" si="13"/>
        <v>1.101652388510501E-2</v>
      </c>
      <c r="N132" s="3">
        <f t="shared" si="13"/>
        <v>1.1016523885104912E-2</v>
      </c>
      <c r="O132" s="3">
        <f t="shared" si="13"/>
        <v>1.1016523885103919E-2</v>
      </c>
      <c r="P132" s="3">
        <f t="shared" si="13"/>
        <v>1.1016523885094005E-2</v>
      </c>
      <c r="Q132" s="3">
        <f t="shared" si="13"/>
        <v>1.1016523884994855E-2</v>
      </c>
      <c r="R132" s="3">
        <f t="shared" si="13"/>
        <v>1.1016523884003369E-2</v>
      </c>
      <c r="S132" s="3">
        <f t="shared" si="13"/>
        <v>1.1016523874088498E-2</v>
      </c>
      <c r="T132" s="3">
        <f t="shared" si="13"/>
        <v>1.1016523774939783E-2</v>
      </c>
      <c r="U132" s="3">
        <f t="shared" si="13"/>
        <v>1.1016522783452687E-2</v>
      </c>
      <c r="V132" s="3">
        <f t="shared" si="13"/>
        <v>1.1016512868586644E-2</v>
      </c>
      <c r="W132" s="3">
        <f t="shared" si="13"/>
        <v>1.1016413720416994E-2</v>
      </c>
      <c r="X132" s="3">
        <f t="shared" si="13"/>
        <v>1.1015422287797293E-2</v>
      </c>
      <c r="Y132" s="3">
        <f t="shared" si="13"/>
        <v>1.1005512867646229E-2</v>
      </c>
      <c r="Z132" s="3">
        <f t="shared" si="13"/>
        <v>1.0906907640941965E-2</v>
      </c>
      <c r="AA132" s="3">
        <f t="shared" si="13"/>
        <v>9.9681630279299053E-3</v>
      </c>
      <c r="AB132" s="3">
        <f t="shared" si="13"/>
        <v>4.0527526505042821E-3</v>
      </c>
      <c r="AC132" s="3">
        <f t="shared" si="13"/>
        <v>5.0014941061050468E-7</v>
      </c>
      <c r="AD132" s="3">
        <f t="shared" si="13"/>
        <v>4.0982305844238911E-46</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5">
        <v>3.1958160803119098E-2</v>
      </c>
      <c r="C133" s="18">
        <f t="shared" si="9"/>
        <v>5.5104639539154995E-2</v>
      </c>
      <c r="D133" s="17"/>
      <c r="E133" s="11"/>
      <c r="F133" s="3">
        <f t="shared" si="11"/>
        <v>5.5104639539154995E-2</v>
      </c>
      <c r="G133" s="3">
        <f t="shared" si="13"/>
        <v>5.5104639539154995E-2</v>
      </c>
      <c r="H133" s="3">
        <f t="shared" si="13"/>
        <v>5.5104639539154995E-2</v>
      </c>
      <c r="I133" s="3">
        <f t="shared" si="13"/>
        <v>5.5104639539154995E-2</v>
      </c>
      <c r="J133" s="3">
        <f t="shared" si="13"/>
        <v>5.5104639539154995E-2</v>
      </c>
      <c r="K133" s="3">
        <f t="shared" si="13"/>
        <v>5.5104639539154995E-2</v>
      </c>
      <c r="L133" s="3">
        <f t="shared" si="13"/>
        <v>5.5104639539154995E-2</v>
      </c>
      <c r="M133" s="3">
        <f t="shared" si="13"/>
        <v>5.5104639539154988E-2</v>
      </c>
      <c r="N133" s="3">
        <f t="shared" si="13"/>
        <v>5.510463953915494E-2</v>
      </c>
      <c r="O133" s="3">
        <f t="shared" si="13"/>
        <v>5.5104639539154447E-2</v>
      </c>
      <c r="P133" s="3">
        <f t="shared" si="13"/>
        <v>5.5104639539149486E-2</v>
      </c>
      <c r="Q133" s="3">
        <f t="shared" si="13"/>
        <v>5.5104639539099894E-2</v>
      </c>
      <c r="R133" s="3">
        <f t="shared" si="13"/>
        <v>5.510463953860395E-2</v>
      </c>
      <c r="S133" s="3">
        <f t="shared" si="13"/>
        <v>5.5104639533644528E-2</v>
      </c>
      <c r="T133" s="3">
        <f t="shared" si="13"/>
        <v>5.5104639484050359E-2</v>
      </c>
      <c r="U133" s="3">
        <f t="shared" si="13"/>
        <v>5.5104638988108606E-2</v>
      </c>
      <c r="V133" s="3">
        <f t="shared" si="13"/>
        <v>5.510463402869132E-2</v>
      </c>
      <c r="W133" s="3">
        <f t="shared" si="13"/>
        <v>5.5104584434543011E-2</v>
      </c>
      <c r="X133" s="3">
        <f t="shared" si="13"/>
        <v>5.5104088495514826E-2</v>
      </c>
      <c r="Y133" s="3">
        <f t="shared" si="13"/>
        <v>5.5099129350715093E-2</v>
      </c>
      <c r="Z133" s="3">
        <f t="shared" si="13"/>
        <v>5.5049562442753802E-2</v>
      </c>
      <c r="AA133" s="3">
        <f t="shared" si="13"/>
        <v>5.4556339214548236E-2</v>
      </c>
      <c r="AB133" s="3">
        <f t="shared" si="13"/>
        <v>4.9860739762411253E-2</v>
      </c>
      <c r="AC133" s="3">
        <f t="shared" si="13"/>
        <v>2.0271863999618105E-2</v>
      </c>
      <c r="AD133" s="3">
        <f t="shared" si="13"/>
        <v>2.5017467646646824E-6</v>
      </c>
      <c r="AE133" s="3">
        <f t="shared" si="13"/>
        <v>2.0499344571689837E-45</v>
      </c>
      <c r="AF133" s="3">
        <f t="shared" si="13"/>
        <v>0</v>
      </c>
      <c r="AG133" s="3">
        <f t="shared" si="13"/>
        <v>0</v>
      </c>
      <c r="AH133" s="3">
        <f t="shared" si="13"/>
        <v>0</v>
      </c>
      <c r="AI133" s="3">
        <f t="shared" si="13"/>
        <v>0</v>
      </c>
      <c r="AJ133" s="3">
        <f t="shared" si="13"/>
        <v>0</v>
      </c>
    </row>
    <row r="134" spans="1:36" x14ac:dyDescent="0.25">
      <c r="A134" s="3">
        <f t="shared" si="14"/>
        <v>1000000000</v>
      </c>
      <c r="B134" s="105">
        <v>0</v>
      </c>
      <c r="C134" s="18">
        <f t="shared" si="9"/>
        <v>0</v>
      </c>
      <c r="D134" s="17"/>
      <c r="E134" s="11"/>
      <c r="F134" s="3">
        <f t="shared" si="11"/>
        <v>0</v>
      </c>
      <c r="G134" s="3">
        <f t="shared" si="13"/>
        <v>0</v>
      </c>
      <c r="H134" s="3">
        <f t="shared" si="13"/>
        <v>0</v>
      </c>
      <c r="I134" s="3">
        <f t="shared" si="13"/>
        <v>0</v>
      </c>
      <c r="J134" s="3">
        <f t="shared" si="13"/>
        <v>0</v>
      </c>
      <c r="K134" s="3">
        <f t="shared" si="13"/>
        <v>0</v>
      </c>
      <c r="L134" s="3">
        <f t="shared" si="13"/>
        <v>0</v>
      </c>
      <c r="M134" s="3">
        <f t="shared" si="13"/>
        <v>0</v>
      </c>
      <c r="N134" s="3">
        <f t="shared" si="13"/>
        <v>0</v>
      </c>
      <c r="O134" s="3">
        <f t="shared" si="13"/>
        <v>0</v>
      </c>
      <c r="P134" s="3">
        <f t="shared" si="13"/>
        <v>0</v>
      </c>
      <c r="Q134" s="3">
        <f t="shared" si="13"/>
        <v>0</v>
      </c>
      <c r="R134" s="3">
        <f t="shared" si="13"/>
        <v>0</v>
      </c>
      <c r="S134" s="3">
        <f t="shared" si="13"/>
        <v>0</v>
      </c>
      <c r="T134" s="3">
        <f t="shared" si="13"/>
        <v>0</v>
      </c>
      <c r="U134" s="3">
        <f t="shared" si="13"/>
        <v>0</v>
      </c>
      <c r="V134" s="3">
        <f t="shared" si="13"/>
        <v>0</v>
      </c>
      <c r="W134" s="3">
        <f t="shared" si="13"/>
        <v>0</v>
      </c>
      <c r="X134" s="3">
        <f t="shared" si="13"/>
        <v>0</v>
      </c>
      <c r="Y134" s="3">
        <f t="shared" si="13"/>
        <v>0</v>
      </c>
      <c r="Z134" s="3">
        <f t="shared" si="13"/>
        <v>0</v>
      </c>
      <c r="AA134" s="3">
        <f t="shared" si="13"/>
        <v>0</v>
      </c>
      <c r="AB134" s="3">
        <f t="shared" si="13"/>
        <v>0</v>
      </c>
      <c r="AC134" s="3">
        <f t="shared" si="13"/>
        <v>0</v>
      </c>
      <c r="AD134" s="3">
        <f t="shared" si="13"/>
        <v>0</v>
      </c>
      <c r="AE134" s="3">
        <f t="shared" si="13"/>
        <v>0</v>
      </c>
      <c r="AF134" s="3">
        <f t="shared" si="13"/>
        <v>0</v>
      </c>
      <c r="AG134" s="3">
        <f t="shared" si="13"/>
        <v>0</v>
      </c>
      <c r="AH134" s="3">
        <f t="shared" si="13"/>
        <v>0</v>
      </c>
      <c r="AI134" s="3">
        <f t="shared" si="13"/>
        <v>0</v>
      </c>
      <c r="AJ134" s="3">
        <f t="shared" si="13"/>
        <v>0</v>
      </c>
    </row>
    <row r="135" spans="1:36" x14ac:dyDescent="0.25">
      <c r="A135" s="3">
        <f t="shared" si="14"/>
        <v>10000000000</v>
      </c>
      <c r="B135" s="105">
        <v>0</v>
      </c>
      <c r="C135" s="18">
        <f t="shared" si="9"/>
        <v>0</v>
      </c>
      <c r="D135" s="17"/>
      <c r="E135" s="11"/>
      <c r="F135" s="3">
        <f t="shared" si="11"/>
        <v>0</v>
      </c>
      <c r="G135" s="3">
        <f t="shared" si="13"/>
        <v>0</v>
      </c>
      <c r="H135" s="3">
        <f t="shared" si="13"/>
        <v>0</v>
      </c>
      <c r="I135" s="3">
        <f t="shared" si="13"/>
        <v>0</v>
      </c>
      <c r="J135" s="3">
        <f t="shared" si="13"/>
        <v>0</v>
      </c>
      <c r="K135" s="3">
        <f t="shared" si="13"/>
        <v>0</v>
      </c>
      <c r="L135" s="3">
        <f t="shared" si="13"/>
        <v>0</v>
      </c>
      <c r="M135" s="3">
        <f t="shared" si="13"/>
        <v>0</v>
      </c>
      <c r="N135" s="3">
        <f t="shared" si="13"/>
        <v>0</v>
      </c>
      <c r="O135" s="3">
        <f t="shared" si="13"/>
        <v>0</v>
      </c>
      <c r="P135" s="3">
        <f t="shared" si="13"/>
        <v>0</v>
      </c>
      <c r="Q135" s="3">
        <f t="shared" si="13"/>
        <v>0</v>
      </c>
      <c r="R135" s="3">
        <f t="shared" si="13"/>
        <v>0</v>
      </c>
      <c r="S135" s="3">
        <f t="shared" si="13"/>
        <v>0</v>
      </c>
      <c r="T135" s="3">
        <f t="shared" si="13"/>
        <v>0</v>
      </c>
      <c r="U135" s="3">
        <f t="shared" si="13"/>
        <v>0</v>
      </c>
      <c r="V135" s="3">
        <f t="shared" si="13"/>
        <v>0</v>
      </c>
      <c r="W135" s="3">
        <f t="shared" si="13"/>
        <v>0</v>
      </c>
      <c r="X135" s="3">
        <f t="shared" si="13"/>
        <v>0</v>
      </c>
      <c r="Y135" s="3">
        <f t="shared" si="13"/>
        <v>0</v>
      </c>
      <c r="Z135" s="3">
        <f t="shared" si="13"/>
        <v>0</v>
      </c>
      <c r="AA135" s="3">
        <f t="shared" si="13"/>
        <v>0</v>
      </c>
      <c r="AB135" s="3">
        <f t="shared" si="13"/>
        <v>0</v>
      </c>
      <c r="AC135" s="3">
        <f t="shared" si="13"/>
        <v>0</v>
      </c>
      <c r="AD135" s="3">
        <f t="shared" si="13"/>
        <v>0</v>
      </c>
      <c r="AE135" s="3">
        <f t="shared" si="13"/>
        <v>0</v>
      </c>
      <c r="AF135" s="3">
        <f t="shared" si="13"/>
        <v>0</v>
      </c>
      <c r="AG135" s="3">
        <f t="shared" si="13"/>
        <v>0</v>
      </c>
      <c r="AH135" s="3">
        <f t="shared" si="13"/>
        <v>0</v>
      </c>
      <c r="AI135" s="3">
        <f t="shared" si="13"/>
        <v>0</v>
      </c>
      <c r="AJ135" s="3">
        <f t="shared" si="13"/>
        <v>0</v>
      </c>
    </row>
    <row r="136" spans="1:36" x14ac:dyDescent="0.25">
      <c r="A136" s="3">
        <f t="shared" si="14"/>
        <v>100000000000</v>
      </c>
      <c r="B136" s="105">
        <v>0</v>
      </c>
      <c r="C136" s="18">
        <f t="shared" si="9"/>
        <v>0</v>
      </c>
      <c r="D136" s="17"/>
      <c r="E136" s="11"/>
      <c r="F136" s="3">
        <f t="shared" si="11"/>
        <v>0</v>
      </c>
      <c r="G136" s="3">
        <f t="shared" si="13"/>
        <v>0</v>
      </c>
      <c r="H136" s="3">
        <f t="shared" si="13"/>
        <v>0</v>
      </c>
      <c r="I136" s="3">
        <f t="shared" si="13"/>
        <v>0</v>
      </c>
      <c r="J136" s="3">
        <f t="shared" si="13"/>
        <v>0</v>
      </c>
      <c r="K136" s="3">
        <f t="shared" si="13"/>
        <v>0</v>
      </c>
      <c r="L136" s="3">
        <f t="shared" si="13"/>
        <v>0</v>
      </c>
      <c r="M136" s="3">
        <f t="shared" si="13"/>
        <v>0</v>
      </c>
      <c r="N136" s="3">
        <f t="shared" si="13"/>
        <v>0</v>
      </c>
      <c r="O136" s="3">
        <f t="shared" si="13"/>
        <v>0</v>
      </c>
      <c r="P136" s="3">
        <f t="shared" si="13"/>
        <v>0</v>
      </c>
      <c r="Q136" s="3">
        <f t="shared" si="13"/>
        <v>0</v>
      </c>
      <c r="R136" s="3">
        <f t="shared" si="13"/>
        <v>0</v>
      </c>
      <c r="S136" s="3">
        <f t="shared" si="13"/>
        <v>0</v>
      </c>
      <c r="T136" s="3">
        <f t="shared" si="13"/>
        <v>0</v>
      </c>
      <c r="U136" s="3">
        <f t="shared" si="13"/>
        <v>0</v>
      </c>
      <c r="V136" s="3">
        <f t="shared" si="13"/>
        <v>0</v>
      </c>
      <c r="W136" s="3">
        <f t="shared" si="13"/>
        <v>0</v>
      </c>
      <c r="X136" s="3">
        <f t="shared" si="13"/>
        <v>0</v>
      </c>
      <c r="Y136" s="3">
        <f t="shared" si="13"/>
        <v>0</v>
      </c>
      <c r="Z136" s="3">
        <f t="shared" si="13"/>
        <v>0</v>
      </c>
      <c r="AA136" s="3">
        <f t="shared" si="13"/>
        <v>0</v>
      </c>
      <c r="AB136" s="3">
        <f t="shared" si="13"/>
        <v>0</v>
      </c>
      <c r="AC136" s="3">
        <f t="shared" si="13"/>
        <v>0</v>
      </c>
      <c r="AD136" s="3">
        <f t="shared" si="13"/>
        <v>0</v>
      </c>
      <c r="AE136" s="3">
        <f t="shared" si="13"/>
        <v>0</v>
      </c>
      <c r="AF136" s="3">
        <f t="shared" si="13"/>
        <v>0</v>
      </c>
      <c r="AG136" s="3">
        <f t="shared" si="13"/>
        <v>0</v>
      </c>
      <c r="AH136" s="3">
        <f t="shared" si="13"/>
        <v>0</v>
      </c>
      <c r="AI136" s="3">
        <f t="shared" si="13"/>
        <v>0</v>
      </c>
      <c r="AJ136" s="3">
        <f t="shared" si="13"/>
        <v>0</v>
      </c>
    </row>
    <row r="137" spans="1:36" x14ac:dyDescent="0.25">
      <c r="A137" s="3">
        <f t="shared" si="14"/>
        <v>1000000000000</v>
      </c>
      <c r="B137" s="105">
        <v>0</v>
      </c>
      <c r="C137" s="18">
        <f t="shared" si="9"/>
        <v>0</v>
      </c>
      <c r="D137" s="17"/>
      <c r="E137" s="11"/>
      <c r="F137" s="3">
        <f t="shared" si="11"/>
        <v>0</v>
      </c>
      <c r="G137" s="3">
        <f t="shared" ref="G137:AJ141" si="15">$C137*EXP(-G$108/$A137)</f>
        <v>0</v>
      </c>
      <c r="H137" s="3">
        <f t="shared" si="15"/>
        <v>0</v>
      </c>
      <c r="I137" s="3">
        <f t="shared" si="15"/>
        <v>0</v>
      </c>
      <c r="J137" s="3">
        <f t="shared" si="15"/>
        <v>0</v>
      </c>
      <c r="K137" s="3">
        <f t="shared" si="15"/>
        <v>0</v>
      </c>
      <c r="L137" s="3">
        <f t="shared" si="15"/>
        <v>0</v>
      </c>
      <c r="M137" s="3">
        <f t="shared" si="15"/>
        <v>0</v>
      </c>
      <c r="N137" s="3">
        <f t="shared" si="15"/>
        <v>0</v>
      </c>
      <c r="O137" s="3">
        <f t="shared" si="15"/>
        <v>0</v>
      </c>
      <c r="P137" s="3">
        <f t="shared" si="15"/>
        <v>0</v>
      </c>
      <c r="Q137" s="3">
        <f t="shared" si="15"/>
        <v>0</v>
      </c>
      <c r="R137" s="3">
        <f t="shared" si="15"/>
        <v>0</v>
      </c>
      <c r="S137" s="3">
        <f t="shared" si="15"/>
        <v>0</v>
      </c>
      <c r="T137" s="3">
        <f t="shared" si="15"/>
        <v>0</v>
      </c>
      <c r="U137" s="3">
        <f t="shared" si="15"/>
        <v>0</v>
      </c>
      <c r="V137" s="3">
        <f t="shared" si="15"/>
        <v>0</v>
      </c>
      <c r="W137" s="3">
        <f t="shared" si="15"/>
        <v>0</v>
      </c>
      <c r="X137" s="3">
        <f t="shared" si="15"/>
        <v>0</v>
      </c>
      <c r="Y137" s="3">
        <f t="shared" si="15"/>
        <v>0</v>
      </c>
      <c r="Z137" s="3">
        <f t="shared" si="15"/>
        <v>0</v>
      </c>
      <c r="AA137" s="3">
        <f t="shared" si="15"/>
        <v>0</v>
      </c>
      <c r="AB137" s="3">
        <f t="shared" si="15"/>
        <v>0</v>
      </c>
      <c r="AC137" s="3">
        <f t="shared" si="15"/>
        <v>0</v>
      </c>
      <c r="AD137" s="3">
        <f t="shared" si="15"/>
        <v>0</v>
      </c>
      <c r="AE137" s="3">
        <f t="shared" si="15"/>
        <v>0</v>
      </c>
      <c r="AF137" s="3">
        <f t="shared" si="15"/>
        <v>0</v>
      </c>
      <c r="AG137" s="3">
        <f t="shared" si="15"/>
        <v>0</v>
      </c>
      <c r="AH137" s="3">
        <f t="shared" si="15"/>
        <v>0</v>
      </c>
      <c r="AI137" s="3">
        <f t="shared" si="15"/>
        <v>0</v>
      </c>
      <c r="AJ137" s="3">
        <f t="shared" si="15"/>
        <v>0</v>
      </c>
    </row>
    <row r="138" spans="1:36" x14ac:dyDescent="0.25">
      <c r="A138" s="3">
        <f t="shared" si="14"/>
        <v>10000000000000</v>
      </c>
      <c r="B138" s="105">
        <v>0</v>
      </c>
      <c r="C138" s="18">
        <f t="shared" si="9"/>
        <v>0</v>
      </c>
      <c r="D138" s="17"/>
      <c r="E138" s="11"/>
      <c r="F138" s="3">
        <f t="shared" si="11"/>
        <v>0</v>
      </c>
      <c r="G138" s="3">
        <f t="shared" si="15"/>
        <v>0</v>
      </c>
      <c r="H138" s="3">
        <f t="shared" si="15"/>
        <v>0</v>
      </c>
      <c r="I138" s="3">
        <f t="shared" si="15"/>
        <v>0</v>
      </c>
      <c r="J138" s="3">
        <f t="shared" si="15"/>
        <v>0</v>
      </c>
      <c r="K138" s="3">
        <f t="shared" si="15"/>
        <v>0</v>
      </c>
      <c r="L138" s="3">
        <f t="shared" si="15"/>
        <v>0</v>
      </c>
      <c r="M138" s="3">
        <f t="shared" si="15"/>
        <v>0</v>
      </c>
      <c r="N138" s="3">
        <f t="shared" si="15"/>
        <v>0</v>
      </c>
      <c r="O138" s="3">
        <f t="shared" si="15"/>
        <v>0</v>
      </c>
      <c r="P138" s="3">
        <f t="shared" si="15"/>
        <v>0</v>
      </c>
      <c r="Q138" s="3">
        <f t="shared" si="15"/>
        <v>0</v>
      </c>
      <c r="R138" s="3">
        <f t="shared" si="15"/>
        <v>0</v>
      </c>
      <c r="S138" s="3">
        <f t="shared" si="15"/>
        <v>0</v>
      </c>
      <c r="T138" s="3">
        <f t="shared" si="15"/>
        <v>0</v>
      </c>
      <c r="U138" s="3">
        <f t="shared" si="15"/>
        <v>0</v>
      </c>
      <c r="V138" s="3">
        <f t="shared" si="15"/>
        <v>0</v>
      </c>
      <c r="W138" s="3">
        <f t="shared" si="15"/>
        <v>0</v>
      </c>
      <c r="X138" s="3">
        <f t="shared" si="15"/>
        <v>0</v>
      </c>
      <c r="Y138" s="3">
        <f t="shared" si="15"/>
        <v>0</v>
      </c>
      <c r="Z138" s="3">
        <f t="shared" si="15"/>
        <v>0</v>
      </c>
      <c r="AA138" s="3">
        <f t="shared" si="15"/>
        <v>0</v>
      </c>
      <c r="AB138" s="3">
        <f t="shared" si="15"/>
        <v>0</v>
      </c>
      <c r="AC138" s="3">
        <f t="shared" si="15"/>
        <v>0</v>
      </c>
      <c r="AD138" s="3">
        <f t="shared" si="15"/>
        <v>0</v>
      </c>
      <c r="AE138" s="3">
        <f t="shared" si="15"/>
        <v>0</v>
      </c>
      <c r="AF138" s="3">
        <f t="shared" si="15"/>
        <v>0</v>
      </c>
      <c r="AG138" s="3">
        <f t="shared" si="15"/>
        <v>0</v>
      </c>
      <c r="AH138" s="3">
        <f t="shared" si="15"/>
        <v>0</v>
      </c>
      <c r="AI138" s="3">
        <f t="shared" si="15"/>
        <v>0</v>
      </c>
      <c r="AJ138" s="3">
        <f t="shared" si="15"/>
        <v>0</v>
      </c>
    </row>
    <row r="139" spans="1:36" x14ac:dyDescent="0.25">
      <c r="A139" s="3">
        <f t="shared" si="14"/>
        <v>100000000000000</v>
      </c>
      <c r="B139" s="105">
        <v>0</v>
      </c>
      <c r="C139" s="18">
        <f t="shared" si="9"/>
        <v>0</v>
      </c>
      <c r="D139" s="17"/>
      <c r="E139" s="11"/>
      <c r="F139" s="3">
        <f t="shared" si="11"/>
        <v>0</v>
      </c>
      <c r="G139" s="3">
        <f t="shared" si="15"/>
        <v>0</v>
      </c>
      <c r="H139" s="3">
        <f t="shared" si="15"/>
        <v>0</v>
      </c>
      <c r="I139" s="3">
        <f t="shared" si="15"/>
        <v>0</v>
      </c>
      <c r="J139" s="3">
        <f t="shared" si="15"/>
        <v>0</v>
      </c>
      <c r="K139" s="3">
        <f t="shared" si="15"/>
        <v>0</v>
      </c>
      <c r="L139" s="3">
        <f t="shared" si="15"/>
        <v>0</v>
      </c>
      <c r="M139" s="3">
        <f t="shared" si="15"/>
        <v>0</v>
      </c>
      <c r="N139" s="3">
        <f t="shared" si="15"/>
        <v>0</v>
      </c>
      <c r="O139" s="3">
        <f t="shared" si="15"/>
        <v>0</v>
      </c>
      <c r="P139" s="3">
        <f t="shared" si="15"/>
        <v>0</v>
      </c>
      <c r="Q139" s="3">
        <f t="shared" si="15"/>
        <v>0</v>
      </c>
      <c r="R139" s="3">
        <f t="shared" si="15"/>
        <v>0</v>
      </c>
      <c r="S139" s="3">
        <f t="shared" si="15"/>
        <v>0</v>
      </c>
      <c r="T139" s="3">
        <f t="shared" si="15"/>
        <v>0</v>
      </c>
      <c r="U139" s="3">
        <f t="shared" si="15"/>
        <v>0</v>
      </c>
      <c r="V139" s="3">
        <f t="shared" si="15"/>
        <v>0</v>
      </c>
      <c r="W139" s="3">
        <f t="shared" si="15"/>
        <v>0</v>
      </c>
      <c r="X139" s="3">
        <f t="shared" si="15"/>
        <v>0</v>
      </c>
      <c r="Y139" s="3">
        <f t="shared" si="15"/>
        <v>0</v>
      </c>
      <c r="Z139" s="3">
        <f t="shared" si="15"/>
        <v>0</v>
      </c>
      <c r="AA139" s="3">
        <f t="shared" si="15"/>
        <v>0</v>
      </c>
      <c r="AB139" s="3">
        <f t="shared" si="15"/>
        <v>0</v>
      </c>
      <c r="AC139" s="3">
        <f t="shared" si="15"/>
        <v>0</v>
      </c>
      <c r="AD139" s="3">
        <f t="shared" si="15"/>
        <v>0</v>
      </c>
      <c r="AE139" s="3">
        <f t="shared" si="15"/>
        <v>0</v>
      </c>
      <c r="AF139" s="3">
        <f t="shared" si="15"/>
        <v>0</v>
      </c>
      <c r="AG139" s="3">
        <f t="shared" si="15"/>
        <v>0</v>
      </c>
      <c r="AH139" s="3">
        <f t="shared" si="15"/>
        <v>0</v>
      </c>
      <c r="AI139" s="3">
        <f t="shared" si="15"/>
        <v>0</v>
      </c>
      <c r="AJ139" s="3">
        <f t="shared" si="15"/>
        <v>0</v>
      </c>
    </row>
    <row r="140" spans="1:36" x14ac:dyDescent="0.25">
      <c r="A140" s="3">
        <f t="shared" si="14"/>
        <v>1000000000000000</v>
      </c>
      <c r="B140" s="105">
        <v>0</v>
      </c>
      <c r="C140" s="18">
        <f t="shared" si="9"/>
        <v>0</v>
      </c>
      <c r="D140" s="17"/>
      <c r="E140" s="11"/>
      <c r="F140" s="3">
        <f t="shared" si="11"/>
        <v>0</v>
      </c>
      <c r="G140" s="3">
        <f t="shared" si="15"/>
        <v>0</v>
      </c>
      <c r="H140" s="3">
        <f t="shared" si="15"/>
        <v>0</v>
      </c>
      <c r="I140" s="3">
        <f t="shared" si="15"/>
        <v>0</v>
      </c>
      <c r="J140" s="3">
        <f t="shared" si="15"/>
        <v>0</v>
      </c>
      <c r="K140" s="3">
        <f t="shared" si="15"/>
        <v>0</v>
      </c>
      <c r="L140" s="3">
        <f t="shared" si="15"/>
        <v>0</v>
      </c>
      <c r="M140" s="3">
        <f t="shared" si="15"/>
        <v>0</v>
      </c>
      <c r="N140" s="3">
        <f t="shared" si="15"/>
        <v>0</v>
      </c>
      <c r="O140" s="3">
        <f t="shared" si="15"/>
        <v>0</v>
      </c>
      <c r="P140" s="3">
        <f t="shared" si="15"/>
        <v>0</v>
      </c>
      <c r="Q140" s="3">
        <f t="shared" si="15"/>
        <v>0</v>
      </c>
      <c r="R140" s="3">
        <f t="shared" si="15"/>
        <v>0</v>
      </c>
      <c r="S140" s="3">
        <f t="shared" si="15"/>
        <v>0</v>
      </c>
      <c r="T140" s="3">
        <f t="shared" si="15"/>
        <v>0</v>
      </c>
      <c r="U140" s="3">
        <f t="shared" si="15"/>
        <v>0</v>
      </c>
      <c r="V140" s="3">
        <f t="shared" si="15"/>
        <v>0</v>
      </c>
      <c r="W140" s="3">
        <f t="shared" si="15"/>
        <v>0</v>
      </c>
      <c r="X140" s="3">
        <f t="shared" si="15"/>
        <v>0</v>
      </c>
      <c r="Y140" s="3">
        <f t="shared" si="15"/>
        <v>0</v>
      </c>
      <c r="Z140" s="3">
        <f t="shared" si="15"/>
        <v>0</v>
      </c>
      <c r="AA140" s="3">
        <f t="shared" si="15"/>
        <v>0</v>
      </c>
      <c r="AB140" s="3">
        <f t="shared" si="15"/>
        <v>0</v>
      </c>
      <c r="AC140" s="3">
        <f t="shared" si="15"/>
        <v>0</v>
      </c>
      <c r="AD140" s="3">
        <f t="shared" si="15"/>
        <v>0</v>
      </c>
      <c r="AE140" s="3">
        <f t="shared" si="15"/>
        <v>0</v>
      </c>
      <c r="AF140" s="3">
        <f t="shared" si="15"/>
        <v>0</v>
      </c>
      <c r="AG140" s="3">
        <f t="shared" si="15"/>
        <v>0</v>
      </c>
      <c r="AH140" s="3">
        <f t="shared" si="15"/>
        <v>0</v>
      </c>
      <c r="AI140" s="3">
        <f t="shared" si="15"/>
        <v>0</v>
      </c>
      <c r="AJ140" s="3">
        <f t="shared" si="15"/>
        <v>0</v>
      </c>
    </row>
    <row r="141" spans="1:36" x14ac:dyDescent="0.25">
      <c r="A141" s="3">
        <f t="shared" si="14"/>
        <v>1E+16</v>
      </c>
      <c r="B141" s="105">
        <v>0</v>
      </c>
      <c r="C141" s="18">
        <f t="shared" si="9"/>
        <v>0</v>
      </c>
      <c r="D141" s="17"/>
      <c r="E141" s="11"/>
      <c r="F141" s="3">
        <f t="shared" si="11"/>
        <v>0</v>
      </c>
      <c r="G141" s="3">
        <f t="shared" si="15"/>
        <v>0</v>
      </c>
      <c r="H141" s="3">
        <f t="shared" si="15"/>
        <v>0</v>
      </c>
      <c r="I141" s="3">
        <f t="shared" si="15"/>
        <v>0</v>
      </c>
      <c r="J141" s="3">
        <f t="shared" si="15"/>
        <v>0</v>
      </c>
      <c r="K141" s="3">
        <f t="shared" si="15"/>
        <v>0</v>
      </c>
      <c r="L141" s="3">
        <f t="shared" si="15"/>
        <v>0</v>
      </c>
      <c r="M141" s="3">
        <f t="shared" si="15"/>
        <v>0</v>
      </c>
      <c r="N141" s="3">
        <f t="shared" si="15"/>
        <v>0</v>
      </c>
      <c r="O141" s="3">
        <f t="shared" si="15"/>
        <v>0</v>
      </c>
      <c r="P141" s="3">
        <f t="shared" si="15"/>
        <v>0</v>
      </c>
      <c r="Q141" s="3">
        <f t="shared" si="15"/>
        <v>0</v>
      </c>
      <c r="R141" s="3">
        <f t="shared" si="15"/>
        <v>0</v>
      </c>
      <c r="S141" s="3">
        <f t="shared" si="15"/>
        <v>0</v>
      </c>
      <c r="T141" s="3">
        <f t="shared" si="15"/>
        <v>0</v>
      </c>
      <c r="U141" s="3">
        <f t="shared" si="15"/>
        <v>0</v>
      </c>
      <c r="V141" s="3">
        <f t="shared" si="15"/>
        <v>0</v>
      </c>
      <c r="W141" s="3">
        <f t="shared" si="15"/>
        <v>0</v>
      </c>
      <c r="X141" s="3">
        <f t="shared" si="15"/>
        <v>0</v>
      </c>
      <c r="Y141" s="3">
        <f t="shared" si="15"/>
        <v>0</v>
      </c>
      <c r="Z141" s="3">
        <f t="shared" si="15"/>
        <v>0</v>
      </c>
      <c r="AA141" s="3">
        <f t="shared" si="15"/>
        <v>0</v>
      </c>
      <c r="AB141" s="3">
        <f t="shared" si="15"/>
        <v>0</v>
      </c>
      <c r="AC141" s="3">
        <f t="shared" si="15"/>
        <v>0</v>
      </c>
      <c r="AD141" s="3">
        <f t="shared" si="15"/>
        <v>0</v>
      </c>
      <c r="AE141" s="3">
        <f t="shared" si="15"/>
        <v>0</v>
      </c>
      <c r="AF141" s="3">
        <f t="shared" si="15"/>
        <v>0</v>
      </c>
      <c r="AG141" s="3">
        <f t="shared" si="15"/>
        <v>0</v>
      </c>
      <c r="AH141" s="3">
        <f t="shared" si="15"/>
        <v>0</v>
      </c>
      <c r="AI141" s="3">
        <f t="shared" si="15"/>
        <v>0</v>
      </c>
      <c r="AJ141" s="3">
        <f t="shared" si="15"/>
        <v>0</v>
      </c>
    </row>
    <row r="142" spans="1:36" x14ac:dyDescent="0.25">
      <c r="A142" s="11"/>
      <c r="B142" s="123">
        <f>SUM(B110:B141)</f>
        <v>0.57995408499879575</v>
      </c>
      <c r="C142" s="18">
        <f>SUM(C110:C141)</f>
        <v>1</v>
      </c>
      <c r="D142" s="11"/>
      <c r="E142" s="11"/>
      <c r="F142" s="3">
        <f t="shared" ref="F142:AJ142" si="16">F109-F110</f>
        <v>-7.0517946610470972</v>
      </c>
      <c r="G142" s="3">
        <f t="shared" si="16"/>
        <v>-7.051298214464623</v>
      </c>
      <c r="H142" s="3">
        <f t="shared" si="16"/>
        <v>-7.0463337820619927</v>
      </c>
      <c r="I142" s="3">
        <f t="shared" si="16"/>
        <v>-6.9966927995665174</v>
      </c>
      <c r="J142" s="3">
        <f t="shared" si="16"/>
        <v>-6.5006169583266455</v>
      </c>
      <c r="K142" s="3">
        <f t="shared" si="16"/>
        <v>-1.5730891330749728</v>
      </c>
      <c r="L142" s="3">
        <f t="shared" si="16"/>
        <v>44.540690221099794</v>
      </c>
      <c r="M142" s="3">
        <f t="shared" si="16"/>
        <v>-9.4048058965036034</v>
      </c>
      <c r="N142" s="3">
        <f t="shared" si="16"/>
        <v>1.9055442699009291</v>
      </c>
      <c r="O142" s="3">
        <f t="shared" si="16"/>
        <v>-2.2917595561311828</v>
      </c>
      <c r="P142" s="3">
        <f t="shared" si="16"/>
        <v>3.8200821755399375</v>
      </c>
      <c r="Q142" s="3">
        <f t="shared" si="16"/>
        <v>-5.52029335682073</v>
      </c>
      <c r="R142" s="3">
        <f t="shared" si="16"/>
        <v>6.7875066522628913</v>
      </c>
      <c r="S142" s="3">
        <f t="shared" si="16"/>
        <v>-7.1270142734047113</v>
      </c>
      <c r="T142" s="3">
        <f t="shared" si="16"/>
        <v>6.411230097569387</v>
      </c>
      <c r="U142" s="3">
        <f t="shared" si="16"/>
        <v>-4.9562011264797547</v>
      </c>
      <c r="V142" s="3">
        <f t="shared" si="16"/>
        <v>3.3014452335391979</v>
      </c>
      <c r="W142" s="3">
        <f t="shared" si="16"/>
        <v>-1.8982959889572157</v>
      </c>
      <c r="X142" s="3">
        <f t="shared" si="16"/>
        <v>0.94483684952183467</v>
      </c>
      <c r="Y142" s="3">
        <f t="shared" si="16"/>
        <v>-0.40740317413383309</v>
      </c>
      <c r="Z142" s="3">
        <f t="shared" si="16"/>
        <v>0.1519544861112081</v>
      </c>
      <c r="AA142" s="3">
        <f t="shared" si="16"/>
        <v>-5.0136866095499499E-2</v>
      </c>
      <c r="AB142" s="3">
        <f t="shared" si="16"/>
        <v>2.1697935992051498E-2</v>
      </c>
      <c r="AC142" s="3">
        <f t="shared" si="16"/>
        <v>-2.3436568399461066E-2</v>
      </c>
      <c r="AD142" s="3">
        <f t="shared" si="16"/>
        <v>-2.1172751524090927E-2</v>
      </c>
      <c r="AE142" s="3">
        <f t="shared" si="16"/>
        <v>5.7668106636583616E-3</v>
      </c>
      <c r="AF142" s="3">
        <f t="shared" si="16"/>
        <v>5.7668106636583616E-3</v>
      </c>
      <c r="AG142" s="3">
        <f t="shared" si="16"/>
        <v>5.7668106636583616E-3</v>
      </c>
      <c r="AH142" s="3">
        <f t="shared" si="16"/>
        <v>5.7668106636583616E-3</v>
      </c>
      <c r="AI142" s="3">
        <f t="shared" si="16"/>
        <v>5.7668106636583616E-3</v>
      </c>
      <c r="AJ142" s="3">
        <f t="shared" si="16"/>
        <v>5.7668106636583616E-3</v>
      </c>
    </row>
    <row r="143" spans="1:36" x14ac:dyDescent="0.25">
      <c r="A143" s="11"/>
      <c r="B143" s="11"/>
      <c r="C143" s="11"/>
      <c r="D143" s="11"/>
      <c r="E143" s="11"/>
      <c r="F143" s="57">
        <f t="shared" ref="F143:AJ143" si="17">F142/F110</f>
        <v>-8.4790046936175374E-4</v>
      </c>
      <c r="G143" s="57">
        <f t="shared" si="17"/>
        <v>-8.4784082774955606E-4</v>
      </c>
      <c r="H143" s="57">
        <f t="shared" si="17"/>
        <v>-8.4724441525120076E-4</v>
      </c>
      <c r="I143" s="57">
        <f t="shared" si="17"/>
        <v>-8.4128065255319293E-4</v>
      </c>
      <c r="J143" s="57">
        <f t="shared" si="17"/>
        <v>-7.8167923883636916E-4</v>
      </c>
      <c r="K143" s="57">
        <f t="shared" si="17"/>
        <v>-1.8927128748142885E-4</v>
      </c>
      <c r="L143" s="57">
        <f t="shared" si="17"/>
        <v>5.388956349503417E-3</v>
      </c>
      <c r="M143" s="57">
        <f t="shared" si="17"/>
        <v>-1.1747584932282657E-3</v>
      </c>
      <c r="N143" s="57">
        <f t="shared" si="17"/>
        <v>2.5021120703188948E-4</v>
      </c>
      <c r="O143" s="57">
        <f t="shared" si="17"/>
        <v>-3.1659346796526468E-4</v>
      </c>
      <c r="P143" s="57">
        <f t="shared" si="17"/>
        <v>5.5281646216426804E-4</v>
      </c>
      <c r="Q143" s="57">
        <f t="shared" si="17"/>
        <v>-8.3310190358409843E-4</v>
      </c>
      <c r="R143" s="57">
        <f t="shared" si="17"/>
        <v>1.0725179148853817E-3</v>
      </c>
      <c r="S143" s="57">
        <f t="shared" si="17"/>
        <v>-1.1814101564589963E-3</v>
      </c>
      <c r="T143" s="57">
        <f t="shared" si="17"/>
        <v>1.1191847936516902E-3</v>
      </c>
      <c r="U143" s="57">
        <f t="shared" si="17"/>
        <v>-9.2769078342652895E-4</v>
      </c>
      <c r="V143" s="57">
        <f t="shared" si="17"/>
        <v>6.7761974190763273E-4</v>
      </c>
      <c r="W143" s="57">
        <f t="shared" si="17"/>
        <v>-4.3662642450730086E-4</v>
      </c>
      <c r="X143" s="57">
        <f t="shared" si="17"/>
        <v>2.4829168563896898E-4</v>
      </c>
      <c r="Y143" s="57">
        <f t="shared" si="17"/>
        <v>-1.2604348825020353E-4</v>
      </c>
      <c r="Z143" s="57">
        <f t="shared" si="17"/>
        <v>5.9404073030502594E-5</v>
      </c>
      <c r="AA143" s="57">
        <f t="shared" si="17"/>
        <v>-2.6388721398973471E-5</v>
      </c>
      <c r="AB143" s="57">
        <f t="shared" si="17"/>
        <v>1.6090046905334445E-5</v>
      </c>
      <c r="AC143" s="57">
        <f t="shared" si="17"/>
        <v>-2.4180468086935266E-5</v>
      </c>
      <c r="AD143" s="57">
        <f t="shared" si="17"/>
        <v>-2.819411405702279E-5</v>
      </c>
      <c r="AE143" s="57">
        <f t="shared" si="17"/>
        <v>7.6794907959656079E-6</v>
      </c>
      <c r="AF143" s="57">
        <f t="shared" si="17"/>
        <v>7.6794907959656079E-6</v>
      </c>
      <c r="AG143" s="57">
        <f t="shared" si="17"/>
        <v>7.6794907959656079E-6</v>
      </c>
      <c r="AH143" s="57">
        <f t="shared" si="17"/>
        <v>7.6794907959656079E-6</v>
      </c>
      <c r="AI143" s="57">
        <f t="shared" si="17"/>
        <v>7.6794907959656079E-6</v>
      </c>
      <c r="AJ143" s="57">
        <f t="shared" si="17"/>
        <v>7.6794907959656079E-6</v>
      </c>
    </row>
    <row r="144" spans="1:36" x14ac:dyDescent="0.25">
      <c r="A144" s="13" t="s">
        <v>21</v>
      </c>
      <c r="B144" s="3">
        <f>STUTT!D8</f>
        <v>10768.300999999999</v>
      </c>
      <c r="C144" s="11"/>
      <c r="D144" s="11"/>
      <c r="E144" s="11" t="s">
        <v>24</v>
      </c>
      <c r="F144" s="20">
        <f t="shared" ref="F144:AJ144" si="18">(F109-F110)^2</f>
        <v>49.727807941572344</v>
      </c>
      <c r="G144" s="20">
        <f t="shared" si="18"/>
        <v>49.720806509311984</v>
      </c>
      <c r="H144" s="20">
        <f t="shared" si="18"/>
        <v>49.650819768228068</v>
      </c>
      <c r="I144" s="20">
        <f t="shared" si="18"/>
        <v>48.95371013150595</v>
      </c>
      <c r="J144" s="20">
        <f t="shared" si="18"/>
        <v>42.258020838883972</v>
      </c>
      <c r="K144" s="20">
        <f t="shared" si="18"/>
        <v>2.4746094205985694</v>
      </c>
      <c r="L144" s="20">
        <f t="shared" si="18"/>
        <v>1983.8730853719749</v>
      </c>
      <c r="M144" s="20">
        <f t="shared" si="18"/>
        <v>88.450373950908954</v>
      </c>
      <c r="N144" s="20">
        <f t="shared" si="18"/>
        <v>3.6310989645522649</v>
      </c>
      <c r="O144" s="20">
        <f t="shared" si="18"/>
        <v>5.2521618631185962</v>
      </c>
      <c r="P144" s="20">
        <f t="shared" si="18"/>
        <v>14.593027827877942</v>
      </c>
      <c r="Q144" s="20">
        <f t="shared" si="18"/>
        <v>30.473638745359082</v>
      </c>
      <c r="R144" s="20">
        <f t="shared" si="18"/>
        <v>46.070246554513005</v>
      </c>
      <c r="S144" s="20">
        <f t="shared" si="18"/>
        <v>50.794332453314482</v>
      </c>
      <c r="T144" s="20">
        <f t="shared" si="18"/>
        <v>41.103871363979572</v>
      </c>
      <c r="U144" s="20">
        <f t="shared" si="18"/>
        <v>24.563929606119189</v>
      </c>
      <c r="V144" s="20">
        <f t="shared" si="18"/>
        <v>10.89954063005869</v>
      </c>
      <c r="W144" s="20">
        <f t="shared" si="18"/>
        <v>3.6035276616910537</v>
      </c>
      <c r="X144" s="20">
        <f t="shared" si="18"/>
        <v>0.89271667221434603</v>
      </c>
      <c r="Y144" s="20">
        <f t="shared" si="18"/>
        <v>0.16597734629432231</v>
      </c>
      <c r="Z144" s="20">
        <f t="shared" si="18"/>
        <v>2.3090165849321335E-2</v>
      </c>
      <c r="AA144" s="20">
        <f t="shared" si="18"/>
        <v>2.5137053418780473E-3</v>
      </c>
      <c r="AB144" s="20">
        <f t="shared" si="18"/>
        <v>4.7080042631516384E-4</v>
      </c>
      <c r="AC144" s="20">
        <f t="shared" si="18"/>
        <v>5.4927273834261704E-4</v>
      </c>
      <c r="AD144" s="20">
        <f t="shared" si="18"/>
        <v>4.482854071008947E-4</v>
      </c>
      <c r="AE144" s="20">
        <f t="shared" si="18"/>
        <v>3.3256105230483793E-5</v>
      </c>
      <c r="AF144" s="20">
        <f t="shared" si="18"/>
        <v>3.3256105230483793E-5</v>
      </c>
      <c r="AG144" s="20">
        <f t="shared" si="18"/>
        <v>3.3256105230483793E-5</v>
      </c>
      <c r="AH144" s="20">
        <f t="shared" si="18"/>
        <v>3.3256105230483793E-5</v>
      </c>
      <c r="AI144" s="20">
        <f t="shared" si="18"/>
        <v>3.3256105230483793E-5</v>
      </c>
      <c r="AJ144" s="20">
        <f t="shared" si="18"/>
        <v>3.3256105230483793E-5</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2547.1805753884714</v>
      </c>
      <c r="H146" s="11"/>
      <c r="I146" s="3">
        <f>G146+C216</f>
        <v>2547.1805753884714</v>
      </c>
      <c r="J146" s="11"/>
      <c r="K146" s="3">
        <f>SUM(Z144:AJ144)</f>
        <v>2.7271766394340955E-2</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8.4862001467050268E-4</v>
      </c>
      <c r="G148" s="31">
        <f t="shared" si="19"/>
        <v>8.4856027179278819E-4</v>
      </c>
      <c r="H148" s="31">
        <f t="shared" si="19"/>
        <v>8.4796284703769396E-4</v>
      </c>
      <c r="I148" s="31">
        <f t="shared" si="19"/>
        <v>8.4198900160990992E-4</v>
      </c>
      <c r="J148" s="31">
        <f t="shared" si="19"/>
        <v>7.8229073926598734E-4</v>
      </c>
      <c r="K148" s="31">
        <f t="shared" si="19"/>
        <v>1.8930711788336002E-4</v>
      </c>
      <c r="L148" s="31">
        <f t="shared" si="19"/>
        <v>5.3600711599919876E-3</v>
      </c>
      <c r="M148" s="31">
        <f t="shared" si="19"/>
        <v>1.1761401738867661E-3</v>
      </c>
      <c r="N148" s="31">
        <f t="shared" si="19"/>
        <v>2.5014861704448143E-4</v>
      </c>
      <c r="O148" s="31">
        <f t="shared" si="19"/>
        <v>3.1669373113188659E-4</v>
      </c>
      <c r="P148" s="31">
        <f t="shared" si="19"/>
        <v>5.5251102497413506E-4</v>
      </c>
      <c r="Q148" s="31">
        <f t="shared" si="19"/>
        <v>8.3379654106966535E-4</v>
      </c>
      <c r="R148" s="31">
        <f t="shared" si="19"/>
        <v>1.0713688525975206E-3</v>
      </c>
      <c r="S148" s="31">
        <f t="shared" si="19"/>
        <v>1.1828075372966949E-3</v>
      </c>
      <c r="T148" s="31">
        <f t="shared" si="19"/>
        <v>1.1179336193446077E-3</v>
      </c>
      <c r="U148" s="31">
        <f t="shared" si="19"/>
        <v>9.2855219273766222E-4</v>
      </c>
      <c r="V148" s="31">
        <f t="shared" si="19"/>
        <v>6.7716088432396714E-4</v>
      </c>
      <c r="W148" s="31">
        <f t="shared" si="19"/>
        <v>4.3681715041785129E-4</v>
      </c>
      <c r="X148" s="31">
        <f t="shared" si="19"/>
        <v>2.4823005218088678E-4</v>
      </c>
      <c r="Y148" s="31">
        <f t="shared" si="19"/>
        <v>1.260593772138342E-4</v>
      </c>
      <c r="Z148" s="31">
        <f t="shared" si="19"/>
        <v>5.940054439622523E-5</v>
      </c>
      <c r="AA148" s="31">
        <f t="shared" si="19"/>
        <v>2.6389417781967202E-5</v>
      </c>
      <c r="AB148" s="31">
        <f t="shared" si="19"/>
        <v>1.6089788019890506E-5</v>
      </c>
      <c r="AC148" s="31">
        <f t="shared" si="19"/>
        <v>2.4181052796110709E-5</v>
      </c>
      <c r="AD148" s="31">
        <f t="shared" si="19"/>
        <v>2.819490898750261E-5</v>
      </c>
      <c r="AE148" s="31">
        <f t="shared" si="19"/>
        <v>7.6794318218396136E-6</v>
      </c>
      <c r="AF148" s="31">
        <f t="shared" si="19"/>
        <v>7.6794318218396136E-6</v>
      </c>
      <c r="AG148" s="31">
        <f t="shared" si="19"/>
        <v>7.6794318218396136E-6</v>
      </c>
      <c r="AH148" s="31">
        <f t="shared" si="19"/>
        <v>7.6794318218396136E-6</v>
      </c>
      <c r="AI148" s="31">
        <f t="shared" si="19"/>
        <v>7.6794318218396136E-6</v>
      </c>
      <c r="AJ148" s="31">
        <f t="shared" si="19"/>
        <v>7.6794318218396136E-6</v>
      </c>
    </row>
    <row r="149" spans="1:36" x14ac:dyDescent="0.25">
      <c r="A149" s="11"/>
      <c r="B149" s="11"/>
      <c r="C149" s="11"/>
      <c r="D149" s="11"/>
      <c r="E149" s="13" t="s">
        <v>31</v>
      </c>
      <c r="F149" s="32">
        <f>AVERAGE(F148:AJ148)</f>
        <v>6.076565551414488E-4</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7.6525023938361165E-4</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-11.391292098198942</v>
      </c>
      <c r="M1" s="54">
        <v>1</v>
      </c>
      <c r="N1" s="56">
        <f>INDEX($H$217:$P$217,1,Q1)</f>
        <v>0.10366740825685988</v>
      </c>
      <c r="O1" s="11"/>
      <c r="P1" s="55">
        <v>1</v>
      </c>
      <c r="Q1" s="11">
        <v>2</v>
      </c>
    </row>
    <row r="2" spans="1:17" x14ac:dyDescent="0.25">
      <c r="A2" s="11">
        <f>'Mastercurve bestimmen'!M119</f>
        <v>0</v>
      </c>
      <c r="B2" s="11">
        <f>'Mastercurve bestimmen'!N119</f>
        <v>-7.5380298710792095</v>
      </c>
      <c r="M2" s="54">
        <v>2</v>
      </c>
      <c r="N2" s="56">
        <f t="shared" ref="N2:N9" si="0">INDEX($H$217:$P$217,1,Q2)</f>
        <v>4.4482925966619083E-4</v>
      </c>
      <c r="O2" s="11"/>
      <c r="P2" s="55">
        <v>2</v>
      </c>
      <c r="Q2" s="11">
        <f>Q1+1</f>
        <v>3</v>
      </c>
    </row>
    <row r="3" spans="1:17" x14ac:dyDescent="0.25">
      <c r="A3" s="11">
        <f>'Mastercurve bestimmen'!M120</f>
        <v>25</v>
      </c>
      <c r="B3" s="11">
        <f>'Mastercurve bestimmen'!N120</f>
        <v>-5.0223954311930123</v>
      </c>
      <c r="M3" s="54">
        <v>3</v>
      </c>
      <c r="N3" s="56">
        <f t="shared" si="0"/>
        <v>1.4632495328708277E-6</v>
      </c>
      <c r="O3" s="11"/>
      <c r="P3" s="55">
        <v>3</v>
      </c>
      <c r="Q3" s="11">
        <f t="shared" ref="Q3:Q8" si="1">Q2+1</f>
        <v>4</v>
      </c>
    </row>
    <row r="4" spans="1:17" x14ac:dyDescent="0.25">
      <c r="A4" s="11">
        <f>'Mastercurve bestimmen'!M121</f>
        <v>50</v>
      </c>
      <c r="B4" s="11">
        <f>'Mastercurve bestimmen'!N121</f>
        <v>-2.8019459756969982</v>
      </c>
      <c r="M4" s="54">
        <v>4</v>
      </c>
      <c r="N4" s="56">
        <f t="shared" si="0"/>
        <v>-4.3064568357082909E-8</v>
      </c>
      <c r="O4" s="11"/>
      <c r="P4" s="55">
        <v>4</v>
      </c>
      <c r="Q4" s="11">
        <f t="shared" si="1"/>
        <v>5</v>
      </c>
    </row>
    <row r="5" spans="1:17" x14ac:dyDescent="0.25">
      <c r="A5" s="11">
        <f>'Mastercurve bestimmen'!M122</f>
        <v>80</v>
      </c>
      <c r="B5" s="11">
        <f>'Mastercurve bestimmen'!N122</f>
        <v>0</v>
      </c>
      <c r="M5" s="54">
        <v>5</v>
      </c>
      <c r="N5" s="56">
        <f t="shared" si="0"/>
        <v>4.2640107424911168E-10</v>
      </c>
      <c r="O5" s="11"/>
      <c r="P5" s="55">
        <v>5</v>
      </c>
      <c r="Q5" s="11">
        <f t="shared" si="1"/>
        <v>6</v>
      </c>
    </row>
    <row r="6" spans="1:17" x14ac:dyDescent="0.25">
      <c r="A6" s="11">
        <f>'Mastercurve bestimmen'!M123</f>
        <v>125</v>
      </c>
      <c r="B6" s="11">
        <f>'Mastercurve bestimmen'!N123</f>
        <v>5.6202735306509899</v>
      </c>
      <c r="M6" s="54">
        <v>6</v>
      </c>
      <c r="N6" s="56">
        <f t="shared" si="0"/>
        <v>4.7947619008942634E-12</v>
      </c>
      <c r="O6" s="11"/>
      <c r="P6" s="55">
        <v>6</v>
      </c>
      <c r="Q6" s="11">
        <f t="shared" si="1"/>
        <v>7</v>
      </c>
    </row>
    <row r="7" spans="1:17" x14ac:dyDescent="0.25">
      <c r="A7" s="11">
        <f>'Mastercurve bestimmen'!M124</f>
        <v>160</v>
      </c>
      <c r="B7" s="11">
        <f>'Mastercurve bestimmen'!N124</f>
        <v>11.285365554047905</v>
      </c>
      <c r="M7" s="54">
        <v>7</v>
      </c>
      <c r="N7" s="56">
        <f t="shared" si="0"/>
        <v>-4.6143963355436022E-14</v>
      </c>
      <c r="O7" s="11"/>
      <c r="P7" s="55">
        <v>7</v>
      </c>
      <c r="Q7" s="11">
        <f t="shared" si="1"/>
        <v>8</v>
      </c>
    </row>
    <row r="8" spans="1:17" x14ac:dyDescent="0.25">
      <c r="A8" s="11"/>
      <c r="B8" s="11"/>
      <c r="M8" s="54">
        <v>8</v>
      </c>
      <c r="N8" s="56">
        <f t="shared" si="0"/>
        <v>-3.2812076433992192E-16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-11.391292098198942</v>
      </c>
      <c r="E15" s="11">
        <f>A15-'Mastercurve bestimmen'!$B$2</f>
        <v>-120</v>
      </c>
      <c r="F15" s="11">
        <f>B15</f>
        <v>-11.391292098198942</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-11.320162586546104</v>
      </c>
      <c r="E16" s="11">
        <f>A16-'Mastercurve bestimmen'!$B$2</f>
        <v>-119</v>
      </c>
      <c r="F16" s="11">
        <f t="shared" ref="F16:F79" si="4">B16</f>
        <v>-11.320162586546104</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-11.248938508123944</v>
      </c>
      <c r="E17" s="11">
        <f>A17-'Mastercurve bestimmen'!$B$2</f>
        <v>-118</v>
      </c>
      <c r="F17" s="11">
        <f t="shared" si="4"/>
        <v>-11.248938508123944</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-11.177525296163131</v>
      </c>
      <c r="E18" s="11">
        <f>A18-'Mastercurve bestimmen'!$B$2</f>
        <v>-117</v>
      </c>
      <c r="F18" s="11">
        <f t="shared" si="4"/>
        <v>-11.177525296163131</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-11.105828383894343</v>
      </c>
      <c r="E19" s="11">
        <f>A19-'Mastercurve bestimmen'!$B$2</f>
        <v>-116</v>
      </c>
      <c r="F19" s="11">
        <f t="shared" si="4"/>
        <v>-11.105828383894343</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-11.033753204548255</v>
      </c>
      <c r="E20" s="11">
        <f>A20-'Mastercurve bestimmen'!$B$2</f>
        <v>-115</v>
      </c>
      <c r="F20" s="11">
        <f t="shared" si="4"/>
        <v>-11.033753204548255</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-10.961205191355541</v>
      </c>
      <c r="E21" s="11">
        <f>A21-'Mastercurve bestimmen'!$B$2</f>
        <v>-114</v>
      </c>
      <c r="F21" s="11">
        <f t="shared" si="4"/>
        <v>-10.961205191355541</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-10.888089777546874</v>
      </c>
      <c r="E22" s="11">
        <f>A22-'Mastercurve bestimmen'!$B$2</f>
        <v>-113</v>
      </c>
      <c r="F22" s="11">
        <f t="shared" si="4"/>
        <v>-10.888089777546874</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-10.814312396352934</v>
      </c>
      <c r="E23" s="11">
        <f>A23-'Mastercurve bestimmen'!$B$2</f>
        <v>-112</v>
      </c>
      <c r="F23" s="11">
        <f t="shared" si="4"/>
        <v>-10.814312396352934</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-10.739778481004391</v>
      </c>
      <c r="E24" s="11">
        <f>A24-'Mastercurve bestimmen'!$B$2</f>
        <v>-111</v>
      </c>
      <c r="F24" s="11">
        <f t="shared" si="4"/>
        <v>-10.739778481004391</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-10.664393464731923</v>
      </c>
      <c r="E25" s="11">
        <f>A25-'Mastercurve bestimmen'!$B$2</f>
        <v>-110</v>
      </c>
      <c r="F25" s="11">
        <f t="shared" si="4"/>
        <v>-10.664393464731923</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-10.588062780766201</v>
      </c>
      <c r="E26" s="11">
        <f>A26-'Mastercurve bestimmen'!$B$2</f>
        <v>-109</v>
      </c>
      <c r="F26" s="11">
        <f t="shared" si="4"/>
        <v>-10.588062780766201</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-10.510691862337904</v>
      </c>
      <c r="E27" s="11">
        <f>A27-'Mastercurve bestimmen'!$B$2</f>
        <v>-108</v>
      </c>
      <c r="F27" s="11">
        <f t="shared" si="4"/>
        <v>-10.510691862337904</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-10.432186142677704</v>
      </c>
      <c r="E28" s="11">
        <f>A28-'Mastercurve bestimmen'!$B$2</f>
        <v>-107</v>
      </c>
      <c r="F28" s="11">
        <f t="shared" si="4"/>
        <v>-10.432186142677704</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-10.352451055016278</v>
      </c>
      <c r="E29" s="11">
        <f>A29-'Mastercurve bestimmen'!$B$2</f>
        <v>-106</v>
      </c>
      <c r="F29" s="11">
        <f t="shared" si="4"/>
        <v>-10.352451055016278</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-10.271392032584298</v>
      </c>
      <c r="E30" s="11">
        <f>A30-'Mastercurve bestimmen'!$B$2</f>
        <v>-105</v>
      </c>
      <c r="F30" s="11">
        <f t="shared" si="4"/>
        <v>-10.271392032584298</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-10.188914508612442</v>
      </c>
      <c r="E31" s="11">
        <f>A31-'Mastercurve bestimmen'!$B$2</f>
        <v>-104</v>
      </c>
      <c r="F31" s="11">
        <f t="shared" si="4"/>
        <v>-10.188914508612442</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-10.104923916331384</v>
      </c>
      <c r="E32" s="11">
        <f>A32-'Mastercurve bestimmen'!$B$2</f>
        <v>-103</v>
      </c>
      <c r="F32" s="11">
        <f t="shared" si="4"/>
        <v>-10.104923916331384</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-10.019325688971795</v>
      </c>
      <c r="E33" s="11">
        <f>A33-'Mastercurve bestimmen'!$B$2</f>
        <v>-102</v>
      </c>
      <c r="F33" s="11">
        <f t="shared" si="4"/>
        <v>-10.019325688971795</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-9.9320252597643552</v>
      </c>
      <c r="E34" s="11">
        <f>A34-'Mastercurve bestimmen'!$B$2</f>
        <v>-101</v>
      </c>
      <c r="F34" s="11">
        <f t="shared" si="4"/>
        <v>-9.9320252597643552</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-9.8429280619397375</v>
      </c>
      <c r="E35" s="11">
        <f>A35-'Mastercurve bestimmen'!$B$2</f>
        <v>-100</v>
      </c>
      <c r="F35" s="11">
        <f t="shared" si="4"/>
        <v>-9.8429280619397375</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-9.7519395287286166</v>
      </c>
      <c r="E36" s="11">
        <f>A36-'Mastercurve bestimmen'!$B$2</f>
        <v>-99</v>
      </c>
      <c r="F36" s="11">
        <f t="shared" si="4"/>
        <v>-9.7519395287286166</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-9.6589650933616653</v>
      </c>
      <c r="E37" s="11">
        <f>A37-'Mastercurve bestimmen'!$B$2</f>
        <v>-98</v>
      </c>
      <c r="F37" s="11">
        <f t="shared" si="4"/>
        <v>-9.6589650933616653</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-9.5639101890695635</v>
      </c>
      <c r="E38" s="11">
        <f>A38-'Mastercurve bestimmen'!$B$2</f>
        <v>-97</v>
      </c>
      <c r="F38" s="11">
        <f t="shared" si="4"/>
        <v>-9.5639101890695635</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-9.4666802490829802</v>
      </c>
      <c r="E39" s="11">
        <f>A39-'Mastercurve bestimmen'!$B$2</f>
        <v>-96</v>
      </c>
      <c r="F39" s="11">
        <f t="shared" si="4"/>
        <v>-9.4666802490829802</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-9.3671807066325936</v>
      </c>
      <c r="E40" s="11">
        <f>A40-'Mastercurve bestimmen'!$B$2</f>
        <v>-95</v>
      </c>
      <c r="F40" s="11">
        <f t="shared" si="4"/>
        <v>-9.3671807066325936</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-9.2653169949490781</v>
      </c>
      <c r="E41" s="11">
        <f>A41-'Mastercurve bestimmen'!$B$2</f>
        <v>-94</v>
      </c>
      <c r="F41" s="11">
        <f t="shared" si="4"/>
        <v>-9.2653169949490781</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-9.1609945472631082</v>
      </c>
      <c r="E42" s="11">
        <f>A42-'Mastercurve bestimmen'!$B$2</f>
        <v>-93</v>
      </c>
      <c r="F42" s="11">
        <f t="shared" si="4"/>
        <v>-9.1609945472631082</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-9.0541187968053585</v>
      </c>
      <c r="E43" s="11">
        <f>A43-'Mastercurve bestimmen'!$B$2</f>
        <v>-92</v>
      </c>
      <c r="F43" s="11">
        <f t="shared" si="4"/>
        <v>-9.0541187968053585</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-8.9445951768065051</v>
      </c>
      <c r="E44" s="11">
        <f>A44-'Mastercurve bestimmen'!$B$2</f>
        <v>-91</v>
      </c>
      <c r="F44" s="11">
        <f t="shared" si="4"/>
        <v>-8.9445951768065051</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-8.8323291204972225</v>
      </c>
      <c r="E45" s="11">
        <f>A45-'Mastercurve bestimmen'!$B$2</f>
        <v>-90</v>
      </c>
      <c r="F45" s="11">
        <f t="shared" si="4"/>
        <v>-8.8323291204972225</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-8.7172260611081835</v>
      </c>
      <c r="E46" s="11">
        <f>A46-'Mastercurve bestimmen'!$B$2</f>
        <v>-89</v>
      </c>
      <c r="F46" s="11">
        <f t="shared" si="4"/>
        <v>-8.7172260611081835</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-8.5991914318700644</v>
      </c>
      <c r="E47" s="11">
        <f>A47-'Mastercurve bestimmen'!$B$2</f>
        <v>-88</v>
      </c>
      <c r="F47" s="11">
        <f t="shared" si="4"/>
        <v>-8.5991914318700644</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-8.4781306660135396</v>
      </c>
      <c r="E48" s="11">
        <f>A48-'Mastercurve bestimmen'!$B$2</f>
        <v>-87</v>
      </c>
      <c r="F48" s="11">
        <f t="shared" si="4"/>
        <v>-8.4781306660135396</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-8.3539491967692854</v>
      </c>
      <c r="E49" s="11">
        <f>A49-'Mastercurve bestimmen'!$B$2</f>
        <v>-86</v>
      </c>
      <c r="F49" s="11">
        <f t="shared" si="4"/>
        <v>-8.3539491967692854</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-8.2265524573679762</v>
      </c>
      <c r="E50" s="11">
        <f>A50-'Mastercurve bestimmen'!$B$2</f>
        <v>-85</v>
      </c>
      <c r="F50" s="11">
        <f t="shared" si="4"/>
        <v>-8.2265524573679762</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-8.0958458810402849</v>
      </c>
      <c r="E51" s="11">
        <f>A51-'Mastercurve bestimmen'!$B$2</f>
        <v>-84</v>
      </c>
      <c r="F51" s="11">
        <f t="shared" si="4"/>
        <v>-8.0958458810402849</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-7.9617349010168876</v>
      </c>
      <c r="E52" s="11">
        <f>A52-'Mastercurve bestimmen'!$B$2</f>
        <v>-83</v>
      </c>
      <c r="F52" s="11">
        <f t="shared" si="4"/>
        <v>-7.9617349010168876</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-7.8241249505284598</v>
      </c>
      <c r="E53" s="11">
        <f>A53-'Mastercurve bestimmen'!$B$2</f>
        <v>-82</v>
      </c>
      <c r="F53" s="11">
        <f t="shared" si="4"/>
        <v>-7.8241249505284598</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-7.6829214628056759</v>
      </c>
      <c r="E54" s="11">
        <f>A54-'Mastercurve bestimmen'!$B$2</f>
        <v>-81</v>
      </c>
      <c r="F54" s="11">
        <f t="shared" si="4"/>
        <v>-7.6829214628056759</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-7.5380298710792095</v>
      </c>
      <c r="E55" s="11">
        <f>A55-'Mastercurve bestimmen'!$B$2</f>
        <v>-80</v>
      </c>
      <c r="F55" s="11">
        <f t="shared" si="4"/>
        <v>-7.5380298710792095</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-7.4597389021356246</v>
      </c>
      <c r="E56" s="11">
        <f>A56-'Mastercurve bestimmen'!$B$2</f>
        <v>-79</v>
      </c>
      <c r="F56" s="11">
        <f t="shared" si="4"/>
        <v>-7.4597389021356246</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-7.3778869705019599</v>
      </c>
      <c r="E57" s="11">
        <f>A57-'Mastercurve bestimmen'!$B$2</f>
        <v>-78</v>
      </c>
      <c r="F57" s="11">
        <f t="shared" si="4"/>
        <v>-7.3778869705019599</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-7.292695784261138</v>
      </c>
      <c r="E58" s="11">
        <f>A58-'Mastercurve bestimmen'!$B$2</f>
        <v>-77</v>
      </c>
      <c r="F58" s="11">
        <f t="shared" si="4"/>
        <v>-7.292695784261138</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-7.2043870514960862</v>
      </c>
      <c r="E59" s="11">
        <f>A59-'Mastercurve bestimmen'!$B$2</f>
        <v>-76</v>
      </c>
      <c r="F59" s="11">
        <f t="shared" si="4"/>
        <v>-7.2043870514960862</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-7.1131824802897281</v>
      </c>
      <c r="E60" s="11">
        <f>A60-'Mastercurve bestimmen'!$B$2</f>
        <v>-75</v>
      </c>
      <c r="F60" s="11">
        <f t="shared" si="4"/>
        <v>-7.1131824802897281</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-7.0193037787249883</v>
      </c>
      <c r="E61" s="11">
        <f>A61-'Mastercurve bestimmen'!$B$2</f>
        <v>-74</v>
      </c>
      <c r="F61" s="11">
        <f t="shared" si="4"/>
        <v>-7.0193037787249883</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-6.9229726548847932</v>
      </c>
      <c r="E62" s="11">
        <f>A62-'Mastercurve bestimmen'!$B$2</f>
        <v>-73</v>
      </c>
      <c r="F62" s="11">
        <f t="shared" si="4"/>
        <v>-6.9229726548847932</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-6.8244108168520672</v>
      </c>
      <c r="E63" s="11">
        <f>A63-'Mastercurve bestimmen'!$B$2</f>
        <v>-72</v>
      </c>
      <c r="F63" s="11">
        <f t="shared" si="4"/>
        <v>-6.8244108168520672</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-6.7238399727097367</v>
      </c>
      <c r="E64" s="11">
        <f>A64-'Mastercurve bestimmen'!$B$2</f>
        <v>-71</v>
      </c>
      <c r="F64" s="11">
        <f t="shared" si="4"/>
        <v>-6.7238399727097367</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-6.6214818305407235</v>
      </c>
      <c r="E65" s="11">
        <f>A65-'Mastercurve bestimmen'!$B$2</f>
        <v>-70</v>
      </c>
      <c r="F65" s="11">
        <f t="shared" si="4"/>
        <v>-6.6214818305407235</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-6.5175580984279566</v>
      </c>
      <c r="E66" s="11">
        <f>A66-'Mastercurve bestimmen'!$B$2</f>
        <v>-69</v>
      </c>
      <c r="F66" s="11">
        <f t="shared" si="4"/>
        <v>-6.5175580984279566</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-6.4122904844543607</v>
      </c>
      <c r="E67" s="11">
        <f>A67-'Mastercurve bestimmen'!$B$2</f>
        <v>-68</v>
      </c>
      <c r="F67" s="11">
        <f t="shared" si="4"/>
        <v>-6.4122904844543607</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-6.3059006967028592</v>
      </c>
      <c r="E68" s="11">
        <f>A68-'Mastercurve bestimmen'!$B$2</f>
        <v>-67</v>
      </c>
      <c r="F68" s="11">
        <f t="shared" si="4"/>
        <v>-6.3059006967028592</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-6.1986104432563778</v>
      </c>
      <c r="E69" s="11">
        <f>A69-'Mastercurve bestimmen'!$B$2</f>
        <v>-66</v>
      </c>
      <c r="F69" s="11">
        <f t="shared" si="4"/>
        <v>-6.1986104432563778</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-6.0906414321978417</v>
      </c>
      <c r="E70" s="11">
        <f>A70-'Mastercurve bestimmen'!$B$2</f>
        <v>-65</v>
      </c>
      <c r="F70" s="11">
        <f t="shared" si="4"/>
        <v>-6.0906414321978417</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-5.9822153716101765</v>
      </c>
      <c r="E71" s="11">
        <f>A71-'Mastercurve bestimmen'!$B$2</f>
        <v>-64</v>
      </c>
      <c r="F71" s="11">
        <f t="shared" si="4"/>
        <v>-5.9822153716101765</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-5.8735539695763066</v>
      </c>
      <c r="E72" s="11">
        <f>A72-'Mastercurve bestimmen'!$B$2</f>
        <v>-63</v>
      </c>
      <c r="F72" s="11">
        <f t="shared" si="4"/>
        <v>-5.8735539695763066</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-5.7648789341791584</v>
      </c>
      <c r="E73" s="11">
        <f>A73-'Mastercurve bestimmen'!$B$2</f>
        <v>-62</v>
      </c>
      <c r="F73" s="11">
        <f t="shared" si="4"/>
        <v>-5.7648789341791584</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-5.6564119735016547</v>
      </c>
      <c r="E74" s="11">
        <f>A74-'Mastercurve bestimmen'!$B$2</f>
        <v>-61</v>
      </c>
      <c r="F74" s="11">
        <f t="shared" si="4"/>
        <v>-5.6564119735016547</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-5.5483747956267235</v>
      </c>
      <c r="E75" s="11">
        <f>A75-'Mastercurve bestimmen'!$B$2</f>
        <v>-60</v>
      </c>
      <c r="F75" s="11">
        <f t="shared" si="4"/>
        <v>-5.5483747956267235</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-5.4409891086372877</v>
      </c>
      <c r="E76" s="11">
        <f>A76-'Mastercurve bestimmen'!$B$2</f>
        <v>-59</v>
      </c>
      <c r="F76" s="11">
        <f t="shared" si="4"/>
        <v>-5.4409891086372877</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-5.3344766206162735</v>
      </c>
      <c r="E77" s="11">
        <f>A77-'Mastercurve bestimmen'!$B$2</f>
        <v>-58</v>
      </c>
      <c r="F77" s="11">
        <f t="shared" si="4"/>
        <v>-5.3344766206162735</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-5.2290590396466072</v>
      </c>
      <c r="E78" s="11">
        <f>A78-'Mastercurve bestimmen'!$B$2</f>
        <v>-57</v>
      </c>
      <c r="F78" s="11">
        <f t="shared" si="4"/>
        <v>-5.2290590396466072</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-5.1249580738112108</v>
      </c>
      <c r="E79" s="11">
        <f>A79-'Mastercurve bestimmen'!$B$2</f>
        <v>-56</v>
      </c>
      <c r="F79" s="11">
        <f t="shared" si="4"/>
        <v>-5.1249580738112108</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-5.0223954311930123</v>
      </c>
      <c r="E80" s="11">
        <f>A80-'Mastercurve bestimmen'!$B$2</f>
        <v>-55</v>
      </c>
      <c r="F80" s="11">
        <f t="shared" ref="F80:F143" si="10">B80</f>
        <v>-5.0223954311930123</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-4.9215413104619312</v>
      </c>
      <c r="E81" s="11">
        <f>A81-'Mastercurve bestimmen'!$B$2</f>
        <v>-54</v>
      </c>
      <c r="F81" s="11">
        <f t="shared" si="10"/>
        <v>-4.9215413104619312</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-4.8223598726358752</v>
      </c>
      <c r="E82" s="11">
        <f>A82-'Mastercurve bestimmen'!$B$2</f>
        <v>-53</v>
      </c>
      <c r="F82" s="11">
        <f t="shared" si="10"/>
        <v>-4.8223598726358752</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-4.7247637693197424</v>
      </c>
      <c r="E83" s="11">
        <f>A83-'Mastercurve bestimmen'!$B$2</f>
        <v>-52</v>
      </c>
      <c r="F83" s="11">
        <f t="shared" si="10"/>
        <v>-4.7247637693197424</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-4.6286656521184373</v>
      </c>
      <c r="E84" s="11">
        <f>A84-'Mastercurve bestimmen'!$B$2</f>
        <v>-51</v>
      </c>
      <c r="F84" s="11">
        <f t="shared" si="10"/>
        <v>-4.6286656521184373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-4.5339781726368624</v>
      </c>
      <c r="E85" s="11">
        <f>A85-'Mastercurve bestimmen'!$B$2</f>
        <v>-50</v>
      </c>
      <c r="F85" s="11">
        <f t="shared" si="10"/>
        <v>-4.5339781726368624</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-4.4406139824799169</v>
      </c>
      <c r="E86" s="11">
        <f>A86-'Mastercurve bestimmen'!$B$2</f>
        <v>-49</v>
      </c>
      <c r="F86" s="11">
        <f t="shared" si="10"/>
        <v>-4.4406139824799169</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-4.3484857332525042</v>
      </c>
      <c r="E87" s="11">
        <f>A87-'Mastercurve bestimmen'!$B$2</f>
        <v>-48</v>
      </c>
      <c r="F87" s="11">
        <f t="shared" si="10"/>
        <v>-4.3484857332525042</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-4.2575060765595243</v>
      </c>
      <c r="E88" s="11">
        <f>A88-'Mastercurve bestimmen'!$B$2</f>
        <v>-47</v>
      </c>
      <c r="F88" s="11">
        <f t="shared" si="10"/>
        <v>-4.2575060765595243</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-4.1675876640058807</v>
      </c>
      <c r="E89" s="11">
        <f>A89-'Mastercurve bestimmen'!$B$2</f>
        <v>-46</v>
      </c>
      <c r="F89" s="11">
        <f t="shared" si="10"/>
        <v>-4.1675876640058807</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-4.078643147196475</v>
      </c>
      <c r="E90" s="11">
        <f>A90-'Mastercurve bestimmen'!$B$2</f>
        <v>-45</v>
      </c>
      <c r="F90" s="11">
        <f t="shared" si="10"/>
        <v>-4.078643147196475</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-3.9905851777362069</v>
      </c>
      <c r="E91" s="11">
        <f>A91-'Mastercurve bestimmen'!$B$2</f>
        <v>-44</v>
      </c>
      <c r="F91" s="11">
        <f t="shared" si="10"/>
        <v>-3.9905851777362069</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-3.9033264072299803</v>
      </c>
      <c r="E92" s="11">
        <f>A92-'Mastercurve bestimmen'!$B$2</f>
        <v>-43</v>
      </c>
      <c r="F92" s="11">
        <f t="shared" si="10"/>
        <v>-3.9033264072299803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-3.8167794872826954</v>
      </c>
      <c r="E93" s="11">
        <f>A93-'Mastercurve bestimmen'!$B$2</f>
        <v>-42</v>
      </c>
      <c r="F93" s="11">
        <f t="shared" si="10"/>
        <v>-3.8167794872826954</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-3.7308570694992547</v>
      </c>
      <c r="E94" s="11">
        <f>A94-'Mastercurve bestimmen'!$B$2</f>
        <v>-41</v>
      </c>
      <c r="F94" s="11">
        <f t="shared" si="10"/>
        <v>-3.7308570694992547</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-3.6454718054845601</v>
      </c>
      <c r="E95" s="11">
        <f>A95-'Mastercurve bestimmen'!$B$2</f>
        <v>-40</v>
      </c>
      <c r="F95" s="11">
        <f t="shared" si="10"/>
        <v>-3.6454718054845601</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-3.5605363468435129</v>
      </c>
      <c r="E96" s="11">
        <f>A96-'Mastercurve bestimmen'!$B$2</f>
        <v>-39</v>
      </c>
      <c r="F96" s="11">
        <f t="shared" si="10"/>
        <v>-3.5605363468435129</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-3.4759633451810146</v>
      </c>
      <c r="E97" s="11">
        <f>A97-'Mastercurve bestimmen'!$B$2</f>
        <v>-38</v>
      </c>
      <c r="F97" s="11">
        <f t="shared" si="10"/>
        <v>-3.4759633451810146</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-3.3916654521019667</v>
      </c>
      <c r="E98" s="11">
        <f>A98-'Mastercurve bestimmen'!$B$2</f>
        <v>-37</v>
      </c>
      <c r="F98" s="11">
        <f t="shared" si="10"/>
        <v>-3.3916654521019667</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-3.3075553192112719</v>
      </c>
      <c r="E99" s="11">
        <f>A99-'Mastercurve bestimmen'!$B$2</f>
        <v>-36</v>
      </c>
      <c r="F99" s="11">
        <f t="shared" si="10"/>
        <v>-3.3075553192112719</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-3.2235455981138306</v>
      </c>
      <c r="E100" s="11">
        <f>A100-'Mastercurve bestimmen'!$B$2</f>
        <v>-35</v>
      </c>
      <c r="F100" s="11">
        <f t="shared" si="10"/>
        <v>-3.2235455981138306</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-3.1395489404145458</v>
      </c>
      <c r="E101" s="11">
        <f>A101-'Mastercurve bestimmen'!$B$2</f>
        <v>-34</v>
      </c>
      <c r="F101" s="11">
        <f t="shared" si="10"/>
        <v>-3.1395489404145458</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-3.0554779977183184</v>
      </c>
      <c r="E102" s="11">
        <f>A102-'Mastercurve bestimmen'!$B$2</f>
        <v>-33</v>
      </c>
      <c r="F102" s="11">
        <f t="shared" si="10"/>
        <v>-3.0554779977183184</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-2.9712454216300501</v>
      </c>
      <c r="E103" s="11">
        <f>A103-'Mastercurve bestimmen'!$B$2</f>
        <v>-32</v>
      </c>
      <c r="F103" s="11">
        <f t="shared" si="10"/>
        <v>-2.9712454216300501</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-2.8867638637546431</v>
      </c>
      <c r="E104" s="11">
        <f>A104-'Mastercurve bestimmen'!$B$2</f>
        <v>-31</v>
      </c>
      <c r="F104" s="11">
        <f t="shared" si="10"/>
        <v>-2.8867638637546431</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-2.8019459756969982</v>
      </c>
      <c r="E105" s="11">
        <f>A105-'Mastercurve bestimmen'!$B$2</f>
        <v>-30</v>
      </c>
      <c r="F105" s="11">
        <f t="shared" si="10"/>
        <v>-2.8019459756969982</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-2.716716713959813</v>
      </c>
      <c r="E106" s="11">
        <f>A106-'Mastercurve bestimmen'!$B$2</f>
        <v>-29</v>
      </c>
      <c r="F106" s="11">
        <f t="shared" si="10"/>
        <v>-2.716716713959813</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-2.6310502546369627</v>
      </c>
      <c r="E107" s="11">
        <f>A107-'Mastercurve bestimmen'!$B$2</f>
        <v>-28</v>
      </c>
      <c r="F107" s="11">
        <f t="shared" si="10"/>
        <v>-2.6310502546369627</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-2.5449330787201179</v>
      </c>
      <c r="E108" s="11">
        <f>A108-'Mastercurve bestimmen'!$B$2</f>
        <v>-27</v>
      </c>
      <c r="F108" s="11">
        <f t="shared" si="10"/>
        <v>-2.5449330787201179</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-2.4583516672009487</v>
      </c>
      <c r="E109" s="11">
        <f>A109-'Mastercurve bestimmen'!$B$2</f>
        <v>-26</v>
      </c>
      <c r="F109" s="11">
        <f t="shared" si="10"/>
        <v>-2.4583516672009487</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-2.3712925010711272</v>
      </c>
      <c r="E110" s="11">
        <f>A110-'Mastercurve bestimmen'!$B$2</f>
        <v>-25</v>
      </c>
      <c r="F110" s="11">
        <f t="shared" si="10"/>
        <v>-2.3712925010711272</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-2.2837420613223234</v>
      </c>
      <c r="E111" s="11">
        <f>A111-'Mastercurve bestimmen'!$B$2</f>
        <v>-24</v>
      </c>
      <c r="F111" s="11">
        <f t="shared" si="10"/>
        <v>-2.2837420613223234</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-2.195686828946207</v>
      </c>
      <c r="E112" s="11">
        <f>A112-'Mastercurve bestimmen'!$B$2</f>
        <v>-23</v>
      </c>
      <c r="F112" s="11">
        <f t="shared" si="10"/>
        <v>-2.195686828946207</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-2.1071132849344507</v>
      </c>
      <c r="E113" s="11">
        <f>A113-'Mastercurve bestimmen'!$B$2</f>
        <v>-22</v>
      </c>
      <c r="F113" s="11">
        <f t="shared" si="10"/>
        <v>-2.1071132849344507</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-2.0180079102787234</v>
      </c>
      <c r="E114" s="11">
        <f>A114-'Mastercurve bestimmen'!$B$2</f>
        <v>-21</v>
      </c>
      <c r="F114" s="11">
        <f t="shared" si="10"/>
        <v>-2.0180079102787234</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-1.9283571859706961</v>
      </c>
      <c r="E115" s="11">
        <f>A115-'Mastercurve bestimmen'!$B$2</f>
        <v>-20</v>
      </c>
      <c r="F115" s="11">
        <f t="shared" si="10"/>
        <v>-1.9283571859706961</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-1.8381475930020399</v>
      </c>
      <c r="E116" s="11">
        <f>A116-'Mastercurve bestimmen'!$B$2</f>
        <v>-19</v>
      </c>
      <c r="F116" s="11">
        <f t="shared" si="10"/>
        <v>-1.8381475930020399</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-1.747365612364425</v>
      </c>
      <c r="E117" s="11">
        <f>A117-'Mastercurve bestimmen'!$B$2</f>
        <v>-18</v>
      </c>
      <c r="F117" s="11">
        <f t="shared" si="10"/>
        <v>-1.747365612364425</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-1.6559977250495226</v>
      </c>
      <c r="E118" s="11">
        <f>A118-'Mastercurve bestimmen'!$B$2</f>
        <v>-17</v>
      </c>
      <c r="F118" s="11">
        <f t="shared" si="10"/>
        <v>-1.6559977250495226</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-1.5640304120490025</v>
      </c>
      <c r="E119" s="11">
        <f>A119-'Mastercurve bestimmen'!$B$2</f>
        <v>-16</v>
      </c>
      <c r="F119" s="11">
        <f t="shared" si="10"/>
        <v>-1.5640304120490025</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-1.4714501543545362</v>
      </c>
      <c r="E120" s="11">
        <f>A120-'Mastercurve bestimmen'!$B$2</f>
        <v>-15</v>
      </c>
      <c r="F120" s="11">
        <f t="shared" si="10"/>
        <v>-1.4714501543545362</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-1.3782434329577942</v>
      </c>
      <c r="E121" s="11">
        <f>A121-'Mastercurve bestimmen'!$B$2</f>
        <v>-14</v>
      </c>
      <c r="F121" s="11">
        <f t="shared" si="10"/>
        <v>-1.3782434329577942</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-1.2843967288504465</v>
      </c>
      <c r="E122" s="11">
        <f>A122-'Mastercurve bestimmen'!$B$2</f>
        <v>-13</v>
      </c>
      <c r="F122" s="11">
        <f t="shared" si="10"/>
        <v>-1.2843967288504465</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-1.1898965230241643</v>
      </c>
      <c r="E123" s="11">
        <f>A123-'Mastercurve bestimmen'!$B$2</f>
        <v>-12</v>
      </c>
      <c r="F123" s="11">
        <f t="shared" si="10"/>
        <v>-1.1898965230241643</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-1.0947292964706188</v>
      </c>
      <c r="E124" s="11">
        <f>A124-'Mastercurve bestimmen'!$B$2</f>
        <v>-11</v>
      </c>
      <c r="F124" s="11">
        <f t="shared" si="10"/>
        <v>-1.0947292964706188</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-0.99888153018147929</v>
      </c>
      <c r="E125" s="11">
        <f>A125-'Mastercurve bestimmen'!$B$2</f>
        <v>-10</v>
      </c>
      <c r="F125" s="11">
        <f t="shared" si="10"/>
        <v>-0.99888153018147929</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-0.90233970514841733</v>
      </c>
      <c r="E126" s="11">
        <f>A126-'Mastercurve bestimmen'!$B$2</f>
        <v>-9</v>
      </c>
      <c r="F126" s="11">
        <f t="shared" si="10"/>
        <v>-0.90233970514841733</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-0.80509030236310353</v>
      </c>
      <c r="E127" s="11">
        <f>A127-'Mastercurve bestimmen'!$B$2</f>
        <v>-8</v>
      </c>
      <c r="F127" s="11">
        <f t="shared" si="10"/>
        <v>-0.80509030236310353</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-0.70711980281720843</v>
      </c>
      <c r="E128" s="11">
        <f>A128-'Mastercurve bestimmen'!$B$2</f>
        <v>-7</v>
      </c>
      <c r="F128" s="11">
        <f t="shared" si="10"/>
        <v>-0.70711980281720843</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-0.60841468750240257</v>
      </c>
      <c r="E129" s="11">
        <f>A129-'Mastercurve bestimmen'!$B$2</f>
        <v>-6</v>
      </c>
      <c r="F129" s="11">
        <f t="shared" si="10"/>
        <v>-0.60841468750240257</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-0.5089614374103566</v>
      </c>
      <c r="E130" s="11">
        <f>A130-'Mastercurve bestimmen'!$B$2</f>
        <v>-5</v>
      </c>
      <c r="F130" s="11">
        <f t="shared" si="10"/>
        <v>-0.5089614374103566</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-0.40874653353274143</v>
      </c>
      <c r="E131" s="11">
        <f>A131-'Mastercurve bestimmen'!$B$2</f>
        <v>-4</v>
      </c>
      <c r="F131" s="11">
        <f t="shared" si="10"/>
        <v>-0.40874653353274143</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-0.30775645686122749</v>
      </c>
      <c r="E132" s="11">
        <f>A132-'Mastercurve bestimmen'!$B$2</f>
        <v>-3</v>
      </c>
      <c r="F132" s="11">
        <f t="shared" si="10"/>
        <v>-0.30775645686122749</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-0.20597768838748554</v>
      </c>
      <c r="E133" s="11">
        <f>A133-'Mastercurve bestimmen'!$B$2</f>
        <v>-2</v>
      </c>
      <c r="F133" s="11">
        <f t="shared" si="10"/>
        <v>-0.20597768838748554</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-0.10339670910318614</v>
      </c>
      <c r="E134" s="11">
        <f>A134-'Mastercurve bestimmen'!$B$2</f>
        <v>-1</v>
      </c>
      <c r="F134" s="11">
        <f t="shared" si="10"/>
        <v>-0.10339670910318614</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0.10422490367019262</v>
      </c>
      <c r="E136" s="11">
        <f>A136-'Mastercurve bestimmen'!$B$2</f>
        <v>1</v>
      </c>
      <c r="F136" s="11">
        <f t="shared" si="10"/>
        <v>0.10422490367019262</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0.20928624961467301</v>
      </c>
      <c r="E137" s="11">
        <f>A137-'Mastercurve bestimmen'!$B$2</f>
        <v>2</v>
      </c>
      <c r="F137" s="11">
        <f t="shared" si="10"/>
        <v>0.20928624961467301</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0.31519123128051296</v>
      </c>
      <c r="E138" s="11">
        <f>A138-'Mastercurve bestimmen'!$B$2</f>
        <v>3</v>
      </c>
      <c r="F138" s="11">
        <f t="shared" si="10"/>
        <v>0.31519123128051296</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0.42194704211478407</v>
      </c>
      <c r="E139" s="11">
        <f>A139-'Mastercurve bestimmen'!$B$2</f>
        <v>4</v>
      </c>
      <c r="F139" s="11">
        <f t="shared" si="10"/>
        <v>0.42194704211478407</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0.529560875564558</v>
      </c>
      <c r="E140" s="11">
        <f>A140-'Mastercurve bestimmen'!$B$2</f>
        <v>5</v>
      </c>
      <c r="F140" s="11">
        <f t="shared" si="10"/>
        <v>0.529560875564558</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0.63803992507690666</v>
      </c>
      <c r="E141" s="11">
        <f>A141-'Mastercurve bestimmen'!$B$2</f>
        <v>6</v>
      </c>
      <c r="F141" s="11">
        <f t="shared" si="10"/>
        <v>0.63803992507690666</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0.74739138409890149</v>
      </c>
      <c r="E142" s="11">
        <f>A142-'Mastercurve bestimmen'!$B$2</f>
        <v>7</v>
      </c>
      <c r="F142" s="11">
        <f t="shared" si="10"/>
        <v>0.74739138409890149</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0.8576224460776144</v>
      </c>
      <c r="E143" s="11">
        <f>A143-'Mastercurve bestimmen'!$B$2</f>
        <v>8</v>
      </c>
      <c r="F143" s="11">
        <f t="shared" si="10"/>
        <v>0.8576224460776144</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0.96874030446011683</v>
      </c>
      <c r="E144" s="11">
        <f>A144-'Mastercurve bestimmen'!$B$2</f>
        <v>9</v>
      </c>
      <c r="F144" s="11">
        <f t="shared" ref="F144:F207" si="15">B144</f>
        <v>0.96874030446011683</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1.0807521526934809</v>
      </c>
      <c r="E145" s="11">
        <f>A145-'Mastercurve bestimmen'!$B$2</f>
        <v>10</v>
      </c>
      <c r="F145" s="11">
        <f t="shared" si="15"/>
        <v>1.0807521526934809</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1.1936651842247779</v>
      </c>
      <c r="E146" s="11">
        <f>A146-'Mastercurve bestimmen'!$B$2</f>
        <v>11</v>
      </c>
      <c r="F146" s="11">
        <f t="shared" si="15"/>
        <v>1.1936651842247779</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1.3074865925010797</v>
      </c>
      <c r="E147" s="11">
        <f>A147-'Mastercurve bestimmen'!$B$2</f>
        <v>12</v>
      </c>
      <c r="F147" s="11">
        <f t="shared" si="15"/>
        <v>1.3074865925010797</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1.4222235709694582</v>
      </c>
      <c r="E148" s="11">
        <f>A148-'Mastercurve bestimmen'!$B$2</f>
        <v>13</v>
      </c>
      <c r="F148" s="11">
        <f t="shared" si="15"/>
        <v>1.4222235709694582</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1.5378833130769844</v>
      </c>
      <c r="E149" s="11">
        <f>A149-'Mastercurve bestimmen'!$B$2</f>
        <v>14</v>
      </c>
      <c r="F149" s="11">
        <f t="shared" si="15"/>
        <v>1.5378833130769844</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1.6544730122707307</v>
      </c>
      <c r="E150" s="11">
        <f>A150-'Mastercurve bestimmen'!$B$2</f>
        <v>15</v>
      </c>
      <c r="F150" s="11">
        <f t="shared" si="15"/>
        <v>1.6544730122707307</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1.7719998619977688</v>
      </c>
      <c r="E151" s="11">
        <f>A151-'Mastercurve bestimmen'!$B$2</f>
        <v>16</v>
      </c>
      <c r="F151" s="11">
        <f t="shared" si="15"/>
        <v>1.7719998619977688</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1.89047105570517</v>
      </c>
      <c r="E152" s="11">
        <f>A152-'Mastercurve bestimmen'!$B$2</f>
        <v>17</v>
      </c>
      <c r="F152" s="11">
        <f t="shared" si="15"/>
        <v>1.89047105570517</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2.009893786840006</v>
      </c>
      <c r="E153" s="11">
        <f>A153-'Mastercurve bestimmen'!$B$2</f>
        <v>18</v>
      </c>
      <c r="F153" s="11">
        <f t="shared" si="15"/>
        <v>2.009893786840006</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2.1302752488493488</v>
      </c>
      <c r="E154" s="11">
        <f>A154-'Mastercurve bestimmen'!$B$2</f>
        <v>19</v>
      </c>
      <c r="F154" s="11">
        <f t="shared" si="15"/>
        <v>2.1302752488493488</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2.2516226351802699</v>
      </c>
      <c r="E155" s="11">
        <f>A155-'Mastercurve bestimmen'!$B$2</f>
        <v>20</v>
      </c>
      <c r="F155" s="11">
        <f t="shared" si="15"/>
        <v>2.2516226351802699</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2.3739431392798416</v>
      </c>
      <c r="E156" s="11">
        <f>A156-'Mastercurve bestimmen'!$B$2</f>
        <v>21</v>
      </c>
      <c r="F156" s="11">
        <f t="shared" si="15"/>
        <v>2.3739431392798416</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2.4972439545951346</v>
      </c>
      <c r="E157" s="11">
        <f>A157-'Mastercurve bestimmen'!$B$2</f>
        <v>22</v>
      </c>
      <c r="F157" s="11">
        <f t="shared" si="15"/>
        <v>2.4972439545951346</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2.6215322745732212</v>
      </c>
      <c r="E158" s="11">
        <f>A158-'Mastercurve bestimmen'!$B$2</f>
        <v>23</v>
      </c>
      <c r="F158" s="11">
        <f t="shared" si="15"/>
        <v>2.6215322745732212</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2.7468152926611729</v>
      </c>
      <c r="E159" s="11">
        <f>A159-'Mastercurve bestimmen'!$B$2</f>
        <v>24</v>
      </c>
      <c r="F159" s="11">
        <f t="shared" si="15"/>
        <v>2.7468152926611729</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2.8731002023060617</v>
      </c>
      <c r="E160" s="11">
        <f>A160-'Mastercurve bestimmen'!$B$2</f>
        <v>25</v>
      </c>
      <c r="F160" s="11">
        <f t="shared" si="15"/>
        <v>2.8731002023060617</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3.0003941969549586</v>
      </c>
      <c r="E161" s="11">
        <f>A161-'Mastercurve bestimmen'!$B$2</f>
        <v>26</v>
      </c>
      <c r="F161" s="11">
        <f t="shared" si="15"/>
        <v>3.0003941969549586</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3.1287044700549358</v>
      </c>
      <c r="E162" s="11">
        <f>A162-'Mastercurve bestimmen'!$B$2</f>
        <v>27</v>
      </c>
      <c r="F162" s="11">
        <f t="shared" si="15"/>
        <v>3.1287044700549358</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3.2580382150530651</v>
      </c>
      <c r="E163" s="11">
        <f>A163-'Mastercurve bestimmen'!$B$2</f>
        <v>28</v>
      </c>
      <c r="F163" s="11">
        <f t="shared" si="15"/>
        <v>3.2580382150530651</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3.3884026253964179</v>
      </c>
      <c r="E164" s="11">
        <f>A164-'Mastercurve bestimmen'!$B$2</f>
        <v>29</v>
      </c>
      <c r="F164" s="11">
        <f t="shared" si="15"/>
        <v>3.3884026253964179</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3.5198048945320664</v>
      </c>
      <c r="E165" s="11">
        <f>A165-'Mastercurve bestimmen'!$B$2</f>
        <v>30</v>
      </c>
      <c r="F165" s="11">
        <f t="shared" si="15"/>
        <v>3.5198048945320664</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3.6522522159070818</v>
      </c>
      <c r="E166" s="11">
        <f>A166-'Mastercurve bestimmen'!$B$2</f>
        <v>31</v>
      </c>
      <c r="F166" s="11">
        <f t="shared" si="15"/>
        <v>3.6522522159070818</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3.7857517829685361</v>
      </c>
      <c r="E167" s="11">
        <f>A167-'Mastercurve bestimmen'!$B$2</f>
        <v>32</v>
      </c>
      <c r="F167" s="11">
        <f t="shared" si="15"/>
        <v>3.7857517829685361</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3.9203107891635005</v>
      </c>
      <c r="E168" s="11">
        <f>A168-'Mastercurve bestimmen'!$B$2</f>
        <v>33</v>
      </c>
      <c r="F168" s="11">
        <f t="shared" si="15"/>
        <v>3.9203107891635005</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4.0559364279390477</v>
      </c>
      <c r="E169" s="11">
        <f>A169-'Mastercurve bestimmen'!$B$2</f>
        <v>34</v>
      </c>
      <c r="F169" s="11">
        <f t="shared" si="15"/>
        <v>4.0559364279390477</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4.1926358927422482</v>
      </c>
      <c r="E170" s="11">
        <f>A170-'Mastercurve bestimmen'!$B$2</f>
        <v>35</v>
      </c>
      <c r="F170" s="11">
        <f t="shared" si="15"/>
        <v>4.1926358927422482</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4.3304163770201738</v>
      </c>
      <c r="E171" s="11">
        <f>A171-'Mastercurve bestimmen'!$B$2</f>
        <v>36</v>
      </c>
      <c r="F171" s="11">
        <f t="shared" si="15"/>
        <v>4.3304163770201738</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4.469285074219898</v>
      </c>
      <c r="E172" s="11">
        <f>A172-'Mastercurve bestimmen'!$B$2</f>
        <v>37</v>
      </c>
      <c r="F172" s="11">
        <f t="shared" si="15"/>
        <v>4.469285074219898</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4.6092491777884899</v>
      </c>
      <c r="E173" s="11">
        <f>A173-'Mastercurve bestimmen'!$B$2</f>
        <v>38</v>
      </c>
      <c r="F173" s="11">
        <f t="shared" si="15"/>
        <v>4.6092491777884899</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4.7503158811730231</v>
      </c>
      <c r="E174" s="11">
        <f>A174-'Mastercurve bestimmen'!$B$2</f>
        <v>39</v>
      </c>
      <c r="F174" s="11">
        <f t="shared" si="15"/>
        <v>4.7503158811730231</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4.8924923778205684</v>
      </c>
      <c r="E175" s="11">
        <f>A175-'Mastercurve bestimmen'!$B$2</f>
        <v>40</v>
      </c>
      <c r="F175" s="11">
        <f t="shared" si="15"/>
        <v>4.8924923778205684</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5.0357858611781978</v>
      </c>
      <c r="E176" s="11">
        <f>A176-'Mastercurve bestimmen'!$B$2</f>
        <v>41</v>
      </c>
      <c r="F176" s="11">
        <f t="shared" si="15"/>
        <v>5.0357858611781978</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5.180203524692983</v>
      </c>
      <c r="E177" s="11">
        <f>A177-'Mastercurve bestimmen'!$B$2</f>
        <v>42</v>
      </c>
      <c r="F177" s="11">
        <f t="shared" si="15"/>
        <v>5.180203524692983</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5.3257525618119947</v>
      </c>
      <c r="E178" s="11">
        <f>A178-'Mastercurve bestimmen'!$B$2</f>
        <v>43</v>
      </c>
      <c r="F178" s="11">
        <f t="shared" si="15"/>
        <v>5.3257525618119947</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5.4724401659823068</v>
      </c>
      <c r="E179" s="11">
        <f>A179-'Mastercurve bestimmen'!$B$2</f>
        <v>44</v>
      </c>
      <c r="F179" s="11">
        <f t="shared" si="15"/>
        <v>5.4724401659823068</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5.620273530650989</v>
      </c>
      <c r="E180" s="11">
        <f>A180-'Mastercurve bestimmen'!$B$2</f>
        <v>45</v>
      </c>
      <c r="F180" s="11">
        <f t="shared" si="15"/>
        <v>5.620273530650989</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5.7692531601003871</v>
      </c>
      <c r="E181" s="11">
        <f>A181-'Mastercurve bestimmen'!$B$2</f>
        <v>46</v>
      </c>
      <c r="F181" s="11">
        <f t="shared" si="15"/>
        <v>5.7692531601003871</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5.9193528019539272</v>
      </c>
      <c r="E182" s="11">
        <f>A182-'Mastercurve bestimmen'!$B$2</f>
        <v>47</v>
      </c>
      <c r="F182" s="11">
        <f t="shared" si="15"/>
        <v>5.9193528019539272</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6.0705395146703145</v>
      </c>
      <c r="E183" s="11">
        <f>A183-'Mastercurve bestimmen'!$B$2</f>
        <v>48</v>
      </c>
      <c r="F183" s="11">
        <f t="shared" si="15"/>
        <v>6.0705395146703145</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6.2227803567082498</v>
      </c>
      <c r="E184" s="11">
        <f>A184-'Mastercurve bestimmen'!$B$2</f>
        <v>49</v>
      </c>
      <c r="F184" s="11">
        <f t="shared" si="15"/>
        <v>6.2227803567082498</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6.3760423865264322</v>
      </c>
      <c r="E185" s="11">
        <f>A185-'Mastercurve bestimmen'!$B$2</f>
        <v>50</v>
      </c>
      <c r="F185" s="11">
        <f t="shared" si="15"/>
        <v>6.3760423865264322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6.530292662583566</v>
      </c>
      <c r="E186" s="11">
        <f>A186-'Mastercurve bestimmen'!$B$2</f>
        <v>51</v>
      </c>
      <c r="F186" s="11">
        <f t="shared" si="15"/>
        <v>6.530292662583566</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6.685498243338353</v>
      </c>
      <c r="E187" s="11">
        <f>A187-'Mastercurve bestimmen'!$B$2</f>
        <v>52</v>
      </c>
      <c r="F187" s="11">
        <f t="shared" si="15"/>
        <v>6.685498243338353</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6.8416261872494939</v>
      </c>
      <c r="E188" s="11">
        <f>A188-'Mastercurve bestimmen'!$B$2</f>
        <v>53</v>
      </c>
      <c r="F188" s="11">
        <f t="shared" si="15"/>
        <v>6.8416261872494939</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6.9986435527756887</v>
      </c>
      <c r="E189" s="11">
        <f>A189-'Mastercurve bestimmen'!$B$2</f>
        <v>54</v>
      </c>
      <c r="F189" s="11">
        <f t="shared" si="15"/>
        <v>6.9986435527756887</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7.1565173983756427</v>
      </c>
      <c r="E190" s="11">
        <f>A190-'Mastercurve bestimmen'!$B$2</f>
        <v>55</v>
      </c>
      <c r="F190" s="11">
        <f t="shared" si="15"/>
        <v>7.1565173983756427</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7.3152147825080549</v>
      </c>
      <c r="E191" s="11">
        <f>A191-'Mastercurve bestimmen'!$B$2</f>
        <v>56</v>
      </c>
      <c r="F191" s="11">
        <f t="shared" si="15"/>
        <v>7.3152147825080549</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7.4747027636316279</v>
      </c>
      <c r="E192" s="11">
        <f>A192-'Mastercurve bestimmen'!$B$2</f>
        <v>57</v>
      </c>
      <c r="F192" s="11">
        <f t="shared" si="15"/>
        <v>7.4747027636316279</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7.6349484002050634</v>
      </c>
      <c r="E193" s="11">
        <f>A193-'Mastercurve bestimmen'!$B$2</f>
        <v>58</v>
      </c>
      <c r="F193" s="11">
        <f t="shared" si="15"/>
        <v>7.6349484002050634</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7.7959187506870622</v>
      </c>
      <c r="E194" s="11">
        <f>A194-'Mastercurve bestimmen'!$B$2</f>
        <v>59</v>
      </c>
      <c r="F194" s="11">
        <f t="shared" si="15"/>
        <v>7.7959187506870622</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7.957580873536326</v>
      </c>
      <c r="E195" s="11">
        <f>A195-'Mastercurve bestimmen'!$B$2</f>
        <v>60</v>
      </c>
      <c r="F195" s="11">
        <f t="shared" si="15"/>
        <v>7.957580873536326</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8.1199018272115584</v>
      </c>
      <c r="E196" s="11">
        <f>A196-'Mastercurve bestimmen'!$B$2</f>
        <v>61</v>
      </c>
      <c r="F196" s="11">
        <f t="shared" si="15"/>
        <v>8.1199018272115584</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8.2828486701714592</v>
      </c>
      <c r="E197" s="11">
        <f>A197-'Mastercurve bestimmen'!$B$2</f>
        <v>62</v>
      </c>
      <c r="F197" s="11">
        <f t="shared" si="15"/>
        <v>8.2828486701714592</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8.4463884608747293</v>
      </c>
      <c r="E198" s="11">
        <f>A198-'Mastercurve bestimmen'!$B$2</f>
        <v>63</v>
      </c>
      <c r="F198" s="11">
        <f t="shared" si="15"/>
        <v>8.4463884608747293</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8.610488257780073</v>
      </c>
      <c r="E199" s="11">
        <f>A199-'Mastercurve bestimmen'!$B$2</f>
        <v>64</v>
      </c>
      <c r="F199" s="11">
        <f t="shared" si="15"/>
        <v>8.610488257780073</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8.7751151193461894</v>
      </c>
      <c r="E200" s="11">
        <f>A200-'Mastercurve bestimmen'!$B$2</f>
        <v>65</v>
      </c>
      <c r="F200" s="11">
        <f t="shared" si="15"/>
        <v>8.7751151193461894</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8.9402361040317828</v>
      </c>
      <c r="E201" s="11">
        <f>A201-'Mastercurve bestimmen'!$B$2</f>
        <v>66</v>
      </c>
      <c r="F201" s="11">
        <f t="shared" si="15"/>
        <v>8.9402361040317828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9.1058182702955506</v>
      </c>
      <c r="E202" s="11">
        <f>A202-'Mastercurve bestimmen'!$B$2</f>
        <v>67</v>
      </c>
      <c r="F202" s="11">
        <f t="shared" si="15"/>
        <v>9.1058182702955506</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9.2718286765961988</v>
      </c>
      <c r="E203" s="11">
        <f>A203-'Mastercurve bestimmen'!$B$2</f>
        <v>68</v>
      </c>
      <c r="F203" s="11">
        <f t="shared" si="15"/>
        <v>9.2718286765961988</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9.4382343813924265</v>
      </c>
      <c r="E204" s="11">
        <f>A204-'Mastercurve bestimmen'!$B$2</f>
        <v>69</v>
      </c>
      <c r="F204" s="11">
        <f t="shared" si="15"/>
        <v>9.4382343813924265</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9.6050024431429364</v>
      </c>
      <c r="E205" s="11">
        <f>A205-'Mastercurve bestimmen'!$B$2</f>
        <v>70</v>
      </c>
      <c r="F205" s="11">
        <f t="shared" si="15"/>
        <v>9.6050024431429364</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9.7720999203064309</v>
      </c>
      <c r="E206" s="11">
        <f>A206-'Mastercurve bestimmen'!$B$2</f>
        <v>71</v>
      </c>
      <c r="F206" s="11">
        <f t="shared" si="15"/>
        <v>9.7720999203064309</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9.939493871341611</v>
      </c>
      <c r="E207" s="11">
        <f>A207-'Mastercurve bestimmen'!$B$2</f>
        <v>72</v>
      </c>
      <c r="F207" s="11">
        <f t="shared" si="15"/>
        <v>9.939493871341611</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10.107151354707176</v>
      </c>
      <c r="E208" s="11">
        <f>A208-'Mastercurve bestimmen'!$B$2</f>
        <v>73</v>
      </c>
      <c r="F208" s="11">
        <f t="shared" ref="F208:F215" si="21">B208</f>
        <v>10.107151354707176</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10.275039428861829</v>
      </c>
      <c r="E209" s="11">
        <f>A209-'Mastercurve bestimmen'!$B$2</f>
        <v>74</v>
      </c>
      <c r="F209" s="11">
        <f t="shared" si="21"/>
        <v>10.275039428861829</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10.443125152264274</v>
      </c>
      <c r="E210" s="11">
        <f>A210-'Mastercurve bestimmen'!$B$2</f>
        <v>75</v>
      </c>
      <c r="F210" s="11">
        <f t="shared" si="21"/>
        <v>10.443125152264274</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10.611375583373212</v>
      </c>
      <c r="E211" s="11">
        <f>A211-'Mastercurve bestimmen'!$B$2</f>
        <v>76</v>
      </c>
      <c r="F211" s="11">
        <f t="shared" si="21"/>
        <v>10.611375583373212</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10.779757780647341</v>
      </c>
      <c r="E212" s="11">
        <f>A212-'Mastercurve bestimmen'!$B$2</f>
        <v>77</v>
      </c>
      <c r="F212" s="11">
        <f t="shared" si="21"/>
        <v>10.779757780647341</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10.948238802545363</v>
      </c>
      <c r="E213" s="11">
        <f>A213-'Mastercurve bestimmen'!$B$2</f>
        <v>78</v>
      </c>
      <c r="F213" s="11">
        <f t="shared" si="21"/>
        <v>10.948238802545363</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11.116785707525986</v>
      </c>
      <c r="E214" s="11">
        <f>A214-'Mastercurve bestimmen'!$B$2</f>
        <v>79</v>
      </c>
      <c r="F214" s="11">
        <f t="shared" si="21"/>
        <v>11.116785707525986</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11.285365554047907</v>
      </c>
      <c r="E215" s="11">
        <f>A215-'Mastercurve bestimmen'!$B$2</f>
        <v>80</v>
      </c>
      <c r="F215" s="11">
        <f t="shared" si="21"/>
        <v>11.285365554047907</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0.10366740825685988</v>
      </c>
      <c r="J217" s="98">
        <v>4.4482925966619083E-4</v>
      </c>
      <c r="K217" s="98">
        <v>1.4632495328708277E-6</v>
      </c>
      <c r="L217" s="98">
        <v>-4.3064568357082909E-8</v>
      </c>
      <c r="M217" s="98">
        <v>4.2640107424911168E-10</v>
      </c>
      <c r="N217" s="98">
        <v>4.7947619008942634E-12</v>
      </c>
      <c r="O217" s="98">
        <v>-4.6143963355436022E-14</v>
      </c>
      <c r="P217" s="98">
        <v>-3.2812076433992192E-16</v>
      </c>
    </row>
    <row r="218" spans="1:16" x14ac:dyDescent="0.25">
      <c r="G218" s="11"/>
      <c r="H218" s="11">
        <v>0</v>
      </c>
      <c r="I218" s="11">
        <v>2.5134779033352152E-4</v>
      </c>
      <c r="J218" s="11">
        <v>4.6817409165200098E-6</v>
      </c>
      <c r="K218" s="3">
        <v>2.3787735423189302E-7</v>
      </c>
      <c r="L218" s="3">
        <v>2.1659440667389445E-9</v>
      </c>
      <c r="M218" s="3">
        <v>6.8011049262694362E-11</v>
      </c>
      <c r="N218" s="3">
        <v>3.7372786241341522E-13</v>
      </c>
      <c r="O218" s="11">
        <v>6.0097616778112255E-15</v>
      </c>
      <c r="P218" s="11">
        <v>3.6545280076737082E-17</v>
      </c>
    </row>
    <row r="219" spans="1:16" x14ac:dyDescent="0.25">
      <c r="G219" s="11"/>
      <c r="H219" s="11">
        <v>0.99998460152840574</v>
      </c>
      <c r="I219" s="11">
        <v>2.6003119175780878E-2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-11.360428551090584</v>
      </c>
      <c r="G222">
        <f>F15</f>
        <v>-11.391292098198942</v>
      </c>
    </row>
    <row r="223" spans="1:16" x14ac:dyDescent="0.25">
      <c r="E223" s="11">
        <f t="shared" ref="E223:E286" si="25">E16</f>
        <v>-119</v>
      </c>
      <c r="F223" s="11">
        <f t="shared" ref="F223:F286" si="26">$H$217*0+E223*$I$217+E223^2*$J$217+E223^3*$K$217+E223^4*$L$217+E223^5*$M$217+E223^6*$N$217+E223^7*$O$217+E223^8*$P$217</f>
        <v>-11.299869447155142</v>
      </c>
      <c r="G223" s="11">
        <f t="shared" ref="G223:G286" si="27">F16</f>
        <v>-11.320162586546104</v>
      </c>
    </row>
    <row r="224" spans="1:16" x14ac:dyDescent="0.25">
      <c r="E224" s="11">
        <f t="shared" si="25"/>
        <v>-118</v>
      </c>
      <c r="F224" s="11">
        <f t="shared" si="26"/>
        <v>-11.238242808084763</v>
      </c>
      <c r="G224" s="11">
        <f t="shared" si="27"/>
        <v>-11.248938508123944</v>
      </c>
    </row>
    <row r="225" spans="5:7" x14ac:dyDescent="0.25">
      <c r="E225" s="11">
        <f t="shared" si="25"/>
        <v>-117</v>
      </c>
      <c r="F225" s="11">
        <f t="shared" si="26"/>
        <v>-11.175349987349399</v>
      </c>
      <c r="G225" s="11">
        <f t="shared" si="27"/>
        <v>-11.177525296163131</v>
      </c>
    </row>
    <row r="226" spans="5:7" x14ac:dyDescent="0.25">
      <c r="E226" s="11">
        <f t="shared" si="25"/>
        <v>-116</v>
      </c>
      <c r="F226" s="11">
        <f t="shared" si="26"/>
        <v>-11.111018573891938</v>
      </c>
      <c r="G226" s="11">
        <f t="shared" si="27"/>
        <v>-11.105828383894343</v>
      </c>
    </row>
    <row r="227" spans="5:7" x14ac:dyDescent="0.25">
      <c r="E227" s="11">
        <f t="shared" si="25"/>
        <v>-115</v>
      </c>
      <c r="F227" s="11">
        <f t="shared" si="26"/>
        <v>-11.045100774770111</v>
      </c>
      <c r="G227" s="11">
        <f t="shared" si="27"/>
        <v>-11.033753204548255</v>
      </c>
    </row>
    <row r="228" spans="5:7" x14ac:dyDescent="0.25">
      <c r="E228" s="11">
        <f t="shared" si="25"/>
        <v>-114</v>
      </c>
      <c r="F228" s="11">
        <f t="shared" si="26"/>
        <v>-10.977471857690936</v>
      </c>
      <c r="G228" s="11">
        <f t="shared" si="27"/>
        <v>-10.961205191355541</v>
      </c>
    </row>
    <row r="229" spans="5:7" x14ac:dyDescent="0.25">
      <c r="E229" s="11">
        <f t="shared" si="25"/>
        <v>-113</v>
      </c>
      <c r="F229" s="11">
        <f t="shared" si="26"/>
        <v>-10.908028652128868</v>
      </c>
      <c r="G229" s="11">
        <f t="shared" si="27"/>
        <v>-10.888089777546874</v>
      </c>
    </row>
    <row r="230" spans="5:7" x14ac:dyDescent="0.25">
      <c r="E230" s="11">
        <f t="shared" si="25"/>
        <v>-112</v>
      </c>
      <c r="F230" s="11">
        <f t="shared" si="26"/>
        <v>-10.836688107732265</v>
      </c>
      <c r="G230" s="11">
        <f t="shared" si="27"/>
        <v>-10.814312396352934</v>
      </c>
    </row>
    <row r="231" spans="5:7" x14ac:dyDescent="0.25">
      <c r="E231" s="11">
        <f t="shared" si="25"/>
        <v>-111</v>
      </c>
      <c r="F231" s="11">
        <f t="shared" si="26"/>
        <v>-10.763385908735877</v>
      </c>
      <c r="G231" s="11">
        <f t="shared" si="27"/>
        <v>-10.739778481004391</v>
      </c>
    </row>
    <row r="232" spans="5:7" x14ac:dyDescent="0.25">
      <c r="E232" s="11">
        <f t="shared" si="25"/>
        <v>-110</v>
      </c>
      <c r="F232" s="11">
        <f t="shared" si="26"/>
        <v>-10.688075143110368</v>
      </c>
      <c r="G232" s="11">
        <f t="shared" si="27"/>
        <v>-10.664393464731923</v>
      </c>
    </row>
    <row r="233" spans="5:7" x14ac:dyDescent="0.25">
      <c r="E233" s="11">
        <f t="shared" si="25"/>
        <v>-109</v>
      </c>
      <c r="F233" s="11">
        <f t="shared" si="26"/>
        <v>-10.610725025193011</v>
      </c>
      <c r="G233" s="11">
        <f t="shared" si="27"/>
        <v>-10.588062780766201</v>
      </c>
    </row>
    <row r="234" spans="5:7" x14ac:dyDescent="0.25">
      <c r="E234" s="11">
        <f t="shared" si="25"/>
        <v>-108</v>
      </c>
      <c r="F234" s="11">
        <f t="shared" si="26"/>
        <v>-10.531319670557123</v>
      </c>
      <c r="G234" s="11">
        <f t="shared" si="27"/>
        <v>-10.510691862337904</v>
      </c>
    </row>
    <row r="235" spans="5:7" x14ac:dyDescent="0.25">
      <c r="E235" s="11">
        <f t="shared" si="25"/>
        <v>-107</v>
      </c>
      <c r="F235" s="11">
        <f t="shared" si="26"/>
        <v>-10.449856921890738</v>
      </c>
      <c r="G235" s="11">
        <f t="shared" si="27"/>
        <v>-10.432186142677704</v>
      </c>
    </row>
    <row r="236" spans="5:7" x14ac:dyDescent="0.25">
      <c r="E236" s="11">
        <f t="shared" si="25"/>
        <v>-106</v>
      </c>
      <c r="F236" s="11">
        <f t="shared" si="26"/>
        <v>-10.366347224668605</v>
      </c>
      <c r="G236" s="11">
        <f t="shared" si="27"/>
        <v>-10.352451055016278</v>
      </c>
    </row>
    <row r="237" spans="5:7" x14ac:dyDescent="0.25">
      <c r="E237" s="11">
        <f t="shared" si="25"/>
        <v>-105</v>
      </c>
      <c r="F237" s="11">
        <f t="shared" si="26"/>
        <v>-10.280812551414488</v>
      </c>
      <c r="G237" s="11">
        <f t="shared" si="27"/>
        <v>-10.271392032584298</v>
      </c>
    </row>
    <row r="238" spans="5:7" x14ac:dyDescent="0.25">
      <c r="E238" s="11">
        <f t="shared" si="25"/>
        <v>-104</v>
      </c>
      <c r="F238" s="11">
        <f t="shared" si="26"/>
        <v>-10.193285373364191</v>
      </c>
      <c r="G238" s="11">
        <f t="shared" si="27"/>
        <v>-10.188914508612442</v>
      </c>
    </row>
    <row r="239" spans="5:7" x14ac:dyDescent="0.25">
      <c r="E239" s="11">
        <f t="shared" si="25"/>
        <v>-103</v>
      </c>
      <c r="F239" s="11">
        <f t="shared" si="26"/>
        <v>-10.103807678352922</v>
      </c>
      <c r="G239" s="11">
        <f t="shared" si="27"/>
        <v>-10.104923916331384</v>
      </c>
    </row>
    <row r="240" spans="5:7" x14ac:dyDescent="0.25">
      <c r="E240" s="11">
        <f t="shared" si="25"/>
        <v>-102</v>
      </c>
      <c r="F240" s="11">
        <f t="shared" si="26"/>
        <v>-10.012430033763751</v>
      </c>
      <c r="G240" s="11">
        <f t="shared" si="27"/>
        <v>-10.019325688971795</v>
      </c>
    </row>
    <row r="241" spans="5:7" x14ac:dyDescent="0.25">
      <c r="E241" s="11">
        <f t="shared" si="25"/>
        <v>-101</v>
      </c>
      <c r="F241" s="11">
        <f t="shared" si="26"/>
        <v>-9.9192106933872672</v>
      </c>
      <c r="G241" s="11">
        <f t="shared" si="27"/>
        <v>-9.9320252597643552</v>
      </c>
    </row>
    <row r="242" spans="5:7" x14ac:dyDescent="0.25">
      <c r="E242" s="11">
        <f t="shared" si="25"/>
        <v>-100</v>
      </c>
      <c r="F242" s="11">
        <f t="shared" si="26"/>
        <v>-9.8242147470556684</v>
      </c>
      <c r="G242" s="11">
        <f t="shared" si="27"/>
        <v>-9.8429280619397375</v>
      </c>
    </row>
    <row r="243" spans="5:7" x14ac:dyDescent="0.25">
      <c r="E243" s="11">
        <f t="shared" si="25"/>
        <v>-99</v>
      </c>
      <c r="F243" s="11">
        <f t="shared" si="26"/>
        <v>-9.7275133119278223</v>
      </c>
      <c r="G243" s="11">
        <f t="shared" si="27"/>
        <v>-9.7519395287286166</v>
      </c>
    </row>
    <row r="244" spans="5:7" x14ac:dyDescent="0.25">
      <c r="E244" s="11">
        <f t="shared" si="25"/>
        <v>-98</v>
      </c>
      <c r="F244" s="11">
        <f t="shared" si="26"/>
        <v>-9.6291827643150452</v>
      </c>
      <c r="G244" s="11">
        <f t="shared" si="27"/>
        <v>-9.6589650933616653</v>
      </c>
    </row>
    <row r="245" spans="5:7" x14ac:dyDescent="0.25">
      <c r="E245" s="11">
        <f t="shared" si="25"/>
        <v>-97</v>
      </c>
      <c r="F245" s="11">
        <f t="shared" si="26"/>
        <v>-9.5293040109505096</v>
      </c>
      <c r="G245" s="11">
        <f t="shared" si="27"/>
        <v>-9.5639101890695635</v>
      </c>
    </row>
    <row r="246" spans="5:7" x14ac:dyDescent="0.25">
      <c r="E246" s="11">
        <f t="shared" si="25"/>
        <v>-96</v>
      </c>
      <c r="F246" s="11">
        <f t="shared" si="26"/>
        <v>-9.4279617986185613</v>
      </c>
      <c r="G246" s="11">
        <f t="shared" si="27"/>
        <v>-9.4666802490829802</v>
      </c>
    </row>
    <row r="247" spans="5:7" x14ac:dyDescent="0.25">
      <c r="E247" s="11">
        <f t="shared" si="25"/>
        <v>-95</v>
      </c>
      <c r="F247" s="11">
        <f t="shared" si="26"/>
        <v>-9.3252440610732847</v>
      </c>
      <c r="G247" s="11">
        <f t="shared" si="27"/>
        <v>-9.3671807066325936</v>
      </c>
    </row>
    <row r="248" spans="5:7" x14ac:dyDescent="0.25">
      <c r="E248" s="11">
        <f t="shared" si="25"/>
        <v>-94</v>
      </c>
      <c r="F248" s="11">
        <f t="shared" si="26"/>
        <v>-9.2212413021890516</v>
      </c>
      <c r="G248" s="11">
        <f t="shared" si="27"/>
        <v>-9.2653169949490781</v>
      </c>
    </row>
    <row r="249" spans="5:7" x14ac:dyDescent="0.25">
      <c r="E249" s="11">
        <f t="shared" si="25"/>
        <v>-93</v>
      </c>
      <c r="F249" s="11">
        <f t="shared" si="26"/>
        <v>-9.1160460142988953</v>
      </c>
      <c r="G249" s="11">
        <f t="shared" si="27"/>
        <v>-9.1609945472631082</v>
      </c>
    </row>
    <row r="250" spans="5:7" x14ac:dyDescent="0.25">
      <c r="E250" s="11">
        <f t="shared" si="25"/>
        <v>-92</v>
      </c>
      <c r="F250" s="11">
        <f t="shared" si="26"/>
        <v>-9.0097521306898258</v>
      </c>
      <c r="G250" s="11">
        <f t="shared" si="27"/>
        <v>-9.0541187968053585</v>
      </c>
    </row>
    <row r="251" spans="5:7" x14ac:dyDescent="0.25">
      <c r="E251" s="11">
        <f t="shared" si="25"/>
        <v>-91</v>
      </c>
      <c r="F251" s="11">
        <f t="shared" si="26"/>
        <v>-8.9024545112374796</v>
      </c>
      <c r="G251" s="11">
        <f t="shared" si="27"/>
        <v>-8.9445951768065051</v>
      </c>
    </row>
    <row r="252" spans="5:7" x14ac:dyDescent="0.25">
      <c r="E252" s="11">
        <f t="shared" si="25"/>
        <v>-90</v>
      </c>
      <c r="F252" s="11">
        <f t="shared" si="26"/>
        <v>-8.7942484601755915</v>
      </c>
      <c r="G252" s="11">
        <f t="shared" si="27"/>
        <v>-8.8323291204972225</v>
      </c>
    </row>
    <row r="253" spans="5:7" x14ac:dyDescent="0.25">
      <c r="E253" s="11">
        <f t="shared" si="25"/>
        <v>-89</v>
      </c>
      <c r="F253" s="11">
        <f t="shared" si="26"/>
        <v>-8.6852292750092062</v>
      </c>
      <c r="G253" s="11">
        <f t="shared" si="27"/>
        <v>-8.7172260611081835</v>
      </c>
    </row>
    <row r="254" spans="5:7" x14ac:dyDescent="0.25">
      <c r="E254" s="11">
        <f t="shared" si="25"/>
        <v>-88</v>
      </c>
      <c r="F254" s="11">
        <f t="shared" si="26"/>
        <v>-8.5754918255935877</v>
      </c>
      <c r="G254" s="11">
        <f t="shared" si="27"/>
        <v>-8.5991914318700644</v>
      </c>
    </row>
    <row r="255" spans="5:7" x14ac:dyDescent="0.25">
      <c r="E255" s="11">
        <f t="shared" si="25"/>
        <v>-87</v>
      </c>
      <c r="F255" s="11">
        <f t="shared" si="26"/>
        <v>-8.4651301624140842</v>
      </c>
      <c r="G255" s="11">
        <f t="shared" si="27"/>
        <v>-8.4781306660135396</v>
      </c>
    </row>
    <row r="256" spans="5:7" x14ac:dyDescent="0.25">
      <c r="E256" s="11">
        <f t="shared" si="25"/>
        <v>-86</v>
      </c>
      <c r="F256" s="11">
        <f t="shared" si="26"/>
        <v>-8.3542371531155339</v>
      </c>
      <c r="G256" s="11">
        <f t="shared" si="27"/>
        <v>-8.3539491967692854</v>
      </c>
    </row>
    <row r="257" spans="5:7" x14ac:dyDescent="0.25">
      <c r="E257" s="11">
        <f t="shared" si="25"/>
        <v>-85</v>
      </c>
      <c r="F257" s="11">
        <f t="shared" si="26"/>
        <v>-8.2429041463428128</v>
      </c>
      <c r="G257" s="11">
        <f t="shared" si="27"/>
        <v>-8.2265524573679762</v>
      </c>
    </row>
    <row r="258" spans="5:7" x14ac:dyDescent="0.25">
      <c r="E258" s="11">
        <f t="shared" si="25"/>
        <v>-84</v>
      </c>
      <c r="F258" s="11">
        <f t="shared" si="26"/>
        <v>-8.1312206619676104</v>
      </c>
      <c r="G258" s="11">
        <f t="shared" si="27"/>
        <v>-8.0958458810402849</v>
      </c>
    </row>
    <row r="259" spans="5:7" x14ac:dyDescent="0.25">
      <c r="E259" s="11">
        <f t="shared" si="25"/>
        <v>-83</v>
      </c>
      <c r="F259" s="11">
        <f t="shared" si="26"/>
        <v>-8.0192741067895028</v>
      </c>
      <c r="G259" s="11">
        <f t="shared" si="27"/>
        <v>-7.9617349010168876</v>
      </c>
    </row>
    <row r="260" spans="5:7" x14ac:dyDescent="0.25">
      <c r="E260" s="11">
        <f t="shared" si="25"/>
        <v>-82</v>
      </c>
      <c r="F260" s="11">
        <f t="shared" si="26"/>
        <v>-7.9071495148127937</v>
      </c>
      <c r="G260" s="11">
        <f t="shared" si="27"/>
        <v>-7.8241249505284598</v>
      </c>
    </row>
    <row r="261" spans="5:7" x14ac:dyDescent="0.25">
      <c r="E261" s="11">
        <f t="shared" si="25"/>
        <v>-81</v>
      </c>
      <c r="F261" s="11">
        <f t="shared" si="26"/>
        <v>-7.7949293112138109</v>
      </c>
      <c r="G261" s="11">
        <f t="shared" si="27"/>
        <v>-7.6829214628056759</v>
      </c>
    </row>
    <row r="262" spans="5:7" x14ac:dyDescent="0.25">
      <c r="E262" s="11">
        <f t="shared" si="25"/>
        <v>-80</v>
      </c>
      <c r="F262" s="11">
        <f t="shared" si="26"/>
        <v>-7.6826930991264142</v>
      </c>
      <c r="G262" s="11">
        <f t="shared" si="27"/>
        <v>-7.5380298710792095</v>
      </c>
    </row>
    <row r="263" spans="5:7" x14ac:dyDescent="0.25">
      <c r="E263" s="11">
        <f t="shared" si="25"/>
        <v>-79</v>
      </c>
      <c r="F263" s="11">
        <f t="shared" si="26"/>
        <v>-7.5705174683869547</v>
      </c>
      <c r="G263" s="11">
        <f t="shared" si="27"/>
        <v>-7.4597389021356246</v>
      </c>
    </row>
    <row r="264" spans="5:7" x14ac:dyDescent="0.25">
      <c r="E264" s="11">
        <f t="shared" si="25"/>
        <v>-78</v>
      </c>
      <c r="F264" s="11">
        <f t="shared" si="26"/>
        <v>-7.4584758253929095</v>
      </c>
      <c r="G264" s="11">
        <f t="shared" si="27"/>
        <v>-7.3778869705019599</v>
      </c>
    </row>
    <row r="265" spans="5:7" x14ac:dyDescent="0.25">
      <c r="E265" s="11">
        <f t="shared" si="25"/>
        <v>-77</v>
      </c>
      <c r="F265" s="11">
        <f t="shared" si="26"/>
        <v>-7.3466382432428352</v>
      </c>
      <c r="G265" s="11">
        <f t="shared" si="27"/>
        <v>-7.292695784261138</v>
      </c>
    </row>
    <row r="266" spans="5:7" x14ac:dyDescent="0.25">
      <c r="E266" s="11">
        <f t="shared" si="25"/>
        <v>-76</v>
      </c>
      <c r="F266" s="11">
        <f t="shared" si="26"/>
        <v>-7.2350713313383865</v>
      </c>
      <c r="G266" s="11">
        <f t="shared" si="27"/>
        <v>-7.2043870514960862</v>
      </c>
    </row>
    <row r="267" spans="5:7" x14ac:dyDescent="0.25">
      <c r="E267" s="11">
        <f t="shared" si="25"/>
        <v>-75</v>
      </c>
      <c r="F267" s="11">
        <f t="shared" si="26"/>
        <v>-7.1238381236424386</v>
      </c>
      <c r="G267" s="11">
        <f t="shared" si="27"/>
        <v>-7.1131824802897281</v>
      </c>
    </row>
    <row r="268" spans="5:7" x14ac:dyDescent="0.25">
      <c r="E268" s="11">
        <f t="shared" si="25"/>
        <v>-74</v>
      </c>
      <c r="F268" s="11">
        <f t="shared" si="26"/>
        <v>-7.0129979848005695</v>
      </c>
      <c r="G268" s="11">
        <f t="shared" si="27"/>
        <v>-7.0193037787249883</v>
      </c>
    </row>
    <row r="269" spans="5:7" x14ac:dyDescent="0.25">
      <c r="E269" s="11">
        <f t="shared" si="25"/>
        <v>-73</v>
      </c>
      <c r="F269" s="11">
        <f t="shared" si="26"/>
        <v>-6.9026065333463951</v>
      </c>
      <c r="G269" s="11">
        <f t="shared" si="27"/>
        <v>-6.9229726548847932</v>
      </c>
    </row>
    <row r="270" spans="5:7" x14ac:dyDescent="0.25">
      <c r="E270" s="11">
        <f t="shared" si="25"/>
        <v>-72</v>
      </c>
      <c r="F270" s="11">
        <f t="shared" si="26"/>
        <v>-6.7927155812244342</v>
      </c>
      <c r="G270" s="11">
        <f t="shared" si="27"/>
        <v>-6.8244108168520672</v>
      </c>
    </row>
    <row r="271" spans="5:7" x14ac:dyDescent="0.25">
      <c r="E271" s="11">
        <f t="shared" si="25"/>
        <v>-71</v>
      </c>
      <c r="F271" s="11">
        <f t="shared" si="26"/>
        <v>-6.6833730888775094</v>
      </c>
      <c r="G271" s="11">
        <f t="shared" si="27"/>
        <v>-6.7238399727097367</v>
      </c>
    </row>
    <row r="272" spans="5:7" x14ac:dyDescent="0.25">
      <c r="E272" s="11">
        <f t="shared" si="25"/>
        <v>-70</v>
      </c>
      <c r="F272" s="11">
        <f t="shared" si="26"/>
        <v>-6.5746231351587792</v>
      </c>
      <c r="G272" s="11">
        <f t="shared" si="27"/>
        <v>-6.6214818305407235</v>
      </c>
    </row>
    <row r="273" spans="5:7" x14ac:dyDescent="0.25">
      <c r="E273" s="11">
        <f t="shared" si="25"/>
        <v>-69</v>
      </c>
      <c r="F273" s="11">
        <f t="shared" si="26"/>
        <v>-6.4665059013418809</v>
      </c>
      <c r="G273" s="11">
        <f t="shared" si="27"/>
        <v>-6.5175580984279566</v>
      </c>
    </row>
    <row r="274" spans="5:7" x14ac:dyDescent="0.25">
      <c r="E274" s="11">
        <f t="shared" si="25"/>
        <v>-68</v>
      </c>
      <c r="F274" s="11">
        <f t="shared" si="26"/>
        <v>-6.3590576685157494</v>
      </c>
      <c r="G274" s="11">
        <f t="shared" si="27"/>
        <v>-6.4122904844543607</v>
      </c>
    </row>
    <row r="275" spans="5:7" x14ac:dyDescent="0.25">
      <c r="E275" s="11">
        <f t="shared" si="25"/>
        <v>-67</v>
      </c>
      <c r="F275" s="11">
        <f t="shared" si="26"/>
        <v>-6.252310827664032</v>
      </c>
      <c r="G275" s="11">
        <f t="shared" si="27"/>
        <v>-6.3059006967028592</v>
      </c>
    </row>
    <row r="276" spans="5:7" x14ac:dyDescent="0.25">
      <c r="E276" s="11">
        <f t="shared" si="25"/>
        <v>-66</v>
      </c>
      <c r="F276" s="11">
        <f t="shared" si="26"/>
        <v>-6.1462939017421592</v>
      </c>
      <c r="G276" s="11">
        <f t="shared" si="27"/>
        <v>-6.1986104432563778</v>
      </c>
    </row>
    <row r="277" spans="5:7" x14ac:dyDescent="0.25">
      <c r="E277" s="11">
        <f t="shared" si="25"/>
        <v>-65</v>
      </c>
      <c r="F277" s="11">
        <f t="shared" si="26"/>
        <v>-6.0410315790783802</v>
      </c>
      <c r="G277" s="11">
        <f t="shared" si="27"/>
        <v>-6.0906414321978417</v>
      </c>
    </row>
    <row r="278" spans="5:7" x14ac:dyDescent="0.25">
      <c r="E278" s="11">
        <f t="shared" si="25"/>
        <v>-64</v>
      </c>
      <c r="F278" s="11">
        <f t="shared" si="26"/>
        <v>-5.936544757438365</v>
      </c>
      <c r="G278" s="11">
        <f t="shared" si="27"/>
        <v>-5.9822153716101765</v>
      </c>
    </row>
    <row r="279" spans="5:7" x14ac:dyDescent="0.25">
      <c r="E279" s="11">
        <f t="shared" si="25"/>
        <v>-63</v>
      </c>
      <c r="F279" s="11">
        <f t="shared" si="26"/>
        <v>-5.8328505981061118</v>
      </c>
      <c r="G279" s="11">
        <f t="shared" si="27"/>
        <v>-5.8735539695763066</v>
      </c>
    </row>
    <row r="280" spans="5:7" x14ac:dyDescent="0.25">
      <c r="E280" s="11">
        <f t="shared" si="25"/>
        <v>-62</v>
      </c>
      <c r="F280" s="11">
        <f t="shared" si="26"/>
        <v>-5.7299625893471822</v>
      </c>
      <c r="G280" s="11">
        <f t="shared" si="27"/>
        <v>-5.7648789341791584</v>
      </c>
    </row>
    <row r="281" spans="5:7" x14ac:dyDescent="0.25">
      <c r="E281" s="11">
        <f t="shared" si="25"/>
        <v>-61</v>
      </c>
      <c r="F281" s="11">
        <f t="shared" si="26"/>
        <v>-5.6278906186335131</v>
      </c>
      <c r="G281" s="11">
        <f t="shared" si="27"/>
        <v>-5.6564119735016547</v>
      </c>
    </row>
    <row r="282" spans="5:7" x14ac:dyDescent="0.25">
      <c r="E282" s="11">
        <f t="shared" si="25"/>
        <v>-60</v>
      </c>
      <c r="F282" s="11">
        <f t="shared" si="26"/>
        <v>-5.5266410530222698</v>
      </c>
      <c r="G282" s="11">
        <f t="shared" si="27"/>
        <v>-5.5483747956267235</v>
      </c>
    </row>
    <row r="283" spans="5:7" x14ac:dyDescent="0.25">
      <c r="E283" s="11">
        <f t="shared" si="25"/>
        <v>-59</v>
      </c>
      <c r="F283" s="11">
        <f t="shared" si="26"/>
        <v>-5.4262168270944438</v>
      </c>
      <c r="G283" s="11">
        <f t="shared" si="27"/>
        <v>-5.4409891086372877</v>
      </c>
    </row>
    <row r="284" spans="5:7" x14ac:dyDescent="0.25">
      <c r="E284" s="11">
        <f t="shared" si="25"/>
        <v>-58</v>
      </c>
      <c r="F284" s="11">
        <f t="shared" si="26"/>
        <v>-5.3266175378721394</v>
      </c>
      <c r="G284" s="11">
        <f t="shared" si="27"/>
        <v>-5.3344766206162735</v>
      </c>
    </row>
    <row r="285" spans="5:7" x14ac:dyDescent="0.25">
      <c r="E285" s="11">
        <f t="shared" si="25"/>
        <v>-57</v>
      </c>
      <c r="F285" s="11">
        <f t="shared" si="26"/>
        <v>-5.2278395461466758</v>
      </c>
      <c r="G285" s="11">
        <f t="shared" si="27"/>
        <v>-5.2290590396466072</v>
      </c>
    </row>
    <row r="286" spans="5:7" x14ac:dyDescent="0.25">
      <c r="E286" s="11">
        <f t="shared" si="25"/>
        <v>-56</v>
      </c>
      <c r="F286" s="11">
        <f t="shared" si="26"/>
        <v>-5.1298760836629276</v>
      </c>
      <c r="G286" s="11">
        <f t="shared" si="27"/>
        <v>-5.1249580738112108</v>
      </c>
    </row>
    <row r="287" spans="5:7" x14ac:dyDescent="0.25">
      <c r="E287" s="11">
        <f t="shared" ref="E287:E350" si="28">E80</f>
        <v>-55</v>
      </c>
      <c r="F287" s="11">
        <f t="shared" ref="F287:F350" si="29">$H$217*0+E287*$I$217+E287^2*$J$217+E287^3*$K$217+E287^4*$L$217+E287^5*$M$217+E287^6*$N$217+E287^7*$O$217+E287^8*$P$217</f>
        <v>-5.0327173656185176</v>
      </c>
      <c r="G287" s="11">
        <f t="shared" ref="G287:G350" si="30">F80</f>
        <v>-5.0223954311930123</v>
      </c>
    </row>
    <row r="288" spans="5:7" x14ac:dyDescent="0.25">
      <c r="E288" s="11">
        <f t="shared" si="28"/>
        <v>-54</v>
      </c>
      <c r="F288" s="11">
        <f t="shared" si="29"/>
        <v>-4.9363507079497033</v>
      </c>
      <c r="G288" s="11">
        <f t="shared" si="30"/>
        <v>-4.9215413104619312</v>
      </c>
    </row>
    <row r="289" spans="5:7" x14ac:dyDescent="0.25">
      <c r="E289" s="11">
        <f t="shared" si="28"/>
        <v>-53</v>
      </c>
      <c r="F289" s="11">
        <f t="shared" si="29"/>
        <v>-4.8407606488890442</v>
      </c>
      <c r="G289" s="11">
        <f t="shared" si="30"/>
        <v>-4.8223598726358752</v>
      </c>
    </row>
    <row r="290" spans="5:7" x14ac:dyDescent="0.25">
      <c r="E290" s="11">
        <f t="shared" si="28"/>
        <v>-52</v>
      </c>
      <c r="F290" s="11">
        <f t="shared" si="29"/>
        <v>-4.7459290742931532</v>
      </c>
      <c r="G290" s="11">
        <f t="shared" si="30"/>
        <v>-4.7247637693197424</v>
      </c>
    </row>
    <row r="291" spans="5:7" x14ac:dyDescent="0.25">
      <c r="E291" s="11">
        <f t="shared" si="28"/>
        <v>-51</v>
      </c>
      <c r="F291" s="11">
        <f t="shared" si="29"/>
        <v>-4.6518353462520823</v>
      </c>
      <c r="G291" s="11">
        <f t="shared" si="30"/>
        <v>-4.6286656521184373</v>
      </c>
    </row>
    <row r="292" spans="5:7" x14ac:dyDescent="0.25">
      <c r="E292" s="11">
        <f t="shared" si="28"/>
        <v>-50</v>
      </c>
      <c r="F292" s="11">
        <f t="shared" si="29"/>
        <v>-4.5584564345051071</v>
      </c>
      <c r="G292" s="11">
        <f t="shared" si="30"/>
        <v>-4.5339781726368624</v>
      </c>
    </row>
    <row r="293" spans="5:7" x14ac:dyDescent="0.25">
      <c r="E293" s="11">
        <f t="shared" si="28"/>
        <v>-49</v>
      </c>
      <c r="F293" s="11">
        <f t="shared" si="29"/>
        <v>-4.4657670502009017</v>
      </c>
      <c r="G293" s="11">
        <f t="shared" si="30"/>
        <v>-4.4406139824799169</v>
      </c>
    </row>
    <row r="294" spans="5:7" x14ac:dyDescent="0.25">
      <c r="E294" s="11">
        <f t="shared" si="28"/>
        <v>-48</v>
      </c>
      <c r="F294" s="11">
        <f t="shared" si="29"/>
        <v>-4.3737397815533567</v>
      </c>
      <c r="G294" s="11">
        <f t="shared" si="30"/>
        <v>-4.3484857332525042</v>
      </c>
    </row>
    <row r="295" spans="5:7" x14ac:dyDescent="0.25">
      <c r="E295" s="11">
        <f t="shared" si="28"/>
        <v>-47</v>
      </c>
      <c r="F295" s="11">
        <f t="shared" si="29"/>
        <v>-4.2823452309574641</v>
      </c>
      <c r="G295" s="11">
        <f t="shared" si="30"/>
        <v>-4.2575060765595243</v>
      </c>
    </row>
    <row r="296" spans="5:7" x14ac:dyDescent="0.25">
      <c r="E296" s="11">
        <f t="shared" si="28"/>
        <v>-46</v>
      </c>
      <c r="F296" s="11">
        <f t="shared" si="29"/>
        <v>-4.1915521531429896</v>
      </c>
      <c r="G296" s="11">
        <f t="shared" si="30"/>
        <v>-4.1675876640058807</v>
      </c>
    </row>
    <row r="297" spans="5:7" x14ac:dyDescent="0.25">
      <c r="E297" s="11">
        <f t="shared" si="28"/>
        <v>-45</v>
      </c>
      <c r="F297" s="11">
        <f t="shared" si="29"/>
        <v>-4.1013275939568423</v>
      </c>
      <c r="G297" s="11">
        <f t="shared" si="30"/>
        <v>-4.078643147196475</v>
      </c>
    </row>
    <row r="298" spans="5:7" x14ac:dyDescent="0.25">
      <c r="E298" s="11">
        <f t="shared" si="28"/>
        <v>-44</v>
      </c>
      <c r="F298" s="11">
        <f t="shared" si="29"/>
        <v>-4.0116370293782779</v>
      </c>
      <c r="G298" s="11">
        <f t="shared" si="30"/>
        <v>-3.9905851777362069</v>
      </c>
    </row>
    <row r="299" spans="5:7" x14ac:dyDescent="0.25">
      <c r="E299" s="11">
        <f t="shared" si="28"/>
        <v>-43</v>
      </c>
      <c r="F299" s="11">
        <f t="shared" si="29"/>
        <v>-3.9224445043843335</v>
      </c>
      <c r="G299" s="11">
        <f t="shared" si="30"/>
        <v>-3.9033264072299803</v>
      </c>
    </row>
    <row r="300" spans="5:7" x14ac:dyDescent="0.25">
      <c r="E300" s="11">
        <f t="shared" si="28"/>
        <v>-42</v>
      </c>
      <c r="F300" s="11">
        <f t="shared" si="29"/>
        <v>-3.8337127712960783</v>
      </c>
      <c r="G300" s="11">
        <f t="shared" si="30"/>
        <v>-3.8167794872826954</v>
      </c>
    </row>
    <row r="301" spans="5:7" x14ac:dyDescent="0.25">
      <c r="E301" s="11">
        <f t="shared" si="28"/>
        <v>-41</v>
      </c>
      <c r="F301" s="11">
        <f t="shared" si="29"/>
        <v>-3.7454034272495522</v>
      </c>
      <c r="G301" s="11">
        <f t="shared" si="30"/>
        <v>-3.7308570694992547</v>
      </c>
    </row>
    <row r="302" spans="5:7" x14ac:dyDescent="0.25">
      <c r="E302" s="11">
        <f t="shared" si="28"/>
        <v>-40</v>
      </c>
      <c r="F302" s="11">
        <f t="shared" si="29"/>
        <v>-3.6574770504484246</v>
      </c>
      <c r="G302" s="11">
        <f t="shared" si="30"/>
        <v>-3.6454718054845601</v>
      </c>
    </row>
    <row r="303" spans="5:7" x14ac:dyDescent="0.25">
      <c r="E303" s="11">
        <f t="shared" si="28"/>
        <v>-39</v>
      </c>
      <c r="F303" s="11">
        <f t="shared" si="29"/>
        <v>-3.5698933348686936</v>
      </c>
      <c r="G303" s="11">
        <f t="shared" si="30"/>
        <v>-3.5605363468435129</v>
      </c>
    </row>
    <row r="304" spans="5:7" x14ac:dyDescent="0.25">
      <c r="E304" s="11">
        <f t="shared" si="28"/>
        <v>-38</v>
      </c>
      <c r="F304" s="11">
        <f t="shared" si="29"/>
        <v>-3.4826112230989454</v>
      </c>
      <c r="G304" s="11">
        <f t="shared" si="30"/>
        <v>-3.4759633451810146</v>
      </c>
    </row>
    <row r="305" spans="5:7" x14ac:dyDescent="0.25">
      <c r="E305" s="11">
        <f t="shared" si="28"/>
        <v>-37</v>
      </c>
      <c r="F305" s="11">
        <f t="shared" si="29"/>
        <v>-3.3955890370129391</v>
      </c>
      <c r="G305" s="11">
        <f t="shared" si="30"/>
        <v>-3.3916654521019667</v>
      </c>
    </row>
    <row r="306" spans="5:7" x14ac:dyDescent="0.25">
      <c r="E306" s="11">
        <f t="shared" si="28"/>
        <v>-36</v>
      </c>
      <c r="F306" s="11">
        <f t="shared" si="29"/>
        <v>-3.3087846059844832</v>
      </c>
      <c r="G306" s="11">
        <f t="shared" si="30"/>
        <v>-3.3075553192112719</v>
      </c>
    </row>
    <row r="307" spans="5:7" x14ac:dyDescent="0.25">
      <c r="E307" s="11">
        <f t="shared" si="28"/>
        <v>-35</v>
      </c>
      <c r="F307" s="11">
        <f t="shared" si="29"/>
        <v>-3.2221553923678559</v>
      </c>
      <c r="G307" s="11">
        <f t="shared" si="30"/>
        <v>-3.2235455981138306</v>
      </c>
    </row>
    <row r="308" spans="5:7" x14ac:dyDescent="0.25">
      <c r="E308" s="11">
        <f t="shared" si="28"/>
        <v>-34</v>
      </c>
      <c r="F308" s="11">
        <f t="shared" si="29"/>
        <v>-3.1356586139801776</v>
      </c>
      <c r="G308" s="11">
        <f t="shared" si="30"/>
        <v>-3.1395489404145458</v>
      </c>
    </row>
    <row r="309" spans="5:7" x14ac:dyDescent="0.25">
      <c r="E309" s="11">
        <f t="shared" si="28"/>
        <v>-33</v>
      </c>
      <c r="F309" s="11">
        <f t="shared" si="29"/>
        <v>-3.0492513633354434</v>
      </c>
      <c r="G309" s="11">
        <f t="shared" si="30"/>
        <v>-3.0554779977183184</v>
      </c>
    </row>
    <row r="310" spans="5:7" x14ac:dyDescent="0.25">
      <c r="E310" s="11">
        <f t="shared" si="28"/>
        <v>-32</v>
      </c>
      <c r="F310" s="11">
        <f t="shared" si="29"/>
        <v>-2.9628907233931034</v>
      </c>
      <c r="G310" s="11">
        <f t="shared" si="30"/>
        <v>-2.9712454216300501</v>
      </c>
    </row>
    <row r="311" spans="5:7" x14ac:dyDescent="0.25">
      <c r="E311" s="11">
        <f t="shared" si="28"/>
        <v>-31</v>
      </c>
      <c r="F311" s="11">
        <f t="shared" si="29"/>
        <v>-2.8765338795973352</v>
      </c>
      <c r="G311" s="11">
        <f t="shared" si="30"/>
        <v>-2.8867638637546431</v>
      </c>
    </row>
    <row r="312" spans="5:7" x14ac:dyDescent="0.25">
      <c r="E312" s="11">
        <f t="shared" si="28"/>
        <v>-30</v>
      </c>
      <c r="F312" s="11">
        <f t="shared" si="29"/>
        <v>-2.7901382279963758</v>
      </c>
      <c r="G312" s="11">
        <f t="shared" si="30"/>
        <v>-2.8019459756969982</v>
      </c>
    </row>
    <row r="313" spans="5:7" x14ac:dyDescent="0.25">
      <c r="E313" s="11">
        <f t="shared" si="28"/>
        <v>-29</v>
      </c>
      <c r="F313" s="11">
        <f t="shared" si="29"/>
        <v>-2.7036614792445031</v>
      </c>
      <c r="G313" s="11">
        <f t="shared" si="30"/>
        <v>-2.716716713959813</v>
      </c>
    </row>
    <row r="314" spans="5:7" x14ac:dyDescent="0.25">
      <c r="E314" s="11">
        <f t="shared" si="28"/>
        <v>-28</v>
      </c>
      <c r="F314" s="11">
        <f t="shared" si="29"/>
        <v>-2.617061758302496</v>
      </c>
      <c r="G314" s="11">
        <f t="shared" si="30"/>
        <v>-2.6310502546369627</v>
      </c>
    </row>
    <row r="315" spans="5:7" x14ac:dyDescent="0.25">
      <c r="E315" s="11">
        <f t="shared" si="28"/>
        <v>-27</v>
      </c>
      <c r="F315" s="11">
        <f t="shared" si="29"/>
        <v>-2.530297699665633</v>
      </c>
      <c r="G315" s="11">
        <f t="shared" si="30"/>
        <v>-2.5449330787201179</v>
      </c>
    </row>
    <row r="316" spans="5:7" x14ac:dyDescent="0.25">
      <c r="E316" s="11">
        <f t="shared" si="28"/>
        <v>-26</v>
      </c>
      <c r="F316" s="11">
        <f t="shared" si="29"/>
        <v>-2.443328537961508</v>
      </c>
      <c r="G316" s="11">
        <f t="shared" si="30"/>
        <v>-2.4583516672009487</v>
      </c>
    </row>
    <row r="317" spans="5:7" x14ac:dyDescent="0.25">
      <c r="E317" s="11">
        <f t="shared" si="28"/>
        <v>-25</v>
      </c>
      <c r="F317" s="11">
        <f t="shared" si="29"/>
        <v>-2.3561141937731858</v>
      </c>
      <c r="G317" s="11">
        <f t="shared" si="30"/>
        <v>-2.3712925010711272</v>
      </c>
    </row>
    <row r="318" spans="5:7" x14ac:dyDescent="0.25">
      <c r="E318" s="11">
        <f t="shared" si="28"/>
        <v>-24</v>
      </c>
      <c r="F318" s="11">
        <f t="shared" si="29"/>
        <v>-2.2686153545564292</v>
      </c>
      <c r="G318" s="11">
        <f t="shared" si="30"/>
        <v>-2.2837420613223234</v>
      </c>
    </row>
    <row r="319" spans="5:7" x14ac:dyDescent="0.25">
      <c r="E319" s="11">
        <f t="shared" si="28"/>
        <v>-23</v>
      </c>
      <c r="F319" s="11">
        <f t="shared" si="29"/>
        <v>-2.1807935505329983</v>
      </c>
      <c r="G319" s="11">
        <f t="shared" si="30"/>
        <v>-2.195686828946207</v>
      </c>
    </row>
    <row r="320" spans="5:7" x14ac:dyDescent="0.25">
      <c r="E320" s="11">
        <f t="shared" si="28"/>
        <v>-22</v>
      </c>
      <c r="F320" s="11">
        <f t="shared" si="29"/>
        <v>-2.0926112254551943</v>
      </c>
      <c r="G320" s="11">
        <f t="shared" si="30"/>
        <v>-2.1071132849344507</v>
      </c>
    </row>
    <row r="321" spans="5:7" x14ac:dyDescent="0.25">
      <c r="E321" s="11">
        <f t="shared" si="28"/>
        <v>-21</v>
      </c>
      <c r="F321" s="11">
        <f t="shared" si="29"/>
        <v>-2.0040318021501089</v>
      </c>
      <c r="G321" s="11">
        <f t="shared" si="30"/>
        <v>-2.0180079102787234</v>
      </c>
    </row>
    <row r="322" spans="5:7" x14ac:dyDescent="0.25">
      <c r="E322" s="11">
        <f t="shared" si="28"/>
        <v>-20</v>
      </c>
      <c r="F322" s="11">
        <f t="shared" si="29"/>
        <v>-1.9150197427652333</v>
      </c>
      <c r="G322" s="11">
        <f t="shared" si="30"/>
        <v>-1.9283571859706961</v>
      </c>
    </row>
    <row r="323" spans="5:7" x14ac:dyDescent="0.25">
      <c r="E323" s="11">
        <f t="shared" si="28"/>
        <v>-19</v>
      </c>
      <c r="F323" s="11">
        <f t="shared" si="29"/>
        <v>-1.8255406036503194</v>
      </c>
      <c r="G323" s="11">
        <f t="shared" si="30"/>
        <v>-1.8381475930020399</v>
      </c>
    </row>
    <row r="324" spans="5:7" x14ac:dyDescent="0.25">
      <c r="E324" s="11">
        <f t="shared" si="28"/>
        <v>-18</v>
      </c>
      <c r="F324" s="11">
        <f t="shared" si="29"/>
        <v>-1.7355610848236196</v>
      </c>
      <c r="G324" s="11">
        <f t="shared" si="30"/>
        <v>-1.747365612364425</v>
      </c>
    </row>
    <row r="325" spans="5:7" x14ac:dyDescent="0.25">
      <c r="E325" s="11">
        <f t="shared" si="28"/>
        <v>-17</v>
      </c>
      <c r="F325" s="11">
        <f t="shared" si="29"/>
        <v>-1.645049073983867</v>
      </c>
      <c r="G325" s="11">
        <f t="shared" si="30"/>
        <v>-1.6559977250495226</v>
      </c>
    </row>
    <row r="326" spans="5:7" x14ac:dyDescent="0.25">
      <c r="E326" s="11">
        <f t="shared" si="28"/>
        <v>-16</v>
      </c>
      <c r="F326" s="11">
        <f t="shared" si="29"/>
        <v>-1.5539736850425607</v>
      </c>
      <c r="G326" s="11">
        <f t="shared" si="30"/>
        <v>-1.5640304120490025</v>
      </c>
    </row>
    <row r="327" spans="5:7" x14ac:dyDescent="0.25">
      <c r="E327" s="11">
        <f t="shared" si="28"/>
        <v>-15</v>
      </c>
      <c r="F327" s="11">
        <f t="shared" si="29"/>
        <v>-1.4623052911643943</v>
      </c>
      <c r="G327" s="11">
        <f t="shared" si="30"/>
        <v>-1.4714501543545362</v>
      </c>
    </row>
    <row r="328" spans="5:7" x14ac:dyDescent="0.25">
      <c r="E328" s="11">
        <f t="shared" si="28"/>
        <v>-14</v>
      </c>
      <c r="F328" s="11">
        <f t="shared" si="29"/>
        <v>-1.3700155523168485</v>
      </c>
      <c r="G328" s="11">
        <f t="shared" si="30"/>
        <v>-1.3782434329577942</v>
      </c>
    </row>
    <row r="329" spans="5:7" x14ac:dyDescent="0.25">
      <c r="E329" s="11">
        <f t="shared" si="28"/>
        <v>-13</v>
      </c>
      <c r="F329" s="11">
        <f t="shared" si="29"/>
        <v>-1.2770774373432399</v>
      </c>
      <c r="G329" s="11">
        <f t="shared" si="30"/>
        <v>-1.2843967288504465</v>
      </c>
    </row>
    <row r="330" spans="5:7" x14ac:dyDescent="0.25">
      <c r="E330" s="11">
        <f t="shared" si="28"/>
        <v>-12</v>
      </c>
      <c r="F330" s="11">
        <f t="shared" si="29"/>
        <v>-1.1834652405867154</v>
      </c>
      <c r="G330" s="11">
        <f t="shared" si="30"/>
        <v>-1.1898965230241643</v>
      </c>
    </row>
    <row r="331" spans="5:7" x14ac:dyDescent="0.25">
      <c r="E331" s="11">
        <f t="shared" si="28"/>
        <v>-11</v>
      </c>
      <c r="F331" s="11">
        <f t="shared" si="29"/>
        <v>-1.0891545931059332</v>
      </c>
      <c r="G331" s="11">
        <f t="shared" si="30"/>
        <v>-1.0947292964706188</v>
      </c>
    </row>
    <row r="332" spans="5:7" x14ac:dyDescent="0.25">
      <c r="E332" s="11">
        <f t="shared" si="28"/>
        <v>-10</v>
      </c>
      <c r="F332" s="11">
        <f t="shared" si="29"/>
        <v>-0.9941224685363883</v>
      </c>
      <c r="G332" s="11">
        <f t="shared" si="30"/>
        <v>-0.99888153018147929</v>
      </c>
    </row>
    <row r="333" spans="5:7" x14ac:dyDescent="0.25">
      <c r="E333" s="11">
        <f t="shared" si="28"/>
        <v>-9</v>
      </c>
      <c r="F333" s="11">
        <f t="shared" si="29"/>
        <v>-0.89834718366458177</v>
      </c>
      <c r="G333" s="11">
        <f t="shared" si="30"/>
        <v>-0.90233970514841733</v>
      </c>
    </row>
    <row r="334" spans="5:7" x14ac:dyDescent="0.25">
      <c r="E334" s="11">
        <f t="shared" si="28"/>
        <v>-8</v>
      </c>
      <c r="F334" s="11">
        <f t="shared" si="29"/>
        <v>-0.80180839379544855</v>
      </c>
      <c r="G334" s="11">
        <f t="shared" si="30"/>
        <v>-0.80509030236310353</v>
      </c>
    </row>
    <row r="335" spans="5:7" x14ac:dyDescent="0.25">
      <c r="E335" s="11">
        <f t="shared" si="28"/>
        <v>-7</v>
      </c>
      <c r="F335" s="11">
        <f t="shared" si="29"/>
        <v>-0.70448708300670082</v>
      </c>
      <c r="G335" s="11">
        <f t="shared" si="30"/>
        <v>-0.70711980281720843</v>
      </c>
    </row>
    <row r="336" spans="5:7" x14ac:dyDescent="0.25">
      <c r="E336" s="11">
        <f t="shared" si="28"/>
        <v>-6</v>
      </c>
      <c r="F336" s="11">
        <f t="shared" si="29"/>
        <v>-0.60636554939696974</v>
      </c>
      <c r="G336" s="11">
        <f t="shared" si="30"/>
        <v>-0.60841468750240257</v>
      </c>
    </row>
    <row r="337" spans="5:7" x14ac:dyDescent="0.25">
      <c r="E337" s="11">
        <f t="shared" si="28"/>
        <v>-5</v>
      </c>
      <c r="F337" s="11">
        <f t="shared" si="29"/>
        <v>-0.50742738544785382</v>
      </c>
      <c r="G337" s="11">
        <f t="shared" si="30"/>
        <v>-0.5089614374103566</v>
      </c>
    </row>
    <row r="338" spans="5:7" x14ac:dyDescent="0.25">
      <c r="E338" s="11">
        <f t="shared" si="28"/>
        <v>-4</v>
      </c>
      <c r="F338" s="11">
        <f t="shared" si="29"/>
        <v>-0.40765745363321992</v>
      </c>
      <c r="G338" s="11">
        <f t="shared" si="30"/>
        <v>-0.40874653353274143</v>
      </c>
    </row>
    <row r="339" spans="5:7" x14ac:dyDescent="0.25">
      <c r="E339" s="11">
        <f t="shared" si="28"/>
        <v>-3</v>
      </c>
      <c r="F339" s="11">
        <f t="shared" si="29"/>
        <v>-0.30704185742232398</v>
      </c>
      <c r="G339" s="11">
        <f t="shared" si="30"/>
        <v>-0.30775645686122749</v>
      </c>
    </row>
    <row r="340" spans="5:7" x14ac:dyDescent="0.25">
      <c r="E340" s="11">
        <f t="shared" si="28"/>
        <v>-2</v>
      </c>
      <c r="F340" s="11">
        <f t="shared" si="29"/>
        <v>-0.20556790783655887</v>
      </c>
      <c r="G340" s="11">
        <f t="shared" si="30"/>
        <v>-0.20597768838748554</v>
      </c>
    </row>
    <row r="341" spans="5:7" x14ac:dyDescent="0.25">
      <c r="E341" s="11">
        <f t="shared" si="28"/>
        <v>-1</v>
      </c>
      <c r="F341" s="11">
        <f t="shared" si="29"/>
        <v>-0.10322408573285544</v>
      </c>
      <c r="G341" s="11">
        <f t="shared" si="30"/>
        <v>-0.10339670910318614</v>
      </c>
    </row>
    <row r="342" spans="5:7" x14ac:dyDescent="0.25">
      <c r="E342" s="11">
        <f t="shared" si="28"/>
        <v>0</v>
      </c>
      <c r="F342" s="11">
        <f t="shared" si="29"/>
        <v>0</v>
      </c>
      <c r="G342" s="11">
        <f t="shared" si="30"/>
        <v>0</v>
      </c>
    </row>
    <row r="343" spans="5:7" x14ac:dyDescent="0.25">
      <c r="E343" s="11">
        <f t="shared" si="28"/>
        <v>1</v>
      </c>
      <c r="F343" s="11">
        <f t="shared" si="29"/>
        <v>0.10411365813263995</v>
      </c>
      <c r="G343" s="11">
        <f t="shared" si="30"/>
        <v>0.10422490367019262</v>
      </c>
    </row>
    <row r="344" spans="5:7" x14ac:dyDescent="0.25">
      <c r="E344" s="11">
        <f t="shared" si="28"/>
        <v>2</v>
      </c>
      <c r="F344" s="11">
        <f t="shared" si="29"/>
        <v>0.2091251644612625</v>
      </c>
      <c r="G344" s="11">
        <f t="shared" si="30"/>
        <v>0.20928624961467301</v>
      </c>
    </row>
    <row r="345" spans="5:7" x14ac:dyDescent="0.25">
      <c r="E345" s="11">
        <f t="shared" si="28"/>
        <v>3</v>
      </c>
      <c r="F345" s="11">
        <f t="shared" si="29"/>
        <v>0.31504181462269881</v>
      </c>
      <c r="G345" s="11">
        <f t="shared" si="30"/>
        <v>0.31519123128051296</v>
      </c>
    </row>
    <row r="346" spans="5:7" x14ac:dyDescent="0.25">
      <c r="E346" s="11">
        <f t="shared" si="28"/>
        <v>4</v>
      </c>
      <c r="F346" s="11">
        <f t="shared" si="29"/>
        <v>0.42186998011922128</v>
      </c>
      <c r="G346" s="11">
        <f t="shared" si="30"/>
        <v>0.42194704211478407</v>
      </c>
    </row>
    <row r="347" spans="5:7" x14ac:dyDescent="0.25">
      <c r="E347" s="11">
        <f t="shared" si="28"/>
        <v>5</v>
      </c>
      <c r="F347" s="11">
        <f t="shared" si="29"/>
        <v>0.52961516730068225</v>
      </c>
      <c r="G347" s="11">
        <f t="shared" si="30"/>
        <v>0.529560875564558</v>
      </c>
    </row>
    <row r="348" spans="5:7" x14ac:dyDescent="0.25">
      <c r="E348" s="11">
        <f t="shared" si="28"/>
        <v>6</v>
      </c>
      <c r="F348" s="11">
        <f t="shared" si="29"/>
        <v>0.63828207903834255</v>
      </c>
      <c r="G348" s="11">
        <f t="shared" si="30"/>
        <v>0.63803992507690666</v>
      </c>
    </row>
    <row r="349" spans="5:7" x14ac:dyDescent="0.25">
      <c r="E349" s="11">
        <f t="shared" si="28"/>
        <v>7</v>
      </c>
      <c r="F349" s="11">
        <f t="shared" si="29"/>
        <v>0.74787467881152081</v>
      </c>
      <c r="G349" s="11">
        <f t="shared" si="30"/>
        <v>0.74739138409890149</v>
      </c>
    </row>
    <row r="350" spans="5:7" x14ac:dyDescent="0.25">
      <c r="E350" s="11">
        <f t="shared" si="28"/>
        <v>8</v>
      </c>
      <c r="F350" s="11">
        <f t="shared" si="29"/>
        <v>0.85839625691496124</v>
      </c>
      <c r="G350" s="11">
        <f t="shared" si="30"/>
        <v>0.8576224460776144</v>
      </c>
    </row>
    <row r="351" spans="5:7" x14ac:dyDescent="0.25">
      <c r="E351" s="11">
        <f t="shared" ref="E351:E414" si="31">E144</f>
        <v>9</v>
      </c>
      <c r="F351" s="11">
        <f t="shared" ref="F351:F414" si="32">$H$217*0+E351*$I$217+E351^2*$J$217+E351^3*$K$217+E351^4*$L$217+E351^5*$M$217+E351^6*$N$217+E351^7*$O$217+E351^8*$P$217</f>
        <v>0.96984949848159574</v>
      </c>
      <c r="G351" s="11">
        <f t="shared" ref="G351:G414" si="33">F144</f>
        <v>0.96874030446011683</v>
      </c>
    </row>
    <row r="352" spans="5:7" x14ac:dyDescent="0.25">
      <c r="E352" s="11">
        <f t="shared" si="31"/>
        <v>10</v>
      </c>
      <c r="F352" s="11">
        <f t="shared" si="32"/>
        <v>1.0822365530021336</v>
      </c>
      <c r="G352" s="11">
        <f t="shared" si="33"/>
        <v>1.0807521526934809</v>
      </c>
    </row>
    <row r="353" spans="5:7" x14ac:dyDescent="0.25">
      <c r="E353" s="11">
        <f t="shared" si="31"/>
        <v>11</v>
      </c>
      <c r="F353" s="11">
        <f t="shared" si="32"/>
        <v>1.1955591050096956</v>
      </c>
      <c r="G353" s="11">
        <f t="shared" si="33"/>
        <v>1.1936651842247779</v>
      </c>
    </row>
    <row r="354" spans="5:7" x14ac:dyDescent="0.25">
      <c r="E354" s="11">
        <f t="shared" si="31"/>
        <v>12</v>
      </c>
      <c r="F354" s="11">
        <f t="shared" si="32"/>
        <v>1.3098184455844679</v>
      </c>
      <c r="G354" s="11">
        <f t="shared" si="33"/>
        <v>1.3074865925010797</v>
      </c>
    </row>
    <row r="355" spans="5:7" x14ac:dyDescent="0.25">
      <c r="E355" s="11">
        <f t="shared" si="31"/>
        <v>13</v>
      </c>
      <c r="F355" s="11">
        <f t="shared" si="32"/>
        <v>1.4250155443201356</v>
      </c>
      <c r="G355" s="11">
        <f t="shared" si="33"/>
        <v>1.4222235709694582</v>
      </c>
    </row>
    <row r="356" spans="5:7" x14ac:dyDescent="0.25">
      <c r="E356" s="11">
        <f t="shared" si="31"/>
        <v>14</v>
      </c>
      <c r="F356" s="11">
        <f t="shared" si="32"/>
        <v>1.5411511213806064</v>
      </c>
      <c r="G356" s="11">
        <f t="shared" si="33"/>
        <v>1.5378833130769844</v>
      </c>
    </row>
    <row r="357" spans="5:7" x14ac:dyDescent="0.25">
      <c r="E357" s="11">
        <f t="shared" si="31"/>
        <v>15</v>
      </c>
      <c r="F357" s="11">
        <f t="shared" si="32"/>
        <v>1.6582257192623187</v>
      </c>
      <c r="G357" s="11">
        <f t="shared" si="33"/>
        <v>1.6544730122707307</v>
      </c>
    </row>
    <row r="358" spans="5:7" x14ac:dyDescent="0.25">
      <c r="E358" s="11">
        <f t="shared" si="31"/>
        <v>16</v>
      </c>
      <c r="F358" s="11">
        <f t="shared" si="32"/>
        <v>1.7762397738642071</v>
      </c>
      <c r="G358" s="11">
        <f t="shared" si="33"/>
        <v>1.7719998619977688</v>
      </c>
    </row>
    <row r="359" spans="5:7" x14ac:dyDescent="0.25">
      <c r="E359" s="11">
        <f t="shared" si="31"/>
        <v>17</v>
      </c>
      <c r="F359" s="11">
        <f t="shared" si="32"/>
        <v>1.8951936844541375</v>
      </c>
      <c r="G359" s="11">
        <f t="shared" si="33"/>
        <v>1.89047105570517</v>
      </c>
    </row>
    <row r="360" spans="5:7" x14ac:dyDescent="0.25">
      <c r="E360" s="11">
        <f t="shared" si="31"/>
        <v>18</v>
      </c>
      <c r="F360" s="11">
        <f t="shared" si="32"/>
        <v>2.0150878821074301</v>
      </c>
      <c r="G360" s="11">
        <f t="shared" si="33"/>
        <v>2.009893786840006</v>
      </c>
    </row>
    <row r="361" spans="5:7" x14ac:dyDescent="0.25">
      <c r="E361" s="11">
        <f t="shared" si="31"/>
        <v>19</v>
      </c>
      <c r="F361" s="11">
        <f t="shared" si="32"/>
        <v>2.1359228961798347</v>
      </c>
      <c r="G361" s="11">
        <f t="shared" si="33"/>
        <v>2.1302752488493488</v>
      </c>
    </row>
    <row r="362" spans="5:7" x14ac:dyDescent="0.25">
      <c r="E362" s="11">
        <f t="shared" si="31"/>
        <v>20</v>
      </c>
      <c r="F362" s="11">
        <f t="shared" si="32"/>
        <v>2.257699418364099</v>
      </c>
      <c r="G362" s="11">
        <f t="shared" si="33"/>
        <v>2.2516226351802699</v>
      </c>
    </row>
    <row r="363" spans="5:7" x14ac:dyDescent="0.25">
      <c r="E363" s="11">
        <f t="shared" si="31"/>
        <v>21</v>
      </c>
      <c r="F363" s="11">
        <f t="shared" si="32"/>
        <v>2.3804183638660512</v>
      </c>
      <c r="G363" s="11">
        <f t="shared" si="33"/>
        <v>2.3739431392798416</v>
      </c>
    </row>
    <row r="364" spans="5:7" x14ac:dyDescent="0.25">
      <c r="E364" s="11">
        <f t="shared" si="31"/>
        <v>22</v>
      </c>
      <c r="F364" s="11">
        <f t="shared" si="32"/>
        <v>2.5040809292228681</v>
      </c>
      <c r="G364" s="11">
        <f t="shared" si="33"/>
        <v>2.4972439545951346</v>
      </c>
    </row>
    <row r="365" spans="5:7" x14ac:dyDescent="0.25">
      <c r="E365" s="11">
        <f t="shared" si="31"/>
        <v>23</v>
      </c>
      <c r="F365" s="11">
        <f t="shared" si="32"/>
        <v>2.6286886462729901</v>
      </c>
      <c r="G365" s="11">
        <f t="shared" si="33"/>
        <v>2.6215322745732212</v>
      </c>
    </row>
    <row r="366" spans="5:7" x14ac:dyDescent="0.25">
      <c r="E366" s="11">
        <f t="shared" si="31"/>
        <v>24</v>
      </c>
      <c r="F366" s="11">
        <f t="shared" si="32"/>
        <v>2.7542434317739017</v>
      </c>
      <c r="G366" s="11">
        <f t="shared" si="33"/>
        <v>2.7468152926611729</v>
      </c>
    </row>
    <row r="367" spans="5:7" x14ac:dyDescent="0.25">
      <c r="E367" s="11">
        <f t="shared" si="31"/>
        <v>25</v>
      </c>
      <c r="F367" s="11">
        <f t="shared" si="32"/>
        <v>2.8807476321507721</v>
      </c>
      <c r="G367" s="11">
        <f t="shared" si="33"/>
        <v>2.8731002023060617</v>
      </c>
    </row>
    <row r="368" spans="5:7" x14ac:dyDescent="0.25">
      <c r="E368" s="11">
        <f t="shared" si="31"/>
        <v>26</v>
      </c>
      <c r="F368" s="11">
        <f t="shared" si="32"/>
        <v>3.0082040628457185</v>
      </c>
      <c r="G368" s="11">
        <f t="shared" si="33"/>
        <v>3.0003941969549586</v>
      </c>
    </row>
    <row r="369" spans="5:7" x14ac:dyDescent="0.25">
      <c r="E369" s="11">
        <f t="shared" si="31"/>
        <v>27</v>
      </c>
      <c r="F369" s="11">
        <f t="shared" si="32"/>
        <v>3.1366160417242277</v>
      </c>
      <c r="G369" s="11">
        <f t="shared" si="33"/>
        <v>3.1287044700549358</v>
      </c>
    </row>
    <row r="370" spans="5:7" x14ac:dyDescent="0.25">
      <c r="E370" s="11">
        <f t="shared" si="31"/>
        <v>28</v>
      </c>
      <c r="F370" s="11">
        <f t="shared" si="32"/>
        <v>3.2659874159820337</v>
      </c>
      <c r="G370" s="11">
        <f t="shared" si="33"/>
        <v>3.2580382150530651</v>
      </c>
    </row>
    <row r="371" spans="5:7" x14ac:dyDescent="0.25">
      <c r="E371" s="11">
        <f t="shared" si="31"/>
        <v>29</v>
      </c>
      <c r="F371" s="11">
        <f t="shared" si="32"/>
        <v>3.3963225819825338</v>
      </c>
      <c r="G371" s="11">
        <f t="shared" si="33"/>
        <v>3.3884026253964179</v>
      </c>
    </row>
    <row r="372" spans="5:7" x14ac:dyDescent="0.25">
      <c r="E372" s="11">
        <f t="shared" si="31"/>
        <v>30</v>
      </c>
      <c r="F372" s="11">
        <f t="shared" si="32"/>
        <v>3.5276264974415823</v>
      </c>
      <c r="G372" s="11">
        <f t="shared" si="33"/>
        <v>3.5198048945320664</v>
      </c>
    </row>
    <row r="373" spans="5:7" x14ac:dyDescent="0.25">
      <c r="E373" s="11">
        <f t="shared" si="31"/>
        <v>31</v>
      </c>
      <c r="F373" s="11">
        <f t="shared" si="32"/>
        <v>3.6599046853632671</v>
      </c>
      <c r="G373" s="11">
        <f t="shared" si="33"/>
        <v>3.6522522159070818</v>
      </c>
    </row>
    <row r="374" spans="5:7" x14ac:dyDescent="0.25">
      <c r="E374" s="11">
        <f t="shared" si="31"/>
        <v>32</v>
      </c>
      <c r="F374" s="11">
        <f t="shared" si="32"/>
        <v>3.7931632291170789</v>
      </c>
      <c r="G374" s="11">
        <f t="shared" si="33"/>
        <v>3.7857517829685361</v>
      </c>
    </row>
    <row r="375" spans="5:7" x14ac:dyDescent="0.25">
      <c r="E375" s="11">
        <f t="shared" si="31"/>
        <v>33</v>
      </c>
      <c r="F375" s="11">
        <f t="shared" si="32"/>
        <v>3.9274087580335966</v>
      </c>
      <c r="G375" s="11">
        <f t="shared" si="33"/>
        <v>3.9203107891635005</v>
      </c>
    </row>
    <row r="376" spans="5:7" x14ac:dyDescent="0.25">
      <c r="E376" s="11">
        <f t="shared" si="31"/>
        <v>34</v>
      </c>
      <c r="F376" s="11">
        <f t="shared" si="32"/>
        <v>4.0626484228826323</v>
      </c>
      <c r="G376" s="11">
        <f t="shared" si="33"/>
        <v>4.0559364279390477</v>
      </c>
    </row>
    <row r="377" spans="5:7" x14ac:dyDescent="0.25">
      <c r="E377" s="11">
        <f t="shared" si="31"/>
        <v>35</v>
      </c>
      <c r="F377" s="11">
        <f t="shared" si="32"/>
        <v>4.1988898605845355</v>
      </c>
      <c r="G377" s="11">
        <f t="shared" si="33"/>
        <v>4.1926358927422482</v>
      </c>
    </row>
    <row r="378" spans="5:7" x14ac:dyDescent="0.25">
      <c r="E378" s="11">
        <f t="shared" si="31"/>
        <v>36</v>
      </c>
      <c r="F378" s="11">
        <f t="shared" si="32"/>
        <v>4.3361411474920928</v>
      </c>
      <c r="G378" s="11">
        <f t="shared" si="33"/>
        <v>4.3304163770201738</v>
      </c>
    </row>
    <row r="379" spans="5:7" x14ac:dyDescent="0.25">
      <c r="E379" s="11">
        <f t="shared" si="31"/>
        <v>37</v>
      </c>
      <c r="F379" s="11">
        <f t="shared" si="32"/>
        <v>4.474410740567297</v>
      </c>
      <c r="G379" s="11">
        <f t="shared" si="33"/>
        <v>4.469285074219898</v>
      </c>
    </row>
    <row r="380" spans="5:7" x14ac:dyDescent="0.25">
      <c r="E380" s="11">
        <f t="shared" si="31"/>
        <v>38</v>
      </c>
      <c r="F380" s="11">
        <f t="shared" si="32"/>
        <v>4.6137074057639662</v>
      </c>
      <c r="G380" s="11">
        <f t="shared" si="33"/>
        <v>4.6092491777884899</v>
      </c>
    </row>
    <row r="381" spans="5:7" x14ac:dyDescent="0.25">
      <c r="E381" s="11">
        <f t="shared" si="31"/>
        <v>39</v>
      </c>
      <c r="F381" s="11">
        <f t="shared" si="32"/>
        <v>4.7540401329139881</v>
      </c>
      <c r="G381" s="11">
        <f t="shared" si="33"/>
        <v>4.7503158811730231</v>
      </c>
    </row>
    <row r="382" spans="5:7" x14ac:dyDescent="0.25">
      <c r="E382" s="11">
        <f t="shared" si="31"/>
        <v>40</v>
      </c>
      <c r="F382" s="11">
        <f t="shared" si="32"/>
        <v>4.8954180364017397</v>
      </c>
      <c r="G382" s="11">
        <f t="shared" si="33"/>
        <v>4.8924923778205684</v>
      </c>
    </row>
    <row r="383" spans="5:7" x14ac:dyDescent="0.25">
      <c r="E383" s="11">
        <f t="shared" si="31"/>
        <v>41</v>
      </c>
      <c r="F383" s="11">
        <f t="shared" si="32"/>
        <v>5.0378502408980212</v>
      </c>
      <c r="G383" s="11">
        <f t="shared" si="33"/>
        <v>5.0357858611781978</v>
      </c>
    </row>
    <row r="384" spans="5:7" x14ac:dyDescent="0.25">
      <c r="E384" s="11">
        <f t="shared" si="31"/>
        <v>42</v>
      </c>
      <c r="F384" s="11">
        <f t="shared" si="32"/>
        <v>5.1813457514115342</v>
      </c>
      <c r="G384" s="11">
        <f t="shared" si="33"/>
        <v>5.180203524692983</v>
      </c>
    </row>
    <row r="385" spans="5:7" x14ac:dyDescent="0.25">
      <c r="E385" s="11">
        <f t="shared" si="31"/>
        <v>43</v>
      </c>
      <c r="F385" s="11">
        <f t="shared" si="32"/>
        <v>5.3259133069028239</v>
      </c>
      <c r="G385" s="11">
        <f t="shared" si="33"/>
        <v>5.3257525618119947</v>
      </c>
    </row>
    <row r="386" spans="5:7" x14ac:dyDescent="0.25">
      <c r="E386" s="11">
        <f t="shared" si="31"/>
        <v>44</v>
      </c>
      <c r="F386" s="11">
        <f t="shared" si="32"/>
        <v>5.4715612166922645</v>
      </c>
      <c r="G386" s="11">
        <f t="shared" si="33"/>
        <v>5.4724401659823068</v>
      </c>
    </row>
    <row r="387" spans="5:7" x14ac:dyDescent="0.25">
      <c r="E387" s="11">
        <f t="shared" si="31"/>
        <v>45</v>
      </c>
      <c r="F387" s="11">
        <f t="shared" si="32"/>
        <v>5.6182971788805123</v>
      </c>
      <c r="G387" s="11">
        <f t="shared" si="33"/>
        <v>5.620273530650989</v>
      </c>
    </row>
    <row r="388" spans="5:7" x14ac:dyDescent="0.25">
      <c r="E388" s="11">
        <f t="shared" si="31"/>
        <v>46</v>
      </c>
      <c r="F388" s="11">
        <f t="shared" si="32"/>
        <v>5.7661280799865837</v>
      </c>
      <c r="G388" s="11">
        <f t="shared" si="33"/>
        <v>5.7692531601003871</v>
      </c>
    </row>
    <row r="389" spans="5:7" x14ac:dyDescent="0.25">
      <c r="E389" s="11">
        <f t="shared" si="31"/>
        <v>47</v>
      </c>
      <c r="F389" s="11">
        <f t="shared" si="32"/>
        <v>5.9150597749954787</v>
      </c>
      <c r="G389" s="11">
        <f t="shared" si="33"/>
        <v>5.9193528019539272</v>
      </c>
    </row>
    <row r="390" spans="5:7" x14ac:dyDescent="0.25">
      <c r="E390" s="11">
        <f t="shared" si="31"/>
        <v>48</v>
      </c>
      <c r="F390" s="11">
        <f t="shared" si="32"/>
        <v>6.065096846994094</v>
      </c>
      <c r="G390" s="11">
        <f t="shared" si="33"/>
        <v>6.0705395146703145</v>
      </c>
    </row>
    <row r="391" spans="5:7" x14ac:dyDescent="0.25">
      <c r="E391" s="11">
        <f t="shared" si="31"/>
        <v>49</v>
      </c>
      <c r="F391" s="11">
        <f t="shared" si="32"/>
        <v>6.2162423455608673</v>
      </c>
      <c r="G391" s="11">
        <f t="shared" si="33"/>
        <v>6.2227803567082498</v>
      </c>
    </row>
    <row r="392" spans="5:7" x14ac:dyDescent="0.25">
      <c r="E392" s="11">
        <f t="shared" si="31"/>
        <v>50</v>
      </c>
      <c r="F392" s="11">
        <f t="shared" si="32"/>
        <v>6.3684975030614144</v>
      </c>
      <c r="G392" s="11">
        <f t="shared" si="33"/>
        <v>6.3760423865264322</v>
      </c>
    </row>
    <row r="393" spans="5:7" x14ac:dyDescent="0.25">
      <c r="E393" s="11">
        <f t="shared" si="31"/>
        <v>51</v>
      </c>
      <c r="F393" s="11">
        <f t="shared" si="32"/>
        <v>6.5218614279891929</v>
      </c>
      <c r="G393" s="11">
        <f t="shared" si="33"/>
        <v>6.530292662583566</v>
      </c>
    </row>
    <row r="394" spans="5:7" x14ac:dyDescent="0.25">
      <c r="E394" s="11">
        <f t="shared" si="31"/>
        <v>52</v>
      </c>
      <c r="F394" s="11">
        <f t="shared" si="32"/>
        <v>6.6763307744769378</v>
      </c>
      <c r="G394" s="11">
        <f t="shared" si="33"/>
        <v>6.685498243338353</v>
      </c>
    </row>
    <row r="395" spans="5:7" x14ac:dyDescent="0.25">
      <c r="E395" s="11">
        <f t="shared" si="31"/>
        <v>53</v>
      </c>
      <c r="F395" s="11">
        <f t="shared" si="32"/>
        <v>6.8318993870914744</v>
      </c>
      <c r="G395" s="11">
        <f t="shared" si="33"/>
        <v>6.8416261872494939</v>
      </c>
    </row>
    <row r="396" spans="5:7" x14ac:dyDescent="0.25">
      <c r="E396" s="11">
        <f t="shared" si="31"/>
        <v>54</v>
      </c>
      <c r="F396" s="11">
        <f t="shared" si="32"/>
        <v>6.9885579200112034</v>
      </c>
      <c r="G396" s="11">
        <f t="shared" si="33"/>
        <v>6.9986435527756887</v>
      </c>
    </row>
    <row r="397" spans="5:7" x14ac:dyDescent="0.25">
      <c r="E397" s="11">
        <f t="shared" si="31"/>
        <v>55</v>
      </c>
      <c r="F397" s="11">
        <f t="shared" si="32"/>
        <v>7.1462934296723732</v>
      </c>
      <c r="G397" s="11">
        <f t="shared" si="33"/>
        <v>7.1565173983756427</v>
      </c>
    </row>
    <row r="398" spans="5:7" x14ac:dyDescent="0.25">
      <c r="E398" s="11">
        <f t="shared" si="31"/>
        <v>56</v>
      </c>
      <c r="F398" s="11">
        <f t="shared" si="32"/>
        <v>7.3050889399570051</v>
      </c>
      <c r="G398" s="11">
        <f t="shared" si="33"/>
        <v>7.3152147825080549</v>
      </c>
    </row>
    <row r="399" spans="5:7" x14ac:dyDescent="0.25">
      <c r="E399" s="11">
        <f t="shared" si="31"/>
        <v>57</v>
      </c>
      <c r="F399" s="11">
        <f t="shared" si="32"/>
        <v>7.4649229789820968</v>
      </c>
      <c r="G399" s="11">
        <f t="shared" si="33"/>
        <v>7.4747027636316279</v>
      </c>
    </row>
    <row r="400" spans="5:7" x14ac:dyDescent="0.25">
      <c r="E400" s="11">
        <f t="shared" si="31"/>
        <v>58</v>
      </c>
      <c r="F400" s="11">
        <f t="shared" si="32"/>
        <v>7.6257690865365371</v>
      </c>
      <c r="G400" s="11">
        <f t="shared" si="33"/>
        <v>7.6349484002050634</v>
      </c>
    </row>
    <row r="401" spans="5:7" x14ac:dyDescent="0.25">
      <c r="E401" s="11">
        <f t="shared" si="31"/>
        <v>59</v>
      </c>
      <c r="F401" s="11">
        <f t="shared" si="32"/>
        <v>7.7875952911988842</v>
      </c>
      <c r="G401" s="11">
        <f t="shared" si="33"/>
        <v>7.7959187506870622</v>
      </c>
    </row>
    <row r="402" spans="5:7" x14ac:dyDescent="0.25">
      <c r="E402" s="11">
        <f t="shared" si="31"/>
        <v>60</v>
      </c>
      <c r="F402" s="11">
        <f t="shared" si="32"/>
        <v>7.9503635561559864</v>
      </c>
      <c r="G402" s="11">
        <f t="shared" si="33"/>
        <v>7.957580873536326</v>
      </c>
    </row>
    <row r="403" spans="5:7" x14ac:dyDescent="0.25">
      <c r="E403" s="11">
        <f t="shared" si="31"/>
        <v>61</v>
      </c>
      <c r="F403" s="11">
        <f t="shared" si="32"/>
        <v>8.114029192729129</v>
      </c>
      <c r="G403" s="11">
        <f t="shared" si="33"/>
        <v>8.1199018272115584</v>
      </c>
    </row>
    <row r="404" spans="5:7" x14ac:dyDescent="0.25">
      <c r="E404" s="11">
        <f t="shared" si="31"/>
        <v>62</v>
      </c>
      <c r="F404" s="11">
        <f t="shared" si="32"/>
        <v>8.2785402406012203</v>
      </c>
      <c r="G404" s="11">
        <f t="shared" si="33"/>
        <v>8.2828486701714592</v>
      </c>
    </row>
    <row r="405" spans="5:7" x14ac:dyDescent="0.25">
      <c r="E405" s="11">
        <f t="shared" si="31"/>
        <v>63</v>
      </c>
      <c r="F405" s="11">
        <f t="shared" si="32"/>
        <v>8.4438368137252979</v>
      </c>
      <c r="G405" s="11">
        <f t="shared" si="33"/>
        <v>8.4463884608747293</v>
      </c>
    </row>
    <row r="406" spans="5:7" x14ac:dyDescent="0.25">
      <c r="E406" s="11">
        <f t="shared" si="31"/>
        <v>64</v>
      </c>
      <c r="F406" s="11">
        <f t="shared" si="32"/>
        <v>8.609850410881311</v>
      </c>
      <c r="G406" s="11">
        <f t="shared" si="33"/>
        <v>8.610488257780073</v>
      </c>
    </row>
    <row r="407" spans="5:7" x14ac:dyDescent="0.25">
      <c r="E407" s="11">
        <f t="shared" si="31"/>
        <v>65</v>
      </c>
      <c r="F407" s="11">
        <f t="shared" si="32"/>
        <v>8.7765031898350614</v>
      </c>
      <c r="G407" s="11">
        <f t="shared" si="33"/>
        <v>8.7751151193461894</v>
      </c>
    </row>
    <row r="408" spans="5:7" x14ac:dyDescent="0.25">
      <c r="E408" s="11">
        <f t="shared" si="31"/>
        <v>66</v>
      </c>
      <c r="F408" s="11">
        <f t="shared" si="32"/>
        <v>8.9437072040398409</v>
      </c>
      <c r="G408" s="11">
        <f t="shared" si="33"/>
        <v>8.9402361040317828</v>
      </c>
    </row>
    <row r="409" spans="5:7" x14ac:dyDescent="0.25">
      <c r="E409" s="11">
        <f t="shared" si="31"/>
        <v>67</v>
      </c>
      <c r="F409" s="11">
        <f t="shared" si="32"/>
        <v>9.1113636008080618</v>
      </c>
      <c r="G409" s="11">
        <f t="shared" si="33"/>
        <v>9.1058182702955506</v>
      </c>
    </row>
    <row r="410" spans="5:7" x14ac:dyDescent="0.25">
      <c r="E410" s="11">
        <f t="shared" si="31"/>
        <v>68</v>
      </c>
      <c r="F410" s="11">
        <f t="shared" si="32"/>
        <v>9.2793617798670951</v>
      </c>
      <c r="G410" s="11">
        <f t="shared" si="33"/>
        <v>9.2718286765961988</v>
      </c>
    </row>
    <row r="411" spans="5:7" x14ac:dyDescent="0.25">
      <c r="E411" s="11">
        <f t="shared" si="31"/>
        <v>69</v>
      </c>
      <c r="F411" s="11">
        <f t="shared" si="32"/>
        <v>9.4475785112000867</v>
      </c>
      <c r="G411" s="11">
        <f t="shared" si="33"/>
        <v>9.4382343813924265</v>
      </c>
    </row>
    <row r="412" spans="5:7" x14ac:dyDescent="0.25">
      <c r="E412" s="11">
        <f t="shared" si="31"/>
        <v>70</v>
      </c>
      <c r="F412" s="11">
        <f t="shared" si="32"/>
        <v>9.6158770110594389</v>
      </c>
      <c r="G412" s="11">
        <f t="shared" si="33"/>
        <v>9.6050024431429364</v>
      </c>
    </row>
    <row r="413" spans="5:7" x14ac:dyDescent="0.25">
      <c r="E413" s="11">
        <f t="shared" si="31"/>
        <v>71</v>
      </c>
      <c r="F413" s="11">
        <f t="shared" si="32"/>
        <v>9.7841059750274457</v>
      </c>
      <c r="G413" s="11">
        <f t="shared" si="33"/>
        <v>9.7720999203064309</v>
      </c>
    </row>
    <row r="414" spans="5:7" x14ac:dyDescent="0.25">
      <c r="E414" s="11">
        <f t="shared" si="31"/>
        <v>72</v>
      </c>
      <c r="F414" s="11">
        <f t="shared" si="32"/>
        <v>9.9520985669851729</v>
      </c>
      <c r="G414" s="11">
        <f t="shared" si="33"/>
        <v>9.939493871341611</v>
      </c>
    </row>
    <row r="415" spans="5:7" x14ac:dyDescent="0.25">
      <c r="E415" s="11">
        <f t="shared" ref="E415:E422" si="34">E208</f>
        <v>73</v>
      </c>
      <c r="F415" s="11">
        <f t="shared" ref="F415:F422" si="35">$H$217*0+E415*$I$217+E415^2*$J$217+E415^3*$K$217+E415^4*$L$217+E415^5*$M$217+E415^6*$N$217+E415^7*$O$217+E415^8*$P$217</f>
        <v>10.119671362837586</v>
      </c>
      <c r="G415" s="11">
        <f t="shared" ref="G415:G422" si="36">F208</f>
        <v>10.107151354707176</v>
      </c>
    </row>
    <row r="416" spans="5:7" x14ac:dyDescent="0.25">
      <c r="E416" s="11">
        <f t="shared" si="34"/>
        <v>74</v>
      </c>
      <c r="F416" s="11">
        <f t="shared" si="35"/>
        <v>10.286623247829672</v>
      </c>
      <c r="G416" s="11">
        <f t="shared" si="36"/>
        <v>10.275039428861829</v>
      </c>
    </row>
    <row r="417" spans="5:7" x14ac:dyDescent="0.25">
      <c r="E417" s="11">
        <f t="shared" si="34"/>
        <v>75</v>
      </c>
      <c r="F417" s="11">
        <f t="shared" si="35"/>
        <v>10.452734266275064</v>
      </c>
      <c r="G417" s="11">
        <f t="shared" si="36"/>
        <v>10.443125152264274</v>
      </c>
    </row>
    <row r="418" spans="5:7" x14ac:dyDescent="0.25">
      <c r="E418" s="11">
        <f t="shared" si="34"/>
        <v>76</v>
      </c>
      <c r="F418" s="11">
        <f t="shared" si="35"/>
        <v>10.617764422505365</v>
      </c>
      <c r="G418" s="11">
        <f t="shared" si="36"/>
        <v>10.611375583373212</v>
      </c>
    </row>
    <row r="419" spans="5:7" x14ac:dyDescent="0.25">
      <c r="E419" s="11">
        <f t="shared" si="34"/>
        <v>77</v>
      </c>
      <c r="F419" s="11">
        <f t="shared" si="35"/>
        <v>10.781452431835319</v>
      </c>
      <c r="G419" s="11">
        <f t="shared" si="36"/>
        <v>10.779757780647341</v>
      </c>
    </row>
    <row r="420" spans="5:7" x14ac:dyDescent="0.25">
      <c r="E420" s="11">
        <f t="shared" si="34"/>
        <v>78</v>
      </c>
      <c r="F420" s="11">
        <f t="shared" si="35"/>
        <v>10.94351442032557</v>
      </c>
      <c r="G420" s="11">
        <f t="shared" si="36"/>
        <v>10.948238802545363</v>
      </c>
    </row>
    <row r="421" spans="5:7" x14ac:dyDescent="0.25">
      <c r="E421" s="11">
        <f t="shared" si="34"/>
        <v>79</v>
      </c>
      <c r="F421" s="11">
        <f t="shared" si="35"/>
        <v>11.103642572111614</v>
      </c>
      <c r="G421" s="11">
        <f t="shared" si="36"/>
        <v>11.116785707525986</v>
      </c>
    </row>
    <row r="422" spans="5:7" x14ac:dyDescent="0.25">
      <c r="E422" s="11">
        <f t="shared" si="34"/>
        <v>80</v>
      </c>
      <c r="F422" s="11">
        <f t="shared" si="35"/>
        <v>11.261503723054284</v>
      </c>
      <c r="G422" s="11">
        <f t="shared" si="36"/>
        <v>11.285365554047907</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7.2479999999999997E-5</v>
      </c>
      <c r="C3" s="2">
        <v>1.132E-4</v>
      </c>
      <c r="D3" s="2">
        <v>-3.1349999999999998E-4</v>
      </c>
      <c r="E3" s="2">
        <v>0</v>
      </c>
      <c r="F3" s="2">
        <v>0</v>
      </c>
      <c r="G3" s="2">
        <v>0</v>
      </c>
      <c r="H3" s="2">
        <v>4.2470101000000001E-5</v>
      </c>
      <c r="I3" s="2">
        <v>1.1076433E-5</v>
      </c>
      <c r="J3" s="2">
        <v>-1.1850452E-4</v>
      </c>
      <c r="K3" s="3"/>
      <c r="L3" s="3">
        <f>-B3/D3</f>
        <v>0.23119617224880384</v>
      </c>
      <c r="M3" s="3"/>
      <c r="N3" s="2">
        <f>IF('Modell einstellen'!$B$1="Voll",H3/0.35,H3/0.35*2)</f>
        <v>1.2134314571428572E-4</v>
      </c>
      <c r="O3" s="2">
        <f>IF('Modell einstellen'!$B$1="Voll",J3/0.35,J3/0.35*2)</f>
        <v>-3.3858434285714286E-4</v>
      </c>
      <c r="P3" s="3">
        <f>-N3/O3</f>
        <v>0.35838380679488008</v>
      </c>
      <c r="Q3" s="3"/>
      <c r="R3" s="3"/>
      <c r="S3" s="3"/>
      <c r="T3" s="3"/>
      <c r="U3" s="3"/>
      <c r="V3" s="3"/>
      <c r="W3" s="3"/>
    </row>
    <row r="4" spans="1:23" x14ac:dyDescent="0.25">
      <c r="A4" s="2">
        <v>1E-14</v>
      </c>
      <c r="B4" s="2">
        <v>7.2360000000000005E-5</v>
      </c>
      <c r="C4" s="2">
        <v>1.141E-4</v>
      </c>
      <c r="D4" s="2">
        <v>-3.145E-4</v>
      </c>
      <c r="E4" s="2">
        <v>0</v>
      </c>
      <c r="F4" s="2">
        <v>0</v>
      </c>
      <c r="G4" s="2">
        <v>0</v>
      </c>
      <c r="H4" s="2">
        <v>4.2925469000000003E-5</v>
      </c>
      <c r="I4" s="2">
        <v>1.1166246000000001E-5</v>
      </c>
      <c r="J4" s="2">
        <v>-1.1932563E-4</v>
      </c>
      <c r="K4" s="3"/>
      <c r="L4" s="3">
        <f t="shared" ref="L4:L33" si="0">-B4/D4</f>
        <v>0.23007949125596186</v>
      </c>
      <c r="M4" s="3"/>
      <c r="N4" s="2">
        <f>IF('Modell einstellen'!$B$1="Voll",H4/0.35,H4/0.35*2)</f>
        <v>1.2264419714285715E-4</v>
      </c>
      <c r="O4" s="2">
        <f>IF('Modell einstellen'!$B$1="Voll",J4/0.35,J4/0.35*2)</f>
        <v>-3.4093037142857147E-4</v>
      </c>
      <c r="P4" s="3">
        <f t="shared" ref="P4:P33" si="1">-N4/O4</f>
        <v>0.35973385600394481</v>
      </c>
      <c r="Q4" s="3"/>
      <c r="R4" s="3"/>
      <c r="S4" s="3"/>
      <c r="T4" s="3"/>
      <c r="U4" s="3"/>
      <c r="V4" s="3"/>
      <c r="W4" s="3"/>
    </row>
    <row r="5" spans="1:23" x14ac:dyDescent="0.25">
      <c r="A5" s="2">
        <v>1E-13</v>
      </c>
      <c r="B5" s="2">
        <v>7.2459999999999994E-5</v>
      </c>
      <c r="C5" s="2">
        <v>1.1730000000000001E-4</v>
      </c>
      <c r="D5" s="2">
        <v>-3.189E-4</v>
      </c>
      <c r="E5" s="2">
        <v>0</v>
      </c>
      <c r="F5" s="2">
        <v>0</v>
      </c>
      <c r="G5" s="2">
        <v>0</v>
      </c>
      <c r="H5" s="2">
        <v>4.4564529999999999E-5</v>
      </c>
      <c r="I5" s="2">
        <v>1.1501369999999999E-5</v>
      </c>
      <c r="J5" s="2">
        <v>-1.2234282999999999E-4</v>
      </c>
      <c r="K5" s="3"/>
      <c r="L5" s="3">
        <f t="shared" si="0"/>
        <v>0.22721856381310754</v>
      </c>
      <c r="M5" s="3"/>
      <c r="N5" s="2">
        <f>IF('Modell einstellen'!$B$1="Voll",H5/0.35,H5/0.35*2)</f>
        <v>1.2732722857142857E-4</v>
      </c>
      <c r="O5" s="2">
        <f>IF('Modell einstellen'!$B$1="Voll",J5/0.35,J5/0.35*2)</f>
        <v>-3.4955094285714285E-4</v>
      </c>
      <c r="P5" s="3">
        <f t="shared" si="1"/>
        <v>0.36425943392023874</v>
      </c>
      <c r="Q5" s="3"/>
      <c r="R5" s="3"/>
      <c r="S5" s="3"/>
      <c r="T5" s="3"/>
      <c r="U5" s="3"/>
      <c r="V5" s="3"/>
      <c r="W5" s="3"/>
    </row>
    <row r="6" spans="1:23" x14ac:dyDescent="0.25">
      <c r="A6" s="2">
        <v>9.9999999999999998E-13</v>
      </c>
      <c r="B6" s="2">
        <v>7.2269999999999998E-5</v>
      </c>
      <c r="C6" s="2">
        <v>1.1959999999999999E-4</v>
      </c>
      <c r="D6" s="2">
        <v>-3.2170000000000001E-4</v>
      </c>
      <c r="E6" s="2">
        <v>0</v>
      </c>
      <c r="F6" s="2">
        <v>0</v>
      </c>
      <c r="G6" s="2">
        <v>0</v>
      </c>
      <c r="H6" s="2">
        <v>4.574427E-5</v>
      </c>
      <c r="I6" s="2">
        <v>1.1734621E-5</v>
      </c>
      <c r="J6" s="2">
        <v>-1.2448202000000001E-4</v>
      </c>
      <c r="K6" s="3"/>
      <c r="L6" s="3">
        <f t="shared" si="0"/>
        <v>0.22465029530618588</v>
      </c>
      <c r="M6" s="3"/>
      <c r="N6" s="2">
        <f>IF('Modell einstellen'!$B$1="Voll",H6/0.35,H6/0.35*2)</f>
        <v>1.3069791428571429E-4</v>
      </c>
      <c r="O6" s="2">
        <f>IF('Modell einstellen'!$B$1="Voll",J6/0.35,J6/0.35*2)</f>
        <v>-3.5566291428571433E-4</v>
      </c>
      <c r="P6" s="3">
        <f t="shared" si="1"/>
        <v>0.36747692558330908</v>
      </c>
      <c r="Q6" s="3"/>
      <c r="R6" s="3"/>
      <c r="S6" s="3"/>
      <c r="T6" s="3"/>
      <c r="U6" s="3"/>
      <c r="V6" s="3"/>
      <c r="W6" s="3"/>
    </row>
    <row r="7" spans="1:23" x14ac:dyDescent="0.25">
      <c r="A7" s="2">
        <v>9.9999999999999994E-12</v>
      </c>
      <c r="B7" s="2">
        <v>7.2000000000000002E-5</v>
      </c>
      <c r="C7" s="2">
        <v>1.2180000000000001E-4</v>
      </c>
      <c r="D7" s="2">
        <v>-3.2430000000000002E-4</v>
      </c>
      <c r="E7" s="2">
        <v>0</v>
      </c>
      <c r="F7" s="2">
        <v>0</v>
      </c>
      <c r="G7" s="2">
        <v>0</v>
      </c>
      <c r="H7" s="2">
        <v>4.6897987000000002E-5</v>
      </c>
      <c r="I7" s="2">
        <v>1.195948E-5</v>
      </c>
      <c r="J7" s="2">
        <v>-1.2656065000000001E-4</v>
      </c>
      <c r="K7" s="3"/>
      <c r="L7" s="3">
        <f t="shared" si="0"/>
        <v>0.22201665124884365</v>
      </c>
      <c r="M7" s="3"/>
      <c r="N7" s="2">
        <f>IF('Modell einstellen'!$B$1="Voll",H7/0.35,H7/0.35*2)</f>
        <v>1.339942485714286E-4</v>
      </c>
      <c r="O7" s="2">
        <f>IF('Modell einstellen'!$B$1="Voll",J7/0.35,J7/0.35*2)</f>
        <v>-3.616018571428572E-4</v>
      </c>
      <c r="P7" s="3">
        <f t="shared" si="1"/>
        <v>0.37055741259230257</v>
      </c>
      <c r="Q7" s="3"/>
      <c r="R7" s="3"/>
      <c r="S7" s="3"/>
      <c r="T7" s="3"/>
      <c r="U7" s="3"/>
      <c r="V7" s="3"/>
      <c r="W7" s="3"/>
    </row>
    <row r="8" spans="1:23" x14ac:dyDescent="0.25">
      <c r="A8" s="2">
        <v>1E-10</v>
      </c>
      <c r="B8" s="2">
        <v>7.1589999999999997E-5</v>
      </c>
      <c r="C8" s="2">
        <v>1.2420000000000001E-4</v>
      </c>
      <c r="D8" s="2">
        <v>-3.2719999999999998E-4</v>
      </c>
      <c r="E8" s="2">
        <v>0</v>
      </c>
      <c r="F8" s="2">
        <v>0</v>
      </c>
      <c r="G8" s="2">
        <v>0</v>
      </c>
      <c r="H8" s="2">
        <v>4.8227148000000002E-5</v>
      </c>
      <c r="I8" s="2">
        <v>1.2214147000000001E-5</v>
      </c>
      <c r="J8" s="2">
        <v>-1.2893698E-4</v>
      </c>
      <c r="K8" s="3"/>
      <c r="L8" s="3">
        <f t="shared" si="0"/>
        <v>0.21879584352078241</v>
      </c>
      <c r="M8" s="3"/>
      <c r="N8" s="2">
        <f>IF('Modell einstellen'!$B$1="Voll",H8/0.35,H8/0.35*2)</f>
        <v>1.3779185142857145E-4</v>
      </c>
      <c r="O8" s="2">
        <f>IF('Modell einstellen'!$B$1="Voll",J8/0.35,J8/0.35*2)</f>
        <v>-3.6839137142857147E-4</v>
      </c>
      <c r="P8" s="3">
        <f t="shared" si="1"/>
        <v>0.37403658748638291</v>
      </c>
      <c r="Q8" s="3"/>
      <c r="R8" s="3"/>
      <c r="S8" s="3"/>
      <c r="T8" s="3"/>
      <c r="U8" s="3"/>
      <c r="V8" s="3"/>
      <c r="W8" s="3"/>
    </row>
    <row r="9" spans="1:23" x14ac:dyDescent="0.25">
      <c r="A9" s="2">
        <v>1.0000000000000001E-9</v>
      </c>
      <c r="B9" s="2">
        <v>7.0989999999999996E-5</v>
      </c>
      <c r="C9" s="2">
        <v>1.2679999999999999E-4</v>
      </c>
      <c r="D9" s="2">
        <v>-3.301E-4</v>
      </c>
      <c r="E9" s="2">
        <v>0</v>
      </c>
      <c r="F9" s="2">
        <v>0</v>
      </c>
      <c r="G9" s="2">
        <v>0</v>
      </c>
      <c r="H9" s="2">
        <v>4.9698343999999999E-5</v>
      </c>
      <c r="I9" s="2">
        <v>1.2490341E-5</v>
      </c>
      <c r="J9" s="2">
        <v>-1.3154325999999999E-4</v>
      </c>
      <c r="K9" s="3"/>
      <c r="L9" s="3">
        <f t="shared" si="0"/>
        <v>0.21505604362314448</v>
      </c>
      <c r="M9" s="3"/>
      <c r="N9" s="2">
        <f>IF('Modell einstellen'!$B$1="Voll",H9/0.35,H9/0.35*2)</f>
        <v>1.4199526857142856E-4</v>
      </c>
      <c r="O9" s="2">
        <f>IF('Modell einstellen'!$B$1="Voll",J9/0.35,J9/0.35*2)</f>
        <v>-3.7583788571428573E-4</v>
      </c>
      <c r="P9" s="3">
        <f t="shared" si="1"/>
        <v>0.37780988550838707</v>
      </c>
      <c r="Q9" s="3"/>
      <c r="R9" s="3"/>
      <c r="S9" s="3"/>
      <c r="T9" s="3"/>
      <c r="U9" s="3"/>
      <c r="V9" s="3"/>
      <c r="W9" s="3"/>
    </row>
    <row r="10" spans="1:23" x14ac:dyDescent="0.25">
      <c r="A10" s="2">
        <v>1E-8</v>
      </c>
      <c r="B10" s="2">
        <v>7.0080000000000007E-5</v>
      </c>
      <c r="C10" s="2">
        <v>1.2990000000000001E-4</v>
      </c>
      <c r="D10" s="2">
        <v>-3.3330000000000002E-4</v>
      </c>
      <c r="E10" s="2">
        <v>0</v>
      </c>
      <c r="F10" s="2">
        <v>0</v>
      </c>
      <c r="G10" s="2">
        <v>0</v>
      </c>
      <c r="H10" s="2">
        <v>5.1486086999999999E-5</v>
      </c>
      <c r="I10" s="2">
        <v>1.2817927E-5</v>
      </c>
      <c r="J10" s="2">
        <v>-1.346768E-4</v>
      </c>
      <c r="K10" s="3"/>
      <c r="L10" s="3">
        <f t="shared" si="0"/>
        <v>0.21026102610261027</v>
      </c>
      <c r="M10" s="3"/>
      <c r="N10" s="2">
        <f>IF('Modell einstellen'!$B$1="Voll",H10/0.35,H10/0.35*2)</f>
        <v>1.4710310571428573E-4</v>
      </c>
      <c r="O10" s="2">
        <f>IF('Modell einstellen'!$B$1="Voll",J10/0.35,J10/0.35*2)</f>
        <v>-3.8479085714285716E-4</v>
      </c>
      <c r="P10" s="3">
        <f t="shared" si="1"/>
        <v>0.38229366156606043</v>
      </c>
      <c r="Q10" s="3"/>
      <c r="R10" s="3"/>
      <c r="S10" s="3"/>
      <c r="T10" s="3"/>
      <c r="U10" s="3"/>
      <c r="V10" s="3"/>
      <c r="W10" s="3"/>
    </row>
    <row r="11" spans="1:23" x14ac:dyDescent="0.25">
      <c r="A11" s="2">
        <v>9.9999999999999995E-8</v>
      </c>
      <c r="B11" s="2">
        <v>6.8850000000000007E-5</v>
      </c>
      <c r="C11" s="2">
        <v>1.3329999999999999E-4</v>
      </c>
      <c r="D11" s="2">
        <v>-3.3649999999999999E-4</v>
      </c>
      <c r="E11" s="2">
        <v>0</v>
      </c>
      <c r="F11" s="2">
        <v>0</v>
      </c>
      <c r="G11" s="2">
        <v>0</v>
      </c>
      <c r="H11" s="2">
        <v>5.3467653999999997E-5</v>
      </c>
      <c r="I11" s="2">
        <v>1.3170624E-5</v>
      </c>
      <c r="J11" s="2">
        <v>-1.3810651999999999E-4</v>
      </c>
      <c r="K11" s="3"/>
      <c r="L11" s="3">
        <f t="shared" si="0"/>
        <v>0.20460624071322439</v>
      </c>
      <c r="M11" s="3"/>
      <c r="N11" s="2">
        <f>IF('Modell einstellen'!$B$1="Voll",H11/0.35,H11/0.35*2)</f>
        <v>1.5276472571428571E-4</v>
      </c>
      <c r="O11" s="2">
        <f>IF('Modell einstellen'!$B$1="Voll",J11/0.35,J11/0.35*2)</f>
        <v>-3.9459005714285713E-4</v>
      </c>
      <c r="P11" s="3">
        <f t="shared" si="1"/>
        <v>0.38714793479699583</v>
      </c>
      <c r="Q11" s="3"/>
      <c r="R11" s="3"/>
      <c r="S11" s="3"/>
      <c r="T11" s="3"/>
      <c r="U11" s="3"/>
      <c r="V11" s="3"/>
      <c r="W11" s="3"/>
    </row>
    <row r="12" spans="1:23" x14ac:dyDescent="0.25">
      <c r="A12" s="2">
        <v>9.9999999999999995E-7</v>
      </c>
      <c r="B12" s="2">
        <v>6.7070000000000007E-5</v>
      </c>
      <c r="C12" s="2">
        <v>1.371E-4</v>
      </c>
      <c r="D12" s="2">
        <v>-3.3980000000000002E-4</v>
      </c>
      <c r="E12" s="2">
        <v>0</v>
      </c>
      <c r="F12" s="2">
        <v>0</v>
      </c>
      <c r="G12" s="2">
        <v>0</v>
      </c>
      <c r="H12" s="2">
        <v>5.5852208000000002E-5</v>
      </c>
      <c r="I12" s="2">
        <v>1.358092E-5</v>
      </c>
      <c r="J12" s="2">
        <v>-1.4217517E-4</v>
      </c>
      <c r="K12" s="3"/>
      <c r="L12" s="3">
        <f t="shared" si="0"/>
        <v>0.1973808122424956</v>
      </c>
      <c r="M12" s="3"/>
      <c r="N12" s="2">
        <f>IF('Modell einstellen'!$B$1="Voll",H12/0.35,H12/0.35*2)</f>
        <v>1.5957773714285716E-4</v>
      </c>
      <c r="O12" s="2">
        <f>IF('Modell einstellen'!$B$1="Voll",J12/0.35,J12/0.35*2)</f>
        <v>-4.0621477142857142E-4</v>
      </c>
      <c r="P12" s="3">
        <f t="shared" si="1"/>
        <v>0.39284080335546639</v>
      </c>
      <c r="Q12" s="3"/>
      <c r="R12" s="3"/>
      <c r="S12" s="3"/>
      <c r="T12" s="3"/>
      <c r="U12" s="3"/>
      <c r="V12" s="3"/>
      <c r="W12" s="3"/>
    </row>
    <row r="13" spans="1:23" x14ac:dyDescent="0.25">
      <c r="A13" s="2">
        <v>1.0000000000000001E-5</v>
      </c>
      <c r="B13" s="2">
        <v>6.5049999999999996E-5</v>
      </c>
      <c r="C13" s="2">
        <v>1.407E-4</v>
      </c>
      <c r="D13" s="2">
        <v>-3.4259999999999998E-4</v>
      </c>
      <c r="E13" s="2">
        <v>0</v>
      </c>
      <c r="F13" s="2">
        <v>0</v>
      </c>
      <c r="G13" s="2">
        <v>0</v>
      </c>
      <c r="H13" s="2">
        <v>5.8153406000000001E-5</v>
      </c>
      <c r="I13" s="2">
        <v>1.3962094E-5</v>
      </c>
      <c r="J13" s="2">
        <v>-1.4603985999999999E-4</v>
      </c>
      <c r="K13" s="3"/>
      <c r="L13" s="3">
        <f t="shared" si="0"/>
        <v>0.18987157034442498</v>
      </c>
      <c r="M13" s="3"/>
      <c r="N13" s="2">
        <f>IF('Modell einstellen'!$B$1="Voll",H13/0.35,H13/0.35*2)</f>
        <v>1.6615258857142858E-4</v>
      </c>
      <c r="O13" s="2">
        <f>IF('Modell einstellen'!$B$1="Voll",J13/0.35,J13/0.35*2)</f>
        <v>-4.1725674285714284E-4</v>
      </c>
      <c r="P13" s="3">
        <f t="shared" si="1"/>
        <v>0.39820228532128149</v>
      </c>
      <c r="Q13" s="3"/>
      <c r="R13" s="3"/>
      <c r="S13" s="3"/>
      <c r="T13" s="3"/>
      <c r="U13" s="3"/>
      <c r="V13" s="3"/>
      <c r="W13" s="3"/>
    </row>
    <row r="14" spans="1:23" x14ac:dyDescent="0.25">
      <c r="A14" s="2">
        <v>1E-4</v>
      </c>
      <c r="B14" s="2">
        <v>6.2409999999999994E-5</v>
      </c>
      <c r="C14" s="2">
        <v>1.4459999999999999E-4</v>
      </c>
      <c r="D14" s="2">
        <v>-3.4519999999999999E-4</v>
      </c>
      <c r="E14" s="2">
        <v>0</v>
      </c>
      <c r="F14" s="2">
        <v>0</v>
      </c>
      <c r="G14" s="2">
        <v>0</v>
      </c>
      <c r="H14" s="2">
        <v>6.0797543E-5</v>
      </c>
      <c r="I14" s="2">
        <v>1.4384262E-5</v>
      </c>
      <c r="J14" s="2">
        <v>-1.5041541999999999E-4</v>
      </c>
      <c r="K14" s="3"/>
      <c r="L14" s="3">
        <f t="shared" si="0"/>
        <v>0.18079374275782154</v>
      </c>
      <c r="M14" s="3"/>
      <c r="N14" s="2">
        <f>IF('Modell einstellen'!$B$1="Voll",H14/0.35,H14/0.35*2)</f>
        <v>1.7370726571428572E-4</v>
      </c>
      <c r="O14" s="2">
        <f>IF('Modell einstellen'!$B$1="Voll",J14/0.35,J14/0.35*2)</f>
        <v>-4.2975834285714288E-4</v>
      </c>
      <c r="P14" s="3">
        <f t="shared" si="1"/>
        <v>0.40419754171480554</v>
      </c>
      <c r="Q14" s="3"/>
      <c r="R14" s="3"/>
      <c r="S14" s="3"/>
      <c r="T14" s="3"/>
      <c r="U14" s="3"/>
      <c r="V14" s="3"/>
      <c r="W14" s="3"/>
    </row>
    <row r="15" spans="1:23" x14ac:dyDescent="0.25">
      <c r="A15" s="2">
        <v>1E-3</v>
      </c>
      <c r="B15" s="2">
        <v>5.8400000000000003E-5</v>
      </c>
      <c r="C15" s="2">
        <v>1.496E-4</v>
      </c>
      <c r="D15" s="2">
        <v>-3.478E-4</v>
      </c>
      <c r="E15" s="2">
        <v>0</v>
      </c>
      <c r="F15" s="2">
        <v>0</v>
      </c>
      <c r="G15" s="2">
        <v>0</v>
      </c>
      <c r="H15" s="2">
        <v>6.4335105999999996E-5</v>
      </c>
      <c r="I15" s="2">
        <v>1.4923491000000001E-5</v>
      </c>
      <c r="J15" s="2">
        <v>-1.56164E-4</v>
      </c>
      <c r="K15" s="3"/>
      <c r="L15" s="3">
        <f t="shared" si="0"/>
        <v>0.16791259344450835</v>
      </c>
      <c r="M15" s="3"/>
      <c r="N15" s="2">
        <f>IF('Modell einstellen'!$B$1="Voll",H15/0.35,H15/0.35*2)</f>
        <v>1.8381458857142857E-4</v>
      </c>
      <c r="O15" s="2">
        <f>IF('Modell einstellen'!$B$1="Voll",J15/0.35,J15/0.35*2)</f>
        <v>-4.4618285714285717E-4</v>
      </c>
      <c r="P15" s="3">
        <f t="shared" si="1"/>
        <v>0.41197142747368148</v>
      </c>
      <c r="Q15" s="3"/>
      <c r="R15" s="3"/>
      <c r="S15" s="3"/>
      <c r="T15" s="3"/>
      <c r="U15" s="3"/>
      <c r="V15" s="3"/>
      <c r="W15" s="3"/>
    </row>
    <row r="16" spans="1:23" x14ac:dyDescent="0.25">
      <c r="A16" s="2">
        <v>0.01</v>
      </c>
      <c r="B16" s="2">
        <v>5.2649999999999999E-5</v>
      </c>
      <c r="C16" s="2">
        <v>1.5540000000000001E-4</v>
      </c>
      <c r="D16" s="2">
        <v>-3.4969999999999999E-4</v>
      </c>
      <c r="E16" s="2">
        <v>0</v>
      </c>
      <c r="F16" s="2">
        <v>0</v>
      </c>
      <c r="G16" s="2">
        <v>0</v>
      </c>
      <c r="H16" s="2">
        <v>6.8719577999999998E-5</v>
      </c>
      <c r="I16" s="2">
        <v>1.555205E-5</v>
      </c>
      <c r="J16" s="2">
        <v>-1.6312436E-4</v>
      </c>
      <c r="K16" s="3"/>
      <c r="L16" s="3">
        <f t="shared" si="0"/>
        <v>0.15055762081784388</v>
      </c>
      <c r="M16" s="3"/>
      <c r="N16" s="2">
        <f>IF('Modell einstellen'!$B$1="Voll",H16/0.35,H16/0.35*2)</f>
        <v>1.9634165142857143E-4</v>
      </c>
      <c r="O16" s="2">
        <f>IF('Modell einstellen'!$B$1="Voll",J16/0.35,J16/0.35*2)</f>
        <v>-4.6606960000000004E-4</v>
      </c>
      <c r="P16" s="3">
        <f t="shared" si="1"/>
        <v>0.42127109648123673</v>
      </c>
      <c r="Q16" s="3"/>
      <c r="R16" s="3"/>
      <c r="S16" s="3"/>
      <c r="T16" s="3"/>
      <c r="U16" s="3"/>
      <c r="V16" s="3"/>
      <c r="W16" s="3"/>
    </row>
    <row r="17" spans="1:23" x14ac:dyDescent="0.25">
      <c r="A17" s="2">
        <v>0.1</v>
      </c>
      <c r="B17" s="2">
        <v>4.5779999999999999E-5</v>
      </c>
      <c r="C17" s="2">
        <v>1.6090000000000001E-4</v>
      </c>
      <c r="D17" s="2">
        <v>-3.502E-4</v>
      </c>
      <c r="E17" s="2">
        <v>0</v>
      </c>
      <c r="F17" s="2">
        <v>0</v>
      </c>
      <c r="G17" s="2">
        <v>0</v>
      </c>
      <c r="H17" s="2">
        <v>7.3311258999999998E-5</v>
      </c>
      <c r="I17" s="2">
        <v>1.6165339999999999E-5</v>
      </c>
      <c r="J17" s="2">
        <v>-1.7022768E-4</v>
      </c>
      <c r="K17" s="3"/>
      <c r="L17" s="3">
        <f t="shared" si="0"/>
        <v>0.13072529982866932</v>
      </c>
      <c r="M17" s="3"/>
      <c r="N17" s="2">
        <f>IF('Modell einstellen'!$B$1="Voll",H17/0.35,H17/0.35*2)</f>
        <v>2.0946074000000001E-4</v>
      </c>
      <c r="O17" s="2">
        <f>IF('Modell einstellen'!$B$1="Voll",J17/0.35,J17/0.35*2)</f>
        <v>-4.8636480000000004E-4</v>
      </c>
      <c r="P17" s="3">
        <f t="shared" si="1"/>
        <v>0.43066591167781881</v>
      </c>
      <c r="Q17" s="3"/>
      <c r="R17" s="3"/>
      <c r="S17" s="3"/>
      <c r="T17" s="3"/>
      <c r="U17" s="3"/>
      <c r="V17" s="3"/>
      <c r="W17" s="3"/>
    </row>
    <row r="18" spans="1:23" x14ac:dyDescent="0.25">
      <c r="A18" s="2">
        <v>1</v>
      </c>
      <c r="B18" s="2">
        <v>3.9020000000000002E-5</v>
      </c>
      <c r="C18" s="2">
        <v>1.6550000000000001E-4</v>
      </c>
      <c r="D18" s="2">
        <v>-3.4959999999999999E-4</v>
      </c>
      <c r="E18" s="2">
        <v>0</v>
      </c>
      <c r="F18" s="2">
        <v>0</v>
      </c>
      <c r="G18" s="2">
        <v>0</v>
      </c>
      <c r="H18" s="2">
        <v>7.7385435000000002E-5</v>
      </c>
      <c r="I18" s="2">
        <v>1.6674870999999999E-5</v>
      </c>
      <c r="J18" s="2">
        <v>-1.7638729E-4</v>
      </c>
      <c r="K18" s="3"/>
      <c r="L18" s="3">
        <f t="shared" si="0"/>
        <v>0.11161327231121283</v>
      </c>
      <c r="M18" s="3"/>
      <c r="N18" s="2">
        <f>IF('Modell einstellen'!$B$1="Voll",H18/0.35,H18/0.35*2)</f>
        <v>2.2110124285714287E-4</v>
      </c>
      <c r="O18" s="2">
        <f>IF('Modell einstellen'!$B$1="Voll",J18/0.35,J18/0.35*2)</f>
        <v>-5.0396368571428577E-4</v>
      </c>
      <c r="P18" s="3">
        <f t="shared" si="1"/>
        <v>0.43872455322602888</v>
      </c>
      <c r="Q18" s="3"/>
      <c r="R18" s="3"/>
      <c r="S18" s="3"/>
      <c r="T18" s="3"/>
      <c r="U18" s="3"/>
      <c r="V18" s="3"/>
      <c r="W18" s="3"/>
    </row>
    <row r="19" spans="1:23" x14ac:dyDescent="0.25">
      <c r="A19" s="2">
        <v>10</v>
      </c>
      <c r="B19" s="2">
        <v>3.0790000000000002E-5</v>
      </c>
      <c r="C19" s="2">
        <v>1.7029999999999999E-4</v>
      </c>
      <c r="D19" s="2">
        <v>-3.478E-4</v>
      </c>
      <c r="E19" s="2">
        <v>0</v>
      </c>
      <c r="F19" s="2">
        <v>0</v>
      </c>
      <c r="G19" s="2">
        <v>0</v>
      </c>
      <c r="H19" s="2">
        <v>8.1993997E-5</v>
      </c>
      <c r="I19" s="2">
        <v>1.7218456000000001E-5</v>
      </c>
      <c r="J19" s="2">
        <v>-1.8322050000000001E-4</v>
      </c>
      <c r="K19" s="3"/>
      <c r="L19" s="3">
        <f t="shared" si="0"/>
        <v>8.852788959171938E-2</v>
      </c>
      <c r="M19" s="3"/>
      <c r="N19" s="2">
        <f>IF('Modell einstellen'!$B$1="Voll",H19/0.35,H19/0.35*2)</f>
        <v>2.3426856285714288E-4</v>
      </c>
      <c r="O19" s="2">
        <f>IF('Modell einstellen'!$B$1="Voll",J19/0.35,J19/0.35*2)</f>
        <v>-5.2348714285714289E-4</v>
      </c>
      <c r="P19" s="3">
        <f t="shared" si="1"/>
        <v>0.44751540902901149</v>
      </c>
      <c r="Q19" s="3"/>
      <c r="R19" s="3"/>
      <c r="S19" s="3"/>
      <c r="T19" s="3"/>
      <c r="U19" s="3"/>
      <c r="V19" s="3"/>
      <c r="W19" s="3"/>
    </row>
    <row r="20" spans="1:23" x14ac:dyDescent="0.25">
      <c r="A20" s="2">
        <v>100</v>
      </c>
      <c r="B20" s="2">
        <v>2.1359999999999999E-5</v>
      </c>
      <c r="C20" s="2">
        <v>1.751E-4</v>
      </c>
      <c r="D20" s="2">
        <v>-3.4479999999999998E-4</v>
      </c>
      <c r="E20" s="2">
        <v>0</v>
      </c>
      <c r="F20" s="2">
        <v>0</v>
      </c>
      <c r="G20" s="2">
        <v>0</v>
      </c>
      <c r="H20" s="2">
        <v>8.6893910000000006E-5</v>
      </c>
      <c r="I20" s="2">
        <v>1.7759703E-5</v>
      </c>
      <c r="J20" s="2">
        <v>-1.9033369999999999E-4</v>
      </c>
      <c r="K20" s="3"/>
      <c r="L20" s="3">
        <f t="shared" si="0"/>
        <v>6.1948955916473321E-2</v>
      </c>
      <c r="M20" s="3"/>
      <c r="N20" s="2">
        <f>IF('Modell einstellen'!$B$1="Voll",H20/0.35,H20/0.35*2)</f>
        <v>2.4826831428571432E-4</v>
      </c>
      <c r="O20" s="2">
        <f>IF('Modell einstellen'!$B$1="Voll",J20/0.35,J20/0.35*2)</f>
        <v>-5.4381057142857138E-4</v>
      </c>
      <c r="P20" s="3">
        <f t="shared" si="1"/>
        <v>0.45653454958317952</v>
      </c>
      <c r="Q20" s="3"/>
      <c r="R20" s="3"/>
      <c r="S20" s="3"/>
      <c r="T20" s="3"/>
      <c r="U20" s="3"/>
      <c r="V20" s="3"/>
      <c r="W20" s="3"/>
    </row>
    <row r="21" spans="1:23" x14ac:dyDescent="0.25">
      <c r="A21" s="2">
        <v>1000</v>
      </c>
      <c r="B21" s="2">
        <v>9.6430000000000007E-6</v>
      </c>
      <c r="C21" s="2">
        <v>1.8029999999999999E-4</v>
      </c>
      <c r="D21" s="2">
        <v>-3.4000000000000002E-4</v>
      </c>
      <c r="E21" s="2">
        <v>0</v>
      </c>
      <c r="F21" s="2">
        <v>0</v>
      </c>
      <c r="G21" s="2">
        <v>0</v>
      </c>
      <c r="H21" s="2">
        <v>9.2655070000000005E-5</v>
      </c>
      <c r="I21" s="2">
        <v>1.8362973999999999E-5</v>
      </c>
      <c r="J21" s="2">
        <v>-1.9855219999999999E-4</v>
      </c>
      <c r="K21" s="3"/>
      <c r="L21" s="3">
        <f t="shared" si="0"/>
        <v>2.8361764705882354E-2</v>
      </c>
      <c r="M21" s="3"/>
      <c r="N21" s="2">
        <f>IF('Modell einstellen'!$B$1="Voll",H21/0.35,H21/0.35*2)</f>
        <v>2.6472877142857146E-4</v>
      </c>
      <c r="O21" s="2">
        <f>IF('Modell einstellen'!$B$1="Voll",J21/0.35,J21/0.35*2)</f>
        <v>-5.6729200000000006E-4</v>
      </c>
      <c r="P21" s="3">
        <f t="shared" si="1"/>
        <v>0.46665345435608369</v>
      </c>
      <c r="Q21" s="3"/>
      <c r="R21" s="3"/>
      <c r="S21" s="3"/>
      <c r="T21" s="3"/>
      <c r="U21" s="3"/>
      <c r="V21" s="3"/>
      <c r="W21" s="3"/>
    </row>
    <row r="22" spans="1:23" x14ac:dyDescent="0.25">
      <c r="A22" s="2">
        <v>10000</v>
      </c>
      <c r="B22" s="2">
        <v>-2.024E-6</v>
      </c>
      <c r="C22" s="2">
        <v>1.8650000000000001E-4</v>
      </c>
      <c r="D22" s="2">
        <v>-3.3599999999999998E-4</v>
      </c>
      <c r="E22" s="2">
        <v>0</v>
      </c>
      <c r="F22" s="2">
        <v>0</v>
      </c>
      <c r="G22" s="2">
        <v>0</v>
      </c>
      <c r="H22" s="2">
        <v>9.8784421000000007E-5</v>
      </c>
      <c r="I22" s="2">
        <v>1.9078819999999999E-5</v>
      </c>
      <c r="J22" s="2">
        <v>-2.0750219999999999E-4</v>
      </c>
      <c r="K22" s="3"/>
      <c r="L22" s="3">
        <f t="shared" si="0"/>
        <v>-6.0238095238095242E-3</v>
      </c>
      <c r="M22" s="3"/>
      <c r="N22" s="2">
        <f>IF('Modell einstellen'!$B$1="Voll",H22/0.35,H22/0.35*2)</f>
        <v>2.8224120285714289E-4</v>
      </c>
      <c r="O22" s="2">
        <f>IF('Modell einstellen'!$B$1="Voll",J22/0.35,J22/0.35*2)</f>
        <v>-5.9286342857142857E-4</v>
      </c>
      <c r="P22" s="3">
        <f t="shared" si="1"/>
        <v>0.47606445136485304</v>
      </c>
      <c r="Q22" s="3"/>
      <c r="R22" s="3"/>
      <c r="S22" s="3"/>
      <c r="T22" s="3"/>
      <c r="U22" s="3"/>
      <c r="V22" s="3"/>
      <c r="W22" s="3"/>
    </row>
    <row r="23" spans="1:23" x14ac:dyDescent="0.25">
      <c r="A23" s="2">
        <v>100000</v>
      </c>
      <c r="B23" s="2">
        <v>-9.7100000000000002E-6</v>
      </c>
      <c r="C23" s="2">
        <v>2.0259999999999999E-4</v>
      </c>
      <c r="D23" s="2">
        <v>-3.4519999999999999E-4</v>
      </c>
      <c r="E23" s="2">
        <v>0</v>
      </c>
      <c r="F23" s="2">
        <v>0</v>
      </c>
      <c r="G23" s="2">
        <v>0</v>
      </c>
      <c r="H23" s="2">
        <v>1.0832199E-4</v>
      </c>
      <c r="I23" s="2">
        <v>2.0974011999999999E-5</v>
      </c>
      <c r="J23" s="2">
        <v>-2.2397625999999999E-4</v>
      </c>
      <c r="K23" s="3"/>
      <c r="L23" s="3">
        <f t="shared" si="0"/>
        <v>-2.8128621089223638E-2</v>
      </c>
      <c r="M23" s="3"/>
      <c r="N23" s="2">
        <f>IF('Modell einstellen'!$B$1="Voll",H23/0.35,H23/0.35*2)</f>
        <v>3.0949140000000004E-4</v>
      </c>
      <c r="O23" s="2">
        <f>IF('Modell einstellen'!$B$1="Voll",J23/0.35,J23/0.35*2)</f>
        <v>-6.3993217142857149E-4</v>
      </c>
      <c r="P23" s="3">
        <f t="shared" si="1"/>
        <v>0.48363156881001584</v>
      </c>
      <c r="Q23" s="3"/>
      <c r="R23" s="3"/>
      <c r="S23" s="3"/>
      <c r="T23" s="3"/>
      <c r="U23" s="3"/>
      <c r="V23" s="3"/>
      <c r="W23" s="3"/>
    </row>
    <row r="24" spans="1:23" x14ac:dyDescent="0.25">
      <c r="A24" s="2">
        <v>1000000</v>
      </c>
      <c r="B24" s="2">
        <v>6.5039999999999999E-6</v>
      </c>
      <c r="C24" s="2">
        <v>2.4039999999999999E-4</v>
      </c>
      <c r="D24" s="2">
        <v>-3.9740000000000001E-4</v>
      </c>
      <c r="E24" s="2">
        <v>0</v>
      </c>
      <c r="F24" s="2">
        <v>0</v>
      </c>
      <c r="G24" s="2">
        <v>0</v>
      </c>
      <c r="H24" s="2">
        <v>1.2141908E-4</v>
      </c>
      <c r="I24" s="2">
        <v>2.5587073000000001E-5</v>
      </c>
      <c r="J24" s="2">
        <v>-2.5334648999999999E-4</v>
      </c>
      <c r="K24" s="3"/>
      <c r="L24" s="3">
        <f t="shared" si="0"/>
        <v>1.6366381479617512E-2</v>
      </c>
      <c r="M24" s="3"/>
      <c r="N24" s="2">
        <f>IF('Modell einstellen'!$B$1="Voll",H24/0.35,H24/0.35*2)</f>
        <v>3.4691165714285715E-4</v>
      </c>
      <c r="O24" s="2">
        <f>IF('Modell einstellen'!$B$1="Voll",J24/0.35,J24/0.35*2)</f>
        <v>-7.2384711428571426E-4</v>
      </c>
      <c r="P24" s="3">
        <f t="shared" si="1"/>
        <v>0.47926095206608155</v>
      </c>
      <c r="Q24" s="3"/>
      <c r="R24" s="3"/>
      <c r="S24" s="3"/>
      <c r="T24" s="3"/>
      <c r="U24" s="3"/>
      <c r="V24" s="3"/>
      <c r="W24" s="3"/>
    </row>
    <row r="25" spans="1:23" x14ac:dyDescent="0.25">
      <c r="A25" s="2">
        <v>10000000</v>
      </c>
      <c r="B25" s="2">
        <v>3.3130000000000003E-5</v>
      </c>
      <c r="C25" s="2">
        <v>2.9770000000000003E-4</v>
      </c>
      <c r="D25" s="2">
        <v>-4.7820000000000002E-4</v>
      </c>
      <c r="E25" s="2">
        <v>0</v>
      </c>
      <c r="F25" s="2">
        <v>0</v>
      </c>
      <c r="G25" s="2">
        <v>0</v>
      </c>
      <c r="H25" s="2">
        <v>1.3909516999999999E-4</v>
      </c>
      <c r="I25" s="2">
        <v>3.2867153000000001E-5</v>
      </c>
      <c r="J25" s="2">
        <v>-2.9675757999999999E-4</v>
      </c>
      <c r="K25" s="3"/>
      <c r="L25" s="3">
        <f t="shared" si="0"/>
        <v>6.9280635717273109E-2</v>
      </c>
      <c r="M25" s="3"/>
      <c r="N25" s="2">
        <f>IF('Modell einstellen'!$B$1="Voll",H25/0.35,H25/0.35*2)</f>
        <v>3.9741477142857143E-4</v>
      </c>
      <c r="O25" s="2">
        <f>IF('Modell einstellen'!$B$1="Voll",J25/0.35,J25/0.35*2)</f>
        <v>-8.4787879999999999E-4</v>
      </c>
      <c r="P25" s="3">
        <f t="shared" si="1"/>
        <v>0.46871648569178925</v>
      </c>
      <c r="Q25" s="3"/>
      <c r="R25" s="3"/>
      <c r="S25" s="3"/>
      <c r="T25" s="3"/>
      <c r="U25" s="3"/>
      <c r="V25" s="3"/>
      <c r="W25" s="3"/>
    </row>
    <row r="26" spans="1:23" x14ac:dyDescent="0.25">
      <c r="A26" s="2">
        <v>100000000</v>
      </c>
      <c r="B26" s="2">
        <v>5.0189999999999999E-5</v>
      </c>
      <c r="C26" s="2">
        <v>3.6509999999999998E-4</v>
      </c>
      <c r="D26" s="2">
        <v>-5.6050000000000002E-4</v>
      </c>
      <c r="E26" s="2">
        <v>0</v>
      </c>
      <c r="F26" s="2">
        <v>0</v>
      </c>
      <c r="G26" s="2">
        <v>0</v>
      </c>
      <c r="H26" s="2">
        <v>1.6150142000000001E-4</v>
      </c>
      <c r="I26" s="2">
        <v>4.1928621000000001E-5</v>
      </c>
      <c r="J26" s="2">
        <v>-3.5155298999999999E-4</v>
      </c>
      <c r="K26" s="3"/>
      <c r="L26" s="3">
        <f t="shared" si="0"/>
        <v>8.9545049063336296E-2</v>
      </c>
      <c r="M26" s="3"/>
      <c r="N26" s="2">
        <f>IF('Modell einstellen'!$B$1="Voll",H26/0.35,H26/0.35*2)</f>
        <v>4.6143262857142864E-4</v>
      </c>
      <c r="O26" s="2">
        <f>IF('Modell einstellen'!$B$1="Voll",J26/0.35,J26/0.35*2)</f>
        <v>-1.0044371142857143E-3</v>
      </c>
      <c r="P26" s="3">
        <f t="shared" si="1"/>
        <v>0.45939424380944682</v>
      </c>
      <c r="Q26" s="3"/>
      <c r="R26" s="3"/>
      <c r="S26" s="3"/>
      <c r="T26" s="3"/>
      <c r="U26" s="3"/>
      <c r="V26" s="3"/>
      <c r="W26" s="3"/>
    </row>
    <row r="27" spans="1:23" x14ac:dyDescent="0.25">
      <c r="A27" s="2">
        <v>1000000000</v>
      </c>
      <c r="B27" s="2">
        <v>3.5290000000000003E-5</v>
      </c>
      <c r="C27" s="2">
        <v>4.462E-4</v>
      </c>
      <c r="D27" s="2">
        <v>-6.2620000000000004E-4</v>
      </c>
      <c r="E27" s="2">
        <v>0</v>
      </c>
      <c r="F27" s="2">
        <v>0</v>
      </c>
      <c r="G27" s="2">
        <v>0</v>
      </c>
      <c r="H27" s="2">
        <v>1.9370490000000001E-4</v>
      </c>
      <c r="I27" s="2">
        <v>5.3553744000000002E-5</v>
      </c>
      <c r="J27" s="2">
        <v>-4.2583813999999998E-4</v>
      </c>
      <c r="K27" s="3"/>
      <c r="L27" s="3">
        <f t="shared" si="0"/>
        <v>5.6355796870009585E-2</v>
      </c>
      <c r="M27" s="3"/>
      <c r="N27" s="2">
        <f>IF('Modell einstellen'!$B$1="Voll",H27/0.35,H27/0.35*2)</f>
        <v>5.5344257142857147E-4</v>
      </c>
      <c r="O27" s="2">
        <f>IF('Modell einstellen'!$B$1="Voll",J27/0.35,J27/0.35*2)</f>
        <v>-1.2166804000000001E-3</v>
      </c>
      <c r="P27" s="3">
        <f t="shared" si="1"/>
        <v>0.45487917075722717</v>
      </c>
      <c r="Q27" s="3"/>
      <c r="R27" s="3"/>
      <c r="S27" s="3"/>
      <c r="T27" s="3"/>
      <c r="U27" s="3"/>
      <c r="V27" s="3"/>
      <c r="W27" s="3"/>
    </row>
    <row r="28" spans="1:23" x14ac:dyDescent="0.25">
      <c r="A28" s="2">
        <v>10000000000</v>
      </c>
      <c r="B28" s="2">
        <v>-3.9379999999999999E-5</v>
      </c>
      <c r="C28" s="2">
        <v>5.5259999999999999E-4</v>
      </c>
      <c r="D28" s="2">
        <v>-6.5919999999999998E-4</v>
      </c>
      <c r="E28" s="2">
        <v>0</v>
      </c>
      <c r="F28" s="2">
        <v>0</v>
      </c>
      <c r="G28" s="2">
        <v>0</v>
      </c>
      <c r="H28" s="2">
        <v>2.4296952999999999E-4</v>
      </c>
      <c r="I28" s="2">
        <v>6.9862142000000005E-5</v>
      </c>
      <c r="J28" s="2">
        <v>-5.3460002000000001E-4</v>
      </c>
      <c r="K28" s="3"/>
      <c r="L28" s="3">
        <f t="shared" si="0"/>
        <v>-5.9739077669902912E-2</v>
      </c>
      <c r="M28" s="3"/>
      <c r="N28" s="2">
        <f>IF('Modell einstellen'!$B$1="Voll",H28/0.35,H28/0.35*2)</f>
        <v>6.941986571428572E-4</v>
      </c>
      <c r="O28" s="2">
        <f>IF('Modell einstellen'!$B$1="Voll",J28/0.35,J28/0.35*2)</f>
        <v>-1.5274286285714288E-3</v>
      </c>
      <c r="P28" s="3">
        <f t="shared" si="1"/>
        <v>0.45448844165774627</v>
      </c>
      <c r="Q28" s="3"/>
      <c r="R28" s="3"/>
      <c r="S28" s="3"/>
      <c r="T28" s="3"/>
      <c r="U28" s="3"/>
      <c r="V28" s="3"/>
      <c r="W28" s="3"/>
    </row>
    <row r="29" spans="1:23" x14ac:dyDescent="0.25">
      <c r="A29" s="2">
        <v>100000000000</v>
      </c>
      <c r="B29" s="2">
        <v>-2.4560000000000001E-4</v>
      </c>
      <c r="C29" s="2">
        <v>7.1480000000000003E-4</v>
      </c>
      <c r="D29" s="2">
        <v>-6.177E-4</v>
      </c>
      <c r="E29" s="2">
        <v>0</v>
      </c>
      <c r="F29" s="2">
        <v>0</v>
      </c>
      <c r="G29" s="2">
        <v>0</v>
      </c>
      <c r="H29" s="2">
        <v>3.2802377E-4</v>
      </c>
      <c r="I29" s="2">
        <v>9.6225473000000002E-5</v>
      </c>
      <c r="J29" s="2">
        <v>-7.1610895000000002E-4</v>
      </c>
      <c r="K29" s="3"/>
      <c r="L29" s="3">
        <f t="shared" si="0"/>
        <v>-0.39760401489396147</v>
      </c>
      <c r="M29" s="3"/>
      <c r="N29" s="2">
        <f>IF('Modell einstellen'!$B$1="Voll",H29/0.35,H29/0.35*2)</f>
        <v>9.3721077142857147E-4</v>
      </c>
      <c r="O29" s="2">
        <f>IF('Modell einstellen'!$B$1="Voll",J29/0.35,J29/0.35*2)</f>
        <v>-2.0460255714285715E-3</v>
      </c>
      <c r="P29" s="3">
        <f t="shared" si="1"/>
        <v>0.45806405575576176</v>
      </c>
      <c r="Q29" s="3"/>
      <c r="R29" s="3"/>
      <c r="S29" s="3"/>
      <c r="T29" s="3"/>
      <c r="U29" s="3"/>
      <c r="V29" s="3"/>
      <c r="W29" s="3"/>
    </row>
    <row r="30" spans="1:23" x14ac:dyDescent="0.25">
      <c r="A30" s="2">
        <v>1000000000000</v>
      </c>
      <c r="B30" s="2">
        <v>-6.3159999999999996E-4</v>
      </c>
      <c r="C30" s="2">
        <v>9.4059999999999999E-4</v>
      </c>
      <c r="D30" s="2">
        <v>-4.5970000000000001E-4</v>
      </c>
      <c r="E30" s="2">
        <v>0</v>
      </c>
      <c r="F30" s="2">
        <v>0</v>
      </c>
      <c r="G30" s="2">
        <v>0</v>
      </c>
      <c r="H30" s="2">
        <v>4.5335333000000002E-4</v>
      </c>
      <c r="I30" s="2">
        <v>1.346307E-4</v>
      </c>
      <c r="J30" s="2">
        <v>-9.8177847000000006E-4</v>
      </c>
      <c r="K30" s="3"/>
      <c r="L30" s="3">
        <f t="shared" si="0"/>
        <v>-1.373939525777681</v>
      </c>
      <c r="M30" s="3"/>
      <c r="N30" s="2">
        <f>IF('Modell einstellen'!$B$1="Voll",H30/0.35,H30/0.35*2)</f>
        <v>1.2952952285714286E-3</v>
      </c>
      <c r="O30" s="2">
        <f>IF('Modell einstellen'!$B$1="Voll",J30/0.35,J30/0.35*2)</f>
        <v>-2.8050813428571434E-3</v>
      </c>
      <c r="P30" s="3">
        <f t="shared" si="1"/>
        <v>0.46176743924726721</v>
      </c>
      <c r="Q30" s="3"/>
      <c r="R30" s="3"/>
      <c r="S30" s="3"/>
      <c r="T30" s="3"/>
      <c r="U30" s="3"/>
      <c r="V30" s="3"/>
      <c r="W30" s="3"/>
    </row>
    <row r="31" spans="1:23" x14ac:dyDescent="0.25">
      <c r="A31" s="2">
        <v>10000000000000</v>
      </c>
      <c r="B31" s="2">
        <v>-1.2340000000000001E-3</v>
      </c>
      <c r="C31" s="2">
        <v>1.253E-3</v>
      </c>
      <c r="D31" s="2">
        <v>-1.7119999999999999E-4</v>
      </c>
      <c r="E31" s="2">
        <v>0</v>
      </c>
      <c r="F31" s="2">
        <v>0</v>
      </c>
      <c r="G31" s="2">
        <v>0</v>
      </c>
      <c r="H31" s="2">
        <v>6.3015230999999999E-4</v>
      </c>
      <c r="I31" s="2">
        <v>1.8928440000000001E-4</v>
      </c>
      <c r="J31" s="2">
        <v>-1.3578637E-3</v>
      </c>
      <c r="K31" s="3"/>
      <c r="L31" s="3">
        <f t="shared" si="0"/>
        <v>-7.2079439252336455</v>
      </c>
      <c r="M31" s="3"/>
      <c r="N31" s="2">
        <f>IF('Modell einstellen'!$B$1="Voll",H31/0.35,H31/0.35*2)</f>
        <v>1.8004351714285716E-3</v>
      </c>
      <c r="O31" s="2">
        <f>IF('Modell einstellen'!$B$1="Voll",J31/0.35,J31/0.35*2)</f>
        <v>-3.8796105714285715E-3</v>
      </c>
      <c r="P31" s="3">
        <f t="shared" si="1"/>
        <v>0.46407626185161299</v>
      </c>
      <c r="Q31" s="3"/>
      <c r="R31" s="3"/>
      <c r="S31" s="3"/>
      <c r="T31" s="3"/>
      <c r="U31" s="3"/>
      <c r="V31" s="3"/>
      <c r="W31" s="3"/>
    </row>
    <row r="32" spans="1:23" x14ac:dyDescent="0.25">
      <c r="A32" s="2">
        <v>100000000000000</v>
      </c>
      <c r="B32" s="2">
        <v>-1.799E-3</v>
      </c>
      <c r="C32" s="2">
        <v>1.5460000000000001E-3</v>
      </c>
      <c r="D32" s="2">
        <v>1.0009999999999999E-4</v>
      </c>
      <c r="E32" s="2">
        <v>0</v>
      </c>
      <c r="F32" s="2">
        <v>0</v>
      </c>
      <c r="G32" s="2">
        <v>0</v>
      </c>
      <c r="H32" s="2">
        <v>7.8882443000000005E-4</v>
      </c>
      <c r="I32" s="2">
        <v>2.4135300999999999E-4</v>
      </c>
      <c r="J32" s="2">
        <v>-1.7058563000000001E-3</v>
      </c>
      <c r="K32" s="3"/>
      <c r="L32" s="3">
        <f t="shared" si="0"/>
        <v>17.972027972027973</v>
      </c>
      <c r="M32" s="3"/>
      <c r="N32" s="2">
        <f>IF('Modell einstellen'!$B$1="Voll",H32/0.35,H32/0.35*2)</f>
        <v>2.2537840857142859E-3</v>
      </c>
      <c r="O32" s="2">
        <f>IF('Modell einstellen'!$B$1="Voll",J32/0.35,J32/0.35*2)</f>
        <v>-4.8738751428571434E-3</v>
      </c>
      <c r="P32" s="3">
        <f t="shared" si="1"/>
        <v>0.46242138332519567</v>
      </c>
      <c r="Q32" s="3"/>
      <c r="R32" s="3"/>
      <c r="S32" s="3"/>
      <c r="T32" s="3"/>
      <c r="U32" s="3"/>
      <c r="V32" s="3"/>
      <c r="W32" s="3"/>
    </row>
    <row r="33" spans="1:23" x14ac:dyDescent="0.25">
      <c r="A33" s="2">
        <v>1000000000000000</v>
      </c>
      <c r="B33" s="2">
        <v>-2.2659999999999998E-3</v>
      </c>
      <c r="C33" s="2">
        <v>1.794E-3</v>
      </c>
      <c r="D33" s="2">
        <v>3.19E-4</v>
      </c>
      <c r="E33" s="2">
        <v>0</v>
      </c>
      <c r="F33" s="2">
        <v>0</v>
      </c>
      <c r="G33" s="2">
        <v>0</v>
      </c>
      <c r="H33" s="2">
        <v>9.1961761000000002E-4</v>
      </c>
      <c r="I33" s="2">
        <v>2.8573801000000002E-4</v>
      </c>
      <c r="J33" s="2">
        <v>-1.9976743000000002E-3</v>
      </c>
      <c r="K33" s="3"/>
      <c r="L33" s="3">
        <f t="shared" si="0"/>
        <v>7.1034482758620685</v>
      </c>
      <c r="M33" s="3"/>
      <c r="N33" s="2">
        <f>IF('Modell einstellen'!$B$1="Voll",H33/0.35,H33/0.35*2)</f>
        <v>2.6274788857142861E-3</v>
      </c>
      <c r="O33" s="2">
        <f>IF('Modell einstellen'!$B$1="Voll",J33/0.35,J33/0.35*2)</f>
        <v>-5.7076408571428584E-3</v>
      </c>
      <c r="P33" s="3">
        <f t="shared" si="1"/>
        <v>0.46034411615547138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7.47E-5</v>
      </c>
      <c r="C3" s="3">
        <v>1.155E-4</v>
      </c>
      <c r="D3" s="3">
        <v>-3.1819999999999998E-4</v>
      </c>
      <c r="E3" s="3">
        <v>0</v>
      </c>
      <c r="F3" s="3">
        <v>0</v>
      </c>
      <c r="G3" s="3">
        <v>0</v>
      </c>
      <c r="H3" s="3">
        <v>4.3394077000000002E-5</v>
      </c>
      <c r="I3" s="3">
        <v>1.1321793999999999E-5</v>
      </c>
      <c r="J3" s="3">
        <v>-1.2044262E-4</v>
      </c>
      <c r="L3" s="3">
        <f>-B3/D3</f>
        <v>0.23475801382778128</v>
      </c>
      <c r="M3" s="3"/>
      <c r="N3" s="2">
        <f>IF('Modell einstellen'!$B$1="Voll",H3/0.35,H3/0.35*2)</f>
        <v>1.2398307714285716E-4</v>
      </c>
      <c r="O3" s="2">
        <f>IF('Modell einstellen'!$B$1="Voll",J3/0.35,J3/0.35*2)</f>
        <v>-3.4412177142857143E-4</v>
      </c>
      <c r="P3" s="3">
        <f>-N3/O3</f>
        <v>0.36028838462663804</v>
      </c>
    </row>
    <row r="4" spans="1:16" x14ac:dyDescent="0.25">
      <c r="A4" s="3">
        <v>1E-14</v>
      </c>
      <c r="B4" s="3">
        <v>7.4670000000000002E-5</v>
      </c>
      <c r="C4" s="3">
        <v>1.193E-4</v>
      </c>
      <c r="D4" s="3">
        <v>-3.2309999999999999E-4</v>
      </c>
      <c r="E4" s="3">
        <v>0</v>
      </c>
      <c r="F4" s="3">
        <v>0</v>
      </c>
      <c r="G4" s="3">
        <v>0</v>
      </c>
      <c r="H4" s="3">
        <v>4.5301154E-5</v>
      </c>
      <c r="I4" s="3">
        <v>1.1711282E-5</v>
      </c>
      <c r="J4" s="3">
        <v>-1.2393844000000001E-4</v>
      </c>
      <c r="L4" s="3">
        <f t="shared" ref="L4:L33" si="0">-B4/D4</f>
        <v>0.23110492107706593</v>
      </c>
      <c r="M4" s="3"/>
      <c r="N4" s="2">
        <f>IF('Modell einstellen'!$B$1="Voll",H4/0.35,H4/0.35*2)</f>
        <v>1.2943186857142857E-4</v>
      </c>
      <c r="O4" s="2">
        <f>IF('Modell einstellen'!$B$1="Voll",J4/0.35,J4/0.35*2)</f>
        <v>-3.5410982857142861E-4</v>
      </c>
      <c r="P4" s="3">
        <f t="shared" ref="P4:P33" si="1">-N4/O4</f>
        <v>0.36551334678732439</v>
      </c>
    </row>
    <row r="5" spans="1:16" x14ac:dyDescent="0.25">
      <c r="A5" s="3">
        <v>1E-13</v>
      </c>
      <c r="B5" s="3">
        <v>7.4499999999999995E-5</v>
      </c>
      <c r="C5" s="3">
        <v>1.215E-4</v>
      </c>
      <c r="D5" s="3">
        <v>-3.2590000000000001E-4</v>
      </c>
      <c r="E5" s="3">
        <v>0</v>
      </c>
      <c r="F5" s="3">
        <v>0</v>
      </c>
      <c r="G5" s="3">
        <v>0</v>
      </c>
      <c r="H5" s="3">
        <v>4.6462787999999999E-5</v>
      </c>
      <c r="I5" s="3">
        <v>1.1943261E-5</v>
      </c>
      <c r="J5" s="3">
        <v>-1.2604898000000001E-4</v>
      </c>
      <c r="L5" s="3">
        <f t="shared" si="0"/>
        <v>0.22859772936483583</v>
      </c>
      <c r="M5" s="3"/>
      <c r="N5" s="2">
        <f>IF('Modell einstellen'!$B$1="Voll",H5/0.35,H5/0.35*2)</f>
        <v>1.3275082285714286E-4</v>
      </c>
      <c r="O5" s="2">
        <f>IF('Modell einstellen'!$B$1="Voll",J5/0.35,J5/0.35*2)</f>
        <v>-3.6013994285714293E-4</v>
      </c>
      <c r="P5" s="3">
        <f t="shared" si="1"/>
        <v>0.36860899628065208</v>
      </c>
    </row>
    <row r="6" spans="1:16" x14ac:dyDescent="0.25">
      <c r="A6" s="3">
        <v>9.9999999999999998E-13</v>
      </c>
      <c r="B6" s="3">
        <v>7.4229999999999999E-5</v>
      </c>
      <c r="C6" s="3">
        <v>1.238E-4</v>
      </c>
      <c r="D6" s="3">
        <v>-3.2870000000000002E-4</v>
      </c>
      <c r="E6" s="3">
        <v>0</v>
      </c>
      <c r="F6" s="3">
        <v>0</v>
      </c>
      <c r="G6" s="3">
        <v>0</v>
      </c>
      <c r="H6" s="3">
        <v>4.7689698E-5</v>
      </c>
      <c r="I6" s="3">
        <v>1.2184569E-5</v>
      </c>
      <c r="J6" s="3">
        <v>-1.2826316E-4</v>
      </c>
      <c r="L6" s="3">
        <f t="shared" si="0"/>
        <v>0.22582902342561606</v>
      </c>
      <c r="M6" s="3"/>
      <c r="N6" s="2">
        <f>IF('Modell einstellen'!$B$1="Voll",H6/0.35,H6/0.35*2)</f>
        <v>1.3625628000000001E-4</v>
      </c>
      <c r="O6" s="2">
        <f>IF('Modell einstellen'!$B$1="Voll",J6/0.35,J6/0.35*2)</f>
        <v>-3.6646617142857145E-4</v>
      </c>
      <c r="P6" s="3">
        <f t="shared" si="1"/>
        <v>0.37181134473842686</v>
      </c>
    </row>
    <row r="7" spans="1:16" x14ac:dyDescent="0.25">
      <c r="A7" s="3">
        <v>9.9999999999999994E-12</v>
      </c>
      <c r="B7" s="3">
        <v>7.3800000000000005E-5</v>
      </c>
      <c r="C7" s="3">
        <v>1.2630000000000001E-4</v>
      </c>
      <c r="D7" s="3">
        <v>-3.3159999999999998E-4</v>
      </c>
      <c r="E7" s="3">
        <v>0</v>
      </c>
      <c r="F7" s="3">
        <v>0</v>
      </c>
      <c r="G7" s="3">
        <v>0</v>
      </c>
      <c r="H7" s="3">
        <v>4.9066582E-5</v>
      </c>
      <c r="I7" s="3">
        <v>1.2450559E-5</v>
      </c>
      <c r="J7" s="3">
        <v>-1.3072781000000001E-4</v>
      </c>
      <c r="L7" s="3">
        <f t="shared" si="0"/>
        <v>0.22255729794933657</v>
      </c>
      <c r="M7" s="3"/>
      <c r="N7" s="2">
        <f>IF('Modell einstellen'!$B$1="Voll",H7/0.35,H7/0.35*2)</f>
        <v>1.4019023428571428E-4</v>
      </c>
      <c r="O7" s="2">
        <f>IF('Modell einstellen'!$B$1="Voll",J7/0.35,J7/0.35*2)</f>
        <v>-3.7350802857142863E-4</v>
      </c>
      <c r="P7" s="3">
        <f t="shared" si="1"/>
        <v>0.3753339247402675</v>
      </c>
    </row>
    <row r="8" spans="1:16" x14ac:dyDescent="0.25">
      <c r="A8" s="3">
        <v>1E-10</v>
      </c>
      <c r="B8" s="3">
        <v>7.3150000000000003E-5</v>
      </c>
      <c r="C8" s="3">
        <v>1.292E-4</v>
      </c>
      <c r="D8" s="3">
        <v>-3.347E-4</v>
      </c>
      <c r="E8" s="3">
        <v>0</v>
      </c>
      <c r="F8" s="3">
        <v>0</v>
      </c>
      <c r="G8" s="3">
        <v>0</v>
      </c>
      <c r="H8" s="3">
        <v>5.0670066000000002E-5</v>
      </c>
      <c r="I8" s="3">
        <v>1.2754015E-5</v>
      </c>
      <c r="J8" s="3">
        <v>-1.3357174E-4</v>
      </c>
      <c r="L8" s="3">
        <f t="shared" si="0"/>
        <v>0.21855392889154468</v>
      </c>
      <c r="M8" s="3"/>
      <c r="N8" s="2">
        <f>IF('Modell einstellen'!$B$1="Voll",H8/0.35,H8/0.35*2)</f>
        <v>1.4477161714285716E-4</v>
      </c>
      <c r="O8" s="2">
        <f>IF('Modell einstellen'!$B$1="Voll",J8/0.35,J8/0.35*2)</f>
        <v>-3.8163354285714285E-4</v>
      </c>
      <c r="P8" s="3">
        <f t="shared" si="1"/>
        <v>0.37934720323325882</v>
      </c>
    </row>
    <row r="9" spans="1:16" x14ac:dyDescent="0.25">
      <c r="A9" s="3">
        <v>1.0000000000000001E-9</v>
      </c>
      <c r="B9" s="3">
        <v>7.2180000000000003E-5</v>
      </c>
      <c r="C9" s="3">
        <v>1.325E-4</v>
      </c>
      <c r="D9" s="3">
        <v>-3.3799999999999998E-4</v>
      </c>
      <c r="E9" s="3">
        <v>0</v>
      </c>
      <c r="F9" s="3">
        <v>0</v>
      </c>
      <c r="G9" s="3">
        <v>0</v>
      </c>
      <c r="H9" s="3">
        <v>5.2523203E-5</v>
      </c>
      <c r="I9" s="3">
        <v>1.3095743999999999E-5</v>
      </c>
      <c r="J9" s="3">
        <v>-1.3682112000000001E-4</v>
      </c>
      <c r="L9" s="3">
        <f t="shared" si="0"/>
        <v>0.21355029585798818</v>
      </c>
      <c r="M9" s="3"/>
      <c r="N9" s="2">
        <f>IF('Modell einstellen'!$B$1="Voll",H9/0.35,H9/0.35*2)</f>
        <v>1.5006629428571428E-4</v>
      </c>
      <c r="O9" s="2">
        <f>IF('Modell einstellen'!$B$1="Voll",J9/0.35,J9/0.35*2)</f>
        <v>-3.9091748571428575E-4</v>
      </c>
      <c r="P9" s="3">
        <f t="shared" si="1"/>
        <v>0.38388227636201189</v>
      </c>
    </row>
    <row r="10" spans="1:16" x14ac:dyDescent="0.25">
      <c r="A10" s="3">
        <v>1E-8</v>
      </c>
      <c r="B10" s="3">
        <v>7.0809999999999995E-5</v>
      </c>
      <c r="C10" s="3">
        <v>1.361E-4</v>
      </c>
      <c r="D10" s="3">
        <v>-3.4150000000000001E-4</v>
      </c>
      <c r="E10" s="3">
        <v>0</v>
      </c>
      <c r="F10" s="3">
        <v>0</v>
      </c>
      <c r="G10" s="3">
        <v>0</v>
      </c>
      <c r="H10" s="3">
        <v>5.4688977000000001E-5</v>
      </c>
      <c r="I10" s="3">
        <v>1.3483579999999999E-5</v>
      </c>
      <c r="J10" s="3">
        <v>-1.4057086E-4</v>
      </c>
      <c r="L10" s="3">
        <f t="shared" si="0"/>
        <v>0.20734992679355782</v>
      </c>
      <c r="M10" s="3"/>
      <c r="N10" s="2">
        <f>IF('Modell einstellen'!$B$1="Voll",H10/0.35,H10/0.35*2)</f>
        <v>1.5625422000000003E-4</v>
      </c>
      <c r="O10" s="2">
        <f>IF('Modell einstellen'!$B$1="Voll",J10/0.35,J10/0.35*2)</f>
        <v>-4.0163102857142859E-4</v>
      </c>
      <c r="P10" s="3">
        <f t="shared" si="1"/>
        <v>0.38904917420296076</v>
      </c>
    </row>
    <row r="11" spans="1:16" x14ac:dyDescent="0.25">
      <c r="A11" s="3">
        <v>9.9999999999999995E-8</v>
      </c>
      <c r="B11" s="3">
        <v>6.8990000000000002E-5</v>
      </c>
      <c r="C11" s="3">
        <v>1.3990000000000001E-4</v>
      </c>
      <c r="D11" s="3">
        <v>-3.4469999999999998E-4</v>
      </c>
      <c r="E11" s="3">
        <v>0</v>
      </c>
      <c r="F11" s="3">
        <v>0</v>
      </c>
      <c r="G11" s="3">
        <v>0</v>
      </c>
      <c r="H11" s="3">
        <v>5.7045327999999997E-5</v>
      </c>
      <c r="I11" s="3">
        <v>1.3890575E-5</v>
      </c>
      <c r="J11" s="3">
        <v>-1.4458858999999999E-4</v>
      </c>
      <c r="L11" s="3">
        <f t="shared" si="0"/>
        <v>0.20014505366985785</v>
      </c>
      <c r="M11" s="3"/>
      <c r="N11" s="2">
        <f>IF('Modell einstellen'!$B$1="Voll",H11/0.35,H11/0.35*2)</f>
        <v>1.6298665142857143E-4</v>
      </c>
      <c r="O11" s="2">
        <f>IF('Modell einstellen'!$B$1="Voll",J11/0.35,J11/0.35*2)</f>
        <v>-4.1311025714285714E-4</v>
      </c>
      <c r="P11" s="3">
        <f t="shared" si="1"/>
        <v>0.39453547475634143</v>
      </c>
    </row>
    <row r="12" spans="1:16" x14ac:dyDescent="0.25">
      <c r="A12" s="3">
        <v>9.9999999999999995E-7</v>
      </c>
      <c r="B12" s="3">
        <v>6.6849999999999999E-5</v>
      </c>
      <c r="C12" s="3">
        <v>1.437E-4</v>
      </c>
      <c r="D12" s="3">
        <v>-3.4749999999999999E-4</v>
      </c>
      <c r="E12" s="3">
        <v>0</v>
      </c>
      <c r="F12" s="3">
        <v>0</v>
      </c>
      <c r="G12" s="3">
        <v>0</v>
      </c>
      <c r="H12" s="3">
        <v>5.9432204000000001E-5</v>
      </c>
      <c r="I12" s="3">
        <v>1.4288479E-5</v>
      </c>
      <c r="J12" s="3">
        <v>-1.4859901999999999E-4</v>
      </c>
      <c r="L12" s="3">
        <f t="shared" si="0"/>
        <v>0.19237410071942446</v>
      </c>
      <c r="M12" s="3"/>
      <c r="N12" s="2">
        <f>IF('Modell einstellen'!$B$1="Voll",H12/0.35,H12/0.35*2)</f>
        <v>1.6980629714285716E-4</v>
      </c>
      <c r="O12" s="2">
        <f>IF('Modell einstellen'!$B$1="Voll",J12/0.35,J12/0.35*2)</f>
        <v>-4.2456862857142858E-4</v>
      </c>
      <c r="P12" s="3">
        <f t="shared" si="1"/>
        <v>0.39995017463776011</v>
      </c>
    </row>
    <row r="13" spans="1:16" x14ac:dyDescent="0.25">
      <c r="A13" s="3">
        <v>1.0000000000000001E-5</v>
      </c>
      <c r="B13" s="3">
        <v>6.3819999999999995E-5</v>
      </c>
      <c r="C13" s="3">
        <v>1.4809999999999999E-4</v>
      </c>
      <c r="D13" s="3">
        <v>-3.503E-4</v>
      </c>
      <c r="E13" s="3">
        <v>0</v>
      </c>
      <c r="F13" s="3">
        <v>0</v>
      </c>
      <c r="G13" s="3">
        <v>0</v>
      </c>
      <c r="H13" s="3">
        <v>6.2405935000000001E-5</v>
      </c>
      <c r="I13" s="3">
        <v>1.4765196E-5</v>
      </c>
      <c r="J13" s="3">
        <v>-1.5351764999999999E-4</v>
      </c>
      <c r="L13" s="3">
        <f t="shared" si="0"/>
        <v>0.18218669711675706</v>
      </c>
      <c r="M13" s="3"/>
      <c r="N13" s="2">
        <f>IF('Modell einstellen'!$B$1="Voll",H13/0.35,H13/0.35*2)</f>
        <v>1.7830267142857143E-4</v>
      </c>
      <c r="O13" s="2">
        <f>IF('Modell einstellen'!$B$1="Voll",J13/0.35,J13/0.35*2)</f>
        <v>-4.3862185714285717E-4</v>
      </c>
      <c r="P13" s="3">
        <f t="shared" si="1"/>
        <v>0.40650658083940183</v>
      </c>
    </row>
    <row r="14" spans="1:16" x14ac:dyDescent="0.25">
      <c r="A14" s="3">
        <v>1E-4</v>
      </c>
      <c r="B14" s="3">
        <v>5.923E-5</v>
      </c>
      <c r="C14" s="3">
        <v>1.5349999999999999E-4</v>
      </c>
      <c r="D14" s="3">
        <v>-3.5290000000000001E-4</v>
      </c>
      <c r="E14" s="3">
        <v>0</v>
      </c>
      <c r="F14" s="3">
        <v>0</v>
      </c>
      <c r="G14" s="3">
        <v>0</v>
      </c>
      <c r="H14" s="3">
        <v>6.6305087999999997E-5</v>
      </c>
      <c r="I14" s="3">
        <v>1.5358702000000001E-5</v>
      </c>
      <c r="J14" s="3">
        <v>-1.5983731999999999E-4</v>
      </c>
      <c r="L14" s="3">
        <f t="shared" si="0"/>
        <v>0.16783791442334939</v>
      </c>
      <c r="M14" s="3"/>
      <c r="N14" s="2">
        <f>IF('Modell einstellen'!$B$1="Voll",H14/0.35,H14/0.35*2)</f>
        <v>1.8944310857142856E-4</v>
      </c>
      <c r="O14" s="2">
        <f>IF('Modell einstellen'!$B$1="Voll",J14/0.35,J14/0.35*2)</f>
        <v>-4.5667805714285714E-4</v>
      </c>
      <c r="P14" s="3">
        <f t="shared" si="1"/>
        <v>0.41482857695561959</v>
      </c>
    </row>
    <row r="15" spans="1:16" x14ac:dyDescent="0.25">
      <c r="A15" s="3">
        <v>1E-3</v>
      </c>
      <c r="B15" s="3">
        <v>5.3029999999999999E-5</v>
      </c>
      <c r="C15" s="3">
        <v>1.594E-4</v>
      </c>
      <c r="D15" s="3">
        <v>-3.545E-4</v>
      </c>
      <c r="E15" s="3">
        <v>0</v>
      </c>
      <c r="F15" s="3">
        <v>0</v>
      </c>
      <c r="G15" s="3">
        <v>0</v>
      </c>
      <c r="H15" s="3">
        <v>7.0851390000000003E-5</v>
      </c>
      <c r="I15" s="3">
        <v>1.6007157000000001E-5</v>
      </c>
      <c r="J15" s="3">
        <v>-1.6702669999999999E-4</v>
      </c>
      <c r="L15" s="3">
        <f t="shared" si="0"/>
        <v>0.14959097320169251</v>
      </c>
      <c r="M15" s="3"/>
      <c r="N15" s="2">
        <f>IF('Modell einstellen'!$B$1="Voll",H15/0.35,H15/0.35*2)</f>
        <v>2.0243254285714287E-4</v>
      </c>
      <c r="O15" s="2">
        <f>IF('Modell einstellen'!$B$1="Voll",J15/0.35,J15/0.35*2)</f>
        <v>-4.7721914285714286E-4</v>
      </c>
      <c r="P15" s="3">
        <f t="shared" si="1"/>
        <v>0.42419200044064814</v>
      </c>
    </row>
    <row r="16" spans="1:16" x14ac:dyDescent="0.25">
      <c r="A16" s="3">
        <v>0.01</v>
      </c>
      <c r="B16" s="3">
        <v>4.6300000000000001E-5</v>
      </c>
      <c r="C16" s="3">
        <v>1.6459999999999999E-4</v>
      </c>
      <c r="D16" s="3">
        <v>-3.547E-4</v>
      </c>
      <c r="E16" s="3">
        <v>0</v>
      </c>
      <c r="F16" s="3">
        <v>0</v>
      </c>
      <c r="G16" s="3">
        <v>0</v>
      </c>
      <c r="H16" s="3">
        <v>7.5208651000000003E-5</v>
      </c>
      <c r="I16" s="3">
        <v>1.6587098E-5</v>
      </c>
      <c r="J16" s="3">
        <v>-1.7374622999999999E-4</v>
      </c>
      <c r="L16" s="3">
        <f t="shared" si="0"/>
        <v>0.13053284465745701</v>
      </c>
      <c r="M16" s="3"/>
      <c r="N16" s="2">
        <f>IF('Modell einstellen'!$B$1="Voll",H16/0.35,H16/0.35*2)</f>
        <v>2.1488186000000002E-4</v>
      </c>
      <c r="O16" s="2">
        <f>IF('Modell einstellen'!$B$1="Voll",J16/0.35,J16/0.35*2)</f>
        <v>-4.9641780000000003E-4</v>
      </c>
      <c r="P16" s="3">
        <f t="shared" si="1"/>
        <v>0.43286493755864519</v>
      </c>
    </row>
    <row r="17" spans="1:16" x14ac:dyDescent="0.25">
      <c r="A17" s="3">
        <v>0.1</v>
      </c>
      <c r="B17" s="3">
        <v>3.913E-5</v>
      </c>
      <c r="C17" s="3">
        <v>1.694E-4</v>
      </c>
      <c r="D17" s="3">
        <v>-3.5389999999999998E-4</v>
      </c>
      <c r="E17" s="3">
        <v>0</v>
      </c>
      <c r="F17" s="3">
        <v>0</v>
      </c>
      <c r="G17" s="3">
        <v>0</v>
      </c>
      <c r="H17" s="3">
        <v>7.9459094999999999E-5</v>
      </c>
      <c r="I17" s="3">
        <v>1.7120561E-5</v>
      </c>
      <c r="J17" s="3">
        <v>-1.8016892000000001E-4</v>
      </c>
      <c r="L17" s="3">
        <f t="shared" si="0"/>
        <v>0.11056795705001413</v>
      </c>
      <c r="M17" s="3"/>
      <c r="N17" s="2">
        <f>IF('Modell einstellen'!$B$1="Voll",H17/0.35,H17/0.35*2)</f>
        <v>2.2702598571428572E-4</v>
      </c>
      <c r="O17" s="2">
        <f>IF('Modell einstellen'!$B$1="Voll",J17/0.35,J17/0.35*2)</f>
        <v>-5.1476834285714293E-4</v>
      </c>
      <c r="P17" s="3">
        <f t="shared" si="1"/>
        <v>0.44102553870001548</v>
      </c>
    </row>
    <row r="18" spans="1:16" x14ac:dyDescent="0.25">
      <c r="A18" s="3">
        <v>1</v>
      </c>
      <c r="B18" s="3">
        <v>3.0559999999999999E-5</v>
      </c>
      <c r="C18" s="3">
        <v>1.7430000000000001E-4</v>
      </c>
      <c r="D18" s="3">
        <v>-3.5179999999999999E-4</v>
      </c>
      <c r="E18" s="3">
        <v>0</v>
      </c>
      <c r="F18" s="3">
        <v>0</v>
      </c>
      <c r="G18" s="3">
        <v>0</v>
      </c>
      <c r="H18" s="3">
        <v>8.4153832999999997E-5</v>
      </c>
      <c r="I18" s="3">
        <v>1.7674024999999999E-5</v>
      </c>
      <c r="J18" s="3">
        <v>-1.8711649E-4</v>
      </c>
      <c r="L18" s="3">
        <f t="shared" si="0"/>
        <v>8.6867538374076181E-2</v>
      </c>
      <c r="M18" s="3"/>
      <c r="N18" s="2">
        <f>IF('Modell einstellen'!$B$1="Voll",H18/0.35,H18/0.35*2)</f>
        <v>2.4043952285714287E-4</v>
      </c>
      <c r="O18" s="2">
        <f>IF('Modell einstellen'!$B$1="Voll",J18/0.35,J18/0.35*2)</f>
        <v>-5.3461854285714286E-4</v>
      </c>
      <c r="P18" s="3">
        <f t="shared" si="1"/>
        <v>0.4497403355524679</v>
      </c>
    </row>
    <row r="19" spans="1:16" x14ac:dyDescent="0.25">
      <c r="A19" s="3">
        <v>10</v>
      </c>
      <c r="B19" s="3">
        <v>2.031E-5</v>
      </c>
      <c r="C19" s="3">
        <v>1.794E-4</v>
      </c>
      <c r="D19" s="3">
        <v>-3.4830000000000001E-4</v>
      </c>
      <c r="E19" s="3">
        <v>0</v>
      </c>
      <c r="F19" s="3">
        <v>0</v>
      </c>
      <c r="G19" s="3">
        <v>0</v>
      </c>
      <c r="H19" s="3">
        <v>8.9419877999999994E-5</v>
      </c>
      <c r="I19" s="3">
        <v>1.8260159999999999E-5</v>
      </c>
      <c r="J19" s="3">
        <v>-1.9476327000000001E-4</v>
      </c>
      <c r="L19" s="3">
        <f t="shared" si="0"/>
        <v>5.8311800172265289E-2</v>
      </c>
      <c r="M19" s="3"/>
      <c r="N19" s="2">
        <f>IF('Modell einstellen'!$B$1="Voll",H19/0.35,H19/0.35*2)</f>
        <v>2.5548536571428569E-4</v>
      </c>
      <c r="O19" s="2">
        <f>IF('Modell einstellen'!$B$1="Voll",J19/0.35,J19/0.35*2)</f>
        <v>-5.5646648571428578E-4</v>
      </c>
      <c r="P19" s="3">
        <f t="shared" si="1"/>
        <v>0.45912084963453315</v>
      </c>
    </row>
    <row r="20" spans="1:16" x14ac:dyDescent="0.25">
      <c r="A20" s="3">
        <v>100</v>
      </c>
      <c r="B20" s="3">
        <v>9.0019999999999995E-6</v>
      </c>
      <c r="C20" s="3">
        <v>1.851E-4</v>
      </c>
      <c r="D20" s="3">
        <v>-3.4430000000000002E-4</v>
      </c>
      <c r="E20" s="3">
        <v>0</v>
      </c>
      <c r="F20" s="3">
        <v>0</v>
      </c>
      <c r="G20" s="3">
        <v>0</v>
      </c>
      <c r="H20" s="3">
        <v>9.5218500000000003E-5</v>
      </c>
      <c r="I20" s="3">
        <v>1.8918863000000002E-5</v>
      </c>
      <c r="J20" s="3">
        <v>-2.0318948E-4</v>
      </c>
      <c r="L20" s="3">
        <f t="shared" si="0"/>
        <v>2.6145803078710422E-2</v>
      </c>
      <c r="M20" s="3"/>
      <c r="N20" s="2">
        <f>IF('Modell einstellen'!$B$1="Voll",H20/0.35,H20/0.35*2)</f>
        <v>2.7205285714285718E-4</v>
      </c>
      <c r="O20" s="2">
        <f>IF('Modell einstellen'!$B$1="Voll",J20/0.35,J20/0.35*2)</f>
        <v>-5.8054137142857145E-4</v>
      </c>
      <c r="P20" s="3">
        <f t="shared" si="1"/>
        <v>0.46861924150797574</v>
      </c>
    </row>
    <row r="21" spans="1:16" x14ac:dyDescent="0.25">
      <c r="A21" s="3">
        <v>1000</v>
      </c>
      <c r="B21" s="3">
        <v>6.7159999999999995E-7</v>
      </c>
      <c r="C21" s="3">
        <v>1.964E-4</v>
      </c>
      <c r="D21" s="3">
        <v>-3.4840000000000001E-4</v>
      </c>
      <c r="E21" s="3">
        <v>0</v>
      </c>
      <c r="F21" s="3">
        <v>0</v>
      </c>
      <c r="G21" s="3">
        <v>0</v>
      </c>
      <c r="H21" s="3">
        <v>1.0273017E-4</v>
      </c>
      <c r="I21" s="3">
        <v>2.0241729999999998E-5</v>
      </c>
      <c r="J21" s="3">
        <v>-2.1561719000000001E-4</v>
      </c>
      <c r="L21" s="3">
        <f t="shared" si="0"/>
        <v>1.9276693455797932E-3</v>
      </c>
      <c r="M21" s="3"/>
      <c r="N21" s="2">
        <f>IF('Modell einstellen'!$B$1="Voll",H21/0.35,H21/0.35*2)</f>
        <v>2.9351477142857145E-4</v>
      </c>
      <c r="O21" s="2">
        <f>IF('Modell einstellen'!$B$1="Voll",J21/0.35,J21/0.35*2)</f>
        <v>-6.1604911428571438E-4</v>
      </c>
      <c r="P21" s="3">
        <f t="shared" si="1"/>
        <v>0.47644703096260549</v>
      </c>
    </row>
    <row r="22" spans="1:16" x14ac:dyDescent="0.25">
      <c r="A22" s="3">
        <v>10000</v>
      </c>
      <c r="B22" s="3">
        <v>1.084E-5</v>
      </c>
      <c r="C22" s="3">
        <v>2.2670000000000001E-4</v>
      </c>
      <c r="D22" s="3">
        <v>-3.8779999999999999E-4</v>
      </c>
      <c r="E22" s="3">
        <v>0</v>
      </c>
      <c r="F22" s="3">
        <v>0</v>
      </c>
      <c r="G22" s="3">
        <v>0</v>
      </c>
      <c r="H22" s="3">
        <v>1.1420923000000001E-4</v>
      </c>
      <c r="I22" s="3">
        <v>2.3899352999999998E-5</v>
      </c>
      <c r="J22" s="3">
        <v>-2.4003832999999999E-4</v>
      </c>
      <c r="L22" s="3">
        <f t="shared" si="0"/>
        <v>2.7952552862300153E-2</v>
      </c>
      <c r="M22" s="3"/>
      <c r="N22" s="2">
        <f>IF('Modell einstellen'!$B$1="Voll",H22/0.35,H22/0.35*2)</f>
        <v>3.2631208571428576E-4</v>
      </c>
      <c r="O22" s="2">
        <f>IF('Modell einstellen'!$B$1="Voll",J22/0.35,J22/0.35*2)</f>
        <v>-6.8582380000000007E-4</v>
      </c>
      <c r="P22" s="3">
        <f t="shared" si="1"/>
        <v>0.47579580311194469</v>
      </c>
    </row>
    <row r="23" spans="1:16" x14ac:dyDescent="0.25">
      <c r="A23" s="3">
        <v>100000</v>
      </c>
      <c r="B23" s="3">
        <v>3.913E-5</v>
      </c>
      <c r="C23" s="3">
        <v>2.7730000000000002E-4</v>
      </c>
      <c r="D23" s="3">
        <v>-4.6349999999999999E-4</v>
      </c>
      <c r="E23" s="3">
        <v>0</v>
      </c>
      <c r="F23" s="3">
        <v>0</v>
      </c>
      <c r="G23" s="3">
        <v>0</v>
      </c>
      <c r="H23" s="3">
        <v>1.2930864000000001E-4</v>
      </c>
      <c r="I23" s="3">
        <v>3.0228846E-5</v>
      </c>
      <c r="J23" s="3">
        <v>-2.7740129999999998E-4</v>
      </c>
      <c r="L23" s="3">
        <f t="shared" si="0"/>
        <v>8.4422869471413156E-2</v>
      </c>
      <c r="M23" s="3"/>
      <c r="N23" s="2">
        <f>IF('Modell einstellen'!$B$1="Voll",H23/0.35,H23/0.35*2)</f>
        <v>3.6945325714285719E-4</v>
      </c>
      <c r="O23" s="2">
        <f>IF('Modell einstellen'!$B$1="Voll",J23/0.35,J23/0.35*2)</f>
        <v>-7.9257514285714279E-4</v>
      </c>
      <c r="P23" s="3">
        <f t="shared" si="1"/>
        <v>0.4661428767637355</v>
      </c>
    </row>
    <row r="24" spans="1:16" x14ac:dyDescent="0.25">
      <c r="A24" s="3">
        <v>1000000</v>
      </c>
      <c r="B24" s="3">
        <v>6.423E-5</v>
      </c>
      <c r="C24" s="3">
        <v>3.3869999999999999E-4</v>
      </c>
      <c r="D24" s="3">
        <v>-5.4739999999999997E-4</v>
      </c>
      <c r="E24" s="3">
        <v>0</v>
      </c>
      <c r="F24" s="3">
        <v>0</v>
      </c>
      <c r="G24" s="3">
        <v>0</v>
      </c>
      <c r="H24" s="3">
        <v>1.4845213E-4</v>
      </c>
      <c r="I24" s="3">
        <v>3.8306880999999999E-5</v>
      </c>
      <c r="J24" s="3">
        <v>-3.2525612000000001E-4</v>
      </c>
      <c r="L24" s="3">
        <f t="shared" si="0"/>
        <v>0.11733649981731824</v>
      </c>
      <c r="M24" s="3"/>
      <c r="N24" s="2">
        <f>IF('Modell einstellen'!$B$1="Voll",H24/0.35,H24/0.35*2)</f>
        <v>4.241489428571429E-4</v>
      </c>
      <c r="O24" s="2">
        <f>IF('Modell einstellen'!$B$1="Voll",J24/0.35,J24/0.35*2)</f>
        <v>-9.293032000000001E-4</v>
      </c>
      <c r="P24" s="3">
        <f t="shared" si="1"/>
        <v>0.45641610064093491</v>
      </c>
    </row>
    <row r="25" spans="1:16" x14ac:dyDescent="0.25">
      <c r="A25" s="3">
        <v>10000000</v>
      </c>
      <c r="B25" s="3">
        <v>6.9029999999999995E-5</v>
      </c>
      <c r="C25" s="3">
        <v>4.0900000000000002E-4</v>
      </c>
      <c r="D25" s="3">
        <v>-6.2129999999999998E-4</v>
      </c>
      <c r="E25" s="3">
        <v>0</v>
      </c>
      <c r="F25" s="3">
        <v>0</v>
      </c>
      <c r="G25" s="3">
        <v>0</v>
      </c>
      <c r="H25" s="3">
        <v>1.7378643000000001E-4</v>
      </c>
      <c r="I25" s="3">
        <v>4.8105917999999999E-5</v>
      </c>
      <c r="J25" s="3">
        <v>-3.8586726000000002E-4</v>
      </c>
      <c r="L25" s="3">
        <f t="shared" si="0"/>
        <v>0.11110574601641718</v>
      </c>
      <c r="M25" s="3"/>
      <c r="N25" s="2">
        <f>IF('Modell einstellen'!$B$1="Voll",H25/0.35,H25/0.35*2)</f>
        <v>4.9653265714285722E-4</v>
      </c>
      <c r="O25" s="2">
        <f>IF('Modell einstellen'!$B$1="Voll",J25/0.35,J25/0.35*2)</f>
        <v>-1.1024778857142859E-3</v>
      </c>
      <c r="P25" s="3">
        <f t="shared" si="1"/>
        <v>0.45037879088264704</v>
      </c>
    </row>
    <row r="26" spans="1:16" x14ac:dyDescent="0.25">
      <c r="A26" s="3">
        <v>100000000</v>
      </c>
      <c r="B26" s="3">
        <v>3.3040000000000002E-5</v>
      </c>
      <c r="C26" s="3">
        <v>4.9689999999999999E-4</v>
      </c>
      <c r="D26" s="3">
        <v>-6.7380000000000001E-4</v>
      </c>
      <c r="E26" s="3">
        <v>0</v>
      </c>
      <c r="F26" s="3">
        <v>0</v>
      </c>
      <c r="G26" s="3">
        <v>0</v>
      </c>
      <c r="H26" s="3">
        <v>2.1115534E-4</v>
      </c>
      <c r="I26" s="3">
        <v>6.1158172999999999E-5</v>
      </c>
      <c r="J26" s="3">
        <v>-4.7072230000000002E-4</v>
      </c>
      <c r="L26" s="3">
        <f t="shared" si="0"/>
        <v>4.9035322054021967E-2</v>
      </c>
      <c r="M26" s="3"/>
      <c r="N26" s="2">
        <f>IF('Modell einstellen'!$B$1="Voll",H26/0.35,H26/0.35*2)</f>
        <v>6.0330097142857145E-4</v>
      </c>
      <c r="O26" s="2">
        <f>IF('Modell einstellen'!$B$1="Voll",J26/0.35,J26/0.35*2)</f>
        <v>-1.3449208571428572E-3</v>
      </c>
      <c r="P26" s="3">
        <f t="shared" si="1"/>
        <v>0.44857730343346808</v>
      </c>
    </row>
    <row r="27" spans="1:16" x14ac:dyDescent="0.25">
      <c r="A27" s="3">
        <v>1000000000</v>
      </c>
      <c r="B27" s="3">
        <v>-8.5019999999999996E-5</v>
      </c>
      <c r="C27" s="3">
        <v>6.2200000000000005E-4</v>
      </c>
      <c r="D27" s="3">
        <v>-6.8289999999999996E-4</v>
      </c>
      <c r="E27" s="3">
        <v>0</v>
      </c>
      <c r="F27" s="3">
        <v>0</v>
      </c>
      <c r="G27" s="3">
        <v>0</v>
      </c>
      <c r="H27" s="3">
        <v>2.7180217E-4</v>
      </c>
      <c r="I27" s="3">
        <v>8.0877984000000003E-5</v>
      </c>
      <c r="J27" s="3">
        <v>-6.0347253999999998E-4</v>
      </c>
      <c r="L27" s="3">
        <f t="shared" si="0"/>
        <v>-0.12449846243959584</v>
      </c>
      <c r="M27" s="3"/>
      <c r="N27" s="2">
        <f>IF('Modell einstellen'!$B$1="Voll",H27/0.35,H27/0.35*2)</f>
        <v>7.7657762857142861E-4</v>
      </c>
      <c r="O27" s="2">
        <f>IF('Modell einstellen'!$B$1="Voll",J27/0.35,J27/0.35*2)</f>
        <v>-1.7242072571428573E-3</v>
      </c>
      <c r="P27" s="3">
        <f t="shared" si="1"/>
        <v>0.45039691449755109</v>
      </c>
    </row>
    <row r="28" spans="1:16" x14ac:dyDescent="0.25">
      <c r="A28" s="3">
        <v>10000000000</v>
      </c>
      <c r="B28" s="3">
        <v>-3.6259999999999998E-4</v>
      </c>
      <c r="C28" s="3">
        <v>8.1059999999999997E-4</v>
      </c>
      <c r="D28" s="3">
        <v>-5.9659999999999997E-4</v>
      </c>
      <c r="E28" s="3">
        <v>0</v>
      </c>
      <c r="F28" s="3">
        <v>0</v>
      </c>
      <c r="G28" s="3">
        <v>0</v>
      </c>
      <c r="H28" s="3">
        <v>3.7223972000000001E-4</v>
      </c>
      <c r="I28" s="3">
        <v>1.1222361E-4</v>
      </c>
      <c r="J28" s="3">
        <v>-8.1857857000000003E-4</v>
      </c>
      <c r="L28" s="3">
        <f t="shared" si="0"/>
        <v>-0.60777740529668123</v>
      </c>
      <c r="M28" s="3"/>
      <c r="N28" s="2">
        <f>IF('Modell einstellen'!$B$1="Voll",H28/0.35,H28/0.35*2)</f>
        <v>1.0635420571428573E-3</v>
      </c>
      <c r="O28" s="2">
        <f>IF('Modell einstellen'!$B$1="Voll",J28/0.35,J28/0.35*2)</f>
        <v>-2.3387959142857147E-3</v>
      </c>
      <c r="P28" s="3">
        <f t="shared" si="1"/>
        <v>0.4547391461762797</v>
      </c>
    </row>
    <row r="29" spans="1:16" x14ac:dyDescent="0.25">
      <c r="A29" s="3">
        <v>100000000000</v>
      </c>
      <c r="B29" s="3">
        <v>-8.3020000000000001E-4</v>
      </c>
      <c r="C29" s="3">
        <v>1.0740000000000001E-3</v>
      </c>
      <c r="D29" s="3">
        <v>-3.947E-4</v>
      </c>
      <c r="E29" s="3">
        <v>0</v>
      </c>
      <c r="F29" s="3">
        <v>0</v>
      </c>
      <c r="G29" s="3">
        <v>0</v>
      </c>
      <c r="H29" s="3">
        <v>5.1763864999999996E-4</v>
      </c>
      <c r="I29" s="3">
        <v>1.5765087999999999E-4</v>
      </c>
      <c r="J29" s="3">
        <v>-1.1298774E-3</v>
      </c>
      <c r="L29" s="3">
        <f t="shared" si="0"/>
        <v>-2.103369647833798</v>
      </c>
      <c r="M29" s="3"/>
      <c r="N29" s="2">
        <f>IF('Modell einstellen'!$B$1="Voll",H29/0.35,H29/0.35*2)</f>
        <v>1.4789675714285714E-3</v>
      </c>
      <c r="O29" s="2">
        <f>IF('Modell einstellen'!$B$1="Voll",J29/0.35,J29/0.35*2)</f>
        <v>-3.2282211428571431E-3</v>
      </c>
      <c r="P29" s="3">
        <f t="shared" si="1"/>
        <v>0.45813700672303026</v>
      </c>
    </row>
    <row r="30" spans="1:16" x14ac:dyDescent="0.25">
      <c r="A30" s="3">
        <v>1000000000000</v>
      </c>
      <c r="B30" s="3">
        <v>-1.462E-3</v>
      </c>
      <c r="C30" s="3">
        <v>1.395E-3</v>
      </c>
      <c r="D30" s="3">
        <v>-8.4250000000000001E-5</v>
      </c>
      <c r="E30" s="3">
        <v>0</v>
      </c>
      <c r="F30" s="3">
        <v>0</v>
      </c>
      <c r="G30" s="3">
        <v>0</v>
      </c>
      <c r="H30" s="3">
        <v>6.9795290000000004E-4</v>
      </c>
      <c r="I30" s="3">
        <v>2.1419443999999999E-4</v>
      </c>
      <c r="J30" s="3">
        <v>-1.5161434000000001E-3</v>
      </c>
      <c r="L30" s="3">
        <f t="shared" si="0"/>
        <v>-17.353115727002965</v>
      </c>
      <c r="M30" s="3"/>
      <c r="N30" s="2">
        <f>IF('Modell einstellen'!$B$1="Voll",H30/0.35,H30/0.35*2)</f>
        <v>1.9941511428571432E-3</v>
      </c>
      <c r="O30" s="2">
        <f>IF('Modell einstellen'!$B$1="Voll",J30/0.35,J30/0.35*2)</f>
        <v>-4.3318382857142866E-3</v>
      </c>
      <c r="P30" s="3">
        <f t="shared" si="1"/>
        <v>0.46034755023832175</v>
      </c>
    </row>
    <row r="31" spans="1:16" x14ac:dyDescent="0.25">
      <c r="A31" s="3">
        <v>10000000000000</v>
      </c>
      <c r="B31" s="3">
        <v>-1.983E-3</v>
      </c>
      <c r="C31" s="3">
        <v>1.665E-3</v>
      </c>
      <c r="D31" s="3">
        <v>1.6550000000000001E-4</v>
      </c>
      <c r="E31" s="3">
        <v>0</v>
      </c>
      <c r="F31" s="3">
        <v>0</v>
      </c>
      <c r="G31" s="3">
        <v>0</v>
      </c>
      <c r="H31" s="3">
        <v>8.4400681000000003E-4</v>
      </c>
      <c r="I31" s="3">
        <v>2.6255335000000002E-4</v>
      </c>
      <c r="J31" s="3">
        <v>-1.8378601E-3</v>
      </c>
      <c r="L31" s="3">
        <f t="shared" si="0"/>
        <v>11.981873111782477</v>
      </c>
      <c r="M31" s="3"/>
      <c r="N31" s="2">
        <f>IF('Modell einstellen'!$B$1="Voll",H31/0.35,H31/0.35*2)</f>
        <v>2.4114480285714287E-3</v>
      </c>
      <c r="O31" s="2">
        <f>IF('Modell einstellen'!$B$1="Voll",J31/0.35,J31/0.35*2)</f>
        <v>-5.2510288571428572E-3</v>
      </c>
      <c r="P31" s="3">
        <f t="shared" si="1"/>
        <v>0.45923343675614919</v>
      </c>
    </row>
    <row r="32" spans="1:16" x14ac:dyDescent="0.25">
      <c r="A32" s="3">
        <v>100000000000000</v>
      </c>
      <c r="B32" s="3">
        <v>-2.3530000000000001E-3</v>
      </c>
      <c r="C32" s="3">
        <v>1.866E-3</v>
      </c>
      <c r="D32" s="3">
        <v>3.3389999999999998E-4</v>
      </c>
      <c r="E32" s="3">
        <v>0</v>
      </c>
      <c r="F32" s="3">
        <v>0</v>
      </c>
      <c r="G32" s="3">
        <v>0</v>
      </c>
      <c r="H32" s="3">
        <v>9.4883884000000003E-4</v>
      </c>
      <c r="I32" s="3">
        <v>2.9876760000000001E-4</v>
      </c>
      <c r="J32" s="3">
        <v>-2.0739842000000001E-3</v>
      </c>
      <c r="L32" s="3">
        <f t="shared" si="0"/>
        <v>7.0470200658879909</v>
      </c>
      <c r="M32" s="3"/>
      <c r="N32" s="2">
        <f>IF('Modell einstellen'!$B$1="Voll",H32/0.35,H32/0.35*2)</f>
        <v>2.7109681142857144E-3</v>
      </c>
      <c r="O32" s="2">
        <f>IF('Modell einstellen'!$B$1="Voll",J32/0.35,J32/0.35*2)</f>
        <v>-5.9256691428571434E-3</v>
      </c>
      <c r="P32" s="3">
        <f t="shared" si="1"/>
        <v>0.4574956935544639</v>
      </c>
    </row>
    <row r="33" spans="1:16" x14ac:dyDescent="0.25">
      <c r="A33" s="3">
        <v>1000000000000000</v>
      </c>
      <c r="B33" s="3">
        <v>-2.5530000000000001E-3</v>
      </c>
      <c r="C33" s="3">
        <v>1.9870000000000001E-3</v>
      </c>
      <c r="D33" s="3">
        <v>4.1330000000000002E-4</v>
      </c>
      <c r="E33" s="3">
        <v>0</v>
      </c>
      <c r="F33" s="3">
        <v>0</v>
      </c>
      <c r="G33" s="3">
        <v>0</v>
      </c>
      <c r="H33" s="3">
        <v>1.0082863000000001E-3</v>
      </c>
      <c r="I33" s="3">
        <v>3.2060379999999998E-4</v>
      </c>
      <c r="J33" s="3">
        <v>-2.2124999E-3</v>
      </c>
      <c r="L33" s="3">
        <f t="shared" si="0"/>
        <v>6.1771110573433345</v>
      </c>
      <c r="M33" s="3"/>
      <c r="N33" s="2">
        <f>IF('Modell einstellen'!$B$1="Voll",H33/0.35,H33/0.35*2)</f>
        <v>2.8808180000000003E-3</v>
      </c>
      <c r="O33" s="2">
        <f>IF('Modell einstellen'!$B$1="Voll",J33/0.35,J33/0.35*2)</f>
        <v>-6.321428285714286E-3</v>
      </c>
      <c r="P33" s="3">
        <f t="shared" si="1"/>
        <v>0.4557226420665601</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7.6080000000000003E-5</v>
      </c>
      <c r="C3" s="3">
        <v>1.1959999999999999E-4</v>
      </c>
      <c r="D3" s="3">
        <v>-3.2449999999999997E-4</v>
      </c>
      <c r="E3" s="3">
        <v>0</v>
      </c>
      <c r="F3" s="3">
        <v>0</v>
      </c>
      <c r="G3" s="3">
        <v>0</v>
      </c>
      <c r="H3" s="3">
        <v>4.5267905000000001E-5</v>
      </c>
      <c r="I3" s="3">
        <v>1.174858E-5</v>
      </c>
      <c r="J3" s="3">
        <v>-1.2406329E-4</v>
      </c>
      <c r="K3" s="3"/>
      <c r="L3" s="3">
        <f>-B3/D3</f>
        <v>0.23445300462249619</v>
      </c>
      <c r="M3" s="3"/>
      <c r="N3" s="2">
        <f>IF('Modell einstellen'!$B$1="Voll",H3/0.35,H3/0.35*2)</f>
        <v>1.2933687142857144E-4</v>
      </c>
      <c r="O3" s="2">
        <f>IF('Modell einstellen'!$B$1="Voll",J3/0.35,J3/0.35*2)</f>
        <v>-3.5446654285714287E-4</v>
      </c>
      <c r="P3" s="3">
        <f>-N3/O3</f>
        <v>0.3648775153391467</v>
      </c>
      <c r="Q3" s="3"/>
      <c r="R3" s="3"/>
      <c r="S3" s="3"/>
      <c r="T3" s="3"/>
      <c r="U3" s="3"/>
    </row>
    <row r="4" spans="1:21" x14ac:dyDescent="0.25">
      <c r="A4" s="3">
        <v>1E-14</v>
      </c>
      <c r="B4" s="3">
        <v>7.5959999999999998E-5</v>
      </c>
      <c r="C4" s="3">
        <v>1.2239999999999999E-4</v>
      </c>
      <c r="D4" s="3">
        <v>-3.2810000000000001E-4</v>
      </c>
      <c r="E4" s="3">
        <v>0</v>
      </c>
      <c r="F4" s="3">
        <v>0</v>
      </c>
      <c r="G4" s="3">
        <v>0</v>
      </c>
      <c r="H4" s="3">
        <v>4.6715190000000002E-5</v>
      </c>
      <c r="I4" s="3">
        <v>1.2040148999999999E-5</v>
      </c>
      <c r="J4" s="3">
        <v>-1.2669333E-4</v>
      </c>
      <c r="K4" s="3"/>
      <c r="L4" s="3">
        <f t="shared" ref="L4:L33" si="0">-B4/D4</f>
        <v>0.23151478207863455</v>
      </c>
      <c r="M4" s="3"/>
      <c r="N4" s="2">
        <f>IF('Modell einstellen'!$B$1="Voll",H4/0.35,H4/0.35*2)</f>
        <v>1.3347197142857145E-4</v>
      </c>
      <c r="O4" s="2">
        <f>IF('Modell einstellen'!$B$1="Voll",J4/0.35,J4/0.35*2)</f>
        <v>-3.6198094285714287E-4</v>
      </c>
      <c r="P4" s="3">
        <f t="shared" ref="P4:P33" si="1">-N4/O4</f>
        <v>0.36872651464761408</v>
      </c>
      <c r="Q4" s="3"/>
      <c r="R4" s="3"/>
      <c r="S4" s="3"/>
      <c r="T4" s="3"/>
      <c r="U4" s="3"/>
    </row>
    <row r="5" spans="1:21" x14ac:dyDescent="0.25">
      <c r="A5" s="3">
        <v>1E-13</v>
      </c>
      <c r="B5" s="3">
        <v>7.5699999999999997E-5</v>
      </c>
      <c r="C5" s="3">
        <v>1.248E-4</v>
      </c>
      <c r="D5" s="3">
        <v>-3.3100000000000002E-4</v>
      </c>
      <c r="E5" s="3">
        <v>0</v>
      </c>
      <c r="F5" s="3">
        <v>0</v>
      </c>
      <c r="G5" s="3">
        <v>0</v>
      </c>
      <c r="H5" s="3">
        <v>4.7986774999999998E-5</v>
      </c>
      <c r="I5" s="3">
        <v>1.2291543999999999E-5</v>
      </c>
      <c r="J5" s="3">
        <v>-1.2899012E-4</v>
      </c>
      <c r="K5" s="3"/>
      <c r="L5" s="3">
        <f t="shared" si="0"/>
        <v>0.22870090634441084</v>
      </c>
      <c r="M5" s="3"/>
      <c r="N5" s="2">
        <f>IF('Modell einstellen'!$B$1="Voll",H5/0.35,H5/0.35*2)</f>
        <v>1.3710507142857144E-4</v>
      </c>
      <c r="O5" s="2">
        <f>IF('Modell einstellen'!$B$1="Voll",J5/0.35,J5/0.35*2)</f>
        <v>-3.6854320000000005E-4</v>
      </c>
      <c r="P5" s="3">
        <f t="shared" si="1"/>
        <v>0.37201899649368492</v>
      </c>
      <c r="Q5" s="3"/>
      <c r="R5" s="3"/>
      <c r="S5" s="3"/>
      <c r="T5" s="3"/>
      <c r="U5" s="3"/>
    </row>
    <row r="6" spans="1:21" x14ac:dyDescent="0.25">
      <c r="A6" s="3">
        <v>9.9999999999999998E-13</v>
      </c>
      <c r="B6" s="3">
        <v>7.5300000000000001E-5</v>
      </c>
      <c r="C6" s="3">
        <v>1.273E-4</v>
      </c>
      <c r="D6" s="3">
        <v>-3.3399999999999999E-4</v>
      </c>
      <c r="E6" s="3">
        <v>0</v>
      </c>
      <c r="F6" s="3">
        <v>0</v>
      </c>
      <c r="G6" s="3">
        <v>0</v>
      </c>
      <c r="H6" s="3">
        <v>4.9380476E-5</v>
      </c>
      <c r="I6" s="3">
        <v>1.2562314999999999E-5</v>
      </c>
      <c r="J6" s="3">
        <v>-1.3148764E-4</v>
      </c>
      <c r="K6" s="3"/>
      <c r="L6" s="3">
        <f t="shared" si="0"/>
        <v>0.2254491017964072</v>
      </c>
      <c r="M6" s="3"/>
      <c r="N6" s="2">
        <f>IF('Modell einstellen'!$B$1="Voll",H6/0.35,H6/0.35*2)</f>
        <v>1.410870742857143E-4</v>
      </c>
      <c r="O6" s="2">
        <f>IF('Modell einstellen'!$B$1="Voll",J6/0.35,J6/0.35*2)</f>
        <v>-3.7567897142857143E-4</v>
      </c>
      <c r="P6" s="3">
        <f t="shared" si="1"/>
        <v>0.37555222681006373</v>
      </c>
      <c r="Q6" s="3"/>
      <c r="R6" s="3"/>
      <c r="S6" s="3"/>
      <c r="T6" s="3"/>
      <c r="U6" s="3"/>
    </row>
    <row r="7" spans="1:21" x14ac:dyDescent="0.25">
      <c r="A7" s="3">
        <v>9.9999999999999994E-12</v>
      </c>
      <c r="B7" s="3">
        <v>7.4659999999999993E-5</v>
      </c>
      <c r="C7" s="3">
        <v>1.303E-4</v>
      </c>
      <c r="D7" s="3">
        <v>-3.3720000000000001E-4</v>
      </c>
      <c r="E7" s="3">
        <v>0</v>
      </c>
      <c r="F7" s="3">
        <v>0</v>
      </c>
      <c r="G7" s="3">
        <v>0</v>
      </c>
      <c r="H7" s="3">
        <v>5.102112E-5</v>
      </c>
      <c r="I7" s="3">
        <v>1.2874857E-5</v>
      </c>
      <c r="J7" s="3">
        <v>-1.3440178999999999E-4</v>
      </c>
      <c r="K7" s="3"/>
      <c r="L7" s="3">
        <f t="shared" si="0"/>
        <v>0.22141162514827992</v>
      </c>
      <c r="M7" s="3"/>
      <c r="N7" s="2">
        <f>IF('Modell einstellen'!$B$1="Voll",H7/0.35,H7/0.35*2)</f>
        <v>1.4577462857142857E-4</v>
      </c>
      <c r="O7" s="2">
        <f>IF('Modell einstellen'!$B$1="Voll",J7/0.35,J7/0.35*2)</f>
        <v>-3.8400511428571428E-4</v>
      </c>
      <c r="P7" s="3">
        <f t="shared" si="1"/>
        <v>0.37961637266884612</v>
      </c>
      <c r="Q7" s="3"/>
      <c r="R7" s="3"/>
      <c r="S7" s="3"/>
      <c r="T7" s="3"/>
      <c r="U7" s="3"/>
    </row>
    <row r="8" spans="1:21" x14ac:dyDescent="0.25">
      <c r="A8" s="3">
        <v>1E-10</v>
      </c>
      <c r="B8" s="3">
        <v>7.3720000000000006E-5</v>
      </c>
      <c r="C8" s="3">
        <v>1.3359999999999999E-4</v>
      </c>
      <c r="D8" s="3">
        <v>-3.4059999999999998E-4</v>
      </c>
      <c r="E8" s="3">
        <v>0</v>
      </c>
      <c r="F8" s="3">
        <v>0</v>
      </c>
      <c r="G8" s="3">
        <v>0</v>
      </c>
      <c r="H8" s="3">
        <v>5.2891118999999998E-5</v>
      </c>
      <c r="I8" s="3">
        <v>1.3222203999999999E-5</v>
      </c>
      <c r="J8" s="3">
        <v>-1.3768634000000001E-4</v>
      </c>
      <c r="K8" s="3"/>
      <c r="L8" s="3">
        <f t="shared" si="0"/>
        <v>0.2164415736934821</v>
      </c>
      <c r="M8" s="3"/>
      <c r="N8" s="2">
        <f>IF('Modell einstellen'!$B$1="Voll",H8/0.35,H8/0.35*2)</f>
        <v>1.5111748285714287E-4</v>
      </c>
      <c r="O8" s="2">
        <f>IF('Modell einstellen'!$B$1="Voll",J8/0.35,J8/0.35*2)</f>
        <v>-3.9338954285714287E-4</v>
      </c>
      <c r="P8" s="3">
        <f t="shared" si="1"/>
        <v>0.38414209427020868</v>
      </c>
      <c r="Q8" s="3"/>
      <c r="R8" s="3"/>
      <c r="S8" s="3"/>
      <c r="T8" s="3"/>
      <c r="U8" s="3"/>
    </row>
    <row r="9" spans="1:21" x14ac:dyDescent="0.25">
      <c r="A9" s="3">
        <v>1.0000000000000001E-9</v>
      </c>
      <c r="B9" s="3">
        <v>7.2340000000000002E-5</v>
      </c>
      <c r="C9" s="3">
        <v>1.3740000000000001E-4</v>
      </c>
      <c r="D9" s="3">
        <v>-3.4420000000000002E-4</v>
      </c>
      <c r="E9" s="3">
        <v>0</v>
      </c>
      <c r="F9" s="3">
        <v>0</v>
      </c>
      <c r="G9" s="3">
        <v>0</v>
      </c>
      <c r="H9" s="3">
        <v>5.5105422000000003E-5</v>
      </c>
      <c r="I9" s="3">
        <v>1.3621865999999999E-5</v>
      </c>
      <c r="J9" s="3">
        <v>-1.4152756E-4</v>
      </c>
      <c r="K9" s="3"/>
      <c r="L9" s="3">
        <f t="shared" si="0"/>
        <v>0.21016850668216153</v>
      </c>
      <c r="M9" s="3"/>
      <c r="N9" s="2">
        <f>IF('Modell einstellen'!$B$1="Voll",H9/0.35,H9/0.35*2)</f>
        <v>1.5744406285714288E-4</v>
      </c>
      <c r="O9" s="2">
        <f>IF('Modell einstellen'!$B$1="Voll",J9/0.35,J9/0.35*2)</f>
        <v>-4.0436445714285714E-4</v>
      </c>
      <c r="P9" s="3">
        <f t="shared" si="1"/>
        <v>0.38936177519064136</v>
      </c>
      <c r="Q9" s="3"/>
      <c r="R9" s="3"/>
      <c r="S9" s="3"/>
      <c r="T9" s="3"/>
      <c r="U9" s="3"/>
    </row>
    <row r="10" spans="1:21" x14ac:dyDescent="0.25">
      <c r="A10" s="3">
        <v>1E-8</v>
      </c>
      <c r="B10" s="3">
        <v>7.0560000000000002E-5</v>
      </c>
      <c r="C10" s="3">
        <v>1.4119999999999999E-4</v>
      </c>
      <c r="D10" s="3">
        <v>-3.4739999999999999E-4</v>
      </c>
      <c r="E10" s="3">
        <v>0</v>
      </c>
      <c r="F10" s="3">
        <v>0</v>
      </c>
      <c r="G10" s="3">
        <v>0</v>
      </c>
      <c r="H10" s="3">
        <v>5.7448165999999997E-5</v>
      </c>
      <c r="I10" s="3">
        <v>1.4029871999999999E-5</v>
      </c>
      <c r="J10" s="3">
        <v>-1.4553023999999999E-4</v>
      </c>
      <c r="K10" s="3"/>
      <c r="L10" s="3">
        <f t="shared" si="0"/>
        <v>0.20310880829015546</v>
      </c>
      <c r="M10" s="3"/>
      <c r="N10" s="2">
        <f>IF('Modell einstellen'!$B$1="Voll",H10/0.35,H10/0.35*2)</f>
        <v>1.6413761714285715E-4</v>
      </c>
      <c r="O10" s="2">
        <f>IF('Modell einstellen'!$B$1="Voll",J10/0.35,J10/0.35*2)</f>
        <v>-4.1580068571428572E-4</v>
      </c>
      <c r="P10" s="3">
        <f t="shared" si="1"/>
        <v>0.39475071297896575</v>
      </c>
      <c r="Q10" s="3"/>
      <c r="R10" s="3"/>
      <c r="S10" s="3"/>
      <c r="T10" s="3"/>
      <c r="U10" s="3"/>
    </row>
    <row r="11" spans="1:21" x14ac:dyDescent="0.25">
      <c r="A11" s="3">
        <v>9.9999999999999995E-8</v>
      </c>
      <c r="B11" s="3">
        <v>6.8419999999999999E-5</v>
      </c>
      <c r="C11" s="3">
        <v>1.45E-4</v>
      </c>
      <c r="D11" s="3">
        <v>-3.503E-4</v>
      </c>
      <c r="E11" s="3">
        <v>0</v>
      </c>
      <c r="F11" s="3">
        <v>0</v>
      </c>
      <c r="G11" s="3">
        <v>0</v>
      </c>
      <c r="H11" s="3">
        <v>5.9866959999999998E-5</v>
      </c>
      <c r="I11" s="3">
        <v>1.4436817E-5</v>
      </c>
      <c r="J11" s="3">
        <v>-1.4960401E-4</v>
      </c>
      <c r="K11" s="3"/>
      <c r="L11" s="3">
        <f t="shared" si="0"/>
        <v>0.19531829860119895</v>
      </c>
      <c r="M11" s="3"/>
      <c r="N11" s="2">
        <f>IF('Modell einstellen'!$B$1="Voll",H11/0.35,H11/0.35*2)</f>
        <v>1.7104845714285716E-4</v>
      </c>
      <c r="O11" s="2">
        <f>IF('Modell einstellen'!$B$1="Voll",J11/0.35,J11/0.35*2)</f>
        <v>-4.274400285714286E-4</v>
      </c>
      <c r="P11" s="3">
        <f t="shared" si="1"/>
        <v>0.40016948743553066</v>
      </c>
      <c r="Q11" s="3"/>
      <c r="R11" s="3"/>
      <c r="S11" s="3"/>
      <c r="T11" s="3"/>
      <c r="U11" s="3"/>
    </row>
    <row r="12" spans="1:21" x14ac:dyDescent="0.25">
      <c r="A12" s="3">
        <v>9.9999999999999995E-7</v>
      </c>
      <c r="B12" s="3">
        <v>6.5309999999999996E-5</v>
      </c>
      <c r="C12" s="3">
        <v>1.495E-4</v>
      </c>
      <c r="D12" s="3">
        <v>-3.5320000000000002E-4</v>
      </c>
      <c r="E12" s="3">
        <v>0</v>
      </c>
      <c r="F12" s="3">
        <v>0</v>
      </c>
      <c r="G12" s="3">
        <v>0</v>
      </c>
      <c r="H12" s="3">
        <v>6.293045E-5</v>
      </c>
      <c r="I12" s="3">
        <v>1.493243E-5</v>
      </c>
      <c r="J12" s="3">
        <v>-1.5468278000000001E-4</v>
      </c>
      <c r="K12" s="3"/>
      <c r="L12" s="3">
        <f t="shared" si="0"/>
        <v>0.18490939977349941</v>
      </c>
      <c r="M12" s="3"/>
      <c r="N12" s="2">
        <f>IF('Modell einstellen'!$B$1="Voll",H12/0.35,H12/0.35*2)</f>
        <v>1.7980128571428572E-4</v>
      </c>
      <c r="O12" s="2">
        <f>IF('Modell einstellen'!$B$1="Voll",J12/0.35,J12/0.35*2)</f>
        <v>-4.4195080000000004E-4</v>
      </c>
      <c r="P12" s="3">
        <f t="shared" si="1"/>
        <v>0.40683552493690633</v>
      </c>
      <c r="Q12" s="3"/>
      <c r="R12" s="3"/>
      <c r="S12" s="3"/>
      <c r="T12" s="3"/>
      <c r="U12" s="3"/>
    </row>
    <row r="13" spans="1:21" x14ac:dyDescent="0.25">
      <c r="A13" s="3">
        <v>1.0000000000000001E-5</v>
      </c>
      <c r="B13" s="3">
        <v>6.0630000000000001E-5</v>
      </c>
      <c r="C13" s="3">
        <v>1.551E-4</v>
      </c>
      <c r="D13" s="3">
        <v>-3.5589999999999998E-4</v>
      </c>
      <c r="E13" s="3">
        <v>0</v>
      </c>
      <c r="F13" s="3">
        <v>0</v>
      </c>
      <c r="G13" s="3">
        <v>0</v>
      </c>
      <c r="H13" s="3">
        <v>6.6914025999999994E-5</v>
      </c>
      <c r="I13" s="3">
        <v>1.5543972999999998E-5</v>
      </c>
      <c r="J13" s="3">
        <v>-1.6115206E-4</v>
      </c>
      <c r="K13" s="3"/>
      <c r="L13" s="3">
        <f t="shared" si="0"/>
        <v>0.17035684180949706</v>
      </c>
      <c r="M13" s="3"/>
      <c r="N13" s="2">
        <f>IF('Modell einstellen'!$B$1="Voll",H13/0.35,H13/0.35*2)</f>
        <v>1.9118293142857142E-4</v>
      </c>
      <c r="O13" s="2">
        <f>IF('Modell einstellen'!$B$1="Voll",J13/0.35,J13/0.35*2)</f>
        <v>-4.6043445714285717E-4</v>
      </c>
      <c r="P13" s="3">
        <f t="shared" si="1"/>
        <v>0.41522290189774796</v>
      </c>
      <c r="Q13" s="3"/>
      <c r="R13" s="3"/>
      <c r="S13" s="3"/>
      <c r="T13" s="3"/>
      <c r="U13" s="3"/>
    </row>
    <row r="14" spans="1:21" x14ac:dyDescent="0.25">
      <c r="A14" s="3">
        <v>1E-4</v>
      </c>
      <c r="B14" s="3">
        <v>5.4389999999999999E-5</v>
      </c>
      <c r="C14" s="3">
        <v>1.6110000000000001E-4</v>
      </c>
      <c r="D14" s="3">
        <v>-3.5750000000000002E-4</v>
      </c>
      <c r="E14" s="3">
        <v>0</v>
      </c>
      <c r="F14" s="3">
        <v>0</v>
      </c>
      <c r="G14" s="3">
        <v>0</v>
      </c>
      <c r="H14" s="3">
        <v>7.1483191999999998E-5</v>
      </c>
      <c r="I14" s="3">
        <v>1.6201126000000001E-5</v>
      </c>
      <c r="J14" s="3">
        <v>-1.6839078000000001E-4</v>
      </c>
      <c r="K14" s="3"/>
      <c r="L14" s="3">
        <f t="shared" si="0"/>
        <v>0.15213986013986014</v>
      </c>
      <c r="M14" s="3"/>
      <c r="N14" s="2">
        <f>IF('Modell einstellen'!$B$1="Voll",H14/0.35,H14/0.35*2)</f>
        <v>2.0423769142857142E-4</v>
      </c>
      <c r="O14" s="2">
        <f>IF('Modell einstellen'!$B$1="Voll",J14/0.35,J14/0.35*2)</f>
        <v>-4.8111651428571435E-4</v>
      </c>
      <c r="P14" s="3">
        <f t="shared" si="1"/>
        <v>0.42450775511580852</v>
      </c>
      <c r="Q14" s="3"/>
      <c r="R14" s="3"/>
      <c r="S14" s="3"/>
      <c r="T14" s="3"/>
      <c r="U14" s="3"/>
    </row>
    <row r="15" spans="1:21" x14ac:dyDescent="0.25">
      <c r="A15" s="3">
        <v>1E-3</v>
      </c>
      <c r="B15" s="3">
        <v>4.7750000000000002E-5</v>
      </c>
      <c r="C15" s="3">
        <v>1.663E-4</v>
      </c>
      <c r="D15" s="3">
        <v>-3.5770000000000002E-4</v>
      </c>
      <c r="E15" s="3">
        <v>0</v>
      </c>
      <c r="F15" s="3">
        <v>0</v>
      </c>
      <c r="G15" s="3">
        <v>0</v>
      </c>
      <c r="H15" s="3">
        <v>7.5772865000000005E-5</v>
      </c>
      <c r="I15" s="3">
        <v>1.6777371E-5</v>
      </c>
      <c r="J15" s="3">
        <v>-1.7501980999999999E-4</v>
      </c>
      <c r="K15" s="3"/>
      <c r="L15" s="3">
        <f t="shared" si="0"/>
        <v>0.13349175286552978</v>
      </c>
      <c r="M15" s="3"/>
      <c r="N15" s="2">
        <f>IF('Modell einstellen'!$B$1="Voll",H15/0.35,H15/0.35*2)</f>
        <v>2.1649390000000004E-4</v>
      </c>
      <c r="O15" s="2">
        <f>IF('Modell einstellen'!$B$1="Voll",J15/0.35,J15/0.35*2)</f>
        <v>-5.0005660000000001E-4</v>
      </c>
      <c r="P15" s="3">
        <f t="shared" si="1"/>
        <v>0.43293879132882163</v>
      </c>
      <c r="Q15" s="3"/>
      <c r="R15" s="3"/>
      <c r="S15" s="3"/>
      <c r="T15" s="3"/>
      <c r="U15" s="3"/>
    </row>
    <row r="16" spans="1:21" x14ac:dyDescent="0.25">
      <c r="A16" s="3">
        <v>0.01</v>
      </c>
      <c r="B16" s="3">
        <v>4.0479999999999999E-5</v>
      </c>
      <c r="C16" s="3">
        <v>1.7119999999999999E-4</v>
      </c>
      <c r="D16" s="3">
        <v>-3.569E-4</v>
      </c>
      <c r="E16" s="3">
        <v>0</v>
      </c>
      <c r="F16" s="3">
        <v>0</v>
      </c>
      <c r="G16" s="3">
        <v>0</v>
      </c>
      <c r="H16" s="3">
        <v>8.0085882000000003E-5</v>
      </c>
      <c r="I16" s="3">
        <v>1.7324481000000001E-5</v>
      </c>
      <c r="J16" s="3">
        <v>-1.8155337E-4</v>
      </c>
      <c r="K16" s="3"/>
      <c r="L16" s="3">
        <f t="shared" si="0"/>
        <v>0.11342112636592883</v>
      </c>
      <c r="M16" s="3"/>
      <c r="N16" s="2">
        <f>IF('Modell einstellen'!$B$1="Voll",H16/0.35,H16/0.35*2)</f>
        <v>2.2881680571428575E-4</v>
      </c>
      <c r="O16" s="2">
        <f>IF('Modell einstellen'!$B$1="Voll",J16/0.35,J16/0.35*2)</f>
        <v>-5.1872391428571432E-4</v>
      </c>
      <c r="P16" s="3">
        <f t="shared" si="1"/>
        <v>0.44111481929528495</v>
      </c>
      <c r="Q16" s="3"/>
      <c r="R16" s="3"/>
      <c r="S16" s="3"/>
      <c r="T16" s="3"/>
      <c r="U16" s="3"/>
    </row>
    <row r="17" spans="1:25" x14ac:dyDescent="0.25">
      <c r="A17" s="3">
        <v>0.1</v>
      </c>
      <c r="B17" s="3">
        <v>3.1869999999999998E-5</v>
      </c>
      <c r="C17" s="3">
        <v>1.761E-4</v>
      </c>
      <c r="D17" s="3">
        <v>-3.548E-4</v>
      </c>
      <c r="E17" s="3">
        <v>0</v>
      </c>
      <c r="F17" s="3">
        <v>0</v>
      </c>
      <c r="G17" s="3">
        <v>0</v>
      </c>
      <c r="H17" s="3">
        <v>8.4794740999999995E-5</v>
      </c>
      <c r="I17" s="3">
        <v>1.7885265000000001E-5</v>
      </c>
      <c r="J17" s="3">
        <v>-1.8853741E-4</v>
      </c>
      <c r="K17" s="3"/>
      <c r="L17" s="3">
        <f t="shared" si="0"/>
        <v>8.982525366403607E-2</v>
      </c>
      <c r="M17" s="3"/>
      <c r="N17" s="2">
        <f>IF('Modell einstellen'!$B$1="Voll",H17/0.35,H17/0.35*2)</f>
        <v>2.4227068857142858E-4</v>
      </c>
      <c r="O17" s="2">
        <f>IF('Modell einstellen'!$B$1="Voll",J17/0.35,J17/0.35*2)</f>
        <v>-5.3867831428571432E-4</v>
      </c>
      <c r="P17" s="3">
        <f t="shared" si="1"/>
        <v>0.44975021668113502</v>
      </c>
      <c r="Q17" s="3"/>
      <c r="R17" s="3"/>
      <c r="S17" s="3"/>
      <c r="T17" s="3"/>
      <c r="U17" s="3"/>
      <c r="V17" s="3"/>
      <c r="W17" s="3"/>
      <c r="X17" s="3"/>
      <c r="Y17" s="3"/>
    </row>
    <row r="18" spans="1:25" x14ac:dyDescent="0.25">
      <c r="A18" s="3">
        <v>1</v>
      </c>
      <c r="B18" s="3">
        <v>2.1399999999999998E-5</v>
      </c>
      <c r="C18" s="3">
        <v>1.8129999999999999E-4</v>
      </c>
      <c r="D18" s="3">
        <v>-3.5129999999999997E-4</v>
      </c>
      <c r="E18" s="3">
        <v>0</v>
      </c>
      <c r="F18" s="3">
        <v>0</v>
      </c>
      <c r="G18" s="3">
        <v>0</v>
      </c>
      <c r="H18" s="3">
        <v>9.0152637999999999E-5</v>
      </c>
      <c r="I18" s="3">
        <v>1.8486105999999999E-5</v>
      </c>
      <c r="J18" s="3">
        <v>-1.9632935999999999E-4</v>
      </c>
      <c r="K18" s="3"/>
      <c r="L18" s="3">
        <f t="shared" si="0"/>
        <v>6.0916595502419582E-2</v>
      </c>
      <c r="M18" s="3"/>
      <c r="N18" s="2">
        <f>IF('Modell einstellen'!$B$1="Voll",H18/0.35,H18/0.35*2)</f>
        <v>2.5757896571428573E-4</v>
      </c>
      <c r="O18" s="2">
        <f>IF('Modell einstellen'!$B$1="Voll",J18/0.35,J18/0.35*2)</f>
        <v>-5.6094102857142856E-4</v>
      </c>
      <c r="P18" s="3">
        <f t="shared" si="1"/>
        <v>0.45919081078856472</v>
      </c>
      <c r="Q18" s="3"/>
      <c r="R18" s="3"/>
      <c r="S18" s="3"/>
      <c r="T18" s="3"/>
      <c r="U18" s="3"/>
      <c r="V18" s="3"/>
      <c r="W18" s="3"/>
      <c r="X18" s="3"/>
      <c r="Y18" s="3"/>
    </row>
    <row r="19" spans="1:25" x14ac:dyDescent="0.25">
      <c r="A19" s="3">
        <v>10</v>
      </c>
      <c r="B19" s="3">
        <v>9.8430000000000005E-6</v>
      </c>
      <c r="C19" s="3">
        <v>1.8689999999999999E-4</v>
      </c>
      <c r="D19" s="3">
        <v>-3.4689999999999998E-4</v>
      </c>
      <c r="E19" s="3">
        <v>0</v>
      </c>
      <c r="F19" s="3">
        <v>0</v>
      </c>
      <c r="G19" s="3">
        <v>0</v>
      </c>
      <c r="H19" s="3">
        <v>9.5923825000000007E-5</v>
      </c>
      <c r="I19" s="3">
        <v>1.9128274999999999E-5</v>
      </c>
      <c r="J19" s="3">
        <v>-2.0466850000000001E-4</v>
      </c>
      <c r="K19" s="3"/>
      <c r="L19" s="3">
        <f t="shared" si="0"/>
        <v>2.837417123090228E-2</v>
      </c>
      <c r="M19" s="3"/>
      <c r="N19" s="2">
        <f>IF('Modell einstellen'!$B$1="Voll",H19/0.35,H19/0.35*2)</f>
        <v>2.7406807142857148E-4</v>
      </c>
      <c r="O19" s="2">
        <f>IF('Modell einstellen'!$B$1="Voll",J19/0.35,J19/0.35*2)</f>
        <v>-5.8476714285714292E-4</v>
      </c>
      <c r="P19" s="3">
        <f t="shared" si="1"/>
        <v>0.46867898577455741</v>
      </c>
      <c r="Q19" s="3"/>
      <c r="R19" s="3"/>
      <c r="S19" s="3"/>
      <c r="T19" s="3"/>
      <c r="U19" s="3"/>
      <c r="V19" s="3"/>
      <c r="W19" s="3"/>
      <c r="X19" s="3"/>
      <c r="Y19" s="3"/>
    </row>
    <row r="20" spans="1:25" x14ac:dyDescent="0.25">
      <c r="A20" s="3">
        <v>100</v>
      </c>
      <c r="B20" s="3">
        <v>-1.017E-6</v>
      </c>
      <c r="C20" s="3">
        <v>1.9699999999999999E-4</v>
      </c>
      <c r="D20" s="3">
        <v>-3.4759999999999999E-4</v>
      </c>
      <c r="E20" s="3">
        <v>0</v>
      </c>
      <c r="F20" s="3">
        <v>0</v>
      </c>
      <c r="G20" s="3">
        <v>0</v>
      </c>
      <c r="H20" s="3">
        <v>1.0358771000000001E-4</v>
      </c>
      <c r="I20" s="3">
        <v>2.0323304E-5</v>
      </c>
      <c r="J20" s="3">
        <v>-2.1683349000000001E-4</v>
      </c>
      <c r="K20" s="3"/>
      <c r="L20" s="3">
        <f t="shared" si="0"/>
        <v>-2.9257767548906788E-3</v>
      </c>
      <c r="M20" s="3"/>
      <c r="N20" s="2">
        <f>IF('Modell einstellen'!$B$1="Voll",H20/0.35,H20/0.35*2)</f>
        <v>2.9596488571428573E-4</v>
      </c>
      <c r="O20" s="2">
        <f>IF('Modell einstellen'!$B$1="Voll",J20/0.35,J20/0.35*2)</f>
        <v>-6.1952425714285723E-4</v>
      </c>
      <c r="P20" s="3">
        <f t="shared" si="1"/>
        <v>0.4777292935699185</v>
      </c>
      <c r="Q20" s="3"/>
      <c r="R20" s="3"/>
      <c r="S20" s="3"/>
      <c r="T20" s="3"/>
      <c r="U20" s="3"/>
      <c r="V20" s="3"/>
      <c r="W20" s="3"/>
      <c r="X20" s="3"/>
      <c r="Y20" s="3"/>
    </row>
    <row r="21" spans="1:25" x14ac:dyDescent="0.25">
      <c r="A21" s="3">
        <v>1000</v>
      </c>
      <c r="B21" s="3">
        <v>3.4869999999999998E-6</v>
      </c>
      <c r="C21" s="3">
        <v>2.243E-4</v>
      </c>
      <c r="D21" s="3">
        <v>-3.7869999999999999E-4</v>
      </c>
      <c r="E21" s="3">
        <v>0</v>
      </c>
      <c r="F21" s="3">
        <v>0</v>
      </c>
      <c r="G21" s="3">
        <v>0</v>
      </c>
      <c r="H21" s="3">
        <v>1.1479429000000001E-4</v>
      </c>
      <c r="I21" s="3">
        <v>2.3606975000000001E-5</v>
      </c>
      <c r="J21" s="3">
        <v>-2.3970118E-4</v>
      </c>
      <c r="K21" s="3"/>
      <c r="L21" s="3">
        <f t="shared" si="0"/>
        <v>9.2078162133614992E-3</v>
      </c>
      <c r="M21" s="3"/>
      <c r="N21" s="2">
        <f>IF('Modell einstellen'!$B$1="Voll",H21/0.35,H21/0.35*2)</f>
        <v>3.2798368571428576E-4</v>
      </c>
      <c r="O21" s="2">
        <f>IF('Modell einstellen'!$B$1="Voll",J21/0.35,J21/0.35*2)</f>
        <v>-6.848605142857143E-4</v>
      </c>
      <c r="P21" s="3">
        <f t="shared" si="1"/>
        <v>0.47890581932053905</v>
      </c>
      <c r="Q21" s="3"/>
      <c r="R21" s="3"/>
      <c r="S21" s="3"/>
      <c r="T21" s="3"/>
      <c r="U21" s="3"/>
      <c r="V21" s="3"/>
      <c r="W21" s="3"/>
      <c r="X21" s="3"/>
      <c r="Y21" s="3"/>
    </row>
    <row r="22" spans="1:25" x14ac:dyDescent="0.25">
      <c r="A22" s="3">
        <v>10000</v>
      </c>
      <c r="B22" s="3">
        <v>2.9249999999999999E-5</v>
      </c>
      <c r="C22" s="3">
        <v>2.7399999999999999E-4</v>
      </c>
      <c r="D22" s="3">
        <v>-4.5130000000000002E-4</v>
      </c>
      <c r="E22" s="3">
        <v>0</v>
      </c>
      <c r="F22" s="3">
        <v>0</v>
      </c>
      <c r="G22" s="3">
        <v>0</v>
      </c>
      <c r="H22" s="3">
        <v>1.3024807000000001E-4</v>
      </c>
      <c r="I22" s="3">
        <v>2.9815678E-5</v>
      </c>
      <c r="J22" s="3">
        <v>-2.7701622999999999E-4</v>
      </c>
      <c r="K22" s="3"/>
      <c r="L22" s="3">
        <f t="shared" si="0"/>
        <v>6.4812763128739195E-2</v>
      </c>
      <c r="M22" s="3"/>
      <c r="N22" s="2">
        <f>IF('Modell einstellen'!$B$1="Voll",H22/0.35,H22/0.35*2)</f>
        <v>3.7213734285714288E-4</v>
      </c>
      <c r="O22" s="2">
        <f>IF('Modell einstellen'!$B$1="Voll",J22/0.35,J22/0.35*2)</f>
        <v>-7.9147494285714286E-4</v>
      </c>
      <c r="P22" s="3">
        <f t="shared" si="1"/>
        <v>0.47018209005299078</v>
      </c>
      <c r="Q22" s="3"/>
      <c r="R22" s="3"/>
      <c r="S22" s="3"/>
      <c r="T22" s="3"/>
      <c r="U22" s="3"/>
      <c r="V22" s="3"/>
      <c r="W22" s="3"/>
      <c r="X22" s="3"/>
      <c r="Y22" s="3"/>
    </row>
    <row r="23" spans="1:25" x14ac:dyDescent="0.25">
      <c r="A23" s="3">
        <v>100000</v>
      </c>
      <c r="B23" s="3">
        <v>5.3109999999999998E-5</v>
      </c>
      <c r="C23" s="3">
        <v>3.3649999999999999E-4</v>
      </c>
      <c r="D23" s="3">
        <v>-5.3490000000000005E-4</v>
      </c>
      <c r="E23" s="3">
        <v>0</v>
      </c>
      <c r="F23" s="3">
        <v>0</v>
      </c>
      <c r="G23" s="3">
        <v>0</v>
      </c>
      <c r="H23" s="3">
        <v>1.4988027E-4</v>
      </c>
      <c r="I23" s="3">
        <v>3.8018136E-5</v>
      </c>
      <c r="J23" s="3">
        <v>-3.2577810999999998E-4</v>
      </c>
      <c r="K23" s="3"/>
      <c r="L23" s="3">
        <f t="shared" si="0"/>
        <v>9.9289586838661417E-2</v>
      </c>
      <c r="M23" s="3"/>
      <c r="N23" s="2">
        <f>IF('Modell einstellen'!$B$1="Voll",H23/0.35,H23/0.35*2)</f>
        <v>4.2822934285714287E-4</v>
      </c>
      <c r="O23" s="2">
        <f>IF('Modell einstellen'!$B$1="Voll",J23/0.35,J23/0.35*2)</f>
        <v>-9.3079459999999997E-4</v>
      </c>
      <c r="P23" s="3">
        <f t="shared" si="1"/>
        <v>0.46006857244030303</v>
      </c>
      <c r="Q23" s="3"/>
      <c r="R23" s="3"/>
      <c r="S23" s="3"/>
      <c r="T23" s="3"/>
      <c r="U23" s="3"/>
      <c r="V23" s="3"/>
      <c r="W23" s="3"/>
      <c r="X23" s="3"/>
      <c r="Y23" s="3"/>
    </row>
    <row r="24" spans="1:25" x14ac:dyDescent="0.25">
      <c r="A24" s="3">
        <v>1000000</v>
      </c>
      <c r="B24" s="3">
        <v>5.6150000000000003E-5</v>
      </c>
      <c r="C24" s="3">
        <v>4.0910000000000002E-4</v>
      </c>
      <c r="D24" s="3">
        <v>-6.0930000000000001E-4</v>
      </c>
      <c r="E24" s="3">
        <v>0</v>
      </c>
      <c r="F24" s="3">
        <v>0</v>
      </c>
      <c r="G24" s="3">
        <v>0</v>
      </c>
      <c r="H24" s="3">
        <v>1.7632766000000001E-4</v>
      </c>
      <c r="I24" s="3">
        <v>4.8132345000000003E-5</v>
      </c>
      <c r="J24" s="3">
        <v>-3.8862290000000002E-4</v>
      </c>
      <c r="K24" s="3"/>
      <c r="L24" s="3">
        <f t="shared" si="0"/>
        <v>9.2154931889053021E-2</v>
      </c>
      <c r="M24" s="3"/>
      <c r="N24" s="2">
        <f>IF('Modell einstellen'!$B$1="Voll",H24/0.35,H24/0.35*2)</f>
        <v>5.0379331428571431E-4</v>
      </c>
      <c r="O24" s="2">
        <f>IF('Modell einstellen'!$B$1="Voll",J24/0.35,J24/0.35*2)</f>
        <v>-1.1103511428571429E-3</v>
      </c>
      <c r="P24" s="3">
        <f t="shared" si="1"/>
        <v>0.45372431732664237</v>
      </c>
      <c r="Q24" s="3"/>
      <c r="R24" s="3"/>
      <c r="S24" s="3"/>
      <c r="T24" s="3"/>
      <c r="U24" s="3"/>
      <c r="V24" s="3"/>
      <c r="W24" s="3"/>
      <c r="X24" s="3"/>
      <c r="Y24" s="3"/>
    </row>
    <row r="25" spans="1:25" x14ac:dyDescent="0.25">
      <c r="A25" s="3">
        <v>10000000</v>
      </c>
      <c r="B25" s="3">
        <v>1.607E-5</v>
      </c>
      <c r="C25" s="3">
        <v>5.0009999999999996E-4</v>
      </c>
      <c r="D25" s="3">
        <v>-6.6080000000000002E-4</v>
      </c>
      <c r="E25" s="3">
        <v>0</v>
      </c>
      <c r="F25" s="3">
        <v>0</v>
      </c>
      <c r="G25" s="3">
        <v>0</v>
      </c>
      <c r="H25" s="3">
        <v>2.1538024999999999E-4</v>
      </c>
      <c r="I25" s="3">
        <v>6.1654354999999994E-5</v>
      </c>
      <c r="J25" s="3">
        <v>-4.7684182999999997E-4</v>
      </c>
      <c r="K25" s="3"/>
      <c r="L25" s="3">
        <f t="shared" si="0"/>
        <v>2.4319007263922519E-2</v>
      </c>
      <c r="M25" s="3"/>
      <c r="N25" s="2">
        <f>IF('Modell einstellen'!$B$1="Voll",H25/0.35,H25/0.35*2)</f>
        <v>6.1537214285714288E-4</v>
      </c>
      <c r="O25" s="2">
        <f>IF('Modell einstellen'!$B$1="Voll",J25/0.35,J25/0.35*2)</f>
        <v>-1.3624052285714286E-3</v>
      </c>
      <c r="P25" s="3">
        <f t="shared" si="1"/>
        <v>0.45168069672075539</v>
      </c>
      <c r="Q25" s="3"/>
      <c r="R25" s="3"/>
      <c r="S25" s="3"/>
      <c r="T25" s="3"/>
      <c r="U25" s="3"/>
      <c r="V25" s="3"/>
      <c r="W25" s="3"/>
      <c r="X25" s="3"/>
      <c r="Y25" s="3"/>
    </row>
    <row r="26" spans="1:25" x14ac:dyDescent="0.25">
      <c r="A26" s="3">
        <v>100000000</v>
      </c>
      <c r="B26" s="3">
        <v>-1.13E-4</v>
      </c>
      <c r="C26" s="3">
        <v>6.3029999999999998E-4</v>
      </c>
      <c r="D26" s="3">
        <v>-6.6399999999999999E-4</v>
      </c>
      <c r="E26" s="3">
        <v>0</v>
      </c>
      <c r="F26" s="3">
        <v>0</v>
      </c>
      <c r="G26" s="3">
        <v>0</v>
      </c>
      <c r="H26" s="3">
        <v>2.7954207999999998E-4</v>
      </c>
      <c r="I26" s="3">
        <v>8.2239148000000001E-5</v>
      </c>
      <c r="J26" s="3">
        <v>-6.1623869999999999E-4</v>
      </c>
      <c r="K26" s="3"/>
      <c r="L26" s="3">
        <f t="shared" si="0"/>
        <v>-0.17018072289156627</v>
      </c>
      <c r="M26" s="3"/>
      <c r="N26" s="2">
        <f>IF('Modell einstellen'!$B$1="Voll",H26/0.35,H26/0.35*2)</f>
        <v>7.9869165714285708E-4</v>
      </c>
      <c r="O26" s="2">
        <f>IF('Modell einstellen'!$B$1="Voll",J26/0.35,J26/0.35*2)</f>
        <v>-1.7606820000000002E-3</v>
      </c>
      <c r="P26" s="3">
        <f t="shared" si="1"/>
        <v>0.45362629773170682</v>
      </c>
      <c r="Q26" s="3"/>
      <c r="R26" s="3"/>
      <c r="S26" s="3"/>
      <c r="T26" s="3"/>
      <c r="U26" s="3"/>
      <c r="V26" s="3"/>
      <c r="W26" s="3"/>
      <c r="X26" s="3"/>
      <c r="Y26" s="3"/>
    </row>
    <row r="27" spans="1:25" x14ac:dyDescent="0.25">
      <c r="A27" s="3">
        <v>1000000000</v>
      </c>
      <c r="B27" s="3">
        <v>-4.0519999999999998E-4</v>
      </c>
      <c r="C27" s="3">
        <v>8.2350000000000001E-4</v>
      </c>
      <c r="D27" s="3">
        <v>-5.6760000000000003E-4</v>
      </c>
      <c r="E27" s="3">
        <v>0</v>
      </c>
      <c r="F27" s="3">
        <v>0</v>
      </c>
      <c r="G27" s="3">
        <v>0</v>
      </c>
      <c r="H27" s="3">
        <v>3.8364258999999998E-4</v>
      </c>
      <c r="I27" s="3">
        <v>1.1444498E-4</v>
      </c>
      <c r="J27" s="3">
        <v>-8.3809819000000001E-4</v>
      </c>
      <c r="K27" s="3"/>
      <c r="L27" s="3">
        <f t="shared" si="0"/>
        <v>-0.71388301620859751</v>
      </c>
      <c r="M27" s="3"/>
      <c r="N27" s="2">
        <f>IF('Modell einstellen'!$B$1="Voll",H27/0.35,H27/0.35*2)</f>
        <v>1.0961216857142857E-3</v>
      </c>
      <c r="O27" s="2">
        <f>IF('Modell einstellen'!$B$1="Voll",J27/0.35,J27/0.35*2)</f>
        <v>-2.3945662571428572E-3</v>
      </c>
      <c r="P27" s="3">
        <f t="shared" si="1"/>
        <v>0.4577537507866471</v>
      </c>
      <c r="Q27" s="3"/>
      <c r="R27" s="3"/>
      <c r="S27" s="3"/>
      <c r="T27" s="3"/>
      <c r="U27" s="3"/>
      <c r="V27" s="3"/>
      <c r="W27" s="3"/>
      <c r="X27" s="3"/>
      <c r="Y27" s="3"/>
    </row>
    <row r="28" spans="1:25" x14ac:dyDescent="0.25">
      <c r="A28" s="3">
        <v>10000000000</v>
      </c>
      <c r="B28" s="3">
        <v>-8.9409999999999999E-4</v>
      </c>
      <c r="C28" s="3">
        <v>1.0939999999999999E-3</v>
      </c>
      <c r="D28" s="3">
        <v>-3.5139999999999998E-4</v>
      </c>
      <c r="E28" s="3">
        <v>0</v>
      </c>
      <c r="F28" s="3">
        <v>0</v>
      </c>
      <c r="G28" s="3">
        <v>0</v>
      </c>
      <c r="H28" s="3">
        <v>5.3421456000000002E-4</v>
      </c>
      <c r="I28" s="3">
        <v>1.6118727000000001E-4</v>
      </c>
      <c r="J28" s="3">
        <v>-1.1593083000000001E-3</v>
      </c>
      <c r="K28" s="3"/>
      <c r="L28" s="3">
        <f t="shared" si="0"/>
        <v>-2.5443938531587937</v>
      </c>
      <c r="M28" s="3"/>
      <c r="N28" s="2">
        <f>IF('Modell einstellen'!$B$1="Voll",H28/0.35,H28/0.35*2)</f>
        <v>1.5263273142857145E-3</v>
      </c>
      <c r="O28" s="2">
        <f>IF('Modell einstellen'!$B$1="Voll",J28/0.35,J28/0.35*2)</f>
        <v>-3.312309428571429E-3</v>
      </c>
      <c r="P28" s="3">
        <f t="shared" si="1"/>
        <v>0.46080456768919881</v>
      </c>
      <c r="Q28" s="3"/>
      <c r="R28" s="3"/>
      <c r="S28" s="3"/>
      <c r="T28" s="3"/>
      <c r="U28" s="3"/>
      <c r="V28" s="3"/>
      <c r="W28" s="3"/>
      <c r="X28" s="3"/>
      <c r="Y28" s="3"/>
    </row>
    <row r="29" spans="1:25" x14ac:dyDescent="0.25">
      <c r="A29" s="3">
        <v>100000000000</v>
      </c>
      <c r="B29" s="3">
        <v>-1.521E-3</v>
      </c>
      <c r="C29" s="3">
        <v>1.4120000000000001E-3</v>
      </c>
      <c r="D29" s="3">
        <v>-4.3269999999999997E-5</v>
      </c>
      <c r="E29" s="3">
        <v>0</v>
      </c>
      <c r="F29" s="3">
        <v>0</v>
      </c>
      <c r="G29" s="3">
        <v>0</v>
      </c>
      <c r="H29" s="3">
        <v>7.1250114000000002E-4</v>
      </c>
      <c r="I29" s="3">
        <v>2.173694E-4</v>
      </c>
      <c r="J29" s="3">
        <v>-1.542159E-3</v>
      </c>
      <c r="K29" s="3"/>
      <c r="L29" s="3">
        <f t="shared" si="0"/>
        <v>-35.151375086665126</v>
      </c>
      <c r="M29" s="3"/>
      <c r="N29" s="2">
        <f>IF('Modell einstellen'!$B$1="Voll",H29/0.35,H29/0.35*2)</f>
        <v>2.0357175428571432E-3</v>
      </c>
      <c r="O29" s="2">
        <f>IF('Modell einstellen'!$B$1="Voll",J29/0.35,J29/0.35*2)</f>
        <v>-4.4061685714285714E-3</v>
      </c>
      <c r="P29" s="3">
        <f t="shared" si="1"/>
        <v>0.46201535639321245</v>
      </c>
      <c r="Q29" s="3"/>
      <c r="R29" s="3"/>
      <c r="S29" s="3"/>
      <c r="T29" s="3"/>
      <c r="U29" s="3"/>
      <c r="V29" s="3"/>
      <c r="W29" s="3"/>
      <c r="X29" s="3"/>
      <c r="Y29" s="3"/>
    </row>
    <row r="30" spans="1:25" x14ac:dyDescent="0.25">
      <c r="A30" s="3">
        <v>1000000000000</v>
      </c>
      <c r="B30" s="3">
        <v>-2.0370000000000002E-3</v>
      </c>
      <c r="C30" s="3">
        <v>1.6819999999999999E-3</v>
      </c>
      <c r="D30" s="3">
        <v>2.0259999999999999E-4</v>
      </c>
      <c r="E30" s="3">
        <v>0</v>
      </c>
      <c r="F30" s="3">
        <v>0</v>
      </c>
      <c r="G30" s="3">
        <v>0</v>
      </c>
      <c r="H30" s="3">
        <v>8.5701126999999998E-4</v>
      </c>
      <c r="I30" s="3">
        <v>2.6556916999999998E-4</v>
      </c>
      <c r="J30" s="3">
        <v>-1.8617129E-3</v>
      </c>
      <c r="K30" s="3"/>
      <c r="L30" s="3">
        <f t="shared" si="0"/>
        <v>10.054294175715697</v>
      </c>
      <c r="M30" s="3"/>
      <c r="N30" s="2">
        <f>IF('Modell einstellen'!$B$1="Voll",H30/0.35,H30/0.35*2)</f>
        <v>2.4486036285714286E-3</v>
      </c>
      <c r="O30" s="2">
        <f>IF('Modell einstellen'!$B$1="Voll",J30/0.35,J30/0.35*2)</f>
        <v>-5.319179714285715E-3</v>
      </c>
      <c r="P30" s="3">
        <f t="shared" si="1"/>
        <v>0.46033481854264419</v>
      </c>
      <c r="Q30" s="3"/>
      <c r="R30" s="3"/>
      <c r="S30" s="3"/>
      <c r="T30" s="3"/>
      <c r="U30" s="3"/>
      <c r="V30" s="3"/>
      <c r="W30" s="3"/>
      <c r="X30" s="3"/>
      <c r="Y30" s="3"/>
    </row>
    <row r="31" spans="1:25" x14ac:dyDescent="0.25">
      <c r="A31" s="3">
        <v>10000000000000</v>
      </c>
      <c r="B31" s="3">
        <v>-2.3800000000000002E-3</v>
      </c>
      <c r="C31" s="3">
        <v>1.874E-3</v>
      </c>
      <c r="D31" s="3">
        <v>3.5290000000000001E-4</v>
      </c>
      <c r="E31" s="3">
        <v>0</v>
      </c>
      <c r="F31" s="3">
        <v>0</v>
      </c>
      <c r="G31" s="3">
        <v>0</v>
      </c>
      <c r="H31" s="3">
        <v>9.5456059000000005E-4</v>
      </c>
      <c r="I31" s="3">
        <v>3.0011205000000002E-4</v>
      </c>
      <c r="J31" s="3">
        <v>-2.0844814000000001E-3</v>
      </c>
      <c r="K31" s="3"/>
      <c r="L31" s="3">
        <f t="shared" si="0"/>
        <v>6.7441201473505243</v>
      </c>
      <c r="M31" s="3"/>
      <c r="N31" s="2">
        <f>IF('Modell einstellen'!$B$1="Voll",H31/0.35,H31/0.35*2)</f>
        <v>2.7273159714285718E-3</v>
      </c>
      <c r="O31" s="2">
        <f>IF('Modell einstellen'!$B$1="Voll",J31/0.35,J31/0.35*2)</f>
        <v>-5.9556611428571438E-3</v>
      </c>
      <c r="P31" s="3">
        <f t="shared" si="1"/>
        <v>0.45793672709192801</v>
      </c>
      <c r="Q31" s="3"/>
      <c r="R31" s="3"/>
      <c r="S31" s="3"/>
      <c r="T31" s="3"/>
      <c r="U31" s="3"/>
      <c r="V31" s="3"/>
      <c r="W31" s="3"/>
      <c r="X31" s="3"/>
      <c r="Y31" s="3"/>
    </row>
    <row r="32" spans="1:25" x14ac:dyDescent="0.25">
      <c r="A32" s="3">
        <v>100000000000000</v>
      </c>
      <c r="B32" s="3">
        <v>-2.5799999999999998E-3</v>
      </c>
      <c r="C32" s="3">
        <v>1.9959999999999999E-3</v>
      </c>
      <c r="D32" s="3">
        <v>4.3189999999999998E-4</v>
      </c>
      <c r="E32" s="3">
        <v>0</v>
      </c>
      <c r="F32" s="3">
        <v>0</v>
      </c>
      <c r="G32" s="3">
        <v>0</v>
      </c>
      <c r="H32" s="3">
        <v>1.0143853999999999E-3</v>
      </c>
      <c r="I32" s="3">
        <v>3.2214276999999999E-4</v>
      </c>
      <c r="J32" s="3">
        <v>-2.2240722000000002E-3</v>
      </c>
      <c r="K32" s="3"/>
      <c r="L32" s="3">
        <f t="shared" si="0"/>
        <v>5.9736050011576749</v>
      </c>
      <c r="M32" s="3"/>
      <c r="N32" s="2">
        <f>IF('Modell einstellen'!$B$1="Voll",H32/0.35,H32/0.35*2)</f>
        <v>2.8982439999999999E-3</v>
      </c>
      <c r="O32" s="2">
        <f>IF('Modell einstellen'!$B$1="Voll",J32/0.35,J32/0.35*2)</f>
        <v>-6.3544920000000006E-3</v>
      </c>
      <c r="P32" s="3">
        <f t="shared" si="1"/>
        <v>0.45609373652528001</v>
      </c>
      <c r="Q32" s="3"/>
      <c r="R32" s="3"/>
      <c r="S32" s="3"/>
      <c r="T32" s="3"/>
      <c r="U32" s="3"/>
      <c r="V32" s="3"/>
      <c r="W32" s="3"/>
      <c r="X32" s="3"/>
      <c r="Y32" s="3"/>
    </row>
    <row r="33" spans="1:25" x14ac:dyDescent="0.25">
      <c r="A33" s="2">
        <v>1000000000000000</v>
      </c>
      <c r="B33" s="3">
        <v>-2.7569999999999999E-3</v>
      </c>
      <c r="C33" s="3">
        <v>2.062E-3</v>
      </c>
      <c r="D33" s="3">
        <v>5.4140000000000004E-4</v>
      </c>
      <c r="E33" s="3">
        <v>0</v>
      </c>
      <c r="F33" s="3">
        <v>0</v>
      </c>
      <c r="G33" s="3">
        <v>0</v>
      </c>
      <c r="H33" s="3">
        <v>1.0615856999999999E-3</v>
      </c>
      <c r="I33" s="3">
        <v>3.3451409999999998E-4</v>
      </c>
      <c r="J33" s="3">
        <v>-2.3159405E-3</v>
      </c>
      <c r="K33" s="3"/>
      <c r="L33" s="3">
        <f t="shared" si="0"/>
        <v>5.0923531584780193</v>
      </c>
      <c r="M33" s="3"/>
      <c r="N33" s="2">
        <f>IF('Modell einstellen'!$B$1="Voll",H33/0.35,H33/0.35*2)</f>
        <v>3.0331019999999998E-3</v>
      </c>
      <c r="O33" s="2">
        <f>IF('Modell einstellen'!$B$1="Voll",J33/0.35,J33/0.35*2)</f>
        <v>-6.6169728571428572E-3</v>
      </c>
      <c r="P33" s="3">
        <f t="shared" si="1"/>
        <v>0.45838211301197068</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7.75E-5</v>
      </c>
      <c r="C3" s="3">
        <v>1.2239999999999999E-4</v>
      </c>
      <c r="D3" s="3">
        <v>-3.2929999999999998E-4</v>
      </c>
      <c r="E3" s="3">
        <v>0</v>
      </c>
      <c r="F3" s="3">
        <v>0</v>
      </c>
      <c r="G3" s="3">
        <v>0</v>
      </c>
      <c r="H3" s="3">
        <v>4.6544169000000003E-5</v>
      </c>
      <c r="I3" s="3">
        <v>1.2051281000000001E-5</v>
      </c>
      <c r="J3" s="3">
        <v>-1.2657381000000001E-4</v>
      </c>
      <c r="K3" s="3"/>
      <c r="L3" s="3">
        <f>-B3/D3</f>
        <v>0.23534770725781964</v>
      </c>
      <c r="M3" s="3"/>
      <c r="N3" s="2">
        <f>IF('Modell einstellen'!$B$1="Voll",H3/0.35,H3/0.35*2)</f>
        <v>1.3298334000000001E-4</v>
      </c>
      <c r="O3" s="2">
        <f>IF('Modell einstellen'!$B$1="Voll",J3/0.35,J3/0.35*2)</f>
        <v>-3.6163945714285718E-4</v>
      </c>
      <c r="P3" s="3">
        <f>-N3/O3</f>
        <v>0.36772353617229347</v>
      </c>
      <c r="Q3" s="3"/>
      <c r="R3" s="3"/>
      <c r="S3" s="3"/>
      <c r="T3" s="3"/>
      <c r="U3" s="3"/>
    </row>
    <row r="4" spans="1:21" x14ac:dyDescent="0.25">
      <c r="A4" s="3">
        <v>1E-14</v>
      </c>
      <c r="B4" s="3">
        <v>7.729E-5</v>
      </c>
      <c r="C4" s="3">
        <v>1.2530000000000001E-4</v>
      </c>
      <c r="D4" s="3">
        <v>-3.3290000000000001E-4</v>
      </c>
      <c r="E4" s="3">
        <v>0</v>
      </c>
      <c r="F4" s="3">
        <v>0</v>
      </c>
      <c r="G4" s="3">
        <v>0</v>
      </c>
      <c r="H4" s="3">
        <v>4.8077381000000003E-5</v>
      </c>
      <c r="I4" s="3">
        <v>1.235826E-5</v>
      </c>
      <c r="J4" s="3">
        <v>-1.2934787E-4</v>
      </c>
      <c r="K4" s="3"/>
      <c r="L4" s="3">
        <f t="shared" ref="L4:L33" si="0">-B4/D4</f>
        <v>0.23217182337038147</v>
      </c>
      <c r="M4" s="3"/>
      <c r="N4" s="2">
        <f>IF('Modell einstellen'!$B$1="Voll",H4/0.35,H4/0.35*2)</f>
        <v>1.3736394571428574E-4</v>
      </c>
      <c r="O4" s="2">
        <f>IF('Modell einstellen'!$B$1="Voll",J4/0.35,J4/0.35*2)</f>
        <v>-3.6956534285714288E-4</v>
      </c>
      <c r="P4" s="3">
        <f t="shared" ref="P4:P33" si="1">-N4/O4</f>
        <v>0.37169055045127536</v>
      </c>
      <c r="Q4" s="3"/>
      <c r="R4" s="3"/>
      <c r="S4" s="3"/>
      <c r="T4" s="3"/>
      <c r="U4" s="3"/>
    </row>
    <row r="5" spans="1:21" x14ac:dyDescent="0.25">
      <c r="A5" s="3">
        <v>1E-13</v>
      </c>
      <c r="B5" s="3">
        <v>7.6920000000000002E-5</v>
      </c>
      <c r="C5" s="3">
        <v>1.2799999999999999E-4</v>
      </c>
      <c r="D5" s="3">
        <v>-3.3599999999999998E-4</v>
      </c>
      <c r="E5" s="3">
        <v>0</v>
      </c>
      <c r="F5" s="3">
        <v>0</v>
      </c>
      <c r="G5" s="3">
        <v>0</v>
      </c>
      <c r="H5" s="3">
        <v>4.9494674999999997E-5</v>
      </c>
      <c r="I5" s="3">
        <v>1.2636277999999999E-5</v>
      </c>
      <c r="J5" s="3">
        <v>-1.3189467999999999E-4</v>
      </c>
      <c r="K5" s="3"/>
      <c r="L5" s="3">
        <f t="shared" si="0"/>
        <v>0.22892857142857145</v>
      </c>
      <c r="M5" s="3"/>
      <c r="N5" s="2">
        <f>IF('Modell einstellen'!$B$1="Voll",H5/0.35,H5/0.35*2)</f>
        <v>1.4141335714285715E-4</v>
      </c>
      <c r="O5" s="2">
        <f>IF('Modell einstellen'!$B$1="Voll",J5/0.35,J5/0.35*2)</f>
        <v>-3.7684194285714283E-4</v>
      </c>
      <c r="P5" s="3">
        <f t="shared" si="1"/>
        <v>0.37525907034309502</v>
      </c>
      <c r="Q5" s="3"/>
      <c r="R5" s="3"/>
      <c r="S5" s="3"/>
      <c r="T5" s="3"/>
      <c r="U5" s="3"/>
    </row>
    <row r="6" spans="1:21" x14ac:dyDescent="0.25">
      <c r="A6" s="3">
        <v>9.9999999999999998E-13</v>
      </c>
      <c r="B6" s="3">
        <v>7.6340000000000004E-5</v>
      </c>
      <c r="C6" s="3">
        <v>1.3100000000000001E-4</v>
      </c>
      <c r="D6" s="3">
        <v>-3.3930000000000001E-4</v>
      </c>
      <c r="E6" s="3">
        <v>0</v>
      </c>
      <c r="F6" s="3">
        <v>0</v>
      </c>
      <c r="G6" s="3">
        <v>0</v>
      </c>
      <c r="H6" s="3">
        <v>5.1125758000000003E-5</v>
      </c>
      <c r="I6" s="3">
        <v>1.2950241000000001E-5</v>
      </c>
      <c r="J6" s="3">
        <v>-1.3480082999999999E-4</v>
      </c>
      <c r="K6" s="3"/>
      <c r="L6" s="3">
        <f t="shared" si="0"/>
        <v>0.22499263188918361</v>
      </c>
      <c r="M6" s="3"/>
      <c r="N6" s="2">
        <f>IF('Modell einstellen'!$B$1="Voll",H6/0.35,H6/0.35*2)</f>
        <v>1.4607359428571429E-4</v>
      </c>
      <c r="O6" s="2">
        <f>IF('Modell einstellen'!$B$1="Voll",J6/0.35,J6/0.35*2)</f>
        <v>-3.8514522857142853E-4</v>
      </c>
      <c r="P6" s="3">
        <f t="shared" si="1"/>
        <v>0.37926886651959046</v>
      </c>
      <c r="Q6" s="3"/>
      <c r="R6" s="3"/>
      <c r="S6" s="3"/>
      <c r="T6" s="3"/>
      <c r="U6" s="3"/>
    </row>
    <row r="7" spans="1:21" x14ac:dyDescent="0.25">
      <c r="A7" s="3">
        <v>9.9999999999999994E-12</v>
      </c>
      <c r="B7" s="3">
        <v>7.5459999999999999E-5</v>
      </c>
      <c r="C7" s="3">
        <v>1.3430000000000001E-4</v>
      </c>
      <c r="D7" s="3">
        <v>-3.4279999999999998E-4</v>
      </c>
      <c r="E7" s="3">
        <v>0</v>
      </c>
      <c r="F7" s="3">
        <v>0</v>
      </c>
      <c r="G7" s="3">
        <v>0</v>
      </c>
      <c r="H7" s="3">
        <v>5.2992146000000003E-5</v>
      </c>
      <c r="I7" s="3">
        <v>1.3300959E-5</v>
      </c>
      <c r="J7" s="3">
        <v>-1.3809076999999999E-4</v>
      </c>
      <c r="K7" s="3"/>
      <c r="L7" s="3">
        <f t="shared" si="0"/>
        <v>0.22012835472578765</v>
      </c>
      <c r="M7" s="3"/>
      <c r="N7" s="2">
        <f>IF('Modell einstellen'!$B$1="Voll",H7/0.35,H7/0.35*2)</f>
        <v>1.5140613142857146E-4</v>
      </c>
      <c r="O7" s="2">
        <f>IF('Modell einstellen'!$B$1="Voll",J7/0.35,J7/0.35*2)</f>
        <v>-3.9454505714285712E-4</v>
      </c>
      <c r="P7" s="3">
        <f t="shared" si="1"/>
        <v>0.38374864590877444</v>
      </c>
      <c r="Q7" s="3"/>
      <c r="R7" s="3"/>
      <c r="S7" s="3"/>
      <c r="T7" s="3"/>
      <c r="U7" s="3"/>
    </row>
    <row r="8" spans="1:21" x14ac:dyDescent="0.25">
      <c r="A8" s="3">
        <v>1E-10</v>
      </c>
      <c r="B8" s="3">
        <v>7.4159999999999995E-5</v>
      </c>
      <c r="C8" s="3">
        <v>1.3799999999999999E-4</v>
      </c>
      <c r="D8" s="3">
        <v>-3.4640000000000002E-4</v>
      </c>
      <c r="E8" s="3">
        <v>0</v>
      </c>
      <c r="F8" s="3">
        <v>0</v>
      </c>
      <c r="G8" s="3">
        <v>0</v>
      </c>
      <c r="H8" s="3">
        <v>5.5188281000000003E-5</v>
      </c>
      <c r="I8" s="3">
        <v>1.3702416999999999E-5</v>
      </c>
      <c r="J8" s="3">
        <v>-1.4191567000000001E-4</v>
      </c>
      <c r="K8" s="3"/>
      <c r="L8" s="3">
        <f t="shared" si="0"/>
        <v>0.21408775981524247</v>
      </c>
      <c r="M8" s="3"/>
      <c r="N8" s="2">
        <f>IF('Modell einstellen'!$B$1="Voll",H8/0.35,H8/0.35*2)</f>
        <v>1.5768080285714288E-4</v>
      </c>
      <c r="O8" s="2">
        <f>IF('Modell einstellen'!$B$1="Voll",J8/0.35,J8/0.35*2)</f>
        <v>-4.054733428571429E-4</v>
      </c>
      <c r="P8" s="3">
        <f t="shared" si="1"/>
        <v>0.38888081210482256</v>
      </c>
      <c r="Q8" s="3"/>
      <c r="R8" s="3"/>
      <c r="S8" s="3"/>
      <c r="T8" s="3"/>
      <c r="U8" s="3"/>
    </row>
    <row r="9" spans="1:21" x14ac:dyDescent="0.25">
      <c r="A9" s="3">
        <v>1.0000000000000001E-9</v>
      </c>
      <c r="B9" s="3">
        <v>7.2440000000000004E-5</v>
      </c>
      <c r="C9" s="3">
        <v>1.4190000000000001E-4</v>
      </c>
      <c r="D9" s="3">
        <v>-3.4979999999999999E-4</v>
      </c>
      <c r="E9" s="3">
        <v>0</v>
      </c>
      <c r="F9" s="3">
        <v>0</v>
      </c>
      <c r="G9" s="3">
        <v>0</v>
      </c>
      <c r="H9" s="3">
        <v>5.7539464000000002E-5</v>
      </c>
      <c r="I9" s="3">
        <v>1.4117587E-5</v>
      </c>
      <c r="J9" s="3">
        <v>-1.4595031E-4</v>
      </c>
      <c r="K9" s="3"/>
      <c r="L9" s="3">
        <f t="shared" si="0"/>
        <v>0.20708976558033163</v>
      </c>
      <c r="M9" s="3"/>
      <c r="N9" s="2">
        <f>IF('Modell einstellen'!$B$1="Voll",H9/0.35,H9/0.35*2)</f>
        <v>1.643984685714286E-4</v>
      </c>
      <c r="O9" s="2">
        <f>IF('Modell einstellen'!$B$1="Voll",J9/0.35,J9/0.35*2)</f>
        <v>-4.1700088571428577E-4</v>
      </c>
      <c r="P9" s="3">
        <f t="shared" si="1"/>
        <v>0.39424009445406455</v>
      </c>
      <c r="Q9" s="3"/>
      <c r="R9" s="3"/>
      <c r="S9" s="3"/>
      <c r="T9" s="3"/>
      <c r="U9" s="3"/>
    </row>
    <row r="10" spans="1:21" x14ac:dyDescent="0.25">
      <c r="A10" s="3">
        <v>1E-8</v>
      </c>
      <c r="B10" s="3">
        <v>7.038E-5</v>
      </c>
      <c r="C10" s="3">
        <v>1.4569999999999999E-4</v>
      </c>
      <c r="D10" s="3">
        <v>-3.5270000000000001E-4</v>
      </c>
      <c r="E10" s="3">
        <v>0</v>
      </c>
      <c r="F10" s="3">
        <v>0</v>
      </c>
      <c r="G10" s="3">
        <v>0</v>
      </c>
      <c r="H10" s="3">
        <v>5.9945326999999997E-5</v>
      </c>
      <c r="I10" s="3">
        <v>1.4528255E-5</v>
      </c>
      <c r="J10" s="3">
        <v>-1.5002066E-4</v>
      </c>
      <c r="K10" s="3"/>
      <c r="L10" s="3">
        <f t="shared" si="0"/>
        <v>0.19954635667706266</v>
      </c>
      <c r="M10" s="3"/>
      <c r="N10" s="2">
        <f>IF('Modell einstellen'!$B$1="Voll",H10/0.35,H10/0.35*2)</f>
        <v>1.7127236285714286E-4</v>
      </c>
      <c r="O10" s="2">
        <f>IF('Modell einstellen'!$B$1="Voll",J10/0.35,J10/0.35*2)</f>
        <v>-4.2863045714285715E-4</v>
      </c>
      <c r="P10" s="3">
        <f t="shared" si="1"/>
        <v>0.39958047778219347</v>
      </c>
      <c r="Q10" s="3"/>
      <c r="R10" s="3"/>
      <c r="S10" s="3"/>
      <c r="T10" s="3"/>
      <c r="U10" s="3"/>
    </row>
    <row r="11" spans="1:21" x14ac:dyDescent="0.25">
      <c r="A11" s="3">
        <v>9.9999999999999995E-8</v>
      </c>
      <c r="B11" s="3">
        <v>6.7390000000000004E-5</v>
      </c>
      <c r="C11" s="3">
        <v>1.5029999999999999E-4</v>
      </c>
      <c r="D11" s="3">
        <v>-3.5579999999999997E-4</v>
      </c>
      <c r="E11" s="3">
        <v>0</v>
      </c>
      <c r="F11" s="3">
        <v>0</v>
      </c>
      <c r="G11" s="3">
        <v>0</v>
      </c>
      <c r="H11" s="3">
        <v>6.2969661999999997E-5</v>
      </c>
      <c r="I11" s="3">
        <v>1.5025177E-5</v>
      </c>
      <c r="J11" s="3">
        <v>-1.5505879000000001E-4</v>
      </c>
      <c r="K11" s="3"/>
      <c r="L11" s="3">
        <f t="shared" si="0"/>
        <v>0.18940415964024734</v>
      </c>
      <c r="M11" s="3"/>
      <c r="N11" s="2">
        <f>IF('Modell einstellen'!$B$1="Voll",H11/0.35,H11/0.35*2)</f>
        <v>1.7991331999999999E-4</v>
      </c>
      <c r="O11" s="2">
        <f>IF('Modell einstellen'!$B$1="Voll",J11/0.35,J11/0.35*2)</f>
        <v>-4.4302511428571435E-4</v>
      </c>
      <c r="P11" s="3">
        <f t="shared" si="1"/>
        <v>0.40610185336800314</v>
      </c>
      <c r="Q11" s="3"/>
      <c r="R11" s="3"/>
      <c r="S11" s="3"/>
      <c r="T11" s="3"/>
      <c r="U11" s="3"/>
    </row>
    <row r="12" spans="1:21" x14ac:dyDescent="0.25">
      <c r="A12" s="3">
        <v>9.9999999999999995E-7</v>
      </c>
      <c r="B12" s="3">
        <v>6.2849999999999996E-5</v>
      </c>
      <c r="C12" s="3">
        <v>1.56E-4</v>
      </c>
      <c r="D12" s="3">
        <v>-3.5859999999999999E-4</v>
      </c>
      <c r="E12" s="3">
        <v>0</v>
      </c>
      <c r="F12" s="3">
        <v>0</v>
      </c>
      <c r="G12" s="3">
        <v>0</v>
      </c>
      <c r="H12" s="3">
        <v>6.6915754000000001E-5</v>
      </c>
      <c r="I12" s="3">
        <v>1.5641276E-5</v>
      </c>
      <c r="J12" s="3">
        <v>-1.6150069999999999E-4</v>
      </c>
      <c r="K12" s="3"/>
      <c r="L12" s="3">
        <f t="shared" si="0"/>
        <v>0.17526491912994979</v>
      </c>
      <c r="M12" s="3"/>
      <c r="N12" s="2">
        <f>IF('Modell einstellen'!$B$1="Voll",H12/0.35,H12/0.35*2)</f>
        <v>1.9118786857142859E-4</v>
      </c>
      <c r="O12" s="2">
        <f>IF('Modell einstellen'!$B$1="Voll",J12/0.35,J12/0.35*2)</f>
        <v>-4.6143057142857143E-4</v>
      </c>
      <c r="P12" s="3">
        <f t="shared" si="1"/>
        <v>0.41433723816676959</v>
      </c>
      <c r="Q12" s="3"/>
      <c r="R12" s="3"/>
      <c r="S12" s="3"/>
      <c r="T12" s="3"/>
      <c r="U12" s="3"/>
    </row>
    <row r="13" spans="1:21" x14ac:dyDescent="0.25">
      <c r="A13" s="3">
        <v>1.0000000000000001E-5</v>
      </c>
      <c r="B13" s="3">
        <v>5.6740000000000002E-5</v>
      </c>
      <c r="C13" s="3">
        <v>1.6200000000000001E-4</v>
      </c>
      <c r="D13" s="3">
        <v>-3.6049999999999998E-4</v>
      </c>
      <c r="E13" s="3">
        <v>0</v>
      </c>
      <c r="F13" s="3">
        <v>0</v>
      </c>
      <c r="G13" s="3">
        <v>0</v>
      </c>
      <c r="H13" s="3">
        <v>7.1473915000000001E-5</v>
      </c>
      <c r="I13" s="3">
        <v>1.6308844999999999E-5</v>
      </c>
      <c r="J13" s="3">
        <v>-1.6876166000000001E-4</v>
      </c>
      <c r="K13" s="3"/>
      <c r="L13" s="3">
        <f t="shared" si="0"/>
        <v>0.15739251040221916</v>
      </c>
      <c r="M13" s="3"/>
      <c r="N13" s="2">
        <f>IF('Modell einstellen'!$B$1="Voll",H13/0.35,H13/0.35*2)</f>
        <v>2.0421118571428573E-4</v>
      </c>
      <c r="O13" s="2">
        <f>IF('Modell einstellen'!$B$1="Voll",J13/0.35,J13/0.35*2)</f>
        <v>-4.8217617142857149E-4</v>
      </c>
      <c r="P13" s="3">
        <f t="shared" si="1"/>
        <v>0.42351986227203497</v>
      </c>
      <c r="Q13" s="3"/>
      <c r="R13" s="3"/>
      <c r="S13" s="3"/>
      <c r="T13" s="3"/>
      <c r="U13" s="3"/>
    </row>
    <row r="14" spans="1:21" x14ac:dyDescent="0.25">
      <c r="A14" s="3">
        <v>1E-4</v>
      </c>
      <c r="B14" s="3">
        <v>5.0149999999999999E-5</v>
      </c>
      <c r="C14" s="3">
        <v>1.673E-4</v>
      </c>
      <c r="D14" s="3">
        <v>-3.6089999999999999E-4</v>
      </c>
      <c r="E14" s="3">
        <v>0</v>
      </c>
      <c r="F14" s="3">
        <v>0</v>
      </c>
      <c r="G14" s="3">
        <v>0</v>
      </c>
      <c r="H14" s="3">
        <v>7.5791197000000006E-5</v>
      </c>
      <c r="I14" s="3">
        <v>1.6899811E-5</v>
      </c>
      <c r="J14" s="3">
        <v>-1.7547010000000001E-4</v>
      </c>
      <c r="K14" s="3"/>
      <c r="L14" s="3">
        <f t="shared" si="0"/>
        <v>0.13895816015516763</v>
      </c>
      <c r="M14" s="3"/>
      <c r="N14" s="2">
        <f>IF('Modell einstellen'!$B$1="Voll",H14/0.35,H14/0.35*2)</f>
        <v>2.1654627714285716E-4</v>
      </c>
      <c r="O14" s="2">
        <f>IF('Modell einstellen'!$B$1="Voll",J14/0.35,J14/0.35*2)</f>
        <v>-5.013431428571429E-4</v>
      </c>
      <c r="P14" s="3">
        <f t="shared" si="1"/>
        <v>0.43193226082392383</v>
      </c>
      <c r="Q14" s="3"/>
      <c r="R14" s="3"/>
      <c r="S14" s="3"/>
      <c r="T14" s="3"/>
      <c r="U14" s="3"/>
    </row>
    <row r="15" spans="1:21" x14ac:dyDescent="0.25">
      <c r="A15" s="3">
        <v>1E-3</v>
      </c>
      <c r="B15" s="3">
        <v>4.3010000000000003E-5</v>
      </c>
      <c r="C15" s="3">
        <v>1.7220000000000001E-4</v>
      </c>
      <c r="D15" s="3">
        <v>-3.6019999999999997E-4</v>
      </c>
      <c r="E15" s="3">
        <v>0</v>
      </c>
      <c r="F15" s="3">
        <v>0</v>
      </c>
      <c r="G15" s="3">
        <v>0</v>
      </c>
      <c r="H15" s="3">
        <v>8.0073309000000003E-5</v>
      </c>
      <c r="I15" s="3">
        <v>1.7453428000000001E-5</v>
      </c>
      <c r="J15" s="3">
        <v>-1.8199165E-4</v>
      </c>
      <c r="K15" s="3"/>
      <c r="L15" s="3">
        <f t="shared" si="0"/>
        <v>0.11940588561910052</v>
      </c>
      <c r="M15" s="3"/>
      <c r="N15" s="2">
        <f>IF('Modell einstellen'!$B$1="Voll",H15/0.35,H15/0.35*2)</f>
        <v>2.2878088285714288E-4</v>
      </c>
      <c r="O15" s="2">
        <f>IF('Modell einstellen'!$B$1="Voll",J15/0.35,J15/0.35*2)</f>
        <v>-5.199761428571429E-4</v>
      </c>
      <c r="P15" s="3">
        <f t="shared" si="1"/>
        <v>0.43998342231635351</v>
      </c>
      <c r="Q15" s="3"/>
      <c r="R15" s="3"/>
      <c r="S15" s="3"/>
      <c r="T15" s="3"/>
      <c r="U15" s="3"/>
    </row>
    <row r="16" spans="1:21" x14ac:dyDescent="0.25">
      <c r="A16" s="3">
        <v>0.01</v>
      </c>
      <c r="B16" s="3">
        <v>3.451E-5</v>
      </c>
      <c r="C16" s="3">
        <v>1.773E-4</v>
      </c>
      <c r="D16" s="3">
        <v>-3.5829999999999998E-4</v>
      </c>
      <c r="E16" s="3">
        <v>0</v>
      </c>
      <c r="F16" s="3">
        <v>0</v>
      </c>
      <c r="G16" s="3">
        <v>0</v>
      </c>
      <c r="H16" s="3">
        <v>8.4771463999999995E-5</v>
      </c>
      <c r="I16" s="3">
        <v>1.8024054E-5</v>
      </c>
      <c r="J16" s="3">
        <v>-1.8899739000000001E-4</v>
      </c>
      <c r="K16" s="3"/>
      <c r="L16" s="3">
        <f t="shared" si="0"/>
        <v>9.6315936366173596E-2</v>
      </c>
      <c r="M16" s="3"/>
      <c r="N16" s="2">
        <f>IF('Modell einstellen'!$B$1="Voll",H16/0.35,H16/0.35*2)</f>
        <v>2.4220418285714285E-4</v>
      </c>
      <c r="O16" s="2">
        <f>IF('Modell einstellen'!$B$1="Voll",J16/0.35,J16/0.35*2)</f>
        <v>-5.3999254285714291E-4</v>
      </c>
      <c r="P16" s="3">
        <f t="shared" si="1"/>
        <v>0.44853245856993046</v>
      </c>
      <c r="Q16" s="3"/>
      <c r="R16" s="3"/>
      <c r="S16" s="3"/>
      <c r="T16" s="3"/>
      <c r="U16" s="3"/>
    </row>
    <row r="17" spans="1:21" x14ac:dyDescent="0.25">
      <c r="A17" s="3">
        <v>0.1</v>
      </c>
      <c r="B17" s="3">
        <v>2.419E-5</v>
      </c>
      <c r="C17" s="3">
        <v>1.8249999999999999E-4</v>
      </c>
      <c r="D17" s="3">
        <v>-3.5500000000000001E-4</v>
      </c>
      <c r="E17" s="3">
        <v>0</v>
      </c>
      <c r="F17" s="3">
        <v>0</v>
      </c>
      <c r="G17" s="3">
        <v>0</v>
      </c>
      <c r="H17" s="3">
        <v>9.0081130999999999E-5</v>
      </c>
      <c r="I17" s="3">
        <v>1.8629878999999998E-5</v>
      </c>
      <c r="J17" s="3">
        <v>-1.9675481000000001E-4</v>
      </c>
      <c r="K17" s="3"/>
      <c r="L17" s="3">
        <f t="shared" si="0"/>
        <v>6.8140845070422534E-2</v>
      </c>
      <c r="M17" s="3"/>
      <c r="N17" s="2">
        <f>IF('Modell einstellen'!$B$1="Voll",H17/0.35,H17/0.35*2)</f>
        <v>2.5737466000000001E-4</v>
      </c>
      <c r="O17" s="2">
        <f>IF('Modell einstellen'!$B$1="Voll",J17/0.35,J17/0.35*2)</f>
        <v>-5.6215660000000006E-4</v>
      </c>
      <c r="P17" s="3">
        <f t="shared" si="1"/>
        <v>0.4578344539582031</v>
      </c>
      <c r="Q17" s="3"/>
      <c r="R17" s="3"/>
      <c r="S17" s="3"/>
      <c r="T17" s="3"/>
      <c r="U17" s="3"/>
    </row>
    <row r="18" spans="1:21" x14ac:dyDescent="0.25">
      <c r="A18" s="3">
        <v>1</v>
      </c>
      <c r="B18" s="3">
        <v>1.2449999999999999E-5</v>
      </c>
      <c r="C18" s="3">
        <v>1.8799999999999999E-4</v>
      </c>
      <c r="D18" s="3">
        <v>-3.503E-4</v>
      </c>
      <c r="E18" s="3">
        <v>0</v>
      </c>
      <c r="F18" s="3">
        <v>0</v>
      </c>
      <c r="G18" s="3">
        <v>0</v>
      </c>
      <c r="H18" s="3">
        <v>9.5830966999999994E-5</v>
      </c>
      <c r="I18" s="3">
        <v>1.9259591E-5</v>
      </c>
      <c r="J18" s="3">
        <v>-2.0503179000000001E-4</v>
      </c>
      <c r="K18" s="3"/>
      <c r="L18" s="3">
        <f t="shared" si="0"/>
        <v>3.5540964887239505E-2</v>
      </c>
      <c r="M18" s="3"/>
      <c r="N18" s="2">
        <f>IF('Modell einstellen'!$B$1="Voll",H18/0.35,H18/0.35*2)</f>
        <v>2.7380276285714287E-4</v>
      </c>
      <c r="O18" s="2">
        <f>IF('Modell einstellen'!$B$1="Voll",J18/0.35,J18/0.35*2)</f>
        <v>-5.8580511428571436E-4</v>
      </c>
      <c r="P18" s="3">
        <f t="shared" si="1"/>
        <v>0.46739565118170207</v>
      </c>
      <c r="Q18" s="3"/>
      <c r="R18" s="3"/>
      <c r="S18" s="3"/>
      <c r="T18" s="3"/>
      <c r="U18" s="3"/>
    </row>
    <row r="19" spans="1:21" x14ac:dyDescent="0.25">
      <c r="A19" s="3">
        <v>10</v>
      </c>
      <c r="B19" s="3">
        <v>-5.2470000000000003E-7</v>
      </c>
      <c r="C19" s="3">
        <v>1.962E-4</v>
      </c>
      <c r="D19" s="3">
        <v>-3.4719999999999998E-4</v>
      </c>
      <c r="E19" s="3">
        <v>0</v>
      </c>
      <c r="F19" s="3">
        <v>0</v>
      </c>
      <c r="G19" s="3">
        <v>0</v>
      </c>
      <c r="H19" s="3">
        <v>1.0319301E-4</v>
      </c>
      <c r="I19" s="3">
        <v>2.0233285000000001E-5</v>
      </c>
      <c r="J19" s="3">
        <v>-2.1614269000000001E-4</v>
      </c>
      <c r="K19" s="3"/>
      <c r="L19" s="3">
        <f t="shared" si="0"/>
        <v>-1.5112327188940094E-3</v>
      </c>
      <c r="M19" s="3"/>
      <c r="N19" s="2">
        <f>IF('Modell einstellen'!$B$1="Voll",H19/0.35,H19/0.35*2)</f>
        <v>2.9483717142857142E-4</v>
      </c>
      <c r="O19" s="2">
        <f>IF('Modell einstellen'!$B$1="Voll",J19/0.35,J19/0.35*2)</f>
        <v>-6.1755054285714294E-4</v>
      </c>
      <c r="P19" s="3">
        <f t="shared" si="1"/>
        <v>0.47743002550768654</v>
      </c>
      <c r="Q19" s="3"/>
      <c r="R19" s="3"/>
      <c r="S19" s="3"/>
      <c r="T19" s="3"/>
      <c r="U19" s="3"/>
    </row>
    <row r="20" spans="1:21" x14ac:dyDescent="0.25">
      <c r="A20" s="3">
        <v>100</v>
      </c>
      <c r="B20" s="3">
        <v>-3.6909999999999999E-6</v>
      </c>
      <c r="C20" s="3">
        <v>2.1780000000000001E-4</v>
      </c>
      <c r="D20" s="3">
        <v>-3.659E-4</v>
      </c>
      <c r="E20" s="3">
        <v>0</v>
      </c>
      <c r="F20" s="3">
        <v>0</v>
      </c>
      <c r="G20" s="3">
        <v>0</v>
      </c>
      <c r="H20" s="3">
        <v>1.1382526000000001E-4</v>
      </c>
      <c r="I20" s="3">
        <v>2.2823466999999999E-5</v>
      </c>
      <c r="J20" s="3">
        <v>-2.3607996999999999E-4</v>
      </c>
      <c r="K20" s="3"/>
      <c r="L20" s="3">
        <f t="shared" si="0"/>
        <v>-1.0087455588958731E-2</v>
      </c>
      <c r="M20" s="3"/>
      <c r="N20" s="2">
        <f>IF('Modell einstellen'!$B$1="Voll",H20/0.35,H20/0.35*2)</f>
        <v>3.252150285714286E-4</v>
      </c>
      <c r="O20" s="2">
        <f>IF('Modell einstellen'!$B$1="Voll",J20/0.35,J20/0.35*2)</f>
        <v>-6.7451420000000004E-4</v>
      </c>
      <c r="P20" s="3">
        <f t="shared" si="1"/>
        <v>0.48214704534230501</v>
      </c>
      <c r="Q20" s="3"/>
      <c r="R20" s="3"/>
      <c r="S20" s="3"/>
      <c r="T20" s="3"/>
      <c r="U20" s="3"/>
    </row>
    <row r="21" spans="1:21" x14ac:dyDescent="0.25">
      <c r="A21" s="3">
        <v>1000</v>
      </c>
      <c r="B21" s="3">
        <v>1.6229999999999999E-5</v>
      </c>
      <c r="C21" s="3">
        <v>2.631E-4</v>
      </c>
      <c r="D21" s="3">
        <v>-4.2870000000000001E-4</v>
      </c>
      <c r="E21" s="3">
        <v>0</v>
      </c>
      <c r="F21" s="3">
        <v>0</v>
      </c>
      <c r="G21" s="3">
        <v>0</v>
      </c>
      <c r="H21" s="3">
        <v>1.2880958000000001E-4</v>
      </c>
      <c r="I21" s="3">
        <v>2.8440001000000002E-5</v>
      </c>
      <c r="J21" s="3">
        <v>-2.7085371999999999E-4</v>
      </c>
      <c r="K21" s="3"/>
      <c r="L21" s="3">
        <f t="shared" si="0"/>
        <v>3.7858642407277814E-2</v>
      </c>
      <c r="M21" s="3"/>
      <c r="N21" s="2">
        <f>IF('Modell einstellen'!$B$1="Voll",H21/0.35,H21/0.35*2)</f>
        <v>3.6802737142857149E-4</v>
      </c>
      <c r="O21" s="2">
        <f>IF('Modell einstellen'!$B$1="Voll",J21/0.35,J21/0.35*2)</f>
        <v>-7.7386777142857144E-4</v>
      </c>
      <c r="P21" s="3">
        <f t="shared" si="1"/>
        <v>0.47556880518384614</v>
      </c>
      <c r="Q21" s="3"/>
      <c r="R21" s="3"/>
      <c r="S21" s="3"/>
      <c r="T21" s="3"/>
      <c r="U21" s="3"/>
    </row>
    <row r="22" spans="1:21" x14ac:dyDescent="0.25">
      <c r="A22" s="3">
        <v>10000</v>
      </c>
      <c r="B22" s="3">
        <v>3.9629999999999998E-5</v>
      </c>
      <c r="C22" s="3">
        <v>3.2489999999999998E-4</v>
      </c>
      <c r="D22" s="3">
        <v>-5.1110000000000001E-4</v>
      </c>
      <c r="E22" s="3">
        <v>0</v>
      </c>
      <c r="F22" s="3">
        <v>0</v>
      </c>
      <c r="G22" s="3">
        <v>0</v>
      </c>
      <c r="H22" s="3">
        <v>1.4833747999999999E-4</v>
      </c>
      <c r="I22" s="3">
        <v>3.6479283000000002E-5</v>
      </c>
      <c r="J22" s="3">
        <v>-3.1887689999999998E-4</v>
      </c>
      <c r="K22" s="3"/>
      <c r="L22" s="3">
        <f t="shared" si="0"/>
        <v>7.7538642144394432E-2</v>
      </c>
      <c r="M22" s="3"/>
      <c r="N22" s="2">
        <f>IF('Modell einstellen'!$B$1="Voll",H22/0.35,H22/0.35*2)</f>
        <v>4.2382137142857145E-4</v>
      </c>
      <c r="O22" s="2">
        <f>IF('Modell einstellen'!$B$1="Voll",J22/0.35,J22/0.35*2)</f>
        <v>-9.1107685714285716E-4</v>
      </c>
      <c r="P22" s="3">
        <f t="shared" si="1"/>
        <v>0.46518728700636519</v>
      </c>
      <c r="Q22" s="3"/>
      <c r="R22" s="3"/>
      <c r="S22" s="3"/>
      <c r="T22" s="3"/>
      <c r="U22" s="3"/>
    </row>
    <row r="23" spans="1:21" x14ac:dyDescent="0.25">
      <c r="A23" s="3">
        <v>100000</v>
      </c>
      <c r="B23" s="3">
        <v>4.4780000000000002E-5</v>
      </c>
      <c r="C23" s="3">
        <v>3.9800000000000002E-4</v>
      </c>
      <c r="D23" s="3">
        <v>-5.8770000000000003E-4</v>
      </c>
      <c r="E23" s="3">
        <v>0</v>
      </c>
      <c r="F23" s="3">
        <v>0</v>
      </c>
      <c r="G23" s="3">
        <v>0</v>
      </c>
      <c r="H23" s="3">
        <v>1.7455638E-4</v>
      </c>
      <c r="I23" s="3">
        <v>4.6553130000000002E-5</v>
      </c>
      <c r="J23" s="3">
        <v>-3.8126141999999998E-4</v>
      </c>
      <c r="K23" s="3"/>
      <c r="L23" s="3">
        <f t="shared" si="0"/>
        <v>7.6195337757359191E-2</v>
      </c>
      <c r="M23" s="3"/>
      <c r="N23" s="2">
        <f>IF('Modell einstellen'!$B$1="Voll",H23/0.35,H23/0.35*2)</f>
        <v>4.9873251428571427E-4</v>
      </c>
      <c r="O23" s="2">
        <f>IF('Modell einstellen'!$B$1="Voll",J23/0.35,J23/0.35*2)</f>
        <v>-1.0893183428571428E-3</v>
      </c>
      <c r="P23" s="3">
        <f t="shared" si="1"/>
        <v>0.45783908584298932</v>
      </c>
      <c r="Q23" s="3"/>
      <c r="R23" s="3"/>
      <c r="S23" s="3"/>
      <c r="T23" s="3"/>
      <c r="U23" s="3"/>
    </row>
    <row r="24" spans="1:21" x14ac:dyDescent="0.25">
      <c r="A24" s="3">
        <v>1000000</v>
      </c>
      <c r="B24" s="3">
        <v>7.9310000000000008E-6</v>
      </c>
      <c r="C24" s="3">
        <v>4.8879999999999996E-4</v>
      </c>
      <c r="D24" s="3">
        <v>-6.4190000000000004E-4</v>
      </c>
      <c r="E24" s="3">
        <v>0</v>
      </c>
      <c r="F24" s="3">
        <v>0</v>
      </c>
      <c r="G24" s="3">
        <v>0</v>
      </c>
      <c r="H24" s="3">
        <v>2.131713E-4</v>
      </c>
      <c r="I24" s="3">
        <v>5.9943830999999998E-5</v>
      </c>
      <c r="J24" s="3">
        <v>-4.6848381000000002E-4</v>
      </c>
      <c r="K24" s="3"/>
      <c r="L24" s="3">
        <f t="shared" si="0"/>
        <v>1.2355507088331516E-2</v>
      </c>
      <c r="M24" s="3"/>
      <c r="N24" s="2">
        <f>IF('Modell einstellen'!$B$1="Voll",H24/0.35,H24/0.35*2)</f>
        <v>6.0906085714285715E-4</v>
      </c>
      <c r="O24" s="2">
        <f>IF('Modell einstellen'!$B$1="Voll",J24/0.35,J24/0.35*2)</f>
        <v>-1.3385251714285716E-3</v>
      </c>
      <c r="P24" s="3">
        <f t="shared" si="1"/>
        <v>0.45502383529539681</v>
      </c>
      <c r="Q24" s="3"/>
      <c r="R24" s="3"/>
      <c r="S24" s="3"/>
      <c r="T24" s="3"/>
      <c r="U24" s="3"/>
    </row>
    <row r="25" spans="1:21" x14ac:dyDescent="0.25">
      <c r="A25" s="3">
        <v>10000000</v>
      </c>
      <c r="B25" s="3">
        <v>-1.154E-4</v>
      </c>
      <c r="C25" s="3">
        <v>6.1669999999999997E-4</v>
      </c>
      <c r="D25" s="3">
        <v>-6.4840000000000004E-4</v>
      </c>
      <c r="E25" s="3">
        <v>0</v>
      </c>
      <c r="F25" s="3">
        <v>0</v>
      </c>
      <c r="G25" s="3">
        <v>0</v>
      </c>
      <c r="H25" s="3">
        <v>2.7618981E-4</v>
      </c>
      <c r="I25" s="3">
        <v>8.0056229999999996E-5</v>
      </c>
      <c r="J25" s="3">
        <v>-6.0494827999999997E-4</v>
      </c>
      <c r="K25" s="3"/>
      <c r="L25" s="3">
        <f t="shared" si="0"/>
        <v>-0.17797655768044415</v>
      </c>
      <c r="M25" s="3"/>
      <c r="N25" s="2">
        <f>IF('Modell einstellen'!$B$1="Voll",H25/0.35,H25/0.35*2)</f>
        <v>7.8911374285714291E-4</v>
      </c>
      <c r="O25" s="2">
        <f>IF('Modell einstellen'!$B$1="Voll",J25/0.35,J25/0.35*2)</f>
        <v>-1.7284236571428573E-3</v>
      </c>
      <c r="P25" s="3">
        <f t="shared" si="1"/>
        <v>0.45655111210498855</v>
      </c>
      <c r="Q25" s="3"/>
      <c r="R25" s="3"/>
      <c r="S25" s="3"/>
      <c r="T25" s="3"/>
      <c r="U25" s="3"/>
    </row>
    <row r="26" spans="1:21" x14ac:dyDescent="0.25">
      <c r="A26" s="3">
        <v>100000000</v>
      </c>
      <c r="B26" s="3">
        <v>-3.9740000000000001E-4</v>
      </c>
      <c r="C26" s="3">
        <v>8.0789999999999996E-4</v>
      </c>
      <c r="D26" s="3">
        <v>-5.5999999999999995E-4</v>
      </c>
      <c r="E26" s="3">
        <v>0</v>
      </c>
      <c r="F26" s="3">
        <v>0</v>
      </c>
      <c r="G26" s="3">
        <v>0</v>
      </c>
      <c r="H26" s="3">
        <v>3.7932374000000001E-4</v>
      </c>
      <c r="I26" s="3">
        <v>1.1183627E-4</v>
      </c>
      <c r="J26" s="3">
        <v>-8.2424904000000005E-4</v>
      </c>
      <c r="K26" s="3"/>
      <c r="L26" s="3">
        <f t="shared" si="0"/>
        <v>-0.70964285714285724</v>
      </c>
      <c r="M26" s="3"/>
      <c r="N26" s="2">
        <f>IF('Modell einstellen'!$B$1="Voll",H26/0.35,H26/0.35*2)</f>
        <v>1.0837821142857143E-3</v>
      </c>
      <c r="O26" s="2">
        <f>IF('Modell einstellen'!$B$1="Voll",J26/0.35,J26/0.35*2)</f>
        <v>-2.3549972571428575E-3</v>
      </c>
      <c r="P26" s="3">
        <f t="shared" si="1"/>
        <v>0.46020525544075847</v>
      </c>
      <c r="Q26" s="3"/>
      <c r="R26" s="3"/>
      <c r="S26" s="3"/>
      <c r="T26" s="3"/>
      <c r="U26" s="3"/>
    </row>
    <row r="27" spans="1:21" x14ac:dyDescent="0.25">
      <c r="A27" s="3">
        <v>1000000000</v>
      </c>
      <c r="B27" s="3">
        <v>-8.7940000000000002E-4</v>
      </c>
      <c r="C27" s="3">
        <v>1.073E-3</v>
      </c>
      <c r="D27" s="3">
        <v>-3.4529999999999999E-4</v>
      </c>
      <c r="E27" s="3">
        <v>0</v>
      </c>
      <c r="F27" s="3">
        <v>0</v>
      </c>
      <c r="G27" s="3">
        <v>0</v>
      </c>
      <c r="H27" s="3">
        <v>5.2803705999999995E-4</v>
      </c>
      <c r="I27" s="3">
        <v>1.5758047000000001E-4</v>
      </c>
      <c r="J27" s="3">
        <v>-1.1399318999999999E-3</v>
      </c>
      <c r="K27" s="3"/>
      <c r="L27" s="3">
        <f t="shared" si="0"/>
        <v>-2.5467709238343472</v>
      </c>
      <c r="M27" s="3"/>
      <c r="N27" s="2">
        <f>IF('Modell einstellen'!$B$1="Voll",H27/0.35,H27/0.35*2)</f>
        <v>1.5086773142857141E-3</v>
      </c>
      <c r="O27" s="2">
        <f>IF('Modell einstellen'!$B$1="Voll",J27/0.35,J27/0.35*2)</f>
        <v>-3.2569482857142855E-3</v>
      </c>
      <c r="P27" s="3">
        <f t="shared" si="1"/>
        <v>0.4632180746937602</v>
      </c>
      <c r="Q27" s="3"/>
      <c r="R27" s="3"/>
      <c r="S27" s="3"/>
      <c r="T27" s="3"/>
      <c r="U27" s="3"/>
    </row>
    <row r="28" spans="1:21" x14ac:dyDescent="0.25">
      <c r="A28" s="3">
        <v>10000000000</v>
      </c>
      <c r="B28" s="3">
        <v>-1.5100000000000001E-3</v>
      </c>
      <c r="C28" s="3">
        <v>1.3929999999999999E-3</v>
      </c>
      <c r="D28" s="3">
        <v>-3.481E-5</v>
      </c>
      <c r="E28" s="3">
        <v>0</v>
      </c>
      <c r="F28" s="3">
        <v>0</v>
      </c>
      <c r="G28" s="3">
        <v>0</v>
      </c>
      <c r="H28" s="3">
        <v>7.0742853999999997E-4</v>
      </c>
      <c r="I28" s="3">
        <v>2.1389018000000001E-4</v>
      </c>
      <c r="J28" s="3">
        <v>-1.5243534999999999E-3</v>
      </c>
      <c r="K28" s="3"/>
      <c r="L28" s="3">
        <f t="shared" si="0"/>
        <v>-43.378339557598395</v>
      </c>
      <c r="M28" s="3"/>
      <c r="N28" s="2">
        <f>IF('Modell einstellen'!$B$1="Voll",H28/0.35,H28/0.35*2)</f>
        <v>2.0212244E-3</v>
      </c>
      <c r="O28" s="2">
        <f>IF('Modell einstellen'!$B$1="Voll",J28/0.35,J28/0.35*2)</f>
        <v>-4.3552957142857143E-3</v>
      </c>
      <c r="P28" s="3">
        <f t="shared" si="1"/>
        <v>0.46408430852817278</v>
      </c>
      <c r="Q28" s="3"/>
      <c r="R28" s="3"/>
      <c r="S28" s="3"/>
      <c r="T28" s="3"/>
      <c r="U28" s="3"/>
    </row>
    <row r="29" spans="1:21" x14ac:dyDescent="0.25">
      <c r="A29" s="3">
        <v>100000000000</v>
      </c>
      <c r="B29" s="3">
        <v>-2.0279999999999999E-3</v>
      </c>
      <c r="C29" s="3">
        <v>1.665E-3</v>
      </c>
      <c r="D29" s="3">
        <v>2.0990000000000001E-4</v>
      </c>
      <c r="E29" s="3">
        <v>0</v>
      </c>
      <c r="F29" s="3">
        <v>0</v>
      </c>
      <c r="G29" s="3">
        <v>0</v>
      </c>
      <c r="H29" s="3">
        <v>8.5224786999999998E-4</v>
      </c>
      <c r="I29" s="3">
        <v>2.6251779999999998E-4</v>
      </c>
      <c r="J29" s="3">
        <v>-1.8457802000000001E-3</v>
      </c>
      <c r="K29" s="3"/>
      <c r="L29" s="3">
        <f t="shared" si="0"/>
        <v>9.6617436874702225</v>
      </c>
      <c r="M29" s="3"/>
      <c r="N29" s="2">
        <f>IF('Modell einstellen'!$B$1="Voll",H29/0.35,H29/0.35*2)</f>
        <v>2.4349939142857143E-3</v>
      </c>
      <c r="O29" s="2">
        <f>IF('Modell einstellen'!$B$1="Voll",J29/0.35,J29/0.35*2)</f>
        <v>-5.2736577142857149E-3</v>
      </c>
      <c r="P29" s="3">
        <f t="shared" si="1"/>
        <v>0.4617277127579979</v>
      </c>
      <c r="Q29" s="3"/>
      <c r="R29" s="3"/>
      <c r="S29" s="3"/>
      <c r="T29" s="3"/>
      <c r="U29" s="3"/>
    </row>
    <row r="30" spans="1:21" x14ac:dyDescent="0.25">
      <c r="A30" s="3">
        <v>1000000000000</v>
      </c>
      <c r="B30" s="3">
        <v>-2.3809999999999999E-3</v>
      </c>
      <c r="C30" s="3">
        <v>1.864E-3</v>
      </c>
      <c r="D30" s="3">
        <v>3.637E-4</v>
      </c>
      <c r="E30" s="3">
        <v>0</v>
      </c>
      <c r="F30" s="3">
        <v>0</v>
      </c>
      <c r="G30" s="3">
        <v>0</v>
      </c>
      <c r="H30" s="3">
        <v>9.5255473E-4</v>
      </c>
      <c r="I30" s="3">
        <v>2.9830638000000003E-4</v>
      </c>
      <c r="J30" s="3">
        <v>-2.0758319000000001E-3</v>
      </c>
      <c r="K30" s="3"/>
      <c r="L30" s="3">
        <f t="shared" si="0"/>
        <v>6.5466043442397579</v>
      </c>
      <c r="M30" s="3"/>
      <c r="N30" s="2">
        <f>IF('Modell einstellen'!$B$1="Voll",H30/0.35,H30/0.35*2)</f>
        <v>2.721584942857143E-3</v>
      </c>
      <c r="O30" s="2">
        <f>IF('Modell einstellen'!$B$1="Voll",J30/0.35,J30/0.35*2)</f>
        <v>-5.9309482857142866E-3</v>
      </c>
      <c r="P30" s="3">
        <f t="shared" si="1"/>
        <v>0.45887854888442553</v>
      </c>
      <c r="Q30" s="3"/>
      <c r="R30" s="3"/>
      <c r="S30" s="3"/>
      <c r="T30" s="3"/>
      <c r="U30" s="3"/>
    </row>
    <row r="31" spans="1:21" x14ac:dyDescent="0.25">
      <c r="A31" s="3">
        <v>10000000000000</v>
      </c>
      <c r="B31" s="3">
        <v>-2.5790000000000001E-3</v>
      </c>
      <c r="C31" s="3">
        <v>1.9880000000000002E-3</v>
      </c>
      <c r="D31" s="3">
        <v>4.3800000000000002E-4</v>
      </c>
      <c r="E31" s="3">
        <v>0</v>
      </c>
      <c r="F31" s="3">
        <v>0</v>
      </c>
      <c r="G31" s="3">
        <v>0</v>
      </c>
      <c r="H31" s="3">
        <v>1.0118315999999999E-3</v>
      </c>
      <c r="I31" s="3">
        <v>3.2069413999999999E-4</v>
      </c>
      <c r="J31" s="3">
        <v>-2.2161756000000001E-3</v>
      </c>
      <c r="K31" s="3"/>
      <c r="L31" s="3">
        <f t="shared" si="0"/>
        <v>5.8881278538812785</v>
      </c>
      <c r="M31" s="3"/>
      <c r="N31" s="2">
        <f>IF('Modell einstellen'!$B$1="Voll",H31/0.35,H31/0.35*2)</f>
        <v>2.8909474285714284E-3</v>
      </c>
      <c r="O31" s="2">
        <f>IF('Modell einstellen'!$B$1="Voll",J31/0.35,J31/0.35*2)</f>
        <v>-6.3319302857142868E-3</v>
      </c>
      <c r="P31" s="3">
        <f t="shared" si="1"/>
        <v>0.45656652839242512</v>
      </c>
      <c r="Q31" s="3"/>
      <c r="R31" s="3"/>
      <c r="S31" s="3"/>
      <c r="T31" s="3"/>
      <c r="U31" s="3"/>
    </row>
    <row r="32" spans="1:21" x14ac:dyDescent="0.25">
      <c r="A32" s="3">
        <v>100000000000000</v>
      </c>
      <c r="B32" s="3">
        <v>-2.761E-3</v>
      </c>
      <c r="C32" s="3">
        <v>2.0569999999999998E-3</v>
      </c>
      <c r="D32" s="3">
        <v>5.5130000000000001E-4</v>
      </c>
      <c r="E32" s="3">
        <v>0</v>
      </c>
      <c r="F32" s="3">
        <v>0</v>
      </c>
      <c r="G32" s="3">
        <v>0</v>
      </c>
      <c r="H32" s="3">
        <v>1.0605632999999999E-3</v>
      </c>
      <c r="I32" s="3">
        <v>3.3342954000000001E-4</v>
      </c>
      <c r="J32" s="3">
        <v>-2.3108876E-3</v>
      </c>
      <c r="K32" s="3"/>
      <c r="L32" s="3">
        <f t="shared" si="0"/>
        <v>5.0081625249410484</v>
      </c>
      <c r="M32" s="3"/>
      <c r="N32" s="2">
        <f>IF('Modell einstellen'!$B$1="Voll",H32/0.35,H32/0.35*2)</f>
        <v>3.0301808571428571E-3</v>
      </c>
      <c r="O32" s="2">
        <f>IF('Modell einstellen'!$B$1="Voll",J32/0.35,J32/0.35*2)</f>
        <v>-6.602536E-3</v>
      </c>
      <c r="P32" s="3">
        <f t="shared" si="1"/>
        <v>0.45894196671443471</v>
      </c>
      <c r="Q32" s="3"/>
      <c r="R32" s="3"/>
      <c r="S32" s="3"/>
      <c r="T32" s="3"/>
      <c r="U32" s="3"/>
    </row>
    <row r="33" spans="1:21" x14ac:dyDescent="0.25">
      <c r="A33" s="2">
        <v>1000000000000000</v>
      </c>
      <c r="B33" s="3">
        <v>-2.7950000000000002E-3</v>
      </c>
      <c r="C33" s="3">
        <v>2.127E-3</v>
      </c>
      <c r="D33" s="3">
        <v>5.1559999999999996E-4</v>
      </c>
      <c r="E33" s="3">
        <v>0</v>
      </c>
      <c r="F33" s="3">
        <v>0</v>
      </c>
      <c r="G33" s="3">
        <v>0</v>
      </c>
      <c r="H33" s="3">
        <v>1.0794324999999999E-3</v>
      </c>
      <c r="I33" s="3">
        <v>3.4596772000000003E-4</v>
      </c>
      <c r="J33" s="3">
        <v>-2.3751966000000002E-3</v>
      </c>
      <c r="K33" s="3"/>
      <c r="L33" s="3">
        <f t="shared" si="0"/>
        <v>5.420868890612879</v>
      </c>
      <c r="M33" s="3"/>
      <c r="N33" s="2">
        <f>IF('Modell einstellen'!$B$1="Voll",H33/0.35,H33/0.35*2)</f>
        <v>3.0840928571428572E-3</v>
      </c>
      <c r="O33" s="2">
        <f>IF('Modell einstellen'!$B$1="Voll",J33/0.35,J33/0.35*2)</f>
        <v>-6.7862760000000008E-3</v>
      </c>
      <c r="P33" s="3">
        <f t="shared" si="1"/>
        <v>0.45446027499365732</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7.9200000000000001E-5</v>
      </c>
      <c r="C3" s="3">
        <v>1.261E-4</v>
      </c>
      <c r="D3" s="3">
        <v>-3.3530000000000002E-4</v>
      </c>
      <c r="E3" s="3">
        <v>0</v>
      </c>
      <c r="F3" s="3">
        <v>0</v>
      </c>
      <c r="G3" s="3">
        <v>0</v>
      </c>
      <c r="H3" s="3">
        <v>4.8222763999999997E-5</v>
      </c>
      <c r="I3" s="3">
        <v>1.244681E-5</v>
      </c>
      <c r="J3" s="3">
        <v>-1.2985730000000001E-4</v>
      </c>
      <c r="K3" s="2"/>
      <c r="L3" s="3"/>
      <c r="M3" s="3"/>
      <c r="N3" s="2">
        <f>IF('Modell einstellen'!$B$1="Voll",H3/0.35,H3/0.35*2)</f>
        <v>1.3777932571428571E-4</v>
      </c>
      <c r="O3" s="2">
        <f>IF('Modell einstellen'!$B$1="Voll",J3/0.35,J3/0.35*2)</f>
        <v>-3.7102085714285719E-4</v>
      </c>
      <c r="P3" s="3">
        <f>-N3/O3</f>
        <v>0.37135196866098397</v>
      </c>
      <c r="Q3" s="3"/>
      <c r="R3" s="3"/>
      <c r="S3" s="3"/>
      <c r="T3" s="3"/>
      <c r="U3" s="3"/>
    </row>
    <row r="4" spans="1:21" x14ac:dyDescent="0.25">
      <c r="A4" s="3">
        <v>1E-14</v>
      </c>
      <c r="B4" s="3">
        <v>7.8809999999999999E-5</v>
      </c>
      <c r="C4" s="3">
        <v>1.295E-4</v>
      </c>
      <c r="D4" s="3">
        <v>-3.3940000000000001E-4</v>
      </c>
      <c r="E4" s="3">
        <v>0</v>
      </c>
      <c r="F4" s="3">
        <v>0</v>
      </c>
      <c r="G4" s="3">
        <v>0</v>
      </c>
      <c r="H4" s="3">
        <v>5.0036939000000002E-5</v>
      </c>
      <c r="I4" s="3">
        <v>1.2806700000000001E-5</v>
      </c>
      <c r="J4" s="3">
        <v>-1.3312065999999999E-4</v>
      </c>
      <c r="K4" s="2"/>
      <c r="L4" s="3"/>
      <c r="M4" s="3"/>
      <c r="N4" s="2">
        <f>IF('Modell einstellen'!$B$1="Voll",H4/0.35,H4/0.35*2)</f>
        <v>1.4296268285714288E-4</v>
      </c>
      <c r="O4" s="2">
        <f>IF('Modell einstellen'!$B$1="Voll",J4/0.35,J4/0.35*2)</f>
        <v>-3.8034474285714284E-4</v>
      </c>
      <c r="P4" s="3">
        <f t="shared" ref="P4:P33" si="0">-N4/O4</f>
        <v>0.37587658444602068</v>
      </c>
      <c r="Q4" s="3"/>
      <c r="R4" s="3"/>
      <c r="S4" s="3"/>
      <c r="T4" s="3"/>
      <c r="U4" s="3"/>
    </row>
    <row r="5" spans="1:21" x14ac:dyDescent="0.25">
      <c r="A5" s="3">
        <v>1E-13</v>
      </c>
      <c r="B5" s="3">
        <v>7.8209999999999998E-5</v>
      </c>
      <c r="C5" s="3">
        <v>1.327E-4</v>
      </c>
      <c r="D5" s="3">
        <v>-3.4299999999999999E-4</v>
      </c>
      <c r="E5" s="3">
        <v>0</v>
      </c>
      <c r="F5" s="3">
        <v>0</v>
      </c>
      <c r="G5" s="3">
        <v>0</v>
      </c>
      <c r="H5" s="3">
        <v>5.1783848000000002E-5</v>
      </c>
      <c r="I5" s="3">
        <v>1.3145118999999999E-5</v>
      </c>
      <c r="J5" s="3">
        <v>-1.3623602E-4</v>
      </c>
      <c r="K5" s="2"/>
      <c r="L5" s="3"/>
      <c r="M5" s="3"/>
      <c r="N5" s="2">
        <f>IF('Modell einstellen'!$B$1="Voll",H5/0.35,H5/0.35*2)</f>
        <v>1.4795385142857143E-4</v>
      </c>
      <c r="O5" s="2">
        <f>IF('Modell einstellen'!$B$1="Voll",J5/0.35,J5/0.35*2)</f>
        <v>-3.8924577142857144E-4</v>
      </c>
      <c r="P5" s="3">
        <f t="shared" si="0"/>
        <v>0.3801039402061217</v>
      </c>
      <c r="Q5" s="3"/>
      <c r="R5" s="3"/>
      <c r="S5" s="3"/>
      <c r="T5" s="3"/>
      <c r="U5" s="3"/>
    </row>
    <row r="6" spans="1:21" x14ac:dyDescent="0.25">
      <c r="A6" s="3">
        <v>9.9999999999999998E-13</v>
      </c>
      <c r="B6" s="3">
        <v>7.7319999999999998E-5</v>
      </c>
      <c r="C6" s="3">
        <v>1.361E-4</v>
      </c>
      <c r="D6" s="3">
        <v>-3.4650000000000002E-4</v>
      </c>
      <c r="E6" s="3">
        <v>0</v>
      </c>
      <c r="F6" s="3">
        <v>0</v>
      </c>
      <c r="G6" s="3">
        <v>0</v>
      </c>
      <c r="H6" s="3">
        <v>5.3697816999999999E-5</v>
      </c>
      <c r="I6" s="3">
        <v>1.3507026000000001E-5</v>
      </c>
      <c r="J6" s="3">
        <v>-1.3961274999999999E-4</v>
      </c>
      <c r="K6" s="2"/>
      <c r="L6" s="3"/>
      <c r="M6" s="3"/>
      <c r="N6" s="2">
        <f>IF('Modell einstellen'!$B$1="Voll",H6/0.35,H6/0.35*2)</f>
        <v>1.534223342857143E-4</v>
      </c>
      <c r="O6" s="2">
        <f>IF('Modell einstellen'!$B$1="Voll",J6/0.35,J6/0.35*2)</f>
        <v>-3.9889357142857144E-4</v>
      </c>
      <c r="P6" s="3">
        <f t="shared" si="0"/>
        <v>0.38461972133633926</v>
      </c>
      <c r="Q6" s="3"/>
      <c r="R6" s="3"/>
      <c r="S6" s="3"/>
      <c r="T6" s="3"/>
      <c r="U6" s="3"/>
    </row>
    <row r="7" spans="1:21" x14ac:dyDescent="0.25">
      <c r="A7" s="3">
        <v>9.9999999999999994E-12</v>
      </c>
      <c r="B7" s="3">
        <v>7.5950000000000003E-5</v>
      </c>
      <c r="C7" s="3">
        <v>1.4009999999999999E-4</v>
      </c>
      <c r="D7" s="3">
        <v>-3.503E-4</v>
      </c>
      <c r="E7" s="3">
        <v>0</v>
      </c>
      <c r="F7" s="3">
        <v>0</v>
      </c>
      <c r="G7" s="3">
        <v>0</v>
      </c>
      <c r="H7" s="3">
        <v>5.6004115000000002E-5</v>
      </c>
      <c r="I7" s="3">
        <v>1.3931307000000001E-5</v>
      </c>
      <c r="J7" s="3">
        <v>-1.4363317E-4</v>
      </c>
      <c r="K7" s="2"/>
      <c r="L7" s="3"/>
      <c r="M7" s="3"/>
      <c r="N7" s="2">
        <f>IF('Modell einstellen'!$B$1="Voll",H7/0.35,H7/0.35*2)</f>
        <v>1.6001175714285717E-4</v>
      </c>
      <c r="O7" s="2">
        <f>IF('Modell einstellen'!$B$1="Voll",J7/0.35,J7/0.35*2)</f>
        <v>-4.1038048571428575E-4</v>
      </c>
      <c r="P7" s="3">
        <f t="shared" si="0"/>
        <v>0.38991073580009411</v>
      </c>
      <c r="Q7" s="3"/>
      <c r="R7" s="3"/>
      <c r="S7" s="3"/>
      <c r="T7" s="3"/>
      <c r="U7" s="3"/>
    </row>
    <row r="8" spans="1:21" x14ac:dyDescent="0.25">
      <c r="A8" s="3">
        <v>1E-10</v>
      </c>
      <c r="B8" s="3">
        <v>7.4250000000000002E-5</v>
      </c>
      <c r="C8" s="3">
        <v>1.439E-4</v>
      </c>
      <c r="D8" s="3">
        <v>-3.5359999999999998E-4</v>
      </c>
      <c r="E8" s="3">
        <v>0</v>
      </c>
      <c r="F8" s="3">
        <v>0</v>
      </c>
      <c r="G8" s="3">
        <v>0</v>
      </c>
      <c r="H8" s="3">
        <v>5.8323606000000002E-5</v>
      </c>
      <c r="I8" s="3">
        <v>1.4343526E-5</v>
      </c>
      <c r="J8" s="3">
        <v>-1.4761698999999999E-4</v>
      </c>
      <c r="K8" s="2"/>
      <c r="L8" s="3"/>
      <c r="M8" s="3"/>
      <c r="N8" s="2">
        <f>IF('Modell einstellen'!$B$1="Voll",H8/0.35,H8/0.35*2)</f>
        <v>1.6663887428571431E-4</v>
      </c>
      <c r="O8" s="2">
        <f>IF('Modell einstellen'!$B$1="Voll",J8/0.35,J8/0.35*2)</f>
        <v>-4.217628285714286E-4</v>
      </c>
      <c r="P8" s="3">
        <f t="shared" si="0"/>
        <v>0.39510090268064674</v>
      </c>
      <c r="Q8" s="3"/>
      <c r="R8" s="3"/>
      <c r="S8" s="3"/>
      <c r="T8" s="3"/>
      <c r="U8" s="3"/>
    </row>
    <row r="9" spans="1:21" x14ac:dyDescent="0.25">
      <c r="A9" s="3">
        <v>1.0000000000000001E-9</v>
      </c>
      <c r="B9" s="3">
        <v>7.2100000000000004E-5</v>
      </c>
      <c r="C9" s="3">
        <v>1.4789999999999999E-4</v>
      </c>
      <c r="D9" s="3">
        <v>-3.567E-4</v>
      </c>
      <c r="E9" s="3">
        <v>0</v>
      </c>
      <c r="F9" s="3">
        <v>0</v>
      </c>
      <c r="G9" s="3">
        <v>0</v>
      </c>
      <c r="H9" s="3">
        <v>6.0816421E-5</v>
      </c>
      <c r="I9" s="3">
        <v>1.4772252E-5</v>
      </c>
      <c r="J9" s="3">
        <v>-1.5184024999999999E-4</v>
      </c>
      <c r="K9" s="2"/>
      <c r="L9" s="3"/>
      <c r="M9" s="3"/>
      <c r="N9" s="2">
        <f>IF('Modell einstellen'!$B$1="Voll",H9/0.35,H9/0.35*2)</f>
        <v>1.7376120285714287E-4</v>
      </c>
      <c r="O9" s="2">
        <f>IF('Modell einstellen'!$B$1="Voll",J9/0.35,J9/0.35*2)</f>
        <v>-4.3382928571428572E-4</v>
      </c>
      <c r="P9" s="3">
        <f t="shared" si="0"/>
        <v>0.40052898358636796</v>
      </c>
      <c r="Q9" s="3"/>
      <c r="R9" s="3"/>
      <c r="S9" s="3"/>
      <c r="T9" s="3"/>
      <c r="U9" s="3"/>
    </row>
    <row r="10" spans="1:21" x14ac:dyDescent="0.25">
      <c r="A10" s="3">
        <v>1E-8</v>
      </c>
      <c r="B10" s="3">
        <v>6.8869999999999996E-5</v>
      </c>
      <c r="C10" s="3">
        <v>1.529E-4</v>
      </c>
      <c r="D10" s="3">
        <v>-3.5990000000000002E-4</v>
      </c>
      <c r="E10" s="3">
        <v>0</v>
      </c>
      <c r="F10" s="3">
        <v>0</v>
      </c>
      <c r="G10" s="3">
        <v>0</v>
      </c>
      <c r="H10" s="3">
        <v>6.4065465000000003E-5</v>
      </c>
      <c r="I10" s="3">
        <v>1.5309532000000001E-5</v>
      </c>
      <c r="J10" s="3">
        <v>-1.5725748000000001E-4</v>
      </c>
      <c r="K10" s="2"/>
      <c r="L10" s="3"/>
      <c r="M10" s="3"/>
      <c r="N10" s="2">
        <f>IF('Modell einstellen'!$B$1="Voll",H10/0.35,H10/0.35*2)</f>
        <v>1.8304418571428574E-4</v>
      </c>
      <c r="O10" s="2">
        <f>IF('Modell einstellen'!$B$1="Voll",J10/0.35,J10/0.35*2)</f>
        <v>-4.4930708571428579E-4</v>
      </c>
      <c r="P10" s="3">
        <f t="shared" si="0"/>
        <v>0.40739216347610302</v>
      </c>
      <c r="Q10" s="3"/>
      <c r="R10" s="3"/>
      <c r="S10" s="3"/>
      <c r="T10" s="3"/>
      <c r="U10" s="3"/>
    </row>
    <row r="11" spans="1:21" x14ac:dyDescent="0.25">
      <c r="A11" s="3">
        <v>9.9999999999999995E-8</v>
      </c>
      <c r="B11" s="3">
        <v>6.4010000000000005E-5</v>
      </c>
      <c r="C11" s="3">
        <v>1.5880000000000001E-4</v>
      </c>
      <c r="D11" s="3">
        <v>-3.6279999999999998E-4</v>
      </c>
      <c r="E11" s="3">
        <v>0</v>
      </c>
      <c r="F11" s="3">
        <v>0</v>
      </c>
      <c r="G11" s="3">
        <v>0</v>
      </c>
      <c r="H11" s="3">
        <v>6.8216925000000002E-5</v>
      </c>
      <c r="I11" s="3">
        <v>1.5960335999999999E-5</v>
      </c>
      <c r="J11" s="3">
        <v>-1.640341E-4</v>
      </c>
      <c r="K11" s="2"/>
      <c r="L11" s="3"/>
      <c r="M11" s="3"/>
      <c r="N11" s="2">
        <f>IF('Modell einstellen'!$B$1="Voll",H11/0.35,H11/0.35*2)</f>
        <v>1.9490550000000003E-4</v>
      </c>
      <c r="O11" s="2">
        <f>IF('Modell einstellen'!$B$1="Voll",J11/0.35,J11/0.35*2)</f>
        <v>-4.6866885714285717E-4</v>
      </c>
      <c r="P11" s="3">
        <f t="shared" si="0"/>
        <v>0.41587038914469615</v>
      </c>
      <c r="Q11" s="3"/>
      <c r="R11" s="3"/>
      <c r="S11" s="3"/>
      <c r="T11" s="3"/>
      <c r="U11" s="3"/>
    </row>
    <row r="12" spans="1:21" x14ac:dyDescent="0.25">
      <c r="A12" s="3">
        <v>9.9999999999999995E-7</v>
      </c>
      <c r="B12" s="3">
        <v>5.7729999999999998E-5</v>
      </c>
      <c r="C12" s="3">
        <v>1.649E-4</v>
      </c>
      <c r="D12" s="3">
        <v>-3.6450000000000002E-4</v>
      </c>
      <c r="E12" s="3">
        <v>0</v>
      </c>
      <c r="F12" s="3">
        <v>0</v>
      </c>
      <c r="G12" s="3">
        <v>0</v>
      </c>
      <c r="H12" s="3">
        <v>7.2818772999999994E-5</v>
      </c>
      <c r="I12" s="3">
        <v>1.6636186999999999E-5</v>
      </c>
      <c r="J12" s="3">
        <v>-1.7136058E-4</v>
      </c>
      <c r="K12" s="2"/>
      <c r="L12" s="3"/>
      <c r="M12" s="3"/>
      <c r="N12" s="2">
        <f>IF('Modell einstellen'!$B$1="Voll",H12/0.35,H12/0.35*2)</f>
        <v>2.0805363714285715E-4</v>
      </c>
      <c r="O12" s="2">
        <f>IF('Modell einstellen'!$B$1="Voll",J12/0.35,J12/0.35*2)</f>
        <v>-4.8960165714285716E-4</v>
      </c>
      <c r="P12" s="3">
        <f t="shared" si="0"/>
        <v>0.42494471599010691</v>
      </c>
      <c r="Q12" s="3"/>
      <c r="R12" s="3"/>
      <c r="S12" s="3"/>
      <c r="T12" s="3"/>
      <c r="U12" s="3"/>
    </row>
    <row r="13" spans="1:21" x14ac:dyDescent="0.25">
      <c r="A13" s="3">
        <v>1.0000000000000001E-5</v>
      </c>
      <c r="B13" s="3">
        <v>5.1279999999999997E-5</v>
      </c>
      <c r="C13" s="3">
        <v>1.7000000000000001E-4</v>
      </c>
      <c r="D13" s="3">
        <v>-3.6469999999999997E-4</v>
      </c>
      <c r="E13" s="3">
        <v>0</v>
      </c>
      <c r="F13" s="3">
        <v>0</v>
      </c>
      <c r="G13" s="3">
        <v>0</v>
      </c>
      <c r="H13" s="3">
        <v>7.6983421000000003E-5</v>
      </c>
      <c r="I13" s="3">
        <v>1.7208826000000001E-5</v>
      </c>
      <c r="J13" s="3">
        <v>-1.7783237000000001E-4</v>
      </c>
      <c r="K13" s="2"/>
      <c r="L13" s="3"/>
      <c r="M13" s="3"/>
      <c r="N13" s="2">
        <f>IF('Modell einstellen'!$B$1="Voll",H13/0.35,H13/0.35*2)</f>
        <v>2.1995263142857144E-4</v>
      </c>
      <c r="O13" s="2">
        <f>IF('Modell einstellen'!$B$1="Voll",J13/0.35,J13/0.35*2)</f>
        <v>-5.0809248571428577E-4</v>
      </c>
      <c r="P13" s="3">
        <f t="shared" si="0"/>
        <v>0.43289880801791031</v>
      </c>
      <c r="Q13" s="3"/>
      <c r="R13" s="3"/>
      <c r="S13" s="3"/>
      <c r="T13" s="3"/>
      <c r="U13" s="3"/>
    </row>
    <row r="14" spans="1:21" x14ac:dyDescent="0.25">
      <c r="A14" s="3">
        <v>1E-4</v>
      </c>
      <c r="B14" s="3">
        <v>4.3819999999999997E-5</v>
      </c>
      <c r="C14" s="3">
        <v>1.751E-4</v>
      </c>
      <c r="D14" s="3">
        <v>-3.6400000000000001E-4</v>
      </c>
      <c r="E14" s="3">
        <v>0</v>
      </c>
      <c r="F14" s="3">
        <v>0</v>
      </c>
      <c r="G14" s="3">
        <v>0</v>
      </c>
      <c r="H14" s="3">
        <v>8.1419261000000002E-5</v>
      </c>
      <c r="I14" s="3">
        <v>1.7786153000000001E-5</v>
      </c>
      <c r="J14" s="3">
        <v>-1.8459398E-4</v>
      </c>
      <c r="K14" s="2"/>
      <c r="L14" s="3"/>
      <c r="M14" s="3"/>
      <c r="N14" s="2">
        <f>IF('Modell einstellen'!$B$1="Voll",H14/0.35,H14/0.35*2)</f>
        <v>2.3262646000000002E-4</v>
      </c>
      <c r="O14" s="2">
        <f>IF('Modell einstellen'!$B$1="Voll",J14/0.35,J14/0.35*2)</f>
        <v>-5.2741137142857148E-4</v>
      </c>
      <c r="P14" s="3">
        <f t="shared" si="0"/>
        <v>0.44107213572186915</v>
      </c>
      <c r="Q14" s="3"/>
      <c r="R14" s="3"/>
      <c r="S14" s="3"/>
      <c r="T14" s="3"/>
      <c r="U14" s="3"/>
    </row>
    <row r="15" spans="1:21" x14ac:dyDescent="0.25">
      <c r="A15" s="3">
        <v>1E-3</v>
      </c>
      <c r="B15" s="3">
        <v>3.5129999999999997E-5</v>
      </c>
      <c r="C15" s="3">
        <v>1.8019999999999999E-4</v>
      </c>
      <c r="D15" s="3">
        <v>-3.6200000000000002E-4</v>
      </c>
      <c r="E15" s="3">
        <v>0</v>
      </c>
      <c r="F15" s="3">
        <v>0</v>
      </c>
      <c r="G15" s="3">
        <v>0</v>
      </c>
      <c r="H15" s="3">
        <v>8.6167157999999996E-5</v>
      </c>
      <c r="I15" s="3">
        <v>1.836609E-5</v>
      </c>
      <c r="J15" s="3">
        <v>-1.9167732000000001E-4</v>
      </c>
      <c r="K15" s="2"/>
      <c r="L15" s="3"/>
      <c r="M15" s="3"/>
      <c r="N15" s="2">
        <f>IF('Modell einstellen'!$B$1="Voll",H15/0.35,H15/0.35*2)</f>
        <v>2.4619188E-4</v>
      </c>
      <c r="O15" s="2">
        <f>IF('Modell einstellen'!$B$1="Voll",J15/0.35,J15/0.35*2)</f>
        <v>-5.4764948571428573E-4</v>
      </c>
      <c r="P15" s="3">
        <f t="shared" si="0"/>
        <v>0.4495427941083483</v>
      </c>
      <c r="Q15" s="3"/>
      <c r="R15" s="3"/>
      <c r="S15" s="3"/>
      <c r="T15" s="3"/>
      <c r="U15" s="3"/>
    </row>
    <row r="16" spans="1:21" x14ac:dyDescent="0.25">
      <c r="A16" s="3">
        <v>0.01</v>
      </c>
      <c r="B16" s="3">
        <v>2.425E-5</v>
      </c>
      <c r="C16" s="3">
        <v>1.8569999999999999E-4</v>
      </c>
      <c r="D16" s="3">
        <v>-3.5829999999999998E-4</v>
      </c>
      <c r="E16" s="3">
        <v>0</v>
      </c>
      <c r="F16" s="3">
        <v>0</v>
      </c>
      <c r="G16" s="3">
        <v>0</v>
      </c>
      <c r="H16" s="3">
        <v>9.1698604999999997E-5</v>
      </c>
      <c r="I16" s="3">
        <v>1.8999610000000001E-5</v>
      </c>
      <c r="J16" s="3">
        <v>-1.9975863E-4</v>
      </c>
      <c r="K16" s="2"/>
      <c r="L16" s="3"/>
      <c r="M16" s="3"/>
      <c r="N16" s="2">
        <f>IF('Modell einstellen'!$B$1="Voll",H16/0.35,H16/0.35*2)</f>
        <v>2.6199601428571428E-4</v>
      </c>
      <c r="O16" s="2">
        <f>IF('Modell einstellen'!$B$1="Voll",J16/0.35,J16/0.35*2)</f>
        <v>-5.7073894285714283E-4</v>
      </c>
      <c r="P16" s="3">
        <f t="shared" si="0"/>
        <v>0.45904702590321128</v>
      </c>
      <c r="Q16" s="3"/>
      <c r="R16" s="3"/>
      <c r="S16" s="3"/>
      <c r="T16" s="3"/>
      <c r="U16" s="3"/>
    </row>
    <row r="17" spans="1:21" x14ac:dyDescent="0.25">
      <c r="A17" s="3">
        <v>0.1</v>
      </c>
      <c r="B17" s="3">
        <v>1.221E-5</v>
      </c>
      <c r="C17" s="3">
        <v>1.9100000000000001E-4</v>
      </c>
      <c r="D17" s="3">
        <v>-3.5320000000000002E-4</v>
      </c>
      <c r="E17" s="3">
        <v>0</v>
      </c>
      <c r="F17" s="3">
        <v>0</v>
      </c>
      <c r="G17" s="3">
        <v>0</v>
      </c>
      <c r="H17" s="3">
        <v>9.7455460999999996E-5</v>
      </c>
      <c r="I17" s="3">
        <v>1.9621786000000001E-5</v>
      </c>
      <c r="J17" s="3">
        <v>-2.080103E-4</v>
      </c>
      <c r="K17" s="2"/>
      <c r="L17" s="3"/>
      <c r="M17" s="3"/>
      <c r="N17" s="2">
        <f>IF('Modell einstellen'!$B$1="Voll",H17/0.35,H17/0.35*2)</f>
        <v>2.7844417428571431E-4</v>
      </c>
      <c r="O17" s="2">
        <f>IF('Modell einstellen'!$B$1="Voll",J17/0.35,J17/0.35*2)</f>
        <v>-5.9431514285714288E-4</v>
      </c>
      <c r="P17" s="3">
        <f t="shared" si="0"/>
        <v>0.46851266980529332</v>
      </c>
      <c r="Q17" s="3"/>
      <c r="R17" s="3"/>
      <c r="S17" s="3"/>
      <c r="T17" s="3"/>
      <c r="U17" s="3"/>
    </row>
    <row r="18" spans="1:21" x14ac:dyDescent="0.25">
      <c r="A18" s="3">
        <v>1</v>
      </c>
      <c r="B18" s="3">
        <v>-3.8680000000000001E-6</v>
      </c>
      <c r="C18" s="3">
        <v>1.9880000000000001E-4</v>
      </c>
      <c r="D18" s="3">
        <v>-3.4689999999999998E-4</v>
      </c>
      <c r="E18" s="3">
        <v>0</v>
      </c>
      <c r="F18" s="3">
        <v>0</v>
      </c>
      <c r="G18" s="3">
        <v>0</v>
      </c>
      <c r="H18" s="3">
        <v>1.0542922E-4</v>
      </c>
      <c r="I18" s="3">
        <v>2.0545749999999999E-5</v>
      </c>
      <c r="J18" s="3">
        <v>-2.1960168000000001E-4</v>
      </c>
      <c r="K18" s="2"/>
      <c r="L18" s="3"/>
      <c r="M18" s="3"/>
      <c r="N18" s="2">
        <f>IF('Modell einstellen'!$B$1="Voll",H18/0.35,H18/0.35*2)</f>
        <v>3.0122634285714288E-4</v>
      </c>
      <c r="O18" s="2">
        <f>IF('Modell einstellen'!$B$1="Voll",J18/0.35,J18/0.35*2)</f>
        <v>-6.2743337142857154E-4</v>
      </c>
      <c r="P18" s="3">
        <f t="shared" si="0"/>
        <v>0.48009295739449714</v>
      </c>
      <c r="Q18" s="3"/>
      <c r="R18" s="3"/>
      <c r="S18" s="3"/>
      <c r="T18" s="3"/>
      <c r="U18" s="3"/>
    </row>
    <row r="19" spans="1:21" x14ac:dyDescent="0.25">
      <c r="A19" s="3">
        <v>10</v>
      </c>
      <c r="B19" s="3">
        <v>-1.449E-5</v>
      </c>
      <c r="C19" s="3">
        <v>2.1609999999999999E-4</v>
      </c>
      <c r="D19" s="3">
        <v>-3.5439999999999999E-4</v>
      </c>
      <c r="E19" s="3">
        <v>0</v>
      </c>
      <c r="F19" s="3">
        <v>0</v>
      </c>
      <c r="G19" s="3">
        <v>0</v>
      </c>
      <c r="H19" s="3">
        <v>1.1600877E-4</v>
      </c>
      <c r="I19" s="3">
        <v>2.2619790999999999E-5</v>
      </c>
      <c r="J19" s="3">
        <v>-2.377476E-4</v>
      </c>
      <c r="K19" s="2"/>
      <c r="L19" s="3"/>
      <c r="M19" s="3"/>
      <c r="N19" s="2">
        <f>IF('Modell einstellen'!$B$1="Voll",H19/0.35,H19/0.35*2)</f>
        <v>3.3145362857142863E-4</v>
      </c>
      <c r="O19" s="2">
        <f>IF('Modell einstellen'!$B$1="Voll",J19/0.35,J19/0.35*2)</f>
        <v>-6.7927885714285719E-4</v>
      </c>
      <c r="P19" s="3">
        <f t="shared" si="0"/>
        <v>0.48794927898325791</v>
      </c>
      <c r="Q19" s="3"/>
      <c r="R19" s="3"/>
      <c r="S19" s="3"/>
      <c r="T19" s="3"/>
      <c r="U19" s="3"/>
    </row>
    <row r="20" spans="1:21" x14ac:dyDescent="0.25">
      <c r="A20" s="3">
        <v>100</v>
      </c>
      <c r="B20" s="3">
        <v>-4.25E-6</v>
      </c>
      <c r="C20" s="3">
        <v>2.5759999999999997E-4</v>
      </c>
      <c r="D20" s="3">
        <v>-4.0460000000000002E-4</v>
      </c>
      <c r="E20" s="3">
        <v>0</v>
      </c>
      <c r="F20" s="3">
        <v>0</v>
      </c>
      <c r="G20" s="3">
        <v>0</v>
      </c>
      <c r="H20" s="3">
        <v>1.3158486E-4</v>
      </c>
      <c r="I20" s="3">
        <v>2.7760887000000002E-5</v>
      </c>
      <c r="J20" s="3">
        <v>-2.7151138E-4</v>
      </c>
      <c r="K20" s="2"/>
      <c r="L20" s="3"/>
      <c r="M20" s="3"/>
      <c r="N20" s="2">
        <f>IF('Modell einstellen'!$B$1="Voll",H20/0.35,H20/0.35*2)</f>
        <v>3.7595674285714287E-4</v>
      </c>
      <c r="O20" s="2">
        <f>IF('Modell einstellen'!$B$1="Voll",J20/0.35,J20/0.35*2)</f>
        <v>-7.7574680000000007E-4</v>
      </c>
      <c r="P20" s="3">
        <f t="shared" si="0"/>
        <v>0.48463847077054373</v>
      </c>
      <c r="Q20" s="3"/>
      <c r="R20" s="3"/>
      <c r="S20" s="3"/>
      <c r="T20" s="3"/>
      <c r="U20" s="3"/>
    </row>
    <row r="21" spans="1:21" x14ac:dyDescent="0.25">
      <c r="A21" s="3">
        <v>1000</v>
      </c>
      <c r="B21" s="3">
        <v>1.411E-5</v>
      </c>
      <c r="C21" s="3">
        <v>3.2029999999999998E-4</v>
      </c>
      <c r="D21" s="3">
        <v>-4.8299999999999998E-4</v>
      </c>
      <c r="E21" s="3">
        <v>0</v>
      </c>
      <c r="F21" s="3">
        <v>0</v>
      </c>
      <c r="G21" s="3">
        <v>0</v>
      </c>
      <c r="H21" s="3">
        <v>1.5236960999999999E-4</v>
      </c>
      <c r="I21" s="3">
        <v>3.5903009000000003E-5</v>
      </c>
      <c r="J21" s="3">
        <v>-3.2115742999999999E-4</v>
      </c>
      <c r="K21" s="2"/>
      <c r="L21" s="3"/>
      <c r="M21" s="3"/>
      <c r="N21" s="2">
        <f>IF('Modell einstellen'!$B$1="Voll",H21/0.35,H21/0.35*2)</f>
        <v>4.3534174285714288E-4</v>
      </c>
      <c r="O21" s="2">
        <f>IF('Modell einstellen'!$B$1="Voll",J21/0.35,J21/0.35*2)</f>
        <v>-9.1759265714285723E-4</v>
      </c>
      <c r="P21" s="3">
        <f t="shared" si="0"/>
        <v>0.47443900021245033</v>
      </c>
      <c r="Q21" s="3"/>
      <c r="R21" s="3"/>
      <c r="S21" s="3"/>
      <c r="T21" s="3"/>
      <c r="U21" s="3"/>
    </row>
    <row r="22" spans="1:21" x14ac:dyDescent="0.25">
      <c r="A22" s="3">
        <v>10000</v>
      </c>
      <c r="B22" s="3">
        <v>1.275E-5</v>
      </c>
      <c r="C22" s="3">
        <v>3.9849999999999998E-4</v>
      </c>
      <c r="D22" s="3">
        <v>-5.5820000000000002E-4</v>
      </c>
      <c r="E22" s="3">
        <v>0</v>
      </c>
      <c r="F22" s="3">
        <v>0</v>
      </c>
      <c r="G22" s="3">
        <v>0</v>
      </c>
      <c r="H22" s="3">
        <v>1.8142635999999999E-4</v>
      </c>
      <c r="I22" s="3">
        <v>4.6665999000000001E-5</v>
      </c>
      <c r="J22" s="3">
        <v>-3.888373E-4</v>
      </c>
      <c r="K22" s="2"/>
      <c r="L22" s="3"/>
      <c r="M22" s="3"/>
      <c r="N22" s="2">
        <f>IF('Modell einstellen'!$B$1="Voll",H22/0.35,H22/0.35*2)</f>
        <v>5.183610285714286E-4</v>
      </c>
      <c r="O22" s="2">
        <f>IF('Modell einstellen'!$B$1="Voll",J22/0.35,J22/0.35*2)</f>
        <v>-1.1109637142857143E-3</v>
      </c>
      <c r="P22" s="3">
        <f t="shared" si="0"/>
        <v>0.46658682178895905</v>
      </c>
      <c r="Q22" s="3"/>
      <c r="R22" s="3"/>
      <c r="S22" s="3"/>
      <c r="T22" s="3"/>
      <c r="U22" s="3"/>
    </row>
    <row r="23" spans="1:21" x14ac:dyDescent="0.25">
      <c r="A23" s="3">
        <v>100000</v>
      </c>
      <c r="B23" s="3">
        <v>-3.6470000000000001E-5</v>
      </c>
      <c r="C23" s="3">
        <v>4.9680000000000004E-4</v>
      </c>
      <c r="D23" s="3">
        <v>-6.0749999999999997E-4</v>
      </c>
      <c r="E23" s="3">
        <v>0</v>
      </c>
      <c r="F23" s="3">
        <v>0</v>
      </c>
      <c r="G23" s="3">
        <v>0</v>
      </c>
      <c r="H23" s="3">
        <v>2.2457820999999999E-4</v>
      </c>
      <c r="I23" s="3">
        <v>6.1208990999999998E-5</v>
      </c>
      <c r="J23" s="3">
        <v>-4.8473787E-4</v>
      </c>
      <c r="K23" s="2"/>
      <c r="L23" s="3"/>
      <c r="M23" s="3"/>
      <c r="N23" s="2">
        <f>IF('Modell einstellen'!$B$1="Voll",H23/0.35,H23/0.35*2)</f>
        <v>6.4165202857142858E-4</v>
      </c>
      <c r="O23" s="2">
        <f>IF('Modell einstellen'!$B$1="Voll",J23/0.35,J23/0.35*2)</f>
        <v>-1.384965342857143E-3</v>
      </c>
      <c r="P23" s="3">
        <f t="shared" si="0"/>
        <v>0.46329825643703054</v>
      </c>
      <c r="Q23" s="3"/>
      <c r="R23" s="3"/>
      <c r="S23" s="3"/>
      <c r="T23" s="3"/>
      <c r="U23" s="3"/>
    </row>
    <row r="24" spans="1:21" x14ac:dyDescent="0.25">
      <c r="A24" s="3">
        <v>1000000</v>
      </c>
      <c r="B24" s="3">
        <v>-1.9090000000000001E-4</v>
      </c>
      <c r="C24" s="3">
        <v>6.3750000000000005E-4</v>
      </c>
      <c r="D24" s="3">
        <v>-5.9570000000000001E-4</v>
      </c>
      <c r="E24" s="3">
        <v>0</v>
      </c>
      <c r="F24" s="3">
        <v>0</v>
      </c>
      <c r="G24" s="3">
        <v>0</v>
      </c>
      <c r="H24" s="3">
        <v>2.9707893999999997E-4</v>
      </c>
      <c r="I24" s="3">
        <v>8.3510486000000001E-5</v>
      </c>
      <c r="J24" s="3">
        <v>-6.3862542000000003E-4</v>
      </c>
      <c r="K24" s="2"/>
      <c r="L24" s="3"/>
      <c r="M24" s="3"/>
      <c r="N24" s="2">
        <f>IF('Modell einstellen'!$B$1="Voll",H24/0.35,H24/0.35*2)</f>
        <v>8.4879697142857145E-4</v>
      </c>
      <c r="O24" s="2">
        <f>IF('Modell einstellen'!$B$1="Voll",J24/0.35,J24/0.35*2)</f>
        <v>-1.8246440571428573E-3</v>
      </c>
      <c r="P24" s="3">
        <f t="shared" si="0"/>
        <v>0.4651849592833307</v>
      </c>
      <c r="Q24" s="3"/>
      <c r="R24" s="3"/>
      <c r="S24" s="3"/>
      <c r="T24" s="3"/>
      <c r="U24" s="3"/>
    </row>
    <row r="25" spans="1:21" x14ac:dyDescent="0.25">
      <c r="A25" s="3">
        <v>10000000</v>
      </c>
      <c r="B25" s="3">
        <v>-5.1099999999999995E-4</v>
      </c>
      <c r="C25" s="3">
        <v>8.4060000000000005E-4</v>
      </c>
      <c r="D25" s="3">
        <v>-4.8079999999999998E-4</v>
      </c>
      <c r="E25" s="3">
        <v>0</v>
      </c>
      <c r="F25" s="3">
        <v>0</v>
      </c>
      <c r="G25" s="3">
        <v>0</v>
      </c>
      <c r="H25" s="3">
        <v>4.0975917000000002E-4</v>
      </c>
      <c r="I25" s="3">
        <v>1.1750557999999999E-4</v>
      </c>
      <c r="J25" s="3">
        <v>-8.7545058000000002E-4</v>
      </c>
      <c r="K25" s="2"/>
      <c r="L25" s="3"/>
      <c r="M25" s="3"/>
      <c r="N25" s="2">
        <f>IF('Modell einstellen'!$B$1="Voll",H25/0.35,H25/0.35*2)</f>
        <v>1.1707404857142858E-3</v>
      </c>
      <c r="O25" s="2">
        <f>IF('Modell einstellen'!$B$1="Voll",J25/0.35,J25/0.35*2)</f>
        <v>-2.5012873714285715E-3</v>
      </c>
      <c r="P25" s="3">
        <f t="shared" si="0"/>
        <v>0.46805516994460156</v>
      </c>
      <c r="Q25" s="3"/>
      <c r="R25" s="3"/>
      <c r="S25" s="3"/>
      <c r="T25" s="3"/>
      <c r="U25" s="3"/>
    </row>
    <row r="26" spans="1:21" x14ac:dyDescent="0.25">
      <c r="A26" s="3">
        <v>100000000</v>
      </c>
      <c r="B26" s="3">
        <v>-1.0480000000000001E-3</v>
      </c>
      <c r="C26" s="3">
        <v>1.124E-3</v>
      </c>
      <c r="D26" s="3">
        <v>-2.288E-4</v>
      </c>
      <c r="E26" s="3">
        <v>0</v>
      </c>
      <c r="F26" s="3">
        <v>0</v>
      </c>
      <c r="G26" s="3">
        <v>0</v>
      </c>
      <c r="H26" s="3">
        <v>5.7175761000000005E-4</v>
      </c>
      <c r="I26" s="3">
        <v>1.6652946000000001E-4</v>
      </c>
      <c r="J26" s="3">
        <v>-1.2162399999999999E-3</v>
      </c>
      <c r="K26" s="2"/>
      <c r="L26" s="3"/>
      <c r="M26" s="3"/>
      <c r="N26" s="2">
        <f>IF('Modell einstellen'!$B$1="Voll",H26/0.35,H26/0.35*2)</f>
        <v>1.6335931714285717E-3</v>
      </c>
      <c r="O26" s="2">
        <f>IF('Modell einstellen'!$B$1="Voll",J26/0.35,J26/0.35*2)</f>
        <v>-3.4749714285714287E-3</v>
      </c>
      <c r="P26" s="3">
        <f t="shared" si="0"/>
        <v>0.4701026195487733</v>
      </c>
      <c r="Q26" s="3"/>
      <c r="R26" s="3"/>
      <c r="S26" s="3"/>
      <c r="T26" s="3"/>
      <c r="U26" s="3"/>
    </row>
    <row r="27" spans="1:21" x14ac:dyDescent="0.25">
      <c r="A27" s="3">
        <v>1000000000</v>
      </c>
      <c r="B27" s="3">
        <v>-1.658E-3</v>
      </c>
      <c r="C27" s="3">
        <v>1.436E-3</v>
      </c>
      <c r="D27" s="3">
        <v>6.8969999999999999E-5</v>
      </c>
      <c r="E27" s="3">
        <v>0</v>
      </c>
      <c r="F27" s="3">
        <v>0</v>
      </c>
      <c r="G27" s="3">
        <v>0</v>
      </c>
      <c r="H27" s="3">
        <v>7.4405800999999998E-4</v>
      </c>
      <c r="I27" s="3">
        <v>2.2166072000000001E-4</v>
      </c>
      <c r="J27" s="3">
        <v>-1.5891206000000001E-3</v>
      </c>
      <c r="K27" s="2"/>
      <c r="L27" s="3"/>
      <c r="M27" s="3"/>
      <c r="N27" s="2">
        <f>IF('Modell einstellen'!$B$1="Voll",H27/0.35,H27/0.35*2)</f>
        <v>2.1258800285714288E-3</v>
      </c>
      <c r="O27" s="2">
        <f>IF('Modell einstellen'!$B$1="Voll",J27/0.35,J27/0.35*2)</f>
        <v>-4.540344571428572E-3</v>
      </c>
      <c r="P27" s="3">
        <f t="shared" si="0"/>
        <v>0.46821997650776159</v>
      </c>
      <c r="Q27" s="3"/>
      <c r="R27" s="3"/>
      <c r="S27" s="3"/>
      <c r="T27" s="3"/>
      <c r="U27" s="3"/>
    </row>
    <row r="28" spans="1:21" x14ac:dyDescent="0.25">
      <c r="A28" s="3">
        <v>10000000000</v>
      </c>
      <c r="B28" s="3">
        <v>-2.1619999999999999E-3</v>
      </c>
      <c r="C28" s="3">
        <v>1.7060000000000001E-3</v>
      </c>
      <c r="D28" s="3">
        <v>3.0229999999999998E-4</v>
      </c>
      <c r="E28" s="3">
        <v>0</v>
      </c>
      <c r="F28" s="3">
        <v>0</v>
      </c>
      <c r="G28" s="3">
        <v>0</v>
      </c>
      <c r="H28" s="3">
        <v>8.8458731E-4</v>
      </c>
      <c r="I28" s="3">
        <v>2.6985821999999998E-4</v>
      </c>
      <c r="J28" s="3">
        <v>-1.9046054000000001E-3</v>
      </c>
      <c r="K28" s="2"/>
      <c r="L28" s="3"/>
      <c r="M28" s="3"/>
      <c r="N28" s="2">
        <f>IF('Modell einstellen'!$B$1="Voll",H28/0.35,H28/0.35*2)</f>
        <v>2.5273923142857145E-3</v>
      </c>
      <c r="O28" s="2">
        <f>IF('Modell einstellen'!$B$1="Voll",J28/0.35,J28/0.35*2)</f>
        <v>-5.441729714285715E-3</v>
      </c>
      <c r="P28" s="3">
        <f t="shared" si="0"/>
        <v>0.46444649899659002</v>
      </c>
      <c r="Q28" s="3"/>
      <c r="R28" s="3"/>
      <c r="S28" s="3"/>
      <c r="T28" s="3"/>
      <c r="U28" s="3"/>
    </row>
    <row r="29" spans="1:21" x14ac:dyDescent="0.25">
      <c r="A29" s="3">
        <v>100000000000</v>
      </c>
      <c r="B29" s="3">
        <v>-2.4459999999999998E-3</v>
      </c>
      <c r="C29" s="3">
        <v>1.8829999999999999E-3</v>
      </c>
      <c r="D29" s="3">
        <v>4.0999999999999999E-4</v>
      </c>
      <c r="E29" s="3">
        <v>0</v>
      </c>
      <c r="F29" s="3">
        <v>0</v>
      </c>
      <c r="G29" s="3">
        <v>0</v>
      </c>
      <c r="H29" s="3">
        <v>9.6671327999999998E-4</v>
      </c>
      <c r="I29" s="3">
        <v>3.0163370000000001E-4</v>
      </c>
      <c r="J29" s="3">
        <v>-2.1019068E-3</v>
      </c>
      <c r="K29" s="2"/>
      <c r="L29" s="3"/>
      <c r="M29" s="3"/>
      <c r="N29" s="2">
        <f>IF('Modell einstellen'!$B$1="Voll",H29/0.35,H29/0.35*2)</f>
        <v>2.7620379428571428E-3</v>
      </c>
      <c r="O29" s="2">
        <f>IF('Modell einstellen'!$B$1="Voll",J29/0.35,J29/0.35*2)</f>
        <v>-6.005448E-3</v>
      </c>
      <c r="P29" s="3">
        <f t="shared" si="0"/>
        <v>0.45992204792334274</v>
      </c>
      <c r="Q29" s="3"/>
      <c r="R29" s="3"/>
      <c r="S29" s="3"/>
      <c r="T29" s="3"/>
      <c r="U29" s="3"/>
    </row>
    <row r="30" spans="1:21" x14ac:dyDescent="0.25">
      <c r="A30" s="3">
        <v>1000000000000</v>
      </c>
      <c r="B30" s="3">
        <v>-2.6450000000000002E-3</v>
      </c>
      <c r="C30" s="3">
        <v>2.0089999999999999E-3</v>
      </c>
      <c r="D30" s="3">
        <v>4.8339999999999999E-4</v>
      </c>
      <c r="E30" s="3">
        <v>0</v>
      </c>
      <c r="F30" s="3">
        <v>0</v>
      </c>
      <c r="G30" s="3">
        <v>0</v>
      </c>
      <c r="H30" s="3">
        <v>1.0267384E-3</v>
      </c>
      <c r="I30" s="3">
        <v>3.2439745000000002E-4</v>
      </c>
      <c r="J30" s="3">
        <v>-2.2443452000000001E-3</v>
      </c>
      <c r="K30" s="2"/>
      <c r="L30" s="3"/>
      <c r="M30" s="3"/>
      <c r="N30" s="2">
        <f>IF('Modell einstellen'!$B$1="Voll",H30/0.35,H30/0.35*2)</f>
        <v>2.9335382857142859E-3</v>
      </c>
      <c r="O30" s="2">
        <f>IF('Modell einstellen'!$B$1="Voll",J30/0.35,J30/0.35*2)</f>
        <v>-6.4124148571428575E-3</v>
      </c>
      <c r="P30" s="3">
        <f t="shared" si="0"/>
        <v>0.45747793164794792</v>
      </c>
      <c r="Q30" s="3"/>
      <c r="R30" s="3"/>
      <c r="S30" s="3"/>
      <c r="T30" s="3"/>
      <c r="U30" s="3"/>
    </row>
    <row r="31" spans="1:21" x14ac:dyDescent="0.25">
      <c r="A31" s="3">
        <v>10000000000000</v>
      </c>
      <c r="B31" s="3">
        <v>-2.7929999999999999E-3</v>
      </c>
      <c r="C31" s="3">
        <v>2.068E-3</v>
      </c>
      <c r="D31" s="3">
        <v>5.708E-4</v>
      </c>
      <c r="E31" s="3">
        <v>0</v>
      </c>
      <c r="F31" s="3">
        <v>0</v>
      </c>
      <c r="G31" s="3">
        <v>0</v>
      </c>
      <c r="H31" s="3">
        <v>1.0666860000000001E-3</v>
      </c>
      <c r="I31" s="3">
        <v>3.3548945E-4</v>
      </c>
      <c r="J31" s="3">
        <v>-2.3243387999999999E-3</v>
      </c>
      <c r="K31" s="2"/>
      <c r="L31" s="3"/>
      <c r="M31" s="3"/>
      <c r="N31" s="2">
        <f>IF('Modell einstellen'!$B$1="Voll",H31/0.35,H31/0.35*2)</f>
        <v>3.0476742857142862E-3</v>
      </c>
      <c r="O31" s="2">
        <f>IF('Modell einstellen'!$B$1="Voll",J31/0.35,J31/0.35*2)</f>
        <v>-6.6409679999999997E-3</v>
      </c>
      <c r="P31" s="3">
        <f t="shared" si="0"/>
        <v>0.45892018839938492</v>
      </c>
      <c r="Q31" s="3"/>
      <c r="R31" s="3"/>
      <c r="S31" s="3"/>
      <c r="T31" s="3"/>
      <c r="U31" s="3"/>
    </row>
    <row r="32" spans="1:21" x14ac:dyDescent="0.25">
      <c r="A32" s="3">
        <v>100000000000000</v>
      </c>
      <c r="B32" s="3">
        <v>-2.8180000000000002E-3</v>
      </c>
      <c r="C32" s="3">
        <v>2.137E-3</v>
      </c>
      <c r="D32" s="3">
        <v>5.2769999999999998E-4</v>
      </c>
      <c r="E32" s="3">
        <v>0</v>
      </c>
      <c r="F32" s="3">
        <v>0</v>
      </c>
      <c r="G32" s="3">
        <v>0</v>
      </c>
      <c r="H32" s="3">
        <v>1.0844598999999999E-3</v>
      </c>
      <c r="I32" s="3">
        <v>3.4775552999999999E-4</v>
      </c>
      <c r="J32" s="3">
        <v>-2.3865671000000001E-3</v>
      </c>
      <c r="K32" s="2"/>
      <c r="L32" s="3"/>
      <c r="M32" s="3"/>
      <c r="N32" s="2">
        <f>IF('Modell einstellen'!$B$1="Voll",H32/0.35,H32/0.35*2)</f>
        <v>3.098456857142857E-3</v>
      </c>
      <c r="O32" s="2">
        <f>IF('Modell einstellen'!$B$1="Voll",J32/0.35,J32/0.35*2)</f>
        <v>-6.818763142857143E-3</v>
      </c>
      <c r="P32" s="3">
        <f t="shared" si="0"/>
        <v>0.45440159633475208</v>
      </c>
      <c r="Q32" s="3"/>
      <c r="R32" s="3"/>
      <c r="S32" s="3"/>
      <c r="T32" s="3"/>
      <c r="U32" s="3"/>
    </row>
    <row r="33" spans="1:21" x14ac:dyDescent="0.25">
      <c r="A33" s="2">
        <v>1000000000000000</v>
      </c>
      <c r="B33" s="3">
        <v>-3.0040000000000002E-3</v>
      </c>
      <c r="C33" s="3">
        <v>2.2279999999999999E-3</v>
      </c>
      <c r="D33" s="3">
        <v>6.2259999999999995E-4</v>
      </c>
      <c r="E33" s="3">
        <v>0</v>
      </c>
      <c r="F33" s="3">
        <v>0</v>
      </c>
      <c r="G33" s="3">
        <v>0</v>
      </c>
      <c r="H33" s="3">
        <v>1.1402960000000001E-3</v>
      </c>
      <c r="I33" s="3">
        <v>3.6457405000000001E-4</v>
      </c>
      <c r="J33" s="3">
        <v>-2.5031200000000002E-3</v>
      </c>
      <c r="K33" s="2"/>
      <c r="L33" s="3"/>
      <c r="M33" s="3"/>
      <c r="N33" s="2">
        <f>IF('Modell einstellen'!$B$1="Voll",H33/0.35,H33/0.35*2)</f>
        <v>3.2579885714285719E-3</v>
      </c>
      <c r="O33" s="2">
        <f>IF('Modell einstellen'!$B$1="Voll",J33/0.35,J33/0.35*2)</f>
        <v>-7.1517714285714296E-3</v>
      </c>
      <c r="P33" s="3">
        <f t="shared" si="0"/>
        <v>0.45554987375755057</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8.1039999999999997E-5</v>
      </c>
      <c r="C3" s="3">
        <v>1.3549999999999999E-4</v>
      </c>
      <c r="D3" s="3">
        <v>-3.4850000000000001E-4</v>
      </c>
      <c r="E3" s="3">
        <v>0</v>
      </c>
      <c r="F3" s="3">
        <v>0</v>
      </c>
      <c r="G3" s="3">
        <v>0</v>
      </c>
      <c r="H3" s="3">
        <v>5.2788928999999998E-5</v>
      </c>
      <c r="I3" s="3">
        <v>1.3452776E-5</v>
      </c>
      <c r="J3" s="3">
        <v>-1.3847136000000001E-4</v>
      </c>
      <c r="L3" s="3">
        <f>-B3/D3</f>
        <v>0.23253945480631275</v>
      </c>
      <c r="M3" s="3"/>
      <c r="N3" s="2">
        <f>IF('Modell einstellen'!$B$1="Voll",H3/0.35,H3/0.35*2)</f>
        <v>1.5082551142857144E-4</v>
      </c>
      <c r="O3" s="2">
        <f>IF('Modell einstellen'!$B$1="Voll",J3/0.35,J3/0.35*2)</f>
        <v>-3.9563245714285719E-4</v>
      </c>
      <c r="P3" s="3">
        <f>-N3/O3</f>
        <v>0.38122633445645365</v>
      </c>
    </row>
    <row r="4" spans="1:16" x14ac:dyDescent="0.25">
      <c r="A4" s="3">
        <v>1E-14</v>
      </c>
      <c r="B4" s="3">
        <v>7.9880000000000001E-5</v>
      </c>
      <c r="C4" s="3">
        <v>1.4009999999999999E-4</v>
      </c>
      <c r="D4" s="3">
        <v>-3.5330000000000002E-4</v>
      </c>
      <c r="E4" s="3">
        <v>0</v>
      </c>
      <c r="F4" s="3">
        <v>0</v>
      </c>
      <c r="G4" s="3">
        <v>0</v>
      </c>
      <c r="H4" s="3">
        <v>5.5377724999999998E-5</v>
      </c>
      <c r="I4" s="3">
        <v>1.3944623999999999E-5</v>
      </c>
      <c r="J4" s="3">
        <v>-1.4302870000000001E-4</v>
      </c>
      <c r="L4" s="3">
        <f t="shared" ref="L4:L33" si="0">-B4/D4</f>
        <v>0.22609680158505518</v>
      </c>
      <c r="M4" s="3"/>
      <c r="N4" s="2">
        <f>IF('Modell einstellen'!$B$1="Voll",H4/0.35,H4/0.35*2)</f>
        <v>1.5822207142857144E-4</v>
      </c>
      <c r="O4" s="2">
        <f>IF('Modell einstellen'!$B$1="Voll",J4/0.35,J4/0.35*2)</f>
        <v>-4.086534285714286E-4</v>
      </c>
      <c r="P4" s="3">
        <f t="shared" ref="P4:P33" si="1">-N4/O4</f>
        <v>0.38717911160487373</v>
      </c>
    </row>
    <row r="5" spans="1:16" x14ac:dyDescent="0.25">
      <c r="A5" s="3">
        <v>1E-13</v>
      </c>
      <c r="B5" s="3">
        <v>7.8369999999999997E-5</v>
      </c>
      <c r="C5" s="3">
        <v>1.4420000000000001E-4</v>
      </c>
      <c r="D5" s="3">
        <v>-3.5720000000000001E-4</v>
      </c>
      <c r="E5" s="3">
        <v>0</v>
      </c>
      <c r="F5" s="3">
        <v>0</v>
      </c>
      <c r="G5" s="3">
        <v>0</v>
      </c>
      <c r="H5" s="3">
        <v>5.7811133999999999E-5</v>
      </c>
      <c r="I5" s="3">
        <v>1.4391126E-5</v>
      </c>
      <c r="J5" s="3">
        <v>-1.4725404000000001E-4</v>
      </c>
      <c r="L5" s="3">
        <f t="shared" si="0"/>
        <v>0.21940089585666292</v>
      </c>
      <c r="M5" s="3"/>
      <c r="N5" s="2">
        <f>IF('Modell einstellen'!$B$1="Voll",H5/0.35,H5/0.35*2)</f>
        <v>1.6517466857142858E-4</v>
      </c>
      <c r="O5" s="2">
        <f>IF('Modell einstellen'!$B$1="Voll",J5/0.35,J5/0.35*2)</f>
        <v>-4.2072582857142864E-4</v>
      </c>
      <c r="P5" s="3">
        <f t="shared" si="1"/>
        <v>0.39259455292364132</v>
      </c>
    </row>
    <row r="6" spans="1:16" x14ac:dyDescent="0.25">
      <c r="A6" s="3">
        <v>9.9999999999999998E-13</v>
      </c>
      <c r="B6" s="3">
        <v>7.6559999999999999E-5</v>
      </c>
      <c r="C6" s="3">
        <v>1.4809999999999999E-4</v>
      </c>
      <c r="D6" s="3">
        <v>-3.6049999999999998E-4</v>
      </c>
      <c r="E6" s="3">
        <v>0</v>
      </c>
      <c r="F6" s="3">
        <v>0</v>
      </c>
      <c r="G6" s="3">
        <v>0</v>
      </c>
      <c r="H6" s="3">
        <v>6.0187450999999999E-5</v>
      </c>
      <c r="I6" s="3">
        <v>1.4813861000000001E-5</v>
      </c>
      <c r="J6" s="3">
        <v>-1.513261E-4</v>
      </c>
      <c r="L6" s="3">
        <f t="shared" si="0"/>
        <v>0.21237170596393898</v>
      </c>
      <c r="M6" s="3"/>
      <c r="N6" s="2">
        <f>IF('Modell einstellen'!$B$1="Voll",H6/0.35,H6/0.35*2)</f>
        <v>1.7196414571428573E-4</v>
      </c>
      <c r="O6" s="2">
        <f>IF('Modell einstellen'!$B$1="Voll",J6/0.35,J6/0.35*2)</f>
        <v>-4.3236028571428574E-4</v>
      </c>
      <c r="P6" s="3">
        <f t="shared" si="1"/>
        <v>0.39773344452807546</v>
      </c>
    </row>
    <row r="7" spans="1:16" x14ac:dyDescent="0.25">
      <c r="A7" s="3">
        <v>9.9999999999999994E-12</v>
      </c>
      <c r="B7" s="3">
        <v>7.3960000000000003E-5</v>
      </c>
      <c r="C7" s="3">
        <v>1.527E-4</v>
      </c>
      <c r="D7" s="3">
        <v>-3.6380000000000001E-4</v>
      </c>
      <c r="E7" s="3">
        <v>0</v>
      </c>
      <c r="F7" s="3">
        <v>0</v>
      </c>
      <c r="G7" s="3">
        <v>0</v>
      </c>
      <c r="H7" s="3">
        <v>6.3090849999999999E-5</v>
      </c>
      <c r="I7" s="3">
        <v>1.5313314999999999E-5</v>
      </c>
      <c r="J7" s="3">
        <v>-1.5623251000000001E-4</v>
      </c>
      <c r="L7" s="3">
        <f t="shared" si="0"/>
        <v>0.20329851566794943</v>
      </c>
      <c r="M7" s="3"/>
      <c r="N7" s="2">
        <f>IF('Modell einstellen'!$B$1="Voll",H7/0.35,H7/0.35*2)</f>
        <v>1.8025957142857145E-4</v>
      </c>
      <c r="O7" s="2">
        <f>IF('Modell einstellen'!$B$1="Voll",J7/0.35,J7/0.35*2)</f>
        <v>-4.4637860000000008E-4</v>
      </c>
      <c r="P7" s="3">
        <f t="shared" si="1"/>
        <v>0.40382664273908159</v>
      </c>
    </row>
    <row r="8" spans="1:16" x14ac:dyDescent="0.25">
      <c r="A8" s="3">
        <v>1E-10</v>
      </c>
      <c r="B8" s="3">
        <v>6.9900000000000005E-5</v>
      </c>
      <c r="C8" s="3">
        <v>1.585E-4</v>
      </c>
      <c r="D8" s="3">
        <v>-3.6719999999999998E-4</v>
      </c>
      <c r="E8" s="3">
        <v>0</v>
      </c>
      <c r="F8" s="3">
        <v>0</v>
      </c>
      <c r="G8" s="3">
        <v>0</v>
      </c>
      <c r="H8" s="3">
        <v>6.6917795000000005E-5</v>
      </c>
      <c r="I8" s="3">
        <v>1.5942262000000001E-5</v>
      </c>
      <c r="J8" s="3">
        <v>-1.6258080000000001E-4</v>
      </c>
      <c r="L8" s="3">
        <f t="shared" si="0"/>
        <v>0.19035947712418302</v>
      </c>
      <c r="M8" s="3"/>
      <c r="N8" s="2">
        <f>IF('Modell einstellen'!$B$1="Voll",H8/0.35,H8/0.35*2)</f>
        <v>1.9119370000000003E-4</v>
      </c>
      <c r="O8" s="2">
        <f>IF('Modell einstellen'!$B$1="Voll",J8/0.35,J8/0.35*2)</f>
        <v>-4.645165714285715E-4</v>
      </c>
      <c r="P8" s="3">
        <f t="shared" si="1"/>
        <v>0.41159715661381913</v>
      </c>
    </row>
    <row r="9" spans="1:16" x14ac:dyDescent="0.25">
      <c r="A9" s="3">
        <v>1.0000000000000001E-9</v>
      </c>
      <c r="B9" s="3">
        <v>6.4220000000000005E-5</v>
      </c>
      <c r="C9" s="3">
        <v>1.6479999999999999E-4</v>
      </c>
      <c r="D9" s="3">
        <v>-3.6979999999999999E-4</v>
      </c>
      <c r="E9" s="3">
        <v>0</v>
      </c>
      <c r="F9" s="3">
        <v>0</v>
      </c>
      <c r="G9" s="3">
        <v>0</v>
      </c>
      <c r="H9" s="3">
        <v>7.1437857000000005E-5</v>
      </c>
      <c r="I9" s="3">
        <v>1.6642403E-5</v>
      </c>
      <c r="J9" s="3">
        <v>-1.6990606999999999E-4</v>
      </c>
      <c r="L9" s="3">
        <f t="shared" si="0"/>
        <v>0.17366143861546784</v>
      </c>
      <c r="M9" s="3"/>
      <c r="N9" s="2">
        <f>IF('Modell einstellen'!$B$1="Voll",H9/0.35,H9/0.35*2)</f>
        <v>2.0410816285714288E-4</v>
      </c>
      <c r="O9" s="2">
        <f>IF('Modell einstellen'!$B$1="Voll",J9/0.35,J9/0.35*2)</f>
        <v>-4.8544591428571429E-4</v>
      </c>
      <c r="P9" s="3">
        <f t="shared" si="1"/>
        <v>0.42045500199021735</v>
      </c>
    </row>
    <row r="10" spans="1:16" x14ac:dyDescent="0.25">
      <c r="A10" s="3">
        <v>1E-8</v>
      </c>
      <c r="B10" s="3">
        <v>5.7819999999999999E-5</v>
      </c>
      <c r="C10" s="3">
        <v>1.706E-4</v>
      </c>
      <c r="D10" s="3">
        <v>-3.7080000000000001E-4</v>
      </c>
      <c r="E10" s="3">
        <v>0</v>
      </c>
      <c r="F10" s="3">
        <v>0</v>
      </c>
      <c r="G10" s="3">
        <v>0</v>
      </c>
      <c r="H10" s="3">
        <v>7.5848829000000004E-5</v>
      </c>
      <c r="I10" s="3">
        <v>1.7282686000000001E-5</v>
      </c>
      <c r="J10" s="3">
        <v>-1.7688089E-4</v>
      </c>
      <c r="L10" s="3">
        <f t="shared" si="0"/>
        <v>0.15593311758360301</v>
      </c>
      <c r="M10" s="3"/>
      <c r="N10" s="2">
        <f>IF('Modell einstellen'!$B$1="Voll",H10/0.35,H10/0.35*2)</f>
        <v>2.1671094000000002E-4</v>
      </c>
      <c r="O10" s="2">
        <f>IF('Modell einstellen'!$B$1="Voll",J10/0.35,J10/0.35*2)</f>
        <v>-5.0537397142857141E-4</v>
      </c>
      <c r="P10" s="3">
        <f t="shared" si="1"/>
        <v>0.42881302214162315</v>
      </c>
    </row>
    <row r="11" spans="1:16" x14ac:dyDescent="0.25">
      <c r="A11" s="3">
        <v>9.9999999999999995E-8</v>
      </c>
      <c r="B11" s="3">
        <v>5.1109999999999997E-5</v>
      </c>
      <c r="C11" s="3">
        <v>1.7560000000000001E-4</v>
      </c>
      <c r="D11" s="3">
        <v>-3.7070000000000001E-4</v>
      </c>
      <c r="E11" s="3">
        <v>0</v>
      </c>
      <c r="F11" s="3">
        <v>0</v>
      </c>
      <c r="G11" s="3">
        <v>0</v>
      </c>
      <c r="H11" s="3">
        <v>8.0033410999999995E-5</v>
      </c>
      <c r="I11" s="3">
        <v>1.7856825999999999E-5</v>
      </c>
      <c r="J11" s="3">
        <v>-1.8336367999999999E-4</v>
      </c>
      <c r="L11" s="3">
        <f t="shared" si="0"/>
        <v>0.1378742918802266</v>
      </c>
      <c r="M11" s="3"/>
      <c r="N11" s="2">
        <f>IF('Modell einstellen'!$B$1="Voll",H11/0.35,H11/0.35*2)</f>
        <v>2.2866688857142858E-4</v>
      </c>
      <c r="O11" s="2">
        <f>IF('Modell einstellen'!$B$1="Voll",J11/0.35,J11/0.35*2)</f>
        <v>-5.2389622857142853E-4</v>
      </c>
      <c r="P11" s="3">
        <f t="shared" si="1"/>
        <v>0.43647362989224481</v>
      </c>
    </row>
    <row r="12" spans="1:16" x14ac:dyDescent="0.25">
      <c r="A12" s="3">
        <v>9.9999999999999995E-7</v>
      </c>
      <c r="B12" s="3">
        <v>4.295E-5</v>
      </c>
      <c r="C12" s="3">
        <v>1.8090000000000001E-4</v>
      </c>
      <c r="D12" s="3">
        <v>-3.6939999999999998E-4</v>
      </c>
      <c r="E12" s="3">
        <v>0</v>
      </c>
      <c r="F12" s="3">
        <v>0</v>
      </c>
      <c r="G12" s="3">
        <v>0</v>
      </c>
      <c r="H12" s="3">
        <v>8.4700691999999998E-5</v>
      </c>
      <c r="I12" s="3">
        <v>1.8460316000000001E-5</v>
      </c>
      <c r="J12" s="3">
        <v>-1.9044628999999999E-4</v>
      </c>
      <c r="L12" s="3">
        <f t="shared" si="0"/>
        <v>0.11626962642122361</v>
      </c>
      <c r="M12" s="3"/>
      <c r="N12" s="2">
        <f>IF('Modell einstellen'!$B$1="Voll",H12/0.35,H12/0.35*2)</f>
        <v>2.4200197714285715E-4</v>
      </c>
      <c r="O12" s="2">
        <f>IF('Modell einstellen'!$B$1="Voll",J12/0.35,J12/0.35*2)</f>
        <v>-5.4413225714285715E-4</v>
      </c>
      <c r="P12" s="3">
        <f t="shared" si="1"/>
        <v>0.44474844849957434</v>
      </c>
    </row>
    <row r="13" spans="1:16" x14ac:dyDescent="0.25">
      <c r="A13" s="3">
        <v>1.0000000000000001E-5</v>
      </c>
      <c r="B13" s="3">
        <v>3.3189999999999999E-5</v>
      </c>
      <c r="C13" s="3">
        <v>1.864E-4</v>
      </c>
      <c r="D13" s="3">
        <v>-3.6680000000000003E-4</v>
      </c>
      <c r="E13" s="3">
        <v>0</v>
      </c>
      <c r="F13" s="3">
        <v>0</v>
      </c>
      <c r="G13" s="3">
        <v>0</v>
      </c>
      <c r="H13" s="3">
        <v>8.9856549000000003E-5</v>
      </c>
      <c r="I13" s="3">
        <v>1.9086167E-5</v>
      </c>
      <c r="J13" s="3">
        <v>-1.9810615E-4</v>
      </c>
      <c r="L13" s="3">
        <f t="shared" si="0"/>
        <v>9.0485278080697923E-2</v>
      </c>
      <c r="M13" s="3"/>
      <c r="N13" s="2">
        <f>IF('Modell einstellen'!$B$1="Voll",H13/0.35,H13/0.35*2)</f>
        <v>2.5673299714285718E-4</v>
      </c>
      <c r="O13" s="2">
        <f>IF('Modell einstellen'!$B$1="Voll",J13/0.35,J13/0.35*2)</f>
        <v>-5.6601757142857149E-4</v>
      </c>
      <c r="P13" s="3">
        <f t="shared" si="1"/>
        <v>0.45357778645438318</v>
      </c>
    </row>
    <row r="14" spans="1:16" x14ac:dyDescent="0.25">
      <c r="A14" s="3">
        <v>1E-4</v>
      </c>
      <c r="B14" s="3">
        <v>2.1469999999999999E-5</v>
      </c>
      <c r="C14" s="3">
        <v>1.919E-4</v>
      </c>
      <c r="D14" s="3">
        <v>-3.6230000000000002E-4</v>
      </c>
      <c r="E14" s="3">
        <v>0</v>
      </c>
      <c r="F14" s="3">
        <v>0</v>
      </c>
      <c r="G14" s="3">
        <v>0</v>
      </c>
      <c r="H14" s="3">
        <v>9.5589317000000003E-5</v>
      </c>
      <c r="I14" s="3">
        <v>1.9733786999999998E-5</v>
      </c>
      <c r="J14" s="3">
        <v>-2.0642906999999999E-4</v>
      </c>
      <c r="L14" s="3">
        <f t="shared" si="0"/>
        <v>5.9260281534639796E-2</v>
      </c>
      <c r="M14" s="3"/>
      <c r="N14" s="2">
        <f>IF('Modell einstellen'!$B$1="Voll",H14/0.35,H14/0.35*2)</f>
        <v>2.7311233428571429E-4</v>
      </c>
      <c r="O14" s="2">
        <f>IF('Modell einstellen'!$B$1="Voll",J14/0.35,J14/0.35*2)</f>
        <v>-5.8979734285714283E-4</v>
      </c>
      <c r="P14" s="3">
        <f t="shared" si="1"/>
        <v>0.46306131689688862</v>
      </c>
    </row>
    <row r="15" spans="1:16" x14ac:dyDescent="0.25">
      <c r="A15" s="3">
        <v>1E-3</v>
      </c>
      <c r="B15" s="3">
        <v>6.7649999999999996E-6</v>
      </c>
      <c r="C15" s="3">
        <v>1.9790000000000001E-4</v>
      </c>
      <c r="D15" s="3">
        <v>-3.5550000000000002E-4</v>
      </c>
      <c r="E15" s="3">
        <v>0</v>
      </c>
      <c r="F15" s="3">
        <v>0</v>
      </c>
      <c r="G15" s="3">
        <v>0</v>
      </c>
      <c r="H15" s="3">
        <v>1.0232782E-4</v>
      </c>
      <c r="I15" s="3">
        <v>2.0442589E-5</v>
      </c>
      <c r="J15" s="3">
        <v>-2.1600094999999999E-4</v>
      </c>
      <c r="L15" s="3">
        <f t="shared" si="0"/>
        <v>1.9029535864978901E-2</v>
      </c>
      <c r="M15" s="3"/>
      <c r="N15" s="2">
        <f>IF('Modell einstellen'!$B$1="Voll",H15/0.35,H15/0.35*2)</f>
        <v>2.9236520000000001E-4</v>
      </c>
      <c r="O15" s="2">
        <f>IF('Modell einstellen'!$B$1="Voll",J15/0.35,J15/0.35*2)</f>
        <v>-6.1714557142857149E-4</v>
      </c>
      <c r="P15" s="3">
        <f t="shared" si="1"/>
        <v>0.47373782383827473</v>
      </c>
    </row>
    <row r="16" spans="1:16" x14ac:dyDescent="0.25">
      <c r="A16" s="3">
        <v>0.01</v>
      </c>
      <c r="B16" s="3">
        <v>-1.473E-5</v>
      </c>
      <c r="C16" s="3">
        <v>2.0540000000000001E-4</v>
      </c>
      <c r="D16" s="3">
        <v>-3.4370000000000001E-4</v>
      </c>
      <c r="E16" s="3">
        <v>0</v>
      </c>
      <c r="F16" s="3">
        <v>0</v>
      </c>
      <c r="G16" s="3">
        <v>0</v>
      </c>
      <c r="H16" s="3">
        <v>1.1154289E-4</v>
      </c>
      <c r="I16" s="3">
        <v>2.1333153999999998E-5</v>
      </c>
      <c r="J16" s="3">
        <v>-2.2876759E-4</v>
      </c>
      <c r="L16" s="3">
        <f t="shared" si="0"/>
        <v>-4.2857142857142858E-2</v>
      </c>
      <c r="M16" s="3"/>
      <c r="N16" s="2">
        <f>IF('Modell einstellen'!$B$1="Voll",H16/0.35,H16/0.35*2)</f>
        <v>3.1869397142857147E-4</v>
      </c>
      <c r="O16" s="2">
        <f>IF('Modell einstellen'!$B$1="Voll",J16/0.35,J16/0.35*2)</f>
        <v>-6.5362168571428576E-4</v>
      </c>
      <c r="P16" s="3">
        <f t="shared" si="1"/>
        <v>0.48758169808931417</v>
      </c>
    </row>
    <row r="17" spans="1:16" x14ac:dyDescent="0.25">
      <c r="A17" s="3">
        <v>0.1</v>
      </c>
      <c r="B17" s="3">
        <v>-4.2349999999999999E-5</v>
      </c>
      <c r="C17" s="3">
        <v>2.1460000000000001E-4</v>
      </c>
      <c r="D17" s="3">
        <v>-3.277E-4</v>
      </c>
      <c r="E17" s="3">
        <v>0</v>
      </c>
      <c r="F17" s="3">
        <v>0</v>
      </c>
      <c r="G17" s="3">
        <v>0</v>
      </c>
      <c r="H17" s="3">
        <v>1.2317647999999999E-4</v>
      </c>
      <c r="I17" s="3">
        <v>2.2465311999999999E-5</v>
      </c>
      <c r="J17" s="3">
        <v>-2.4483185000000001E-4</v>
      </c>
      <c r="L17" s="3">
        <f t="shared" si="0"/>
        <v>-0.12923405553860237</v>
      </c>
      <c r="M17" s="3"/>
      <c r="N17" s="2">
        <f>IF('Modell einstellen'!$B$1="Voll",H17/0.35,H17/0.35*2)</f>
        <v>3.5193280000000001E-4</v>
      </c>
      <c r="O17" s="2">
        <f>IF('Modell einstellen'!$B$1="Voll",J17/0.35,J17/0.35*2)</f>
        <v>-6.9951957142857146E-4</v>
      </c>
      <c r="P17" s="3">
        <f t="shared" si="1"/>
        <v>0.50310643815336931</v>
      </c>
    </row>
    <row r="18" spans="1:16" x14ac:dyDescent="0.25">
      <c r="A18" s="3">
        <v>1</v>
      </c>
      <c r="B18" s="3">
        <v>-7.2600000000000003E-5</v>
      </c>
      <c r="C18" s="3">
        <v>2.3499999999999999E-4</v>
      </c>
      <c r="D18" s="3">
        <v>-3.1950000000000001E-4</v>
      </c>
      <c r="E18" s="3">
        <v>0</v>
      </c>
      <c r="F18" s="3">
        <v>0</v>
      </c>
      <c r="G18" s="3">
        <v>0</v>
      </c>
      <c r="H18" s="3">
        <v>1.3992974999999999E-4</v>
      </c>
      <c r="I18" s="3">
        <v>2.4984667000000001E-5</v>
      </c>
      <c r="J18" s="3">
        <v>-2.7087269000000003E-4</v>
      </c>
      <c r="L18" s="3">
        <f t="shared" si="0"/>
        <v>-0.2272300469483568</v>
      </c>
      <c r="M18" s="3"/>
      <c r="N18" s="2">
        <f>IF('Modell einstellen'!$B$1="Voll",H18/0.35,H18/0.35*2)</f>
        <v>3.9979928571428573E-4</v>
      </c>
      <c r="O18" s="2">
        <f>IF('Modell einstellen'!$B$1="Voll",J18/0.35,J18/0.35*2)</f>
        <v>-7.739219714285716E-4</v>
      </c>
      <c r="P18" s="3">
        <f t="shared" si="1"/>
        <v>0.51658862323846666</v>
      </c>
    </row>
    <row r="19" spans="1:16" x14ac:dyDescent="0.25">
      <c r="A19" s="3">
        <v>10</v>
      </c>
      <c r="B19" s="3">
        <v>-9.1500000000000001E-5</v>
      </c>
      <c r="C19" s="3">
        <v>2.8590000000000001E-4</v>
      </c>
      <c r="D19" s="3">
        <v>-3.5100000000000002E-4</v>
      </c>
      <c r="E19" s="3">
        <v>0</v>
      </c>
      <c r="F19" s="3">
        <v>0</v>
      </c>
      <c r="G19" s="3">
        <v>0</v>
      </c>
      <c r="H19" s="3">
        <v>1.6530494E-4</v>
      </c>
      <c r="I19" s="3">
        <v>3.1521479000000002E-5</v>
      </c>
      <c r="J19" s="3">
        <v>-3.1960990999999999E-4</v>
      </c>
      <c r="L19" s="3">
        <f t="shared" si="0"/>
        <v>-0.26068376068376065</v>
      </c>
      <c r="M19" s="3"/>
      <c r="N19" s="2">
        <f>IF('Modell einstellen'!$B$1="Voll",H19/0.35,H19/0.35*2)</f>
        <v>4.7229982857142862E-4</v>
      </c>
      <c r="O19" s="2">
        <f>IF('Modell einstellen'!$B$1="Voll",J19/0.35,J19/0.35*2)</f>
        <v>-9.1317117142857148E-4</v>
      </c>
      <c r="P19" s="3">
        <f t="shared" si="1"/>
        <v>0.51720843073983536</v>
      </c>
    </row>
    <row r="20" spans="1:16" x14ac:dyDescent="0.25">
      <c r="A20" s="3">
        <v>100</v>
      </c>
      <c r="B20" s="3">
        <v>-1.262E-4</v>
      </c>
      <c r="C20" s="3">
        <v>3.7179999999999998E-4</v>
      </c>
      <c r="D20" s="3">
        <v>-4.0079999999999998E-4</v>
      </c>
      <c r="E20" s="3">
        <v>0</v>
      </c>
      <c r="F20" s="3">
        <v>0</v>
      </c>
      <c r="G20" s="3">
        <v>0</v>
      </c>
      <c r="H20" s="3">
        <v>2.0421952000000001E-4</v>
      </c>
      <c r="I20" s="3">
        <v>4.3178043000000003E-5</v>
      </c>
      <c r="J20" s="3">
        <v>-4.0029247999999999E-4</v>
      </c>
      <c r="L20" s="3">
        <f t="shared" si="0"/>
        <v>-0.31487025948103797</v>
      </c>
      <c r="M20" s="3"/>
      <c r="N20" s="2">
        <f>IF('Modell einstellen'!$B$1="Voll",H20/0.35,H20/0.35*2)</f>
        <v>5.8348434285714296E-4</v>
      </c>
      <c r="O20" s="2">
        <f>IF('Modell einstellen'!$B$1="Voll",J20/0.35,J20/0.35*2)</f>
        <v>-1.1436928E-3</v>
      </c>
      <c r="P20" s="3">
        <f t="shared" si="1"/>
        <v>0.51017575948466487</v>
      </c>
    </row>
    <row r="21" spans="1:16" x14ac:dyDescent="0.25">
      <c r="A21" s="3">
        <v>1000</v>
      </c>
      <c r="B21" s="3">
        <v>-2.3379999999999999E-4</v>
      </c>
      <c r="C21" s="3">
        <v>4.9200000000000003E-4</v>
      </c>
      <c r="D21" s="3">
        <v>-4.1320000000000001E-4</v>
      </c>
      <c r="E21" s="3">
        <v>0</v>
      </c>
      <c r="F21" s="3">
        <v>0</v>
      </c>
      <c r="G21" s="3">
        <v>0</v>
      </c>
      <c r="H21" s="3">
        <v>2.6622712999999998E-4</v>
      </c>
      <c r="I21" s="3">
        <v>6.0884707000000003E-5</v>
      </c>
      <c r="J21" s="3">
        <v>-5.2632613000000005E-4</v>
      </c>
      <c r="L21" s="3">
        <f t="shared" si="0"/>
        <v>-0.56582768635043557</v>
      </c>
      <c r="M21" s="3"/>
      <c r="N21" s="2">
        <f>IF('Modell einstellen'!$B$1="Voll",H21/0.35,H21/0.35*2)</f>
        <v>7.6064894285714289E-4</v>
      </c>
      <c r="O21" s="2">
        <f>IF('Modell einstellen'!$B$1="Voll",J21/0.35,J21/0.35*2)</f>
        <v>-1.5037889428571431E-3</v>
      </c>
      <c r="P21" s="3">
        <f t="shared" si="1"/>
        <v>0.50582160912284546</v>
      </c>
    </row>
    <row r="22" spans="1:16" x14ac:dyDescent="0.25">
      <c r="A22" s="3">
        <v>10000</v>
      </c>
      <c r="B22" s="3">
        <v>-4.9870000000000003E-4</v>
      </c>
      <c r="C22" s="3">
        <v>6.6339999999999997E-4</v>
      </c>
      <c r="D22" s="3">
        <v>-3.2079999999999999E-4</v>
      </c>
      <c r="E22" s="3">
        <v>0</v>
      </c>
      <c r="F22" s="3">
        <v>0</v>
      </c>
      <c r="G22" s="3">
        <v>0</v>
      </c>
      <c r="H22" s="3">
        <v>3.6993943000000003E-4</v>
      </c>
      <c r="I22" s="3">
        <v>8.8409494000000005E-5</v>
      </c>
      <c r="J22" s="3">
        <v>-7.3016987000000002E-4</v>
      </c>
      <c r="L22" s="3">
        <f t="shared" si="0"/>
        <v>-1.5545511221945139</v>
      </c>
      <c r="M22" s="3"/>
      <c r="N22" s="2">
        <f>IF('Modell einstellen'!$B$1="Voll",H22/0.35,H22/0.35*2)</f>
        <v>1.0569698000000001E-3</v>
      </c>
      <c r="O22" s="2">
        <f>IF('Modell einstellen'!$B$1="Voll",J22/0.35,J22/0.35*2)</f>
        <v>-2.0861996285714288E-3</v>
      </c>
      <c r="P22" s="3">
        <f t="shared" si="1"/>
        <v>0.5066484460663927</v>
      </c>
    </row>
    <row r="23" spans="1:16" x14ac:dyDescent="0.25">
      <c r="A23" s="3">
        <v>100000</v>
      </c>
      <c r="B23" s="3">
        <v>-9.5359999999999998E-4</v>
      </c>
      <c r="C23" s="3">
        <v>9.0039999999999999E-4</v>
      </c>
      <c r="D23" s="3">
        <v>-1.038E-4</v>
      </c>
      <c r="E23" s="3">
        <v>0</v>
      </c>
      <c r="F23" s="3">
        <v>0</v>
      </c>
      <c r="G23" s="3">
        <v>0</v>
      </c>
      <c r="H23" s="3">
        <v>5.1797943000000003E-4</v>
      </c>
      <c r="I23" s="3">
        <v>1.2863878000000001E-4</v>
      </c>
      <c r="J23" s="3">
        <v>-1.0246764999999999E-3</v>
      </c>
      <c r="L23" s="3">
        <f t="shared" si="0"/>
        <v>-9.1868978805394992</v>
      </c>
      <c r="M23" s="3"/>
      <c r="N23" s="2">
        <f>IF('Modell einstellen'!$B$1="Voll",H23/0.35,H23/0.35*2)</f>
        <v>1.4799412285714287E-3</v>
      </c>
      <c r="O23" s="2">
        <f>IF('Modell einstellen'!$B$1="Voll",J23/0.35,J23/0.35*2)</f>
        <v>-2.927647142857143E-3</v>
      </c>
      <c r="P23" s="3">
        <f t="shared" si="1"/>
        <v>0.5055053277790601</v>
      </c>
    </row>
    <row r="24" spans="1:16" x14ac:dyDescent="0.25">
      <c r="A24" s="3">
        <v>1000000</v>
      </c>
      <c r="B24" s="3">
        <v>-1.591E-3</v>
      </c>
      <c r="C24" s="3">
        <v>1.214E-3</v>
      </c>
      <c r="D24" s="3">
        <v>2.2029999999999999E-4</v>
      </c>
      <c r="E24" s="3">
        <v>0</v>
      </c>
      <c r="F24" s="3">
        <v>0</v>
      </c>
      <c r="G24" s="3">
        <v>0</v>
      </c>
      <c r="H24" s="3">
        <v>7.0392318E-4</v>
      </c>
      <c r="I24" s="3">
        <v>1.8326907999999999E-4</v>
      </c>
      <c r="J24" s="3">
        <v>-1.4093254E-3</v>
      </c>
      <c r="L24" s="3">
        <f t="shared" si="0"/>
        <v>7.2219700408533818</v>
      </c>
      <c r="M24" s="3"/>
      <c r="N24" s="2">
        <f>IF('Modell einstellen'!$B$1="Voll",H24/0.35,H24/0.35*2)</f>
        <v>2.0112090857142858E-3</v>
      </c>
      <c r="O24" s="2">
        <f>IF('Modell einstellen'!$B$1="Voll",J24/0.35,J24/0.35*2)</f>
        <v>-4.0266440000000002E-3</v>
      </c>
      <c r="P24" s="3">
        <f t="shared" si="1"/>
        <v>0.49947526667723435</v>
      </c>
    </row>
    <row r="25" spans="1:16" x14ac:dyDescent="0.25">
      <c r="A25" s="3">
        <v>10000000</v>
      </c>
      <c r="B25" s="3">
        <v>-2.1059999999999998E-3</v>
      </c>
      <c r="C25" s="3">
        <v>1.5100000000000001E-3</v>
      </c>
      <c r="D25" s="3">
        <v>4.3970000000000001E-4</v>
      </c>
      <c r="E25" s="3">
        <v>0</v>
      </c>
      <c r="F25" s="3">
        <v>0</v>
      </c>
      <c r="G25" s="3">
        <v>0</v>
      </c>
      <c r="H25" s="3">
        <v>8.4915985999999997E-4</v>
      </c>
      <c r="I25" s="3">
        <v>2.3545669E-4</v>
      </c>
      <c r="J25" s="3">
        <v>-1.7440691E-3</v>
      </c>
      <c r="L25" s="3">
        <f t="shared" si="0"/>
        <v>4.7896292926995674</v>
      </c>
      <c r="M25" s="3"/>
      <c r="N25" s="2">
        <f>IF('Modell einstellen'!$B$1="Voll",H25/0.35,H25/0.35*2)</f>
        <v>2.4261710285714286E-3</v>
      </c>
      <c r="O25" s="2">
        <f>IF('Modell einstellen'!$B$1="Voll",J25/0.35,J25/0.35*2)</f>
        <v>-4.9830545714285718E-3</v>
      </c>
      <c r="P25" s="3">
        <f t="shared" si="1"/>
        <v>0.48688429833428043</v>
      </c>
    </row>
    <row r="26" spans="1:16" x14ac:dyDescent="0.25">
      <c r="A26" s="3">
        <v>100000000</v>
      </c>
      <c r="B26" s="3">
        <v>-2.4810000000000001E-3</v>
      </c>
      <c r="C26" s="3">
        <v>1.756E-3</v>
      </c>
      <c r="D26" s="3">
        <v>5.6910000000000001E-4</v>
      </c>
      <c r="E26" s="3">
        <v>0</v>
      </c>
      <c r="F26" s="3">
        <v>0</v>
      </c>
      <c r="G26" s="3">
        <v>0</v>
      </c>
      <c r="H26" s="3">
        <v>9.5481717999999999E-4</v>
      </c>
      <c r="I26" s="3">
        <v>2.7912257999999999E-4</v>
      </c>
      <c r="J26" s="3">
        <v>-2.0081027000000001E-3</v>
      </c>
      <c r="L26" s="3">
        <f t="shared" si="0"/>
        <v>4.3595150237216655</v>
      </c>
      <c r="M26" s="3"/>
      <c r="N26" s="2">
        <f>IF('Modell einstellen'!$B$1="Voll",H26/0.35,H26/0.35*2)</f>
        <v>2.7280490857142857E-3</v>
      </c>
      <c r="O26" s="2">
        <f>IF('Modell einstellen'!$B$1="Voll",J26/0.35,J26/0.35*2)</f>
        <v>-5.7374362857142867E-3</v>
      </c>
      <c r="P26" s="3">
        <f t="shared" si="1"/>
        <v>0.47548224500669206</v>
      </c>
    </row>
    <row r="27" spans="1:16" x14ac:dyDescent="0.25">
      <c r="A27" s="3">
        <v>1000000000</v>
      </c>
      <c r="B27" s="3">
        <v>-2.6670000000000001E-3</v>
      </c>
      <c r="C27" s="3">
        <v>1.91E-3</v>
      </c>
      <c r="D27" s="3">
        <v>6.0260000000000001E-4</v>
      </c>
      <c r="E27" s="3">
        <v>0</v>
      </c>
      <c r="F27" s="3">
        <v>0</v>
      </c>
      <c r="G27" s="3">
        <v>0</v>
      </c>
      <c r="H27" s="3">
        <v>1.0078852000000001E-3</v>
      </c>
      <c r="I27" s="3">
        <v>3.0648713E-4</v>
      </c>
      <c r="J27" s="3">
        <v>-2.1603500000000001E-3</v>
      </c>
      <c r="L27" s="3">
        <f t="shared" si="0"/>
        <v>4.4258214404248255</v>
      </c>
      <c r="M27" s="3"/>
      <c r="N27" s="2">
        <f>IF('Modell einstellen'!$B$1="Voll",H27/0.35,H27/0.35*2)</f>
        <v>2.8796720000000007E-3</v>
      </c>
      <c r="O27" s="2">
        <f>IF('Modell einstellen'!$B$1="Voll",J27/0.35,J27/0.35*2)</f>
        <v>-6.1724285714285718E-3</v>
      </c>
      <c r="P27" s="3">
        <f t="shared" si="1"/>
        <v>0.46653792209595674</v>
      </c>
    </row>
    <row r="28" spans="1:16" x14ac:dyDescent="0.25">
      <c r="A28" s="3">
        <v>10000000000</v>
      </c>
      <c r="B28" s="3">
        <v>-2.8189999999999999E-3</v>
      </c>
      <c r="C28" s="3">
        <v>2.0330000000000001E-3</v>
      </c>
      <c r="D28" s="3">
        <v>6.3259999999999998E-4</v>
      </c>
      <c r="E28" s="3">
        <v>0</v>
      </c>
      <c r="F28" s="3">
        <v>0</v>
      </c>
      <c r="G28" s="3">
        <v>0</v>
      </c>
      <c r="H28" s="3">
        <v>1.0552281000000001E-3</v>
      </c>
      <c r="I28" s="3">
        <v>3.2857300000000003E-4</v>
      </c>
      <c r="J28" s="3">
        <v>-2.2876734999999998E-3</v>
      </c>
      <c r="L28" s="3">
        <f t="shared" si="0"/>
        <v>4.4562124565286121</v>
      </c>
      <c r="M28" s="3"/>
      <c r="N28" s="2">
        <f>IF('Modell einstellen'!$B$1="Voll",H28/0.35,H28/0.35*2)</f>
        <v>3.0149374285714289E-3</v>
      </c>
      <c r="O28" s="2">
        <f>IF('Modell einstellen'!$B$1="Voll",J28/0.35,J28/0.35*2)</f>
        <v>-6.5362099999999998E-3</v>
      </c>
      <c r="P28" s="3">
        <f t="shared" si="1"/>
        <v>0.46126691593009234</v>
      </c>
    </row>
    <row r="29" spans="1:16" x14ac:dyDescent="0.25">
      <c r="A29" s="3">
        <v>100000000000</v>
      </c>
      <c r="B29" s="3">
        <v>-2.895E-3</v>
      </c>
      <c r="C29" s="3">
        <v>2.0799999999999998E-3</v>
      </c>
      <c r="D29" s="3">
        <v>6.6140000000000003E-4</v>
      </c>
      <c r="E29" s="3">
        <v>0</v>
      </c>
      <c r="F29" s="3">
        <v>0</v>
      </c>
      <c r="G29" s="3">
        <v>0</v>
      </c>
      <c r="H29" s="3">
        <v>1.0780168000000001E-3</v>
      </c>
      <c r="I29" s="3">
        <v>3.3732058999999998E-4</v>
      </c>
      <c r="J29" s="3">
        <v>-2.3420721000000002E-3</v>
      </c>
      <c r="L29" s="3">
        <f t="shared" si="0"/>
        <v>4.3770789234956151</v>
      </c>
      <c r="M29" s="3"/>
      <c r="N29" s="2">
        <f>IF('Modell einstellen'!$B$1="Voll",H29/0.35,H29/0.35*2)</f>
        <v>3.0800480000000002E-3</v>
      </c>
      <c r="O29" s="2">
        <f>IF('Modell einstellen'!$B$1="Voll",J29/0.35,J29/0.35*2)</f>
        <v>-6.6916345714285721E-3</v>
      </c>
      <c r="P29" s="3">
        <f t="shared" si="1"/>
        <v>0.46028335336047083</v>
      </c>
    </row>
    <row r="30" spans="1:16" x14ac:dyDescent="0.25">
      <c r="A30" s="3">
        <v>1000000000000</v>
      </c>
      <c r="B30" s="3">
        <v>-3.0249999999999999E-3</v>
      </c>
      <c r="C30" s="3">
        <v>2.147E-3</v>
      </c>
      <c r="D30" s="3">
        <v>7.2349999999999997E-4</v>
      </c>
      <c r="E30" s="3">
        <v>0</v>
      </c>
      <c r="F30" s="3">
        <v>0</v>
      </c>
      <c r="G30" s="3">
        <v>0</v>
      </c>
      <c r="H30" s="3">
        <v>1.1149615E-3</v>
      </c>
      <c r="I30" s="3">
        <v>3.4979687999999999E-4</v>
      </c>
      <c r="J30" s="3">
        <v>-2.4240885000000002E-3</v>
      </c>
      <c r="L30" s="3">
        <f t="shared" si="0"/>
        <v>4.1810642709053214</v>
      </c>
      <c r="M30" s="3"/>
      <c r="N30" s="2">
        <f>IF('Modell einstellen'!$B$1="Voll",H30/0.35,H30/0.35*2)</f>
        <v>3.1856042857142859E-3</v>
      </c>
      <c r="O30" s="2">
        <f>IF('Modell einstellen'!$B$1="Voll",J30/0.35,J30/0.35*2)</f>
        <v>-6.9259671428571435E-3</v>
      </c>
      <c r="P30" s="3">
        <f t="shared" si="1"/>
        <v>0.45995082275255211</v>
      </c>
    </row>
    <row r="31" spans="1:16" x14ac:dyDescent="0.25">
      <c r="A31" s="3">
        <v>10000000000000</v>
      </c>
      <c r="B31" s="3">
        <v>-3.1289999999999998E-3</v>
      </c>
      <c r="C31" s="3">
        <v>2.2620000000000001E-3</v>
      </c>
      <c r="D31" s="3">
        <v>7.1319999999999999E-4</v>
      </c>
      <c r="E31" s="3">
        <v>0</v>
      </c>
      <c r="F31" s="3">
        <v>0</v>
      </c>
      <c r="G31" s="3">
        <v>0</v>
      </c>
      <c r="H31" s="3">
        <v>1.1629633E-3</v>
      </c>
      <c r="I31" s="3">
        <v>3.7054693E-4</v>
      </c>
      <c r="J31" s="3">
        <v>-2.5471228E-3</v>
      </c>
      <c r="L31" s="3">
        <f t="shared" si="0"/>
        <v>4.3872686483454846</v>
      </c>
      <c r="M31" s="3"/>
      <c r="N31" s="2">
        <f>IF('Modell einstellen'!$B$1="Voll",H31/0.35,H31/0.35*2)</f>
        <v>3.322752285714286E-3</v>
      </c>
      <c r="O31" s="2">
        <f>IF('Modell einstellen'!$B$1="Voll",J31/0.35,J31/0.35*2)</f>
        <v>-7.2774937142857151E-3</v>
      </c>
      <c r="P31" s="3">
        <f t="shared" si="1"/>
        <v>0.45657920379810507</v>
      </c>
    </row>
    <row r="32" spans="1:16" x14ac:dyDescent="0.25">
      <c r="A32" s="3">
        <v>100000000000000</v>
      </c>
      <c r="B32" s="3">
        <v>-3.1649999999999998E-3</v>
      </c>
      <c r="C32" s="3">
        <v>2.2669999999999999E-3</v>
      </c>
      <c r="D32" s="3">
        <v>7.4439999999999999E-4</v>
      </c>
      <c r="E32" s="3">
        <v>0</v>
      </c>
      <c r="F32" s="3">
        <v>0</v>
      </c>
      <c r="G32" s="3">
        <v>0</v>
      </c>
      <c r="H32" s="3">
        <v>1.1732361000000001E-3</v>
      </c>
      <c r="I32" s="3">
        <v>3.7139517999999999E-4</v>
      </c>
      <c r="J32" s="3">
        <v>-2.5603851000000001E-3</v>
      </c>
      <c r="L32" s="3">
        <f t="shared" si="0"/>
        <v>4.2517463729177862</v>
      </c>
      <c r="M32" s="3"/>
      <c r="N32" s="2">
        <f>IF('Modell einstellen'!$B$1="Voll",H32/0.35,H32/0.35*2)</f>
        <v>3.3521031428571432E-3</v>
      </c>
      <c r="O32" s="2">
        <f>IF('Modell einstellen'!$B$1="Voll",J32/0.35,J32/0.35*2)</f>
        <v>-7.315386000000001E-3</v>
      </c>
      <c r="P32" s="3">
        <f t="shared" si="1"/>
        <v>0.45822642070522906</v>
      </c>
    </row>
    <row r="33" spans="1:16" x14ac:dyDescent="0.25">
      <c r="A33" s="3">
        <v>1000000000000000</v>
      </c>
      <c r="B33" s="3">
        <v>-3.1649999999999998E-3</v>
      </c>
      <c r="C33" s="3">
        <v>2.2680000000000001E-3</v>
      </c>
      <c r="D33" s="3">
        <v>7.4319999999999996E-4</v>
      </c>
      <c r="E33" s="3">
        <v>0</v>
      </c>
      <c r="F33" s="3">
        <v>0</v>
      </c>
      <c r="G33" s="3">
        <v>0</v>
      </c>
      <c r="H33" s="3">
        <v>1.1734864E-3</v>
      </c>
      <c r="I33" s="3">
        <v>3.7177773000000001E-4</v>
      </c>
      <c r="J33" s="3">
        <v>-2.5620259000000002E-3</v>
      </c>
      <c r="L33" s="3">
        <f t="shared" si="0"/>
        <v>4.2586114101184069</v>
      </c>
      <c r="M33" s="3"/>
      <c r="N33" s="2">
        <f>IF('Modell einstellen'!$B$1="Voll",H33/0.35,H33/0.35*2)</f>
        <v>3.352818285714286E-3</v>
      </c>
      <c r="O33" s="2">
        <f>IF('Modell einstellen'!$B$1="Voll",J33/0.35,J33/0.35*2)</f>
        <v>-7.3200740000000011E-3</v>
      </c>
      <c r="P33" s="3">
        <f t="shared" si="1"/>
        <v>0.45803065456910486</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8.0679999999999993E-5</v>
      </c>
      <c r="C3" s="3">
        <v>1.4650000000000001E-4</v>
      </c>
      <c r="D3" s="3">
        <v>-3.6170000000000001E-4</v>
      </c>
      <c r="E3" s="3">
        <v>0</v>
      </c>
      <c r="F3" s="3">
        <v>0</v>
      </c>
      <c r="G3" s="3">
        <v>0</v>
      </c>
      <c r="H3" s="3">
        <v>5.8604696000000001E-5</v>
      </c>
      <c r="I3" s="3">
        <v>1.465317E-5</v>
      </c>
      <c r="J3" s="3">
        <v>-1.4907405999999999E-4</v>
      </c>
      <c r="L3" s="3">
        <f>-B3/D3</f>
        <v>0.22305778269283935</v>
      </c>
      <c r="M3" s="3"/>
      <c r="N3" s="2">
        <f>IF('Modell einstellen'!$B$1="Voll",H3/0.35,H3/0.35*2)</f>
        <v>1.6744198857142857E-4</v>
      </c>
      <c r="O3" s="2">
        <f>IF('Modell einstellen'!$B$1="Voll",J3/0.35,J3/0.35*2)</f>
        <v>-4.2592588571428573E-4</v>
      </c>
      <c r="P3" s="3">
        <f>-N3/O3</f>
        <v>0.39312470593475485</v>
      </c>
    </row>
    <row r="4" spans="1:16" x14ac:dyDescent="0.25">
      <c r="A4" s="3">
        <v>1E-14</v>
      </c>
      <c r="B4" s="3">
        <v>7.8300000000000006E-5</v>
      </c>
      <c r="C4" s="3">
        <v>1.5190000000000001E-4</v>
      </c>
      <c r="D4" s="3">
        <v>-3.6620000000000001E-4</v>
      </c>
      <c r="E4" s="3">
        <v>0</v>
      </c>
      <c r="F4" s="3">
        <v>0</v>
      </c>
      <c r="G4" s="3">
        <v>0</v>
      </c>
      <c r="H4" s="3">
        <v>6.1838739999999997E-5</v>
      </c>
      <c r="I4" s="3">
        <v>1.5230965E-5</v>
      </c>
      <c r="J4" s="3">
        <v>-1.5460785000000001E-4</v>
      </c>
      <c r="L4" s="3">
        <f t="shared" ref="L4:L33" si="0">-B4/D4</f>
        <v>0.21381758601856909</v>
      </c>
      <c r="M4" s="3"/>
      <c r="N4" s="2">
        <f>IF('Modell einstellen'!$B$1="Voll",H4/0.35,H4/0.35*2)</f>
        <v>1.766821142857143E-4</v>
      </c>
      <c r="O4" s="2">
        <f>IF('Modell einstellen'!$B$1="Voll",J4/0.35,J4/0.35*2)</f>
        <v>-4.4173671428571437E-4</v>
      </c>
      <c r="P4" s="3">
        <f t="shared" ref="P4:P33" si="1">-N4/O4</f>
        <v>0.39997154090170706</v>
      </c>
    </row>
    <row r="5" spans="1:16" x14ac:dyDescent="0.25">
      <c r="A5" s="3">
        <v>1E-13</v>
      </c>
      <c r="B5" s="3">
        <v>7.5069999999999998E-5</v>
      </c>
      <c r="C5" s="3">
        <v>1.573E-4</v>
      </c>
      <c r="D5" s="3">
        <v>-3.6999999999999999E-4</v>
      </c>
      <c r="E5" s="3">
        <v>0</v>
      </c>
      <c r="F5" s="3">
        <v>0</v>
      </c>
      <c r="G5" s="3">
        <v>0</v>
      </c>
      <c r="H5" s="3">
        <v>6.5310130000000006E-5</v>
      </c>
      <c r="I5" s="3">
        <v>1.5824874E-5</v>
      </c>
      <c r="J5" s="3">
        <v>-1.6044864000000001E-4</v>
      </c>
      <c r="L5" s="3">
        <f t="shared" si="0"/>
        <v>0.20289189189189188</v>
      </c>
      <c r="M5" s="3"/>
      <c r="N5" s="2">
        <f>IF('Modell einstellen'!$B$1="Voll",H5/0.35,H5/0.35*2)</f>
        <v>1.8660037142857145E-4</v>
      </c>
      <c r="O5" s="2">
        <f>IF('Modell einstellen'!$B$1="Voll",J5/0.35,J5/0.35*2)</f>
        <v>-4.5842468571428578E-4</v>
      </c>
      <c r="P5" s="3">
        <f t="shared" si="1"/>
        <v>0.40704695284422476</v>
      </c>
    </row>
    <row r="6" spans="1:16" x14ac:dyDescent="0.25">
      <c r="A6" s="3">
        <v>9.9999999999999998E-13</v>
      </c>
      <c r="B6" s="3">
        <v>7.025E-5</v>
      </c>
      <c r="C6" s="3">
        <v>1.6359999999999999E-4</v>
      </c>
      <c r="D6" s="3">
        <v>-3.7340000000000002E-4</v>
      </c>
      <c r="E6" s="3">
        <v>0</v>
      </c>
      <c r="F6" s="3">
        <v>0</v>
      </c>
      <c r="G6" s="3">
        <v>0</v>
      </c>
      <c r="H6" s="3">
        <v>6.9604279999999999E-5</v>
      </c>
      <c r="I6" s="3">
        <v>1.6523508E-5</v>
      </c>
      <c r="J6" s="3">
        <v>-1.6752866E-4</v>
      </c>
      <c r="L6" s="3">
        <f t="shared" si="0"/>
        <v>0.18813604713444027</v>
      </c>
      <c r="M6" s="3"/>
      <c r="N6" s="2">
        <f>IF('Modell einstellen'!$B$1="Voll",H6/0.35,H6/0.35*2)</f>
        <v>1.9886937142857145E-4</v>
      </c>
      <c r="O6" s="2">
        <f>IF('Modell einstellen'!$B$1="Voll",J6/0.35,J6/0.35*2)</f>
        <v>-4.7865331428571431E-4</v>
      </c>
      <c r="P6" s="3">
        <f t="shared" si="1"/>
        <v>0.41547685034906867</v>
      </c>
    </row>
    <row r="7" spans="1:16" x14ac:dyDescent="0.25">
      <c r="A7" s="3">
        <v>9.9999999999999994E-12</v>
      </c>
      <c r="B7" s="3">
        <v>6.4120000000000003E-5</v>
      </c>
      <c r="C7" s="3">
        <v>1.7000000000000001E-4</v>
      </c>
      <c r="D7" s="3">
        <v>-3.7540000000000002E-4</v>
      </c>
      <c r="E7" s="3">
        <v>0</v>
      </c>
      <c r="F7" s="3">
        <v>0</v>
      </c>
      <c r="G7" s="3">
        <v>0</v>
      </c>
      <c r="H7" s="3">
        <v>7.4216229000000002E-5</v>
      </c>
      <c r="I7" s="3">
        <v>1.7228960000000001E-5</v>
      </c>
      <c r="J7" s="3">
        <v>-1.7495189999999999E-4</v>
      </c>
      <c r="L7" s="3">
        <f t="shared" si="0"/>
        <v>0.17080447522642514</v>
      </c>
      <c r="M7" s="3"/>
      <c r="N7" s="2">
        <f>IF('Modell einstellen'!$B$1="Voll",H7/0.35,H7/0.35*2)</f>
        <v>2.1204636857142858E-4</v>
      </c>
      <c r="O7" s="2">
        <f>IF('Modell einstellen'!$B$1="Voll",J7/0.35,J7/0.35*2)</f>
        <v>-4.9986257142857146E-4</v>
      </c>
      <c r="P7" s="3">
        <f t="shared" si="1"/>
        <v>0.4242093341084035</v>
      </c>
    </row>
    <row r="8" spans="1:16" x14ac:dyDescent="0.25">
      <c r="A8" s="3">
        <v>1E-10</v>
      </c>
      <c r="B8" s="3">
        <v>5.7920000000000001E-5</v>
      </c>
      <c r="C8" s="3">
        <v>1.752E-4</v>
      </c>
      <c r="D8" s="3">
        <v>-3.7599999999999998E-4</v>
      </c>
      <c r="E8" s="3">
        <v>0</v>
      </c>
      <c r="F8" s="3">
        <v>0</v>
      </c>
      <c r="G8" s="3">
        <v>0</v>
      </c>
      <c r="H8" s="3">
        <v>7.8306537999999997E-5</v>
      </c>
      <c r="I8" s="3">
        <v>1.7817565000000001E-5</v>
      </c>
      <c r="J8" s="3">
        <v>-1.8138647999999999E-4</v>
      </c>
      <c r="L8" s="3">
        <f t="shared" si="0"/>
        <v>0.15404255319148938</v>
      </c>
      <c r="M8" s="3"/>
      <c r="N8" s="2">
        <f>IF('Modell einstellen'!$B$1="Voll",H8/0.35,H8/0.35*2)</f>
        <v>2.2373296571428573E-4</v>
      </c>
      <c r="O8" s="2">
        <f>IF('Modell einstellen'!$B$1="Voll",J8/0.35,J8/0.35*2)</f>
        <v>-5.1824708571428571E-4</v>
      </c>
      <c r="P8" s="3">
        <f t="shared" si="1"/>
        <v>0.43171099632122528</v>
      </c>
    </row>
    <row r="9" spans="1:16" x14ac:dyDescent="0.25">
      <c r="A9" s="3">
        <v>1.0000000000000001E-9</v>
      </c>
      <c r="B9" s="3">
        <v>5.0439999999999998E-5</v>
      </c>
      <c r="C9" s="3">
        <v>1.806E-4</v>
      </c>
      <c r="D9" s="3">
        <v>-3.7550000000000002E-4</v>
      </c>
      <c r="E9" s="3">
        <v>0</v>
      </c>
      <c r="F9" s="3">
        <v>0</v>
      </c>
      <c r="G9" s="3">
        <v>0</v>
      </c>
      <c r="H9" s="3">
        <v>8.2827895999999996E-5</v>
      </c>
      <c r="I9" s="3">
        <v>1.8435054E-5</v>
      </c>
      <c r="J9" s="3">
        <v>-1.8836693E-4</v>
      </c>
      <c r="L9" s="3">
        <f t="shared" si="0"/>
        <v>0.13432756324900133</v>
      </c>
      <c r="M9" s="3"/>
      <c r="N9" s="2">
        <f>IF('Modell einstellen'!$B$1="Voll",H9/0.35,H9/0.35*2)</f>
        <v>2.3665113142857144E-4</v>
      </c>
      <c r="O9" s="2">
        <f>IF('Modell einstellen'!$B$1="Voll",J9/0.35,J9/0.35*2)</f>
        <v>-5.3819122857142864E-4</v>
      </c>
      <c r="P9" s="3">
        <f t="shared" si="1"/>
        <v>0.43971569744222083</v>
      </c>
    </row>
    <row r="10" spans="1:16" x14ac:dyDescent="0.25">
      <c r="A10" s="3">
        <v>1E-8</v>
      </c>
      <c r="B10" s="3">
        <v>4.1780000000000003E-5</v>
      </c>
      <c r="C10" s="3">
        <v>1.8599999999999999E-4</v>
      </c>
      <c r="D10" s="3">
        <v>-3.7379999999999998E-4</v>
      </c>
      <c r="E10" s="3">
        <v>0</v>
      </c>
      <c r="F10" s="3">
        <v>0</v>
      </c>
      <c r="G10" s="3">
        <v>0</v>
      </c>
      <c r="H10" s="3">
        <v>8.7622361999999999E-5</v>
      </c>
      <c r="I10" s="3">
        <v>1.9050673999999999E-5</v>
      </c>
      <c r="J10" s="3">
        <v>-1.9561215999999999E-4</v>
      </c>
      <c r="L10" s="3">
        <f t="shared" si="0"/>
        <v>0.11177100053504549</v>
      </c>
      <c r="M10" s="3"/>
      <c r="N10" s="2">
        <f>IF('Modell einstellen'!$B$1="Voll",H10/0.35,H10/0.35*2)</f>
        <v>2.5034960571428572E-4</v>
      </c>
      <c r="O10" s="2">
        <f>IF('Modell einstellen'!$B$1="Voll",J10/0.35,J10/0.35*2)</f>
        <v>-5.5889188571428571E-4</v>
      </c>
      <c r="P10" s="3">
        <f t="shared" si="1"/>
        <v>0.44793923854222562</v>
      </c>
    </row>
    <row r="11" spans="1:16" x14ac:dyDescent="0.25">
      <c r="A11" s="3">
        <v>9.9999999999999995E-8</v>
      </c>
      <c r="B11" s="3">
        <v>3.0759999999999997E-5</v>
      </c>
      <c r="C11" s="3">
        <v>1.918E-4</v>
      </c>
      <c r="D11" s="3">
        <v>-3.704E-4</v>
      </c>
      <c r="E11" s="3">
        <v>0</v>
      </c>
      <c r="F11" s="3">
        <v>0</v>
      </c>
      <c r="G11" s="3">
        <v>0</v>
      </c>
      <c r="H11" s="3">
        <v>9.3262967999999997E-5</v>
      </c>
      <c r="I11" s="3">
        <v>1.9729536E-5</v>
      </c>
      <c r="J11" s="3">
        <v>-2.0395465000000001E-4</v>
      </c>
      <c r="L11" s="3">
        <f t="shared" si="0"/>
        <v>8.304535637149027E-2</v>
      </c>
      <c r="M11" s="3"/>
      <c r="N11" s="2">
        <f>IF('Modell einstellen'!$B$1="Voll",H11/0.35,H11/0.35*2)</f>
        <v>2.6646562285714289E-4</v>
      </c>
      <c r="O11" s="2">
        <f>IF('Modell einstellen'!$B$1="Voll",J11/0.35,J11/0.35*2)</f>
        <v>-5.8272757142857146E-4</v>
      </c>
      <c r="P11" s="3">
        <f t="shared" si="1"/>
        <v>0.45727306536036322</v>
      </c>
    </row>
    <row r="12" spans="1:16" x14ac:dyDescent="0.25">
      <c r="A12" s="3">
        <v>9.9999999999999995E-7</v>
      </c>
      <c r="B12" s="3">
        <v>1.8510000000000001E-5</v>
      </c>
      <c r="C12" s="3">
        <v>1.974E-4</v>
      </c>
      <c r="D12" s="3">
        <v>-3.6529999999999999E-4</v>
      </c>
      <c r="E12" s="3">
        <v>0</v>
      </c>
      <c r="F12" s="3">
        <v>0</v>
      </c>
      <c r="G12" s="3">
        <v>0</v>
      </c>
      <c r="H12" s="3">
        <v>9.9076654E-5</v>
      </c>
      <c r="I12" s="3">
        <v>2.0379440999999999E-5</v>
      </c>
      <c r="J12" s="3">
        <v>-2.1235378999999999E-4</v>
      </c>
      <c r="L12" s="3">
        <f t="shared" si="0"/>
        <v>5.0670681631535729E-2</v>
      </c>
      <c r="M12" s="3"/>
      <c r="N12" s="2">
        <f>IF('Modell einstellen'!$B$1="Voll",H12/0.35,H12/0.35*2)</f>
        <v>2.830761542857143E-4</v>
      </c>
      <c r="O12" s="2">
        <f>IF('Modell einstellen'!$B$1="Voll",J12/0.35,J12/0.35*2)</f>
        <v>-6.0672511428571426E-4</v>
      </c>
      <c r="P12" s="3">
        <f t="shared" si="1"/>
        <v>0.46656409570085849</v>
      </c>
    </row>
    <row r="13" spans="1:16" x14ac:dyDescent="0.25">
      <c r="A13" s="3">
        <v>1.0000000000000001E-5</v>
      </c>
      <c r="B13" s="3">
        <v>-1.2949999999999999E-7</v>
      </c>
      <c r="C13" s="3">
        <v>2.0460000000000001E-4</v>
      </c>
      <c r="D13" s="3">
        <v>-3.5599999999999998E-4</v>
      </c>
      <c r="E13" s="3">
        <v>0</v>
      </c>
      <c r="F13" s="3">
        <v>0</v>
      </c>
      <c r="G13" s="3">
        <v>0</v>
      </c>
      <c r="H13" s="3">
        <v>1.0736426E-4</v>
      </c>
      <c r="I13" s="3">
        <v>2.1236928E-5</v>
      </c>
      <c r="J13" s="3">
        <v>-2.2405215E-4</v>
      </c>
      <c r="L13" s="3">
        <f t="shared" si="0"/>
        <v>-3.6376404494382019E-4</v>
      </c>
      <c r="M13" s="3"/>
      <c r="N13" s="2">
        <f>IF('Modell einstellen'!$B$1="Voll",H13/0.35,H13/0.35*2)</f>
        <v>3.0675502857142862E-4</v>
      </c>
      <c r="O13" s="2">
        <f>IF('Modell einstellen'!$B$1="Voll",J13/0.35,J13/0.35*2)</f>
        <v>-6.4014900000000001E-4</v>
      </c>
      <c r="P13" s="3">
        <f t="shared" si="1"/>
        <v>0.47919316998297057</v>
      </c>
    </row>
    <row r="14" spans="1:16" x14ac:dyDescent="0.25">
      <c r="A14" s="3">
        <v>1E-4</v>
      </c>
      <c r="B14" s="3">
        <v>-2.4649999999999999E-5</v>
      </c>
      <c r="C14" s="3">
        <v>2.1230000000000001E-4</v>
      </c>
      <c r="D14" s="3">
        <v>-3.4160000000000001E-4</v>
      </c>
      <c r="E14" s="3">
        <v>0</v>
      </c>
      <c r="F14" s="3">
        <v>0</v>
      </c>
      <c r="G14" s="3">
        <v>0</v>
      </c>
      <c r="H14" s="3">
        <v>1.1743732E-4</v>
      </c>
      <c r="I14" s="3">
        <v>2.2170517E-5</v>
      </c>
      <c r="J14" s="3">
        <v>-2.3783596E-4</v>
      </c>
      <c r="L14" s="3">
        <f t="shared" si="0"/>
        <v>-7.2160421545667444E-2</v>
      </c>
      <c r="M14" s="3"/>
      <c r="N14" s="2">
        <f>IF('Modell einstellen'!$B$1="Voll",H14/0.35,H14/0.35*2)</f>
        <v>3.3553520000000005E-4</v>
      </c>
      <c r="O14" s="2">
        <f>IF('Modell einstellen'!$B$1="Voll",J14/0.35,J14/0.35*2)</f>
        <v>-6.7953131428571435E-4</v>
      </c>
      <c r="P14" s="3">
        <f t="shared" si="1"/>
        <v>0.49377444857371444</v>
      </c>
    </row>
    <row r="15" spans="1:16" x14ac:dyDescent="0.25">
      <c r="A15" s="3">
        <v>1E-3</v>
      </c>
      <c r="B15" s="3">
        <v>-6.0810000000000002E-5</v>
      </c>
      <c r="C15" s="3">
        <v>2.2139999999999999E-4</v>
      </c>
      <c r="D15" s="3">
        <v>-3.1740000000000002E-4</v>
      </c>
      <c r="E15" s="3">
        <v>0</v>
      </c>
      <c r="F15" s="3">
        <v>0</v>
      </c>
      <c r="G15" s="3">
        <v>0</v>
      </c>
      <c r="H15" s="3">
        <v>1.3128963000000001E-4</v>
      </c>
      <c r="I15" s="3">
        <v>2.3307850000000001E-5</v>
      </c>
      <c r="J15" s="3">
        <v>-2.5620292999999999E-4</v>
      </c>
      <c r="L15" s="3">
        <f t="shared" si="0"/>
        <v>-0.19158790170132325</v>
      </c>
      <c r="M15" s="3"/>
      <c r="N15" s="2">
        <f>IF('Modell einstellen'!$B$1="Voll",H15/0.35,H15/0.35*2)</f>
        <v>3.7511322857142866E-4</v>
      </c>
      <c r="O15" s="2">
        <f>IF('Modell einstellen'!$B$1="Voll",J15/0.35,J15/0.35*2)</f>
        <v>-7.3200837142857141E-4</v>
      </c>
      <c r="P15" s="3">
        <f t="shared" si="1"/>
        <v>0.51244390530584494</v>
      </c>
    </row>
    <row r="16" spans="1:16" x14ac:dyDescent="0.25">
      <c r="A16" s="3">
        <v>0.01</v>
      </c>
      <c r="B16" s="3">
        <v>-1.143E-4</v>
      </c>
      <c r="C16" s="3">
        <v>2.3250000000000001E-4</v>
      </c>
      <c r="D16" s="3">
        <v>-2.7819999999999999E-4</v>
      </c>
      <c r="E16" s="3">
        <v>0</v>
      </c>
      <c r="F16" s="3">
        <v>0</v>
      </c>
      <c r="G16" s="3">
        <v>0</v>
      </c>
      <c r="H16" s="3">
        <v>1.5056596999999999E-4</v>
      </c>
      <c r="I16" s="3">
        <v>2.4717776999999999E-5</v>
      </c>
      <c r="J16" s="3">
        <v>-2.8103048999999998E-4</v>
      </c>
      <c r="L16" s="3">
        <f t="shared" si="0"/>
        <v>-0.41085549964054641</v>
      </c>
      <c r="M16" s="3"/>
      <c r="N16" s="2">
        <f>IF('Modell einstellen'!$B$1="Voll",H16/0.35,H16/0.35*2)</f>
        <v>4.3018848571428571E-4</v>
      </c>
      <c r="O16" s="2">
        <f>IF('Modell einstellen'!$B$1="Voll",J16/0.35,J16/0.35*2)</f>
        <v>-8.0294425714285713E-4</v>
      </c>
      <c r="P16" s="3">
        <f t="shared" si="1"/>
        <v>0.53576382406051382</v>
      </c>
    </row>
    <row r="17" spans="1:16" x14ac:dyDescent="0.25">
      <c r="A17" s="3">
        <v>0.1</v>
      </c>
      <c r="B17" s="3">
        <v>-1.9760000000000001E-4</v>
      </c>
      <c r="C17" s="3">
        <v>2.5260000000000001E-4</v>
      </c>
      <c r="D17" s="3">
        <v>-2.1829999999999999E-4</v>
      </c>
      <c r="E17" s="3">
        <v>0</v>
      </c>
      <c r="F17" s="3">
        <v>0</v>
      </c>
      <c r="G17" s="3">
        <v>0</v>
      </c>
      <c r="H17" s="3">
        <v>1.8119332000000001E-4</v>
      </c>
      <c r="I17" s="3">
        <v>2.7331289E-5</v>
      </c>
      <c r="J17" s="3">
        <v>-3.2153929000000001E-4</v>
      </c>
      <c r="L17" s="3">
        <f t="shared" si="0"/>
        <v>-0.90517636280348146</v>
      </c>
      <c r="M17" s="3"/>
      <c r="N17" s="2">
        <f>IF('Modell einstellen'!$B$1="Voll",H17/0.35,H17/0.35*2)</f>
        <v>5.1769520000000005E-4</v>
      </c>
      <c r="O17" s="2">
        <f>IF('Modell einstellen'!$B$1="Voll",J17/0.35,J17/0.35*2)</f>
        <v>-9.1868368571428581E-4</v>
      </c>
      <c r="P17" s="3">
        <f t="shared" si="1"/>
        <v>0.56351844280056718</v>
      </c>
    </row>
    <row r="18" spans="1:16" x14ac:dyDescent="0.25">
      <c r="A18" s="3">
        <v>1</v>
      </c>
      <c r="B18" s="3">
        <v>-3.1409999999999999E-4</v>
      </c>
      <c r="C18" s="3">
        <v>3.0709999999999998E-4</v>
      </c>
      <c r="D18" s="3">
        <v>-1.5809999999999999E-4</v>
      </c>
      <c r="E18" s="3">
        <v>0</v>
      </c>
      <c r="F18" s="3">
        <v>0</v>
      </c>
      <c r="G18" s="3">
        <v>0</v>
      </c>
      <c r="H18" s="3">
        <v>2.3168670000000001E-4</v>
      </c>
      <c r="I18" s="3">
        <v>3.4646980000000001E-5</v>
      </c>
      <c r="J18" s="3">
        <v>-3.9852855000000001E-4</v>
      </c>
      <c r="L18" s="3">
        <f t="shared" si="0"/>
        <v>-1.9867172675521823</v>
      </c>
      <c r="M18" s="3"/>
      <c r="N18" s="2">
        <f>IF('Modell einstellen'!$B$1="Voll",H18/0.35,H18/0.35*2)</f>
        <v>6.619620000000001E-4</v>
      </c>
      <c r="O18" s="2">
        <f>IF('Modell einstellen'!$B$1="Voll",J18/0.35,J18/0.35*2)</f>
        <v>-1.1386530000000001E-3</v>
      </c>
      <c r="P18" s="3">
        <f t="shared" si="1"/>
        <v>0.58135533828128505</v>
      </c>
    </row>
    <row r="19" spans="1:16" x14ac:dyDescent="0.25">
      <c r="A19" s="3">
        <v>10</v>
      </c>
      <c r="B19" s="3">
        <v>-5.2939999999999997E-4</v>
      </c>
      <c r="C19" s="3">
        <v>4.2039999999999997E-4</v>
      </c>
      <c r="D19" s="3">
        <v>-5.6379999999999999E-5</v>
      </c>
      <c r="E19" s="3">
        <v>0</v>
      </c>
      <c r="F19" s="3">
        <v>0</v>
      </c>
      <c r="G19" s="3">
        <v>0</v>
      </c>
      <c r="H19" s="3">
        <v>3.2015203999999998E-4</v>
      </c>
      <c r="I19" s="3">
        <v>5.0878648999999998E-5</v>
      </c>
      <c r="J19" s="3">
        <v>-5.4551503999999995E-4</v>
      </c>
      <c r="L19" s="3">
        <f t="shared" si="0"/>
        <v>-9.3898545583540258</v>
      </c>
      <c r="M19" s="3"/>
      <c r="N19" s="2">
        <f>IF('Modell einstellen'!$B$1="Voll",H19/0.35,H19/0.35*2)</f>
        <v>9.147201142857143E-4</v>
      </c>
      <c r="O19" s="2">
        <f>IF('Modell einstellen'!$B$1="Voll",J19/0.35,J19/0.35*2)</f>
        <v>-1.5586144E-3</v>
      </c>
      <c r="P19" s="3">
        <f t="shared" si="1"/>
        <v>0.58688031772689531</v>
      </c>
    </row>
    <row r="20" spans="1:16" x14ac:dyDescent="0.25">
      <c r="A20" s="3">
        <v>100</v>
      </c>
      <c r="B20" s="3">
        <v>-9.0779999999999995E-4</v>
      </c>
      <c r="C20" s="3">
        <v>5.9199999999999997E-4</v>
      </c>
      <c r="D20" s="3">
        <v>1.506E-4</v>
      </c>
      <c r="E20" s="3">
        <v>0</v>
      </c>
      <c r="F20" s="3">
        <v>0</v>
      </c>
      <c r="G20" s="3">
        <v>0</v>
      </c>
      <c r="H20" s="3">
        <v>4.5260478999999999E-4</v>
      </c>
      <c r="I20" s="3">
        <v>7.7833776000000001E-5</v>
      </c>
      <c r="J20" s="3">
        <v>-7.7544373000000002E-4</v>
      </c>
      <c r="L20" s="3">
        <f t="shared" si="0"/>
        <v>6.0278884462151394</v>
      </c>
      <c r="M20" s="3"/>
      <c r="N20" s="2">
        <f>IF('Modell einstellen'!$B$1="Voll",H20/0.35,H20/0.35*2)</f>
        <v>1.2931565428571429E-3</v>
      </c>
      <c r="O20" s="2">
        <f>IF('Modell einstellen'!$B$1="Voll",J20/0.35,J20/0.35*2)</f>
        <v>-2.2155535142857146E-3</v>
      </c>
      <c r="P20" s="3">
        <f t="shared" si="1"/>
        <v>0.58367199641939194</v>
      </c>
    </row>
    <row r="21" spans="1:16" x14ac:dyDescent="0.25">
      <c r="A21" s="3">
        <v>1000</v>
      </c>
      <c r="B21" s="3">
        <v>-1.5070000000000001E-3</v>
      </c>
      <c r="C21" s="3">
        <v>8.3520000000000003E-4</v>
      </c>
      <c r="D21" s="3">
        <v>5.0690000000000002E-4</v>
      </c>
      <c r="E21" s="3">
        <v>0</v>
      </c>
      <c r="F21" s="3">
        <v>0</v>
      </c>
      <c r="G21" s="3">
        <v>0</v>
      </c>
      <c r="H21" s="3">
        <v>6.3887147000000002E-4</v>
      </c>
      <c r="I21" s="3">
        <v>1.1890521E-4</v>
      </c>
      <c r="J21" s="3">
        <v>-1.1105784E-3</v>
      </c>
      <c r="L21" s="3">
        <f t="shared" si="0"/>
        <v>2.9729729729729732</v>
      </c>
      <c r="M21" s="3"/>
      <c r="N21" s="2">
        <f>IF('Modell einstellen'!$B$1="Voll",H21/0.35,H21/0.35*2)</f>
        <v>1.8253470571428572E-3</v>
      </c>
      <c r="O21" s="2">
        <f>IF('Modell einstellen'!$B$1="Voll",J21/0.35,J21/0.35*2)</f>
        <v>-3.1730811428571431E-3</v>
      </c>
      <c r="P21" s="3">
        <f t="shared" si="1"/>
        <v>0.57526012571467267</v>
      </c>
    </row>
    <row r="22" spans="1:16" x14ac:dyDescent="0.25">
      <c r="A22" s="3">
        <v>10000</v>
      </c>
      <c r="B22" s="3">
        <v>-2.0890000000000001E-3</v>
      </c>
      <c r="C22" s="3">
        <v>1.1329999999999999E-3</v>
      </c>
      <c r="D22" s="3">
        <v>7.9270000000000002E-4</v>
      </c>
      <c r="E22" s="3">
        <v>0</v>
      </c>
      <c r="F22" s="3">
        <v>0</v>
      </c>
      <c r="G22" s="3">
        <v>0</v>
      </c>
      <c r="H22" s="3">
        <v>8.1189632999999998E-4</v>
      </c>
      <c r="I22" s="3">
        <v>1.7061892E-4</v>
      </c>
      <c r="J22" s="3">
        <v>-1.4711190999999999E-3</v>
      </c>
      <c r="L22" s="3">
        <f t="shared" si="0"/>
        <v>2.6352970859089191</v>
      </c>
      <c r="M22" s="3"/>
      <c r="N22" s="2">
        <f>IF('Modell einstellen'!$B$1="Voll",H22/0.35,H22/0.35*2)</f>
        <v>2.3197038000000001E-3</v>
      </c>
      <c r="O22" s="2">
        <f>IF('Modell einstellen'!$B$1="Voll",J22/0.35,J22/0.35*2)</f>
        <v>-4.2031974285714289E-3</v>
      </c>
      <c r="P22" s="3">
        <f t="shared" si="1"/>
        <v>0.55189027863209716</v>
      </c>
    </row>
    <row r="23" spans="1:16" x14ac:dyDescent="0.25">
      <c r="A23" s="3">
        <v>100000</v>
      </c>
      <c r="B23" s="3">
        <v>-2.545E-3</v>
      </c>
      <c r="C23" s="3">
        <v>1.444E-3</v>
      </c>
      <c r="D23" s="3">
        <v>9.4019999999999998E-4</v>
      </c>
      <c r="E23" s="3">
        <v>0</v>
      </c>
      <c r="F23" s="3">
        <v>0</v>
      </c>
      <c r="G23" s="3">
        <v>0</v>
      </c>
      <c r="H23" s="3">
        <v>9.4408163000000002E-4</v>
      </c>
      <c r="I23" s="3">
        <v>2.2488856999999999E-4</v>
      </c>
      <c r="J23" s="3">
        <v>-1.8001378999999999E-3</v>
      </c>
      <c r="L23" s="3">
        <f t="shared" si="0"/>
        <v>2.7068708785364817</v>
      </c>
      <c r="M23" s="3"/>
      <c r="N23" s="2">
        <f>IF('Modell einstellen'!$B$1="Voll",H23/0.35,H23/0.35*2)</f>
        <v>2.697376085714286E-3</v>
      </c>
      <c r="O23" s="2">
        <f>IF('Modell einstellen'!$B$1="Voll",J23/0.35,J23/0.35*2)</f>
        <v>-5.1432511428571434E-3</v>
      </c>
      <c r="P23" s="3">
        <f t="shared" si="1"/>
        <v>0.52444961577665794</v>
      </c>
    </row>
    <row r="24" spans="1:16" x14ac:dyDescent="0.25">
      <c r="A24" s="3">
        <v>1000000</v>
      </c>
      <c r="B24" s="3">
        <v>-2.748E-3</v>
      </c>
      <c r="C24" s="3">
        <v>1.681E-3</v>
      </c>
      <c r="D24" s="3">
        <v>9.0919999999999998E-4</v>
      </c>
      <c r="E24" s="3">
        <v>0</v>
      </c>
      <c r="F24" s="3">
        <v>0</v>
      </c>
      <c r="G24" s="3">
        <v>0</v>
      </c>
      <c r="H24" s="3">
        <v>1.0035161999999999E-3</v>
      </c>
      <c r="I24" s="3">
        <v>2.6620232999999998E-4</v>
      </c>
      <c r="J24" s="3">
        <v>-2.0094660000000001E-3</v>
      </c>
      <c r="L24" s="3">
        <f t="shared" si="0"/>
        <v>3.0224373075230972</v>
      </c>
      <c r="M24" s="3"/>
      <c r="N24" s="2">
        <f>IF('Modell einstellen'!$B$1="Voll",H24/0.35,H24/0.35*2)</f>
        <v>2.8671891428571428E-3</v>
      </c>
      <c r="O24" s="2">
        <f>IF('Modell einstellen'!$B$1="Voll",J24/0.35,J24/0.35*2)</f>
        <v>-5.7413314285714289E-3</v>
      </c>
      <c r="P24" s="3">
        <f t="shared" si="1"/>
        <v>0.49939446599245768</v>
      </c>
    </row>
    <row r="25" spans="1:16" x14ac:dyDescent="0.25">
      <c r="A25" s="3">
        <v>10000000</v>
      </c>
      <c r="B25" s="3">
        <v>-2.8969999999999998E-3</v>
      </c>
      <c r="C25" s="3">
        <v>1.8760000000000001E-3</v>
      </c>
      <c r="D25" s="3">
        <v>8.6390000000000002E-4</v>
      </c>
      <c r="E25" s="3">
        <v>0</v>
      </c>
      <c r="F25" s="3">
        <v>0</v>
      </c>
      <c r="G25" s="3">
        <v>0</v>
      </c>
      <c r="H25" s="3">
        <v>1.0522744999999999E-3</v>
      </c>
      <c r="I25" s="3">
        <v>3.0080484000000001E-4</v>
      </c>
      <c r="J25" s="3">
        <v>-2.1837203999999998E-3</v>
      </c>
      <c r="L25" s="3">
        <f t="shared" si="0"/>
        <v>3.3533973839564761</v>
      </c>
      <c r="M25" s="3"/>
      <c r="N25" s="2">
        <f>IF('Modell einstellen'!$B$1="Voll",H25/0.35,H25/0.35*2)</f>
        <v>3.0064985714285714E-3</v>
      </c>
      <c r="O25" s="2">
        <f>IF('Modell einstellen'!$B$1="Voll",J25/0.35,J25/0.35*2)</f>
        <v>-6.2392011428571426E-3</v>
      </c>
      <c r="P25" s="3">
        <f t="shared" si="1"/>
        <v>0.4818723587506899</v>
      </c>
    </row>
    <row r="26" spans="1:16" x14ac:dyDescent="0.25">
      <c r="A26" s="3">
        <v>100000000</v>
      </c>
      <c r="B26" s="3">
        <v>-2.954E-3</v>
      </c>
      <c r="C26" s="3">
        <v>2.006E-3</v>
      </c>
      <c r="D26" s="3">
        <v>7.9359999999999999E-4</v>
      </c>
      <c r="E26" s="3">
        <v>0</v>
      </c>
      <c r="F26" s="3">
        <v>0</v>
      </c>
      <c r="G26" s="3">
        <v>0</v>
      </c>
      <c r="H26" s="3">
        <v>1.0757439E-3</v>
      </c>
      <c r="I26" s="3">
        <v>3.2375018000000002E-4</v>
      </c>
      <c r="J26" s="3">
        <v>-2.2904062000000001E-3</v>
      </c>
      <c r="L26" s="3">
        <f t="shared" si="0"/>
        <v>3.7222782258064515</v>
      </c>
      <c r="M26" s="3"/>
      <c r="N26" s="2">
        <f>IF('Modell einstellen'!$B$1="Voll",H26/0.35,H26/0.35*2)</f>
        <v>3.073554E-3</v>
      </c>
      <c r="O26" s="2">
        <f>IF('Modell einstellen'!$B$1="Voll",J26/0.35,J26/0.35*2)</f>
        <v>-6.5440177142857148E-3</v>
      </c>
      <c r="P26" s="3">
        <f t="shared" si="1"/>
        <v>0.46967385086540542</v>
      </c>
    </row>
    <row r="27" spans="1:16" x14ac:dyDescent="0.25">
      <c r="A27" s="3">
        <v>1000000000</v>
      </c>
      <c r="B27" s="3">
        <v>-3.026E-3</v>
      </c>
      <c r="C27" s="3">
        <v>2.049E-3</v>
      </c>
      <c r="D27" s="3">
        <v>8.2129999999999996E-4</v>
      </c>
      <c r="E27" s="3">
        <v>0</v>
      </c>
      <c r="F27" s="3">
        <v>0</v>
      </c>
      <c r="G27" s="3">
        <v>0</v>
      </c>
      <c r="H27" s="3">
        <v>1.0959902999999999E-3</v>
      </c>
      <c r="I27" s="3">
        <v>3.3181375999999997E-4</v>
      </c>
      <c r="J27" s="3">
        <v>-2.3397852000000001E-3</v>
      </c>
      <c r="L27" s="3">
        <f t="shared" si="0"/>
        <v>3.6844027760866922</v>
      </c>
      <c r="M27" s="3"/>
      <c r="N27" s="2">
        <f>IF('Modell einstellen'!$B$1="Voll",H27/0.35,H27/0.35*2)</f>
        <v>3.131400857142857E-3</v>
      </c>
      <c r="O27" s="2">
        <f>IF('Modell einstellen'!$B$1="Voll",J27/0.35,J27/0.35*2)</f>
        <v>-6.6851005714285722E-3</v>
      </c>
      <c r="P27" s="3">
        <f t="shared" si="1"/>
        <v>0.46841492116455813</v>
      </c>
    </row>
    <row r="28" spans="1:16" x14ac:dyDescent="0.25">
      <c r="A28" s="3">
        <v>10000000000</v>
      </c>
      <c r="B28" s="3">
        <v>-3.1649999999999998E-3</v>
      </c>
      <c r="C28" s="3">
        <v>2.2009999999999998E-3</v>
      </c>
      <c r="D28" s="3">
        <v>8.0979999999999995E-4</v>
      </c>
      <c r="E28" s="3">
        <v>0</v>
      </c>
      <c r="F28" s="3">
        <v>0</v>
      </c>
      <c r="G28" s="3">
        <v>0</v>
      </c>
      <c r="H28" s="3">
        <v>1.1493808E-3</v>
      </c>
      <c r="I28" s="3">
        <v>3.5918019000000001E-4</v>
      </c>
      <c r="J28" s="3">
        <v>-2.4922242E-3</v>
      </c>
      <c r="L28" s="3">
        <f t="shared" si="0"/>
        <v>3.9083724376389233</v>
      </c>
      <c r="M28" s="3"/>
      <c r="N28" s="2">
        <f>IF('Modell einstellen'!$B$1="Voll",H28/0.35,H28/0.35*2)</f>
        <v>3.2839451428571431E-3</v>
      </c>
      <c r="O28" s="2">
        <f>IF('Modell einstellen'!$B$1="Voll",J28/0.35,J28/0.35*2)</f>
        <v>-7.1206405714285721E-3</v>
      </c>
      <c r="P28" s="3">
        <f t="shared" si="1"/>
        <v>0.46118675839838164</v>
      </c>
    </row>
    <row r="29" spans="1:16" x14ac:dyDescent="0.25">
      <c r="A29" s="3">
        <v>100000000000</v>
      </c>
      <c r="B29" s="3">
        <v>-3.2299999999999998E-3</v>
      </c>
      <c r="C29" s="3">
        <v>2.2430000000000002E-3</v>
      </c>
      <c r="D29" s="3">
        <v>8.3290000000000002E-4</v>
      </c>
      <c r="E29" s="3">
        <v>0</v>
      </c>
      <c r="F29" s="3">
        <v>0</v>
      </c>
      <c r="G29" s="3">
        <v>0</v>
      </c>
      <c r="H29" s="3">
        <v>1.1700320000000001E-3</v>
      </c>
      <c r="I29" s="3">
        <v>3.6703050000000002E-4</v>
      </c>
      <c r="J29" s="3">
        <v>-2.5412021999999999E-3</v>
      </c>
      <c r="L29" s="3">
        <f t="shared" si="0"/>
        <v>3.87801656861568</v>
      </c>
      <c r="M29" s="3"/>
      <c r="N29" s="2">
        <f>IF('Modell einstellen'!$B$1="Voll",H29/0.35,H29/0.35*2)</f>
        <v>3.3429485714285721E-3</v>
      </c>
      <c r="O29" s="2">
        <f>IF('Modell einstellen'!$B$1="Voll",J29/0.35,J29/0.35*2)</f>
        <v>-7.2605777142857146E-3</v>
      </c>
      <c r="P29" s="3">
        <f t="shared" si="1"/>
        <v>0.46042459746021003</v>
      </c>
    </row>
    <row r="30" spans="1:16" x14ac:dyDescent="0.25">
      <c r="A30" s="3">
        <v>1000000000000</v>
      </c>
      <c r="B30" s="3">
        <v>-3.2070000000000002E-3</v>
      </c>
      <c r="C30" s="3">
        <v>2.2720000000000001E-3</v>
      </c>
      <c r="D30" s="3">
        <v>7.8050000000000005E-4</v>
      </c>
      <c r="E30" s="3">
        <v>0</v>
      </c>
      <c r="F30" s="3">
        <v>0</v>
      </c>
      <c r="G30" s="3">
        <v>0</v>
      </c>
      <c r="H30" s="3">
        <v>1.1689580000000001E-3</v>
      </c>
      <c r="I30" s="3">
        <v>3.7227775E-4</v>
      </c>
      <c r="J30" s="3">
        <v>-2.5591775999999999E-3</v>
      </c>
      <c r="L30" s="3">
        <f t="shared" si="0"/>
        <v>4.1089045483664322</v>
      </c>
      <c r="M30" s="3"/>
      <c r="N30" s="2">
        <f>IF('Modell einstellen'!$B$1="Voll",H30/0.35,H30/0.35*2)</f>
        <v>3.3398800000000004E-3</v>
      </c>
      <c r="O30" s="2">
        <f>IF('Modell einstellen'!$B$1="Voll",J30/0.35,J30/0.35*2)</f>
        <v>-7.3119360000000007E-3</v>
      </c>
      <c r="P30" s="3">
        <f t="shared" si="1"/>
        <v>0.45677095641974985</v>
      </c>
    </row>
    <row r="31" spans="1:16" x14ac:dyDescent="0.25">
      <c r="A31" s="3">
        <v>10000000000000</v>
      </c>
      <c r="B31" s="3">
        <v>-3.2049999999999999E-3</v>
      </c>
      <c r="C31" s="3">
        <v>2.2759999999999998E-3</v>
      </c>
      <c r="D31" s="3">
        <v>7.7510000000000003E-4</v>
      </c>
      <c r="E31" s="3">
        <v>0</v>
      </c>
      <c r="F31" s="3">
        <v>0</v>
      </c>
      <c r="G31" s="3">
        <v>0</v>
      </c>
      <c r="H31" s="3">
        <v>1.1692256000000001E-3</v>
      </c>
      <c r="I31" s="3">
        <v>3.7288631000000002E-4</v>
      </c>
      <c r="J31" s="3">
        <v>-2.5616212000000001E-3</v>
      </c>
      <c r="L31" s="3">
        <f t="shared" si="0"/>
        <v>4.1349503289898077</v>
      </c>
      <c r="M31" s="3"/>
      <c r="N31" s="2">
        <f>IF('Modell einstellen'!$B$1="Voll",H31/0.35,H31/0.35*2)</f>
        <v>3.3406445714285718E-3</v>
      </c>
      <c r="O31" s="2">
        <f>IF('Modell einstellen'!$B$1="Voll",J31/0.35,J31/0.35*2)</f>
        <v>-7.3189177142857151E-3</v>
      </c>
      <c r="P31" s="3">
        <f t="shared" si="1"/>
        <v>0.4564396952992113</v>
      </c>
    </row>
    <row r="32" spans="1:16" x14ac:dyDescent="0.25">
      <c r="A32" s="3">
        <v>100000000000000</v>
      </c>
      <c r="B32" s="3">
        <v>-3.1419999999999998E-3</v>
      </c>
      <c r="C32" s="3">
        <v>2.2929999999999999E-3</v>
      </c>
      <c r="D32" s="3">
        <v>6.9620000000000001E-4</v>
      </c>
      <c r="E32" s="3">
        <v>0</v>
      </c>
      <c r="F32" s="3">
        <v>0</v>
      </c>
      <c r="G32" s="3">
        <v>0</v>
      </c>
      <c r="H32" s="3">
        <v>1.1711893000000001E-3</v>
      </c>
      <c r="I32" s="3">
        <v>3.7609352999999997E-4</v>
      </c>
      <c r="J32" s="3">
        <v>-2.5752369000000002E-3</v>
      </c>
      <c r="L32" s="3">
        <f t="shared" si="0"/>
        <v>4.51307095662166</v>
      </c>
      <c r="M32" s="3"/>
      <c r="N32" s="2">
        <f>IF('Modell einstellen'!$B$1="Voll",H32/0.35,H32/0.35*2)</f>
        <v>3.3462551428571435E-3</v>
      </c>
      <c r="O32" s="2">
        <f>IF('Modell einstellen'!$B$1="Voll",J32/0.35,J32/0.35*2)</f>
        <v>-7.3578197142857155E-3</v>
      </c>
      <c r="P32" s="3">
        <f t="shared" si="1"/>
        <v>0.45478895553259585</v>
      </c>
    </row>
    <row r="33" spans="1:16" x14ac:dyDescent="0.25">
      <c r="A33" s="3">
        <v>1000000000000000</v>
      </c>
      <c r="B33" s="3">
        <v>-3.1150000000000001E-3</v>
      </c>
      <c r="C33" s="3">
        <v>2.2989999999999998E-3</v>
      </c>
      <c r="D33" s="3">
        <v>6.625E-4</v>
      </c>
      <c r="E33" s="3">
        <v>0</v>
      </c>
      <c r="F33" s="3">
        <v>0</v>
      </c>
      <c r="G33" s="3">
        <v>0</v>
      </c>
      <c r="H33" s="3">
        <v>1.1728753E-3</v>
      </c>
      <c r="I33" s="3">
        <v>3.7727860999999999E-4</v>
      </c>
      <c r="J33" s="3">
        <v>-2.5812004999999998E-3</v>
      </c>
      <c r="L33" s="3">
        <f t="shared" si="0"/>
        <v>4.7018867924528305</v>
      </c>
      <c r="M33" s="3"/>
      <c r="N33" s="2">
        <f>IF('Modell einstellen'!$B$1="Voll",H33/0.35,H33/0.35*2)</f>
        <v>3.3510722857142856E-3</v>
      </c>
      <c r="O33" s="2">
        <f>IF('Modell einstellen'!$B$1="Voll",J33/0.35,J33/0.35*2)</f>
        <v>-7.3748585714285718E-3</v>
      </c>
      <c r="P33" s="3">
        <f t="shared" si="1"/>
        <v>0.4543913965614062</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2022-01-22T08:10:14Z</dcterms:modified>
</cp:coreProperties>
</file>