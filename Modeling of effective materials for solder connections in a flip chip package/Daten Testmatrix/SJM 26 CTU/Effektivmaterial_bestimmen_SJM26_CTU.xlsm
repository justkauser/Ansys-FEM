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bestimmen'!$B$17:$B$48</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'Mastercurve bestimmen'!$G$53</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04" i="43"/>
  <c r="D411" i="43"/>
  <c r="D416" i="43"/>
  <c r="D423" i="43"/>
  <c r="D428" i="43"/>
  <c r="D434" i="43"/>
  <c r="D409" i="43"/>
  <c r="D421" i="43"/>
  <c r="D407" i="43"/>
  <c r="D414" i="43"/>
  <c r="D418" i="43"/>
  <c r="D425" i="43"/>
  <c r="D427" i="43"/>
  <c r="D429" i="43"/>
  <c r="D432" i="43"/>
  <c r="D433" i="43"/>
  <c r="D410" i="43"/>
  <c r="D412" i="43"/>
  <c r="D420" i="43"/>
  <c r="D422" i="43"/>
  <c r="D431" i="43"/>
  <c r="D405" i="43"/>
  <c r="D408" i="43"/>
  <c r="D413" i="43"/>
  <c r="D415" i="43"/>
  <c r="D424" i="43"/>
  <c r="B405" i="43"/>
  <c r="B424" i="43"/>
  <c r="B425" i="43"/>
  <c r="B413" i="43"/>
  <c r="B414" i="43"/>
  <c r="B408" i="43"/>
  <c r="B428" i="43"/>
  <c r="B430" i="43"/>
  <c r="B419" i="43"/>
  <c r="B415" i="43"/>
  <c r="B417" i="43"/>
  <c r="B409" i="43"/>
  <c r="B406" i="43"/>
  <c r="B429" i="43"/>
  <c r="B411" i="43"/>
  <c r="B416" i="43"/>
  <c r="B432" i="43"/>
  <c r="B404" i="43"/>
  <c r="B410" i="43"/>
  <c r="B407" i="43"/>
  <c r="B431" i="43"/>
  <c r="B427" i="43"/>
  <c r="B420" i="43"/>
  <c r="B434" i="43"/>
  <c r="B423" i="43"/>
  <c r="B418" i="43"/>
  <c r="B433" i="43"/>
  <c r="B426" i="43"/>
  <c r="B421" i="43"/>
  <c r="B422" i="43"/>
  <c r="B412" i="43"/>
  <c r="C406" i="43"/>
  <c r="C423" i="43"/>
  <c r="C428" i="43"/>
  <c r="C404" i="43"/>
  <c r="C425" i="43"/>
  <c r="C427" i="43"/>
  <c r="C432" i="43"/>
  <c r="C409" i="43"/>
  <c r="C421" i="43"/>
  <c r="C434" i="43"/>
  <c r="C407" i="43"/>
  <c r="C414" i="43"/>
  <c r="C418" i="43"/>
  <c r="C429" i="43"/>
  <c r="C410" i="43"/>
  <c r="C412" i="43"/>
  <c r="C420" i="43"/>
  <c r="C422" i="43"/>
  <c r="C431" i="43"/>
  <c r="C405" i="43"/>
  <c r="C408" i="43"/>
  <c r="C415" i="43"/>
  <c r="C424" i="43"/>
  <c r="C433" i="43"/>
  <c r="C426" i="43"/>
  <c r="C417" i="43"/>
  <c r="C419" i="43"/>
  <c r="C430" i="43"/>
  <c r="C413" i="43"/>
  <c r="C411" i="43"/>
  <c r="C416" i="43"/>
  <c r="H434" i="43"/>
  <c r="H418" i="43"/>
  <c r="H415" i="43"/>
  <c r="H410" i="43"/>
  <c r="H424" i="43"/>
  <c r="H405" i="43"/>
  <c r="H413" i="43"/>
  <c r="H427" i="43"/>
  <c r="H422" i="43"/>
  <c r="H421" i="43"/>
  <c r="H412" i="43"/>
  <c r="H407" i="43"/>
  <c r="H417" i="43"/>
  <c r="H414" i="43"/>
  <c r="H430" i="43"/>
  <c r="H423" i="43"/>
  <c r="H416" i="43"/>
  <c r="H404" i="43"/>
  <c r="H409" i="43"/>
  <c r="H433" i="43"/>
  <c r="H428" i="43"/>
  <c r="H426" i="43"/>
  <c r="H408" i="43"/>
  <c r="H420" i="43"/>
  <c r="H432" i="43"/>
  <c r="H425" i="43"/>
  <c r="H419" i="43"/>
  <c r="H431" i="43"/>
  <c r="H411" i="43"/>
  <c r="H429" i="43"/>
  <c r="H406" i="43"/>
  <c r="G410" i="43"/>
  <c r="G413" i="43"/>
  <c r="G431" i="43"/>
  <c r="G416" i="43"/>
  <c r="G434" i="43"/>
  <c r="G428" i="43"/>
  <c r="G429" i="43"/>
  <c r="G411" i="43"/>
  <c r="G427" i="43"/>
  <c r="G409" i="43"/>
  <c r="G405" i="43"/>
  <c r="G433" i="43"/>
  <c r="G422" i="43"/>
  <c r="G426" i="43"/>
  <c r="G408" i="43"/>
  <c r="G424" i="43"/>
  <c r="G406" i="43"/>
  <c r="G419" i="43"/>
  <c r="G423" i="43"/>
  <c r="G421" i="43"/>
  <c r="G415" i="43"/>
  <c r="G407" i="43"/>
  <c r="G420" i="43"/>
  <c r="G404" i="43"/>
  <c r="G418" i="43"/>
  <c r="G417" i="43"/>
  <c r="G425" i="43"/>
  <c r="G432" i="43"/>
  <c r="G414" i="43"/>
  <c r="G430" i="43"/>
  <c r="G412" i="43"/>
  <c r="E405" i="43"/>
  <c r="E408" i="43"/>
  <c r="E413" i="43"/>
  <c r="E415" i="43"/>
  <c r="E424" i="43"/>
  <c r="E433" i="43"/>
  <c r="E423" i="43"/>
  <c r="E404" i="43"/>
  <c r="E406" i="43"/>
  <c r="E417" i="43"/>
  <c r="E419" i="43"/>
  <c r="E426" i="43"/>
  <c r="E430" i="43"/>
  <c r="E411" i="43"/>
  <c r="E416" i="43"/>
  <c r="E434" i="43"/>
  <c r="E422" i="43"/>
  <c r="E418" i="43"/>
  <c r="E425" i="43"/>
  <c r="E427" i="43"/>
  <c r="E429" i="43"/>
  <c r="E431" i="43"/>
  <c r="E410" i="43"/>
  <c r="E420" i="43"/>
  <c r="E421" i="43"/>
  <c r="E409" i="43"/>
  <c r="E432" i="43"/>
  <c r="E412" i="43"/>
  <c r="E407" i="43"/>
  <c r="E428" i="43"/>
  <c r="E414" i="43"/>
  <c r="F415" i="43"/>
  <c r="F410" i="43"/>
  <c r="F420" i="43"/>
  <c r="F431" i="43"/>
  <c r="F424" i="43"/>
  <c r="F430" i="43"/>
  <c r="F419" i="43"/>
  <c r="F416" i="43"/>
  <c r="F423" i="43"/>
  <c r="F404" i="43"/>
  <c r="F434" i="43"/>
  <c r="F427" i="43"/>
  <c r="F421" i="43"/>
  <c r="F425" i="43"/>
  <c r="F426" i="43"/>
  <c r="F412" i="43"/>
  <c r="F407" i="43"/>
  <c r="F417" i="43"/>
  <c r="F414" i="43"/>
  <c r="F422" i="43"/>
  <c r="F411" i="43"/>
  <c r="F405" i="43"/>
  <c r="F432" i="43"/>
  <c r="F418" i="43"/>
  <c r="F409" i="43"/>
  <c r="F428" i="43"/>
  <c r="F429" i="43"/>
  <c r="F406" i="43"/>
  <c r="F408"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O3" i="8"/>
  <c r="AY3" i="8" s="1"/>
  <c r="Q33" i="8"/>
  <c r="BA33" i="8" s="1"/>
  <c r="AQ7" i="8" l="1"/>
  <c r="AQ4" i="8"/>
  <c r="N405" i="43" s="1"/>
  <c r="AP15" i="8"/>
  <c r="AP5" i="8"/>
  <c r="AO11" i="8"/>
  <c r="AO16"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0" i="43" s="1"/>
  <c r="AM21" i="8"/>
  <c r="AO8" i="8"/>
  <c r="AO7" i="8"/>
  <c r="L408" i="43" s="1"/>
  <c r="AN10" i="8"/>
  <c r="K411" i="43" s="1"/>
  <c r="AS9" i="8"/>
  <c r="P410" i="43" s="1"/>
  <c r="AQ21" i="8"/>
  <c r="T286" i="43" s="1"/>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M416" i="43"/>
  <c r="R16" i="43"/>
  <c r="N247" i="43"/>
  <c r="BE7" i="8"/>
  <c r="AS7" i="8"/>
  <c r="BB19" i="8"/>
  <c r="AP19" i="8"/>
  <c r="N408" i="43"/>
  <c r="F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BD28" i="8"/>
  <c r="BD6" i="8"/>
  <c r="AZ12" i="8"/>
  <c r="BD33" i="8"/>
  <c r="AQ5" i="8"/>
  <c r="AR26" i="8"/>
  <c r="S208" i="43"/>
  <c r="L421" i="43"/>
  <c r="Z364" i="43"/>
  <c r="P428" i="43"/>
  <c r="BE23" i="8"/>
  <c r="O364" i="43" l="1"/>
  <c r="S164" i="43"/>
  <c r="S165" i="43" s="1"/>
  <c r="N422" i="43"/>
  <c r="J281" i="43"/>
  <c r="J282" i="43" s="1"/>
  <c r="C280" i="43"/>
  <c r="T208" i="43"/>
  <c r="T241" i="43" s="1"/>
  <c r="Q208" i="43"/>
  <c r="Q241" i="43" s="1"/>
  <c r="I202" i="43"/>
  <c r="F208" i="43"/>
  <c r="AB16" i="43"/>
  <c r="AB49" i="43" s="1"/>
  <c r="AB50" i="43" s="1"/>
  <c r="P432" i="43"/>
  <c r="V169" i="43"/>
  <c r="V203" i="43" s="1"/>
  <c r="V204" i="43" s="1"/>
  <c r="P364" i="43"/>
  <c r="P397" i="43" s="1"/>
  <c r="P16" i="43"/>
  <c r="AD286" i="43"/>
  <c r="V398" i="43"/>
  <c r="V399" i="43" s="1"/>
  <c r="M426" i="43"/>
  <c r="U364" i="43"/>
  <c r="U397" i="43" s="1"/>
  <c r="X280" i="43"/>
  <c r="G130" i="43"/>
  <c r="L247" i="43"/>
  <c r="H247" i="43"/>
  <c r="P430" i="43"/>
  <c r="AB397" i="43"/>
  <c r="AB169" i="43"/>
  <c r="AB202" i="43" s="1"/>
  <c r="B364" i="43"/>
  <c r="Z359" i="43"/>
  <c r="Z360" i="43" s="1"/>
  <c r="J422" i="43"/>
  <c r="T130" i="43"/>
  <c r="M359" i="43"/>
  <c r="M360" i="43" s="1"/>
  <c r="G364" i="43"/>
  <c r="G397" i="43" s="1"/>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J203" i="43"/>
  <c r="J204" i="43" s="1"/>
  <c r="J202"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T242" i="43" l="1"/>
  <c r="T243" i="43" s="1"/>
  <c r="V202" i="43"/>
  <c r="U398" i="43"/>
  <c r="U399" i="43" s="1"/>
  <c r="Q242" i="43"/>
  <c r="Q243" i="43" s="1"/>
  <c r="AB203" i="43"/>
  <c r="AB204" i="43" s="1"/>
  <c r="P398" i="43"/>
  <c r="P399" i="43" s="1"/>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<sst xmlns="http://schemas.openxmlformats.org/spreadsheetml/2006/main" count="311" uniqueCount="164">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</sst>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-5.2026789142857141E-4</c:v>
                </c:pt>
                <c:pt idx="1">
                  <c:v>-5.2026033714285718E-4</c:v>
                </c:pt>
                <c:pt idx="2">
                  <c:v>-5.2026304571428574E-4</c:v>
                </c:pt>
                <c:pt idx="3">
                  <c:v>-5.2026376571428568E-4</c:v>
                </c:pt>
                <c:pt idx="4">
                  <c:v>-5.2026397714285716E-4</c:v>
                </c:pt>
                <c:pt idx="5">
                  <c:v>-5.2026404000000005E-4</c:v>
                </c:pt>
                <c:pt idx="6">
                  <c:v>-5.2026406285714288E-4</c:v>
                </c:pt>
                <c:pt idx="7">
                  <c:v>-5.2026407428571429E-4</c:v>
                </c:pt>
                <c:pt idx="8">
                  <c:v>-5.2026408571428581E-4</c:v>
                </c:pt>
                <c:pt idx="9">
                  <c:v>-5.2026417142857142E-4</c:v>
                </c:pt>
                <c:pt idx="10">
                  <c:v>-5.2026502857142854E-4</c:v>
                </c:pt>
                <c:pt idx="11">
                  <c:v>-5.202735885714286E-4</c:v>
                </c:pt>
                <c:pt idx="12">
                  <c:v>-5.2035845142857145E-4</c:v>
                </c:pt>
                <c:pt idx="13">
                  <c:v>-5.2117016571428566E-4</c:v>
                </c:pt>
                <c:pt idx="14">
                  <c:v>-5.2714065714285722E-4</c:v>
                </c:pt>
                <c:pt idx="15">
                  <c:v>-5.3738724571428579E-4</c:v>
                </c:pt>
                <c:pt idx="16">
                  <c:v>-5.4510416571428575E-4</c:v>
                </c:pt>
                <c:pt idx="17">
                  <c:v>-5.531446114285715E-4</c:v>
                </c:pt>
                <c:pt idx="18">
                  <c:v>-5.6241089714285724E-4</c:v>
                </c:pt>
                <c:pt idx="19">
                  <c:v>-5.7446554285714283E-4</c:v>
                </c:pt>
                <c:pt idx="20">
                  <c:v>-5.9813674285714286E-4</c:v>
                </c:pt>
                <c:pt idx="21">
                  <c:v>-6.6538377142857149E-4</c:v>
                </c:pt>
                <c:pt idx="22">
                  <c:v>-7.8451982857142871E-4</c:v>
                </c:pt>
                <c:pt idx="23">
                  <c:v>-9.1970068571428578E-4</c:v>
                </c:pt>
                <c:pt idx="24">
                  <c:v>-1.0495565142857144E-3</c:v>
                </c:pt>
                <c:pt idx="25">
                  <c:v>-1.1750555999999999E-3</c:v>
                </c:pt>
                <c:pt idx="26">
                  <c:v>-1.2959366857142858E-3</c:v>
                </c:pt>
                <c:pt idx="27">
                  <c:v>-1.4036457142857144E-3</c:v>
                </c:pt>
                <c:pt idx="28">
                  <c:v>-1.5006965714285713E-3</c:v>
                </c:pt>
                <c:pt idx="29">
                  <c:v>-1.597299942857143E-3</c:v>
                </c:pt>
                <c:pt idx="30">
                  <c:v>-1.6886448000000001E-3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-5.2482441714285716E-4</c:v>
                </c:pt>
                <c:pt idx="1">
                  <c:v>-5.2481664571428575E-4</c:v>
                </c:pt>
                <c:pt idx="2">
                  <c:v>-5.2481937142857143E-4</c:v>
                </c:pt>
                <c:pt idx="3">
                  <c:v>-5.2482014857142855E-4</c:v>
                </c:pt>
                <c:pt idx="4">
                  <c:v>-5.2482096571428573E-4</c:v>
                </c:pt>
                <c:pt idx="5">
                  <c:v>-5.248271028571429E-4</c:v>
                </c:pt>
                <c:pt idx="6">
                  <c:v>-5.2488745714285713E-4</c:v>
                </c:pt>
                <c:pt idx="7">
                  <c:v>-5.2546980000000004E-4</c:v>
                </c:pt>
                <c:pt idx="8">
                  <c:v>-5.3013404571428579E-4</c:v>
                </c:pt>
                <c:pt idx="9">
                  <c:v>-5.4088885714285724E-4</c:v>
                </c:pt>
                <c:pt idx="10">
                  <c:v>-5.4876942857142862E-4</c:v>
                </c:pt>
                <c:pt idx="11">
                  <c:v>-5.5665492571428568E-4</c:v>
                </c:pt>
                <c:pt idx="12">
                  <c:v>-5.6579005714285722E-4</c:v>
                </c:pt>
                <c:pt idx="13">
                  <c:v>-5.7584177142857142E-4</c:v>
                </c:pt>
                <c:pt idx="14">
                  <c:v>-5.8768102857142859E-4</c:v>
                </c:pt>
                <c:pt idx="15">
                  <c:v>-6.0114314285714284E-4</c:v>
                </c:pt>
                <c:pt idx="16">
                  <c:v>-6.1650040000000011E-4</c:v>
                </c:pt>
                <c:pt idx="17">
                  <c:v>-6.3240502857142859E-4</c:v>
                </c:pt>
                <c:pt idx="18">
                  <c:v>-6.5889742857142865E-4</c:v>
                </c:pt>
                <c:pt idx="19">
                  <c:v>-7.3297771428571445E-4</c:v>
                </c:pt>
                <c:pt idx="20">
                  <c:v>-8.7946508571428578E-4</c:v>
                </c:pt>
                <c:pt idx="21">
                  <c:v>-1.0596601142857144E-3</c:v>
                </c:pt>
                <c:pt idx="22">
                  <c:v>-1.2344853714285715E-3</c:v>
                </c:pt>
                <c:pt idx="23">
                  <c:v>-1.3975460000000002E-3</c:v>
                </c:pt>
                <c:pt idx="24">
                  <c:v>-1.5444489142857143E-3</c:v>
                </c:pt>
                <c:pt idx="25">
                  <c:v>-1.6846166285714287E-3</c:v>
                </c:pt>
                <c:pt idx="26">
                  <c:v>-1.8263416571428573E-3</c:v>
                </c:pt>
                <c:pt idx="27">
                  <c:v>-1.9920576000000004E-3</c:v>
                </c:pt>
                <c:pt idx="28">
                  <c:v>-2.1900582857142855E-3</c:v>
                </c:pt>
                <c:pt idx="29">
                  <c:v>-2.4504237714285718E-3</c:v>
                </c:pt>
                <c:pt idx="30">
                  <c:v>-2.8145985714285717E-3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-5.2781071428571432E-4</c:v>
                </c:pt>
                <c:pt idx="1">
                  <c:v>-5.2780317142857151E-4</c:v>
                </c:pt>
                <c:pt idx="2">
                  <c:v>-5.2780959428571435E-4</c:v>
                </c:pt>
                <c:pt idx="3">
                  <c:v>-5.2784711428571437E-4</c:v>
                </c:pt>
                <c:pt idx="4">
                  <c:v>-5.2820610285714297E-4</c:v>
                </c:pt>
                <c:pt idx="5">
                  <c:v>-5.3132425714285715E-4</c:v>
                </c:pt>
                <c:pt idx="6">
                  <c:v>-5.4216279428571435E-4</c:v>
                </c:pt>
                <c:pt idx="7">
                  <c:v>-5.5038337142857149E-4</c:v>
                </c:pt>
                <c:pt idx="8">
                  <c:v>-5.5811092000000002E-4</c:v>
                </c:pt>
                <c:pt idx="9">
                  <c:v>-5.6713196571428579E-4</c:v>
                </c:pt>
                <c:pt idx="10">
                  <c:v>-5.7693480000000003E-4</c:v>
                </c:pt>
                <c:pt idx="11">
                  <c:v>-5.8849794285714295E-4</c:v>
                </c:pt>
                <c:pt idx="12">
                  <c:v>-6.0169605714285716E-4</c:v>
                </c:pt>
                <c:pt idx="13">
                  <c:v>-6.1693605714285718E-4</c:v>
                </c:pt>
                <c:pt idx="14">
                  <c:v>-6.3134834285714285E-4</c:v>
                </c:pt>
                <c:pt idx="15">
                  <c:v>-6.481961714285714E-4</c:v>
                </c:pt>
                <c:pt idx="16">
                  <c:v>-6.7047302857142863E-4</c:v>
                </c:pt>
                <c:pt idx="17">
                  <c:v>-7.0504165714285728E-4</c:v>
                </c:pt>
                <c:pt idx="18">
                  <c:v>-7.793978857142858E-4</c:v>
                </c:pt>
                <c:pt idx="19">
                  <c:v>-9.2856325714285712E-4</c:v>
                </c:pt>
                <c:pt idx="20">
                  <c:v>-1.1236970857142858E-3</c:v>
                </c:pt>
                <c:pt idx="21">
                  <c:v>-1.3216305714285716E-3</c:v>
                </c:pt>
                <c:pt idx="22">
                  <c:v>-1.5099526857142859E-3</c:v>
                </c:pt>
                <c:pt idx="23">
                  <c:v>-1.6873612000000001E-3</c:v>
                </c:pt>
                <c:pt idx="24">
                  <c:v>-1.8756650285714287E-3</c:v>
                </c:pt>
                <c:pt idx="25">
                  <c:v>-2.0839046857142858E-3</c:v>
                </c:pt>
                <c:pt idx="26">
                  <c:v>-2.3419146285714289E-3</c:v>
                </c:pt>
                <c:pt idx="27">
                  <c:v>-2.686055542857143E-3</c:v>
                </c:pt>
                <c:pt idx="28">
                  <c:v>-3.2099524E-3</c:v>
                </c:pt>
                <c:pt idx="29">
                  <c:v>-4.0818608571428572E-3</c:v>
                </c:pt>
                <c:pt idx="30">
                  <c:v>-5.5902430857142863E-3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-5.3091504571428573E-4</c:v>
                </c:pt>
                <c:pt idx="1">
                  <c:v>-5.3097552000000003E-4</c:v>
                </c:pt>
                <c:pt idx="2">
                  <c:v>-5.316390914285714E-4</c:v>
                </c:pt>
                <c:pt idx="3">
                  <c:v>-5.367964742857143E-4</c:v>
                </c:pt>
                <c:pt idx="4">
                  <c:v>-5.4753407428571432E-4</c:v>
                </c:pt>
                <c:pt idx="5">
                  <c:v>-5.5545164000000004E-4</c:v>
                </c:pt>
                <c:pt idx="6">
                  <c:v>-5.6348080000000005E-4</c:v>
                </c:pt>
                <c:pt idx="7">
                  <c:v>-5.7273514285714289E-4</c:v>
                </c:pt>
                <c:pt idx="8">
                  <c:v>-5.8296645714285718E-4</c:v>
                </c:pt>
                <c:pt idx="9">
                  <c:v>-5.9499394285714288E-4</c:v>
                </c:pt>
                <c:pt idx="10">
                  <c:v>-6.0864839999999996E-4</c:v>
                </c:pt>
                <c:pt idx="11">
                  <c:v>-6.2406720000000003E-4</c:v>
                </c:pt>
                <c:pt idx="12">
                  <c:v>-6.3871062857142865E-4</c:v>
                </c:pt>
                <c:pt idx="13">
                  <c:v>-6.5660079999999997E-4</c:v>
                </c:pt>
                <c:pt idx="14">
                  <c:v>-6.7950274285714289E-4</c:v>
                </c:pt>
                <c:pt idx="15">
                  <c:v>-7.0670925714285716E-4</c:v>
                </c:pt>
                <c:pt idx="16">
                  <c:v>-7.3743742857142864E-4</c:v>
                </c:pt>
                <c:pt idx="17">
                  <c:v>-7.9729805714285717E-4</c:v>
                </c:pt>
                <c:pt idx="18">
                  <c:v>-9.3838194285714291E-4</c:v>
                </c:pt>
                <c:pt idx="19">
                  <c:v>-1.1411583428571428E-3</c:v>
                </c:pt>
                <c:pt idx="20">
                  <c:v>-1.363100342857143E-3</c:v>
                </c:pt>
                <c:pt idx="21">
                  <c:v>-1.5828392571428573E-3</c:v>
                </c:pt>
                <c:pt idx="22">
                  <c:v>-1.8098891428571431E-3</c:v>
                </c:pt>
                <c:pt idx="23">
                  <c:v>-2.0538577714285717E-3</c:v>
                </c:pt>
                <c:pt idx="24">
                  <c:v>-2.3467463428571431E-3</c:v>
                </c:pt>
                <c:pt idx="25">
                  <c:v>-2.7357348571428572E-3</c:v>
                </c:pt>
                <c:pt idx="26">
                  <c:v>-3.3312539428571432E-3</c:v>
                </c:pt>
                <c:pt idx="27">
                  <c:v>-4.3332200000000005E-3</c:v>
                </c:pt>
                <c:pt idx="28">
                  <c:v>-6.0493674285714292E-3</c:v>
                </c:pt>
                <c:pt idx="29">
                  <c:v>-8.7255600000000003E-3</c:v>
                </c:pt>
                <c:pt idx="30">
                  <c:v>-1.2177281142857144E-2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-5.3875919428571434E-4</c:v>
                </c:pt>
                <c:pt idx="1">
                  <c:v>-5.5183846857142854E-4</c:v>
                </c:pt>
                <c:pt idx="2">
                  <c:v>-5.5994022285714288E-4</c:v>
                </c:pt>
                <c:pt idx="3">
                  <c:v>-5.6813518285714294E-4</c:v>
                </c:pt>
                <c:pt idx="4">
                  <c:v>-5.7749040000000008E-4</c:v>
                </c:pt>
                <c:pt idx="5">
                  <c:v>-5.8790091428571434E-4</c:v>
                </c:pt>
                <c:pt idx="6">
                  <c:v>-6.0010474285714284E-4</c:v>
                </c:pt>
                <c:pt idx="7">
                  <c:v>-6.139406857142858E-4</c:v>
                </c:pt>
                <c:pt idx="8">
                  <c:v>-6.2946365714285719E-4</c:v>
                </c:pt>
                <c:pt idx="9">
                  <c:v>-6.4424862857142857E-4</c:v>
                </c:pt>
                <c:pt idx="10">
                  <c:v>-6.6256257142857146E-4</c:v>
                </c:pt>
                <c:pt idx="11">
                  <c:v>-6.858794285714287E-4</c:v>
                </c:pt>
                <c:pt idx="12">
                  <c:v>-7.1274022857142861E-4</c:v>
                </c:pt>
                <c:pt idx="13">
                  <c:v>-7.3821708571428582E-4</c:v>
                </c:pt>
                <c:pt idx="14">
                  <c:v>-7.6294337142857147E-4</c:v>
                </c:pt>
                <c:pt idx="15">
                  <c:v>-7.9293365714285728E-4</c:v>
                </c:pt>
                <c:pt idx="16">
                  <c:v>-8.4745777142857144E-4</c:v>
                </c:pt>
                <c:pt idx="17">
                  <c:v>-9.8356862857142862E-4</c:v>
                </c:pt>
                <c:pt idx="18">
                  <c:v>-1.209907542857143E-3</c:v>
                </c:pt>
                <c:pt idx="19">
                  <c:v>-1.4887029142857144E-3</c:v>
                </c:pt>
                <c:pt idx="20">
                  <c:v>-1.7958230857142859E-3</c:v>
                </c:pt>
                <c:pt idx="21">
                  <c:v>-2.1445940000000001E-3</c:v>
                </c:pt>
                <c:pt idx="22">
                  <c:v>-2.5784199428571428E-3</c:v>
                </c:pt>
                <c:pt idx="23">
                  <c:v>-3.2087566285714285E-3</c:v>
                </c:pt>
                <c:pt idx="24">
                  <c:v>-4.2453798857142863E-3</c:v>
                </c:pt>
                <c:pt idx="25">
                  <c:v>-5.9978668571428568E-3</c:v>
                </c:pt>
                <c:pt idx="26">
                  <c:v>-8.7140394285714282E-3</c:v>
                </c:pt>
                <c:pt idx="27">
                  <c:v>-1.2172076571428572E-2</c:v>
                </c:pt>
                <c:pt idx="28">
                  <c:v>-1.5275055428571429E-2</c:v>
                </c:pt>
                <c:pt idx="29">
                  <c:v>-1.7486284571428572E-2</c:v>
                </c:pt>
                <c:pt idx="30">
                  <c:v>-1.8844651428571429E-2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-6.2079731428571429E-4</c:v>
                </c:pt>
                <c:pt idx="1">
                  <c:v>-6.3928611428571433E-4</c:v>
                </c:pt>
                <c:pt idx="2">
                  <c:v>-6.558840571428572E-4</c:v>
                </c:pt>
                <c:pt idx="3">
                  <c:v>-6.7472948571428574E-4</c:v>
                </c:pt>
                <c:pt idx="4">
                  <c:v>-7.0008291428571429E-4</c:v>
                </c:pt>
                <c:pt idx="5">
                  <c:v>-7.2712519999999998E-4</c:v>
                </c:pt>
                <c:pt idx="6">
                  <c:v>-7.5195502857142865E-4</c:v>
                </c:pt>
                <c:pt idx="7">
                  <c:v>-7.768190857142857E-4</c:v>
                </c:pt>
                <c:pt idx="8">
                  <c:v>-8.0414577142857145E-4</c:v>
                </c:pt>
                <c:pt idx="9">
                  <c:v>-8.3242857142857153E-4</c:v>
                </c:pt>
                <c:pt idx="10">
                  <c:v>-8.6485817142857157E-4</c:v>
                </c:pt>
                <c:pt idx="11">
                  <c:v>-9.0430200000000006E-4</c:v>
                </c:pt>
                <c:pt idx="12">
                  <c:v>-9.539845714285714E-4</c:v>
                </c:pt>
                <c:pt idx="13">
                  <c:v>-1.0185461142857143E-3</c:v>
                </c:pt>
                <c:pt idx="14">
                  <c:v>-1.1103050857142859E-3</c:v>
                </c:pt>
                <c:pt idx="15">
                  <c:v>-1.2787949142857144E-3</c:v>
                </c:pt>
                <c:pt idx="16">
                  <c:v>-1.6690684000000003E-3</c:v>
                </c:pt>
                <c:pt idx="17">
                  <c:v>-2.4705964000000004E-3</c:v>
                </c:pt>
                <c:pt idx="18">
                  <c:v>-3.9668505142857148E-3</c:v>
                </c:pt>
                <c:pt idx="19">
                  <c:v>-6.4758148571428583E-3</c:v>
                </c:pt>
                <c:pt idx="20">
                  <c:v>-9.8433360000000011E-3</c:v>
                </c:pt>
                <c:pt idx="21">
                  <c:v>-1.3177162285714288E-2</c:v>
                </c:pt>
                <c:pt idx="22">
                  <c:v>-1.5779164571428573E-2</c:v>
                </c:pt>
                <c:pt idx="23">
                  <c:v>-1.7653537714285714E-2</c:v>
                </c:pt>
                <c:pt idx="24">
                  <c:v>-1.9022550285714285E-2</c:v>
                </c:pt>
                <c:pt idx="25">
                  <c:v>-1.9828010857142857E-2</c:v>
                </c:pt>
                <c:pt idx="26">
                  <c:v>-2.0948164000000002E-2</c:v>
                </c:pt>
                <c:pt idx="27">
                  <c:v>-2.1848025714285717E-2</c:v>
                </c:pt>
                <c:pt idx="28">
                  <c:v>-2.1887568571428574E-2</c:v>
                </c:pt>
                <c:pt idx="29">
                  <c:v>-2.213290285714286E-2</c:v>
                </c:pt>
                <c:pt idx="30">
                  <c:v>-2.2144656000000002E-2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-7.5780891428571431E-4</c:v>
                </c:pt>
                <c:pt idx="1">
                  <c:v>-7.9098565714285718E-4</c:v>
                </c:pt>
                <c:pt idx="2">
                  <c:v>-8.179954857142857E-4</c:v>
                </c:pt>
                <c:pt idx="3">
                  <c:v>-8.486698857142858E-4</c:v>
                </c:pt>
                <c:pt idx="4">
                  <c:v>-8.8110862857142865E-4</c:v>
                </c:pt>
                <c:pt idx="5">
                  <c:v>-9.2443062857142859E-4</c:v>
                </c:pt>
                <c:pt idx="6">
                  <c:v>-9.7719491428571443E-4</c:v>
                </c:pt>
                <c:pt idx="7">
                  <c:v>-1.0469790285714286E-3</c:v>
                </c:pt>
                <c:pt idx="8">
                  <c:v>-1.1422493142857143E-3</c:v>
                </c:pt>
                <c:pt idx="9">
                  <c:v>-1.2866492E-3</c:v>
                </c:pt>
                <c:pt idx="10">
                  <c:v>-1.5242370285714288E-3</c:v>
                </c:pt>
                <c:pt idx="11">
                  <c:v>-1.9320319428571429E-3</c:v>
                </c:pt>
                <c:pt idx="12">
                  <c:v>-2.5970217714285713E-3</c:v>
                </c:pt>
                <c:pt idx="13">
                  <c:v>-3.5571900571428573E-3</c:v>
                </c:pt>
                <c:pt idx="14">
                  <c:v>-4.6141837142857148E-3</c:v>
                </c:pt>
                <c:pt idx="15">
                  <c:v>-5.6234140000000002E-3</c:v>
                </c:pt>
                <c:pt idx="16">
                  <c:v>-6.7562577142857147E-3</c:v>
                </c:pt>
                <c:pt idx="17">
                  <c:v>-8.7672800000000006E-3</c:v>
                </c:pt>
                <c:pt idx="18">
                  <c:v>-1.1606206285714286E-2</c:v>
                </c:pt>
                <c:pt idx="19">
                  <c:v>-1.4358287428571431E-2</c:v>
                </c:pt>
                <c:pt idx="20">
                  <c:v>-1.7147691428571431E-2</c:v>
                </c:pt>
                <c:pt idx="21">
                  <c:v>-1.9091066285714286E-2</c:v>
                </c:pt>
                <c:pt idx="22">
                  <c:v>-2.0249506285714286E-2</c:v>
                </c:pt>
                <c:pt idx="23">
                  <c:v>-2.0991990857142859E-2</c:v>
                </c:pt>
                <c:pt idx="24">
                  <c:v>-2.1482561714285715E-2</c:v>
                </c:pt>
                <c:pt idx="25">
                  <c:v>-2.1599005142857144E-2</c:v>
                </c:pt>
                <c:pt idx="26">
                  <c:v>-2.1741901142857144E-2</c:v>
                </c:pt>
                <c:pt idx="27">
                  <c:v>-2.2120389142857143E-2</c:v>
                </c:pt>
                <c:pt idx="28">
                  <c:v>-2.2129644E-2</c:v>
                </c:pt>
                <c:pt idx="29">
                  <c:v>-2.2296514285714285E-2</c:v>
                </c:pt>
                <c:pt idx="30">
                  <c:v>-2.2364841142857143E-2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00892344"/>
        <c:axId val="4008927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008923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0892736"/>
        <c:crossesAt val="-8.0000000000000019E-3"/>
        <c:crossBetween val="midCat"/>
      </c:valAx>
      <c:valAx>
        <c:axId val="400892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08923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19220.867104717185</c:v>
                </c:pt>
                <c:pt idx="1">
                  <c:v>19221.146195609606</c:v>
                </c:pt>
                <c:pt idx="2">
                  <c:v>19221.046127292553</c:v>
                </c:pt>
                <c:pt idx="3">
                  <c:v>19221.019527029144</c:v>
                </c:pt>
                <c:pt idx="4">
                  <c:v>19221.011715854664</c:v>
                </c:pt>
                <c:pt idx="5">
                  <c:v>19221.009393614826</c:v>
                </c:pt>
                <c:pt idx="6">
                  <c:v>19221.008549164115</c:v>
                </c:pt>
                <c:pt idx="7">
                  <c:v>19221.008126938788</c:v>
                </c:pt>
                <c:pt idx="8">
                  <c:v>19221.007704713476</c:v>
                </c:pt>
                <c:pt idx="9">
                  <c:v>19221.004538024255</c:v>
                </c:pt>
                <c:pt idx="10">
                  <c:v>19220.972871189388</c:v>
                </c:pt>
                <c:pt idx="11">
                  <c:v>19220.656630789352</c:v>
                </c:pt>
                <c:pt idx="12">
                  <c:v>19217.522022648805</c:v>
                </c:pt>
                <c:pt idx="13">
                  <c:v>19187.591036210943</c:v>
                </c:pt>
                <c:pt idx="14">
                  <c:v>18970.268873208846</c:v>
                </c:pt>
                <c:pt idx="15">
                  <c:v>18608.554780097496</c:v>
                </c:pt>
                <c:pt idx="16">
                  <c:v>18345.117555460878</c:v>
                </c:pt>
                <c:pt idx="17">
                  <c:v>18078.455061098099</c:v>
                </c:pt>
                <c:pt idx="18">
                  <c:v>17780.594314231279</c:v>
                </c:pt>
                <c:pt idx="19">
                  <c:v>17407.484442433797</c:v>
                </c:pt>
                <c:pt idx="20">
                  <c:v>16718.585038318521</c:v>
                </c:pt>
                <c:pt idx="21">
                  <c:v>15028.920796385088</c:v>
                </c:pt>
                <c:pt idx="22">
                  <c:v>12746.65041699392</c:v>
                </c:pt>
                <c:pt idx="23">
                  <c:v>10873.102690179574</c:v>
                </c:pt>
                <c:pt idx="24">
                  <c:v>9527.8337696808976</c:v>
                </c:pt>
                <c:pt idx="25">
                  <c:v>8510.2356007664657</c:v>
                </c:pt>
                <c:pt idx="26">
                  <c:v>7716.426358042535</c:v>
                </c:pt>
                <c:pt idx="27">
                  <c:v>7124.3048713961189</c:v>
                </c:pt>
                <c:pt idx="28">
                  <c:v>6663.5722306479402</c:v>
                </c:pt>
                <c:pt idx="29">
                  <c:v>6260.5649269057576</c:v>
                </c:pt>
                <c:pt idx="30">
                  <c:v>5921.9085031973564</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19053.991531948868</c:v>
                </c:pt>
                <c:pt idx="1">
                  <c:v>19054.273681410777</c:v>
                </c:pt>
                <c:pt idx="2">
                  <c:v>19054.174720684852</c:v>
                </c:pt>
                <c:pt idx="3">
                  <c:v>19054.146505655717</c:v>
                </c:pt>
                <c:pt idx="4">
                  <c:v>19054.116838472557</c:v>
                </c:pt>
                <c:pt idx="5">
                  <c:v>19053.894026357066</c:v>
                </c:pt>
                <c:pt idx="6">
                  <c:v>19051.703110669547</c:v>
                </c:pt>
                <c:pt idx="7">
                  <c:v>19030.589388771721</c:v>
                </c:pt>
                <c:pt idx="8">
                  <c:v>18863.153726575543</c:v>
                </c:pt>
                <c:pt idx="9">
                  <c:v>18488.086541148401</c:v>
                </c:pt>
                <c:pt idx="10">
                  <c:v>18222.589450786771</c:v>
                </c:pt>
                <c:pt idx="11">
                  <c:v>17964.450754061414</c:v>
                </c:pt>
                <c:pt idx="12">
                  <c:v>17674.400378292765</c:v>
                </c:pt>
                <c:pt idx="13">
                  <c:v>17365.881560123013</c:v>
                </c:pt>
                <c:pt idx="14">
                  <c:v>17016.033381762583</c:v>
                </c:pt>
                <c:pt idx="15">
                  <c:v>16634.973082237128</c:v>
                </c:pt>
                <c:pt idx="16">
                  <c:v>16220.589637898043</c:v>
                </c:pt>
                <c:pt idx="17">
                  <c:v>15812.650988227435</c:v>
                </c:pt>
                <c:pt idx="18">
                  <c:v>15176.869063947086</c:v>
                </c:pt>
                <c:pt idx="19">
                  <c:v>13642.979595559715</c:v>
                </c:pt>
                <c:pt idx="20">
                  <c:v>11370.548032476103</c:v>
                </c:pt>
                <c:pt idx="21">
                  <c:v>9436.9882051668101</c:v>
                </c:pt>
                <c:pt idx="22">
                  <c:v>8100.5415142569063</c:v>
                </c:pt>
                <c:pt idx="23">
                  <c:v>7155.399536043893</c:v>
                </c:pt>
                <c:pt idx="24">
                  <c:v>6474.8014048913092</c:v>
                </c:pt>
                <c:pt idx="25">
                  <c:v>5936.0686760406115</c:v>
                </c:pt>
                <c:pt idx="26">
                  <c:v>5475.4267696242969</c:v>
                </c:pt>
                <c:pt idx="27">
                  <c:v>5019.9351665333361</c:v>
                </c:pt>
                <c:pt idx="28">
                  <c:v>4566.0885215840317</c:v>
                </c:pt>
                <c:pt idx="29">
                  <c:v>4080.9267836028635</c:v>
                </c:pt>
                <c:pt idx="30">
                  <c:v>3552.9045248269349</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18946.186065080146</c:v>
                </c:pt>
                <c:pt idx="1">
                  <c:v>18946.45682581564</c:v>
                </c:pt>
                <c:pt idx="2">
                  <c:v>18946.226268457696</c:v>
                </c:pt>
                <c:pt idx="3">
                  <c:v>18944.879548185188</c:v>
                </c:pt>
                <c:pt idx="4">
                  <c:v>18932.003901334268</c:v>
                </c:pt>
                <c:pt idx="5">
                  <c:v>18820.898661344763</c:v>
                </c:pt>
                <c:pt idx="6">
                  <c:v>18444.644496815286</c:v>
                </c:pt>
                <c:pt idx="7">
                  <c:v>18169.153573888081</c:v>
                </c:pt>
                <c:pt idx="8">
                  <c:v>17917.585271400887</c:v>
                </c:pt>
                <c:pt idx="9">
                  <c:v>17632.580430209568</c:v>
                </c:pt>
                <c:pt idx="10">
                  <c:v>17332.981127156829</c:v>
                </c:pt>
                <c:pt idx="11">
                  <c:v>16992.41283911758</c:v>
                </c:pt>
                <c:pt idx="12">
                  <c:v>16619.686769238309</c:v>
                </c:pt>
                <c:pt idx="13">
                  <c:v>16209.135264863289</c:v>
                </c:pt>
                <c:pt idx="14">
                  <c:v>15839.116571915563</c:v>
                </c:pt>
                <c:pt idx="15">
                  <c:v>15427.42836317718</c:v>
                </c:pt>
                <c:pt idx="16">
                  <c:v>14914.843064316723</c:v>
                </c:pt>
                <c:pt idx="17">
                  <c:v>14183.559082912139</c:v>
                </c:pt>
                <c:pt idx="18">
                  <c:v>12830.417150587233</c:v>
                </c:pt>
                <c:pt idx="19">
                  <c:v>10769.325539295516</c:v>
                </c:pt>
                <c:pt idx="20">
                  <c:v>8899.1954567929042</c:v>
                </c:pt>
                <c:pt idx="21">
                  <c:v>7566.4109291833647</c:v>
                </c:pt>
                <c:pt idx="22">
                  <c:v>6622.7240724893854</c:v>
                </c:pt>
                <c:pt idx="23">
                  <c:v>5926.4133844016324</c:v>
                </c:pt>
                <c:pt idx="24">
                  <c:v>5331.4423671994064</c:v>
                </c:pt>
                <c:pt idx="25">
                  <c:v>4798.683965035746</c:v>
                </c:pt>
                <c:pt idx="26">
                  <c:v>4270.0104768977053</c:v>
                </c:pt>
                <c:pt idx="27">
                  <c:v>3722.9312054221532</c:v>
                </c:pt>
                <c:pt idx="28">
                  <c:v>3115.3109933966621</c:v>
                </c:pt>
                <c:pt idx="29">
                  <c:v>2449.8630281580959</c:v>
                </c:pt>
                <c:pt idx="30">
                  <c:v>1788.8309768773254</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18835.405175881086</c:v>
                </c:pt>
                <c:pt idx="1">
                  <c:v>18833.259958952531</c:v>
                </c:pt>
                <c:pt idx="2">
                  <c:v>18809.75300956317</c:v>
                </c:pt>
                <c:pt idx="3">
                  <c:v>18629.034427445622</c:v>
                </c:pt>
                <c:pt idx="4">
                  <c:v>18263.70352027041</c:v>
                </c:pt>
                <c:pt idx="5">
                  <c:v>18003.367493882994</c:v>
                </c:pt>
                <c:pt idx="6">
                  <c:v>17746.833609947313</c:v>
                </c:pt>
                <c:pt idx="7">
                  <c:v>17460.077532721432</c:v>
                </c:pt>
                <c:pt idx="8">
                  <c:v>17153.645595683865</c:v>
                </c:pt>
                <c:pt idx="9">
                  <c:v>16806.893784464937</c:v>
                </c:pt>
                <c:pt idx="10">
                  <c:v>16429.846854111503</c:v>
                </c:pt>
                <c:pt idx="11">
                  <c:v>16023.915373216218</c:v>
                </c:pt>
                <c:pt idx="12">
                  <c:v>15656.542341195242</c:v>
                </c:pt>
                <c:pt idx="13">
                  <c:v>15229.954029906758</c:v>
                </c:pt>
                <c:pt idx="14">
                  <c:v>14716.644053491889</c:v>
                </c:pt>
                <c:pt idx="15">
                  <c:v>14150.090576751223</c:v>
                </c:pt>
                <c:pt idx="16">
                  <c:v>13560.472539849385</c:v>
                </c:pt>
                <c:pt idx="17">
                  <c:v>12542.360928151909</c:v>
                </c:pt>
                <c:pt idx="18">
                  <c:v>10656.641547846128</c:v>
                </c:pt>
                <c:pt idx="19">
                  <c:v>8763.0257996999644</c:v>
                </c:pt>
                <c:pt idx="20">
                  <c:v>7336.2170675119769</c:v>
                </c:pt>
                <c:pt idx="21">
                  <c:v>6317.7609191035253</c:v>
                </c:pt>
                <c:pt idx="22">
                  <c:v>5525.2002806170285</c:v>
                </c:pt>
                <c:pt idx="23">
                  <c:v>4868.8863168185435</c:v>
                </c:pt>
                <c:pt idx="24">
                  <c:v>4261.2189555284822</c:v>
                </c:pt>
                <c:pt idx="25">
                  <c:v>3655.3249939008292</c:v>
                </c:pt>
                <c:pt idx="26">
                  <c:v>3001.8726196007801</c:v>
                </c:pt>
                <c:pt idx="27">
                  <c:v>2307.7526643004508</c:v>
                </c:pt>
                <c:pt idx="28">
                  <c:v>1653.0654019740243</c:v>
                </c:pt>
                <c:pt idx="29">
                  <c:v>1146.0582472643589</c:v>
                </c:pt>
                <c:pt idx="30">
                  <c:v>821.201373499184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18561.168154648341</c:v>
                </c:pt>
                <c:pt idx="1">
                  <c:v>18121.244837982198</c:v>
                </c:pt>
                <c:pt idx="2">
                  <c:v>17859.049219529443</c:v>
                </c:pt>
                <c:pt idx="3">
                  <c:v>17601.444694395013</c:v>
                </c:pt>
                <c:pt idx="4">
                  <c:v>17316.305171479904</c:v>
                </c:pt>
                <c:pt idx="5">
                  <c:v>17009.669073486239</c:v>
                </c:pt>
                <c:pt idx="6">
                  <c:v>16663.757650688218</c:v>
                </c:pt>
                <c:pt idx="7">
                  <c:v>16288.218443065973</c:v>
                </c:pt>
                <c:pt idx="8">
                  <c:v>15886.540686701621</c:v>
                </c:pt>
                <c:pt idx="9">
                  <c:v>15521.957760584179</c:v>
                </c:pt>
                <c:pt idx="10">
                  <c:v>15092.91413554903</c:v>
                </c:pt>
                <c:pt idx="11">
                  <c:v>14579.822026195356</c:v>
                </c:pt>
                <c:pt idx="12">
                  <c:v>14030.357203273577</c:v>
                </c:pt>
                <c:pt idx="13">
                  <c:v>13546.150845755861</c:v>
                </c:pt>
                <c:pt idx="14">
                  <c:v>13107.132684402939</c:v>
                </c:pt>
                <c:pt idx="15">
                  <c:v>12611.395556133355</c:v>
                </c:pt>
                <c:pt idx="16">
                  <c:v>11799.997990628914</c:v>
                </c:pt>
                <c:pt idx="17">
                  <c:v>10167.058718133751</c:v>
                </c:pt>
                <c:pt idx="18">
                  <c:v>8265.0943529002579</c:v>
                </c:pt>
                <c:pt idx="19">
                  <c:v>6717.2569516988151</c:v>
                </c:pt>
                <c:pt idx="20">
                  <c:v>5568.477251211255</c:v>
                </c:pt>
                <c:pt idx="21">
                  <c:v>4662.8872411281573</c:v>
                </c:pt>
                <c:pt idx="22">
                  <c:v>3878.344188153857</c:v>
                </c:pt>
                <c:pt idx="23">
                  <c:v>3116.4719414859778</c:v>
                </c:pt>
                <c:pt idx="24">
                  <c:v>2355.5018088369488</c:v>
                </c:pt>
                <c:pt idx="25">
                  <c:v>1667.2594170860937</c:v>
                </c:pt>
                <c:pt idx="26">
                  <c:v>1147.5734166650875</c:v>
                </c:pt>
                <c:pt idx="27">
                  <c:v>821.55250513892827</c:v>
                </c:pt>
                <c:pt idx="28">
                  <c:v>654.66210887165539</c:v>
                </c:pt>
                <c:pt idx="29">
                  <c:v>571.87677343072266</c:v>
                </c:pt>
                <c:pt idx="30">
                  <c:v>530.65454874046873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16108.317110723878</c:v>
                </c:pt>
                <c:pt idx="1">
                  <c:v>15642.448313104966</c:v>
                </c:pt>
                <c:pt idx="2">
                  <c:v>15246.597155542559</c:v>
                </c:pt>
                <c:pt idx="3">
                  <c:v>14820.754408581606</c:v>
                </c:pt>
                <c:pt idx="4">
                  <c:v>14284.022357841532</c:v>
                </c:pt>
                <c:pt idx="5">
                  <c:v>13752.789753401477</c:v>
                </c:pt>
                <c:pt idx="6">
                  <c:v>13298.667633087174</c:v>
                </c:pt>
                <c:pt idx="7">
                  <c:v>12873.010182036134</c:v>
                </c:pt>
                <c:pt idx="8">
                  <c:v>12435.556282581601</c:v>
                </c:pt>
                <c:pt idx="9">
                  <c:v>12013.042732109147</c:v>
                </c:pt>
                <c:pt idx="10">
                  <c:v>11562.58948618363</c:v>
                </c:pt>
                <c:pt idx="11">
                  <c:v>11058.252663380154</c:v>
                </c:pt>
                <c:pt idx="12">
                  <c:v>10482.349819374138</c:v>
                </c:pt>
                <c:pt idx="13">
                  <c:v>9817.9158113158155</c:v>
                </c:pt>
                <c:pt idx="14">
                  <c:v>9006.5335452973814</c:v>
                </c:pt>
                <c:pt idx="15">
                  <c:v>7819.862190792036</c:v>
                </c:pt>
                <c:pt idx="16">
                  <c:v>5991.3662016487751</c:v>
                </c:pt>
                <c:pt idx="17">
                  <c:v>4047.605671246019</c:v>
                </c:pt>
                <c:pt idx="18">
                  <c:v>2520.8915647280537</c:v>
                </c:pt>
                <c:pt idx="19">
                  <c:v>1544.2072110770657</c:v>
                </c:pt>
                <c:pt idx="20">
                  <c:v>1015.9157423865241</c:v>
                </c:pt>
                <c:pt idx="21">
                  <c:v>758.88873364193637</c:v>
                </c:pt>
                <c:pt idx="22">
                  <c:v>633.74711346296874</c:v>
                </c:pt>
                <c:pt idx="23">
                  <c:v>566.45869863850191</c:v>
                </c:pt>
                <c:pt idx="24">
                  <c:v>525.69186832482103</c:v>
                </c:pt>
                <c:pt idx="25">
                  <c:v>504.33702462885191</c:v>
                </c:pt>
                <c:pt idx="26">
                  <c:v>477.36880425415796</c:v>
                </c:pt>
                <c:pt idx="27">
                  <c:v>457.70726063643014</c:v>
                </c:pt>
                <c:pt idx="28">
                  <c:v>456.88035047683292</c:v>
                </c:pt>
                <c:pt idx="29">
                  <c:v>451.81601638723777</c:v>
                </c:pt>
                <c:pt idx="30">
                  <c:v>451.57621775655485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13195.938727410814</c:v>
                </c:pt>
                <c:pt idx="1">
                  <c:v>12642.454271701079</c:v>
                </c:pt>
                <c:pt idx="2">
                  <c:v>12225.006341285432</c:v>
                </c:pt>
                <c:pt idx="3">
                  <c:v>11783.144622344491</c:v>
                </c:pt>
                <c:pt idx="4">
                  <c:v>11349.338408152171</c:v>
                </c:pt>
                <c:pt idx="5">
                  <c:v>10817.469359981644</c:v>
                </c:pt>
                <c:pt idx="6">
                  <c:v>10233.372947207314</c:v>
                </c:pt>
                <c:pt idx="7">
                  <c:v>9551.2896888151608</c:v>
                </c:pt>
                <c:pt idx="8">
                  <c:v>8754.6561638807598</c:v>
                </c:pt>
                <c:pt idx="9">
                  <c:v>7772.1262330089658</c:v>
                </c:pt>
                <c:pt idx="10">
                  <c:v>6560.6594070033643</c:v>
                </c:pt>
                <c:pt idx="11">
                  <c:v>5175.897860783668</c:v>
                </c:pt>
                <c:pt idx="12">
                  <c:v>3850.5645620749624</c:v>
                </c:pt>
                <c:pt idx="13">
                  <c:v>2811.2076777904922</c:v>
                </c:pt>
                <c:pt idx="14">
                  <c:v>2167.2305697407674</c:v>
                </c:pt>
                <c:pt idx="15">
                  <c:v>1778.2791734700663</c:v>
                </c:pt>
                <c:pt idx="16">
                  <c:v>1480.1093183369221</c:v>
                </c:pt>
                <c:pt idx="17">
                  <c:v>1140.6046116925659</c:v>
                </c:pt>
                <c:pt idx="18">
                  <c:v>861.60798402391697</c:v>
                </c:pt>
                <c:pt idx="19">
                  <c:v>696.46189002325491</c:v>
                </c:pt>
                <c:pt idx="20">
                  <c:v>583.16887970925518</c:v>
                </c:pt>
                <c:pt idx="21">
                  <c:v>523.80521079029154</c:v>
                </c:pt>
                <c:pt idx="22">
                  <c:v>493.83920076386482</c:v>
                </c:pt>
                <c:pt idx="23">
                  <c:v>476.37215869867538</c:v>
                </c:pt>
                <c:pt idx="24">
                  <c:v>465.4938332307961</c:v>
                </c:pt>
                <c:pt idx="25">
                  <c:v>462.98428718634898</c:v>
                </c:pt>
                <c:pt idx="26">
                  <c:v>459.94137928850324</c:v>
                </c:pt>
                <c:pt idx="27">
                  <c:v>452.07161300003997</c:v>
                </c:pt>
                <c:pt idx="28">
                  <c:v>451.88255174823416</c:v>
                </c:pt>
                <c:pt idx="29">
                  <c:v>448.50059842794133</c:v>
                </c:pt>
                <c:pt idx="30">
                  <c:v>447.13038362867104</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00886856"/>
        <c:axId val="4008856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0088685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0885680"/>
        <c:crosses val="autoZero"/>
        <c:crossBetween val="midCat"/>
      </c:valAx>
      <c:valAx>
        <c:axId val="40088568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088685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22077.11293330136</c:v>
                </c:pt>
                <c:pt idx="1">
                  <c:v>22078.352945786577</c:v>
                </c:pt>
                <c:pt idx="2">
                  <c:v>22078.244313789179</c:v>
                </c:pt>
                <c:pt idx="3">
                  <c:v>22078.212560022632</c:v>
                </c:pt>
                <c:pt idx="4">
                  <c:v>22078.201696912922</c:v>
                </c:pt>
                <c:pt idx="5">
                  <c:v>22078.199190042968</c:v>
                </c:pt>
                <c:pt idx="6">
                  <c:v>22078.197518796656</c:v>
                </c:pt>
                <c:pt idx="7">
                  <c:v>22078.197518796649</c:v>
                </c:pt>
                <c:pt idx="8">
                  <c:v>22078.197518796638</c:v>
                </c:pt>
                <c:pt idx="9">
                  <c:v>22078.201696912933</c:v>
                </c:pt>
                <c:pt idx="10">
                  <c:v>22078.240135656793</c:v>
                </c:pt>
                <c:pt idx="11">
                  <c:v>22078.632887014399</c:v>
                </c:pt>
                <c:pt idx="12">
                  <c:v>22082.530239028241</c:v>
                </c:pt>
                <c:pt idx="13">
                  <c:v>22119.923684493697</c:v>
                </c:pt>
                <c:pt idx="14">
                  <c:v>22402.40153744481</c:v>
                </c:pt>
                <c:pt idx="15">
                  <c:v>22925.061824306722</c:v>
                </c:pt>
                <c:pt idx="16">
                  <c:v>23339.443599667724</c:v>
                </c:pt>
                <c:pt idx="17">
                  <c:v>23806.038411165402</c:v>
                </c:pt>
                <c:pt idx="18">
                  <c:v>24385.225134222183</c:v>
                </c:pt>
                <c:pt idx="19">
                  <c:v>24985.658945641175</c:v>
                </c:pt>
                <c:pt idx="20">
                  <c:v>25229.351383362831</c:v>
                </c:pt>
                <c:pt idx="21">
                  <c:v>23465.955404171989</c:v>
                </c:pt>
                <c:pt idx="22">
                  <c:v>19732.611611372275</c:v>
                </c:pt>
                <c:pt idx="23">
                  <c:v>16293.696505117547</c:v>
                </c:pt>
                <c:pt idx="24">
                  <c:v>13829.534502452147</c:v>
                </c:pt>
                <c:pt idx="25">
                  <c:v>12019.209306357014</c:v>
                </c:pt>
                <c:pt idx="26">
                  <c:v>10596.770898685134</c:v>
                </c:pt>
                <c:pt idx="27">
                  <c:v>9505.7307878181327</c:v>
                </c:pt>
                <c:pt idx="28">
                  <c:v>8684.1294883700029</c:v>
                </c:pt>
                <c:pt idx="29">
                  <c:v>8025.4550926029715</c:v>
                </c:pt>
                <c:pt idx="30">
                  <c:v>7552.7560006646436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21874.164680336275</c:v>
                </c:pt>
                <c:pt idx="1">
                  <c:v>21875.490284426003</c:v>
                </c:pt>
                <c:pt idx="2">
                  <c:v>21875.38610056468</c:v>
                </c:pt>
                <c:pt idx="3">
                  <c:v>21875.358208990678</c:v>
                </c:pt>
                <c:pt idx="4">
                  <c:v>21875.375436130926</c:v>
                </c:pt>
                <c:pt idx="5">
                  <c:v>21875.639589012484</c:v>
                </c:pt>
                <c:pt idx="6">
                  <c:v>21878.301162166608</c:v>
                </c:pt>
                <c:pt idx="7">
                  <c:v>21904.062584037278</c:v>
                </c:pt>
                <c:pt idx="8">
                  <c:v>22114.554250325065</c:v>
                </c:pt>
                <c:pt idx="9">
                  <c:v>22636.187647942024</c:v>
                </c:pt>
                <c:pt idx="10">
                  <c:v>23039.585984695968</c:v>
                </c:pt>
                <c:pt idx="11">
                  <c:v>23474.488248107809</c:v>
                </c:pt>
                <c:pt idx="12">
                  <c:v>24028.010014215506</c:v>
                </c:pt>
                <c:pt idx="13">
                  <c:v>24698.563209776745</c:v>
                </c:pt>
                <c:pt idx="14">
                  <c:v>25585.152167180811</c:v>
                </c:pt>
                <c:pt idx="15">
                  <c:v>26734.282708959516</c:v>
                </c:pt>
                <c:pt idx="16">
                  <c:v>28089.588258641987</c:v>
                </c:pt>
                <c:pt idx="17">
                  <c:v>29711.982567521412</c:v>
                </c:pt>
                <c:pt idx="18">
                  <c:v>31118.270802857416</c:v>
                </c:pt>
                <c:pt idx="19">
                  <c:v>29575.131769042044</c:v>
                </c:pt>
                <c:pt idx="20">
                  <c:v>23463.157801025358</c:v>
                </c:pt>
                <c:pt idx="21">
                  <c:v>17473.618331043792</c:v>
                </c:pt>
                <c:pt idx="22">
                  <c:v>13557.378700195992</c:v>
                </c:pt>
                <c:pt idx="23">
                  <c:v>11073.621103208552</c:v>
                </c:pt>
                <c:pt idx="24">
                  <c:v>9404.2731512515529</c:v>
                </c:pt>
                <c:pt idx="25">
                  <c:v>8222.5138160550359</c:v>
                </c:pt>
                <c:pt idx="26">
                  <c:v>7332.5797117407874</c:v>
                </c:pt>
                <c:pt idx="27">
                  <c:v>6578.47302589234</c:v>
                </c:pt>
                <c:pt idx="28">
                  <c:v>5901.7368238160971</c:v>
                </c:pt>
                <c:pt idx="29">
                  <c:v>5234.1000602011209</c:v>
                </c:pt>
                <c:pt idx="30">
                  <c:v>4540.5084575532119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21742.824013893041</c:v>
                </c:pt>
                <c:pt idx="1">
                  <c:v>21744.218041575314</c:v>
                </c:pt>
                <c:pt idx="2">
                  <c:v>21744.274779045543</c:v>
                </c:pt>
                <c:pt idx="3">
                  <c:v>21745.829500941531</c:v>
                </c:pt>
                <c:pt idx="4">
                  <c:v>21761.266373394414</c:v>
                </c:pt>
                <c:pt idx="5">
                  <c:v>21897.241301705664</c:v>
                </c:pt>
                <c:pt idx="6">
                  <c:v>22400.675819429198</c:v>
                </c:pt>
                <c:pt idx="7">
                  <c:v>22807.152260392086</c:v>
                </c:pt>
                <c:pt idx="8">
                  <c:v>23215.22263803118</c:v>
                </c:pt>
                <c:pt idx="9">
                  <c:v>23737.89157279889</c:v>
                </c:pt>
                <c:pt idx="10">
                  <c:v>24361.530231517503</c:v>
                </c:pt>
                <c:pt idx="11">
                  <c:v>25184.213890017851</c:v>
                </c:pt>
                <c:pt idx="12">
                  <c:v>26251.077606735766</c:v>
                </c:pt>
                <c:pt idx="13">
                  <c:v>27533.196460307085</c:v>
                </c:pt>
                <c:pt idx="14">
                  <c:v>29198.396564212995</c:v>
                </c:pt>
                <c:pt idx="15">
                  <c:v>31243.624069002512</c:v>
                </c:pt>
                <c:pt idx="16">
                  <c:v>34629.875886524846</c:v>
                </c:pt>
                <c:pt idx="17">
                  <c:v>39144.628576303541</c:v>
                </c:pt>
                <c:pt idx="18">
                  <c:v>38115.654395473255</c:v>
                </c:pt>
                <c:pt idx="19">
                  <c:v>27549.447953142146</c:v>
                </c:pt>
                <c:pt idx="20">
                  <c:v>18847.942254902329</c:v>
                </c:pt>
                <c:pt idx="21">
                  <c:v>13796.724796288985</c:v>
                </c:pt>
                <c:pt idx="22">
                  <c:v>10839.995594625787</c:v>
                </c:pt>
                <c:pt idx="23">
                  <c:v>8946.4858535865169</c:v>
                </c:pt>
                <c:pt idx="24">
                  <c:v>7609.7166776377044</c:v>
                </c:pt>
                <c:pt idx="25">
                  <c:v>6581.082509099756</c:v>
                </c:pt>
                <c:pt idx="26">
                  <c:v>5707.0522468566833</c:v>
                </c:pt>
                <c:pt idx="27">
                  <c:v>4901.3067275840267</c:v>
                </c:pt>
                <c:pt idx="28">
                  <c:v>4071.8305342290523</c:v>
                </c:pt>
                <c:pt idx="29">
                  <c:v>3201.8582633951432</c:v>
                </c:pt>
                <c:pt idx="30">
                  <c:v>2353.0684240833825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21607.980195039068</c:v>
                </c:pt>
                <c:pt idx="1">
                  <c:v>21612.28965190726</c:v>
                </c:pt>
                <c:pt idx="2">
                  <c:v>21639.920405157689</c:v>
                </c:pt>
                <c:pt idx="3">
                  <c:v>21861.025612639936</c:v>
                </c:pt>
                <c:pt idx="4">
                  <c:v>22356.685120896589</c:v>
                </c:pt>
                <c:pt idx="5">
                  <c:v>22741.801785132677</c:v>
                </c:pt>
                <c:pt idx="6">
                  <c:v>23163.215268174965</c:v>
                </c:pt>
                <c:pt idx="7">
                  <c:v>23696.683106206725</c:v>
                </c:pt>
                <c:pt idx="8">
                  <c:v>24346.185281092145</c:v>
                </c:pt>
                <c:pt idx="9">
                  <c:v>25203.327484433135</c:v>
                </c:pt>
                <c:pt idx="10">
                  <c:v>26313.114636767765</c:v>
                </c:pt>
                <c:pt idx="11">
                  <c:v>27619.123013616882</c:v>
                </c:pt>
                <c:pt idx="12">
                  <c:v>29329.20324521096</c:v>
                </c:pt>
                <c:pt idx="13">
                  <c:v>31564.484853718845</c:v>
                </c:pt>
                <c:pt idx="14">
                  <c:v>35425.421047323616</c:v>
                </c:pt>
                <c:pt idx="15">
                  <c:v>41753.585702503391</c:v>
                </c:pt>
                <c:pt idx="16">
                  <c:v>49740.722928824689</c:v>
                </c:pt>
                <c:pt idx="17">
                  <c:v>50815.115098268368</c:v>
                </c:pt>
                <c:pt idx="18">
                  <c:v>35799.167732765876</c:v>
                </c:pt>
                <c:pt idx="19">
                  <c:v>22048.935230459032</c:v>
                </c:pt>
                <c:pt idx="20">
                  <c:v>14952.76379195938</c:v>
                </c:pt>
                <c:pt idx="21">
                  <c:v>11155.676444840181</c:v>
                </c:pt>
                <c:pt idx="22">
                  <c:v>8832.4901585871066</c:v>
                </c:pt>
                <c:pt idx="23">
                  <c:v>7244.1369784340341</c:v>
                </c:pt>
                <c:pt idx="24">
                  <c:v>6037.1268119875549</c:v>
                </c:pt>
                <c:pt idx="25">
                  <c:v>5018.5531608740539</c:v>
                </c:pt>
                <c:pt idx="26">
                  <c:v>4053.281332744843</c:v>
                </c:pt>
                <c:pt idx="27">
                  <c:v>3098.9559316424861</c:v>
                </c:pt>
                <c:pt idx="28">
                  <c:v>2227.2603275070496</c:v>
                </c:pt>
                <c:pt idx="29">
                  <c:v>1559.9187523003231</c:v>
                </c:pt>
                <c:pt idx="30">
                  <c:v>1133.7393389954989</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21586.906808299471</c:v>
                </c:pt>
                <c:pt idx="1">
                  <c:v>22176.891810527537</c:v>
                </c:pt>
                <c:pt idx="2">
                  <c:v>22559.065595768479</c:v>
                </c:pt>
                <c:pt idx="3">
                  <c:v>22976.965198497666</c:v>
                </c:pt>
                <c:pt idx="4">
                  <c:v>23501.057561019414</c:v>
                </c:pt>
                <c:pt idx="5">
                  <c:v>24143.930051806245</c:v>
                </c:pt>
                <c:pt idx="6">
                  <c:v>24990.1952753851</c:v>
                </c:pt>
                <c:pt idx="7">
                  <c:v>26084.746090634377</c:v>
                </c:pt>
                <c:pt idx="8">
                  <c:v>27363.900091930205</c:v>
                </c:pt>
                <c:pt idx="9">
                  <c:v>29042.692126785088</c:v>
                </c:pt>
                <c:pt idx="10">
                  <c:v>31271.504743708578</c:v>
                </c:pt>
                <c:pt idx="11">
                  <c:v>35119.126887934013</c:v>
                </c:pt>
                <c:pt idx="12">
                  <c:v>41423.269452970897</c:v>
                </c:pt>
                <c:pt idx="13">
                  <c:v>50598.783107940209</c:v>
                </c:pt>
                <c:pt idx="14">
                  <c:v>65001.528093066168</c:v>
                </c:pt>
                <c:pt idx="15">
                  <c:v>93203.355661661641</c:v>
                </c:pt>
                <c:pt idx="16">
                  <c:v>120011.3345562145</c:v>
                </c:pt>
                <c:pt idx="17">
                  <c:v>68723.485988223809</c:v>
                </c:pt>
                <c:pt idx="18">
                  <c:v>30918.78800471163</c:v>
                </c:pt>
                <c:pt idx="19">
                  <c:v>17544.308150233417</c:v>
                </c:pt>
                <c:pt idx="20">
                  <c:v>11643.607666044836</c:v>
                </c:pt>
                <c:pt idx="21">
                  <c:v>8411.2176035345219</c:v>
                </c:pt>
                <c:pt idx="22">
                  <c:v>6330.5121315583183</c:v>
                </c:pt>
                <c:pt idx="23">
                  <c:v>4771.8930156855977</c:v>
                </c:pt>
                <c:pt idx="24">
                  <c:v>3466.060474476345</c:v>
                </c:pt>
                <c:pt idx="25">
                  <c:v>2410.4416254123034</c:v>
                </c:pt>
                <c:pt idx="26">
                  <c:v>1650.4388913117341</c:v>
                </c:pt>
                <c:pt idx="27">
                  <c:v>1182.2643751491598</c:v>
                </c:pt>
                <c:pt idx="28">
                  <c:v>940.93564166891053</c:v>
                </c:pt>
                <c:pt idx="29">
                  <c:v>819.53517089041009</c:v>
                </c:pt>
                <c:pt idx="30">
                  <c:v>757.89722411263494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25393.568386649978</c:v>
                </c:pt>
                <c:pt idx="1">
                  <c:v>27084.539949588099</c:v>
                </c:pt>
                <c:pt idx="2">
                  <c:v>28720.160081905295</c:v>
                </c:pt>
                <c:pt idx="3">
                  <c:v>31249.646209362581</c:v>
                </c:pt>
                <c:pt idx="4">
                  <c:v>35310.084689321317</c:v>
                </c:pt>
                <c:pt idx="5">
                  <c:v>41770.992704588716</c:v>
                </c:pt>
                <c:pt idx="6">
                  <c:v>50867.30499030355</c:v>
                </c:pt>
                <c:pt idx="7">
                  <c:v>66813.304689896933</c:v>
                </c:pt>
                <c:pt idx="8">
                  <c:v>100166.13841907137</c:v>
                </c:pt>
                <c:pt idx="9">
                  <c:v>239209.07365124312</c:v>
                </c:pt>
                <c:pt idx="10">
                  <c:v>-434146.00503808621</c:v>
                </c:pt>
                <c:pt idx="11">
                  <c:v>-92783.81561830506</c:v>
                </c:pt>
                <c:pt idx="12">
                  <c:v>-45575.380585679479</c:v>
                </c:pt>
                <c:pt idx="13">
                  <c:v>-27037.651675818404</c:v>
                </c:pt>
                <c:pt idx="14">
                  <c:v>-17295.988625367216</c:v>
                </c:pt>
                <c:pt idx="15">
                  <c:v>-11681.794590661575</c:v>
                </c:pt>
                <c:pt idx="16">
                  <c:v>-8676.3168132790815</c:v>
                </c:pt>
                <c:pt idx="17">
                  <c:v>-7132.3818572909804</c:v>
                </c:pt>
                <c:pt idx="18">
                  <c:v>-7054.6668959634899</c:v>
                </c:pt>
                <c:pt idx="19">
                  <c:v>-15303.918327797739</c:v>
                </c:pt>
                <c:pt idx="20">
                  <c:v>7171.6561722797296</c:v>
                </c:pt>
                <c:pt idx="21">
                  <c:v>2267.6512678891745</c:v>
                </c:pt>
                <c:pt idx="22">
                  <c:v>1342.8118972213299</c:v>
                </c:pt>
                <c:pt idx="23">
                  <c:v>1013.4861415615435</c:v>
                </c:pt>
                <c:pt idx="24">
                  <c:v>858.34766896561644</c:v>
                </c:pt>
                <c:pt idx="25">
                  <c:v>778.81671928129947</c:v>
                </c:pt>
                <c:pt idx="26">
                  <c:v>722.35727551437105</c:v>
                </c:pt>
                <c:pt idx="27">
                  <c:v>681.03462936558253</c:v>
                </c:pt>
                <c:pt idx="28">
                  <c:v>684.04508615430552</c:v>
                </c:pt>
                <c:pt idx="29">
                  <c:v>659.83679031254007</c:v>
                </c:pt>
                <c:pt idx="30">
                  <c:v>659.39001525263291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48341.983233453284</c:v>
                </c:pt>
                <c:pt idx="1">
                  <c:v>67941.212759188784</c:v>
                </c:pt>
                <c:pt idx="2">
                  <c:v>106581.8494399214</c:v>
                </c:pt>
                <c:pt idx="3">
                  <c:v>288758.29313817841</c:v>
                </c:pt>
                <c:pt idx="4">
                  <c:v>-288065.55911220331</c:v>
                </c:pt>
                <c:pt idx="5">
                  <c:v>-79234.14359526879</c:v>
                </c:pt>
                <c:pt idx="6">
                  <c:v>-40714.818197634682</c:v>
                </c:pt>
                <c:pt idx="7">
                  <c:v>-24326.385022731254</c:v>
                </c:pt>
                <c:pt idx="8">
                  <c:v>-15427.768378593551</c:v>
                </c:pt>
                <c:pt idx="9">
                  <c:v>-9752.6488612277735</c:v>
                </c:pt>
                <c:pt idx="10">
                  <c:v>-5964.337623498428</c:v>
                </c:pt>
                <c:pt idx="11">
                  <c:v>-3517.5701927614382</c:v>
                </c:pt>
                <c:pt idx="12">
                  <c:v>-2082.5065038760617</c:v>
                </c:pt>
                <c:pt idx="13">
                  <c:v>-1304.5671943275686</c:v>
                </c:pt>
                <c:pt idx="14">
                  <c:v>-933.54237214130342</c:v>
                </c:pt>
                <c:pt idx="15">
                  <c:v>-775.18717459109746</c:v>
                </c:pt>
                <c:pt idx="16">
                  <c:v>-751.2831465372966</c:v>
                </c:pt>
                <c:pt idx="17">
                  <c:v>-886.01771893675016</c:v>
                </c:pt>
                <c:pt idx="18">
                  <c:v>-1513.0564232573886</c:v>
                </c:pt>
                <c:pt idx="19">
                  <c:v>-9284.3564959459982</c:v>
                </c:pt>
                <c:pt idx="20">
                  <c:v>2810.2536037086306</c:v>
                </c:pt>
                <c:pt idx="21">
                  <c:v>1316.3498626257301</c:v>
                </c:pt>
                <c:pt idx="22">
                  <c:v>956.82091385254694</c:v>
                </c:pt>
                <c:pt idx="23">
                  <c:v>811.61046333774709</c:v>
                </c:pt>
                <c:pt idx="24">
                  <c:v>738.99446163767857</c:v>
                </c:pt>
                <c:pt idx="25">
                  <c:v>724.39732522703719</c:v>
                </c:pt>
                <c:pt idx="26">
                  <c:v>707.07422101532052</c:v>
                </c:pt>
                <c:pt idx="27">
                  <c:v>666.37704016566681</c:v>
                </c:pt>
                <c:pt idx="28">
                  <c:v>665.87819078840846</c:v>
                </c:pt>
                <c:pt idx="29">
                  <c:v>649.26387204203775</c:v>
                </c:pt>
                <c:pt idx="30">
                  <c:v>641.08087260851198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126077864"/>
        <c:axId val="4512921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1260778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92104"/>
        <c:crosses val="autoZero"/>
        <c:crossBetween val="midCat"/>
        <c:majorUnit val="10000"/>
      </c:valAx>
      <c:valAx>
        <c:axId val="45129210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6077864"/>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0.35489597935815076</c:v>
                </c:pt>
                <c:pt idx="1">
                  <c:v>0.35490202218430006</c:v>
                </c:pt>
                <c:pt idx="2">
                  <c:v>0.3549020636626749</c:v>
                </c:pt>
                <c:pt idx="3">
                  <c:v>0.35490205578029937</c:v>
                </c:pt>
                <c:pt idx="4">
                  <c:v>0.35490204335390357</c:v>
                </c:pt>
                <c:pt idx="5">
                  <c:v>0.35490204440916467</c:v>
                </c:pt>
                <c:pt idx="6">
                  <c:v>0.35490203980042623</c:v>
                </c:pt>
                <c:pt idx="7">
                  <c:v>0.35490204298777367</c:v>
                </c:pt>
                <c:pt idx="8">
                  <c:v>0.354902046175121</c:v>
                </c:pt>
                <c:pt idx="9">
                  <c:v>0.35490209753879987</c:v>
                </c:pt>
                <c:pt idx="10">
                  <c:v>0.35490258920783019</c:v>
                </c:pt>
                <c:pt idx="11">
                  <c:v>0.35490755753802411</c:v>
                </c:pt>
                <c:pt idx="12">
                  <c:v>0.35495682322457078</c:v>
                </c:pt>
                <c:pt idx="13">
                  <c:v>0.35542753741007366</c:v>
                </c:pt>
                <c:pt idx="14">
                  <c:v>0.35886729716974969</c:v>
                </c:pt>
                <c:pt idx="15">
                  <c:v>0.36471461580118525</c:v>
                </c:pt>
                <c:pt idx="16">
                  <c:v>0.368997751402251</c:v>
                </c:pt>
                <c:pt idx="17">
                  <c:v>0.37343228673851209</c:v>
                </c:pt>
                <c:pt idx="18">
                  <c:v>0.37847426589692063</c:v>
                </c:pt>
                <c:pt idx="19">
                  <c:v>0.38388349439235298</c:v>
                </c:pt>
                <c:pt idx="20">
                  <c:v>0.38955598590785695</c:v>
                </c:pt>
                <c:pt idx="21">
                  <c:v>0.3932572703907245</c:v>
                </c:pt>
                <c:pt idx="22">
                  <c:v>0.39233854200316304</c:v>
                </c:pt>
                <c:pt idx="23">
                  <c:v>0.38878007018680982</c:v>
                </c:pt>
                <c:pt idx="24">
                  <c:v>0.38517528954678487</c:v>
                </c:pt>
                <c:pt idx="25">
                  <c:v>0.38199118893972828</c:v>
                </c:pt>
                <c:pt idx="26">
                  <c:v>0.37863557002696607</c:v>
                </c:pt>
                <c:pt idx="27">
                  <c:v>0.37508754752929113</c:v>
                </c:pt>
                <c:pt idx="28">
                  <c:v>0.37211206681544845</c:v>
                </c:pt>
                <c:pt idx="29">
                  <c:v>0.36998525619072381</c:v>
                </c:pt>
                <c:pt idx="30">
                  <c:v>0.36932124505994396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0.35482118738094864</c:v>
                </c:pt>
                <c:pt idx="1">
                  <c:v>0.35482783521903322</c:v>
                </c:pt>
                <c:pt idx="2">
                  <c:v>0.35482789779427787</c:v>
                </c:pt>
                <c:pt idx="3">
                  <c:v>0.354827927664711</c:v>
                </c:pt>
                <c:pt idx="4">
                  <c:v>0.35482826802139189</c:v>
                </c:pt>
                <c:pt idx="5">
                  <c:v>0.35483171856662499</c:v>
                </c:pt>
                <c:pt idx="6">
                  <c:v>0.35486606897663669</c:v>
                </c:pt>
                <c:pt idx="7">
                  <c:v>0.35519741436275554</c:v>
                </c:pt>
                <c:pt idx="8">
                  <c:v>0.35783756168709369</c:v>
                </c:pt>
                <c:pt idx="9">
                  <c:v>0.36387514519750819</c:v>
                </c:pt>
                <c:pt idx="10">
                  <c:v>0.36817913117817369</c:v>
                </c:pt>
                <c:pt idx="11">
                  <c:v>0.3724540831718347</c:v>
                </c:pt>
                <c:pt idx="12">
                  <c:v>0.37740418808551496</c:v>
                </c:pt>
                <c:pt idx="13">
                  <c:v>0.38281449537080187</c:v>
                </c:pt>
                <c:pt idx="14">
                  <c:v>0.389154242855551</c:v>
                </c:pt>
                <c:pt idx="15">
                  <c:v>0.39629437438480308</c:v>
                </c:pt>
                <c:pt idx="16">
                  <c:v>0.40375680905594591</c:v>
                </c:pt>
                <c:pt idx="17">
                  <c:v>0.41130037097382799</c:v>
                </c:pt>
                <c:pt idx="18">
                  <c:v>0.41871405087546681</c:v>
                </c:pt>
                <c:pt idx="19">
                  <c:v>0.42311682834247144</c:v>
                </c:pt>
                <c:pt idx="20">
                  <c:v>0.41923118981609542</c:v>
                </c:pt>
                <c:pt idx="21">
                  <c:v>0.40998822695277171</c:v>
                </c:pt>
                <c:pt idx="22">
                  <c:v>0.40041657150459081</c:v>
                </c:pt>
                <c:pt idx="23">
                  <c:v>0.3923056353269026</c:v>
                </c:pt>
                <c:pt idx="24">
                  <c:v>0.38525072058989801</c:v>
                </c:pt>
                <c:pt idx="25">
                  <c:v>0.37967855068746292</c:v>
                </c:pt>
                <c:pt idx="26">
                  <c:v>0.37554569276491812</c:v>
                </c:pt>
                <c:pt idx="27">
                  <c:v>0.37281913936625122</c:v>
                </c:pt>
                <c:pt idx="28">
                  <c:v>0.37105240773761544</c:v>
                </c:pt>
                <c:pt idx="29">
                  <c:v>0.37005321715082468</c:v>
                </c:pt>
                <c:pt idx="30">
                  <c:v>0.36958492431552026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0.35477058198623695</c:v>
                </c:pt>
                <c:pt idx="1">
                  <c:v>0.35477781733677666</c:v>
                </c:pt>
                <c:pt idx="2">
                  <c:v>0.35477996345413693</c:v>
                </c:pt>
                <c:pt idx="3">
                  <c:v>0.35480066766085783</c:v>
                </c:pt>
                <c:pt idx="4">
                  <c:v>0.35500228114419569</c:v>
                </c:pt>
                <c:pt idx="5">
                  <c:v>0.3567483273195185</c:v>
                </c:pt>
                <c:pt idx="6">
                  <c:v>0.36276720216317948</c:v>
                </c:pt>
                <c:pt idx="7">
                  <c:v>0.3672262004593369</c:v>
                </c:pt>
                <c:pt idx="8">
                  <c:v>0.37136611789334945</c:v>
                </c:pt>
                <c:pt idx="9">
                  <c:v>0.37619947643528545</c:v>
                </c:pt>
                <c:pt idx="10">
                  <c:v>0.38141836081700342</c:v>
                </c:pt>
                <c:pt idx="11">
                  <c:v>0.38754587223220294</c:v>
                </c:pt>
                <c:pt idx="12">
                  <c:v>0.39448251091367348</c:v>
                </c:pt>
                <c:pt idx="13">
                  <c:v>0.40188126002592905</c:v>
                </c:pt>
                <c:pt idx="14">
                  <c:v>0.40958911883464649</c:v>
                </c:pt>
                <c:pt idx="15">
                  <c:v>0.41770359114388039</c:v>
                </c:pt>
                <c:pt idx="16">
                  <c:v>0.42821784330005652</c:v>
                </c:pt>
                <c:pt idx="17">
                  <c:v>0.43961044976552138</c:v>
                </c:pt>
                <c:pt idx="18">
                  <c:v>0.44389699213231482</c:v>
                </c:pt>
                <c:pt idx="19">
                  <c:v>0.43484850974380884</c:v>
                </c:pt>
                <c:pt idx="20">
                  <c:v>0.42130709958998103</c:v>
                </c:pt>
                <c:pt idx="21">
                  <c:v>0.40859653237872606</c:v>
                </c:pt>
                <c:pt idx="22">
                  <c:v>0.39817455774962407</c:v>
                </c:pt>
                <c:pt idx="23">
                  <c:v>0.38959513486840536</c:v>
                </c:pt>
                <c:pt idx="24">
                  <c:v>0.38323169370053223</c:v>
                </c:pt>
                <c:pt idx="25">
                  <c:v>0.37847278016444513</c:v>
                </c:pt>
                <c:pt idx="26">
                  <c:v>0.37530017563651091</c:v>
                </c:pt>
                <c:pt idx="27">
                  <c:v>0.37340344754492044</c:v>
                </c:pt>
                <c:pt idx="28">
                  <c:v>0.37248523863291111</c:v>
                </c:pt>
                <c:pt idx="29">
                  <c:v>0.37247702080976652</c:v>
                </c:pt>
                <c:pt idx="30">
                  <c:v>0.37329799121232177</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0.35471875817893839</c:v>
                </c:pt>
                <c:pt idx="1">
                  <c:v>0.35476427021935553</c:v>
                </c:pt>
                <c:pt idx="2">
                  <c:v>0.35513075943754374</c:v>
                </c:pt>
                <c:pt idx="3">
                  <c:v>0.35797376910597761</c:v>
                </c:pt>
                <c:pt idx="4">
                  <c:v>0.36384606795456531</c:v>
                </c:pt>
                <c:pt idx="5">
                  <c:v>0.36805965167887011</c:v>
                </c:pt>
                <c:pt idx="6">
                  <c:v>0.37230591403596053</c:v>
                </c:pt>
                <c:pt idx="7">
                  <c:v>0.37719745801225502</c:v>
                </c:pt>
                <c:pt idx="8">
                  <c:v>0.38257129814771013</c:v>
                </c:pt>
                <c:pt idx="9">
                  <c:v>0.38885797060695171</c:v>
                </c:pt>
                <c:pt idx="10">
                  <c:v>0.39593372556541445</c:v>
                </c:pt>
                <c:pt idx="11">
                  <c:v>0.40330422291518786</c:v>
                </c:pt>
                <c:pt idx="12">
                  <c:v>0.41102984620086391</c:v>
                </c:pt>
                <c:pt idx="13">
                  <c:v>0.41958285765110254</c:v>
                </c:pt>
                <c:pt idx="14">
                  <c:v>0.43076231879816651</c:v>
                </c:pt>
                <c:pt idx="15">
                  <c:v>0.44351746347578624</c:v>
                </c:pt>
                <c:pt idx="16">
                  <c:v>0.45456280842810487</c:v>
                </c:pt>
                <c:pt idx="17">
                  <c:v>0.45886276191674802</c:v>
                </c:pt>
                <c:pt idx="18">
                  <c:v>0.45038692134131919</c:v>
                </c:pt>
                <c:pt idx="19">
                  <c:v>0.43376077870951285</c:v>
                </c:pt>
                <c:pt idx="20">
                  <c:v>0.41822897347961724</c:v>
                </c:pt>
                <c:pt idx="21">
                  <c:v>0.40561216449846527</c:v>
                </c:pt>
                <c:pt idx="22">
                  <c:v>0.3957409861882622</c:v>
                </c:pt>
                <c:pt idx="23">
                  <c:v>0.38798098997590896</c:v>
                </c:pt>
                <c:pt idx="24">
                  <c:v>0.38236073526821734</c:v>
                </c:pt>
                <c:pt idx="25">
                  <c:v>0.37860628097626842</c:v>
                </c:pt>
                <c:pt idx="26">
                  <c:v>0.37656615413665595</c:v>
                </c:pt>
                <c:pt idx="27">
                  <c:v>0.37588547480692353</c:v>
                </c:pt>
                <c:pt idx="28">
                  <c:v>0.37630053975891509</c:v>
                </c:pt>
                <c:pt idx="29">
                  <c:v>0.37755150222040601</c:v>
                </c:pt>
                <c:pt idx="30">
                  <c:v>0.3792783394951591</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0.35669424279974371</c:v>
                </c:pt>
                <c:pt idx="1">
                  <c:v>0.36381285985426876</c:v>
                </c:pt>
                <c:pt idx="2">
                  <c:v>0.36805711474976932</c:v>
                </c:pt>
                <c:pt idx="3">
                  <c:v>0.37232543156202752</c:v>
                </c:pt>
                <c:pt idx="4">
                  <c:v>0.37719485157551658</c:v>
                </c:pt>
                <c:pt idx="5">
                  <c:v>0.38258146708104163</c:v>
                </c:pt>
                <c:pt idx="6">
                  <c:v>0.38886469628682918</c:v>
                </c:pt>
                <c:pt idx="7">
                  <c:v>0.39592756377954424</c:v>
                </c:pt>
                <c:pt idx="8">
                  <c:v>0.40323905685148376</c:v>
                </c:pt>
                <c:pt idx="9">
                  <c:v>0.41092447804756133</c:v>
                </c:pt>
                <c:pt idx="10">
                  <c:v>0.41955981300310613</c:v>
                </c:pt>
                <c:pt idx="11">
                  <c:v>0.43080778045953932</c:v>
                </c:pt>
                <c:pt idx="12">
                  <c:v>0.44354880968854687</c:v>
                </c:pt>
                <c:pt idx="13">
                  <c:v>0.45538051176429006</c:v>
                </c:pt>
                <c:pt idx="14">
                  <c:v>0.46639275755272308</c:v>
                </c:pt>
                <c:pt idx="15">
                  <c:v>0.47744824481442832</c:v>
                </c:pt>
                <c:pt idx="16">
                  <c:v>0.48361266176195816</c:v>
                </c:pt>
                <c:pt idx="17">
                  <c:v>0.47534307577694779</c:v>
                </c:pt>
                <c:pt idx="18">
                  <c:v>0.45544729226535463</c:v>
                </c:pt>
                <c:pt idx="19">
                  <c:v>0.43618769029269239</c:v>
                </c:pt>
                <c:pt idx="20">
                  <c:v>0.42029278480629212</c:v>
                </c:pt>
                <c:pt idx="21">
                  <c:v>0.4076057819268889</c:v>
                </c:pt>
                <c:pt idx="22">
                  <c:v>0.397892826900479</c:v>
                </c:pt>
                <c:pt idx="23">
                  <c:v>0.39115179478242412</c:v>
                </c:pt>
                <c:pt idx="24">
                  <c:v>0.38673491484147576</c:v>
                </c:pt>
                <c:pt idx="25">
                  <c:v>0.38471964365997935</c:v>
                </c:pt>
                <c:pt idx="26">
                  <c:v>0.38411431824728953</c:v>
                </c:pt>
                <c:pt idx="27">
                  <c:v>0.38418375754079576</c:v>
                </c:pt>
                <c:pt idx="28">
                  <c:v>0.38404057977325279</c:v>
                </c:pt>
                <c:pt idx="29">
                  <c:v>0.38369895648501395</c:v>
                </c:pt>
                <c:pt idx="30">
                  <c:v>0.38330551692727372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0.39427561036024372</c:v>
                </c:pt>
                <c:pt idx="1">
                  <c:v>0.4037430680490301</c:v>
                </c:pt>
                <c:pt idx="2">
                  <c:v>0.41152209741599799</c:v>
                </c:pt>
                <c:pt idx="3">
                  <c:v>0.42095508159629863</c:v>
                </c:pt>
                <c:pt idx="4">
                  <c:v>0.4325781738016175</c:v>
                </c:pt>
                <c:pt idx="5">
                  <c:v>0.44512623528539907</c:v>
                </c:pt>
                <c:pt idx="6">
                  <c:v>0.45642693069866719</c:v>
                </c:pt>
                <c:pt idx="7">
                  <c:v>0.46788810691277705</c:v>
                </c:pt>
                <c:pt idx="8">
                  <c:v>0.47930844947728379</c:v>
                </c:pt>
                <c:pt idx="9">
                  <c:v>0.49163002574223441</c:v>
                </c:pt>
                <c:pt idx="10">
                  <c:v>0.50443882524619388</c:v>
                </c:pt>
                <c:pt idx="11">
                  <c:v>0.51986383183620388</c:v>
                </c:pt>
                <c:pt idx="12">
                  <c:v>0.53833337825768979</c:v>
                </c:pt>
                <c:pt idx="13">
                  <c:v>0.56052002302217097</c:v>
                </c:pt>
                <c:pt idx="14">
                  <c:v>0.58678826962308783</c:v>
                </c:pt>
                <c:pt idx="15">
                  <c:v>0.61156764956078513</c:v>
                </c:pt>
                <c:pt idx="16">
                  <c:v>0.61509043008662778</c:v>
                </c:pt>
                <c:pt idx="17">
                  <c:v>0.59458284184799615</c:v>
                </c:pt>
                <c:pt idx="18">
                  <c:v>0.55955612083707895</c:v>
                </c:pt>
                <c:pt idx="19">
                  <c:v>0.51681712245192568</c:v>
                </c:pt>
                <c:pt idx="20">
                  <c:v>0.47639048968183723</c:v>
                </c:pt>
                <c:pt idx="21">
                  <c:v>0.44422358614041935</c:v>
                </c:pt>
                <c:pt idx="22">
                  <c:v>0.42134079305592781</c:v>
                </c:pt>
                <c:pt idx="23">
                  <c:v>0.40684649820573399</c:v>
                </c:pt>
                <c:pt idx="24">
                  <c:v>0.39792561387968323</c:v>
                </c:pt>
                <c:pt idx="25">
                  <c:v>0.39207194877757212</c:v>
                </c:pt>
                <c:pt idx="26">
                  <c:v>0.38985856435232907</c:v>
                </c:pt>
                <c:pt idx="27">
                  <c:v>0.38798727678434231</c:v>
                </c:pt>
                <c:pt idx="28">
                  <c:v>0.38868171613136165</c:v>
                </c:pt>
                <c:pt idx="29">
                  <c:v>0.38587682514307076</c:v>
                </c:pt>
                <c:pt idx="30">
                  <c:v>0.38586011128695918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0.45450490496812768</c:v>
                </c:pt>
                <c:pt idx="1">
                  <c:v>0.46898678097757085</c:v>
                </c:pt>
                <c:pt idx="2">
                  <c:v>0.48088322666957084</c:v>
                </c:pt>
                <c:pt idx="3">
                  <c:v>0.4931989574542967</c:v>
                </c:pt>
                <c:pt idx="4">
                  <c:v>0.50656640942148146</c:v>
                </c:pt>
                <c:pt idx="5">
                  <c:v>0.5227542253653461</c:v>
                </c:pt>
                <c:pt idx="6">
                  <c:v>0.54189045250279344</c:v>
                </c:pt>
                <c:pt idx="7">
                  <c:v>0.56543847815098824</c:v>
                </c:pt>
                <c:pt idx="8">
                  <c:v>0.59457682568474046</c:v>
                </c:pt>
                <c:pt idx="9">
                  <c:v>0.6328207741917089</c:v>
                </c:pt>
                <c:pt idx="10">
                  <c:v>0.68333020421120849</c:v>
                </c:pt>
                <c:pt idx="11">
                  <c:v>0.74524020735652441</c:v>
                </c:pt>
                <c:pt idx="12">
                  <c:v>0.80816746989810162</c:v>
                </c:pt>
                <c:pt idx="13">
                  <c:v>0.85914946735003972</c:v>
                </c:pt>
                <c:pt idx="14">
                  <c:v>0.88691880061992689</c:v>
                </c:pt>
                <c:pt idx="15">
                  <c:v>0.88233328924894572</c:v>
                </c:pt>
                <c:pt idx="16">
                  <c:v>0.82835141787283606</c:v>
                </c:pt>
                <c:pt idx="17">
                  <c:v>0.71455639605442056</c:v>
                </c:pt>
                <c:pt idx="18">
                  <c:v>0.59490811344728323</c:v>
                </c:pt>
                <c:pt idx="19">
                  <c:v>0.51250242617474107</c:v>
                </c:pt>
                <c:pt idx="20">
                  <c:v>0.46541421985666703</c:v>
                </c:pt>
                <c:pt idx="21">
                  <c:v>0.4336795855389774</c:v>
                </c:pt>
                <c:pt idx="22">
                  <c:v>0.41397916551672681</c:v>
                </c:pt>
                <c:pt idx="23">
                  <c:v>0.40217553448411786</c:v>
                </c:pt>
                <c:pt idx="24">
                  <c:v>0.39501639110185399</c:v>
                </c:pt>
                <c:pt idx="25">
                  <c:v>0.39347828163196613</c:v>
                </c:pt>
                <c:pt idx="26">
                  <c:v>0.39158578509903996</c:v>
                </c:pt>
                <c:pt idx="27">
                  <c:v>0.38693297594015463</c:v>
                </c:pt>
                <c:pt idx="28">
                  <c:v>0.38689559191669393</c:v>
                </c:pt>
                <c:pt idx="29">
                  <c:v>0.38486946069725192</c:v>
                </c:pt>
                <c:pt idx="30">
                  <c:v>0.38375611597713882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1294848"/>
        <c:axId val="45129445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12948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1294456"/>
        <c:crosses val="autoZero"/>
        <c:crossBetween val="midCat"/>
        <c:majorUnit val="10000"/>
      </c:valAx>
      <c:valAx>
        <c:axId val="45129445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1294848"/>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1293672"/>
        <c:axId val="4512928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129367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92888"/>
        <c:crosses val="autoZero"/>
        <c:crossBetween val="midCat"/>
        <c:majorUnit val="10000"/>
      </c:valAx>
      <c:valAx>
        <c:axId val="451292888"/>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93672"/>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8.7743875762874325E-3</c:v>
                </c:pt>
                <c:pt idx="1">
                  <c:v>1.1682930241495953E-2</c:v>
                </c:pt>
                <c:pt idx="2">
                  <c:v>3.1502831152256361E-3</c:v>
                </c:pt>
                <c:pt idx="3">
                  <c:v>5.2403549002018118E-4</c:v>
                </c:pt>
                <c:pt idx="4">
                  <c:v>7.6086592329096704E-5</c:v>
                </c:pt>
                <c:pt idx="5">
                  <c:v>1.4291809321460417E-5</c:v>
                </c:pt>
                <c:pt idx="6">
                  <c:v>1.0958009664494844E-5</c:v>
                </c:pt>
                <c:pt idx="7">
                  <c:v>2.9628666393856287E-5</c:v>
                </c:pt>
                <c:pt idx="8">
                  <c:v>5.7808843531172361E-5</c:v>
                </c:pt>
                <c:pt idx="9">
                  <c:v>1.0734793733285714E-4</c:v>
                </c:pt>
                <c:pt idx="10">
                  <c:v>1.8146464413232172E-4</c:v>
                </c:pt>
                <c:pt idx="11">
                  <c:v>2.5337986117970608E-4</c:v>
                </c:pt>
                <c:pt idx="12">
                  <c:v>3.1095787888128009E-4</c:v>
                </c:pt>
                <c:pt idx="13">
                  <c:v>3.0720164173515482E-4</c:v>
                </c:pt>
                <c:pt idx="14">
                  <c:v>2.6632433298585853E-4</c:v>
                </c:pt>
                <c:pt idx="15">
                  <c:v>1.964052597342956E-4</c:v>
                </c:pt>
                <c:pt idx="16">
                  <c:v>1.2671251632445643E-4</c:v>
                </c:pt>
                <c:pt idx="17">
                  <c:v>7.4366357383323374E-5</c:v>
                </c:pt>
                <c:pt idx="18">
                  <c:v>2.5670484801054512E-5</c:v>
                </c:pt>
                <c:pt idx="19">
                  <c:v>1.2200819595913994E-5</c:v>
                </c:pt>
                <c:pt idx="20">
                  <c:v>8.2709199794127291E-6</c:v>
                </c:pt>
                <c:pt idx="21">
                  <c:v>2.107506212185995E-5</c:v>
                </c:pt>
                <c:pt idx="22">
                  <c:v>8.3939158670308579E-5</c:v>
                </c:pt>
                <c:pt idx="23">
                  <c:v>1.7754903779628909E-4</c:v>
                </c:pt>
                <c:pt idx="24">
                  <c:v>2.4970559271859282E-4</c:v>
                </c:pt>
                <c:pt idx="25">
                  <c:v>3.2151223146216831E-4</c:v>
                </c:pt>
                <c:pt idx="26">
                  <c:v>1.4091174188299955E-4</c:v>
                </c:pt>
                <c:pt idx="27">
                  <c:v>3.3083369977910494E-4</c:v>
                </c:pt>
                <c:pt idx="28">
                  <c:v>4.690459962830416E-4</c:v>
                </c:pt>
                <c:pt idx="29">
                  <c:v>4.0115992004162942E-4</c:v>
                </c:pt>
                <c:pt idx="30">
                  <c:v>2.366106501776033E-4</c:v>
                </c:pt>
              </c:numCache>
            </c:numRef>
          </c:yVal>
          <c:smooth val="1"/>
        </c:ser>
        <c:dLbls>
          <c:showLegendKey val="0"/>
          <c:showVal val="0"/>
          <c:showCatName val="0"/>
          <c:showSerName val="0"/>
          <c:showPercent val="0"/>
          <c:showBubbleSize val="0"/>
        </c:dLbls>
        <c:axId val="451288184"/>
        <c:axId val="451290928"/>
      </c:scatterChart>
      <c:valAx>
        <c:axId val="4512881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90928"/>
        <c:crossesAt val="-1.5000000000000005E-3"/>
        <c:crossBetween val="midCat"/>
      </c:valAx>
      <c:valAx>
        <c:axId val="45129092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8818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6780.5643640910303</c:v>
                </c:pt>
                <c:pt idx="1">
                  <c:v>6721.2132312905433</c:v>
                </c:pt>
                <c:pt idx="2">
                  <c:v>6506.5953630070026</c:v>
                </c:pt>
                <c:pt idx="3">
                  <c:v>6416.3601690473088</c:v>
                </c:pt>
                <c:pt idx="4">
                  <c:v>6286.3245578573205</c:v>
                </c:pt>
                <c:pt idx="5">
                  <c:v>6151.5044781936895</c:v>
                </c:pt>
                <c:pt idx="6">
                  <c:v>5998.9915121398781</c:v>
                </c:pt>
                <c:pt idx="7">
                  <c:v>5834.3647134360945</c:v>
                </c:pt>
                <c:pt idx="8">
                  <c:v>5660.3407048119661</c:v>
                </c:pt>
                <c:pt idx="9">
                  <c:v>5501.2242867225432</c:v>
                </c:pt>
                <c:pt idx="10">
                  <c:v>5315.0896380100203</c:v>
                </c:pt>
                <c:pt idx="11">
                  <c:v>5096.2527806469298</c:v>
                </c:pt>
                <c:pt idx="12">
                  <c:v>4858.164219671894</c:v>
                </c:pt>
                <c:pt idx="13">
                  <c:v>4655.247248401196</c:v>
                </c:pt>
                <c:pt idx="14">
                  <c:v>4467.9850839901183</c:v>
                </c:pt>
                <c:pt idx="15">
                  <c:v>4268.8035079487699</c:v>
                </c:pt>
                <c:pt idx="16">
                  <c:v>3976.274632618341</c:v>
                </c:pt>
                <c:pt idx="17">
                  <c:v>3445.9153847661255</c:v>
                </c:pt>
                <c:pt idx="18">
                  <c:v>2839.292851016708</c:v>
                </c:pt>
                <c:pt idx="19">
                  <c:v>2338.6006415255101</c:v>
                </c:pt>
                <c:pt idx="20">
                  <c:v>1960.3434472141162</c:v>
                </c:pt>
                <c:pt idx="21">
                  <c:v>1656.3534945782949</c:v>
                </c:pt>
                <c:pt idx="22">
                  <c:v>1387.0944068739254</c:v>
                </c:pt>
                <c:pt idx="23">
                  <c:v>1120.3037942268586</c:v>
                </c:pt>
                <c:pt idx="24">
                  <c:v>849.08571986551044</c:v>
                </c:pt>
                <c:pt idx="25">
                  <c:v>602.2141265265526</c:v>
                </c:pt>
                <c:pt idx="26">
                  <c:v>414.49311482774755</c:v>
                </c:pt>
                <c:pt idx="27">
                  <c:v>296.66606886906953</c:v>
                </c:pt>
                <c:pt idx="28">
                  <c:v>236.61487426186719</c:v>
                </c:pt>
                <c:pt idx="29">
                  <c:v>206.56493116182051</c:v>
                </c:pt>
                <c:pt idx="30">
                  <c:v>191.85208934801469</c:v>
                </c:pt>
              </c:numCache>
            </c:numRef>
          </c:yVal>
          <c:smooth val="1"/>
        </c:ser>
        <c:dLbls>
          <c:showLegendKey val="0"/>
          <c:showVal val="0"/>
          <c:showCatName val="0"/>
          <c:showSerName val="0"/>
          <c:showPercent val="0"/>
          <c:showBubbleSize val="0"/>
        </c:dLbls>
        <c:axId val="451289752"/>
        <c:axId val="451288968"/>
      </c:scatterChart>
      <c:valAx>
        <c:axId val="4512897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88968"/>
        <c:crosses val="autoZero"/>
        <c:crossBetween val="midCat"/>
      </c:valAx>
      <c:valAx>
        <c:axId val="4512889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8975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1.5749677247259845E-2</c:v>
                </c:pt>
                <c:pt idx="1">
                  <c:v>2.6457627757702919E-2</c:v>
                </c:pt>
                <c:pt idx="2">
                  <c:v>4.2903600286458912E-2</c:v>
                </c:pt>
                <c:pt idx="3">
                  <c:v>4.3016391901596077E-2</c:v>
                </c:pt>
                <c:pt idx="4">
                  <c:v>4.3021316417589807E-2</c:v>
                </c:pt>
                <c:pt idx="5">
                  <c:v>4.3074210062395611E-2</c:v>
                </c:pt>
                <c:pt idx="6">
                  <c:v>4.3600643866093296E-2</c:v>
                </c:pt>
                <c:pt idx="7">
                  <c:v>4.8519128682620268E-2</c:v>
                </c:pt>
                <c:pt idx="8">
                  <c:v>7.5064372263012824E-2</c:v>
                </c:pt>
                <c:pt idx="9">
                  <c:v>9.2112829774585653E-2</c:v>
                </c:pt>
                <c:pt idx="10">
                  <c:v>0.10822226424763437</c:v>
                </c:pt>
                <c:pt idx="11">
                  <c:v>0.12720841444443121</c:v>
                </c:pt>
                <c:pt idx="12">
                  <c:v>0.14764716353049295</c:v>
                </c:pt>
                <c:pt idx="13">
                  <c:v>0.16890125750023777</c:v>
                </c:pt>
                <c:pt idx="14">
                  <c:v>0.18195641534434678</c:v>
                </c:pt>
                <c:pt idx="15">
                  <c:v>0.18682323232561798</c:v>
                </c:pt>
                <c:pt idx="16">
                  <c:v>0.1983520682260175</c:v>
                </c:pt>
                <c:pt idx="17">
                  <c:v>0.21651146686286188</c:v>
                </c:pt>
                <c:pt idx="18">
                  <c:v>0.23705344722750465</c:v>
                </c:pt>
                <c:pt idx="19">
                  <c:v>0.25332590551112044</c:v>
                </c:pt>
                <c:pt idx="20">
                  <c:v>0.24884238424368585</c:v>
                </c:pt>
                <c:pt idx="21">
                  <c:v>0.20059369805274074</c:v>
                </c:pt>
                <c:pt idx="22">
                  <c:v>0.10952224740067645</c:v>
                </c:pt>
                <c:pt idx="23">
                  <c:v>8.4840681937227755E-2</c:v>
                </c:pt>
                <c:pt idx="24">
                  <c:v>0.13761895270295638</c:v>
                </c:pt>
                <c:pt idx="25">
                  <c:v>0.20829851312471856</c:v>
                </c:pt>
                <c:pt idx="26">
                  <c:v>0.27026131213671756</c:v>
                </c:pt>
                <c:pt idx="27">
                  <c:v>0.33679903387206983</c:v>
                </c:pt>
                <c:pt idx="28">
                  <c:v>0.3939358982843213</c:v>
                </c:pt>
                <c:pt idx="29">
                  <c:v>0.48135407029734928</c:v>
                </c:pt>
                <c:pt idx="30">
                  <c:v>0.57347366953453238</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2.4628744716079187E-2</c:v>
                </c:pt>
                <c:pt idx="1">
                  <c:v>3.3024674551216417E-2</c:v>
                </c:pt>
                <c:pt idx="2">
                  <c:v>6.2478430089072785E-2</c:v>
                </c:pt>
                <c:pt idx="3">
                  <c:v>6.4552557479937364E-2</c:v>
                </c:pt>
                <c:pt idx="4">
                  <c:v>6.1135913453982921E-2</c:v>
                </c:pt>
                <c:pt idx="5">
                  <c:v>6.5106775148902285E-2</c:v>
                </c:pt>
                <c:pt idx="6">
                  <c:v>7.2235905617586207E-2</c:v>
                </c:pt>
                <c:pt idx="7">
                  <c:v>7.9608093655670051E-2</c:v>
                </c:pt>
                <c:pt idx="8">
                  <c:v>8.7563202155946457E-2</c:v>
                </c:pt>
                <c:pt idx="9">
                  <c:v>9.080108417179393E-2</c:v>
                </c:pt>
                <c:pt idx="10">
                  <c:v>9.6827392600605244E-2</c:v>
                </c:pt>
                <c:pt idx="11">
                  <c:v>0.10738767538905082</c:v>
                </c:pt>
                <c:pt idx="12">
                  <c:v>0.12432861243106257</c:v>
                </c:pt>
                <c:pt idx="13">
                  <c:v>0.13217140827645543</c:v>
                </c:pt>
                <c:pt idx="14">
                  <c:v>0.13124127882134021</c:v>
                </c:pt>
                <c:pt idx="15">
                  <c:v>0.12904064652346539</c:v>
                </c:pt>
                <c:pt idx="16">
                  <c:v>0.14697614384245911</c:v>
                </c:pt>
                <c:pt idx="17">
                  <c:v>0.19838557661705225</c:v>
                </c:pt>
                <c:pt idx="18">
                  <c:v>0.22714260696998209</c:v>
                </c:pt>
                <c:pt idx="19">
                  <c:v>0.23474737224064057</c:v>
                </c:pt>
                <c:pt idx="20">
                  <c:v>0.24206396802021973</c:v>
                </c:pt>
                <c:pt idx="21">
                  <c:v>0.26297491268690443</c:v>
                </c:pt>
                <c:pt idx="22">
                  <c:v>0.29921175252682003</c:v>
                </c:pt>
                <c:pt idx="23">
                  <c:v>0.36127561164990951</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0.10565148231843566</c:v>
                </c:pt>
                <c:pt idx="1">
                  <c:v>0.10290978987656907</c:v>
                </c:pt>
                <c:pt idx="2">
                  <c:v>0.11271003452640561</c:v>
                </c:pt>
                <c:pt idx="3">
                  <c:v>0.12424161594686822</c:v>
                </c:pt>
                <c:pt idx="4">
                  <c:v>0.13173209717860024</c:v>
                </c:pt>
                <c:pt idx="5">
                  <c:v>0.14505691524129435</c:v>
                </c:pt>
                <c:pt idx="6">
                  <c:v>0.16084237338013782</c:v>
                </c:pt>
                <c:pt idx="7">
                  <c:v>0.17819503259344702</c:v>
                </c:pt>
                <c:pt idx="8">
                  <c:v>0.18546473541922795</c:v>
                </c:pt>
                <c:pt idx="9">
                  <c:v>0.19783087081082434</c:v>
                </c:pt>
                <c:pt idx="10">
                  <c:v>0.20647364213204777</c:v>
                </c:pt>
                <c:pt idx="11">
                  <c:v>0.24302000497727408</c:v>
                </c:pt>
                <c:pt idx="12">
                  <c:v>0.32212988230738682</c:v>
                </c:pt>
                <c:pt idx="13">
                  <c:v>0.41684006028298443</c:v>
                </c:pt>
                <c:pt idx="14">
                  <c:v>0.49662122153584853</c:v>
                </c:pt>
                <c:pt idx="15">
                  <c:v>0.55770680981407683</c:v>
                </c:pt>
                <c:pt idx="16">
                  <c:v>0.59539336042018443</c:v>
                </c:pt>
                <c:pt idx="17">
                  <c:v>0.61949095342694582</c:v>
                </c:pt>
                <c:pt idx="18">
                  <c:v>0.62918631911193579</c:v>
                </c:pt>
                <c:pt idx="19">
                  <c:v>0.66824765898373284</c:v>
                </c:pt>
                <c:pt idx="20">
                  <c:v>0.72092703759302401</c:v>
                </c:pt>
                <c:pt idx="21">
                  <c:v>0.77435826160457999</c:v>
                </c:pt>
                <c:pt idx="22">
                  <c:v>0.80049443699783884</c:v>
                </c:pt>
                <c:pt idx="23">
                  <c:v>0.79838451446927161</c:v>
                </c:pt>
                <c:pt idx="24">
                  <c:v>0.76223265393449091</c:v>
                </c:pt>
                <c:pt idx="25">
                  <c:v>0.69001859993863146</c:v>
                </c:pt>
                <c:pt idx="26">
                  <c:v>0.6806981551558331</c:v>
                </c:pt>
                <c:pt idx="27">
                  <c:v>0.60250619256176063</c:v>
                </c:pt>
                <c:pt idx="28">
                  <c:v>0.50122629185356493</c:v>
                </c:pt>
                <c:pt idx="29">
                  <c:v>0.42916434852052754</c:v>
                </c:pt>
                <c:pt idx="30">
                  <c:v>0.38499570104863573</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8.9729951779664474E-2</c:v>
                </c:pt>
                <c:pt idx="1">
                  <c:v>0.14694226155124226</c:v>
                </c:pt>
                <c:pt idx="2">
                  <c:v>0.25757792631154541</c:v>
                </c:pt>
                <c:pt idx="3">
                  <c:v>0.36108773171701786</c:v>
                </c:pt>
                <c:pt idx="4">
                  <c:v>0.44034098781509268</c:v>
                </c:pt>
                <c:pt idx="5">
                  <c:v>0.50118705050269163</c:v>
                </c:pt>
                <c:pt idx="6">
                  <c:v>0.54073365121148342</c:v>
                </c:pt>
                <c:pt idx="7">
                  <c:v>0.59898667289219809</c:v>
                </c:pt>
                <c:pt idx="8">
                  <c:v>0.64851899399849511</c:v>
                </c:pt>
                <c:pt idx="9">
                  <c:v>0.70934307025660792</c:v>
                </c:pt>
                <c:pt idx="10">
                  <c:v>0.75207877419548641</c:v>
                </c:pt>
                <c:pt idx="11">
                  <c:v>0.77638825624711694</c:v>
                </c:pt>
                <c:pt idx="12">
                  <c:v>0.76000510660320342</c:v>
                </c:pt>
                <c:pt idx="13">
                  <c:v>0.71570294701108272</c:v>
                </c:pt>
                <c:pt idx="14">
                  <c:v>0.65677336917115858</c:v>
                </c:pt>
                <c:pt idx="15">
                  <c:v>0.63149967004402885</c:v>
                </c:pt>
                <c:pt idx="16">
                  <c:v>0.70384085653828465</c:v>
                </c:pt>
                <c:pt idx="17">
                  <c:v>0.64535929192275876</c:v>
                </c:pt>
                <c:pt idx="18">
                  <c:v>0.56328522371675138</c:v>
                </c:pt>
                <c:pt idx="19">
                  <c:v>0.48764537988929557</c:v>
                </c:pt>
                <c:pt idx="20">
                  <c:v>0.40715932217681111</c:v>
                </c:pt>
                <c:pt idx="21">
                  <c:v>0.3542651574356257</c:v>
                </c:pt>
                <c:pt idx="22">
                  <c:v>0.32449373209408522</c:v>
                </c:pt>
                <c:pt idx="23">
                  <c:v>0.30557084250764832</c:v>
                </c:pt>
                <c:pt idx="24">
                  <c:v>0.29297086166432612</c:v>
                </c:pt>
                <c:pt idx="25">
                  <c:v>0.28992228002592807</c:v>
                </c:pt>
                <c:pt idx="26">
                  <c:v>0.28619524866567408</c:v>
                </c:pt>
                <c:pt idx="27">
                  <c:v>0.27619734663337092</c:v>
                </c:pt>
                <c:pt idx="28">
                  <c:v>0.27591403573610723</c:v>
                </c:pt>
                <c:pt idx="29">
                  <c:v>0.27151981159424105</c:v>
                </c:pt>
                <c:pt idx="30">
                  <c:v>0.26987485581258863</c:v>
                </c:pt>
              </c:numCache>
            </c:numRef>
          </c:yVal>
          <c:smooth val="1"/>
        </c:ser>
        <c:dLbls>
          <c:showLegendKey val="0"/>
          <c:showVal val="0"/>
          <c:showCatName val="0"/>
          <c:showSerName val="0"/>
          <c:showPercent val="0"/>
          <c:showBubbleSize val="0"/>
        </c:dLbls>
        <c:axId val="451291712"/>
        <c:axId val="451290144"/>
      </c:scatterChart>
      <c:valAx>
        <c:axId val="4512917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90144"/>
        <c:crossesAt val="1.0000000000000005E-9"/>
        <c:crossBetween val="midCat"/>
      </c:valAx>
      <c:valAx>
        <c:axId val="451290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9171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-14.406800109604639</c:v>
                </c:pt>
                <c:pt idx="1">
                  <c:v>-10.950515452938541</c:v>
                </c:pt>
                <c:pt idx="2">
                  <c:v>-6.5770330385822291</c:v>
                </c:pt>
                <c:pt idx="3">
                  <c:v>1.3428687777918219E-4</c:v>
                </c:pt>
                <c:pt idx="4">
                  <c:v>0</c:v>
                </c:pt>
                <c:pt idx="5">
                  <c:v>31.8000897176249</c:v>
                </c:pt>
                <c:pt idx="6">
                  <c:v>35.861537922668312</c:v>
                </c:pt>
              </c:numCache>
            </c:numRef>
          </c:yVal>
          <c:smooth val="0"/>
        </c:ser>
        <c:dLbls>
          <c:showLegendKey val="0"/>
          <c:showVal val="0"/>
          <c:showCatName val="0"/>
          <c:showSerName val="0"/>
          <c:showPercent val="0"/>
          <c:showBubbleSize val="0"/>
        </c:dLbls>
        <c:axId val="451293280"/>
        <c:axId val="451294064"/>
      </c:scatterChart>
      <c:valAx>
        <c:axId val="451293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94064"/>
        <c:crossesAt val="-100"/>
        <c:crossBetween val="midCat"/>
      </c:valAx>
      <c:valAx>
        <c:axId val="451294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29328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ser>
        <c:dLbls>
          <c:showLegendKey val="0"/>
          <c:showVal val="0"/>
          <c:showCatName val="0"/>
          <c:showSerName val="0"/>
          <c:showPercent val="0"/>
          <c:showBubbleSize val="0"/>
        </c:dLbls>
        <c:axId val="451555720"/>
        <c:axId val="451556504"/>
      </c:scatterChart>
      <c:valAx>
        <c:axId val="45155572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556504"/>
        <c:crosses val="autoZero"/>
        <c:crossBetween val="midCat"/>
      </c:valAx>
      <c:valAx>
        <c:axId val="45155650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55572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1.0001342958946657E-15</c:v>
                </c:pt>
                <c:pt idx="1">
                  <c:v>1.0001342958946656E-14</c:v>
                </c:pt>
                <c:pt idx="2">
                  <c:v>1.0001342958946656E-13</c:v>
                </c:pt>
                <c:pt idx="3">
                  <c:v>1.0001342958946654E-12</c:v>
                </c:pt>
                <c:pt idx="4">
                  <c:v>1.0001342958946654E-11</c:v>
                </c:pt>
                <c:pt idx="5">
                  <c:v>1.0001342958946655E-10</c:v>
                </c:pt>
                <c:pt idx="6">
                  <c:v>1.0001342958946657E-9</c:v>
                </c:pt>
                <c:pt idx="7">
                  <c:v>1.0001342958946655E-8</c:v>
                </c:pt>
                <c:pt idx="8">
                  <c:v>1.0001342958946655E-7</c:v>
                </c:pt>
                <c:pt idx="9">
                  <c:v>1.0001342958946654E-6</c:v>
                </c:pt>
                <c:pt idx="10">
                  <c:v>1.0001342958946656E-5</c:v>
                </c:pt>
                <c:pt idx="11">
                  <c:v>1.0001342958946656E-4</c:v>
                </c:pt>
                <c:pt idx="12">
                  <c:v>1.0001342958946655E-3</c:v>
                </c:pt>
                <c:pt idx="13">
                  <c:v>1.0001342958946655E-2</c:v>
                </c:pt>
                <c:pt idx="14">
                  <c:v>0.10001342958946656</c:v>
                </c:pt>
                <c:pt idx="15">
                  <c:v>1.0001342958946655</c:v>
                </c:pt>
                <c:pt idx="16">
                  <c:v>10.001342958946655</c:v>
                </c:pt>
                <c:pt idx="17">
                  <c:v>100.01342958946655</c:v>
                </c:pt>
                <c:pt idx="18">
                  <c:v>1000.1342958946656</c:v>
                </c:pt>
                <c:pt idx="19">
                  <c:v>10001.342958946656</c:v>
                </c:pt>
                <c:pt idx="20">
                  <c:v>100013.42958946656</c:v>
                </c:pt>
                <c:pt idx="21">
                  <c:v>1000134.2958946655</c:v>
                </c:pt>
                <c:pt idx="22">
                  <c:v>10001342.958946655</c:v>
                </c:pt>
                <c:pt idx="23">
                  <c:v>100013429.58946656</c:v>
                </c:pt>
                <c:pt idx="24">
                  <c:v>1000134295.8946655</c:v>
                </c:pt>
                <c:pt idx="25">
                  <c:v>10001342958.946655</c:v>
                </c:pt>
                <c:pt idx="26">
                  <c:v>100013429589.46655</c:v>
                </c:pt>
                <c:pt idx="27">
                  <c:v>1000134295894.6655</c:v>
                </c:pt>
                <c:pt idx="28">
                  <c:v>10001342958946.654</c:v>
                </c:pt>
                <c:pt idx="29">
                  <c:v>100013429589466.55</c:v>
                </c:pt>
                <c:pt idx="30">
                  <c:v>1000134295894665.5</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51554544"/>
        <c:axId val="451556896"/>
      </c:scatterChart>
      <c:valAx>
        <c:axId val="45155454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556896"/>
        <c:crosses val="autoZero"/>
        <c:crossBetween val="midCat"/>
      </c:valAx>
      <c:valAx>
        <c:axId val="4515568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55454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5.5361291178458031E-22</c:v>
                </c:pt>
                <c:pt idx="1">
                  <c:v>5.536129117845803E-21</c:v>
                </c:pt>
                <c:pt idx="2">
                  <c:v>5.5361291178458031E-20</c:v>
                </c:pt>
                <c:pt idx="3">
                  <c:v>5.5361291178458031E-19</c:v>
                </c:pt>
                <c:pt idx="4">
                  <c:v>5.5361291178458027E-18</c:v>
                </c:pt>
                <c:pt idx="5">
                  <c:v>5.5361291178458029E-17</c:v>
                </c:pt>
                <c:pt idx="6">
                  <c:v>5.5361291178458028E-16</c:v>
                </c:pt>
                <c:pt idx="7">
                  <c:v>5.5361291178458028E-15</c:v>
                </c:pt>
                <c:pt idx="8">
                  <c:v>5.5361291178458024E-14</c:v>
                </c:pt>
                <c:pt idx="9">
                  <c:v>5.5361291178458022E-13</c:v>
                </c:pt>
                <c:pt idx="10">
                  <c:v>5.536129117845803E-12</c:v>
                </c:pt>
                <c:pt idx="11">
                  <c:v>5.5361291178458032E-11</c:v>
                </c:pt>
                <c:pt idx="12">
                  <c:v>5.5361291178458029E-10</c:v>
                </c:pt>
                <c:pt idx="13">
                  <c:v>5.5361291178458027E-9</c:v>
                </c:pt>
                <c:pt idx="14">
                  <c:v>5.5361291178458029E-8</c:v>
                </c:pt>
                <c:pt idx="15">
                  <c:v>5.5361291178458027E-7</c:v>
                </c:pt>
                <c:pt idx="16">
                  <c:v>5.5361291178458029E-6</c:v>
                </c:pt>
                <c:pt idx="17">
                  <c:v>5.5361291178458028E-5</c:v>
                </c:pt>
                <c:pt idx="18">
                  <c:v>5.5361291178458033E-4</c:v>
                </c:pt>
                <c:pt idx="19">
                  <c:v>5.5361291178458024E-3</c:v>
                </c:pt>
                <c:pt idx="20">
                  <c:v>5.5361291178458026E-2</c:v>
                </c:pt>
                <c:pt idx="21">
                  <c:v>0.55361291178458027</c:v>
                </c:pt>
                <c:pt idx="22">
                  <c:v>5.5361291178458032</c:v>
                </c:pt>
                <c:pt idx="23">
                  <c:v>55.361291178458032</c:v>
                </c:pt>
                <c:pt idx="24">
                  <c:v>553.61291178458032</c:v>
                </c:pt>
                <c:pt idx="25">
                  <c:v>5536.1291178458032</c:v>
                </c:pt>
                <c:pt idx="26">
                  <c:v>55361.291178458028</c:v>
                </c:pt>
                <c:pt idx="27">
                  <c:v>553612.91178458033</c:v>
                </c:pt>
                <c:pt idx="28">
                  <c:v>5536129.1178458026</c:v>
                </c:pt>
                <c:pt idx="29">
                  <c:v>55361291.178458028</c:v>
                </c:pt>
                <c:pt idx="30">
                  <c:v>553612911.78458023</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1.7548967302632991E-20</c:v>
                </c:pt>
                <c:pt idx="1">
                  <c:v>1.7548967302632989E-19</c:v>
                </c:pt>
                <c:pt idx="2">
                  <c:v>1.754896730263299E-18</c:v>
                </c:pt>
                <c:pt idx="3">
                  <c:v>1.7548967302632987E-17</c:v>
                </c:pt>
                <c:pt idx="4">
                  <c:v>1.7548967302632987E-16</c:v>
                </c:pt>
                <c:pt idx="5">
                  <c:v>1.7548967302632989E-15</c:v>
                </c:pt>
                <c:pt idx="6">
                  <c:v>1.7548967302632989E-14</c:v>
                </c:pt>
                <c:pt idx="7">
                  <c:v>1.754896730263299E-13</c:v>
                </c:pt>
                <c:pt idx="8">
                  <c:v>1.7548967302632988E-12</c:v>
                </c:pt>
                <c:pt idx="9">
                  <c:v>1.7548967302632989E-11</c:v>
                </c:pt>
                <c:pt idx="10">
                  <c:v>1.754896730263299E-10</c:v>
                </c:pt>
                <c:pt idx="11">
                  <c:v>1.754896730263299E-9</c:v>
                </c:pt>
                <c:pt idx="12">
                  <c:v>1.754896730263299E-8</c:v>
                </c:pt>
                <c:pt idx="13">
                  <c:v>1.7548967302632988E-7</c:v>
                </c:pt>
                <c:pt idx="14">
                  <c:v>1.7548967302632988E-6</c:v>
                </c:pt>
                <c:pt idx="15">
                  <c:v>1.7548967302632987E-5</c:v>
                </c:pt>
                <c:pt idx="16">
                  <c:v>1.7548967302632987E-4</c:v>
                </c:pt>
                <c:pt idx="17">
                  <c:v>1.7548967302632988E-3</c:v>
                </c:pt>
                <c:pt idx="18">
                  <c:v>1.7548967302632987E-2</c:v>
                </c:pt>
                <c:pt idx="19">
                  <c:v>0.1754896730263299</c:v>
                </c:pt>
                <c:pt idx="20">
                  <c:v>1.7548967302632987</c:v>
                </c:pt>
                <c:pt idx="21">
                  <c:v>17.548967302632988</c:v>
                </c:pt>
                <c:pt idx="22">
                  <c:v>175.48967302632988</c:v>
                </c:pt>
                <c:pt idx="23">
                  <c:v>1754.8967302632989</c:v>
                </c:pt>
                <c:pt idx="24">
                  <c:v>17548.967302632987</c:v>
                </c:pt>
                <c:pt idx="25">
                  <c:v>175489.6730263299</c:v>
                </c:pt>
                <c:pt idx="26">
                  <c:v>1754896.7302632988</c:v>
                </c:pt>
                <c:pt idx="27">
                  <c:v>17548967.302632987</c:v>
                </c:pt>
                <c:pt idx="28">
                  <c:v>175489673.02632987</c:v>
                </c:pt>
                <c:pt idx="29">
                  <c:v>1754896730.2632987</c:v>
                </c:pt>
                <c:pt idx="30">
                  <c:v>17548967302.632988</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1.3919731047146803E-18</c:v>
                </c:pt>
                <c:pt idx="1">
                  <c:v>1.3919731047146802E-17</c:v>
                </c:pt>
                <c:pt idx="2">
                  <c:v>1.3919731047146801E-16</c:v>
                </c:pt>
                <c:pt idx="3">
                  <c:v>1.3919731047146801E-15</c:v>
                </c:pt>
                <c:pt idx="4">
                  <c:v>1.3919731047146801E-14</c:v>
                </c:pt>
                <c:pt idx="5">
                  <c:v>1.3919731047146803E-13</c:v>
                </c:pt>
                <c:pt idx="6">
                  <c:v>1.3919731047146802E-12</c:v>
                </c:pt>
                <c:pt idx="7">
                  <c:v>1.3919731047146802E-11</c:v>
                </c:pt>
                <c:pt idx="8">
                  <c:v>1.3919731047146801E-10</c:v>
                </c:pt>
                <c:pt idx="9">
                  <c:v>1.3919731047146802E-9</c:v>
                </c:pt>
                <c:pt idx="10">
                  <c:v>1.3919731047146804E-8</c:v>
                </c:pt>
                <c:pt idx="11">
                  <c:v>1.3919731047146803E-7</c:v>
                </c:pt>
                <c:pt idx="12">
                  <c:v>1.3919731047146803E-6</c:v>
                </c:pt>
                <c:pt idx="13">
                  <c:v>1.3919731047146802E-5</c:v>
                </c:pt>
                <c:pt idx="14">
                  <c:v>1.3919731047146804E-4</c:v>
                </c:pt>
                <c:pt idx="15">
                  <c:v>1.3919731047146802E-3</c:v>
                </c:pt>
                <c:pt idx="16">
                  <c:v>1.3919731047146802E-2</c:v>
                </c:pt>
                <c:pt idx="17">
                  <c:v>0.13919731047146802</c:v>
                </c:pt>
                <c:pt idx="18">
                  <c:v>1.3919731047146802</c:v>
                </c:pt>
                <c:pt idx="19">
                  <c:v>13.919731047146803</c:v>
                </c:pt>
                <c:pt idx="20">
                  <c:v>139.19731047146803</c:v>
                </c:pt>
                <c:pt idx="21">
                  <c:v>1391.9731047146802</c:v>
                </c:pt>
                <c:pt idx="22">
                  <c:v>13919.731047146801</c:v>
                </c:pt>
                <c:pt idx="23">
                  <c:v>139197.31047146802</c:v>
                </c:pt>
                <c:pt idx="24">
                  <c:v>1391973.1047146802</c:v>
                </c:pt>
                <c:pt idx="25">
                  <c:v>13919731.047146801</c:v>
                </c:pt>
                <c:pt idx="26">
                  <c:v>139197310.47146803</c:v>
                </c:pt>
                <c:pt idx="27">
                  <c:v>1391973104.7146802</c:v>
                </c:pt>
                <c:pt idx="28">
                  <c:v>13919731047.146801</c:v>
                </c:pt>
                <c:pt idx="29">
                  <c:v>139197310471.46802</c:v>
                </c:pt>
                <c:pt idx="30">
                  <c:v>1391973104714.6802</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1.0001342958946657E-15</c:v>
                </c:pt>
                <c:pt idx="1">
                  <c:v>1.0001342958946656E-14</c:v>
                </c:pt>
                <c:pt idx="2">
                  <c:v>1.0001342958946656E-13</c:v>
                </c:pt>
                <c:pt idx="3">
                  <c:v>1.0001342958946654E-12</c:v>
                </c:pt>
                <c:pt idx="4">
                  <c:v>1.0001342958946654E-11</c:v>
                </c:pt>
                <c:pt idx="5">
                  <c:v>1.0001342958946655E-10</c:v>
                </c:pt>
                <c:pt idx="6">
                  <c:v>1.0001342958946657E-9</c:v>
                </c:pt>
                <c:pt idx="7">
                  <c:v>1.0001342958946655E-8</c:v>
                </c:pt>
                <c:pt idx="8">
                  <c:v>1.0001342958946655E-7</c:v>
                </c:pt>
                <c:pt idx="9">
                  <c:v>1.0001342958946654E-6</c:v>
                </c:pt>
                <c:pt idx="10">
                  <c:v>1.0001342958946656E-5</c:v>
                </c:pt>
                <c:pt idx="11">
                  <c:v>1.0001342958946656E-4</c:v>
                </c:pt>
                <c:pt idx="12">
                  <c:v>1.0001342958946655E-3</c:v>
                </c:pt>
                <c:pt idx="13">
                  <c:v>1.0001342958946655E-2</c:v>
                </c:pt>
                <c:pt idx="14">
                  <c:v>0.10001342958946656</c:v>
                </c:pt>
                <c:pt idx="15">
                  <c:v>1.0001342958946655</c:v>
                </c:pt>
                <c:pt idx="16">
                  <c:v>10.001342958946655</c:v>
                </c:pt>
                <c:pt idx="17">
                  <c:v>100.01342958946655</c:v>
                </c:pt>
                <c:pt idx="18">
                  <c:v>1000.1342958946656</c:v>
                </c:pt>
                <c:pt idx="19">
                  <c:v>10001.342958946656</c:v>
                </c:pt>
                <c:pt idx="20">
                  <c:v>100013.42958946656</c:v>
                </c:pt>
                <c:pt idx="21">
                  <c:v>1000134.2958946655</c:v>
                </c:pt>
                <c:pt idx="22">
                  <c:v>10001342.958946655</c:v>
                </c:pt>
                <c:pt idx="23">
                  <c:v>100013429.58946656</c:v>
                </c:pt>
                <c:pt idx="24">
                  <c:v>1000134295.8946655</c:v>
                </c:pt>
                <c:pt idx="25">
                  <c:v>10001342958.946655</c:v>
                </c:pt>
                <c:pt idx="26">
                  <c:v>100013429589.46655</c:v>
                </c:pt>
                <c:pt idx="27">
                  <c:v>1000134295894.6655</c:v>
                </c:pt>
                <c:pt idx="28">
                  <c:v>10001342958946.654</c:v>
                </c:pt>
                <c:pt idx="29">
                  <c:v>100013429589466.55</c:v>
                </c:pt>
                <c:pt idx="30">
                  <c:v>1000134295894665.5</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6.4655204306795444E-2</c:v>
                </c:pt>
                <c:pt idx="1">
                  <c:v>0.64655204306795433</c:v>
                </c:pt>
                <c:pt idx="2">
                  <c:v>6.4655204306795442</c:v>
                </c:pt>
                <c:pt idx="3">
                  <c:v>64.65520430679544</c:v>
                </c:pt>
                <c:pt idx="4">
                  <c:v>646.55204306795429</c:v>
                </c:pt>
                <c:pt idx="5">
                  <c:v>6465.520430679544</c:v>
                </c:pt>
                <c:pt idx="6">
                  <c:v>64655.204306795444</c:v>
                </c:pt>
                <c:pt idx="7">
                  <c:v>646552.04306795436</c:v>
                </c:pt>
                <c:pt idx="8">
                  <c:v>6465520.4306795439</c:v>
                </c:pt>
                <c:pt idx="9">
                  <c:v>64655204.306795433</c:v>
                </c:pt>
                <c:pt idx="10">
                  <c:v>646552043.06795442</c:v>
                </c:pt>
                <c:pt idx="11">
                  <c:v>6465520430.6795444</c:v>
                </c:pt>
                <c:pt idx="12">
                  <c:v>64655204306.795441</c:v>
                </c:pt>
                <c:pt idx="13">
                  <c:v>646552043067.95435</c:v>
                </c:pt>
                <c:pt idx="14">
                  <c:v>6465520430679.5439</c:v>
                </c:pt>
                <c:pt idx="15">
                  <c:v>64655204306795.437</c:v>
                </c:pt>
                <c:pt idx="16">
                  <c:v>646552043067954.37</c:v>
                </c:pt>
                <c:pt idx="17">
                  <c:v>6465520430679544</c:v>
                </c:pt>
                <c:pt idx="18">
                  <c:v>6.465520430679544E+16</c:v>
                </c:pt>
                <c:pt idx="19">
                  <c:v>6.4655204306795443E+17</c:v>
                </c:pt>
                <c:pt idx="20">
                  <c:v>6.4655204306795438E+18</c:v>
                </c:pt>
                <c:pt idx="21">
                  <c:v>6.4655204306795438E+19</c:v>
                </c:pt>
                <c:pt idx="22">
                  <c:v>6.4655204306795443E+20</c:v>
                </c:pt>
                <c:pt idx="23">
                  <c:v>6.4655204306795438E+21</c:v>
                </c:pt>
                <c:pt idx="24">
                  <c:v>6.4655204306795436E+22</c:v>
                </c:pt>
                <c:pt idx="25">
                  <c:v>6.4655204306795436E+23</c:v>
                </c:pt>
                <c:pt idx="26">
                  <c:v>6.4655204306795436E+24</c:v>
                </c:pt>
                <c:pt idx="27">
                  <c:v>6.465520430679544E+25</c:v>
                </c:pt>
                <c:pt idx="28">
                  <c:v>6.4655204306795438E+26</c:v>
                </c:pt>
                <c:pt idx="29">
                  <c:v>6.4655204306795435E+27</c:v>
                </c:pt>
                <c:pt idx="30">
                  <c:v>6.465520430679544E+28</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3.7537732261831018</c:v>
                </c:pt>
                <c:pt idx="1">
                  <c:v>37.537732261831017</c:v>
                </c:pt>
                <c:pt idx="2">
                  <c:v>375.37732261831019</c:v>
                </c:pt>
                <c:pt idx="3">
                  <c:v>3753.7732261831015</c:v>
                </c:pt>
                <c:pt idx="4">
                  <c:v>37537.732261831014</c:v>
                </c:pt>
                <c:pt idx="5">
                  <c:v>375377.32261831017</c:v>
                </c:pt>
                <c:pt idx="6">
                  <c:v>3753773.226183102</c:v>
                </c:pt>
                <c:pt idx="7">
                  <c:v>37537732.261831015</c:v>
                </c:pt>
                <c:pt idx="8">
                  <c:v>375377322.61831015</c:v>
                </c:pt>
                <c:pt idx="9">
                  <c:v>3753773226.1831017</c:v>
                </c:pt>
                <c:pt idx="10">
                  <c:v>37537732261.831017</c:v>
                </c:pt>
                <c:pt idx="11">
                  <c:v>375377322618.31018</c:v>
                </c:pt>
                <c:pt idx="12">
                  <c:v>3753773226183.1016</c:v>
                </c:pt>
                <c:pt idx="13">
                  <c:v>37537732261831.016</c:v>
                </c:pt>
                <c:pt idx="14">
                  <c:v>375377322618310.19</c:v>
                </c:pt>
                <c:pt idx="15">
                  <c:v>3753773226183101.5</c:v>
                </c:pt>
                <c:pt idx="16">
                  <c:v>3.7537732261831016E+16</c:v>
                </c:pt>
                <c:pt idx="17">
                  <c:v>3.7537732261831014E+17</c:v>
                </c:pt>
                <c:pt idx="18">
                  <c:v>3.753773226183102E+18</c:v>
                </c:pt>
                <c:pt idx="19">
                  <c:v>3.7537732261831016E+19</c:v>
                </c:pt>
                <c:pt idx="20">
                  <c:v>3.7537732261831016E+20</c:v>
                </c:pt>
                <c:pt idx="21">
                  <c:v>3.7537732261831015E+21</c:v>
                </c:pt>
                <c:pt idx="22">
                  <c:v>3.7537732261831017E+22</c:v>
                </c:pt>
                <c:pt idx="23">
                  <c:v>3.753773226183102E+23</c:v>
                </c:pt>
                <c:pt idx="24">
                  <c:v>3.7537732261831014E+24</c:v>
                </c:pt>
                <c:pt idx="25">
                  <c:v>3.7537732261831017E+25</c:v>
                </c:pt>
                <c:pt idx="26">
                  <c:v>3.7537732261831014E+26</c:v>
                </c:pt>
                <c:pt idx="27">
                  <c:v>3.7537732261831019E+27</c:v>
                </c:pt>
                <c:pt idx="28">
                  <c:v>3.7537732261831017E+28</c:v>
                </c:pt>
                <c:pt idx="29">
                  <c:v>3.7537732261831018E+29</c:v>
                </c:pt>
                <c:pt idx="30">
                  <c:v>3.7537732261831017E+30</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51554152"/>
        <c:axId val="451553760"/>
      </c:scatterChart>
      <c:valAx>
        <c:axId val="45155415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553760"/>
        <c:crosses val="autoZero"/>
        <c:crossBetween val="midCat"/>
      </c:valAx>
      <c:valAx>
        <c:axId val="451553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55415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-45.801625734711926</c:v>
                </c:pt>
                <c:pt idx="1">
                  <c:v>-45.738092888466561</c:v>
                </c:pt>
                <c:pt idx="2">
                  <c:v>-45.67441338219669</c:v>
                </c:pt>
                <c:pt idx="3">
                  <c:v>-45.610440555877801</c:v>
                </c:pt>
                <c:pt idx="4">
                  <c:v>-45.54602774948539</c:v>
                </c:pt>
                <c:pt idx="5">
                  <c:v>-45.481028302994957</c:v>
                </c:pt>
                <c:pt idx="6">
                  <c:v>-45.415295556381992</c:v>
                </c:pt>
                <c:pt idx="7">
                  <c:v>-45.34868284962198</c:v>
                </c:pt>
                <c:pt idx="8">
                  <c:v>-45.281043522690418</c:v>
                </c:pt>
                <c:pt idx="9">
                  <c:v>-45.212230915562813</c:v>
                </c:pt>
                <c:pt idx="10">
                  <c:v>-45.14209836821464</c:v>
                </c:pt>
                <c:pt idx="11">
                  <c:v>-45.0704992206214</c:v>
                </c:pt>
                <c:pt idx="12">
                  <c:v>-44.997286812758588</c:v>
                </c:pt>
                <c:pt idx="13">
                  <c:v>-44.922314484601692</c:v>
                </c:pt>
                <c:pt idx="14">
                  <c:v>-44.845435576126206</c:v>
                </c:pt>
                <c:pt idx="15">
                  <c:v>-44.766503427307626</c:v>
                </c:pt>
                <c:pt idx="16">
                  <c:v>-44.685371378121459</c:v>
                </c:pt>
                <c:pt idx="17">
                  <c:v>-44.601892768543166</c:v>
                </c:pt>
                <c:pt idx="18">
                  <c:v>-44.515920938548263</c:v>
                </c:pt>
                <c:pt idx="19">
                  <c:v>-44.427309228112236</c:v>
                </c:pt>
                <c:pt idx="20">
                  <c:v>-44.335910977210588</c:v>
                </c:pt>
                <c:pt idx="21">
                  <c:v>-44.2415795258188</c:v>
                </c:pt>
                <c:pt idx="22">
                  <c:v>-44.144168213912366</c:v>
                </c:pt>
                <c:pt idx="23">
                  <c:v>-44.043530381466795</c:v>
                </c:pt>
                <c:pt idx="24">
                  <c:v>-43.939519368457553</c:v>
                </c:pt>
                <c:pt idx="25">
                  <c:v>-43.831988514860157</c:v>
                </c:pt>
                <c:pt idx="26">
                  <c:v>-43.720791160650094</c:v>
                </c:pt>
                <c:pt idx="27">
                  <c:v>-43.605780645802852</c:v>
                </c:pt>
                <c:pt idx="28">
                  <c:v>-43.486810310293926</c:v>
                </c:pt>
                <c:pt idx="29">
                  <c:v>-43.36373349409881</c:v>
                </c:pt>
                <c:pt idx="30">
                  <c:v>-43.236403537192999</c:v>
                </c:pt>
                <c:pt idx="31">
                  <c:v>-43.104673779551987</c:v>
                </c:pt>
                <c:pt idx="32">
                  <c:v>-42.968397561151264</c:v>
                </c:pt>
                <c:pt idx="33">
                  <c:v>-42.827428221966329</c:v>
                </c:pt>
                <c:pt idx="34">
                  <c:v>-42.681619101972665</c:v>
                </c:pt>
                <c:pt idx="35">
                  <c:v>-42.530823541145764</c:v>
                </c:pt>
                <c:pt idx="36">
                  <c:v>-42.374894879461138</c:v>
                </c:pt>
                <c:pt idx="37">
                  <c:v>-42.213686456894266</c:v>
                </c:pt>
                <c:pt idx="38">
                  <c:v>-42.047051613420642</c:v>
                </c:pt>
                <c:pt idx="39">
                  <c:v>-41.874843689015755</c:v>
                </c:pt>
                <c:pt idx="40">
                  <c:v>-41.696916023655113</c:v>
                </c:pt>
                <c:pt idx="41">
                  <c:v>-41.565532961159505</c:v>
                </c:pt>
                <c:pt idx="42">
                  <c:v>-41.428597079596727</c:v>
                </c:pt>
                <c:pt idx="43">
                  <c:v>-41.286421960879899</c:v>
                </c:pt>
                <c:pt idx="44">
                  <c:v>-41.139321186922089</c:v>
                </c:pt>
                <c:pt idx="45">
                  <c:v>-40.987608339636431</c:v>
                </c:pt>
                <c:pt idx="46">
                  <c:v>-40.831597000936014</c:v>
                </c:pt>
                <c:pt idx="47">
                  <c:v>-40.671600752733944</c:v>
                </c:pt>
                <c:pt idx="48">
                  <c:v>-40.507933176943325</c:v>
                </c:pt>
                <c:pt idx="49">
                  <c:v>-40.340907855477255</c:v>
                </c:pt>
                <c:pt idx="50">
                  <c:v>-40.170838370248845</c:v>
                </c:pt>
                <c:pt idx="51">
                  <c:v>-39.998038303171192</c:v>
                </c:pt>
                <c:pt idx="52">
                  <c:v>-39.822821236157395</c:v>
                </c:pt>
                <c:pt idx="53">
                  <c:v>-39.645500751120565</c:v>
                </c:pt>
                <c:pt idx="54">
                  <c:v>-39.466390429973806</c:v>
                </c:pt>
                <c:pt idx="55">
                  <c:v>-39.285803854630217</c:v>
                </c:pt>
                <c:pt idx="56">
                  <c:v>-39.104054607002894</c:v>
                </c:pt>
                <c:pt idx="57">
                  <c:v>-38.921456269004949</c:v>
                </c:pt>
                <c:pt idx="58">
                  <c:v>-38.738322422549487</c:v>
                </c:pt>
                <c:pt idx="59">
                  <c:v>-38.554966649549606</c:v>
                </c:pt>
                <c:pt idx="60">
                  <c:v>-38.371702531918402</c:v>
                </c:pt>
                <c:pt idx="61">
                  <c:v>-38.188843651568995</c:v>
                </c:pt>
                <c:pt idx="62">
                  <c:v>-38.006703590414475</c:v>
                </c:pt>
                <c:pt idx="63">
                  <c:v>-37.825595930367939</c:v>
                </c:pt>
                <c:pt idx="64">
                  <c:v>-37.645834253342514</c:v>
                </c:pt>
                <c:pt idx="65">
                  <c:v>-37.467732141251275</c:v>
                </c:pt>
                <c:pt idx="66">
                  <c:v>-37.291414253640276</c:v>
                </c:pt>
                <c:pt idx="67">
                  <c:v>-37.116249560587271</c:v>
                </c:pt>
                <c:pt idx="68">
                  <c:v>-36.941418109802967</c:v>
                </c:pt>
                <c:pt idx="69">
                  <c:v>-36.766099948998033</c:v>
                </c:pt>
                <c:pt idx="70">
                  <c:v>-36.589475125883204</c:v>
                </c:pt>
                <c:pt idx="71">
                  <c:v>-36.410723688169142</c:v>
                </c:pt>
                <c:pt idx="72">
                  <c:v>-36.229025683566562</c:v>
                </c:pt>
                <c:pt idx="73">
                  <c:v>-36.043561159786151</c:v>
                </c:pt>
                <c:pt idx="74">
                  <c:v>-35.853510164538605</c:v>
                </c:pt>
                <c:pt idx="75">
                  <c:v>-35.658052745534626</c:v>
                </c:pt>
                <c:pt idx="76">
                  <c:v>-35.456368950484901</c:v>
                </c:pt>
                <c:pt idx="77">
                  <c:v>-35.247638827100133</c:v>
                </c:pt>
                <c:pt idx="78">
                  <c:v>-35.031042423091009</c:v>
                </c:pt>
                <c:pt idx="79">
                  <c:v>-34.805759786168238</c:v>
                </c:pt>
                <c:pt idx="80">
                  <c:v>-34.570970964042495</c:v>
                </c:pt>
                <c:pt idx="81">
                  <c:v>-34.325856004424494</c:v>
                </c:pt>
                <c:pt idx="82">
                  <c:v>-34.069594955024925</c:v>
                </c:pt>
                <c:pt idx="83">
                  <c:v>-33.801367863554489</c:v>
                </c:pt>
                <c:pt idx="84">
                  <c:v>-33.520354777723867</c:v>
                </c:pt>
                <c:pt idx="85">
                  <c:v>-33.225735745243767</c:v>
                </c:pt>
                <c:pt idx="86">
                  <c:v>-32.916690813824886</c:v>
                </c:pt>
                <c:pt idx="87">
                  <c:v>-32.592400031177917</c:v>
                </c:pt>
                <c:pt idx="88">
                  <c:v>-32.252043445013541</c:v>
                </c:pt>
                <c:pt idx="89">
                  <c:v>-31.894801103042475</c:v>
                </c:pt>
                <c:pt idx="90">
                  <c:v>-31.519853052975407</c:v>
                </c:pt>
                <c:pt idx="91">
                  <c:v>-31.126667810396924</c:v>
                </c:pt>
                <c:pt idx="92">
                  <c:v>-30.715867762387184</c:v>
                </c:pt>
                <c:pt idx="93">
                  <c:v>-30.288363763900247</c:v>
                </c:pt>
                <c:pt idx="94">
                  <c:v>-29.845066669890162</c:v>
                </c:pt>
                <c:pt idx="95">
                  <c:v>-29.386887335310995</c:v>
                </c:pt>
                <c:pt idx="96">
                  <c:v>-28.914736615116791</c:v>
                </c:pt>
                <c:pt idx="97">
                  <c:v>-28.429525364261607</c:v>
                </c:pt>
                <c:pt idx="98">
                  <c:v>-27.932164437699502</c:v>
                </c:pt>
                <c:pt idx="99">
                  <c:v>-27.42356469038452</c:v>
                </c:pt>
                <c:pt idx="100">
                  <c:v>-26.904636977270727</c:v>
                </c:pt>
                <c:pt idx="101">
                  <c:v>-26.376292153312171</c:v>
                </c:pt>
                <c:pt idx="102">
                  <c:v>-25.839441073462908</c:v>
                </c:pt>
                <c:pt idx="103">
                  <c:v>-25.294994592676993</c:v>
                </c:pt>
                <c:pt idx="104">
                  <c:v>-24.743863565908484</c:v>
                </c:pt>
                <c:pt idx="105">
                  <c:v>-24.186958848111431</c:v>
                </c:pt>
                <c:pt idx="106">
                  <c:v>-23.62519129423989</c:v>
                </c:pt>
                <c:pt idx="107">
                  <c:v>-23.059471759247913</c:v>
                </c:pt>
                <c:pt idx="108">
                  <c:v>-22.490711098089562</c:v>
                </c:pt>
                <c:pt idx="109">
                  <c:v>-21.919820165718889</c:v>
                </c:pt>
                <c:pt idx="110">
                  <c:v>-21.347709817089942</c:v>
                </c:pt>
                <c:pt idx="111">
                  <c:v>-20.77529090715678</c:v>
                </c:pt>
                <c:pt idx="112">
                  <c:v>-20.203474290873459</c:v>
                </c:pt>
                <c:pt idx="113">
                  <c:v>-19.633170823194035</c:v>
                </c:pt>
                <c:pt idx="114">
                  <c:v>-19.06529135907256</c:v>
                </c:pt>
                <c:pt idx="115">
                  <c:v>-18.500746753463087</c:v>
                </c:pt>
                <c:pt idx="116">
                  <c:v>-17.940447861319676</c:v>
                </c:pt>
                <c:pt idx="117">
                  <c:v>-17.385305537596373</c:v>
                </c:pt>
                <c:pt idx="118">
                  <c:v>-16.836230637247244</c:v>
                </c:pt>
                <c:pt idx="119">
                  <c:v>-16.294134015226334</c:v>
                </c:pt>
                <c:pt idx="120">
                  <c:v>-15.759926526487703</c:v>
                </c:pt>
                <c:pt idx="121">
                  <c:v>-15.234358199038235</c:v>
                </c:pt>
                <c:pt idx="122">
                  <c:v>-14.717535753096168</c:v>
                </c:pt>
                <c:pt idx="123">
                  <c:v>-14.209405081932562</c:v>
                </c:pt>
                <c:pt idx="124">
                  <c:v>-13.709912078818485</c:v>
                </c:pt>
                <c:pt idx="125">
                  <c:v>-13.219002637025</c:v>
                </c:pt>
                <c:pt idx="126">
                  <c:v>-12.736622649823172</c:v>
                </c:pt>
                <c:pt idx="127">
                  <c:v>-12.262718010484072</c:v>
                </c:pt>
                <c:pt idx="128">
                  <c:v>-11.797234612278755</c:v>
                </c:pt>
                <c:pt idx="129">
                  <c:v>-11.340118348478292</c:v>
                </c:pt>
                <c:pt idx="130">
                  <c:v>-10.891315112353752</c:v>
                </c:pt>
                <c:pt idx="131">
                  <c:v>-10.450770797176192</c:v>
                </c:pt>
                <c:pt idx="132">
                  <c:v>-10.018431296216681</c:v>
                </c:pt>
                <c:pt idx="133">
                  <c:v>-9.594242502746285</c:v>
                </c:pt>
                <c:pt idx="134">
                  <c:v>-9.1781503100360666</c:v>
                </c:pt>
                <c:pt idx="135">
                  <c:v>-8.7701006113570976</c:v>
                </c:pt>
                <c:pt idx="136">
                  <c:v>-8.3700392999804354</c:v>
                </c:pt>
                <c:pt idx="137">
                  <c:v>-7.977912269177148</c:v>
                </c:pt>
                <c:pt idx="138">
                  <c:v>-7.5936654122183009</c:v>
                </c:pt>
                <c:pt idx="139">
                  <c:v>-7.2172446223749596</c:v>
                </c:pt>
                <c:pt idx="140">
                  <c:v>-6.8485957929181875</c:v>
                </c:pt>
                <c:pt idx="141">
                  <c:v>-6.4876648171190521</c:v>
                </c:pt>
                <c:pt idx="142">
                  <c:v>-6.1343975882486186</c:v>
                </c:pt>
                <c:pt idx="143">
                  <c:v>-5.7887399995779507</c:v>
                </c:pt>
                <c:pt idx="144">
                  <c:v>-5.4506379443781121</c:v>
                </c:pt>
                <c:pt idx="145">
                  <c:v>-5.1200373159201717</c:v>
                </c:pt>
                <c:pt idx="146">
                  <c:v>-4.7968840074751924</c:v>
                </c:pt>
                <c:pt idx="147">
                  <c:v>-4.4811239123142403</c:v>
                </c:pt>
                <c:pt idx="148">
                  <c:v>-4.1727029237083801</c:v>
                </c:pt>
                <c:pt idx="149">
                  <c:v>-3.8715669349286768</c:v>
                </c:pt>
                <c:pt idx="150">
                  <c:v>-3.577661839246197</c:v>
                </c:pt>
                <c:pt idx="151">
                  <c:v>-3.2909335299320035</c:v>
                </c:pt>
                <c:pt idx="152">
                  <c:v>-3.0113279002571627</c:v>
                </c:pt>
                <c:pt idx="153">
                  <c:v>-2.7387908434927408</c:v>
                </c:pt>
                <c:pt idx="154">
                  <c:v>-2.4732682529098016</c:v>
                </c:pt>
                <c:pt idx="155">
                  <c:v>-2.2147060217794103</c:v>
                </c:pt>
                <c:pt idx="156">
                  <c:v>-1.963050043372633</c:v>
                </c:pt>
                <c:pt idx="157">
                  <c:v>-1.7182462109605345</c:v>
                </c:pt>
                <c:pt idx="158">
                  <c:v>-1.4802404178141799</c:v>
                </c:pt>
                <c:pt idx="159">
                  <c:v>-1.2489785572046341</c:v>
                </c:pt>
                <c:pt idx="160">
                  <c:v>-1.0244065224029626</c:v>
                </c:pt>
                <c:pt idx="161">
                  <c:v>-0.80647020668023028</c:v>
                </c:pt>
                <c:pt idx="162">
                  <c:v>-0.59511550330750262</c:v>
                </c:pt>
                <c:pt idx="163">
                  <c:v>-0.39028830555584504</c:v>
                </c:pt>
                <c:pt idx="164">
                  <c:v>-0.19193450669632295</c:v>
                </c:pt>
                <c:pt idx="165">
                  <c:v>0</c:v>
                </c:pt>
                <c:pt idx="166">
                  <c:v>0.1855906138807312</c:v>
                </c:pt>
                <c:pt idx="167">
                  <c:v>0.36499790476817601</c:v>
                </c:pt>
                <c:pt idx="168">
                  <c:v>0.53840373510331363</c:v>
                </c:pt>
                <c:pt idx="169">
                  <c:v>0.70598996732712282</c:v>
                </c:pt>
                <c:pt idx="170">
                  <c:v>0.8679384638805826</c:v>
                </c:pt>
                <c:pt idx="171">
                  <c:v>1.0244310872046722</c:v>
                </c:pt>
                <c:pt idx="172">
                  <c:v>1.1756496997403705</c:v>
                </c:pt>
                <c:pt idx="173">
                  <c:v>1.3217761639286563</c:v>
                </c:pt>
                <c:pt idx="174">
                  <c:v>1.4629923422105091</c:v>
                </c:pt>
                <c:pt idx="175">
                  <c:v>1.5994800970269076</c:v>
                </c:pt>
                <c:pt idx="176">
                  <c:v>1.7314212908188309</c:v>
                </c:pt>
                <c:pt idx="177">
                  <c:v>1.8589977860272577</c:v>
                </c:pt>
                <c:pt idx="178">
                  <c:v>1.9823914450931674</c:v>
                </c:pt>
                <c:pt idx="179">
                  <c:v>2.1017841304575389</c:v>
                </c:pt>
                <c:pt idx="180">
                  <c:v>2.2173577045613508</c:v>
                </c:pt>
                <c:pt idx="181">
                  <c:v>2.3292940298455829</c:v>
                </c:pt>
                <c:pt idx="182">
                  <c:v>2.437774968751214</c:v>
                </c:pt>
                <c:pt idx="183">
                  <c:v>2.5429823837192229</c:v>
                </c:pt>
                <c:pt idx="184">
                  <c:v>2.6450981371905882</c:v>
                </c:pt>
                <c:pt idx="185">
                  <c:v>2.7443040916062893</c:v>
                </c:pt>
                <c:pt idx="186">
                  <c:v>2.8407821094073058</c:v>
                </c:pt>
                <c:pt idx="187">
                  <c:v>2.9347140530346154</c:v>
                </c:pt>
                <c:pt idx="188">
                  <c:v>3.0262817849291981</c:v>
                </c:pt>
                <c:pt idx="189">
                  <c:v>3.1156671675320333</c:v>
                </c:pt>
                <c:pt idx="190">
                  <c:v>3.2030520632840989</c:v>
                </c:pt>
                <c:pt idx="191">
                  <c:v>3.2886183346263742</c:v>
                </c:pt>
                <c:pt idx="192">
                  <c:v>3.3725478439998384</c:v>
                </c:pt>
                <c:pt idx="193">
                  <c:v>3.455022453845471</c:v>
                </c:pt>
                <c:pt idx="194">
                  <c:v>3.5362240266042502</c:v>
                </c:pt>
                <c:pt idx="195">
                  <c:v>3.6163344247171554</c:v>
                </c:pt>
                <c:pt idx="196">
                  <c:v>3.6955355106251657</c:v>
                </c:pt>
                <c:pt idx="197">
                  <c:v>3.7740091467692598</c:v>
                </c:pt>
                <c:pt idx="198">
                  <c:v>3.8519371955904167</c:v>
                </c:pt>
                <c:pt idx="199">
                  <c:v>3.9295015195296163</c:v>
                </c:pt>
                <c:pt idx="200">
                  <c:v>4.0068839810278361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-14.406800109604639</c:v>
                </c:pt>
                <c:pt idx="1">
                  <c:v>-10.950515452938541</c:v>
                </c:pt>
                <c:pt idx="2">
                  <c:v>-6.5770330385822291</c:v>
                </c:pt>
                <c:pt idx="3">
                  <c:v>1.3428687777918219E-4</c:v>
                </c:pt>
                <c:pt idx="4">
                  <c:v>0</c:v>
                </c:pt>
                <c:pt idx="5">
                  <c:v>31.8000897176249</c:v>
                </c:pt>
                <c:pt idx="6">
                  <c:v>35.861537922668312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-41.832435497904271</c:v>
                </c:pt>
                <c:pt idx="1">
                  <c:v>-43.088430589755035</c:v>
                </c:pt>
                <c:pt idx="2">
                  <c:v>-44.148184386803109</c:v>
                </c:pt>
                <c:pt idx="3">
                  <c:v>-45.027632623472414</c:v>
                </c:pt>
                <c:pt idx="4">
                  <c:v>-45.742010230020526</c:v>
                </c:pt>
                <c:pt idx="5">
                  <c:v>-46.305859462334524</c:v>
                </c:pt>
                <c:pt idx="6">
                  <c:v>-46.73303875079597</c:v>
                </c:pt>
                <c:pt idx="7">
                  <c:v>-47.036732231901794</c:v>
                </c:pt>
                <c:pt idx="8">
                  <c:v>-47.229459926919958</c:v>
                </c:pt>
                <c:pt idx="9">
                  <c:v>-47.323088532388454</c:v>
                </c:pt>
                <c:pt idx="10">
                  <c:v>-47.328842787857582</c:v>
                </c:pt>
                <c:pt idx="11">
                  <c:v>-47.25731738682731</c:v>
                </c:pt>
                <c:pt idx="12">
                  <c:v>-47.118489397388771</c:v>
                </c:pt>
                <c:pt idx="13">
                  <c:v>-46.921731159658947</c:v>
                </c:pt>
                <c:pt idx="14">
                  <c:v>-46.675823627648441</c:v>
                </c:pt>
                <c:pt idx="15">
                  <c:v>-46.388970123766171</c:v>
                </c:pt>
                <c:pt idx="16">
                  <c:v>-46.068810474740872</c:v>
                </c:pt>
                <c:pt idx="17">
                  <c:v>-45.72243549828201</c:v>
                </c:pt>
                <c:pt idx="18">
                  <c:v>-45.356401810391645</c:v>
                </c:pt>
                <c:pt idx="19">
                  <c:v>-44.976746923776801</c:v>
                </c:pt>
                <c:pt idx="20">
                  <c:v>-44.589004608397119</c:v>
                </c:pt>
                <c:pt idx="21">
                  <c:v>-44.198220485731468</c:v>
                </c:pt>
                <c:pt idx="22">
                  <c:v>-43.808967828919762</c:v>
                </c:pt>
                <c:pt idx="23">
                  <c:v>-43.425363541492771</c:v>
                </c:pt>
                <c:pt idx="24">
                  <c:v>-43.051084287974348</c:v>
                </c:pt>
                <c:pt idx="25">
                  <c:v>-42.689382750196685</c:v>
                </c:pt>
                <c:pt idx="26">
                  <c:v>-42.343103983736228</c:v>
                </c:pt>
                <c:pt idx="27">
                  <c:v>-42.014701849443782</c:v>
                </c:pt>
                <c:pt idx="28">
                  <c:v>-41.70625549559972</c:v>
                </c:pt>
                <c:pt idx="29">
                  <c:v>-41.419485866795966</c:v>
                </c:pt>
                <c:pt idx="30">
                  <c:v>-41.155772216204781</c:v>
                </c:pt>
                <c:pt idx="31">
                  <c:v>-40.916168598460374</c:v>
                </c:pt>
                <c:pt idx="32">
                  <c:v>-40.70142032094293</c:v>
                </c:pt>
                <c:pt idx="33">
                  <c:v>-40.511980331817234</c:v>
                </c:pt>
                <c:pt idx="34">
                  <c:v>-40.348025523743523</c:v>
                </c:pt>
                <c:pt idx="35">
                  <c:v>-40.209472932739359</c:v>
                </c:pt>
                <c:pt idx="36">
                  <c:v>-40.095995812237376</c:v>
                </c:pt>
                <c:pt idx="37">
                  <c:v>-40.007039562945906</c:v>
                </c:pt>
                <c:pt idx="38">
                  <c:v>-39.941837499683345</c:v>
                </c:pt>
                <c:pt idx="39">
                  <c:v>-39.89942643692153</c:v>
                </c:pt>
                <c:pt idx="40">
                  <c:v>-39.878662075336223</c:v>
                </c:pt>
                <c:pt idx="41">
                  <c:v>-39.878234172226627</c:v>
                </c:pt>
                <c:pt idx="42">
                  <c:v>-39.896681479229173</c:v>
                </c:pt>
                <c:pt idx="43">
                  <c:v>-39.932406431316366</c:v>
                </c:pt>
                <c:pt idx="44">
                  <c:v>-39.983689571631317</c:v>
                </c:pt>
                <c:pt idx="45">
                  <c:v>-40.048703697276892</c:v>
                </c:pt>
                <c:pt idx="46">
                  <c:v>-40.125527711737732</c:v>
                </c:pt>
                <c:pt idx="47">
                  <c:v>-40.212160170180425</c:v>
                </c:pt>
                <c:pt idx="48">
                  <c:v>-40.306532504438323</c:v>
                </c:pt>
                <c:pt idx="49">
                  <c:v>-40.406521915052764</c:v>
                </c:pt>
                <c:pt idx="50">
                  <c:v>-40.509963918305196</c:v>
                </c:pt>
                <c:pt idx="51">
                  <c:v>-40.614664536738594</c:v>
                </c:pt>
                <c:pt idx="52">
                  <c:v>-40.718412122230397</c:v>
                </c:pt>
                <c:pt idx="53">
                  <c:v>-40.818988801242284</c:v>
                </c:pt>
                <c:pt idx="54">
                  <c:v>-40.914181532437013</c:v>
                </c:pt>
                <c:pt idx="55">
                  <c:v>-41.00179276741386</c:v>
                </c:pt>
                <c:pt idx="56">
                  <c:v>-41.079650705880674</c:v>
                </c:pt>
                <c:pt idx="57">
                  <c:v>-41.145619137142091</c:v>
                </c:pt>
                <c:pt idx="58">
                  <c:v>-41.197606860347719</c:v>
                </c:pt>
                <c:pt idx="59">
                  <c:v>-41.233576676508569</c:v>
                </c:pt>
                <c:pt idx="60">
                  <c:v>-41.251553945851633</c:v>
                </c:pt>
                <c:pt idx="61">
                  <c:v>-41.24963470464904</c:v>
                </c:pt>
                <c:pt idx="62">
                  <c:v>-41.225993336218679</c:v>
                </c:pt>
                <c:pt idx="63">
                  <c:v>-41.178889791359651</c:v>
                </c:pt>
                <c:pt idx="64">
                  <c:v>-41.106676354047472</c:v>
                </c:pt>
                <c:pt idx="65">
                  <c:v>-41.00780394877885</c:v>
                </c:pt>
                <c:pt idx="66">
                  <c:v>-40.880827986518831</c:v>
                </c:pt>
                <c:pt idx="67">
                  <c:v>-40.724413746767141</c:v>
                </c:pt>
                <c:pt idx="68">
                  <c:v>-40.537341293823943</c:v>
                </c:pt>
                <c:pt idx="69">
                  <c:v>-40.318509925898979</c:v>
                </c:pt>
                <c:pt idx="70">
                  <c:v>-40.066942156271708</c:v>
                </c:pt>
                <c:pt idx="71">
                  <c:v>-39.78178722627365</c:v>
                </c:pt>
                <c:pt idx="72">
                  <c:v>-39.462324150427762</c:v>
                </c:pt>
                <c:pt idx="73">
                  <c:v>-39.107964294643551</c:v>
                </c:pt>
                <c:pt idx="74">
                  <c:v>-38.718253488929754</c:v>
                </c:pt>
                <c:pt idx="75">
                  <c:v>-38.292873676650743</c:v>
                </c:pt>
                <c:pt idx="76">
                  <c:v>-37.831644102915831</c:v>
                </c:pt>
                <c:pt idx="77">
                  <c:v>-37.33452204525468</c:v>
                </c:pt>
                <c:pt idx="78">
                  <c:v>-36.801603090295387</c:v>
                </c:pt>
                <c:pt idx="79">
                  <c:v>-36.233120960725905</c:v>
                </c:pt>
                <c:pt idx="80">
                  <c:v>-35.6294468973825</c:v>
                </c:pt>
                <c:pt idx="81">
                  <c:v>-34.991088601872988</c:v>
                </c:pt>
                <c:pt idx="82">
                  <c:v>-34.318688745706091</c:v>
                </c:pt>
                <c:pt idx="83">
                  <c:v>-33.613023052461756</c:v>
                </c:pt>
                <c:pt idx="84">
                  <c:v>-32.874997960101098</c:v>
                </c:pt>
                <c:pt idx="85">
                  <c:v>-32.105647871078048</c:v>
                </c:pt>
                <c:pt idx="86">
                  <c:v>-31.306131998478634</c:v>
                </c:pt>
                <c:pt idx="87">
                  <c:v>-30.477730816977463</c:v>
                </c:pt>
                <c:pt idx="88">
                  <c:v>-29.621842127964261</c:v>
                </c:pt>
                <c:pt idx="89">
                  <c:v>-28.739976748757577</c:v>
                </c:pt>
                <c:pt idx="90">
                  <c:v>-27.83375383638586</c:v>
                </c:pt>
                <c:pt idx="91">
                  <c:v>-26.904895856980009</c:v>
                </c:pt>
                <c:pt idx="92">
                  <c:v>-25.955223212385018</c:v>
                </c:pt>
                <c:pt idx="93">
                  <c:v>-24.986648536162292</c:v>
                </c:pt>
                <c:pt idx="94">
                  <c:v>-24.001170671717244</c:v>
                </c:pt>
                <c:pt idx="95">
                  <c:v>-23.000868345851135</c:v>
                </c:pt>
                <c:pt idx="96">
                  <c:v>-21.987893551599189</c:v>
                </c:pt>
                <c:pt idx="97">
                  <c:v>-20.964464654780983</c:v>
                </c:pt>
                <c:pt idx="98">
                  <c:v>-19.932859239252625</c:v>
                </c:pt>
                <c:pt idx="99">
                  <c:v>-18.895406706413908</c:v>
                </c:pt>
                <c:pt idx="100">
                  <c:v>-17.854480645087232</c:v>
                </c:pt>
                <c:pt idx="101">
                  <c:v>-16.81249098844885</c:v>
                </c:pt>
                <c:pt idx="102">
                  <c:v>-15.771875975256373</c:v>
                </c:pt>
                <c:pt idx="103">
                  <c:v>-14.735093933180478</c:v>
                </c:pt>
                <c:pt idx="104">
                  <c:v>-13.704614902612031</c:v>
                </c:pt>
                <c:pt idx="105">
                  <c:v>-12.682912119879807</c:v>
                </c:pt>
                <c:pt idx="106">
                  <c:v>-11.672453379377306</c:v>
                </c:pt>
                <c:pt idx="107">
                  <c:v>-10.675692294661147</c:v>
                </c:pt>
                <c:pt idx="108">
                  <c:v>-9.6950594791468507</c:v>
                </c:pt>
                <c:pt idx="109">
                  <c:v>-8.7329536675916888</c:v>
                </c:pt>
                <c:pt idx="110">
                  <c:v>-7.7917328001178001</c:v>
                </c:pt>
                <c:pt idx="111">
                  <c:v>-6.8737050910924395</c:v>
                </c:pt>
                <c:pt idx="112">
                  <c:v>-5.9811201057458785</c:v>
                </c:pt>
                <c:pt idx="113">
                  <c:v>-5.1161598679711462</c:v>
                </c:pt>
                <c:pt idx="114">
                  <c:v>-4.2809300233133429</c:v>
                </c:pt>
                <c:pt idx="115">
                  <c:v>-3.4774510817200213</c:v>
                </c:pt>
                <c:pt idx="116">
                  <c:v>-2.7076497651876856</c:v>
                </c:pt>
                <c:pt idx="117">
                  <c:v>-1.973350486003131</c:v>
                </c:pt>
                <c:pt idx="118">
                  <c:v>-1.2762669818419889</c:v>
                </c:pt>
                <c:pt idx="119">
                  <c:v>-0.61799413455047858</c:v>
                </c:pt>
                <c:pt idx="120">
                  <c:v>0</c:v>
                </c:pt>
                <c:pt idx="121">
                  <c:v>0.57638192303213709</c:v>
                </c:pt>
                <c:pt idx="122">
                  <c:v>1.1099601564389323</c:v>
                </c:pt>
                <c:pt idx="123">
                  <c:v>1.5996924097362939</c:v>
                </c:pt>
                <c:pt idx="124">
                  <c:v>2.0446924207478077</c:v>
                </c:pt>
                <c:pt idx="125">
                  <c:v>2.4442364398138379</c:v>
                </c:pt>
                <c:pt idx="126">
                  <c:v>2.79776932675346</c:v>
                </c:pt>
                <c:pt idx="127">
                  <c:v>3.1049102292441026</c:v>
                </c:pt>
                <c:pt idx="128">
                  <c:v>3.3654578107201303</c:v>
                </c:pt>
                <c:pt idx="129">
                  <c:v>3.5793949953279443</c:v>
                </c:pt>
                <c:pt idx="130">
                  <c:v>3.7468931969115662</c:v>
                </c:pt>
                <c:pt idx="131">
                  <c:v>3.8683159984389914</c:v>
                </c:pt>
                <c:pt idx="132">
                  <c:v>3.9442222477159978</c:v>
                </c:pt>
                <c:pt idx="133">
                  <c:v>3.975368534670412</c:v>
                </c:pt>
                <c:pt idx="134">
                  <c:v>3.9627110149262319</c:v>
                </c:pt>
                <c:pt idx="135">
                  <c:v>3.9074065438233587</c:v>
                </c:pt>
                <c:pt idx="136">
                  <c:v>3.8108130844749981</c:v>
                </c:pt>
                <c:pt idx="137">
                  <c:v>3.6744893528912388</c:v>
                </c:pt>
                <c:pt idx="138">
                  <c:v>3.5001936626335977</c:v>
                </c:pt>
                <c:pt idx="139">
                  <c:v>3.2898819309017222</c:v>
                </c:pt>
                <c:pt idx="140">
                  <c:v>3.0457048073897823</c:v>
                </c:pt>
                <c:pt idx="141">
                  <c:v>2.7700038866864505</c:v>
                </c:pt>
                <c:pt idx="142">
                  <c:v>2.4653069644287156</c:v>
                </c:pt>
                <c:pt idx="143">
                  <c:v>2.1343222968561748</c:v>
                </c:pt>
                <c:pt idx="144">
                  <c:v>1.7799318228487233</c:v>
                </c:pt>
                <c:pt idx="145">
                  <c:v>1.4051833069670407</c:v>
                </c:pt>
                <c:pt idx="146">
                  <c:v>1.0132813614514939</c:v>
                </c:pt>
                <c:pt idx="147">
                  <c:v>0.60757730457157788</c:v>
                </c:pt>
                <c:pt idx="148">
                  <c:v>0.19155781215423798</c:v>
                </c:pt>
                <c:pt idx="149">
                  <c:v>-0.2311676814441001</c:v>
                </c:pt>
                <c:pt idx="150">
                  <c:v>-0.65688087722072308</c:v>
                </c:pt>
                <c:pt idx="151">
                  <c:v>-1.0817698451275144</c:v>
                </c:pt>
                <c:pt idx="152">
                  <c:v>-1.5019456428156914</c:v>
                </c:pt>
                <c:pt idx="153">
                  <c:v>-1.9134603655142188</c:v>
                </c:pt>
                <c:pt idx="154">
                  <c:v>-2.3123266735953201</c:v>
                </c:pt>
                <c:pt idx="155">
                  <c:v>-2.6945388449441339</c:v>
                </c:pt>
                <c:pt idx="156">
                  <c:v>-3.0560953998133069</c:v>
                </c:pt>
                <c:pt idx="157">
                  <c:v>-3.3930233464067894</c:v>
                </c:pt>
                <c:pt idx="158">
                  <c:v>-3.7014040960009402</c:v>
                </c:pt>
                <c:pt idx="159">
                  <c:v>-3.9774010969744817</c:v>
                </c:pt>
                <c:pt idx="160">
                  <c:v>-4.2172892376826638</c:v>
                </c:pt>
                <c:pt idx="161">
                  <c:v>-4.4174860686745134</c:v>
                </c:pt>
                <c:pt idx="162">
                  <c:v>-4.5745848953157697</c:v>
                </c:pt>
                <c:pt idx="163">
                  <c:v>-4.6853897924436776</c:v>
                </c:pt>
                <c:pt idx="164">
                  <c:v>-4.7469525932435417</c:v>
                </c:pt>
                <c:pt idx="165">
                  <c:v>-4.756611905100411</c:v>
                </c:pt>
                <c:pt idx="166">
                  <c:v>-4.7120342057432083</c:v>
                </c:pt>
                <c:pt idx="167">
                  <c:v>-4.6112570735619105</c:v>
                </c:pt>
                <c:pt idx="168">
                  <c:v>-4.4527346065422311</c:v>
                </c:pt>
                <c:pt idx="169">
                  <c:v>-4.2353850848259329</c:v>
                </c:pt>
                <c:pt idx="170">
                  <c:v>-3.9586409324683922</c:v>
                </c:pt>
                <c:pt idx="171">
                  <c:v>-3.622501034528756</c:v>
                </c:pt>
                <c:pt idx="172">
                  <c:v>-3.2275854661916643</c:v>
                </c:pt>
                <c:pt idx="173">
                  <c:v>-2.7751926911831659</c:v>
                </c:pt>
                <c:pt idx="174">
                  <c:v>-2.2673592873071571</c:v>
                </c:pt>
                <c:pt idx="175">
                  <c:v>-1.7069222574921044</c:v>
                </c:pt>
                <c:pt idx="176">
                  <c:v>-1.0975839853016121</c:v>
                </c:pt>
                <c:pt idx="177">
                  <c:v>-0.44397989442623254</c:v>
                </c:pt>
                <c:pt idx="178">
                  <c:v>0.24825112776302904</c:v>
                </c:pt>
                <c:pt idx="179">
                  <c:v>0.97239348195478348</c:v>
                </c:pt>
                <c:pt idx="180">
                  <c:v>1.7205787227226814</c:v>
                </c:pt>
                <c:pt idx="181">
                  <c:v>2.4837064766650956</c:v>
                </c:pt>
                <c:pt idx="182">
                  <c:v>3.2513623505225877</c:v>
                </c:pt>
                <c:pt idx="183">
                  <c:v>4.0117327663753031</c:v>
                </c:pt>
                <c:pt idx="184">
                  <c:v>4.7515166604568613</c:v>
                </c:pt>
                <c:pt idx="185">
                  <c:v>5.4558339815585297</c:v>
                </c:pt>
                <c:pt idx="186">
                  <c:v>6.1081309244340982</c:v>
                </c:pt>
                <c:pt idx="187">
                  <c:v>6.6900818330514289</c:v>
                </c:pt>
                <c:pt idx="188">
                  <c:v>7.1814877079738109</c:v>
                </c:pt>
                <c:pt idx="189">
                  <c:v>7.56017125158988</c:v>
                </c:pt>
                <c:pt idx="190">
                  <c:v>7.8018683843479675</c:v>
                </c:pt>
                <c:pt idx="191">
                  <c:v>7.8801161645863544</c:v>
                </c:pt>
                <c:pt idx="192">
                  <c:v>7.7661370439879676</c:v>
                </c:pt>
                <c:pt idx="193">
                  <c:v>7.4287193901242325</c:v>
                </c:pt>
                <c:pt idx="194">
                  <c:v>6.8340942069875901</c:v>
                </c:pt>
                <c:pt idx="195">
                  <c:v>5.9458079838526707</c:v>
                </c:pt>
                <c:pt idx="196">
                  <c:v>4.7245916022368952</c:v>
                </c:pt>
                <c:pt idx="197">
                  <c:v>3.1282252301723723</c:v>
                </c:pt>
                <c:pt idx="198">
                  <c:v>1.1113991324347232</c:v>
                </c:pt>
                <c:pt idx="199">
                  <c:v>-1.3744296751883418</c:v>
                </c:pt>
                <c:pt idx="200">
                  <c:v>-4.3811850000695074</c:v>
                </c:pt>
              </c:numCache>
            </c:numRef>
          </c:yVal>
          <c:smooth val="1"/>
        </c:ser>
        <c:dLbls>
          <c:showLegendKey val="0"/>
          <c:showVal val="0"/>
          <c:showCatName val="0"/>
          <c:showSerName val="0"/>
          <c:showPercent val="0"/>
          <c:showBubbleSize val="0"/>
        </c:dLbls>
        <c:axId val="451555328"/>
        <c:axId val="452929936"/>
      </c:scatterChart>
      <c:valAx>
        <c:axId val="45155532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929936"/>
        <c:crossesAt val="-1000"/>
        <c:crossBetween val="midCat"/>
      </c:valAx>
      <c:valAx>
        <c:axId val="452929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55532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130</v>
      </c>
    </row>
    <row r="22" spans="1:2" s="11" customFormat="1" x14ac:dyDescent="0.25">
      <c r="A22" s="61" t="s">
        <v>156</v>
      </c>
      <c r="B22" s="99">
        <f>CTE!N8-0.5</f>
        <v>140</v>
      </c>
    </row>
    <row r="23" spans="1:2" s="11" customFormat="1" x14ac:dyDescent="0.25">
      <c r="A23" s="61" t="s">
        <v>157</v>
      </c>
      <c r="B23" s="99">
        <f>CTE!N9</f>
        <v>180.5</v>
      </c>
    </row>
    <row r="24" spans="1:2" s="11" customFormat="1" x14ac:dyDescent="0.25"/>
    <row r="25" spans="1:2" s="11" customFormat="1" x14ac:dyDescent="0.25">
      <c r="A25" s="61" t="s">
        <v>146</v>
      </c>
      <c r="B25" s="53">
        <f>CTE!O5</f>
        <v>2.4163381142857142E-5</v>
      </c>
    </row>
    <row r="26" spans="1:2" s="11" customFormat="1" x14ac:dyDescent="0.25">
      <c r="A26" s="61" t="s">
        <v>147</v>
      </c>
      <c r="B26" s="53">
        <f>CTE!O6</f>
        <v>2.6285482285714284E-5</v>
      </c>
    </row>
    <row r="27" spans="1:2" s="11" customFormat="1" x14ac:dyDescent="0.25">
      <c r="A27" s="61" t="s">
        <v>148</v>
      </c>
      <c r="B27" s="53">
        <f>CTE!O8</f>
        <v>6.8039453714285723E-5</v>
      </c>
    </row>
    <row r="28" spans="1:2" s="11" customFormat="1" x14ac:dyDescent="0.25">
      <c r="A28" s="61" t="s">
        <v>149</v>
      </c>
      <c r="B28" s="53">
        <f>CTE!O9</f>
        <v>6.7913481714285714E-5</v>
      </c>
    </row>
    <row r="29" spans="1:2" s="11" customFormat="1" x14ac:dyDescent="0.25">
      <c r="A29" s="61"/>
    </row>
    <row r="30" spans="1:2" s="11" customFormat="1" x14ac:dyDescent="0.25">
      <c r="A30" s="61" t="s">
        <v>150</v>
      </c>
      <c r="B30" s="52">
        <f>CTE!P5</f>
        <v>2.1265021444444447E-5</v>
      </c>
    </row>
    <row r="31" spans="1:2" s="11" customFormat="1" x14ac:dyDescent="0.25">
      <c r="A31" s="61" t="s">
        <v>151</v>
      </c>
      <c r="B31" s="52">
        <f>CTE!P6</f>
        <v>2.2263357333333333E-5</v>
      </c>
    </row>
    <row r="32" spans="1:2" s="11" customFormat="1" x14ac:dyDescent="0.25">
      <c r="A32" s="61" t="s">
        <v>152</v>
      </c>
      <c r="B32" s="52">
        <f>CTE!P8</f>
        <v>3.7565950000000002E-5</v>
      </c>
    </row>
    <row r="33" spans="1:2" s="11" customFormat="1" x14ac:dyDescent="0.25">
      <c r="A33" s="61" t="s">
        <v>153</v>
      </c>
      <c r="B33" s="52">
        <f>CTE!P9</f>
        <v>3.810576666666667E-5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0.59739868758354531</v>
      </c>
      <c r="D59" s="55">
        <v>1</v>
      </c>
    </row>
    <row r="60" spans="1:4" s="11" customFormat="1" x14ac:dyDescent="0.25">
      <c r="A60" s="54">
        <v>2</v>
      </c>
      <c r="B60" s="56">
        <f>'Shiftfunktion bestimmen'!N2</f>
        <v>-2.0812024934506054E-2</v>
      </c>
      <c r="D60" s="55">
        <v>2</v>
      </c>
    </row>
    <row r="61" spans="1:4" s="11" customFormat="1" x14ac:dyDescent="0.25">
      <c r="A61" s="54">
        <v>3</v>
      </c>
      <c r="B61" s="56">
        <f>'Shiftfunktion bestimmen'!N3</f>
        <v>-2.1071982851047954E-4</v>
      </c>
      <c r="D61" s="55">
        <v>3</v>
      </c>
    </row>
    <row r="62" spans="1:4" s="11" customFormat="1" x14ac:dyDescent="0.25">
      <c r="A62" s="54">
        <v>4</v>
      </c>
      <c r="B62" s="56">
        <f>'Shiftfunktion bestimmen'!N4</f>
        <v>5.919587130831067E-6</v>
      </c>
      <c r="D62" s="55">
        <v>4</v>
      </c>
    </row>
    <row r="63" spans="1:4" s="11" customFormat="1" x14ac:dyDescent="0.25">
      <c r="A63" s="54">
        <v>5</v>
      </c>
      <c r="B63" s="56">
        <f>'Shiftfunktion bestimmen'!N5</f>
        <v>6.1042098919939253E-8</v>
      </c>
      <c r="D63" s="55">
        <v>5</v>
      </c>
    </row>
    <row r="64" spans="1:4" s="11" customFormat="1" x14ac:dyDescent="0.25">
      <c r="A64" s="54">
        <v>6</v>
      </c>
      <c r="B64" s="56">
        <f>'Shiftfunktion bestimmen'!N6</f>
        <v>-4.1178154162140483E-10</v>
      </c>
      <c r="D64" s="55">
        <v>6</v>
      </c>
    </row>
    <row r="65" spans="1:5" s="11" customFormat="1" x14ac:dyDescent="0.25">
      <c r="A65" s="54">
        <v>7</v>
      </c>
      <c r="B65" s="56">
        <f>'Shiftfunktion bestimmen'!N7</f>
        <v>-5.8258702284117547E-12</v>
      </c>
      <c r="D65" s="55">
        <v>7</v>
      </c>
    </row>
    <row r="66" spans="1:5" x14ac:dyDescent="0.25">
      <c r="A66" s="54">
        <v>8</v>
      </c>
      <c r="B66" s="56">
        <f>'Shiftfunktion bestimmen'!N8</f>
        <v>-1.3979192011894637E-14</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2.922969211146003E-2</v>
      </c>
      <c r="D74" s="51">
        <v>1</v>
      </c>
      <c r="E74" s="56">
        <f>'Mastercurve bestimmen'!A18</f>
        <v>1.0000000000000001E-20</v>
      </c>
    </row>
    <row r="75" spans="1:5" x14ac:dyDescent="0.25">
      <c r="A75" s="50">
        <f>A74+1</f>
        <v>2</v>
      </c>
      <c r="B75" s="56">
        <f>'Mastercurve bestimmen'!C19</f>
        <v>4.1218871175731128E-2</v>
      </c>
      <c r="D75" s="51">
        <v>2</v>
      </c>
      <c r="E75" s="56">
        <f>'Mastercurve bestimmen'!A19</f>
        <v>3.9038946506297401E-14</v>
      </c>
    </row>
    <row r="76" spans="1:5" x14ac:dyDescent="0.25">
      <c r="A76" s="50">
        <f t="shared" ref="A76:A104" si="0">A75+1</f>
        <v>3</v>
      </c>
      <c r="B76" s="56">
        <f>'Mastercurve bestimmen'!C20</f>
        <v>8.4181036938707071E-3</v>
      </c>
      <c r="D76" s="51">
        <v>3</v>
      </c>
      <c r="E76" s="56">
        <f>'Mastercurve bestimmen'!A20</f>
        <v>4.3276437088188502E-13</v>
      </c>
    </row>
    <row r="77" spans="1:5" x14ac:dyDescent="0.25">
      <c r="A77" s="50">
        <f t="shared" si="0"/>
        <v>4</v>
      </c>
      <c r="B77" s="56">
        <f>'Mastercurve bestimmen'!C21</f>
        <v>2.0976503056391274E-2</v>
      </c>
      <c r="D77" s="51">
        <v>4</v>
      </c>
      <c r="E77" s="56">
        <f>'Mastercurve bestimmen'!A21</f>
        <v>4.7973886968128502E-12</v>
      </c>
    </row>
    <row r="78" spans="1:5" x14ac:dyDescent="0.25">
      <c r="A78" s="50">
        <f t="shared" si="0"/>
        <v>5</v>
      </c>
      <c r="B78" s="56">
        <f>'Mastercurve bestimmen'!C22</f>
        <v>1.9317071727006741E-2</v>
      </c>
      <c r="D78" s="51">
        <v>5</v>
      </c>
      <c r="E78" s="56">
        <f>'Mastercurve bestimmen'!A22</f>
        <v>5.31812225239524E-11</v>
      </c>
    </row>
    <row r="79" spans="1:5" x14ac:dyDescent="0.25">
      <c r="A79" s="50">
        <f t="shared" si="0"/>
        <v>6</v>
      </c>
      <c r="B79" s="56">
        <f>'Mastercurve bestimmen'!C23</f>
        <v>2.3266135226265444E-2</v>
      </c>
      <c r="D79" s="51">
        <v>6</v>
      </c>
      <c r="E79" s="56">
        <f>'Mastercurve bestimmen'!A23</f>
        <v>5.8953789402578301E-10</v>
      </c>
    </row>
    <row r="80" spans="1:5" x14ac:dyDescent="0.25">
      <c r="A80" s="50">
        <f t="shared" si="0"/>
        <v>7</v>
      </c>
      <c r="B80" s="56">
        <f>'Mastercurve bestimmen'!C24</f>
        <v>2.4702959772386686E-2</v>
      </c>
      <c r="D80" s="51">
        <v>7</v>
      </c>
      <c r="E80" s="56">
        <f>'Mastercurve bestimmen'!A24</f>
        <v>6.5352940755699598E-9</v>
      </c>
    </row>
    <row r="81" spans="1:5" x14ac:dyDescent="0.25">
      <c r="A81" s="50">
        <f t="shared" si="0"/>
        <v>8</v>
      </c>
      <c r="B81" s="56">
        <f>'Mastercurve bestimmen'!C25</f>
        <v>2.7399964951960259E-2</v>
      </c>
      <c r="D81" s="51">
        <v>8</v>
      </c>
      <c r="E81" s="56">
        <f>'Mastercurve bestimmen'!A25</f>
        <v>7.2446689325643296E-8</v>
      </c>
    </row>
    <row r="82" spans="1:5" x14ac:dyDescent="0.25">
      <c r="A82" s="50">
        <f t="shared" si="0"/>
        <v>9</v>
      </c>
      <c r="B82" s="56">
        <f>'Mastercurve bestimmen'!C26</f>
        <v>2.123988007939041E-2</v>
      </c>
      <c r="D82" s="51">
        <f>A82</f>
        <v>9</v>
      </c>
      <c r="E82" s="56">
        <f>'Mastercurve bestimmen'!A26</f>
        <v>8.03104303120212E-7</v>
      </c>
    </row>
    <row r="83" spans="1:5" x14ac:dyDescent="0.25">
      <c r="A83" s="50">
        <f t="shared" si="0"/>
        <v>10</v>
      </c>
      <c r="B83" s="56">
        <f>'Mastercurve bestimmen'!C27</f>
        <v>3.0368902624314728E-2</v>
      </c>
      <c r="C83" s="11"/>
      <c r="D83" s="51">
        <f t="shared" ref="D83:D104" si="1">A83</f>
        <v>10</v>
      </c>
      <c r="E83" s="56">
        <f>'Mastercurve bestimmen'!A27</f>
        <v>8.9027742702096099E-6</v>
      </c>
    </row>
    <row r="84" spans="1:5" x14ac:dyDescent="0.25">
      <c r="A84" s="50">
        <f t="shared" si="0"/>
        <v>11</v>
      </c>
      <c r="B84" s="56">
        <f>'Mastercurve bestimmen'!C28</f>
        <v>3.3612398706551576E-2</v>
      </c>
      <c r="C84" s="11"/>
      <c r="D84" s="51">
        <f t="shared" si="1"/>
        <v>11</v>
      </c>
      <c r="E84" s="56">
        <f>'Mastercurve bestimmen'!A28</f>
        <v>9.86912775817142E-5</v>
      </c>
    </row>
    <row r="85" spans="1:5" x14ac:dyDescent="0.25">
      <c r="A85" s="50">
        <f t="shared" si="0"/>
        <v>12</v>
      </c>
      <c r="B85" s="56">
        <f>'Mastercurve bestimmen'!C29</f>
        <v>3.9048719135874044E-2</v>
      </c>
      <c r="C85" s="11"/>
      <c r="D85" s="51">
        <f t="shared" si="1"/>
        <v>12</v>
      </c>
      <c r="E85" s="56">
        <f>'Mastercurve bestimmen'!A29</f>
        <v>1.0940374286813801E-3</v>
      </c>
    </row>
    <row r="86" spans="1:5" x14ac:dyDescent="0.25">
      <c r="A86" s="50">
        <f t="shared" si="0"/>
        <v>13</v>
      </c>
      <c r="B86" s="56">
        <f>'Mastercurve bestimmen'!C30</f>
        <v>2.2918407051060314E-2</v>
      </c>
      <c r="C86" s="11"/>
      <c r="D86" s="51">
        <f t="shared" si="1"/>
        <v>13</v>
      </c>
      <c r="E86" s="56">
        <f>'Mastercurve bestimmen'!A30</f>
        <v>1.2127899493091E-2</v>
      </c>
    </row>
    <row r="87" spans="1:5" x14ac:dyDescent="0.25">
      <c r="A87" s="50">
        <f t="shared" si="0"/>
        <v>14</v>
      </c>
      <c r="B87" s="56">
        <f>'Mastercurve bestimmen'!C31</f>
        <v>3.3426449186587111E-2</v>
      </c>
      <c r="C87" s="11"/>
      <c r="D87" s="51">
        <f t="shared" si="1"/>
        <v>14</v>
      </c>
      <c r="E87" s="56">
        <f>'Mastercurve bestimmen'!A31</f>
        <v>0.13444324870292301</v>
      </c>
    </row>
    <row r="88" spans="1:5" x14ac:dyDescent="0.25">
      <c r="A88" s="50">
        <f t="shared" si="0"/>
        <v>15</v>
      </c>
      <c r="B88" s="56">
        <f>'Mastercurve bestimmen'!C32</f>
        <v>2.0205659716652863E-2</v>
      </c>
      <c r="C88" s="11"/>
      <c r="D88" s="51">
        <f t="shared" si="1"/>
        <v>15</v>
      </c>
      <c r="E88" s="56">
        <f>'Mastercurve bestimmen'!A32</f>
        <v>1.49036419143257</v>
      </c>
    </row>
    <row r="89" spans="1:5" x14ac:dyDescent="0.25">
      <c r="A89" s="50">
        <f t="shared" si="0"/>
        <v>16</v>
      </c>
      <c r="B89" s="56">
        <f>'Mastercurve bestimmen'!C33</f>
        <v>6.7051690233169634E-2</v>
      </c>
      <c r="C89" s="11"/>
      <c r="D89" s="51">
        <f t="shared" si="1"/>
        <v>16</v>
      </c>
      <c r="E89" s="56">
        <f>'Mastercurve bestimmen'!A33</f>
        <v>16.521360830937301</v>
      </c>
    </row>
    <row r="90" spans="1:5" x14ac:dyDescent="0.25">
      <c r="A90" s="50">
        <f t="shared" si="0"/>
        <v>17</v>
      </c>
      <c r="B90" s="56">
        <f>'Mastercurve bestimmen'!C34</f>
        <v>9.6586583164285408E-2</v>
      </c>
      <c r="C90" s="11"/>
      <c r="D90" s="51">
        <f t="shared" si="1"/>
        <v>17</v>
      </c>
      <c r="E90" s="56">
        <f>'Mastercurve bestimmen'!A34</f>
        <v>183.146753843879</v>
      </c>
    </row>
    <row r="91" spans="1:5" x14ac:dyDescent="0.25">
      <c r="A91" s="50">
        <f t="shared" si="0"/>
        <v>18</v>
      </c>
      <c r="B91" s="56">
        <f>'Mastercurve bestimmen'!C35</f>
        <v>8.375296763869805E-2</v>
      </c>
      <c r="C91" s="11"/>
      <c r="D91" s="51">
        <f t="shared" si="1"/>
        <v>18</v>
      </c>
      <c r="E91" s="56">
        <f>'Mastercurve bestimmen'!A35</f>
        <v>2030.26456396616</v>
      </c>
    </row>
    <row r="92" spans="1:5" x14ac:dyDescent="0.25">
      <c r="A92" s="50">
        <f t="shared" si="0"/>
        <v>19</v>
      </c>
      <c r="B92" s="56">
        <f>'Mastercurve bestimmen'!C36</f>
        <v>5.92468529078687E-2</v>
      </c>
      <c r="C92" s="11"/>
      <c r="D92" s="51">
        <f t="shared" si="1"/>
        <v>19</v>
      </c>
      <c r="E92" s="56">
        <f>'Mastercurve bestimmen'!A36</f>
        <v>22506.400540467101</v>
      </c>
    </row>
    <row r="93" spans="1:5" x14ac:dyDescent="0.25">
      <c r="A93" s="50">
        <f t="shared" si="0"/>
        <v>20</v>
      </c>
      <c r="B93" s="56">
        <f>'Mastercurve bestimmen'!C37</f>
        <v>5.2277759702858778E-2</v>
      </c>
      <c r="C93" s="11"/>
      <c r="D93" s="51">
        <f t="shared" si="1"/>
        <v>20</v>
      </c>
      <c r="E93" s="56">
        <f>'Mastercurve bestimmen'!A37</f>
        <v>249493.62476110301</v>
      </c>
    </row>
    <row r="94" spans="1:5" x14ac:dyDescent="0.25">
      <c r="A94" s="50">
        <f t="shared" si="0"/>
        <v>21</v>
      </c>
      <c r="B94" s="56">
        <f>'Mastercurve bestimmen'!C38</f>
        <v>1.8161564482377511E-2</v>
      </c>
      <c r="C94" s="11"/>
      <c r="D94" s="51">
        <f t="shared" si="1"/>
        <v>21</v>
      </c>
      <c r="E94" s="56">
        <f>'Mastercurve bestimmen'!A38</f>
        <v>2765749.6224023802</v>
      </c>
    </row>
    <row r="95" spans="1:5" x14ac:dyDescent="0.25">
      <c r="A95" s="50">
        <f t="shared" si="0"/>
        <v>22</v>
      </c>
      <c r="B95" s="56">
        <f>'Mastercurve bestimmen'!C39</f>
        <v>4.1021445275655738E-2</v>
      </c>
      <c r="C95" s="11"/>
      <c r="D95" s="51">
        <f t="shared" si="1"/>
        <v>22</v>
      </c>
      <c r="E95" s="56">
        <f>'Mastercurve bestimmen'!A39</f>
        <v>10000000</v>
      </c>
    </row>
    <row r="96" spans="1:5" x14ac:dyDescent="0.25">
      <c r="A96" s="50">
        <f t="shared" si="0"/>
        <v>23</v>
      </c>
      <c r="B96" s="56">
        <f>'Mastercurve bestimmen'!C40</f>
        <v>3.4648052486914098E-2</v>
      </c>
      <c r="C96" s="11"/>
      <c r="D96" s="51">
        <f t="shared" si="1"/>
        <v>23</v>
      </c>
      <c r="E96" s="56">
        <f>'Mastercurve bestimmen'!A40</f>
        <v>100000000</v>
      </c>
    </row>
    <row r="97" spans="1:5" x14ac:dyDescent="0.25">
      <c r="A97" s="50">
        <f t="shared" si="0"/>
        <v>24</v>
      </c>
      <c r="B97" s="56">
        <f>'Mastercurve bestimmen'!C41</f>
        <v>4.29685247400187E-2</v>
      </c>
      <c r="C97" s="11"/>
      <c r="D97" s="51">
        <f t="shared" si="1"/>
        <v>24</v>
      </c>
      <c r="E97" s="56">
        <f>'Mastercurve bestimmen'!A41</f>
        <v>1000000000</v>
      </c>
    </row>
    <row r="98" spans="1:5" x14ac:dyDescent="0.25">
      <c r="A98" s="50">
        <f t="shared" si="0"/>
        <v>25</v>
      </c>
      <c r="B98" s="56">
        <f>'Mastercurve bestimmen'!C42</f>
        <v>3.196768089181086E-2</v>
      </c>
      <c r="C98" s="11"/>
      <c r="D98" s="51">
        <f t="shared" si="1"/>
        <v>25</v>
      </c>
      <c r="E98" s="56">
        <f>'Mastercurve bestimmen'!A42</f>
        <v>10000000000</v>
      </c>
    </row>
    <row r="99" spans="1:5" x14ac:dyDescent="0.25">
      <c r="A99" s="50">
        <f t="shared" si="0"/>
        <v>26</v>
      </c>
      <c r="B99" s="56">
        <f>'Mastercurve bestimmen'!C43</f>
        <v>2.6004568036228887E-2</v>
      </c>
      <c r="C99" s="11"/>
      <c r="D99" s="51">
        <f t="shared" si="1"/>
        <v>26</v>
      </c>
      <c r="E99" s="56">
        <f>'Mastercurve bestimmen'!A43</f>
        <v>100000000000</v>
      </c>
    </row>
    <row r="100" spans="1:5" x14ac:dyDescent="0.25">
      <c r="A100" s="50">
        <f t="shared" si="0"/>
        <v>27</v>
      </c>
      <c r="B100" s="56">
        <f>'Mastercurve bestimmen'!C44</f>
        <v>1.2402397350398719E-2</v>
      </c>
      <c r="C100" s="11"/>
      <c r="D100" s="51">
        <f t="shared" si="1"/>
        <v>27</v>
      </c>
      <c r="E100" s="56">
        <f>'Mastercurve bestimmen'!A44</f>
        <v>1000000000000</v>
      </c>
    </row>
    <row r="101" spans="1:5" x14ac:dyDescent="0.25">
      <c r="A101" s="50">
        <f t="shared" si="0"/>
        <v>28</v>
      </c>
      <c r="B101" s="56">
        <f>'Mastercurve bestimmen'!C45</f>
        <v>6.9977833887187504E-3</v>
      </c>
      <c r="C101" s="11"/>
      <c r="D101" s="51">
        <f t="shared" si="1"/>
        <v>28</v>
      </c>
      <c r="E101" s="56">
        <f>'Mastercurve bestimmen'!A45</f>
        <v>10000000000000</v>
      </c>
    </row>
    <row r="102" spans="1:5" x14ac:dyDescent="0.25">
      <c r="A102" s="50">
        <f t="shared" si="0"/>
        <v>29</v>
      </c>
      <c r="B102" s="56">
        <f>'Mastercurve bestimmen'!C46</f>
        <v>3.0140050054937094E-3</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1.1678404493635967E-2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18946.322</v>
      </c>
    </row>
    <row r="108" spans="1:5" s="11" customFormat="1" x14ac:dyDescent="0.25">
      <c r="A108" s="61" t="str">
        <f>STUTT!B3</f>
        <v>mp,PRXY,MatID,</v>
      </c>
      <c r="B108" s="52">
        <f>STUTT!C3</f>
        <v>0.27492274999999999</v>
      </c>
    </row>
    <row r="109" spans="1:5" s="11" customFormat="1" x14ac:dyDescent="0.25">
      <c r="A109" s="61" t="str">
        <f>STUTT!B4</f>
        <v>mp,ey,MatID,</v>
      </c>
      <c r="B109" s="52">
        <f>STUTT!C4</f>
        <v>25113.767</v>
      </c>
    </row>
    <row r="110" spans="1:5" s="11" customFormat="1" x14ac:dyDescent="0.25">
      <c r="A110" s="61" t="str">
        <f>STUTT!B5</f>
        <v>mp,PRYZ,MatID,</v>
      </c>
      <c r="B110" s="52">
        <f>STUTT!C5</f>
        <v>0.36447574999999999</v>
      </c>
    </row>
    <row r="111" spans="1:5" s="11" customFormat="1" x14ac:dyDescent="0.25">
      <c r="A111" s="61" t="str">
        <f>STUTT!B6</f>
        <v>mp,ez,MatID,</v>
      </c>
      <c r="B111" s="52">
        <f>STUTT!C6</f>
        <v>18946.322</v>
      </c>
    </row>
    <row r="112" spans="1:5" s="11" customFormat="1" x14ac:dyDescent="0.25">
      <c r="A112" s="61" t="str">
        <f>STUTT!B7</f>
        <v>mp,PRXZ,MatID,</v>
      </c>
      <c r="B112" s="52">
        <f>STUTT!C7</f>
        <v>0.35477789999999998</v>
      </c>
    </row>
    <row r="113" spans="1:4" s="11" customFormat="1" x14ac:dyDescent="0.25">
      <c r="A113" s="61" t="str">
        <f>STUTT!B8</f>
        <v>MP,GXZ,</v>
      </c>
      <c r="B113" s="52" t="str">
        <f>STUTT!C8</f>
        <v>MatID,</v>
      </c>
      <c r="C113" s="112">
        <f>STUTT!D8</f>
        <v>6992.4087</v>
      </c>
      <c r="D113" s="112"/>
    </row>
    <row r="114" spans="1:4" s="11" customFormat="1" x14ac:dyDescent="0.25">
      <c r="A114" s="61" t="str">
        <f>STUTT!B9</f>
        <v>MP,GXY,</v>
      </c>
      <c r="B114" s="52" t="str">
        <f>STUTT!C9</f>
        <v>MatID,</v>
      </c>
      <c r="C114" s="112">
        <f>STUTT!D9</f>
        <v>9035.3351999999995</v>
      </c>
      <c r="D114" s="112"/>
    </row>
    <row r="115" spans="1:4" x14ac:dyDescent="0.25">
      <c r="A115" s="61" t="str">
        <f>STUTT!B10</f>
        <v>MP,GYZ,</v>
      </c>
      <c r="B115" s="52" t="str">
        <f>STUTT!C10</f>
        <v>MatID,</v>
      </c>
      <c r="C115" s="112">
        <f>STUTT!D10</f>
        <v>9035.3351999999995</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-1.973E-7</v>
      </c>
      <c r="C3" s="3">
        <v>2.4930000000000001E-6</v>
      </c>
      <c r="D3" s="3">
        <v>-1.973E-7</v>
      </c>
      <c r="E3" s="3">
        <v>-1.3499999999999999E-5</v>
      </c>
      <c r="F3" s="3">
        <v>-1.3499999999999999E-5</v>
      </c>
      <c r="G3" s="3">
        <v>-1.3499999999999999E-5</v>
      </c>
      <c r="H3" s="3">
        <v>-2.1161738999999999E-6</v>
      </c>
      <c r="I3" s="3">
        <v>-9.5446578000000009E-7</v>
      </c>
      <c r="J3" s="3">
        <v>-2.1161738999999999E-6</v>
      </c>
      <c r="L3" s="48">
        <f>ABS(H3/(-0.5)/$L$1)</f>
        <v>2.4184844571428572E-5</v>
      </c>
      <c r="R3">
        <f>ABS(I3/(-0.5)/$R$1)</f>
        <v>2.1210350666666669E-5</v>
      </c>
    </row>
    <row r="4" spans="1:18" x14ac:dyDescent="0.25">
      <c r="A4">
        <v>-39</v>
      </c>
      <c r="B4" s="3">
        <v>1.9719999999999999E-7</v>
      </c>
      <c r="C4" s="3">
        <v>-2.4930000000000001E-6</v>
      </c>
      <c r="D4" s="3">
        <v>1.9719999999999999E-7</v>
      </c>
      <c r="E4" s="3">
        <v>1.3499999999999999E-5</v>
      </c>
      <c r="F4" s="3">
        <v>1.3499999999999999E-5</v>
      </c>
      <c r="G4" s="3">
        <v>1.3499999999999999E-5</v>
      </c>
      <c r="H4" s="3">
        <v>2.1161285999999999E-6</v>
      </c>
      <c r="I4" s="3">
        <v>9.5452484000000003E-7</v>
      </c>
      <c r="J4" s="3">
        <v>2.1161285999999999E-6</v>
      </c>
      <c r="L4" s="48">
        <f t="shared" ref="L4:L14" si="0">ABS(H4/(-0.5)/$L$1)</f>
        <v>2.4184326857142857E-5</v>
      </c>
      <c r="N4" s="39" t="s">
        <v>27</v>
      </c>
      <c r="O4" s="39" t="s">
        <v>130</v>
      </c>
      <c r="P4" s="85" t="s">
        <v>131</v>
      </c>
      <c r="R4" s="11">
        <f t="shared" ref="R4:R14" si="1">ABS(I4/(-0.5)/$R$1)</f>
        <v>2.1211663111111113E-5</v>
      </c>
    </row>
    <row r="5" spans="1:18" x14ac:dyDescent="0.25">
      <c r="A5">
        <v>0</v>
      </c>
      <c r="B5" s="3">
        <v>-1.9219999999999999E-7</v>
      </c>
      <c r="C5" s="3">
        <v>2.4719999999999998E-6</v>
      </c>
      <c r="D5" s="3">
        <v>-1.9219999999999999E-7</v>
      </c>
      <c r="E5" s="3">
        <v>-1.3499999999999999E-5</v>
      </c>
      <c r="F5" s="3">
        <v>-1.3499999999999999E-5</v>
      </c>
      <c r="G5" s="3">
        <v>-1.3499999999999999E-5</v>
      </c>
      <c r="H5" s="3">
        <v>-2.1143196000000002E-6</v>
      </c>
      <c r="I5" s="3">
        <v>-9.5689469999999994E-7</v>
      </c>
      <c r="J5" s="3">
        <v>-2.1143196000000002E-6</v>
      </c>
      <c r="L5" s="48">
        <f t="shared" si="0"/>
        <v>2.4163652571428575E-5</v>
      </c>
      <c r="M5" s="48"/>
      <c r="N5" s="10">
        <f>(INDEX(A:A,ROW(A2)*2+1)+INDEX(A:A,ROW(A2)*2+2))/2</f>
        <v>0.5</v>
      </c>
      <c r="O5" s="89">
        <f>(INDEX(L:L,ROW(L2)*2+1)+INDEX(L:L,ROW(L2)*2+2))/2</f>
        <v>2.4163381142857142E-5</v>
      </c>
      <c r="P5" s="89">
        <f>(INDEX(R:R,ROW(M2)*2+1)+INDEX(R:R,ROW(R2)*2+2))/2</f>
        <v>2.1265021444444447E-5</v>
      </c>
      <c r="R5" s="11">
        <f t="shared" si="1"/>
        <v>2.1264326666666666E-5</v>
      </c>
    </row>
    <row r="6" spans="1:18" x14ac:dyDescent="0.25">
      <c r="A6">
        <v>1</v>
      </c>
      <c r="B6" s="3">
        <v>1.92E-7</v>
      </c>
      <c r="C6" s="3">
        <v>-2.4710000000000001E-6</v>
      </c>
      <c r="D6" s="3">
        <v>1.92E-7</v>
      </c>
      <c r="E6" s="3">
        <v>1.3499999999999999E-5</v>
      </c>
      <c r="F6" s="3">
        <v>1.3499999999999999E-5</v>
      </c>
      <c r="G6" s="3">
        <v>1.3499999999999999E-5</v>
      </c>
      <c r="H6" s="3">
        <v>2.1142720999999998E-6</v>
      </c>
      <c r="I6" s="3">
        <v>9.5695722999999997E-7</v>
      </c>
      <c r="J6" s="3">
        <v>2.1142720999999998E-6</v>
      </c>
      <c r="L6" s="48">
        <f t="shared" si="0"/>
        <v>2.4163109714285714E-5</v>
      </c>
      <c r="M6" s="49"/>
      <c r="N6" s="10">
        <f>(INDEX(A:A,ROW(A3)*2+1)+INDEX(A:A,ROW(A3)*2+2))/2</f>
        <v>130.5</v>
      </c>
      <c r="O6" s="89">
        <f t="shared" ref="O6:O7" si="2">(INDEX(L:L,ROW(L3)*2+1)+INDEX(L:L,ROW(L3)*2+2))/2</f>
        <v>2.6285482285714284E-5</v>
      </c>
      <c r="P6" s="89">
        <f t="shared" ref="P6:P9" si="3">(INDEX(R:R,ROW(M3)*2+1)+INDEX(R:R,ROW(R3)*2+2))/2</f>
        <v>2.2263357333333333E-5</v>
      </c>
      <c r="R6" s="11">
        <f t="shared" si="1"/>
        <v>2.1265716222222223E-5</v>
      </c>
    </row>
    <row r="7" spans="1:18" x14ac:dyDescent="0.25">
      <c r="A7">
        <v>130</v>
      </c>
      <c r="B7" s="3">
        <v>-2.8169999999999999E-7</v>
      </c>
      <c r="C7" s="3">
        <v>3.0639999999999998E-6</v>
      </c>
      <c r="D7" s="3">
        <v>-2.8169999999999999E-7</v>
      </c>
      <c r="E7" s="3">
        <v>-1.435E-5</v>
      </c>
      <c r="F7" s="3">
        <v>-1.435E-5</v>
      </c>
      <c r="G7" s="3">
        <v>-1.435E-5</v>
      </c>
      <c r="H7" s="3">
        <v>-2.2037995999999998E-6</v>
      </c>
      <c r="I7" s="3">
        <v>-9.8383106000000002E-7</v>
      </c>
      <c r="J7" s="3">
        <v>-2.2037995999999998E-6</v>
      </c>
      <c r="L7" s="48">
        <f t="shared" si="0"/>
        <v>2.5186281142857142E-5</v>
      </c>
      <c r="M7" s="48"/>
      <c r="N7" s="10">
        <f>(INDEX(A:A,ROW(A4)*2+1)+INDEX(A:A,ROW(A4)*2+2))/2</f>
        <v>135.5</v>
      </c>
      <c r="O7" s="89">
        <f t="shared" si="2"/>
        <v>4.8267398857142861E-5</v>
      </c>
      <c r="P7" s="89">
        <f t="shared" si="3"/>
        <v>3.0288797777777777E-5</v>
      </c>
      <c r="R7" s="11">
        <f t="shared" si="1"/>
        <v>2.1862912444444445E-5</v>
      </c>
    </row>
    <row r="8" spans="1:18" x14ac:dyDescent="0.25">
      <c r="A8">
        <v>131</v>
      </c>
      <c r="B8" s="3">
        <v>4.9790000000000003E-7</v>
      </c>
      <c r="C8" s="3">
        <v>-4.4059999999999998E-6</v>
      </c>
      <c r="D8" s="3">
        <v>4.9790000000000003E-7</v>
      </c>
      <c r="E8" s="3">
        <v>1.605E-5</v>
      </c>
      <c r="F8" s="3">
        <v>1.605E-5</v>
      </c>
      <c r="G8" s="3">
        <v>1.605E-5</v>
      </c>
      <c r="H8" s="3">
        <v>2.3961597999999999E-6</v>
      </c>
      <c r="I8" s="3">
        <v>1.0198711E-6</v>
      </c>
      <c r="J8" s="3">
        <v>2.3961597999999999E-6</v>
      </c>
      <c r="L8" s="48">
        <f t="shared" si="0"/>
        <v>2.738468342857143E-5</v>
      </c>
      <c r="M8" s="49"/>
      <c r="N8" s="10">
        <f>(INDEX(A:A,ROW(A5)*2+1)+INDEX(A:A,ROW(A5)*2+2))/2</f>
        <v>140.5</v>
      </c>
      <c r="O8" s="89">
        <f t="shared" ref="O8:O9" si="4">(INDEX(L:L,ROW(L5)*2+1)+INDEX(L:L,ROW(L5)*2+2))/2</f>
        <v>6.8039453714285723E-5</v>
      </c>
      <c r="P8" s="89">
        <f t="shared" si="3"/>
        <v>3.7565950000000002E-5</v>
      </c>
      <c r="R8" s="11">
        <f t="shared" si="1"/>
        <v>2.2663802222222221E-5</v>
      </c>
    </row>
    <row r="9" spans="1:18" x14ac:dyDescent="0.25">
      <c r="A9">
        <v>135</v>
      </c>
      <c r="B9" s="3">
        <v>-2.4430000000000002E-6</v>
      </c>
      <c r="C9" s="3">
        <v>1.6480000000000001E-5</v>
      </c>
      <c r="D9" s="3">
        <v>-2.4430000000000002E-6</v>
      </c>
      <c r="E9" s="3">
        <v>-3.1350000000000003E-5</v>
      </c>
      <c r="F9" s="3">
        <v>-3.1350000000000003E-5</v>
      </c>
      <c r="G9" s="3">
        <v>-3.1350000000000003E-5</v>
      </c>
      <c r="H9" s="3">
        <v>-4.1272953999999997E-6</v>
      </c>
      <c r="I9" s="3">
        <v>-1.3447875999999999E-6</v>
      </c>
      <c r="J9" s="3">
        <v>-4.1272953999999997E-6</v>
      </c>
      <c r="L9" s="48">
        <f t="shared" si="0"/>
        <v>4.7169090285714284E-5</v>
      </c>
      <c r="M9" s="48"/>
      <c r="N9" s="10">
        <f>(INDEX(A:A,ROW(A6)*2+1)+INDEX(A:A,ROW(A6)*2+2))/2</f>
        <v>180.5</v>
      </c>
      <c r="O9" s="89">
        <f t="shared" si="4"/>
        <v>6.7913481714285714E-5</v>
      </c>
      <c r="P9" s="89">
        <f t="shared" si="3"/>
        <v>3.810576666666667E-5</v>
      </c>
      <c r="R9" s="11">
        <f t="shared" si="1"/>
        <v>2.9884168888888887E-5</v>
      </c>
    </row>
    <row r="10" spans="1:18" x14ac:dyDescent="0.25">
      <c r="A10">
        <v>136</v>
      </c>
      <c r="B10" s="3">
        <v>2.6579999999999998E-6</v>
      </c>
      <c r="C10" s="3">
        <v>-1.7819999999999999E-5</v>
      </c>
      <c r="D10" s="3">
        <v>2.6579999999999998E-6</v>
      </c>
      <c r="E10" s="3">
        <v>3.3049999999999997E-5</v>
      </c>
      <c r="F10" s="3">
        <v>3.3049999999999997E-5</v>
      </c>
      <c r="G10" s="3">
        <v>3.3049999999999997E-5</v>
      </c>
      <c r="H10" s="3">
        <v>4.3194994000000003E-6</v>
      </c>
      <c r="I10" s="3">
        <v>1.3812042E-6</v>
      </c>
      <c r="J10" s="3">
        <v>4.3194994000000003E-6</v>
      </c>
      <c r="L10" s="48">
        <f t="shared" si="0"/>
        <v>4.9365707428571437E-5</v>
      </c>
      <c r="M10" s="49"/>
      <c r="N10" s="10"/>
      <c r="O10" s="3"/>
      <c r="R10" s="11">
        <f t="shared" si="1"/>
        <v>3.0693426666666671E-5</v>
      </c>
    </row>
    <row r="11" spans="1:18" x14ac:dyDescent="0.25">
      <c r="A11">
        <v>140</v>
      </c>
      <c r="B11" s="3">
        <v>-4.4920000000000004E-6</v>
      </c>
      <c r="C11" s="3">
        <v>2.9200000000000002E-5</v>
      </c>
      <c r="D11" s="3">
        <v>-4.4920000000000004E-6</v>
      </c>
      <c r="E11" s="3">
        <v>-4.7500000000000003E-5</v>
      </c>
      <c r="F11" s="3">
        <v>-4.7500000000000003E-5</v>
      </c>
      <c r="G11" s="3">
        <v>-4.7500000000000003E-5</v>
      </c>
      <c r="H11" s="3">
        <v>-5.9535860000000001E-6</v>
      </c>
      <c r="I11" s="3">
        <v>-1.6901754000000001E-6</v>
      </c>
      <c r="J11" s="3">
        <v>-5.9535860000000001E-6</v>
      </c>
      <c r="L11" s="48">
        <f t="shared" si="0"/>
        <v>6.804098285714286E-5</v>
      </c>
      <c r="M11" s="48"/>
      <c r="N11" s="10"/>
      <c r="O11" s="3"/>
      <c r="R11" s="11">
        <f t="shared" si="1"/>
        <v>3.7559453333333333E-5</v>
      </c>
    </row>
    <row r="12" spans="1:18" x14ac:dyDescent="0.25">
      <c r="A12">
        <v>141</v>
      </c>
      <c r="B12" s="3">
        <v>4.4909999999999999E-6</v>
      </c>
      <c r="C12" s="3">
        <v>-2.919E-5</v>
      </c>
      <c r="D12" s="3">
        <v>4.4909999999999999E-6</v>
      </c>
      <c r="E12" s="3">
        <v>4.7500000000000003E-5</v>
      </c>
      <c r="F12" s="3">
        <v>4.7500000000000003E-5</v>
      </c>
      <c r="G12" s="3">
        <v>4.7500000000000003E-5</v>
      </c>
      <c r="H12" s="3">
        <v>5.9533184000000001E-6</v>
      </c>
      <c r="I12" s="3">
        <v>1.6907601000000001E-6</v>
      </c>
      <c r="J12" s="3">
        <v>5.9533184000000001E-6</v>
      </c>
      <c r="L12" s="48">
        <f t="shared" si="0"/>
        <v>6.8037924571428572E-5</v>
      </c>
      <c r="M12" s="49"/>
      <c r="N12" s="10"/>
      <c r="O12" s="3"/>
      <c r="R12" s="11">
        <f t="shared" si="1"/>
        <v>3.7572446666666672E-5</v>
      </c>
    </row>
    <row r="13" spans="1:18" x14ac:dyDescent="0.25">
      <c r="A13">
        <v>180</v>
      </c>
      <c r="B13" s="3">
        <v>-4.4519999999999999E-6</v>
      </c>
      <c r="C13" s="3">
        <v>2.8969999999999999E-5</v>
      </c>
      <c r="D13" s="3">
        <v>-4.4519999999999999E-6</v>
      </c>
      <c r="E13" s="3">
        <v>-4.7500000000000003E-5</v>
      </c>
      <c r="F13" s="3">
        <v>-4.7500000000000003E-5</v>
      </c>
      <c r="G13" s="3">
        <v>-4.7500000000000003E-5</v>
      </c>
      <c r="H13" s="3">
        <v>-5.9425716999999999E-6</v>
      </c>
      <c r="I13" s="3">
        <v>-1.714444E-6</v>
      </c>
      <c r="J13" s="3">
        <v>-5.9425716999999999E-6</v>
      </c>
      <c r="L13" s="48">
        <f t="shared" si="0"/>
        <v>6.7915105142857151E-5</v>
      </c>
      <c r="M13" s="48"/>
      <c r="N13" s="10"/>
      <c r="O13" s="3"/>
      <c r="R13" s="11">
        <f t="shared" si="1"/>
        <v>3.809875555555556E-5</v>
      </c>
    </row>
    <row r="14" spans="1:18" x14ac:dyDescent="0.25">
      <c r="A14" s="11">
        <v>181</v>
      </c>
      <c r="B14" s="3">
        <v>4.4510000000000002E-6</v>
      </c>
      <c r="C14" s="3">
        <v>-2.8969999999999999E-5</v>
      </c>
      <c r="D14" s="3">
        <v>4.4510000000000002E-6</v>
      </c>
      <c r="E14" s="3">
        <v>4.7500000000000003E-5</v>
      </c>
      <c r="F14" s="3">
        <v>4.7500000000000003E-5</v>
      </c>
      <c r="G14" s="3">
        <v>4.7500000000000003E-5</v>
      </c>
      <c r="H14" s="3">
        <v>5.9422875999999998E-6</v>
      </c>
      <c r="I14" s="3">
        <v>1.715075E-6</v>
      </c>
      <c r="J14" s="3">
        <v>5.9422875999999998E-6</v>
      </c>
      <c r="L14" s="48">
        <f t="shared" si="0"/>
        <v>6.7911858285714291E-5</v>
      </c>
      <c r="M14" s="49"/>
      <c r="N14" s="10"/>
      <c r="O14" s="3"/>
      <c r="R14" s="11">
        <f t="shared" si="1"/>
        <v>3.8112777777777781E-5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18946.322</v>
      </c>
    </row>
    <row r="3" spans="2:4" x14ac:dyDescent="0.25">
      <c r="B3" t="s">
        <v>118</v>
      </c>
      <c r="C3" s="3">
        <v>0.27492274999999999</v>
      </c>
    </row>
    <row r="4" spans="2:4" x14ac:dyDescent="0.25">
      <c r="B4" t="s">
        <v>119</v>
      </c>
      <c r="C4" s="3">
        <v>25113.767</v>
      </c>
    </row>
    <row r="5" spans="2:4" x14ac:dyDescent="0.25">
      <c r="B5" t="s">
        <v>120</v>
      </c>
      <c r="C5" s="3">
        <v>0.36447574999999999</v>
      </c>
    </row>
    <row r="6" spans="2:4" x14ac:dyDescent="0.25">
      <c r="B6" t="s">
        <v>121</v>
      </c>
      <c r="C6" s="3">
        <v>18946.322</v>
      </c>
    </row>
    <row r="7" spans="2:4" x14ac:dyDescent="0.25">
      <c r="B7" t="s">
        <v>122</v>
      </c>
      <c r="C7" s="3">
        <v>0.35477789999999998</v>
      </c>
    </row>
    <row r="8" spans="2:4" x14ac:dyDescent="0.25">
      <c r="B8" t="s">
        <v>123</v>
      </c>
      <c r="C8" t="s">
        <v>124</v>
      </c>
      <c r="D8" s="3">
        <v>6992.4087</v>
      </c>
    </row>
    <row r="9" spans="2:4" x14ac:dyDescent="0.25">
      <c r="B9" t="s">
        <v>125</v>
      </c>
      <c r="C9" t="s">
        <v>124</v>
      </c>
      <c r="D9" s="3">
        <v>9035.3351999999995</v>
      </c>
    </row>
    <row r="10" spans="2:4" x14ac:dyDescent="0.25">
      <c r="B10" t="s">
        <v>126</v>
      </c>
      <c r="C10" t="s">
        <v>124</v>
      </c>
      <c r="D10" s="3">
        <v>9035.3351999999995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-5.2026789142857141E-4</v>
      </c>
      <c r="C3" s="2">
        <f>IF('Modell einstellen'!$B$2="Ja",creep_res0!O3,creep_res0!C3)</f>
        <v>-5.2482441714285716E-4</v>
      </c>
      <c r="D3" s="2">
        <f>IF('Modell einstellen'!$B$2="Ja",creep_res25!O3,creep_res25!C3)</f>
        <v>-5.2781071428571432E-4</v>
      </c>
      <c r="E3" s="2">
        <f>IF('Modell einstellen'!$B$2="Ja",creep_res50!O3,creep_res50!C3)</f>
        <v>-5.3091504571428573E-4</v>
      </c>
      <c r="F3" s="2">
        <f>IF('Modell einstellen'!$B$2="Ja",creep_res80!O3,creep_res80!C3)</f>
        <v>-5.3875919428571434E-4</v>
      </c>
      <c r="G3" s="2">
        <f>IF('Modell einstellen'!$B$2="Ja",creep_res125!O3,creep_res125!C3)</f>
        <v>-6.2079731428571429E-4</v>
      </c>
      <c r="H3" s="2">
        <f>IF('Modell einstellen'!$B$2="Ja",creep_res160!O3,creep_res160!C3)</f>
        <v>-7.5780891428571431E-4</v>
      </c>
      <c r="M3" s="9">
        <f>-10</f>
        <v>-10</v>
      </c>
      <c r="N3" s="2">
        <f t="shared" ref="N3:N33" si="4">A3</f>
        <v>1.0000000000000001E-15</v>
      </c>
      <c r="O3" s="2">
        <f t="shared" ref="O3:O33" si="5">$M$3/B3</f>
        <v>19220.867104717185</v>
      </c>
      <c r="P3" s="2">
        <f t="shared" ref="P3:P33" si="6">$M$3/C3</f>
        <v>19053.991531948868</v>
      </c>
      <c r="Q3" s="2">
        <f t="shared" ref="Q3:Q33" si="7">$M$3/D3</f>
        <v>18946.186065080146</v>
      </c>
      <c r="R3" s="2">
        <f>$M$3/E3</f>
        <v>18835.405175881086</v>
      </c>
      <c r="S3" s="2">
        <f t="shared" ref="S3:S33" si="8">$M$3/F3</f>
        <v>18561.168154648341</v>
      </c>
      <c r="T3" s="2">
        <f t="shared" ref="T3:T33" si="9">$M$3/G3</f>
        <v>16108.317110723878</v>
      </c>
      <c r="U3" s="2">
        <f t="shared" ref="U3:U33" si="10">$M$3/H3</f>
        <v>13195.938727410814</v>
      </c>
      <c r="W3" s="2">
        <v>18599.275035544593</v>
      </c>
      <c r="Z3" s="2">
        <v>1.0000000000000001E-15</v>
      </c>
      <c r="AA3" s="3">
        <f>IF('Modell einstellen'!$B$2="Ja",'creep_res-40'!P3,'creep_res-40'!L3)</f>
        <v>0.35489597935815076</v>
      </c>
      <c r="AB3" s="2">
        <f>IF('Modell einstellen'!$B$2="Ja",creep_res0!P3,creep_res0!L3)</f>
        <v>0.35482118738094864</v>
      </c>
      <c r="AC3" s="2">
        <f>IF('Modell einstellen'!$B$2="Ja",creep_res25!P3,creep_res25!L3)</f>
        <v>0.35477058198623695</v>
      </c>
      <c r="AD3" s="2">
        <f>IF('Modell einstellen'!$B$2="Ja",creep_res50!P3,creep_res50!L3)</f>
        <v>0.35471875817893839</v>
      </c>
      <c r="AE3" s="2">
        <f>IF('Modell einstellen'!$B$2="Ja",creep_res80!P3,creep_res80!L3)</f>
        <v>0.35669424279974371</v>
      </c>
      <c r="AF3" s="2">
        <f>IF('Modell einstellen'!$B$2="Ja",creep_res125!P3,creep_res125!L3)</f>
        <v>0.39427561036024372</v>
      </c>
      <c r="AG3" s="2">
        <f>IF('Modell einstellen'!$B$2="Ja",creep_res160!P3,creep_res160!L3)</f>
        <v>0.45450490496812768</v>
      </c>
      <c r="AL3" s="2">
        <f t="shared" ref="AL3:AL33" si="11">Z3</f>
        <v>1.0000000000000001E-15</v>
      </c>
      <c r="AM3" s="2">
        <f t="shared" ref="AM3:AM33" si="12">O3/(2*(1+AA3))</f>
        <v>7093.1154116431162</v>
      </c>
      <c r="AN3" s="2">
        <f t="shared" ref="AN3:AN33" si="13">P3/(2*(1+AB3))</f>
        <v>7031.9211529245395</v>
      </c>
      <c r="AO3" s="2">
        <f t="shared" ref="AO3:AO33" si="14">Q3/(2*(1+AC3))</f>
        <v>6992.3964680806075</v>
      </c>
      <c r="AP3" s="2">
        <f t="shared" ref="AP3:AP33" si="15">R3/(2*(1+AD3))</f>
        <v>6951.7769139036336</v>
      </c>
      <c r="AQ3" s="2">
        <f t="shared" ref="AQ3:AQ33" si="16">S3/(2*(1+AE3))</f>
        <v>6840.5863197092085</v>
      </c>
      <c r="AR3" s="2">
        <f t="shared" ref="AR3:AR33" si="17">T3/(2*(1+AF3))</f>
        <v>5776.5900052436255</v>
      </c>
      <c r="AS3" s="2">
        <f t="shared" ref="AS3:AS33" si="18">U3/(2*(1+AG3))</f>
        <v>4536.230397827354</v>
      </c>
      <c r="AX3" s="2">
        <f>AL3</f>
        <v>1.0000000000000001E-15</v>
      </c>
      <c r="AY3" s="37">
        <f t="shared" ref="AY3:AY33" si="19">O3/(3*(1-(2*AA3)))</f>
        <v>22077.11293330136</v>
      </c>
      <c r="AZ3" s="37">
        <f t="shared" ref="AZ3:AZ33" si="20">P3/(3*(1-(2*AB3)))</f>
        <v>21874.164680336275</v>
      </c>
      <c r="BA3" s="37">
        <f t="shared" ref="BA3:BA33" si="21">Q3/(3*(1-(2*AC3)))</f>
        <v>21742.824013893041</v>
      </c>
      <c r="BB3" s="37">
        <f t="shared" ref="BB3:BB33" si="22">R3/(3*(1-(2*AD3)))</f>
        <v>21607.980195039068</v>
      </c>
      <c r="BC3" s="37">
        <f t="shared" ref="BC3:BC33" si="23">S3/(3*(1-(2*AE3)))</f>
        <v>21586.906808299471</v>
      </c>
      <c r="BD3" s="37">
        <f t="shared" ref="BD3:BD33" si="24">T3/(3*(1-(2*AF3)))</f>
        <v>25393.568386649978</v>
      </c>
      <c r="BE3" s="37">
        <f t="shared" ref="BE3:BE33" si="25">U3/(3*(1-(2*AG3)))</f>
        <v>48341.983233453284</v>
      </c>
    </row>
    <row r="4" spans="1:308" x14ac:dyDescent="0.25">
      <c r="A4" s="2">
        <f>'creep_res-40'!A4</f>
        <v>1E-14</v>
      </c>
      <c r="B4" s="3">
        <f>'creep_res-40'!O4</f>
        <v>-5.2026033714285718E-4</v>
      </c>
      <c r="C4" s="2">
        <f>IF('Modell einstellen'!$B$2="Ja",creep_res0!O4,creep_res0!C4)</f>
        <v>-5.2481664571428575E-4</v>
      </c>
      <c r="D4" s="2">
        <f>IF('Modell einstellen'!$B$2="Ja",creep_res25!O4,creep_res25!C4)</f>
        <v>-5.2780317142857151E-4</v>
      </c>
      <c r="E4" s="2">
        <f>IF('Modell einstellen'!$B$2="Ja",creep_res50!O4,creep_res50!C4)</f>
        <v>-5.3097552000000003E-4</v>
      </c>
      <c r="F4" s="2">
        <f>IF('Modell einstellen'!$B$2="Ja",creep_res80!O4,creep_res80!C4)</f>
        <v>-5.5183846857142854E-4</v>
      </c>
      <c r="G4" s="2">
        <f>IF('Modell einstellen'!$B$2="Ja",creep_res125!O4,creep_res125!C4)</f>
        <v>-6.3928611428571433E-4</v>
      </c>
      <c r="H4" s="2">
        <f>IF('Modell einstellen'!$B$2="Ja",creep_res160!O4,creep_res160!C4)</f>
        <v>-7.9098565714285718E-4</v>
      </c>
      <c r="M4" s="9">
        <f t="shared" ref="M4:M32" si="26">M3</f>
        <v>-10</v>
      </c>
      <c r="N4" s="2">
        <f t="shared" si="4"/>
        <v>1E-14</v>
      </c>
      <c r="O4" s="2">
        <f t="shared" si="5"/>
        <v>19221.146195609606</v>
      </c>
      <c r="P4" s="2">
        <f t="shared" si="6"/>
        <v>19054.273681410777</v>
      </c>
      <c r="Q4" s="2">
        <f t="shared" si="7"/>
        <v>18946.45682581564</v>
      </c>
      <c r="R4" s="2">
        <f t="shared" ref="R4:R33" si="27">$M$3/E4</f>
        <v>18833.259958952531</v>
      </c>
      <c r="S4" s="2">
        <f t="shared" si="8"/>
        <v>18121.244837982198</v>
      </c>
      <c r="T4" s="2">
        <f t="shared" si="9"/>
        <v>15642.448313104966</v>
      </c>
      <c r="U4" s="2">
        <f t="shared" si="10"/>
        <v>12642.454271701079</v>
      </c>
      <c r="Z4" s="2">
        <v>1E-14</v>
      </c>
      <c r="AA4" s="3">
        <f>IF('Modell einstellen'!$B$2="Ja",'creep_res-40'!P4,'creep_res-40'!L4)</f>
        <v>0.35490202218430006</v>
      </c>
      <c r="AB4" s="2">
        <f>IF('Modell einstellen'!$B$2="Ja",creep_res0!P4,creep_res0!L4)</f>
        <v>0.35482783521903322</v>
      </c>
      <c r="AC4" s="2">
        <f>IF('Modell einstellen'!$B$2="Ja",creep_res25!P4,creep_res25!L4)</f>
        <v>0.35477781733677666</v>
      </c>
      <c r="AD4" s="2">
        <f>IF('Modell einstellen'!$B$2="Ja",creep_res50!P4,creep_res50!L4)</f>
        <v>0.35476427021935553</v>
      </c>
      <c r="AE4" s="2">
        <f>IF('Modell einstellen'!$B$2="Ja",creep_res80!P4,creep_res80!L4)</f>
        <v>0.36381285985426876</v>
      </c>
      <c r="AF4" s="2">
        <f>IF('Modell einstellen'!$B$2="Ja",creep_res125!P4,creep_res125!L4)</f>
        <v>0.4037430680490301</v>
      </c>
      <c r="AG4" s="2">
        <f>IF('Modell einstellen'!$B$2="Ja",creep_res160!P4,creep_res160!L4)</f>
        <v>0.46898678097757085</v>
      </c>
      <c r="AL4" s="2">
        <f t="shared" si="11"/>
        <v>1E-14</v>
      </c>
      <c r="AM4" s="2">
        <f t="shared" si="12"/>
        <v>7093.186769557813</v>
      </c>
      <c r="AN4" s="2">
        <f t="shared" si="13"/>
        <v>7031.9907762783369</v>
      </c>
      <c r="AO4" s="2">
        <f t="shared" si="14"/>
        <v>6992.459052459466</v>
      </c>
      <c r="AP4" s="2">
        <f t="shared" si="15"/>
        <v>6950.7516447504031</v>
      </c>
      <c r="AQ4" s="2">
        <f t="shared" si="16"/>
        <v>6643.5965561721414</v>
      </c>
      <c r="AR4" s="2">
        <f t="shared" si="17"/>
        <v>5571.6920956359099</v>
      </c>
      <c r="AS4" s="2">
        <f t="shared" si="18"/>
        <v>4303.1205029931816</v>
      </c>
      <c r="AX4" s="2">
        <f t="shared" ref="AX4:AX32" si="28">AL4</f>
        <v>1E-14</v>
      </c>
      <c r="AY4" s="37">
        <f t="shared" si="19"/>
        <v>22078.352945786577</v>
      </c>
      <c r="AZ4" s="37">
        <f t="shared" si="20"/>
        <v>21875.490284426003</v>
      </c>
      <c r="BA4" s="37">
        <f t="shared" si="21"/>
        <v>21744.218041575314</v>
      </c>
      <c r="BB4" s="37">
        <f t="shared" si="22"/>
        <v>21612.28965190726</v>
      </c>
      <c r="BC4" s="37">
        <f t="shared" si="23"/>
        <v>22176.891810527537</v>
      </c>
      <c r="BD4" s="37">
        <f t="shared" si="24"/>
        <v>27084.539949588099</v>
      </c>
      <c r="BE4" s="37">
        <f t="shared" si="25"/>
        <v>67941.212759188784</v>
      </c>
      <c r="BF4" s="5"/>
      <c r="BG4" s="5"/>
    </row>
    <row r="5" spans="1:308" x14ac:dyDescent="0.25">
      <c r="A5" s="2">
        <f>'creep_res-40'!A5</f>
        <v>1E-13</v>
      </c>
      <c r="B5" s="3">
        <f>'creep_res-40'!O5</f>
        <v>-5.2026304571428574E-4</v>
      </c>
      <c r="C5" s="2">
        <f>IF('Modell einstellen'!$B$2="Ja",creep_res0!O5,creep_res0!C5)</f>
        <v>-5.2481937142857143E-4</v>
      </c>
      <c r="D5" s="2">
        <f>IF('Modell einstellen'!$B$2="Ja",creep_res25!O5,creep_res25!C5)</f>
        <v>-5.2780959428571435E-4</v>
      </c>
      <c r="E5" s="2">
        <f>IF('Modell einstellen'!$B$2="Ja",creep_res50!O5,creep_res50!C5)</f>
        <v>-5.316390914285714E-4</v>
      </c>
      <c r="F5" s="2">
        <f>IF('Modell einstellen'!$B$2="Ja",creep_res80!O5,creep_res80!C5)</f>
        <v>-5.5994022285714288E-4</v>
      </c>
      <c r="G5" s="2">
        <f>IF('Modell einstellen'!$B$2="Ja",creep_res125!O5,creep_res125!C5)</f>
        <v>-6.558840571428572E-4</v>
      </c>
      <c r="H5" s="2">
        <f>IF('Modell einstellen'!$B$2="Ja",creep_res160!O5,creep_res160!C5)</f>
        <v>-8.179954857142857E-4</v>
      </c>
      <c r="M5" s="9">
        <f t="shared" si="26"/>
        <v>-10</v>
      </c>
      <c r="N5" s="2">
        <f t="shared" si="4"/>
        <v>1E-13</v>
      </c>
      <c r="O5" s="2">
        <f t="shared" si="5"/>
        <v>19221.046127292553</v>
      </c>
      <c r="P5" s="2">
        <f t="shared" si="6"/>
        <v>19054.174720684852</v>
      </c>
      <c r="Q5" s="2">
        <f t="shared" si="7"/>
        <v>18946.226268457696</v>
      </c>
      <c r="R5" s="2">
        <f t="shared" si="27"/>
        <v>18809.75300956317</v>
      </c>
      <c r="S5" s="2">
        <f t="shared" si="8"/>
        <v>17859.049219529443</v>
      </c>
      <c r="T5" s="2">
        <f t="shared" si="9"/>
        <v>15246.597155542559</v>
      </c>
      <c r="U5" s="2">
        <f t="shared" si="10"/>
        <v>12225.006341285432</v>
      </c>
      <c r="Z5" s="2">
        <v>1E-13</v>
      </c>
      <c r="AA5" s="3">
        <f>IF('Modell einstellen'!$B$2="Ja",'creep_res-40'!P5,'creep_res-40'!L5)</f>
        <v>0.3549020636626749</v>
      </c>
      <c r="AB5" s="2">
        <f>IF('Modell einstellen'!$B$2="Ja",creep_res0!P5,creep_res0!L5)</f>
        <v>0.35482789779427787</v>
      </c>
      <c r="AC5" s="2">
        <f>IF('Modell einstellen'!$B$2="Ja",creep_res25!P5,creep_res25!L5)</f>
        <v>0.35477996345413693</v>
      </c>
      <c r="AD5" s="2">
        <f>IF('Modell einstellen'!$B$2="Ja",creep_res50!P5,creep_res50!L5)</f>
        <v>0.35513075943754374</v>
      </c>
      <c r="AE5" s="2">
        <f>IF('Modell einstellen'!$B$2="Ja",creep_res80!P5,creep_res80!L5)</f>
        <v>0.36805711474976932</v>
      </c>
      <c r="AF5" s="2">
        <f>IF('Modell einstellen'!$B$2="Ja",creep_res125!P5,creep_res125!L5)</f>
        <v>0.41152209741599799</v>
      </c>
      <c r="AG5" s="2">
        <f>IF('Modell einstellen'!$B$2="Ja",creep_res160!P5,creep_res160!L5)</f>
        <v>0.48088322666957084</v>
      </c>
      <c r="AL5" s="2">
        <f t="shared" si="11"/>
        <v>1E-13</v>
      </c>
      <c r="AM5" s="2">
        <f t="shared" si="12"/>
        <v>7093.1496241627792</v>
      </c>
      <c r="AN5" s="2">
        <f t="shared" si="13"/>
        <v>7031.9539299810422</v>
      </c>
      <c r="AO5" s="2">
        <f t="shared" si="14"/>
        <v>6992.3628853177524</v>
      </c>
      <c r="AP5" s="2">
        <f t="shared" si="15"/>
        <v>6940.1985301294053</v>
      </c>
      <c r="AQ5" s="2">
        <f t="shared" si="16"/>
        <v>6527.1577578820725</v>
      </c>
      <c r="AR5" s="2">
        <f t="shared" si="17"/>
        <v>5400.7646013667554</v>
      </c>
      <c r="AS5" s="2">
        <f t="shared" si="18"/>
        <v>4127.6064584710148</v>
      </c>
      <c r="AX5" s="2">
        <f t="shared" si="28"/>
        <v>1E-13</v>
      </c>
      <c r="AY5" s="37">
        <f t="shared" si="19"/>
        <v>22078.244313789179</v>
      </c>
      <c r="AZ5" s="37">
        <f t="shared" si="20"/>
        <v>21875.38610056468</v>
      </c>
      <c r="BA5" s="37">
        <f t="shared" si="21"/>
        <v>21744.274779045543</v>
      </c>
      <c r="BB5" s="37">
        <f t="shared" si="22"/>
        <v>21639.920405157689</v>
      </c>
      <c r="BC5" s="37">
        <f t="shared" si="23"/>
        <v>22559.065595768479</v>
      </c>
      <c r="BD5" s="37">
        <f t="shared" si="24"/>
        <v>28720.160081905295</v>
      </c>
      <c r="BE5" s="37">
        <f t="shared" si="25"/>
        <v>106581.8494399214</v>
      </c>
    </row>
    <row r="6" spans="1:308" x14ac:dyDescent="0.25">
      <c r="A6" s="2">
        <f>'creep_res-40'!A6</f>
        <v>9.9999999999999998E-13</v>
      </c>
      <c r="B6" s="3">
        <f>'creep_res-40'!O6</f>
        <v>-5.2026376571428568E-4</v>
      </c>
      <c r="C6" s="2">
        <f>IF('Modell einstellen'!$B$2="Ja",creep_res0!O6,creep_res0!C6)</f>
        <v>-5.2482014857142855E-4</v>
      </c>
      <c r="D6" s="2">
        <f>IF('Modell einstellen'!$B$2="Ja",creep_res25!O6,creep_res25!C6)</f>
        <v>-5.2784711428571437E-4</v>
      </c>
      <c r="E6" s="2">
        <f>IF('Modell einstellen'!$B$2="Ja",creep_res50!O6,creep_res50!C6)</f>
        <v>-5.367964742857143E-4</v>
      </c>
      <c r="F6" s="2">
        <f>IF('Modell einstellen'!$B$2="Ja",creep_res80!O6,creep_res80!C6)</f>
        <v>-5.6813518285714294E-4</v>
      </c>
      <c r="G6" s="2">
        <f>IF('Modell einstellen'!$B$2="Ja",creep_res125!O6,creep_res125!C6)</f>
        <v>-6.7472948571428574E-4</v>
      </c>
      <c r="H6" s="2">
        <f>IF('Modell einstellen'!$B$2="Ja",creep_res160!O6,creep_res160!C6)</f>
        <v>-8.486698857142858E-4</v>
      </c>
      <c r="M6" s="9">
        <f t="shared" si="26"/>
        <v>-10</v>
      </c>
      <c r="N6" s="2">
        <f t="shared" si="4"/>
        <v>9.9999999999999998E-13</v>
      </c>
      <c r="O6" s="2">
        <f t="shared" si="5"/>
        <v>19221.019527029144</v>
      </c>
      <c r="P6" s="2">
        <f t="shared" si="6"/>
        <v>19054.146505655717</v>
      </c>
      <c r="Q6" s="2">
        <f t="shared" si="7"/>
        <v>18944.879548185188</v>
      </c>
      <c r="R6" s="2">
        <f t="shared" si="27"/>
        <v>18629.034427445622</v>
      </c>
      <c r="S6" s="2">
        <f t="shared" si="8"/>
        <v>17601.444694395013</v>
      </c>
      <c r="T6" s="2">
        <f t="shared" si="9"/>
        <v>14820.754408581606</v>
      </c>
      <c r="U6" s="2">
        <f t="shared" si="10"/>
        <v>11783.144622344491</v>
      </c>
      <c r="Z6" s="2">
        <v>9.9999999999999998E-13</v>
      </c>
      <c r="AA6" s="3">
        <f>IF('Modell einstellen'!$B$2="Ja",'creep_res-40'!P6,'creep_res-40'!L6)</f>
        <v>0.35490205578029937</v>
      </c>
      <c r="AB6" s="2">
        <f>IF('Modell einstellen'!$B$2="Ja",creep_res0!P6,creep_res0!L6)</f>
        <v>0.354827927664711</v>
      </c>
      <c r="AC6" s="2">
        <f>IF('Modell einstellen'!$B$2="Ja",creep_res25!P6,creep_res25!L6)</f>
        <v>0.35480066766085783</v>
      </c>
      <c r="AD6" s="2">
        <f>IF('Modell einstellen'!$B$2="Ja",creep_res50!P6,creep_res50!L6)</f>
        <v>0.35797376910597761</v>
      </c>
      <c r="AE6" s="2">
        <f>IF('Modell einstellen'!$B$2="Ja",creep_res80!P6,creep_res80!L6)</f>
        <v>0.37232543156202752</v>
      </c>
      <c r="AF6" s="2">
        <f>IF('Modell einstellen'!$B$2="Ja",creep_res125!P6,creep_res125!L6)</f>
        <v>0.42095508159629863</v>
      </c>
      <c r="AG6" s="2">
        <f>IF('Modell einstellen'!$B$2="Ja",creep_res160!P6,creep_res160!L6)</f>
        <v>0.4931989574542967</v>
      </c>
      <c r="AL6" s="2">
        <f t="shared" si="11"/>
        <v>9.9999999999999998E-13</v>
      </c>
      <c r="AM6" s="2">
        <f t="shared" si="12"/>
        <v>7093.139849123485</v>
      </c>
      <c r="AN6" s="2">
        <f t="shared" si="13"/>
        <v>7031.9433621725511</v>
      </c>
      <c r="AO6" s="2">
        <f t="shared" si="14"/>
        <v>6991.7590094248426</v>
      </c>
      <c r="AP6" s="2">
        <f t="shared" si="15"/>
        <v>6859.1289652487367</v>
      </c>
      <c r="AQ6" s="2">
        <f t="shared" si="16"/>
        <v>6412.9995296962652</v>
      </c>
      <c r="AR6" s="2">
        <f t="shared" si="17"/>
        <v>5215.0678795321228</v>
      </c>
      <c r="AS6" s="2">
        <f t="shared" si="18"/>
        <v>3945.604356178083</v>
      </c>
      <c r="AX6" s="2">
        <f t="shared" si="28"/>
        <v>9.9999999999999998E-13</v>
      </c>
      <c r="AY6" s="37">
        <f t="shared" si="19"/>
        <v>22078.212560022632</v>
      </c>
      <c r="AZ6" s="37">
        <f t="shared" si="20"/>
        <v>21875.358208990678</v>
      </c>
      <c r="BA6" s="37">
        <f t="shared" si="21"/>
        <v>21745.829500941531</v>
      </c>
      <c r="BB6" s="37">
        <f t="shared" si="22"/>
        <v>21861.025612639936</v>
      </c>
      <c r="BC6" s="37">
        <f t="shared" si="23"/>
        <v>22976.965198497666</v>
      </c>
      <c r="BD6" s="37">
        <f t="shared" si="24"/>
        <v>31249.646209362581</v>
      </c>
      <c r="BE6" s="37">
        <f t="shared" si="25"/>
        <v>288758.29313817841</v>
      </c>
    </row>
    <row r="7" spans="1:308" x14ac:dyDescent="0.25">
      <c r="A7" s="2">
        <f>'creep_res-40'!A7</f>
        <v>9.9999999999999994E-12</v>
      </c>
      <c r="B7" s="3">
        <f>'creep_res-40'!O7</f>
        <v>-5.2026397714285716E-4</v>
      </c>
      <c r="C7" s="2">
        <f>IF('Modell einstellen'!$B$2="Ja",creep_res0!O7,creep_res0!C7)</f>
        <v>-5.2482096571428573E-4</v>
      </c>
      <c r="D7" s="2">
        <f>IF('Modell einstellen'!$B$2="Ja",creep_res25!O7,creep_res25!C7)</f>
        <v>-5.2820610285714297E-4</v>
      </c>
      <c r="E7" s="2">
        <f>IF('Modell einstellen'!$B$2="Ja",creep_res50!O7,creep_res50!C7)</f>
        <v>-5.4753407428571432E-4</v>
      </c>
      <c r="F7" s="2">
        <f>IF('Modell einstellen'!$B$2="Ja",creep_res80!O7,creep_res80!C7)</f>
        <v>-5.7749040000000008E-4</v>
      </c>
      <c r="G7" s="2">
        <f>IF('Modell einstellen'!$B$2="Ja",creep_res125!O7,creep_res125!C7)</f>
        <v>-7.0008291428571429E-4</v>
      </c>
      <c r="H7" s="2">
        <f>IF('Modell einstellen'!$B$2="Ja",creep_res160!O7,creep_res160!C7)</f>
        <v>-8.8110862857142865E-4</v>
      </c>
      <c r="M7" s="9">
        <f t="shared" si="26"/>
        <v>-10</v>
      </c>
      <c r="N7" s="2">
        <f t="shared" si="4"/>
        <v>9.9999999999999994E-12</v>
      </c>
      <c r="O7" s="2">
        <f t="shared" si="5"/>
        <v>19221.011715854664</v>
      </c>
      <c r="P7" s="2">
        <f t="shared" si="6"/>
        <v>19054.116838472557</v>
      </c>
      <c r="Q7" s="2">
        <f t="shared" si="7"/>
        <v>18932.003901334268</v>
      </c>
      <c r="R7" s="2">
        <f t="shared" si="27"/>
        <v>18263.70352027041</v>
      </c>
      <c r="S7" s="2">
        <f t="shared" si="8"/>
        <v>17316.305171479904</v>
      </c>
      <c r="T7" s="2">
        <f t="shared" si="9"/>
        <v>14284.022357841532</v>
      </c>
      <c r="U7" s="2">
        <f t="shared" si="10"/>
        <v>11349.338408152171</v>
      </c>
      <c r="Z7" s="2">
        <v>9.9999999999999994E-12</v>
      </c>
      <c r="AA7" s="3">
        <f>IF('Modell einstellen'!$B$2="Ja",'creep_res-40'!P7,'creep_res-40'!L7)</f>
        <v>0.35490204335390357</v>
      </c>
      <c r="AB7" s="2">
        <f>IF('Modell einstellen'!$B$2="Ja",creep_res0!P7,creep_res0!L7)</f>
        <v>0.35482826802139189</v>
      </c>
      <c r="AC7" s="2">
        <f>IF('Modell einstellen'!$B$2="Ja",creep_res25!P7,creep_res25!L7)</f>
        <v>0.35500228114419569</v>
      </c>
      <c r="AD7" s="2">
        <f>IF('Modell einstellen'!$B$2="Ja",creep_res50!P7,creep_res50!L7)</f>
        <v>0.36384606795456531</v>
      </c>
      <c r="AE7" s="2">
        <f>IF('Modell einstellen'!$B$2="Ja",creep_res80!P7,creep_res80!L7)</f>
        <v>0.37719485157551658</v>
      </c>
      <c r="AF7" s="2">
        <f>IF('Modell einstellen'!$B$2="Ja",creep_res125!P7,creep_res125!L7)</f>
        <v>0.4325781738016175</v>
      </c>
      <c r="AG7" s="2">
        <f>IF('Modell einstellen'!$B$2="Ja",creep_res160!P7,creep_res160!L7)</f>
        <v>0.50656640942148146</v>
      </c>
      <c r="AL7" s="2">
        <f t="shared" si="11"/>
        <v>9.9999999999999994E-12</v>
      </c>
      <c r="AM7" s="2">
        <f t="shared" si="12"/>
        <v>7093.1370316171597</v>
      </c>
      <c r="AN7" s="2">
        <f t="shared" si="13"/>
        <v>7031.9306469370567</v>
      </c>
      <c r="AO7" s="2">
        <f t="shared" si="14"/>
        <v>6985.9675385002447</v>
      </c>
      <c r="AP7" s="2">
        <f t="shared" si="15"/>
        <v>6695.6616107202954</v>
      </c>
      <c r="AQ7" s="2">
        <f t="shared" si="16"/>
        <v>6286.8028992665704</v>
      </c>
      <c r="AR7" s="2">
        <f t="shared" si="17"/>
        <v>4985.425095489265</v>
      </c>
      <c r="AS7" s="2">
        <f t="shared" si="18"/>
        <v>3766.6240058114313</v>
      </c>
      <c r="AX7" s="2">
        <f t="shared" si="28"/>
        <v>9.9999999999999994E-12</v>
      </c>
      <c r="AY7" s="37">
        <f t="shared" si="19"/>
        <v>22078.201696912922</v>
      </c>
      <c r="AZ7" s="37">
        <f t="shared" si="20"/>
        <v>21875.375436130926</v>
      </c>
      <c r="BA7" s="37">
        <f t="shared" si="21"/>
        <v>21761.266373394414</v>
      </c>
      <c r="BB7" s="37">
        <f t="shared" si="22"/>
        <v>22356.685120896589</v>
      </c>
      <c r="BC7" s="37">
        <f t="shared" si="23"/>
        <v>23501.057561019414</v>
      </c>
      <c r="BD7" s="37">
        <f t="shared" si="24"/>
        <v>35310.084689321317</v>
      </c>
      <c r="BE7" s="37">
        <f t="shared" si="25"/>
        <v>-288065.55911220331</v>
      </c>
    </row>
    <row r="8" spans="1:308" x14ac:dyDescent="0.25">
      <c r="A8" s="2">
        <f>'creep_res-40'!A8</f>
        <v>1E-10</v>
      </c>
      <c r="B8" s="3">
        <f>'creep_res-40'!O8</f>
        <v>-5.2026404000000005E-4</v>
      </c>
      <c r="C8" s="2">
        <f>IF('Modell einstellen'!$B$2="Ja",creep_res0!O8,creep_res0!C8)</f>
        <v>-5.248271028571429E-4</v>
      </c>
      <c r="D8" s="2">
        <f>IF('Modell einstellen'!$B$2="Ja",creep_res25!O8,creep_res25!C8)</f>
        <v>-5.3132425714285715E-4</v>
      </c>
      <c r="E8" s="2">
        <f>IF('Modell einstellen'!$B$2="Ja",creep_res50!O8,creep_res50!C8)</f>
        <v>-5.5545164000000004E-4</v>
      </c>
      <c r="F8" s="2">
        <f>IF('Modell einstellen'!$B$2="Ja",creep_res80!O8,creep_res80!C8)</f>
        <v>-5.8790091428571434E-4</v>
      </c>
      <c r="G8" s="2">
        <f>IF('Modell einstellen'!$B$2="Ja",creep_res125!O8,creep_res125!C8)</f>
        <v>-7.2712519999999998E-4</v>
      </c>
      <c r="H8" s="2">
        <f>IF('Modell einstellen'!$B$2="Ja",creep_res160!O8,creep_res160!C8)</f>
        <v>-9.2443062857142859E-4</v>
      </c>
      <c r="M8" s="9">
        <f t="shared" si="26"/>
        <v>-10</v>
      </c>
      <c r="N8" s="2">
        <f t="shared" si="4"/>
        <v>1E-10</v>
      </c>
      <c r="O8" s="2">
        <f t="shared" si="5"/>
        <v>19221.009393614826</v>
      </c>
      <c r="P8" s="2">
        <f t="shared" si="6"/>
        <v>19053.894026357066</v>
      </c>
      <c r="Q8" s="2">
        <f t="shared" si="7"/>
        <v>18820.898661344763</v>
      </c>
      <c r="R8" s="2">
        <f t="shared" si="27"/>
        <v>18003.367493882994</v>
      </c>
      <c r="S8" s="2">
        <f t="shared" si="8"/>
        <v>17009.669073486239</v>
      </c>
      <c r="T8" s="2">
        <f t="shared" si="9"/>
        <v>13752.789753401477</v>
      </c>
      <c r="U8" s="2">
        <f t="shared" si="10"/>
        <v>10817.469359981644</v>
      </c>
      <c r="Z8" s="2">
        <v>1E-10</v>
      </c>
      <c r="AA8" s="3">
        <f>IF('Modell einstellen'!$B$2="Ja",'creep_res-40'!P8,'creep_res-40'!L8)</f>
        <v>0.35490204440916467</v>
      </c>
      <c r="AB8" s="2">
        <f>IF('Modell einstellen'!$B$2="Ja",creep_res0!P8,creep_res0!L8)</f>
        <v>0.35483171856662499</v>
      </c>
      <c r="AC8" s="2">
        <f>IF('Modell einstellen'!$B$2="Ja",creep_res25!P8,creep_res25!L8)</f>
        <v>0.3567483273195185</v>
      </c>
      <c r="AD8" s="2">
        <f>IF('Modell einstellen'!$B$2="Ja",creep_res50!P8,creep_res50!L8)</f>
        <v>0.36805965167887011</v>
      </c>
      <c r="AE8" s="2">
        <f>IF('Modell einstellen'!$B$2="Ja",creep_res80!P8,creep_res80!L8)</f>
        <v>0.38258146708104163</v>
      </c>
      <c r="AF8" s="2">
        <f>IF('Modell einstellen'!$B$2="Ja",creep_res125!P8,creep_res125!L8)</f>
        <v>0.44512623528539907</v>
      </c>
      <c r="AG8" s="2">
        <f>IF('Modell einstellen'!$B$2="Ja",creep_res160!P8,creep_res160!L8)</f>
        <v>0.5227542253653461</v>
      </c>
      <c r="AL8" s="2">
        <f t="shared" si="11"/>
        <v>1E-10</v>
      </c>
      <c r="AM8" s="2">
        <f t="shared" si="12"/>
        <v>7093.1361691156708</v>
      </c>
      <c r="AN8" s="2">
        <f t="shared" si="13"/>
        <v>7031.8305090006179</v>
      </c>
      <c r="AO8" s="2">
        <f t="shared" si="14"/>
        <v>6936.0316435873456</v>
      </c>
      <c r="AP8" s="2">
        <f t="shared" si="15"/>
        <v>6579.8912612434069</v>
      </c>
      <c r="AQ8" s="2">
        <f t="shared" si="16"/>
        <v>6151.4165633211096</v>
      </c>
      <c r="AR8" s="2">
        <f t="shared" si="17"/>
        <v>4758.3350912889036</v>
      </c>
      <c r="AS8" s="2">
        <f t="shared" si="18"/>
        <v>3551.9419942460731</v>
      </c>
      <c r="AX8" s="2">
        <f t="shared" si="28"/>
        <v>1E-10</v>
      </c>
      <c r="AY8" s="37">
        <f t="shared" si="19"/>
        <v>22078.199190042968</v>
      </c>
      <c r="AZ8" s="37">
        <f t="shared" si="20"/>
        <v>21875.639589012484</v>
      </c>
      <c r="BA8" s="37">
        <f t="shared" si="21"/>
        <v>21897.241301705664</v>
      </c>
      <c r="BB8" s="37">
        <f t="shared" si="22"/>
        <v>22741.801785132677</v>
      </c>
      <c r="BC8" s="37">
        <f t="shared" si="23"/>
        <v>24143.930051806245</v>
      </c>
      <c r="BD8" s="37">
        <f t="shared" si="24"/>
        <v>41770.992704588716</v>
      </c>
      <c r="BE8" s="37">
        <f t="shared" si="25"/>
        <v>-79234.14359526879</v>
      </c>
    </row>
    <row r="9" spans="1:308" x14ac:dyDescent="0.25">
      <c r="A9" s="2">
        <f>'creep_res-40'!A9</f>
        <v>1.0000000000000001E-9</v>
      </c>
      <c r="B9" s="3">
        <f>'creep_res-40'!O9</f>
        <v>-5.2026406285714288E-4</v>
      </c>
      <c r="C9" s="2">
        <f>IF('Modell einstellen'!$B$2="Ja",creep_res0!O9,creep_res0!C9)</f>
        <v>-5.2488745714285713E-4</v>
      </c>
      <c r="D9" s="2">
        <f>IF('Modell einstellen'!$B$2="Ja",creep_res25!O9,creep_res25!C9)</f>
        <v>-5.4216279428571435E-4</v>
      </c>
      <c r="E9" s="2">
        <f>IF('Modell einstellen'!$B$2="Ja",creep_res50!O9,creep_res50!C9)</f>
        <v>-5.6348080000000005E-4</v>
      </c>
      <c r="F9" s="2">
        <f>IF('Modell einstellen'!$B$2="Ja",creep_res80!O9,creep_res80!C9)</f>
        <v>-6.0010474285714284E-4</v>
      </c>
      <c r="G9" s="2">
        <f>IF('Modell einstellen'!$B$2="Ja",creep_res125!O9,creep_res125!C9)</f>
        <v>-7.5195502857142865E-4</v>
      </c>
      <c r="H9" s="2">
        <f>IF('Modell einstellen'!$B$2="Ja",creep_res160!O9,creep_res160!C9)</f>
        <v>-9.7719491428571443E-4</v>
      </c>
      <c r="M9" s="9">
        <f t="shared" si="26"/>
        <v>-10</v>
      </c>
      <c r="N9" s="2">
        <f t="shared" si="4"/>
        <v>1.0000000000000001E-9</v>
      </c>
      <c r="O9" s="2">
        <f t="shared" si="5"/>
        <v>19221.008549164115</v>
      </c>
      <c r="P9" s="2">
        <f t="shared" si="6"/>
        <v>19051.703110669547</v>
      </c>
      <c r="Q9" s="2">
        <f t="shared" si="7"/>
        <v>18444.644496815286</v>
      </c>
      <c r="R9" s="2">
        <f t="shared" si="27"/>
        <v>17746.833609947313</v>
      </c>
      <c r="S9" s="2">
        <f t="shared" si="8"/>
        <v>16663.757650688218</v>
      </c>
      <c r="T9" s="2">
        <f t="shared" si="9"/>
        <v>13298.667633087174</v>
      </c>
      <c r="U9" s="2">
        <f t="shared" si="10"/>
        <v>10233.372947207314</v>
      </c>
      <c r="Z9" s="2">
        <v>1.0000000000000001E-9</v>
      </c>
      <c r="AA9" s="3">
        <f>IF('Modell einstellen'!$B$2="Ja",'creep_res-40'!P9,'creep_res-40'!L9)</f>
        <v>0.35490203980042623</v>
      </c>
      <c r="AB9" s="2">
        <f>IF('Modell einstellen'!$B$2="Ja",creep_res0!P9,creep_res0!L9)</f>
        <v>0.35486606897663669</v>
      </c>
      <c r="AC9" s="2">
        <f>IF('Modell einstellen'!$B$2="Ja",creep_res25!P9,creep_res25!L9)</f>
        <v>0.36276720216317948</v>
      </c>
      <c r="AD9" s="2">
        <f>IF('Modell einstellen'!$B$2="Ja",creep_res50!P9,creep_res50!L9)</f>
        <v>0.37230591403596053</v>
      </c>
      <c r="AE9" s="2">
        <f>IF('Modell einstellen'!$B$2="Ja",creep_res80!P9,creep_res80!L9)</f>
        <v>0.38886469628682918</v>
      </c>
      <c r="AF9" s="2">
        <f>IF('Modell einstellen'!$B$2="Ja",creep_res125!P9,creep_res125!L9)</f>
        <v>0.45642693069866719</v>
      </c>
      <c r="AG9" s="2">
        <f>IF('Modell einstellen'!$B$2="Ja",creep_res160!P9,creep_res160!L9)</f>
        <v>0.54189045250279344</v>
      </c>
      <c r="AL9" s="2">
        <f t="shared" si="11"/>
        <v>1.0000000000000001E-9</v>
      </c>
      <c r="AM9" s="2">
        <f t="shared" si="12"/>
        <v>7093.1358816152215</v>
      </c>
      <c r="AN9" s="2">
        <f t="shared" si="13"/>
        <v>7030.8436925650376</v>
      </c>
      <c r="AO9" s="2">
        <f t="shared" si="14"/>
        <v>6767.3497232459458</v>
      </c>
      <c r="AP9" s="2">
        <f t="shared" si="15"/>
        <v>6466.0632255652681</v>
      </c>
      <c r="AQ9" s="2">
        <f t="shared" si="16"/>
        <v>5999.0572498672</v>
      </c>
      <c r="AR9" s="2">
        <f t="shared" si="17"/>
        <v>4565.5114420012915</v>
      </c>
      <c r="AS9" s="2">
        <f t="shared" si="18"/>
        <v>3318.4500658255338</v>
      </c>
      <c r="AX9" s="2">
        <f t="shared" si="28"/>
        <v>1.0000000000000001E-9</v>
      </c>
      <c r="AY9" s="37">
        <f t="shared" si="19"/>
        <v>22078.197518796656</v>
      </c>
      <c r="AZ9" s="37">
        <f t="shared" si="20"/>
        <v>21878.301162166608</v>
      </c>
      <c r="BA9" s="37">
        <f t="shared" si="21"/>
        <v>22400.675819429198</v>
      </c>
      <c r="BB9" s="37">
        <f t="shared" si="22"/>
        <v>23163.215268174965</v>
      </c>
      <c r="BC9" s="37">
        <f t="shared" si="23"/>
        <v>24990.1952753851</v>
      </c>
      <c r="BD9" s="37">
        <f t="shared" si="24"/>
        <v>50867.30499030355</v>
      </c>
      <c r="BE9" s="37">
        <f t="shared" si="25"/>
        <v>-40714.818197634682</v>
      </c>
    </row>
    <row r="10" spans="1:308" x14ac:dyDescent="0.25">
      <c r="A10" s="2">
        <f>'creep_res-40'!A10</f>
        <v>1E-8</v>
      </c>
      <c r="B10" s="3">
        <f>'creep_res-40'!O10</f>
        <v>-5.2026407428571429E-4</v>
      </c>
      <c r="C10" s="2">
        <f>IF('Modell einstellen'!$B$2="Ja",creep_res0!O10,creep_res0!C10)</f>
        <v>-5.2546980000000004E-4</v>
      </c>
      <c r="D10" s="2">
        <f>IF('Modell einstellen'!$B$2="Ja",creep_res25!O10,creep_res25!C10)</f>
        <v>-5.5038337142857149E-4</v>
      </c>
      <c r="E10" s="2">
        <f>IF('Modell einstellen'!$B$2="Ja",creep_res50!O10,creep_res50!C10)</f>
        <v>-5.7273514285714289E-4</v>
      </c>
      <c r="F10" s="2">
        <f>IF('Modell einstellen'!$B$2="Ja",creep_res80!O10,creep_res80!C10)</f>
        <v>-6.139406857142858E-4</v>
      </c>
      <c r="G10" s="2">
        <f>IF('Modell einstellen'!$B$2="Ja",creep_res125!O10,creep_res125!C10)</f>
        <v>-7.768190857142857E-4</v>
      </c>
      <c r="H10" s="2">
        <f>IF('Modell einstellen'!$B$2="Ja",creep_res160!O10,creep_res160!C10)</f>
        <v>-1.0469790285714286E-3</v>
      </c>
      <c r="M10" s="9">
        <f t="shared" si="26"/>
        <v>-10</v>
      </c>
      <c r="N10" s="2">
        <f t="shared" si="4"/>
        <v>1E-8</v>
      </c>
      <c r="O10" s="2">
        <f t="shared" si="5"/>
        <v>19221.008126938788</v>
      </c>
      <c r="P10" s="2">
        <f t="shared" si="6"/>
        <v>19030.589388771721</v>
      </c>
      <c r="Q10" s="2">
        <f t="shared" si="7"/>
        <v>18169.153573888081</v>
      </c>
      <c r="R10" s="2">
        <f t="shared" si="27"/>
        <v>17460.077532721432</v>
      </c>
      <c r="S10" s="2">
        <f t="shared" si="8"/>
        <v>16288.218443065973</v>
      </c>
      <c r="T10" s="2">
        <f t="shared" si="9"/>
        <v>12873.010182036134</v>
      </c>
      <c r="U10" s="2">
        <f t="shared" si="10"/>
        <v>9551.2896888151608</v>
      </c>
      <c r="Z10" s="2">
        <v>1E-8</v>
      </c>
      <c r="AA10" s="3">
        <f>IF('Modell einstellen'!$B$2="Ja",'creep_res-40'!P10,'creep_res-40'!L10)</f>
        <v>0.35490204298777367</v>
      </c>
      <c r="AB10" s="2">
        <f>IF('Modell einstellen'!$B$2="Ja",creep_res0!P10,creep_res0!L10)</f>
        <v>0.35519741436275554</v>
      </c>
      <c r="AC10" s="2">
        <f>IF('Modell einstellen'!$B$2="Ja",creep_res25!P10,creep_res25!L10)</f>
        <v>0.3672262004593369</v>
      </c>
      <c r="AD10" s="2">
        <f>IF('Modell einstellen'!$B$2="Ja",creep_res50!P10,creep_res50!L10)</f>
        <v>0.37719745801225502</v>
      </c>
      <c r="AE10" s="2">
        <f>IF('Modell einstellen'!$B$2="Ja",creep_res80!P10,creep_res80!L10)</f>
        <v>0.39592756377954424</v>
      </c>
      <c r="AF10" s="2">
        <f>IF('Modell einstellen'!$B$2="Ja",creep_res125!P10,creep_res125!L10)</f>
        <v>0.46788810691277705</v>
      </c>
      <c r="AG10" s="2">
        <f>IF('Modell einstellen'!$B$2="Ja",creep_res160!P10,creep_res160!L10)</f>
        <v>0.56543847815098824</v>
      </c>
      <c r="AL10" s="2">
        <f t="shared" si="11"/>
        <v>1E-8</v>
      </c>
      <c r="AM10" s="2">
        <f t="shared" si="12"/>
        <v>7093.135709114963</v>
      </c>
      <c r="AN10" s="2">
        <f t="shared" si="13"/>
        <v>7021.3347469085647</v>
      </c>
      <c r="AO10" s="2">
        <f t="shared" si="14"/>
        <v>6644.5309370841214</v>
      </c>
      <c r="AP10" s="2">
        <f t="shared" si="15"/>
        <v>6338.9884403076148</v>
      </c>
      <c r="AQ10" s="2">
        <f t="shared" si="16"/>
        <v>5834.1918541119712</v>
      </c>
      <c r="AR10" s="2">
        <f t="shared" si="17"/>
        <v>4384.874474223483</v>
      </c>
      <c r="AS10" s="2">
        <f t="shared" si="18"/>
        <v>3050.6755206683788</v>
      </c>
      <c r="AX10" s="2">
        <f t="shared" si="28"/>
        <v>1E-8</v>
      </c>
      <c r="AY10" s="37">
        <f t="shared" si="19"/>
        <v>22078.197518796649</v>
      </c>
      <c r="AZ10" s="37">
        <f t="shared" si="20"/>
        <v>21904.062584037278</v>
      </c>
      <c r="BA10" s="37">
        <f t="shared" si="21"/>
        <v>22807.152260392086</v>
      </c>
      <c r="BB10" s="37">
        <f t="shared" si="22"/>
        <v>23696.683106206725</v>
      </c>
      <c r="BC10" s="37">
        <f t="shared" si="23"/>
        <v>26084.746090634377</v>
      </c>
      <c r="BD10" s="37">
        <f t="shared" si="24"/>
        <v>66813.304689896933</v>
      </c>
      <c r="BE10" s="37">
        <f t="shared" si="25"/>
        <v>-24326.385022731254</v>
      </c>
    </row>
    <row r="11" spans="1:308" x14ac:dyDescent="0.25">
      <c r="A11" s="2">
        <f>'creep_res-40'!A11</f>
        <v>9.9999999999999995E-8</v>
      </c>
      <c r="B11" s="3">
        <f>'creep_res-40'!O11</f>
        <v>-5.2026408571428581E-4</v>
      </c>
      <c r="C11" s="2">
        <f>IF('Modell einstellen'!$B$2="Ja",creep_res0!O11,creep_res0!C11)</f>
        <v>-5.3013404571428579E-4</v>
      </c>
      <c r="D11" s="2">
        <f>IF('Modell einstellen'!$B$2="Ja",creep_res25!O11,creep_res25!C11)</f>
        <v>-5.5811092000000002E-4</v>
      </c>
      <c r="E11" s="2">
        <f>IF('Modell einstellen'!$B$2="Ja",creep_res50!O11,creep_res50!C11)</f>
        <v>-5.8296645714285718E-4</v>
      </c>
      <c r="F11" s="2">
        <f>IF('Modell einstellen'!$B$2="Ja",creep_res80!O11,creep_res80!C11)</f>
        <v>-6.2946365714285719E-4</v>
      </c>
      <c r="G11" s="2">
        <f>IF('Modell einstellen'!$B$2="Ja",creep_res125!O11,creep_res125!C11)</f>
        <v>-8.0414577142857145E-4</v>
      </c>
      <c r="H11" s="2">
        <f>IF('Modell einstellen'!$B$2="Ja",creep_res160!O11,creep_res160!C11)</f>
        <v>-1.1422493142857143E-3</v>
      </c>
      <c r="M11" s="9">
        <f t="shared" si="26"/>
        <v>-10</v>
      </c>
      <c r="N11" s="2">
        <f t="shared" si="4"/>
        <v>9.9999999999999995E-8</v>
      </c>
      <c r="O11" s="2">
        <f t="shared" si="5"/>
        <v>19221.007704713476</v>
      </c>
      <c r="P11" s="2">
        <f t="shared" si="6"/>
        <v>18863.153726575543</v>
      </c>
      <c r="Q11" s="2">
        <f t="shared" si="7"/>
        <v>17917.585271400887</v>
      </c>
      <c r="R11" s="2">
        <f t="shared" si="27"/>
        <v>17153.645595683865</v>
      </c>
      <c r="S11" s="2">
        <f t="shared" si="8"/>
        <v>15886.540686701621</v>
      </c>
      <c r="T11" s="2">
        <f t="shared" si="9"/>
        <v>12435.556282581601</v>
      </c>
      <c r="U11" s="2">
        <f t="shared" si="10"/>
        <v>8754.6561638807598</v>
      </c>
      <c r="Z11" s="2">
        <v>9.9999999999999995E-8</v>
      </c>
      <c r="AA11" s="3">
        <f>IF('Modell einstellen'!$B$2="Ja",'creep_res-40'!P11,'creep_res-40'!L11)</f>
        <v>0.354902046175121</v>
      </c>
      <c r="AB11" s="2">
        <f>IF('Modell einstellen'!$B$2="Ja",creep_res0!P11,creep_res0!L11)</f>
        <v>0.35783756168709369</v>
      </c>
      <c r="AC11" s="2">
        <f>IF('Modell einstellen'!$B$2="Ja",creep_res25!P11,creep_res25!L11)</f>
        <v>0.37136611789334945</v>
      </c>
      <c r="AD11" s="2">
        <f>IF('Modell einstellen'!$B$2="Ja",creep_res50!P11,creep_res50!L11)</f>
        <v>0.38257129814771013</v>
      </c>
      <c r="AE11" s="2">
        <f>IF('Modell einstellen'!$B$2="Ja",creep_res80!P11,creep_res80!L11)</f>
        <v>0.40323905685148376</v>
      </c>
      <c r="AF11" s="2">
        <f>IF('Modell einstellen'!$B$2="Ja",creep_res125!P11,creep_res125!L11)</f>
        <v>0.47930844947728379</v>
      </c>
      <c r="AG11" s="2">
        <f>IF('Modell einstellen'!$B$2="Ja",creep_res160!P11,creep_res160!L11)</f>
        <v>0.59457682568474046</v>
      </c>
      <c r="AL11" s="2">
        <f t="shared" si="11"/>
        <v>9.9999999999999995E-8</v>
      </c>
      <c r="AM11" s="2">
        <f t="shared" si="12"/>
        <v>7093.1355366147118</v>
      </c>
      <c r="AN11" s="2">
        <f t="shared" si="13"/>
        <v>6946.0273669032786</v>
      </c>
      <c r="AO11" s="2">
        <f t="shared" si="14"/>
        <v>6532.7504586905397</v>
      </c>
      <c r="AP11" s="2">
        <f t="shared" si="15"/>
        <v>6203.5301972004399</v>
      </c>
      <c r="AQ11" s="2">
        <f t="shared" si="16"/>
        <v>5660.667941479277</v>
      </c>
      <c r="AR11" s="2">
        <f t="shared" si="17"/>
        <v>4203.1654341512503</v>
      </c>
      <c r="AS11" s="2">
        <f t="shared" si="18"/>
        <v>2745.1346410108995</v>
      </c>
      <c r="AX11" s="2">
        <f t="shared" si="28"/>
        <v>9.9999999999999995E-8</v>
      </c>
      <c r="AY11" s="37">
        <f t="shared" si="19"/>
        <v>22078.197518796638</v>
      </c>
      <c r="AZ11" s="37">
        <f t="shared" si="20"/>
        <v>22114.554250325065</v>
      </c>
      <c r="BA11" s="37">
        <f t="shared" si="21"/>
        <v>23215.22263803118</v>
      </c>
      <c r="BB11" s="37">
        <f t="shared" si="22"/>
        <v>24346.185281092145</v>
      </c>
      <c r="BC11" s="37">
        <f t="shared" si="23"/>
        <v>27363.900091930205</v>
      </c>
      <c r="BD11" s="37">
        <f t="shared" si="24"/>
        <v>100166.13841907137</v>
      </c>
      <c r="BE11" s="37">
        <f t="shared" si="25"/>
        <v>-15427.768378593551</v>
      </c>
    </row>
    <row r="12" spans="1:308" x14ac:dyDescent="0.25">
      <c r="A12" s="2">
        <f>'creep_res-40'!A12</f>
        <v>9.9999999999999995E-7</v>
      </c>
      <c r="B12" s="3">
        <f>'creep_res-40'!O12</f>
        <v>-5.2026417142857142E-4</v>
      </c>
      <c r="C12" s="2">
        <f>IF('Modell einstellen'!$B$2="Ja",creep_res0!O12,creep_res0!C12)</f>
        <v>-5.4088885714285724E-4</v>
      </c>
      <c r="D12" s="2">
        <f>IF('Modell einstellen'!$B$2="Ja",creep_res25!O12,creep_res25!C12)</f>
        <v>-5.6713196571428579E-4</v>
      </c>
      <c r="E12" s="2">
        <f>IF('Modell einstellen'!$B$2="Ja",creep_res50!O12,creep_res50!C12)</f>
        <v>-5.9499394285714288E-4</v>
      </c>
      <c r="F12" s="2">
        <f>IF('Modell einstellen'!$B$2="Ja",creep_res80!O12,creep_res80!C12)</f>
        <v>-6.4424862857142857E-4</v>
      </c>
      <c r="G12" s="2">
        <f>IF('Modell einstellen'!$B$2="Ja",creep_res125!O12,creep_res125!C12)</f>
        <v>-8.3242857142857153E-4</v>
      </c>
      <c r="H12" s="2">
        <f>IF('Modell einstellen'!$B$2="Ja",creep_res160!O12,creep_res160!C12)</f>
        <v>-1.2866492E-3</v>
      </c>
      <c r="M12" s="9">
        <f t="shared" si="26"/>
        <v>-10</v>
      </c>
      <c r="N12" s="2">
        <f t="shared" si="4"/>
        <v>9.9999999999999995E-7</v>
      </c>
      <c r="O12" s="2">
        <f t="shared" si="5"/>
        <v>19221.004538024255</v>
      </c>
      <c r="P12" s="2">
        <f t="shared" si="6"/>
        <v>18488.086541148401</v>
      </c>
      <c r="Q12" s="2">
        <f t="shared" si="7"/>
        <v>17632.580430209568</v>
      </c>
      <c r="R12" s="2">
        <f t="shared" si="27"/>
        <v>16806.893784464937</v>
      </c>
      <c r="S12" s="2">
        <f t="shared" si="8"/>
        <v>15521.957760584179</v>
      </c>
      <c r="T12" s="2">
        <f t="shared" si="9"/>
        <v>12013.042732109147</v>
      </c>
      <c r="U12" s="2">
        <f t="shared" si="10"/>
        <v>7772.1262330089658</v>
      </c>
      <c r="Z12" s="2">
        <v>9.9999999999999995E-7</v>
      </c>
      <c r="AA12" s="3">
        <f>IF('Modell einstellen'!$B$2="Ja",'creep_res-40'!P12,'creep_res-40'!L12)</f>
        <v>0.35490209753879987</v>
      </c>
      <c r="AB12" s="2">
        <f>IF('Modell einstellen'!$B$2="Ja",creep_res0!P12,creep_res0!L12)</f>
        <v>0.36387514519750819</v>
      </c>
      <c r="AC12" s="2">
        <f>IF('Modell einstellen'!$B$2="Ja",creep_res25!P12,creep_res25!L12)</f>
        <v>0.37619947643528545</v>
      </c>
      <c r="AD12" s="2">
        <f>IF('Modell einstellen'!$B$2="Ja",creep_res50!P12,creep_res50!L12)</f>
        <v>0.38885797060695171</v>
      </c>
      <c r="AE12" s="2">
        <f>IF('Modell einstellen'!$B$2="Ja",creep_res80!P12,creep_res80!L12)</f>
        <v>0.41092447804756133</v>
      </c>
      <c r="AF12" s="2">
        <f>IF('Modell einstellen'!$B$2="Ja",creep_res125!P12,creep_res125!L12)</f>
        <v>0.49163002574223441</v>
      </c>
      <c r="AG12" s="2">
        <f>IF('Modell einstellen'!$B$2="Ja",creep_res160!P12,creep_res160!L12)</f>
        <v>0.6328207741917089</v>
      </c>
      <c r="AL12" s="2">
        <f t="shared" si="11"/>
        <v>9.9999999999999995E-7</v>
      </c>
      <c r="AM12" s="2">
        <f t="shared" si="12"/>
        <v>7093.1340991129555</v>
      </c>
      <c r="AN12" s="2">
        <f t="shared" si="13"/>
        <v>6777.7782322116691</v>
      </c>
      <c r="AO12" s="2">
        <f t="shared" si="14"/>
        <v>6406.2589516029093</v>
      </c>
      <c r="AP12" s="2">
        <f t="shared" si="15"/>
        <v>6050.6164561665273</v>
      </c>
      <c r="AQ12" s="2">
        <f t="shared" si="16"/>
        <v>5500.6338050295499</v>
      </c>
      <c r="AR12" s="2">
        <f t="shared" si="17"/>
        <v>4026.8171479490911</v>
      </c>
      <c r="AS12" s="2">
        <f t="shared" si="18"/>
        <v>2379.9691784471511</v>
      </c>
      <c r="AX12" s="2">
        <f t="shared" si="28"/>
        <v>9.9999999999999995E-7</v>
      </c>
      <c r="AY12" s="37">
        <f t="shared" si="19"/>
        <v>22078.201696912933</v>
      </c>
      <c r="AZ12" s="37">
        <f t="shared" si="20"/>
        <v>22636.187647942024</v>
      </c>
      <c r="BA12" s="37">
        <f t="shared" si="21"/>
        <v>23737.89157279889</v>
      </c>
      <c r="BB12" s="37">
        <f t="shared" si="22"/>
        <v>25203.327484433135</v>
      </c>
      <c r="BC12" s="37">
        <f t="shared" si="23"/>
        <v>29042.692126785088</v>
      </c>
      <c r="BD12" s="37">
        <f t="shared" si="24"/>
        <v>239209.07365124312</v>
      </c>
      <c r="BE12" s="37">
        <f t="shared" si="25"/>
        <v>-9752.6488612277735</v>
      </c>
    </row>
    <row r="13" spans="1:308" x14ac:dyDescent="0.25">
      <c r="A13" s="2">
        <f>'creep_res-40'!A13</f>
        <v>1.0000000000000001E-5</v>
      </c>
      <c r="B13" s="3">
        <f>'creep_res-40'!O13</f>
        <v>-5.2026502857142854E-4</v>
      </c>
      <c r="C13" s="2">
        <f>IF('Modell einstellen'!$B$2="Ja",creep_res0!O13,creep_res0!C13)</f>
        <v>-5.4876942857142862E-4</v>
      </c>
      <c r="D13" s="2">
        <f>IF('Modell einstellen'!$B$2="Ja",creep_res25!O13,creep_res25!C13)</f>
        <v>-5.7693480000000003E-4</v>
      </c>
      <c r="E13" s="2">
        <f>IF('Modell einstellen'!$B$2="Ja",creep_res50!O13,creep_res50!C13)</f>
        <v>-6.0864839999999996E-4</v>
      </c>
      <c r="F13" s="2">
        <f>IF('Modell einstellen'!$B$2="Ja",creep_res80!O13,creep_res80!C13)</f>
        <v>-6.6256257142857146E-4</v>
      </c>
      <c r="G13" s="2">
        <f>IF('Modell einstellen'!$B$2="Ja",creep_res125!O13,creep_res125!C13)</f>
        <v>-8.6485817142857157E-4</v>
      </c>
      <c r="H13" s="2">
        <f>IF('Modell einstellen'!$B$2="Ja",creep_res160!O13,creep_res160!C13)</f>
        <v>-1.5242370285714288E-3</v>
      </c>
      <c r="M13" s="9">
        <f t="shared" si="26"/>
        <v>-10</v>
      </c>
      <c r="N13" s="2">
        <f t="shared" si="4"/>
        <v>1.0000000000000001E-5</v>
      </c>
      <c r="O13" s="2">
        <f t="shared" si="5"/>
        <v>19220.972871189388</v>
      </c>
      <c r="P13" s="2">
        <f t="shared" si="6"/>
        <v>18222.589450786771</v>
      </c>
      <c r="Q13" s="2">
        <f t="shared" si="7"/>
        <v>17332.981127156829</v>
      </c>
      <c r="R13" s="2">
        <f t="shared" si="27"/>
        <v>16429.846854111503</v>
      </c>
      <c r="S13" s="2">
        <f t="shared" si="8"/>
        <v>15092.91413554903</v>
      </c>
      <c r="T13" s="2">
        <f t="shared" si="9"/>
        <v>11562.58948618363</v>
      </c>
      <c r="U13" s="2">
        <f t="shared" si="10"/>
        <v>6560.6594070033643</v>
      </c>
      <c r="Z13" s="2">
        <v>1.0000000000000001E-5</v>
      </c>
      <c r="AA13" s="3">
        <f>IF('Modell einstellen'!$B$2="Ja",'creep_res-40'!P13,'creep_res-40'!L13)</f>
        <v>0.35490258920783019</v>
      </c>
      <c r="AB13" s="2">
        <f>IF('Modell einstellen'!$B$2="Ja",creep_res0!P13,creep_res0!L13)</f>
        <v>0.36817913117817369</v>
      </c>
      <c r="AC13" s="2">
        <f>IF('Modell einstellen'!$B$2="Ja",creep_res25!P13,creep_res25!L13)</f>
        <v>0.38141836081700342</v>
      </c>
      <c r="AD13" s="2">
        <f>IF('Modell einstellen'!$B$2="Ja",creep_res50!P13,creep_res50!L13)</f>
        <v>0.39593372556541445</v>
      </c>
      <c r="AE13" s="2">
        <f>IF('Modell einstellen'!$B$2="Ja",creep_res80!P13,creep_res80!L13)</f>
        <v>0.41955981300310613</v>
      </c>
      <c r="AF13" s="2">
        <f>IF('Modell einstellen'!$B$2="Ja",creep_res125!P13,creep_res125!L13)</f>
        <v>0.50443882524619388</v>
      </c>
      <c r="AG13" s="2">
        <f>IF('Modell einstellen'!$B$2="Ja",creep_res160!P13,creep_res160!L13)</f>
        <v>0.68333020421120849</v>
      </c>
      <c r="AL13" s="2">
        <f t="shared" si="11"/>
        <v>1.0000000000000001E-5</v>
      </c>
      <c r="AM13" s="2">
        <f t="shared" si="12"/>
        <v>7093.1198391270691</v>
      </c>
      <c r="AN13" s="2">
        <f t="shared" si="13"/>
        <v>6659.4311503256295</v>
      </c>
      <c r="AO13" s="2">
        <f t="shared" si="14"/>
        <v>6273.617616065887</v>
      </c>
      <c r="AP13" s="2">
        <f t="shared" si="15"/>
        <v>5884.895018012654</v>
      </c>
      <c r="AQ13" s="2">
        <f t="shared" si="16"/>
        <v>5316.0543139142828</v>
      </c>
      <c r="AR13" s="2">
        <f t="shared" si="17"/>
        <v>3842.8247437350828</v>
      </c>
      <c r="AS13" s="2">
        <f t="shared" si="18"/>
        <v>1948.7143373862357</v>
      </c>
      <c r="AX13" s="2">
        <f t="shared" si="28"/>
        <v>1.0000000000000001E-5</v>
      </c>
      <c r="AY13" s="37">
        <f t="shared" si="19"/>
        <v>22078.240135656793</v>
      </c>
      <c r="AZ13" s="37">
        <f t="shared" si="20"/>
        <v>23039.585984695968</v>
      </c>
      <c r="BA13" s="37">
        <f t="shared" si="21"/>
        <v>24361.530231517503</v>
      </c>
      <c r="BB13" s="37">
        <f t="shared" si="22"/>
        <v>26313.114636767765</v>
      </c>
      <c r="BC13" s="37">
        <f t="shared" si="23"/>
        <v>31271.504743708578</v>
      </c>
      <c r="BD13" s="37">
        <f t="shared" si="24"/>
        <v>-434146.00503808621</v>
      </c>
      <c r="BE13" s="37">
        <f t="shared" si="25"/>
        <v>-5964.337623498428</v>
      </c>
    </row>
    <row r="14" spans="1:308" x14ac:dyDescent="0.25">
      <c r="A14" s="2">
        <f>'creep_res-40'!A14</f>
        <v>1E-4</v>
      </c>
      <c r="B14" s="3">
        <f>'creep_res-40'!O14</f>
        <v>-5.202735885714286E-4</v>
      </c>
      <c r="C14" s="2">
        <f>IF('Modell einstellen'!$B$2="Ja",creep_res0!O14,creep_res0!C14)</f>
        <v>-5.5665492571428568E-4</v>
      </c>
      <c r="D14" s="2">
        <f>IF('Modell einstellen'!$B$2="Ja",creep_res25!O14,creep_res25!C14)</f>
        <v>-5.8849794285714295E-4</v>
      </c>
      <c r="E14" s="2">
        <f>IF('Modell einstellen'!$B$2="Ja",creep_res50!O14,creep_res50!C14)</f>
        <v>-6.2406720000000003E-4</v>
      </c>
      <c r="F14" s="2">
        <f>IF('Modell einstellen'!$B$2="Ja",creep_res80!O14,creep_res80!C14)</f>
        <v>-6.858794285714287E-4</v>
      </c>
      <c r="G14" s="2">
        <f>IF('Modell einstellen'!$B$2="Ja",creep_res125!O14,creep_res125!C14)</f>
        <v>-9.0430200000000006E-4</v>
      </c>
      <c r="H14" s="2">
        <f>IF('Modell einstellen'!$B$2="Ja",creep_res160!O14,creep_res160!C14)</f>
        <v>-1.9320319428571429E-3</v>
      </c>
      <c r="M14" s="9">
        <f t="shared" si="26"/>
        <v>-10</v>
      </c>
      <c r="N14" s="2">
        <f t="shared" si="4"/>
        <v>1E-4</v>
      </c>
      <c r="O14" s="2">
        <f t="shared" si="5"/>
        <v>19220.656630789352</v>
      </c>
      <c r="P14" s="2">
        <f t="shared" si="6"/>
        <v>17964.450754061414</v>
      </c>
      <c r="Q14" s="2">
        <f t="shared" si="7"/>
        <v>16992.41283911758</v>
      </c>
      <c r="R14" s="2">
        <f t="shared" si="27"/>
        <v>16023.915373216218</v>
      </c>
      <c r="S14" s="2">
        <f t="shared" si="8"/>
        <v>14579.822026195356</v>
      </c>
      <c r="T14" s="2">
        <f t="shared" si="9"/>
        <v>11058.252663380154</v>
      </c>
      <c r="U14" s="2">
        <f t="shared" si="10"/>
        <v>5175.897860783668</v>
      </c>
      <c r="Z14" s="2">
        <v>1E-4</v>
      </c>
      <c r="AA14" s="3">
        <f>IF('Modell einstellen'!$B$2="Ja",'creep_res-40'!P14,'creep_res-40'!L14)</f>
        <v>0.35490755753802411</v>
      </c>
      <c r="AB14" s="2">
        <f>IF('Modell einstellen'!$B$2="Ja",creep_res0!P14,creep_res0!L14)</f>
        <v>0.3724540831718347</v>
      </c>
      <c r="AC14" s="2">
        <f>IF('Modell einstellen'!$B$2="Ja",creep_res25!P14,creep_res25!L14)</f>
        <v>0.38754587223220294</v>
      </c>
      <c r="AD14" s="2">
        <f>IF('Modell einstellen'!$B$2="Ja",creep_res50!P14,creep_res50!L14)</f>
        <v>0.40330422291518786</v>
      </c>
      <c r="AE14" s="2">
        <f>IF('Modell einstellen'!$B$2="Ja",creep_res80!P14,creep_res80!L14)</f>
        <v>0.43080778045953932</v>
      </c>
      <c r="AF14" s="2">
        <f>IF('Modell einstellen'!$B$2="Ja",creep_res125!P14,creep_res125!L14)</f>
        <v>0.51986383183620388</v>
      </c>
      <c r="AG14" s="2">
        <f>IF('Modell einstellen'!$B$2="Ja",creep_res160!P14,creep_res160!L14)</f>
        <v>0.74524020735652441</v>
      </c>
      <c r="AL14" s="2">
        <f t="shared" si="11"/>
        <v>1E-4</v>
      </c>
      <c r="AM14" s="2">
        <f t="shared" si="12"/>
        <v>7092.9771274266232</v>
      </c>
      <c r="AN14" s="2">
        <f t="shared" si="13"/>
        <v>6544.645454565718</v>
      </c>
      <c r="AO14" s="2">
        <f t="shared" si="14"/>
        <v>6123.1895749079549</v>
      </c>
      <c r="AP14" s="2">
        <f t="shared" si="15"/>
        <v>5709.3519393565812</v>
      </c>
      <c r="AQ14" s="2">
        <f t="shared" si="16"/>
        <v>5094.9618199282804</v>
      </c>
      <c r="AR14" s="2">
        <f t="shared" si="17"/>
        <v>3637.9090125528774</v>
      </c>
      <c r="AS14" s="2">
        <f t="shared" si="18"/>
        <v>1482.8611668944652</v>
      </c>
      <c r="AX14" s="2">
        <f t="shared" si="28"/>
        <v>1E-4</v>
      </c>
      <c r="AY14" s="37">
        <f t="shared" si="19"/>
        <v>22078.632887014399</v>
      </c>
      <c r="AZ14" s="37">
        <f t="shared" si="20"/>
        <v>23474.488248107809</v>
      </c>
      <c r="BA14" s="37">
        <f t="shared" si="21"/>
        <v>25184.213890017851</v>
      </c>
      <c r="BB14" s="37">
        <f t="shared" si="22"/>
        <v>27619.123013616882</v>
      </c>
      <c r="BC14" s="37">
        <f t="shared" si="23"/>
        <v>35119.126887934013</v>
      </c>
      <c r="BD14" s="37">
        <f t="shared" si="24"/>
        <v>-92783.81561830506</v>
      </c>
      <c r="BE14" s="37">
        <f t="shared" si="25"/>
        <v>-3517.5701927614382</v>
      </c>
    </row>
    <row r="15" spans="1:308" x14ac:dyDescent="0.25">
      <c r="A15" s="2">
        <f>'creep_res-40'!A15</f>
        <v>1E-3</v>
      </c>
      <c r="B15" s="3">
        <f>'creep_res-40'!O15</f>
        <v>-5.2035845142857145E-4</v>
      </c>
      <c r="C15" s="2">
        <f>IF('Modell einstellen'!$B$2="Ja",creep_res0!O15,creep_res0!C15)</f>
        <v>-5.6579005714285722E-4</v>
      </c>
      <c r="D15" s="2">
        <f>IF('Modell einstellen'!$B$2="Ja",creep_res25!O15,creep_res25!C15)</f>
        <v>-6.0169605714285716E-4</v>
      </c>
      <c r="E15" s="2">
        <f>IF('Modell einstellen'!$B$2="Ja",creep_res50!O15,creep_res50!C15)</f>
        <v>-6.3871062857142865E-4</v>
      </c>
      <c r="F15" s="2">
        <f>IF('Modell einstellen'!$B$2="Ja",creep_res80!O15,creep_res80!C15)</f>
        <v>-7.1274022857142861E-4</v>
      </c>
      <c r="G15" s="2">
        <f>IF('Modell einstellen'!$B$2="Ja",creep_res125!O15,creep_res125!C15)</f>
        <v>-9.539845714285714E-4</v>
      </c>
      <c r="H15" s="2">
        <f>IF('Modell einstellen'!$B$2="Ja",creep_res160!O15,creep_res160!C15)</f>
        <v>-2.5970217714285713E-3</v>
      </c>
      <c r="M15" s="9">
        <f t="shared" si="26"/>
        <v>-10</v>
      </c>
      <c r="N15" s="2">
        <f t="shared" si="4"/>
        <v>1E-3</v>
      </c>
      <c r="O15" s="2">
        <f t="shared" si="5"/>
        <v>19217.522022648805</v>
      </c>
      <c r="P15" s="2">
        <f t="shared" si="6"/>
        <v>17674.400378292765</v>
      </c>
      <c r="Q15" s="2">
        <f t="shared" si="7"/>
        <v>16619.686769238309</v>
      </c>
      <c r="R15" s="2">
        <f t="shared" si="27"/>
        <v>15656.542341195242</v>
      </c>
      <c r="S15" s="2">
        <f t="shared" si="8"/>
        <v>14030.357203273577</v>
      </c>
      <c r="T15" s="2">
        <f t="shared" si="9"/>
        <v>10482.349819374138</v>
      </c>
      <c r="U15" s="2">
        <f t="shared" si="10"/>
        <v>3850.5645620749624</v>
      </c>
      <c r="Z15" s="2">
        <v>1E-3</v>
      </c>
      <c r="AA15" s="3">
        <f>IF('Modell einstellen'!$B$2="Ja",'creep_res-40'!P15,'creep_res-40'!L15)</f>
        <v>0.35495682322457078</v>
      </c>
      <c r="AB15" s="2">
        <f>IF('Modell einstellen'!$B$2="Ja",creep_res0!P15,creep_res0!L15)</f>
        <v>0.37740418808551496</v>
      </c>
      <c r="AC15" s="2">
        <f>IF('Modell einstellen'!$B$2="Ja",creep_res25!P15,creep_res25!L15)</f>
        <v>0.39448251091367348</v>
      </c>
      <c r="AD15" s="2">
        <f>IF('Modell einstellen'!$B$2="Ja",creep_res50!P15,creep_res50!L15)</f>
        <v>0.41102984620086391</v>
      </c>
      <c r="AE15" s="2">
        <f>IF('Modell einstellen'!$B$2="Ja",creep_res80!P15,creep_res80!L15)</f>
        <v>0.44354880968854687</v>
      </c>
      <c r="AF15" s="2">
        <f>IF('Modell einstellen'!$B$2="Ja",creep_res125!P15,creep_res125!L15)</f>
        <v>0.53833337825768979</v>
      </c>
      <c r="AG15" s="2">
        <f>IF('Modell einstellen'!$B$2="Ja",creep_res160!P15,creep_res160!L15)</f>
        <v>0.80816746989810162</v>
      </c>
      <c r="AL15" s="2">
        <f t="shared" si="11"/>
        <v>1E-3</v>
      </c>
      <c r="AM15" s="2">
        <f t="shared" si="12"/>
        <v>7091.5625107943715</v>
      </c>
      <c r="AN15" s="2">
        <f t="shared" si="13"/>
        <v>6415.8365900058752</v>
      </c>
      <c r="AO15" s="2">
        <f t="shared" si="14"/>
        <v>5959.0875608576071</v>
      </c>
      <c r="AP15" s="2">
        <f t="shared" si="15"/>
        <v>5547.9132434192643</v>
      </c>
      <c r="AQ15" s="2">
        <f t="shared" si="16"/>
        <v>4859.6753740182503</v>
      </c>
      <c r="AR15" s="2">
        <f t="shared" si="17"/>
        <v>3407.0475124340101</v>
      </c>
      <c r="AS15" s="2">
        <f t="shared" si="18"/>
        <v>1064.7698916660522</v>
      </c>
      <c r="AX15" s="2">
        <f t="shared" si="28"/>
        <v>1E-3</v>
      </c>
      <c r="AY15" s="37">
        <f t="shared" si="19"/>
        <v>22082.530239028241</v>
      </c>
      <c r="AZ15" s="37">
        <f t="shared" si="20"/>
        <v>24028.010014215506</v>
      </c>
      <c r="BA15" s="37">
        <f t="shared" si="21"/>
        <v>26251.077606735766</v>
      </c>
      <c r="BB15" s="37">
        <f t="shared" si="22"/>
        <v>29329.20324521096</v>
      </c>
      <c r="BC15" s="37">
        <f t="shared" si="23"/>
        <v>41423.269452970897</v>
      </c>
      <c r="BD15" s="37">
        <f t="shared" si="24"/>
        <v>-45575.380585679479</v>
      </c>
      <c r="BE15" s="37">
        <f t="shared" si="25"/>
        <v>-2082.5065038760617</v>
      </c>
    </row>
    <row r="16" spans="1:308" x14ac:dyDescent="0.25">
      <c r="A16" s="2">
        <f>'creep_res-40'!A16</f>
        <v>0.01</v>
      </c>
      <c r="B16" s="3">
        <f>'creep_res-40'!O16</f>
        <v>-5.2117016571428566E-4</v>
      </c>
      <c r="C16" s="2">
        <f>IF('Modell einstellen'!$B$2="Ja",creep_res0!O16,creep_res0!C16)</f>
        <v>-5.7584177142857142E-4</v>
      </c>
      <c r="D16" s="2">
        <f>IF('Modell einstellen'!$B$2="Ja",creep_res25!O16,creep_res25!C16)</f>
        <v>-6.1693605714285718E-4</v>
      </c>
      <c r="E16" s="2">
        <f>IF('Modell einstellen'!$B$2="Ja",creep_res50!O16,creep_res50!C16)</f>
        <v>-6.5660079999999997E-4</v>
      </c>
      <c r="F16" s="2">
        <f>IF('Modell einstellen'!$B$2="Ja",creep_res80!O16,creep_res80!C16)</f>
        <v>-7.3821708571428582E-4</v>
      </c>
      <c r="G16" s="2">
        <f>IF('Modell einstellen'!$B$2="Ja",creep_res125!O16,creep_res125!C16)</f>
        <v>-1.0185461142857143E-3</v>
      </c>
      <c r="H16" s="2">
        <f>IF('Modell einstellen'!$B$2="Ja",creep_res160!O16,creep_res160!C16)</f>
        <v>-3.5571900571428573E-3</v>
      </c>
      <c r="M16" s="9">
        <f t="shared" si="26"/>
        <v>-10</v>
      </c>
      <c r="N16" s="2">
        <f t="shared" si="4"/>
        <v>0.01</v>
      </c>
      <c r="O16" s="2">
        <f t="shared" si="5"/>
        <v>19187.591036210943</v>
      </c>
      <c r="P16" s="2">
        <f t="shared" si="6"/>
        <v>17365.881560123013</v>
      </c>
      <c r="Q16" s="2">
        <f t="shared" si="7"/>
        <v>16209.135264863289</v>
      </c>
      <c r="R16" s="2">
        <f t="shared" si="27"/>
        <v>15229.954029906758</v>
      </c>
      <c r="S16" s="2">
        <f t="shared" si="8"/>
        <v>13546.150845755861</v>
      </c>
      <c r="T16" s="2">
        <f t="shared" si="9"/>
        <v>9817.9158113158155</v>
      </c>
      <c r="U16" s="2">
        <f t="shared" si="10"/>
        <v>2811.2076777904922</v>
      </c>
      <c r="Z16" s="2">
        <v>0.01</v>
      </c>
      <c r="AA16" s="3">
        <f>IF('Modell einstellen'!$B$2="Ja",'creep_res-40'!P16,'creep_res-40'!L16)</f>
        <v>0.35542753741007366</v>
      </c>
      <c r="AB16" s="2">
        <f>IF('Modell einstellen'!$B$2="Ja",creep_res0!P16,creep_res0!L16)</f>
        <v>0.38281449537080187</v>
      </c>
      <c r="AC16" s="2">
        <f>IF('Modell einstellen'!$B$2="Ja",creep_res25!P16,creep_res25!L16)</f>
        <v>0.40188126002592905</v>
      </c>
      <c r="AD16" s="2">
        <f>IF('Modell einstellen'!$B$2="Ja",creep_res50!P16,creep_res50!L16)</f>
        <v>0.41958285765110254</v>
      </c>
      <c r="AE16" s="2">
        <f>IF('Modell einstellen'!$B$2="Ja",creep_res80!P16,creep_res80!L16)</f>
        <v>0.45538051176429006</v>
      </c>
      <c r="AF16" s="2">
        <f>IF('Modell einstellen'!$B$2="Ja",creep_res125!P16,creep_res125!L16)</f>
        <v>0.56052002302217097</v>
      </c>
      <c r="AG16" s="2">
        <f>IF('Modell einstellen'!$B$2="Ja",creep_res160!P16,creep_res160!L16)</f>
        <v>0.85914946735003972</v>
      </c>
      <c r="AL16" s="2">
        <f t="shared" si="11"/>
        <v>0.01</v>
      </c>
      <c r="AM16" s="2">
        <f t="shared" si="12"/>
        <v>7078.0585854387473</v>
      </c>
      <c r="AN16" s="2">
        <f t="shared" si="13"/>
        <v>6279.1797519689544</v>
      </c>
      <c r="AO16" s="2">
        <f t="shared" si="14"/>
        <v>5781.2083401997561</v>
      </c>
      <c r="AP16" s="2">
        <f t="shared" si="15"/>
        <v>5364.2356794540465</v>
      </c>
      <c r="AQ16" s="2">
        <f t="shared" si="16"/>
        <v>4653.8175879978271</v>
      </c>
      <c r="AR16" s="2">
        <f t="shared" si="17"/>
        <v>3145.7192687287707</v>
      </c>
      <c r="AS16" s="2">
        <f t="shared" si="18"/>
        <v>756.04671038027936</v>
      </c>
      <c r="AX16" s="2">
        <f t="shared" si="28"/>
        <v>0.01</v>
      </c>
      <c r="AY16" s="37">
        <f t="shared" si="19"/>
        <v>22119.923684493697</v>
      </c>
      <c r="AZ16" s="37">
        <f t="shared" si="20"/>
        <v>24698.563209776745</v>
      </c>
      <c r="BA16" s="37">
        <f t="shared" si="21"/>
        <v>27533.196460307085</v>
      </c>
      <c r="BB16" s="37">
        <f t="shared" si="22"/>
        <v>31564.484853718845</v>
      </c>
      <c r="BC16" s="37">
        <f t="shared" si="23"/>
        <v>50598.783107940209</v>
      </c>
      <c r="BD16" s="37">
        <f t="shared" si="24"/>
        <v>-27037.651675818404</v>
      </c>
      <c r="BE16" s="37">
        <f t="shared" si="25"/>
        <v>-1304.5671943275686</v>
      </c>
    </row>
    <row r="17" spans="1:57" x14ac:dyDescent="0.25">
      <c r="A17" s="2">
        <f>'creep_res-40'!A17</f>
        <v>0.1</v>
      </c>
      <c r="B17" s="3">
        <f>'creep_res-40'!O17</f>
        <v>-5.2714065714285722E-4</v>
      </c>
      <c r="C17" s="2">
        <f>IF('Modell einstellen'!$B$2="Ja",creep_res0!O17,creep_res0!C17)</f>
        <v>-5.8768102857142859E-4</v>
      </c>
      <c r="D17" s="2">
        <f>IF('Modell einstellen'!$B$2="Ja",creep_res25!O17,creep_res25!C17)</f>
        <v>-6.3134834285714285E-4</v>
      </c>
      <c r="E17" s="2">
        <f>IF('Modell einstellen'!$B$2="Ja",creep_res50!O17,creep_res50!C17)</f>
        <v>-6.7950274285714289E-4</v>
      </c>
      <c r="F17" s="2">
        <f>IF('Modell einstellen'!$B$2="Ja",creep_res80!O17,creep_res80!C17)</f>
        <v>-7.6294337142857147E-4</v>
      </c>
      <c r="G17" s="2">
        <f>IF('Modell einstellen'!$B$2="Ja",creep_res125!O17,creep_res125!C17)</f>
        <v>-1.1103050857142859E-3</v>
      </c>
      <c r="H17" s="2">
        <f>IF('Modell einstellen'!$B$2="Ja",creep_res160!O17,creep_res160!C17)</f>
        <v>-4.6141837142857148E-3</v>
      </c>
      <c r="M17" s="9">
        <f t="shared" si="26"/>
        <v>-10</v>
      </c>
      <c r="N17" s="2">
        <f t="shared" si="4"/>
        <v>0.1</v>
      </c>
      <c r="O17" s="2">
        <f t="shared" si="5"/>
        <v>18970.268873208846</v>
      </c>
      <c r="P17" s="2">
        <f t="shared" si="6"/>
        <v>17016.033381762583</v>
      </c>
      <c r="Q17" s="2">
        <f t="shared" si="7"/>
        <v>15839.116571915563</v>
      </c>
      <c r="R17" s="2">
        <f t="shared" si="27"/>
        <v>14716.644053491889</v>
      </c>
      <c r="S17" s="2">
        <f t="shared" si="8"/>
        <v>13107.132684402939</v>
      </c>
      <c r="T17" s="2">
        <f t="shared" si="9"/>
        <v>9006.5335452973814</v>
      </c>
      <c r="U17" s="2">
        <f t="shared" si="10"/>
        <v>2167.2305697407674</v>
      </c>
      <c r="Z17" s="2">
        <v>0.1</v>
      </c>
      <c r="AA17" s="3">
        <f>IF('Modell einstellen'!$B$2="Ja",'creep_res-40'!P17,'creep_res-40'!L17)</f>
        <v>0.35886729716974969</v>
      </c>
      <c r="AB17" s="2">
        <f>IF('Modell einstellen'!$B$2="Ja",creep_res0!P17,creep_res0!L17)</f>
        <v>0.389154242855551</v>
      </c>
      <c r="AC17" s="2">
        <f>IF('Modell einstellen'!$B$2="Ja",creep_res25!P17,creep_res25!L17)</f>
        <v>0.40958911883464649</v>
      </c>
      <c r="AD17" s="2">
        <f>IF('Modell einstellen'!$B$2="Ja",creep_res50!P17,creep_res50!L17)</f>
        <v>0.43076231879816651</v>
      </c>
      <c r="AE17" s="2">
        <f>IF('Modell einstellen'!$B$2="Ja",creep_res80!P17,creep_res80!L17)</f>
        <v>0.46639275755272308</v>
      </c>
      <c r="AF17" s="2">
        <f>IF('Modell einstellen'!$B$2="Ja",creep_res125!P17,creep_res125!L17)</f>
        <v>0.58678826962308783</v>
      </c>
      <c r="AG17" s="2">
        <f>IF('Modell einstellen'!$B$2="Ja",creep_res160!P17,creep_res160!L17)</f>
        <v>0.88691880061992689</v>
      </c>
      <c r="AL17" s="2">
        <f t="shared" si="11"/>
        <v>0.1</v>
      </c>
      <c r="AM17" s="2">
        <f t="shared" si="12"/>
        <v>6980.1771345591078</v>
      </c>
      <c r="AN17" s="2">
        <f t="shared" si="13"/>
        <v>6124.6018825038309</v>
      </c>
      <c r="AO17" s="2">
        <f t="shared" si="14"/>
        <v>5618.3452185734377</v>
      </c>
      <c r="AP17" s="2">
        <f t="shared" si="15"/>
        <v>5142.9380897638539</v>
      </c>
      <c r="AQ17" s="2">
        <f t="shared" si="16"/>
        <v>4469.1753341299773</v>
      </c>
      <c r="AR17" s="2">
        <f t="shared" si="17"/>
        <v>2837.9758401657195</v>
      </c>
      <c r="AS17" s="2">
        <f t="shared" si="18"/>
        <v>574.27764486440731</v>
      </c>
      <c r="AX17" s="2">
        <f t="shared" si="28"/>
        <v>0.1</v>
      </c>
      <c r="AY17" s="37">
        <f t="shared" si="19"/>
        <v>22402.40153744481</v>
      </c>
      <c r="AZ17" s="37">
        <f t="shared" si="20"/>
        <v>25585.152167180811</v>
      </c>
      <c r="BA17" s="37">
        <f t="shared" si="21"/>
        <v>29198.396564212995</v>
      </c>
      <c r="BB17" s="37">
        <f t="shared" si="22"/>
        <v>35425.421047323616</v>
      </c>
      <c r="BC17" s="37">
        <f t="shared" si="23"/>
        <v>65001.528093066168</v>
      </c>
      <c r="BD17" s="37">
        <f t="shared" si="24"/>
        <v>-17295.988625367216</v>
      </c>
      <c r="BE17" s="37">
        <f t="shared" si="25"/>
        <v>-933.54237214130342</v>
      </c>
    </row>
    <row r="18" spans="1:57" x14ac:dyDescent="0.25">
      <c r="A18" s="2">
        <f>'creep_res-40'!A18</f>
        <v>1</v>
      </c>
      <c r="B18" s="3">
        <f>'creep_res-40'!O18</f>
        <v>-5.3738724571428579E-4</v>
      </c>
      <c r="C18" s="2">
        <f>IF('Modell einstellen'!$B$2="Ja",creep_res0!O18,creep_res0!C18)</f>
        <v>-6.0114314285714284E-4</v>
      </c>
      <c r="D18" s="2">
        <f>IF('Modell einstellen'!$B$2="Ja",creep_res25!O18,creep_res25!C18)</f>
        <v>-6.481961714285714E-4</v>
      </c>
      <c r="E18" s="2">
        <f>IF('Modell einstellen'!$B$2="Ja",creep_res50!O18,creep_res50!C18)</f>
        <v>-7.0670925714285716E-4</v>
      </c>
      <c r="F18" s="2">
        <f>IF('Modell einstellen'!$B$2="Ja",creep_res80!O18,creep_res80!C18)</f>
        <v>-7.9293365714285728E-4</v>
      </c>
      <c r="G18" s="2">
        <f>IF('Modell einstellen'!$B$2="Ja",creep_res125!O18,creep_res125!C18)</f>
        <v>-1.2787949142857144E-3</v>
      </c>
      <c r="H18" s="2">
        <f>IF('Modell einstellen'!$B$2="Ja",creep_res160!O18,creep_res160!C18)</f>
        <v>-5.6234140000000002E-3</v>
      </c>
      <c r="M18" s="9">
        <f t="shared" si="26"/>
        <v>-10</v>
      </c>
      <c r="N18" s="2">
        <f t="shared" si="4"/>
        <v>1</v>
      </c>
      <c r="O18" s="2">
        <f t="shared" si="5"/>
        <v>18608.554780097496</v>
      </c>
      <c r="P18" s="2">
        <f t="shared" si="6"/>
        <v>16634.973082237128</v>
      </c>
      <c r="Q18" s="2">
        <f t="shared" si="7"/>
        <v>15427.42836317718</v>
      </c>
      <c r="R18" s="2">
        <f t="shared" si="27"/>
        <v>14150.090576751223</v>
      </c>
      <c r="S18" s="2">
        <f t="shared" si="8"/>
        <v>12611.395556133355</v>
      </c>
      <c r="T18" s="2">
        <f t="shared" si="9"/>
        <v>7819.862190792036</v>
      </c>
      <c r="U18" s="2">
        <f t="shared" si="10"/>
        <v>1778.2791734700663</v>
      </c>
      <c r="Z18" s="2">
        <v>1</v>
      </c>
      <c r="AA18" s="3">
        <f>IF('Modell einstellen'!$B$2="Ja",'creep_res-40'!P18,'creep_res-40'!L18)</f>
        <v>0.36471461580118525</v>
      </c>
      <c r="AB18" s="2">
        <f>IF('Modell einstellen'!$B$2="Ja",creep_res0!P18,creep_res0!L18)</f>
        <v>0.39629437438480308</v>
      </c>
      <c r="AC18" s="2">
        <f>IF('Modell einstellen'!$B$2="Ja",creep_res25!P18,creep_res25!L18)</f>
        <v>0.41770359114388039</v>
      </c>
      <c r="AD18" s="2">
        <f>IF('Modell einstellen'!$B$2="Ja",creep_res50!P18,creep_res50!L18)</f>
        <v>0.44351746347578624</v>
      </c>
      <c r="AE18" s="2">
        <f>IF('Modell einstellen'!$B$2="Ja",creep_res80!P18,creep_res80!L18)</f>
        <v>0.47744824481442832</v>
      </c>
      <c r="AF18" s="2">
        <f>IF('Modell einstellen'!$B$2="Ja",creep_res125!P18,creep_res125!L18)</f>
        <v>0.61156764956078513</v>
      </c>
      <c r="AG18" s="2">
        <f>IF('Modell einstellen'!$B$2="Ja",creep_res160!P18,creep_res160!L18)</f>
        <v>0.88233328924894572</v>
      </c>
      <c r="AL18" s="2">
        <f t="shared" si="11"/>
        <v>1</v>
      </c>
      <c r="AM18" s="2">
        <f t="shared" si="12"/>
        <v>6817.7458366168885</v>
      </c>
      <c r="AN18" s="2">
        <f t="shared" si="13"/>
        <v>5956.8287989294422</v>
      </c>
      <c r="AO18" s="2">
        <f t="shared" si="14"/>
        <v>5440.9922001853329</v>
      </c>
      <c r="AP18" s="2">
        <f t="shared" si="15"/>
        <v>4901.2536857987861</v>
      </c>
      <c r="AQ18" s="2">
        <f t="shared" si="16"/>
        <v>4267.9652571239076</v>
      </c>
      <c r="AR18" s="2">
        <f t="shared" si="17"/>
        <v>2426.1662837806571</v>
      </c>
      <c r="AS18" s="2">
        <f t="shared" si="18"/>
        <v>472.36033693576201</v>
      </c>
      <c r="AX18" s="2">
        <f t="shared" si="28"/>
        <v>1</v>
      </c>
      <c r="AY18" s="37">
        <f t="shared" si="19"/>
        <v>22925.061824306722</v>
      </c>
      <c r="AZ18" s="37">
        <f t="shared" si="20"/>
        <v>26734.282708959516</v>
      </c>
      <c r="BA18" s="37">
        <f t="shared" si="21"/>
        <v>31243.624069002512</v>
      </c>
      <c r="BB18" s="37">
        <f t="shared" si="22"/>
        <v>41753.585702503391</v>
      </c>
      <c r="BC18" s="37">
        <f t="shared" si="23"/>
        <v>93203.355661661641</v>
      </c>
      <c r="BD18" s="37">
        <f t="shared" si="24"/>
        <v>-11681.794590661575</v>
      </c>
      <c r="BE18" s="37">
        <f t="shared" si="25"/>
        <v>-775.18717459109746</v>
      </c>
    </row>
    <row r="19" spans="1:57" x14ac:dyDescent="0.25">
      <c r="A19" s="2">
        <f>'creep_res-40'!A19</f>
        <v>10</v>
      </c>
      <c r="B19" s="3">
        <f>'creep_res-40'!O19</f>
        <v>-5.4510416571428575E-4</v>
      </c>
      <c r="C19" s="2">
        <f>IF('Modell einstellen'!$B$2="Ja",creep_res0!O19,creep_res0!C19)</f>
        <v>-6.1650040000000011E-4</v>
      </c>
      <c r="D19" s="2">
        <f>IF('Modell einstellen'!$B$2="Ja",creep_res25!O19,creep_res25!C19)</f>
        <v>-6.7047302857142863E-4</v>
      </c>
      <c r="E19" s="2">
        <f>IF('Modell einstellen'!$B$2="Ja",creep_res50!O19,creep_res50!C19)</f>
        <v>-7.3743742857142864E-4</v>
      </c>
      <c r="F19" s="2">
        <f>IF('Modell einstellen'!$B$2="Ja",creep_res80!O19,creep_res80!C19)</f>
        <v>-8.4745777142857144E-4</v>
      </c>
      <c r="G19" s="2">
        <f>IF('Modell einstellen'!$B$2="Ja",creep_res125!O19,creep_res125!C19)</f>
        <v>-1.6690684000000003E-3</v>
      </c>
      <c r="H19" s="2">
        <f>IF('Modell einstellen'!$B$2="Ja",creep_res160!O19,creep_res160!C19)</f>
        <v>-6.7562577142857147E-3</v>
      </c>
      <c r="M19" s="9">
        <f t="shared" si="26"/>
        <v>-10</v>
      </c>
      <c r="N19" s="2">
        <f t="shared" si="4"/>
        <v>10</v>
      </c>
      <c r="O19" s="2">
        <f t="shared" si="5"/>
        <v>18345.117555460878</v>
      </c>
      <c r="P19" s="2">
        <f t="shared" si="6"/>
        <v>16220.589637898043</v>
      </c>
      <c r="Q19" s="2">
        <f t="shared" si="7"/>
        <v>14914.843064316723</v>
      </c>
      <c r="R19" s="2">
        <f t="shared" si="27"/>
        <v>13560.472539849385</v>
      </c>
      <c r="S19" s="2">
        <f t="shared" si="8"/>
        <v>11799.997990628914</v>
      </c>
      <c r="T19" s="2">
        <f t="shared" si="9"/>
        <v>5991.3662016487751</v>
      </c>
      <c r="U19" s="2">
        <f t="shared" si="10"/>
        <v>1480.1093183369221</v>
      </c>
      <c r="Z19" s="2">
        <v>10</v>
      </c>
      <c r="AA19" s="3">
        <f>IF('Modell einstellen'!$B$2="Ja",'creep_res-40'!P19,'creep_res-40'!L19)</f>
        <v>0.368997751402251</v>
      </c>
      <c r="AB19" s="2">
        <f>IF('Modell einstellen'!$B$2="Ja",creep_res0!P19,creep_res0!L19)</f>
        <v>0.40375680905594591</v>
      </c>
      <c r="AC19" s="2">
        <f>IF('Modell einstellen'!$B$2="Ja",creep_res25!P19,creep_res25!L19)</f>
        <v>0.42821784330005652</v>
      </c>
      <c r="AD19" s="2">
        <f>IF('Modell einstellen'!$B$2="Ja",creep_res50!P19,creep_res50!L19)</f>
        <v>0.45456280842810487</v>
      </c>
      <c r="AE19" s="2">
        <f>IF('Modell einstellen'!$B$2="Ja",creep_res80!P19,creep_res80!L19)</f>
        <v>0.48361266176195816</v>
      </c>
      <c r="AF19" s="2">
        <f>IF('Modell einstellen'!$B$2="Ja",creep_res125!P19,creep_res125!L19)</f>
        <v>0.61509043008662778</v>
      </c>
      <c r="AG19" s="2">
        <f>IF('Modell einstellen'!$B$2="Ja",creep_res160!P19,creep_res160!L19)</f>
        <v>0.82835141787283606</v>
      </c>
      <c r="AL19" s="2">
        <f t="shared" si="11"/>
        <v>10</v>
      </c>
      <c r="AM19" s="2">
        <f t="shared" si="12"/>
        <v>6700.2000319833087</v>
      </c>
      <c r="AN19" s="2">
        <f t="shared" si="13"/>
        <v>5777.56401011038</v>
      </c>
      <c r="AO19" s="2">
        <f t="shared" si="14"/>
        <v>5221.4874412485688</v>
      </c>
      <c r="AP19" s="2">
        <f t="shared" si="15"/>
        <v>4661.3568218837227</v>
      </c>
      <c r="AQ19" s="2">
        <f t="shared" si="16"/>
        <v>3976.7785402340392</v>
      </c>
      <c r="AR19" s="2">
        <f t="shared" si="17"/>
        <v>1854.808278855141</v>
      </c>
      <c r="AS19" s="2">
        <f t="shared" si="18"/>
        <v>404.76609252146119</v>
      </c>
      <c r="AX19" s="2">
        <f t="shared" si="28"/>
        <v>10</v>
      </c>
      <c r="AY19" s="37">
        <f t="shared" si="19"/>
        <v>23339.443599667724</v>
      </c>
      <c r="AZ19" s="37">
        <f t="shared" si="20"/>
        <v>28089.588258641987</v>
      </c>
      <c r="BA19" s="37">
        <f t="shared" si="21"/>
        <v>34629.875886524846</v>
      </c>
      <c r="BB19" s="37">
        <f t="shared" si="22"/>
        <v>49740.722928824689</v>
      </c>
      <c r="BC19" s="37">
        <f t="shared" si="23"/>
        <v>120011.3345562145</v>
      </c>
      <c r="BD19" s="37">
        <f t="shared" si="24"/>
        <v>-8676.3168132790815</v>
      </c>
      <c r="BE19" s="37">
        <f t="shared" si="25"/>
        <v>-751.2831465372966</v>
      </c>
    </row>
    <row r="20" spans="1:57" x14ac:dyDescent="0.25">
      <c r="A20" s="2">
        <f>'creep_res-40'!A20</f>
        <v>100</v>
      </c>
      <c r="B20" s="3">
        <f>'creep_res-40'!O20</f>
        <v>-5.531446114285715E-4</v>
      </c>
      <c r="C20" s="2">
        <f>IF('Modell einstellen'!$B$2="Ja",creep_res0!O20,creep_res0!C20)</f>
        <v>-6.3240502857142859E-4</v>
      </c>
      <c r="D20" s="2">
        <f>IF('Modell einstellen'!$B$2="Ja",creep_res25!O20,creep_res25!C20)</f>
        <v>-7.0504165714285728E-4</v>
      </c>
      <c r="E20" s="2">
        <f>IF('Modell einstellen'!$B$2="Ja",creep_res50!O20,creep_res50!C20)</f>
        <v>-7.9729805714285717E-4</v>
      </c>
      <c r="F20" s="2">
        <f>IF('Modell einstellen'!$B$2="Ja",creep_res80!O20,creep_res80!C20)</f>
        <v>-9.8356862857142862E-4</v>
      </c>
      <c r="G20" s="2">
        <f>IF('Modell einstellen'!$B$2="Ja",creep_res125!O20,creep_res125!C20)</f>
        <v>-2.4705964000000004E-3</v>
      </c>
      <c r="H20" s="2">
        <f>IF('Modell einstellen'!$B$2="Ja",creep_res160!O20,creep_res160!C20)</f>
        <v>-8.7672800000000006E-3</v>
      </c>
      <c r="M20" s="9">
        <f t="shared" si="26"/>
        <v>-10</v>
      </c>
      <c r="N20" s="2">
        <f t="shared" si="4"/>
        <v>100</v>
      </c>
      <c r="O20" s="2">
        <f t="shared" si="5"/>
        <v>18078.455061098099</v>
      </c>
      <c r="P20" s="2">
        <f t="shared" si="6"/>
        <v>15812.650988227435</v>
      </c>
      <c r="Q20" s="2">
        <f t="shared" si="7"/>
        <v>14183.559082912139</v>
      </c>
      <c r="R20" s="2">
        <f t="shared" si="27"/>
        <v>12542.360928151909</v>
      </c>
      <c r="S20" s="2">
        <f t="shared" si="8"/>
        <v>10167.058718133751</v>
      </c>
      <c r="T20" s="2">
        <f t="shared" si="9"/>
        <v>4047.605671246019</v>
      </c>
      <c r="U20" s="2">
        <f t="shared" si="10"/>
        <v>1140.6046116925659</v>
      </c>
      <c r="Z20" s="2">
        <v>100</v>
      </c>
      <c r="AA20" s="3">
        <f>IF('Modell einstellen'!$B$2="Ja",'creep_res-40'!P20,'creep_res-40'!L20)</f>
        <v>0.37343228673851209</v>
      </c>
      <c r="AB20" s="2">
        <f>IF('Modell einstellen'!$B$2="Ja",creep_res0!P20,creep_res0!L20)</f>
        <v>0.41130037097382799</v>
      </c>
      <c r="AC20" s="2">
        <f>IF('Modell einstellen'!$B$2="Ja",creep_res25!P20,creep_res25!L20)</f>
        <v>0.43961044976552138</v>
      </c>
      <c r="AD20" s="2">
        <f>IF('Modell einstellen'!$B$2="Ja",creep_res50!P20,creep_res50!L20)</f>
        <v>0.45886276191674802</v>
      </c>
      <c r="AE20" s="2">
        <f>IF('Modell einstellen'!$B$2="Ja",creep_res80!P20,creep_res80!L20)</f>
        <v>0.47534307577694779</v>
      </c>
      <c r="AF20" s="2">
        <f>IF('Modell einstellen'!$B$2="Ja",creep_res125!P20,creep_res125!L20)</f>
        <v>0.59458284184799615</v>
      </c>
      <c r="AG20" s="2">
        <f>IF('Modell einstellen'!$B$2="Ja",creep_res160!P20,creep_res160!L20)</f>
        <v>0.71455639605442056</v>
      </c>
      <c r="AL20" s="2">
        <f t="shared" si="11"/>
        <v>100</v>
      </c>
      <c r="AM20" s="2">
        <f t="shared" si="12"/>
        <v>6581.4875752007347</v>
      </c>
      <c r="AN20" s="2">
        <f t="shared" si="13"/>
        <v>5602.1564627366897</v>
      </c>
      <c r="AO20" s="2">
        <f t="shared" si="14"/>
        <v>4926.1795387850607</v>
      </c>
      <c r="AP20" s="2">
        <f t="shared" si="15"/>
        <v>4298.6774546472579</v>
      </c>
      <c r="AQ20" s="2">
        <f t="shared" si="16"/>
        <v>3445.6591436468279</v>
      </c>
      <c r="AR20" s="2">
        <f t="shared" si="17"/>
        <v>1269.173844412863</v>
      </c>
      <c r="AS20" s="2">
        <f t="shared" si="18"/>
        <v>332.62382454066642</v>
      </c>
      <c r="AX20" s="2">
        <f t="shared" si="28"/>
        <v>100</v>
      </c>
      <c r="AY20" s="37">
        <f t="shared" si="19"/>
        <v>23806.038411165402</v>
      </c>
      <c r="AZ20" s="37">
        <f t="shared" si="20"/>
        <v>29711.982567521412</v>
      </c>
      <c r="BA20" s="37">
        <f t="shared" si="21"/>
        <v>39144.628576303541</v>
      </c>
      <c r="BB20" s="37">
        <f t="shared" si="22"/>
        <v>50815.115098268368</v>
      </c>
      <c r="BC20" s="37">
        <f t="shared" si="23"/>
        <v>68723.485988223809</v>
      </c>
      <c r="BD20" s="37">
        <f t="shared" si="24"/>
        <v>-7132.3818572909804</v>
      </c>
      <c r="BE20" s="37">
        <f t="shared" si="25"/>
        <v>-886.01771893675016</v>
      </c>
    </row>
    <row r="21" spans="1:57" x14ac:dyDescent="0.25">
      <c r="A21" s="2">
        <f>'creep_res-40'!A21</f>
        <v>1000</v>
      </c>
      <c r="B21" s="3">
        <f>'creep_res-40'!O21</f>
        <v>-5.6241089714285724E-4</v>
      </c>
      <c r="C21" s="2">
        <f>IF('Modell einstellen'!$B$2="Ja",creep_res0!O21,creep_res0!C21)</f>
        <v>-6.5889742857142865E-4</v>
      </c>
      <c r="D21" s="2">
        <f>IF('Modell einstellen'!$B$2="Ja",creep_res25!O21,creep_res25!C21)</f>
        <v>-7.793978857142858E-4</v>
      </c>
      <c r="E21" s="2">
        <f>IF('Modell einstellen'!$B$2="Ja",creep_res50!O21,creep_res50!C21)</f>
        <v>-9.3838194285714291E-4</v>
      </c>
      <c r="F21" s="2">
        <f>IF('Modell einstellen'!$B$2="Ja",creep_res80!O21,creep_res80!C21)</f>
        <v>-1.209907542857143E-3</v>
      </c>
      <c r="G21" s="2">
        <f>IF('Modell einstellen'!$B$2="Ja",creep_res125!O21,creep_res125!C21)</f>
        <v>-3.9668505142857148E-3</v>
      </c>
      <c r="H21" s="2">
        <f>IF('Modell einstellen'!$B$2="Ja",creep_res160!O21,creep_res160!C21)</f>
        <v>-1.1606206285714286E-2</v>
      </c>
      <c r="M21" s="9">
        <f t="shared" si="26"/>
        <v>-10</v>
      </c>
      <c r="N21" s="2">
        <f t="shared" si="4"/>
        <v>1000</v>
      </c>
      <c r="O21" s="2">
        <f t="shared" si="5"/>
        <v>17780.594314231279</v>
      </c>
      <c r="P21" s="2">
        <f t="shared" si="6"/>
        <v>15176.869063947086</v>
      </c>
      <c r="Q21" s="2">
        <f t="shared" si="7"/>
        <v>12830.417150587233</v>
      </c>
      <c r="R21" s="2">
        <f t="shared" si="27"/>
        <v>10656.641547846128</v>
      </c>
      <c r="S21" s="2">
        <f t="shared" si="8"/>
        <v>8265.0943529002579</v>
      </c>
      <c r="T21" s="2">
        <f t="shared" si="9"/>
        <v>2520.8915647280537</v>
      </c>
      <c r="U21" s="2">
        <f t="shared" si="10"/>
        <v>861.60798402391697</v>
      </c>
      <c r="Z21" s="2">
        <v>1000</v>
      </c>
      <c r="AA21" s="3">
        <f>IF('Modell einstellen'!$B$2="Ja",'creep_res-40'!P21,'creep_res-40'!L21)</f>
        <v>0.37847426589692063</v>
      </c>
      <c r="AB21" s="2">
        <f>IF('Modell einstellen'!$B$2="Ja",creep_res0!P21,creep_res0!L21)</f>
        <v>0.41871405087546681</v>
      </c>
      <c r="AC21" s="2">
        <f>IF('Modell einstellen'!$B$2="Ja",creep_res25!P21,creep_res25!L21)</f>
        <v>0.44389699213231482</v>
      </c>
      <c r="AD21" s="2">
        <f>IF('Modell einstellen'!$B$2="Ja",creep_res50!P21,creep_res50!L21)</f>
        <v>0.45038692134131919</v>
      </c>
      <c r="AE21" s="2">
        <f>IF('Modell einstellen'!$B$2="Ja",creep_res80!P21,creep_res80!L21)</f>
        <v>0.45544729226535463</v>
      </c>
      <c r="AF21" s="2">
        <f>IF('Modell einstellen'!$B$2="Ja",creep_res125!P21,creep_res125!L21)</f>
        <v>0.55955612083707895</v>
      </c>
      <c r="AG21" s="2">
        <f>IF('Modell einstellen'!$B$2="Ja",creep_res160!P21,creep_res160!L21)</f>
        <v>0.59490811344728323</v>
      </c>
      <c r="AL21" s="2">
        <f t="shared" si="11"/>
        <v>1000</v>
      </c>
      <c r="AM21" s="2">
        <f t="shared" si="12"/>
        <v>6449.3747740231202</v>
      </c>
      <c r="AN21" s="2">
        <f t="shared" si="13"/>
        <v>5348.811853446321</v>
      </c>
      <c r="AO21" s="2">
        <f t="shared" si="14"/>
        <v>4442.9821588725517</v>
      </c>
      <c r="AP21" s="2">
        <f t="shared" si="15"/>
        <v>3673.7236771243274</v>
      </c>
      <c r="AQ21" s="2">
        <f t="shared" si="16"/>
        <v>2839.3657389117534</v>
      </c>
      <c r="AR21" s="2">
        <f t="shared" si="17"/>
        <v>808.20803145416335</v>
      </c>
      <c r="AS21" s="2">
        <f t="shared" si="18"/>
        <v>270.11210763785351</v>
      </c>
      <c r="AX21" s="2">
        <f t="shared" si="28"/>
        <v>1000</v>
      </c>
      <c r="AY21" s="37">
        <f t="shared" si="19"/>
        <v>24385.225134222183</v>
      </c>
      <c r="AZ21" s="37">
        <f t="shared" si="20"/>
        <v>31118.270802857416</v>
      </c>
      <c r="BA21" s="37">
        <f t="shared" si="21"/>
        <v>38115.654395473255</v>
      </c>
      <c r="BB21" s="37">
        <f t="shared" si="22"/>
        <v>35799.167732765876</v>
      </c>
      <c r="BC21" s="37">
        <f t="shared" si="23"/>
        <v>30918.78800471163</v>
      </c>
      <c r="BD21" s="37">
        <f t="shared" si="24"/>
        <v>-7054.6668959634899</v>
      </c>
      <c r="BE21" s="37">
        <f t="shared" si="25"/>
        <v>-1513.0564232573886</v>
      </c>
    </row>
    <row r="22" spans="1:57" x14ac:dyDescent="0.25">
      <c r="A22" s="2">
        <f>'creep_res-40'!A22</f>
        <v>10000</v>
      </c>
      <c r="B22" s="3">
        <f>'creep_res-40'!O22</f>
        <v>-5.7446554285714283E-4</v>
      </c>
      <c r="C22" s="2">
        <f>IF('Modell einstellen'!$B$2="Ja",creep_res0!O22,creep_res0!C22)</f>
        <v>-7.3297771428571445E-4</v>
      </c>
      <c r="D22" s="2">
        <f>IF('Modell einstellen'!$B$2="Ja",creep_res25!O22,creep_res25!C22)</f>
        <v>-9.2856325714285712E-4</v>
      </c>
      <c r="E22" s="2">
        <f>IF('Modell einstellen'!$B$2="Ja",creep_res50!O22,creep_res50!C22)</f>
        <v>-1.1411583428571428E-3</v>
      </c>
      <c r="F22" s="2">
        <f>IF('Modell einstellen'!$B$2="Ja",creep_res80!O22,creep_res80!C22)</f>
        <v>-1.4887029142857144E-3</v>
      </c>
      <c r="G22" s="2">
        <f>IF('Modell einstellen'!$B$2="Ja",creep_res125!O22,creep_res125!C22)</f>
        <v>-6.4758148571428583E-3</v>
      </c>
      <c r="H22" s="2">
        <f>IF('Modell einstellen'!$B$2="Ja",creep_res160!O22,creep_res160!C22)</f>
        <v>-1.4358287428571431E-2</v>
      </c>
      <c r="M22" s="9">
        <f t="shared" si="26"/>
        <v>-10</v>
      </c>
      <c r="N22" s="2">
        <f t="shared" si="4"/>
        <v>10000</v>
      </c>
      <c r="O22" s="2">
        <f t="shared" si="5"/>
        <v>17407.484442433797</v>
      </c>
      <c r="P22" s="2">
        <f t="shared" si="6"/>
        <v>13642.979595559715</v>
      </c>
      <c r="Q22" s="2">
        <f t="shared" si="7"/>
        <v>10769.325539295516</v>
      </c>
      <c r="R22" s="2">
        <f t="shared" si="27"/>
        <v>8763.0257996999644</v>
      </c>
      <c r="S22" s="2">
        <f t="shared" si="8"/>
        <v>6717.2569516988151</v>
      </c>
      <c r="T22" s="2">
        <f t="shared" si="9"/>
        <v>1544.2072110770657</v>
      </c>
      <c r="U22" s="2">
        <f t="shared" si="10"/>
        <v>696.46189002325491</v>
      </c>
      <c r="Z22" s="2">
        <v>10000</v>
      </c>
      <c r="AA22" s="3">
        <f>IF('Modell einstellen'!$B$2="Ja",'creep_res-40'!P22,'creep_res-40'!L22)</f>
        <v>0.38388349439235298</v>
      </c>
      <c r="AB22" s="2">
        <f>IF('Modell einstellen'!$B$2="Ja",creep_res0!P22,creep_res0!L22)</f>
        <v>0.42311682834247144</v>
      </c>
      <c r="AC22" s="2">
        <f>IF('Modell einstellen'!$B$2="Ja",creep_res25!P22,creep_res25!L22)</f>
        <v>0.43484850974380884</v>
      </c>
      <c r="AD22" s="2">
        <f>IF('Modell einstellen'!$B$2="Ja",creep_res50!P22,creep_res50!L22)</f>
        <v>0.43376077870951285</v>
      </c>
      <c r="AE22" s="2">
        <f>IF('Modell einstellen'!$B$2="Ja",creep_res80!P22,creep_res80!L22)</f>
        <v>0.43618769029269239</v>
      </c>
      <c r="AF22" s="2">
        <f>IF('Modell einstellen'!$B$2="Ja",creep_res125!P22,creep_res125!L22)</f>
        <v>0.51681712245192568</v>
      </c>
      <c r="AG22" s="2">
        <f>IF('Modell einstellen'!$B$2="Ja",creep_res160!P22,creep_res160!L22)</f>
        <v>0.51250242617474107</v>
      </c>
      <c r="AL22" s="2">
        <f t="shared" si="11"/>
        <v>10000</v>
      </c>
      <c r="AM22" s="2">
        <f t="shared" si="12"/>
        <v>6289.3605252793404</v>
      </c>
      <c r="AN22" s="2">
        <f t="shared" si="13"/>
        <v>4793.3449045957559</v>
      </c>
      <c r="AO22" s="2">
        <f t="shared" si="14"/>
        <v>3752.7744100380223</v>
      </c>
      <c r="AP22" s="2">
        <f t="shared" si="15"/>
        <v>3055.9581241953465</v>
      </c>
      <c r="AQ22" s="2">
        <f t="shared" si="16"/>
        <v>2338.5721090290958</v>
      </c>
      <c r="AR22" s="2">
        <f t="shared" si="17"/>
        <v>509.02880387480866</v>
      </c>
      <c r="AS22" s="2">
        <f t="shared" si="18"/>
        <v>230.23496622900356</v>
      </c>
      <c r="AX22" s="2">
        <f t="shared" si="28"/>
        <v>10000</v>
      </c>
      <c r="AY22" s="37">
        <f t="shared" si="19"/>
        <v>24985.658945641175</v>
      </c>
      <c r="AZ22" s="37">
        <f t="shared" si="20"/>
        <v>29575.131769042044</v>
      </c>
      <c r="BA22" s="37">
        <f t="shared" si="21"/>
        <v>27549.447953142146</v>
      </c>
      <c r="BB22" s="37">
        <f t="shared" si="22"/>
        <v>22048.935230459032</v>
      </c>
      <c r="BC22" s="37">
        <f t="shared" si="23"/>
        <v>17544.308150233417</v>
      </c>
      <c r="BD22" s="37">
        <f t="shared" si="24"/>
        <v>-15303.918327797739</v>
      </c>
      <c r="BE22" s="37">
        <f t="shared" si="25"/>
        <v>-9284.3564959459982</v>
      </c>
    </row>
    <row r="23" spans="1:57" x14ac:dyDescent="0.25">
      <c r="A23" s="2">
        <f>'creep_res-40'!A23</f>
        <v>100000</v>
      </c>
      <c r="B23" s="3">
        <f>'creep_res-40'!O23</f>
        <v>-5.9813674285714286E-4</v>
      </c>
      <c r="C23" s="2">
        <f>IF('Modell einstellen'!$B$2="Ja",creep_res0!O23,creep_res0!C23)</f>
        <v>-8.7946508571428578E-4</v>
      </c>
      <c r="D23" s="2">
        <f>IF('Modell einstellen'!$B$2="Ja",creep_res25!O23,creep_res25!C23)</f>
        <v>-1.1236970857142858E-3</v>
      </c>
      <c r="E23" s="2">
        <f>IF('Modell einstellen'!$B$2="Ja",creep_res50!O23,creep_res50!C23)</f>
        <v>-1.363100342857143E-3</v>
      </c>
      <c r="F23" s="2">
        <f>IF('Modell einstellen'!$B$2="Ja",creep_res80!O23,creep_res80!C23)</f>
        <v>-1.7958230857142859E-3</v>
      </c>
      <c r="G23" s="2">
        <f>IF('Modell einstellen'!$B$2="Ja",creep_res125!O23,creep_res125!C23)</f>
        <v>-9.8433360000000011E-3</v>
      </c>
      <c r="H23" s="2">
        <f>IF('Modell einstellen'!$B$2="Ja",creep_res160!O23,creep_res160!C23)</f>
        <v>-1.7147691428571431E-2</v>
      </c>
      <c r="M23" s="9">
        <f t="shared" si="26"/>
        <v>-10</v>
      </c>
      <c r="N23" s="2">
        <f t="shared" si="4"/>
        <v>100000</v>
      </c>
      <c r="O23" s="2">
        <f t="shared" si="5"/>
        <v>16718.585038318521</v>
      </c>
      <c r="P23" s="2">
        <f t="shared" si="6"/>
        <v>11370.548032476103</v>
      </c>
      <c r="Q23" s="2">
        <f t="shared" si="7"/>
        <v>8899.1954567929042</v>
      </c>
      <c r="R23" s="2">
        <f t="shared" si="27"/>
        <v>7336.2170675119769</v>
      </c>
      <c r="S23" s="2">
        <f t="shared" si="8"/>
        <v>5568.477251211255</v>
      </c>
      <c r="T23" s="2">
        <f t="shared" si="9"/>
        <v>1015.9157423865241</v>
      </c>
      <c r="U23" s="2">
        <f t="shared" si="10"/>
        <v>583.16887970925518</v>
      </c>
      <c r="Z23" s="2">
        <v>100000</v>
      </c>
      <c r="AA23" s="3">
        <f>IF('Modell einstellen'!$B$2="Ja",'creep_res-40'!P23,'creep_res-40'!L23)</f>
        <v>0.38955598590785695</v>
      </c>
      <c r="AB23" s="2">
        <f>IF('Modell einstellen'!$B$2="Ja",creep_res0!P23,creep_res0!L23)</f>
        <v>0.41923118981609542</v>
      </c>
      <c r="AC23" s="2">
        <f>IF('Modell einstellen'!$B$2="Ja",creep_res25!P23,creep_res25!L23)</f>
        <v>0.42130709958998103</v>
      </c>
      <c r="AD23" s="2">
        <f>IF('Modell einstellen'!$B$2="Ja",creep_res50!P23,creep_res50!L23)</f>
        <v>0.41822897347961724</v>
      </c>
      <c r="AE23" s="2">
        <f>IF('Modell einstellen'!$B$2="Ja",creep_res80!P23,creep_res80!L23)</f>
        <v>0.42029278480629212</v>
      </c>
      <c r="AF23" s="2">
        <f>IF('Modell einstellen'!$B$2="Ja",creep_res125!P23,creep_res125!L23)</f>
        <v>0.47639048968183723</v>
      </c>
      <c r="AG23" s="2">
        <f>IF('Modell einstellen'!$B$2="Ja",creep_res160!P23,creep_res160!L23)</f>
        <v>0.46541421985666703</v>
      </c>
      <c r="AL23" s="2">
        <f t="shared" si="11"/>
        <v>100000</v>
      </c>
      <c r="AM23" s="2">
        <f t="shared" si="12"/>
        <v>6015.8011652173718</v>
      </c>
      <c r="AN23" s="2">
        <f t="shared" si="13"/>
        <v>4005.8829435497059</v>
      </c>
      <c r="AO23" s="2">
        <f t="shared" si="14"/>
        <v>3130.6377978974938</v>
      </c>
      <c r="AP23" s="2">
        <f t="shared" si="15"/>
        <v>2586.4007874245467</v>
      </c>
      <c r="AQ23" s="2">
        <f t="shared" si="16"/>
        <v>1960.3272335044344</v>
      </c>
      <c r="AR23" s="2">
        <f t="shared" si="17"/>
        <v>344.05387649356049</v>
      </c>
      <c r="AS23" s="2">
        <f t="shared" si="18"/>
        <v>198.97748766430533</v>
      </c>
      <c r="AX23" s="2">
        <f t="shared" si="28"/>
        <v>100000</v>
      </c>
      <c r="AY23" s="37">
        <f t="shared" si="19"/>
        <v>25229.351383362831</v>
      </c>
      <c r="AZ23" s="37">
        <f t="shared" si="20"/>
        <v>23463.157801025358</v>
      </c>
      <c r="BA23" s="37">
        <f t="shared" si="21"/>
        <v>18847.942254902329</v>
      </c>
      <c r="BB23" s="37">
        <f t="shared" si="22"/>
        <v>14952.76379195938</v>
      </c>
      <c r="BC23" s="37">
        <f t="shared" si="23"/>
        <v>11643.607666044836</v>
      </c>
      <c r="BD23" s="37">
        <f t="shared" si="24"/>
        <v>7171.6561722797296</v>
      </c>
      <c r="BE23" s="37">
        <f t="shared" si="25"/>
        <v>2810.2536037086306</v>
      </c>
    </row>
    <row r="24" spans="1:57" x14ac:dyDescent="0.25">
      <c r="A24" s="2">
        <f>'creep_res-40'!A24</f>
        <v>1000000</v>
      </c>
      <c r="B24" s="3">
        <f>'creep_res-40'!O24</f>
        <v>-6.6538377142857149E-4</v>
      </c>
      <c r="C24" s="2">
        <f>IF('Modell einstellen'!$B$2="Ja",creep_res0!O24,creep_res0!C24)</f>
        <v>-1.0596601142857144E-3</v>
      </c>
      <c r="D24" s="2">
        <f>IF('Modell einstellen'!$B$2="Ja",creep_res25!O24,creep_res25!C24)</f>
        <v>-1.3216305714285716E-3</v>
      </c>
      <c r="E24" s="2">
        <f>IF('Modell einstellen'!$B$2="Ja",creep_res50!O24,creep_res50!C24)</f>
        <v>-1.5828392571428573E-3</v>
      </c>
      <c r="F24" s="2">
        <f>IF('Modell einstellen'!$B$2="Ja",creep_res80!O24,creep_res80!C24)</f>
        <v>-2.1445940000000001E-3</v>
      </c>
      <c r="G24" s="2">
        <f>IF('Modell einstellen'!$B$2="Ja",creep_res125!O24,creep_res125!C24)</f>
        <v>-1.3177162285714288E-2</v>
      </c>
      <c r="H24" s="2">
        <f>IF('Modell einstellen'!$B$2="Ja",creep_res160!O24,creep_res160!C24)</f>
        <v>-1.9091066285714286E-2</v>
      </c>
      <c r="M24" s="9">
        <f t="shared" si="26"/>
        <v>-10</v>
      </c>
      <c r="N24" s="2">
        <f t="shared" si="4"/>
        <v>1000000</v>
      </c>
      <c r="O24" s="2">
        <f t="shared" si="5"/>
        <v>15028.920796385088</v>
      </c>
      <c r="P24" s="2">
        <f t="shared" si="6"/>
        <v>9436.9882051668101</v>
      </c>
      <c r="Q24" s="2">
        <f t="shared" si="7"/>
        <v>7566.4109291833647</v>
      </c>
      <c r="R24" s="2">
        <f t="shared" si="27"/>
        <v>6317.7609191035253</v>
      </c>
      <c r="S24" s="2">
        <f t="shared" si="8"/>
        <v>4662.8872411281573</v>
      </c>
      <c r="T24" s="2">
        <f t="shared" si="9"/>
        <v>758.88873364193637</v>
      </c>
      <c r="U24" s="2">
        <f t="shared" si="10"/>
        <v>523.80521079029154</v>
      </c>
      <c r="Z24" s="2">
        <v>1000000</v>
      </c>
      <c r="AA24" s="3">
        <f>IF('Modell einstellen'!$B$2="Ja",'creep_res-40'!P24,'creep_res-40'!L24)</f>
        <v>0.3932572703907245</v>
      </c>
      <c r="AB24" s="2">
        <f>IF('Modell einstellen'!$B$2="Ja",creep_res0!P24,creep_res0!L24)</f>
        <v>0.40998822695277171</v>
      </c>
      <c r="AC24" s="2">
        <f>IF('Modell einstellen'!$B$2="Ja",creep_res25!P24,creep_res25!L24)</f>
        <v>0.40859653237872606</v>
      </c>
      <c r="AD24" s="2">
        <f>IF('Modell einstellen'!$B$2="Ja",creep_res50!P24,creep_res50!L24)</f>
        <v>0.40561216449846527</v>
      </c>
      <c r="AE24" s="2">
        <f>IF('Modell einstellen'!$B$2="Ja",creep_res80!P24,creep_res80!L24)</f>
        <v>0.4076057819268889</v>
      </c>
      <c r="AF24" s="2">
        <f>IF('Modell einstellen'!$B$2="Ja",creep_res125!P24,creep_res125!L24)</f>
        <v>0.44422358614041935</v>
      </c>
      <c r="AG24" s="2">
        <f>IF('Modell einstellen'!$B$2="Ja",creep_res160!P24,creep_res160!L24)</f>
        <v>0.4336795855389774</v>
      </c>
      <c r="AL24" s="2">
        <f t="shared" si="11"/>
        <v>1000000</v>
      </c>
      <c r="AM24" s="2">
        <f t="shared" si="12"/>
        <v>5393.4478275395559</v>
      </c>
      <c r="AN24" s="2">
        <f t="shared" si="13"/>
        <v>3346.4776601581179</v>
      </c>
      <c r="AO24" s="2">
        <f t="shared" si="14"/>
        <v>2685.7977977575347</v>
      </c>
      <c r="AP24" s="2">
        <f t="shared" si="15"/>
        <v>2247.3343211844494</v>
      </c>
      <c r="AQ24" s="2">
        <f t="shared" si="16"/>
        <v>1656.3185875611684</v>
      </c>
      <c r="AR24" s="2">
        <f t="shared" si="17"/>
        <v>262.73242624087396</v>
      </c>
      <c r="AS24" s="2">
        <f t="shared" si="18"/>
        <v>182.67861803771595</v>
      </c>
      <c r="AX24" s="2">
        <f t="shared" si="28"/>
        <v>1000000</v>
      </c>
      <c r="AY24" s="37">
        <f t="shared" si="19"/>
        <v>23465.955404171989</v>
      </c>
      <c r="AZ24" s="37">
        <f t="shared" si="20"/>
        <v>17473.618331043792</v>
      </c>
      <c r="BA24" s="37">
        <f t="shared" si="21"/>
        <v>13796.724796288985</v>
      </c>
      <c r="BB24" s="37">
        <f t="shared" si="22"/>
        <v>11155.676444840181</v>
      </c>
      <c r="BC24" s="37">
        <f t="shared" si="23"/>
        <v>8411.2176035345219</v>
      </c>
      <c r="BD24" s="37">
        <f t="shared" si="24"/>
        <v>2267.6512678891745</v>
      </c>
      <c r="BE24" s="37">
        <f t="shared" si="25"/>
        <v>1316.3498626257301</v>
      </c>
    </row>
    <row r="25" spans="1:57" x14ac:dyDescent="0.25">
      <c r="A25" s="2">
        <f>'creep_res-40'!A25</f>
        <v>10000000</v>
      </c>
      <c r="B25" s="3">
        <f>'creep_res-40'!O25</f>
        <v>-7.8451982857142871E-4</v>
      </c>
      <c r="C25" s="2">
        <f>IF('Modell einstellen'!$B$2="Ja",creep_res0!O25,creep_res0!C25)</f>
        <v>-1.2344853714285715E-3</v>
      </c>
      <c r="D25" s="2">
        <f>IF('Modell einstellen'!$B$2="Ja",creep_res25!O25,creep_res25!C25)</f>
        <v>-1.5099526857142859E-3</v>
      </c>
      <c r="E25" s="2">
        <f>IF('Modell einstellen'!$B$2="Ja",creep_res50!O25,creep_res50!C25)</f>
        <v>-1.8098891428571431E-3</v>
      </c>
      <c r="F25" s="2">
        <f>IF('Modell einstellen'!$B$2="Ja",creep_res80!O25,creep_res80!C25)</f>
        <v>-2.5784199428571428E-3</v>
      </c>
      <c r="G25" s="2">
        <f>IF('Modell einstellen'!$B$2="Ja",creep_res125!O25,creep_res125!C25)</f>
        <v>-1.5779164571428573E-2</v>
      </c>
      <c r="H25" s="2">
        <f>IF('Modell einstellen'!$B$2="Ja",creep_res160!O25,creep_res160!C25)</f>
        <v>-2.0249506285714286E-2</v>
      </c>
      <c r="M25" s="9">
        <f t="shared" si="26"/>
        <v>-10</v>
      </c>
      <c r="N25" s="2">
        <f t="shared" si="4"/>
        <v>10000000</v>
      </c>
      <c r="O25" s="2">
        <f t="shared" si="5"/>
        <v>12746.65041699392</v>
      </c>
      <c r="P25" s="2">
        <f t="shared" si="6"/>
        <v>8100.5415142569063</v>
      </c>
      <c r="Q25" s="2">
        <f t="shared" si="7"/>
        <v>6622.7240724893854</v>
      </c>
      <c r="R25" s="2">
        <f t="shared" si="27"/>
        <v>5525.2002806170285</v>
      </c>
      <c r="S25" s="2">
        <f t="shared" si="8"/>
        <v>3878.344188153857</v>
      </c>
      <c r="T25" s="2">
        <f t="shared" si="9"/>
        <v>633.74711346296874</v>
      </c>
      <c r="U25" s="2">
        <f t="shared" si="10"/>
        <v>493.83920076386482</v>
      </c>
      <c r="Z25" s="2">
        <v>10000000</v>
      </c>
      <c r="AA25" s="3">
        <f>IF('Modell einstellen'!$B$2="Ja",'creep_res-40'!P25,'creep_res-40'!L25)</f>
        <v>0.39233854200316304</v>
      </c>
      <c r="AB25" s="2">
        <f>IF('Modell einstellen'!$B$2="Ja",creep_res0!P25,creep_res0!L25)</f>
        <v>0.40041657150459081</v>
      </c>
      <c r="AC25" s="2">
        <f>IF('Modell einstellen'!$B$2="Ja",creep_res25!P25,creep_res25!L25)</f>
        <v>0.39817455774962407</v>
      </c>
      <c r="AD25" s="2">
        <f>IF('Modell einstellen'!$B$2="Ja",creep_res50!P25,creep_res50!L25)</f>
        <v>0.3957409861882622</v>
      </c>
      <c r="AE25" s="2">
        <f>IF('Modell einstellen'!$B$2="Ja",creep_res80!P25,creep_res80!L25)</f>
        <v>0.397892826900479</v>
      </c>
      <c r="AF25" s="2">
        <f>IF('Modell einstellen'!$B$2="Ja",creep_res125!P25,creep_res125!L25)</f>
        <v>0.42134079305592781</v>
      </c>
      <c r="AG25" s="2">
        <f>IF('Modell einstellen'!$B$2="Ja",creep_res160!P25,creep_res160!L25)</f>
        <v>0.41397916551672681</v>
      </c>
      <c r="AL25" s="2">
        <f t="shared" si="11"/>
        <v>10000000</v>
      </c>
      <c r="AM25" s="2">
        <f t="shared" si="12"/>
        <v>4577.424969740212</v>
      </c>
      <c r="AN25" s="2">
        <f t="shared" si="13"/>
        <v>2892.1899665732253</v>
      </c>
      <c r="AO25" s="2">
        <f t="shared" si="14"/>
        <v>2368.346654493816</v>
      </c>
      <c r="AP25" s="2">
        <f t="shared" si="15"/>
        <v>1979.307169199863</v>
      </c>
      <c r="AQ25" s="2">
        <f t="shared" si="16"/>
        <v>1387.2108481854204</v>
      </c>
      <c r="AR25" s="2">
        <f t="shared" si="17"/>
        <v>222.939887660718</v>
      </c>
      <c r="AS25" s="2">
        <f t="shared" si="18"/>
        <v>174.62746722417066</v>
      </c>
      <c r="AX25" s="2">
        <f t="shared" si="28"/>
        <v>10000000</v>
      </c>
      <c r="AY25" s="37">
        <f t="shared" si="19"/>
        <v>19732.611611372275</v>
      </c>
      <c r="AZ25" s="37">
        <f t="shared" si="20"/>
        <v>13557.378700195992</v>
      </c>
      <c r="BA25" s="37">
        <f t="shared" si="21"/>
        <v>10839.995594625787</v>
      </c>
      <c r="BB25" s="37">
        <f t="shared" si="22"/>
        <v>8832.4901585871066</v>
      </c>
      <c r="BC25" s="37">
        <f t="shared" si="23"/>
        <v>6330.5121315583183</v>
      </c>
      <c r="BD25" s="37">
        <f t="shared" si="24"/>
        <v>1342.8118972213299</v>
      </c>
      <c r="BE25" s="37">
        <f t="shared" si="25"/>
        <v>956.82091385254694</v>
      </c>
    </row>
    <row r="26" spans="1:57" x14ac:dyDescent="0.25">
      <c r="A26" s="2">
        <f>'creep_res-40'!A26</f>
        <v>100000000</v>
      </c>
      <c r="B26" s="3">
        <f>'creep_res-40'!O26</f>
        <v>-9.1970068571428578E-4</v>
      </c>
      <c r="C26" s="2">
        <f>IF('Modell einstellen'!$B$2="Ja",creep_res0!O26,creep_res0!C26)</f>
        <v>-1.3975460000000002E-3</v>
      </c>
      <c r="D26" s="2">
        <f>IF('Modell einstellen'!$B$2="Ja",creep_res25!O26,creep_res25!C26)</f>
        <v>-1.6873612000000001E-3</v>
      </c>
      <c r="E26" s="2">
        <f>IF('Modell einstellen'!$B$2="Ja",creep_res50!O26,creep_res50!C26)</f>
        <v>-2.0538577714285717E-3</v>
      </c>
      <c r="F26" s="2">
        <f>IF('Modell einstellen'!$B$2="Ja",creep_res80!O26,creep_res80!C26)</f>
        <v>-3.2087566285714285E-3</v>
      </c>
      <c r="G26" s="2">
        <f>IF('Modell einstellen'!$B$2="Ja",creep_res125!O26,creep_res125!C26)</f>
        <v>-1.7653537714285714E-2</v>
      </c>
      <c r="H26" s="2">
        <f>IF('Modell einstellen'!$B$2="Ja",creep_res160!O26,creep_res160!C26)</f>
        <v>-2.0991990857142859E-2</v>
      </c>
      <c r="M26" s="9">
        <f t="shared" si="26"/>
        <v>-10</v>
      </c>
      <c r="N26" s="2">
        <f t="shared" si="4"/>
        <v>100000000</v>
      </c>
      <c r="O26" s="2">
        <f t="shared" si="5"/>
        <v>10873.102690179574</v>
      </c>
      <c r="P26" s="2">
        <f t="shared" si="6"/>
        <v>7155.399536043893</v>
      </c>
      <c r="Q26" s="2">
        <f t="shared" si="7"/>
        <v>5926.4133844016324</v>
      </c>
      <c r="R26" s="2">
        <f t="shared" si="27"/>
        <v>4868.8863168185435</v>
      </c>
      <c r="S26" s="2">
        <f t="shared" si="8"/>
        <v>3116.4719414859778</v>
      </c>
      <c r="T26" s="2">
        <f t="shared" si="9"/>
        <v>566.45869863850191</v>
      </c>
      <c r="U26" s="2">
        <f t="shared" si="10"/>
        <v>476.37215869867538</v>
      </c>
      <c r="Z26" s="2">
        <v>100000000</v>
      </c>
      <c r="AA26" s="3">
        <f>IF('Modell einstellen'!$B$2="Ja",'creep_res-40'!P26,'creep_res-40'!L26)</f>
        <v>0.38878007018680982</v>
      </c>
      <c r="AB26" s="2">
        <f>IF('Modell einstellen'!$B$2="Ja",creep_res0!P26,creep_res0!L26)</f>
        <v>0.3923056353269026</v>
      </c>
      <c r="AC26" s="2">
        <f>IF('Modell einstellen'!$B$2="Ja",creep_res25!P26,creep_res25!L26)</f>
        <v>0.38959513486840536</v>
      </c>
      <c r="AD26" s="2">
        <f>IF('Modell einstellen'!$B$2="Ja",creep_res50!P26,creep_res50!L26)</f>
        <v>0.38798098997590896</v>
      </c>
      <c r="AE26" s="2">
        <f>IF('Modell einstellen'!$B$2="Ja",creep_res80!P26,creep_res80!L26)</f>
        <v>0.39115179478242412</v>
      </c>
      <c r="AF26" s="2">
        <f>IF('Modell einstellen'!$B$2="Ja",creep_res125!P26,creep_res125!L26)</f>
        <v>0.40684649820573399</v>
      </c>
      <c r="AG26" s="2">
        <f>IF('Modell einstellen'!$B$2="Ja",creep_res160!P26,creep_res160!L26)</f>
        <v>0.40217553448411786</v>
      </c>
      <c r="AL26" s="2">
        <f t="shared" si="11"/>
        <v>100000000</v>
      </c>
      <c r="AM26" s="2">
        <f t="shared" si="12"/>
        <v>3914.6236771373719</v>
      </c>
      <c r="AN26" s="2">
        <f t="shared" si="13"/>
        <v>2569.6224142495339</v>
      </c>
      <c r="AO26" s="2">
        <f t="shared" si="14"/>
        <v>2132.4244867059297</v>
      </c>
      <c r="AP26" s="2">
        <f t="shared" si="15"/>
        <v>1753.9456058771568</v>
      </c>
      <c r="AQ26" s="2">
        <f t="shared" si="16"/>
        <v>1120.1049206759617</v>
      </c>
      <c r="AR26" s="2">
        <f t="shared" si="17"/>
        <v>201.32214117210117</v>
      </c>
      <c r="AS26" s="2">
        <f t="shared" si="18"/>
        <v>169.86894542912563</v>
      </c>
      <c r="AX26" s="2">
        <f t="shared" si="28"/>
        <v>100000000</v>
      </c>
      <c r="AY26" s="37">
        <f t="shared" si="19"/>
        <v>16293.696505117547</v>
      </c>
      <c r="AZ26" s="37">
        <f t="shared" si="20"/>
        <v>11073.621103208552</v>
      </c>
      <c r="BA26" s="37">
        <f t="shared" si="21"/>
        <v>8946.4858535865169</v>
      </c>
      <c r="BB26" s="37">
        <f t="shared" si="22"/>
        <v>7244.1369784340341</v>
      </c>
      <c r="BC26" s="37">
        <f t="shared" si="23"/>
        <v>4771.8930156855977</v>
      </c>
      <c r="BD26" s="37">
        <f t="shared" si="24"/>
        <v>1013.4861415615435</v>
      </c>
      <c r="BE26" s="37">
        <f t="shared" si="25"/>
        <v>811.61046333774709</v>
      </c>
    </row>
    <row r="27" spans="1:57" x14ac:dyDescent="0.25">
      <c r="A27" s="2">
        <f>'creep_res-40'!A27</f>
        <v>1000000000</v>
      </c>
      <c r="B27" s="3">
        <f>'creep_res-40'!O27</f>
        <v>-1.0495565142857144E-3</v>
      </c>
      <c r="C27" s="2">
        <f>IF('Modell einstellen'!$B$2="Ja",creep_res0!O27,creep_res0!C27)</f>
        <v>-1.5444489142857143E-3</v>
      </c>
      <c r="D27" s="2">
        <f>IF('Modell einstellen'!$B$2="Ja",creep_res25!O27,creep_res25!C27)</f>
        <v>-1.8756650285714287E-3</v>
      </c>
      <c r="E27" s="2">
        <f>IF('Modell einstellen'!$B$2="Ja",creep_res50!O27,creep_res50!C27)</f>
        <v>-2.3467463428571431E-3</v>
      </c>
      <c r="F27" s="2">
        <f>IF('Modell einstellen'!$B$2="Ja",creep_res80!O27,creep_res80!C27)</f>
        <v>-4.2453798857142863E-3</v>
      </c>
      <c r="G27" s="2">
        <f>IF('Modell einstellen'!$B$2="Ja",creep_res125!O27,creep_res125!C27)</f>
        <v>-1.9022550285714285E-2</v>
      </c>
      <c r="H27" s="2">
        <f>IF('Modell einstellen'!$B$2="Ja",creep_res160!O27,creep_res160!C27)</f>
        <v>-2.1482561714285715E-2</v>
      </c>
      <c r="M27" s="9">
        <f t="shared" si="26"/>
        <v>-10</v>
      </c>
      <c r="N27" s="2">
        <f t="shared" si="4"/>
        <v>1000000000</v>
      </c>
      <c r="O27" s="2">
        <f t="shared" si="5"/>
        <v>9527.8337696808976</v>
      </c>
      <c r="P27" s="2">
        <f t="shared" si="6"/>
        <v>6474.8014048913092</v>
      </c>
      <c r="Q27" s="2">
        <f t="shared" si="7"/>
        <v>5331.4423671994064</v>
      </c>
      <c r="R27" s="2">
        <f t="shared" si="27"/>
        <v>4261.2189555284822</v>
      </c>
      <c r="S27" s="2">
        <f t="shared" si="8"/>
        <v>2355.5018088369488</v>
      </c>
      <c r="T27" s="2">
        <f t="shared" si="9"/>
        <v>525.69186832482103</v>
      </c>
      <c r="U27" s="2">
        <f t="shared" si="10"/>
        <v>465.4938332307961</v>
      </c>
      <c r="Z27" s="2">
        <v>1000000000</v>
      </c>
      <c r="AA27" s="3">
        <f>IF('Modell einstellen'!$B$2="Ja",'creep_res-40'!P27,'creep_res-40'!L27)</f>
        <v>0.38517528954678487</v>
      </c>
      <c r="AB27" s="2">
        <f>IF('Modell einstellen'!$B$2="Ja",creep_res0!P27,creep_res0!L27)</f>
        <v>0.38525072058989801</v>
      </c>
      <c r="AC27" s="2">
        <f>IF('Modell einstellen'!$B$2="Ja",creep_res25!P27,creep_res25!L27)</f>
        <v>0.38323169370053223</v>
      </c>
      <c r="AD27" s="2">
        <f>IF('Modell einstellen'!$B$2="Ja",creep_res50!P27,creep_res50!L27)</f>
        <v>0.38236073526821734</v>
      </c>
      <c r="AE27" s="2">
        <f>IF('Modell einstellen'!$B$2="Ja",creep_res80!P27,creep_res80!L27)</f>
        <v>0.38673491484147576</v>
      </c>
      <c r="AF27" s="2">
        <f>IF('Modell einstellen'!$B$2="Ja",creep_res125!P27,creep_res125!L27)</f>
        <v>0.39792561387968323</v>
      </c>
      <c r="AG27" s="2">
        <f>IF('Modell einstellen'!$B$2="Ja",creep_res160!P27,creep_res160!L27)</f>
        <v>0.39501639110185399</v>
      </c>
      <c r="AL27" s="2">
        <f t="shared" si="11"/>
        <v>1000000000</v>
      </c>
      <c r="AM27" s="2">
        <f t="shared" si="12"/>
        <v>3439.215903424868</v>
      </c>
      <c r="AN27" s="2">
        <f t="shared" si="13"/>
        <v>2337.0503651981739</v>
      </c>
      <c r="AO27" s="2">
        <f t="shared" si="14"/>
        <v>1927.1689592855932</v>
      </c>
      <c r="AP27" s="2">
        <f t="shared" si="15"/>
        <v>1541.283272452644</v>
      </c>
      <c r="AQ27" s="2">
        <f t="shared" si="16"/>
        <v>849.29779427462438</v>
      </c>
      <c r="AR27" s="2">
        <f t="shared" si="17"/>
        <v>188.02569432355588</v>
      </c>
      <c r="AS27" s="2">
        <f t="shared" si="18"/>
        <v>166.84170745231376</v>
      </c>
      <c r="AX27" s="2">
        <f t="shared" si="28"/>
        <v>1000000000</v>
      </c>
      <c r="AY27" s="37">
        <f t="shared" si="19"/>
        <v>13829.534502452147</v>
      </c>
      <c r="AZ27" s="37">
        <f t="shared" si="20"/>
        <v>9404.2731512515529</v>
      </c>
      <c r="BA27" s="37">
        <f t="shared" si="21"/>
        <v>7609.7166776377044</v>
      </c>
      <c r="BB27" s="37">
        <f t="shared" si="22"/>
        <v>6037.1268119875549</v>
      </c>
      <c r="BC27" s="37">
        <f t="shared" si="23"/>
        <v>3466.060474476345</v>
      </c>
      <c r="BD27" s="37">
        <f t="shared" si="24"/>
        <v>858.34766896561644</v>
      </c>
      <c r="BE27" s="37">
        <f t="shared" si="25"/>
        <v>738.99446163767857</v>
      </c>
    </row>
    <row r="28" spans="1:57" x14ac:dyDescent="0.25">
      <c r="A28" s="2">
        <f>'creep_res-40'!A28</f>
        <v>10000000000</v>
      </c>
      <c r="B28" s="3">
        <f>'creep_res-40'!O28</f>
        <v>-1.1750555999999999E-3</v>
      </c>
      <c r="C28" s="2">
        <f>IF('Modell einstellen'!$B$2="Ja",creep_res0!O28,creep_res0!C28)</f>
        <v>-1.6846166285714287E-3</v>
      </c>
      <c r="D28" s="2">
        <f>IF('Modell einstellen'!$B$2="Ja",creep_res25!O28,creep_res25!C28)</f>
        <v>-2.0839046857142858E-3</v>
      </c>
      <c r="E28" s="2">
        <f>IF('Modell einstellen'!$B$2="Ja",creep_res50!O28,creep_res50!C28)</f>
        <v>-2.7357348571428572E-3</v>
      </c>
      <c r="F28" s="2">
        <f>IF('Modell einstellen'!$B$2="Ja",creep_res80!O28,creep_res80!C28)</f>
        <v>-5.9978668571428568E-3</v>
      </c>
      <c r="G28" s="2">
        <f>IF('Modell einstellen'!$B$2="Ja",creep_res125!O28,creep_res125!C28)</f>
        <v>-1.9828010857142857E-2</v>
      </c>
      <c r="H28" s="2">
        <f>IF('Modell einstellen'!$B$2="Ja",creep_res160!O28,creep_res160!C28)</f>
        <v>-2.1599005142857144E-2</v>
      </c>
      <c r="M28" s="9">
        <f t="shared" si="26"/>
        <v>-10</v>
      </c>
      <c r="N28" s="2">
        <f t="shared" si="4"/>
        <v>10000000000</v>
      </c>
      <c r="O28" s="2">
        <f t="shared" si="5"/>
        <v>8510.2356007664657</v>
      </c>
      <c r="P28" s="2">
        <f t="shared" si="6"/>
        <v>5936.0686760406115</v>
      </c>
      <c r="Q28" s="2">
        <f t="shared" si="7"/>
        <v>4798.683965035746</v>
      </c>
      <c r="R28" s="2">
        <f t="shared" si="27"/>
        <v>3655.3249939008292</v>
      </c>
      <c r="S28" s="2">
        <f t="shared" si="8"/>
        <v>1667.2594170860937</v>
      </c>
      <c r="T28" s="2">
        <f t="shared" si="9"/>
        <v>504.33702462885191</v>
      </c>
      <c r="U28" s="2">
        <f t="shared" si="10"/>
        <v>462.98428718634898</v>
      </c>
      <c r="Z28" s="2">
        <v>10000000000</v>
      </c>
      <c r="AA28" s="3">
        <f>IF('Modell einstellen'!$B$2="Ja",'creep_res-40'!P28,'creep_res-40'!L28)</f>
        <v>0.38199118893972828</v>
      </c>
      <c r="AB28" s="2">
        <f>IF('Modell einstellen'!$B$2="Ja",creep_res0!P28,creep_res0!L28)</f>
        <v>0.37967855068746292</v>
      </c>
      <c r="AC28" s="2">
        <f>IF('Modell einstellen'!$B$2="Ja",creep_res25!P28,creep_res25!L28)</f>
        <v>0.37847278016444513</v>
      </c>
      <c r="AD28" s="2">
        <f>IF('Modell einstellen'!$B$2="Ja",creep_res50!P28,creep_res50!L28)</f>
        <v>0.37860628097626842</v>
      </c>
      <c r="AE28" s="2">
        <f>IF('Modell einstellen'!$B$2="Ja",creep_res80!P28,creep_res80!L28)</f>
        <v>0.38471964365997935</v>
      </c>
      <c r="AF28" s="2">
        <f>IF('Modell einstellen'!$B$2="Ja",creep_res125!P28,creep_res125!L28)</f>
        <v>0.39207194877757212</v>
      </c>
      <c r="AG28" s="2">
        <f>IF('Modell einstellen'!$B$2="Ja",creep_res160!P28,creep_res160!L28)</f>
        <v>0.39347828163196613</v>
      </c>
      <c r="AL28" s="2">
        <f t="shared" si="11"/>
        <v>10000000000</v>
      </c>
      <c r="AM28" s="2">
        <f t="shared" si="12"/>
        <v>3078.9760704970804</v>
      </c>
      <c r="AN28" s="2">
        <f t="shared" si="13"/>
        <v>2151.250620328482</v>
      </c>
      <c r="AO28" s="2">
        <f t="shared" si="14"/>
        <v>1740.579877269425</v>
      </c>
      <c r="AP28" s="2">
        <f t="shared" si="15"/>
        <v>1325.7320252858156</v>
      </c>
      <c r="AQ28" s="2">
        <f t="shared" si="16"/>
        <v>602.02056954985051</v>
      </c>
      <c r="AR28" s="2">
        <f t="shared" si="17"/>
        <v>181.14617749166206</v>
      </c>
      <c r="AS28" s="2">
        <f t="shared" si="18"/>
        <v>166.12540478353452</v>
      </c>
      <c r="AX28" s="2">
        <f t="shared" si="28"/>
        <v>10000000000</v>
      </c>
      <c r="AY28" s="37">
        <f t="shared" si="19"/>
        <v>12019.209306357014</v>
      </c>
      <c r="AZ28" s="37">
        <f t="shared" si="20"/>
        <v>8222.5138160550359</v>
      </c>
      <c r="BA28" s="37">
        <f t="shared" si="21"/>
        <v>6581.082509099756</v>
      </c>
      <c r="BB28" s="37">
        <f t="shared" si="22"/>
        <v>5018.5531608740539</v>
      </c>
      <c r="BC28" s="37">
        <f t="shared" si="23"/>
        <v>2410.4416254123034</v>
      </c>
      <c r="BD28" s="37">
        <f t="shared" si="24"/>
        <v>778.81671928129947</v>
      </c>
      <c r="BE28" s="37">
        <f t="shared" si="25"/>
        <v>724.39732522703719</v>
      </c>
    </row>
    <row r="29" spans="1:57" x14ac:dyDescent="0.25">
      <c r="A29" s="2">
        <f>'creep_res-40'!A29</f>
        <v>100000000000</v>
      </c>
      <c r="B29" s="3">
        <f>'creep_res-40'!O29</f>
        <v>-1.2959366857142858E-3</v>
      </c>
      <c r="C29" s="2">
        <f>IF('Modell einstellen'!$B$2="Ja",creep_res0!O29,creep_res0!C29)</f>
        <v>-1.8263416571428573E-3</v>
      </c>
      <c r="D29" s="2">
        <f>IF('Modell einstellen'!$B$2="Ja",creep_res25!O29,creep_res25!C29)</f>
        <v>-2.3419146285714289E-3</v>
      </c>
      <c r="E29" s="2">
        <f>IF('Modell einstellen'!$B$2="Ja",creep_res50!O29,creep_res50!C29)</f>
        <v>-3.3312539428571432E-3</v>
      </c>
      <c r="F29" s="2">
        <f>IF('Modell einstellen'!$B$2="Ja",creep_res80!O29,creep_res80!C29)</f>
        <v>-8.7140394285714282E-3</v>
      </c>
      <c r="G29" s="2">
        <f>IF('Modell einstellen'!$B$2="Ja",creep_res125!O29,creep_res125!C29)</f>
        <v>-2.0948164000000002E-2</v>
      </c>
      <c r="H29" s="2">
        <f>IF('Modell einstellen'!$B$2="Ja",creep_res160!O29,creep_res160!C29)</f>
        <v>-2.1741901142857144E-2</v>
      </c>
      <c r="M29" s="9">
        <f t="shared" si="26"/>
        <v>-10</v>
      </c>
      <c r="N29" s="2">
        <f t="shared" si="4"/>
        <v>100000000000</v>
      </c>
      <c r="O29" s="2">
        <f t="shared" si="5"/>
        <v>7716.426358042535</v>
      </c>
      <c r="P29" s="2">
        <f t="shared" si="6"/>
        <v>5475.4267696242969</v>
      </c>
      <c r="Q29" s="2">
        <f t="shared" si="7"/>
        <v>4270.0104768977053</v>
      </c>
      <c r="R29" s="2">
        <f t="shared" si="27"/>
        <v>3001.8726196007801</v>
      </c>
      <c r="S29" s="2">
        <f t="shared" si="8"/>
        <v>1147.5734166650875</v>
      </c>
      <c r="T29" s="2">
        <f t="shared" si="9"/>
        <v>477.36880425415796</v>
      </c>
      <c r="U29" s="2">
        <f t="shared" si="10"/>
        <v>459.94137928850324</v>
      </c>
      <c r="Z29" s="2">
        <v>100000000000</v>
      </c>
      <c r="AA29" s="3">
        <f>IF('Modell einstellen'!$B$2="Ja",'creep_res-40'!P29,'creep_res-40'!L29)</f>
        <v>0.37863557002696607</v>
      </c>
      <c r="AB29" s="2">
        <f>IF('Modell einstellen'!$B$2="Ja",creep_res0!P29,creep_res0!L29)</f>
        <v>0.37554569276491812</v>
      </c>
      <c r="AC29" s="2">
        <f>IF('Modell einstellen'!$B$2="Ja",creep_res25!P29,creep_res25!L29)</f>
        <v>0.37530017563651091</v>
      </c>
      <c r="AD29" s="2">
        <f>IF('Modell einstellen'!$B$2="Ja",creep_res50!P29,creep_res50!L29)</f>
        <v>0.37656615413665595</v>
      </c>
      <c r="AE29" s="2">
        <f>IF('Modell einstellen'!$B$2="Ja",creep_res80!P29,creep_res80!L29)</f>
        <v>0.38411431824728953</v>
      </c>
      <c r="AF29" s="2">
        <f>IF('Modell einstellen'!$B$2="Ja",creep_res125!P29,creep_res125!L29)</f>
        <v>0.38985856435232907</v>
      </c>
      <c r="AG29" s="2">
        <f>IF('Modell einstellen'!$B$2="Ja",creep_res160!P29,creep_res160!L29)</f>
        <v>0.39158578509903996</v>
      </c>
      <c r="AL29" s="2">
        <f t="shared" si="11"/>
        <v>100000000000</v>
      </c>
      <c r="AM29" s="2">
        <f t="shared" si="12"/>
        <v>2798.5736498484516</v>
      </c>
      <c r="AN29" s="2">
        <f t="shared" si="13"/>
        <v>1990.2744047049448</v>
      </c>
      <c r="AO29" s="2">
        <f t="shared" si="14"/>
        <v>1552.3921804639763</v>
      </c>
      <c r="AP29" s="2">
        <f t="shared" si="15"/>
        <v>1090.3481138846798</v>
      </c>
      <c r="AQ29" s="2">
        <f t="shared" si="16"/>
        <v>414.55153000594095</v>
      </c>
      <c r="AR29" s="2">
        <f t="shared" si="17"/>
        <v>171.73287142228415</v>
      </c>
      <c r="AS29" s="2">
        <f t="shared" si="18"/>
        <v>165.25800429032441</v>
      </c>
      <c r="AX29" s="2">
        <f t="shared" si="28"/>
        <v>100000000000</v>
      </c>
      <c r="AY29" s="37">
        <f t="shared" si="19"/>
        <v>10596.770898685134</v>
      </c>
      <c r="AZ29" s="37">
        <f t="shared" si="20"/>
        <v>7332.5797117407874</v>
      </c>
      <c r="BA29" s="37">
        <f t="shared" si="21"/>
        <v>5707.0522468566833</v>
      </c>
      <c r="BB29" s="37">
        <f t="shared" si="22"/>
        <v>4053.281332744843</v>
      </c>
      <c r="BC29" s="37">
        <f t="shared" si="23"/>
        <v>1650.4388913117341</v>
      </c>
      <c r="BD29" s="37">
        <f t="shared" si="24"/>
        <v>722.35727551437105</v>
      </c>
      <c r="BE29" s="37">
        <f t="shared" si="25"/>
        <v>707.07422101532052</v>
      </c>
    </row>
    <row r="30" spans="1:57" x14ac:dyDescent="0.25">
      <c r="A30" s="2">
        <f>'creep_res-40'!A30</f>
        <v>1000000000000</v>
      </c>
      <c r="B30" s="3">
        <f>'creep_res-40'!O30</f>
        <v>-1.4036457142857144E-3</v>
      </c>
      <c r="C30" s="2">
        <f>IF('Modell einstellen'!$B$2="Ja",creep_res0!O30,creep_res0!C30)</f>
        <v>-1.9920576000000004E-3</v>
      </c>
      <c r="D30" s="2">
        <f>IF('Modell einstellen'!$B$2="Ja",creep_res25!O30,creep_res25!C30)</f>
        <v>-2.686055542857143E-3</v>
      </c>
      <c r="E30" s="2">
        <f>IF('Modell einstellen'!$B$2="Ja",creep_res50!O30,creep_res50!C30)</f>
        <v>-4.3332200000000005E-3</v>
      </c>
      <c r="F30" s="2">
        <f>IF('Modell einstellen'!$B$2="Ja",creep_res80!O30,creep_res80!C30)</f>
        <v>-1.2172076571428572E-2</v>
      </c>
      <c r="G30" s="2">
        <f>IF('Modell einstellen'!$B$2="Ja",creep_res125!O30,creep_res125!C30)</f>
        <v>-2.1848025714285717E-2</v>
      </c>
      <c r="H30" s="2">
        <f>IF('Modell einstellen'!$B$2="Ja",creep_res160!O30,creep_res160!C30)</f>
        <v>-2.2120389142857143E-2</v>
      </c>
      <c r="M30" s="9">
        <f t="shared" si="26"/>
        <v>-10</v>
      </c>
      <c r="N30" s="2">
        <f t="shared" si="4"/>
        <v>1000000000000</v>
      </c>
      <c r="O30" s="2">
        <f t="shared" si="5"/>
        <v>7124.3048713961189</v>
      </c>
      <c r="P30" s="2">
        <f t="shared" si="6"/>
        <v>5019.9351665333361</v>
      </c>
      <c r="Q30" s="2">
        <f t="shared" si="7"/>
        <v>3722.9312054221532</v>
      </c>
      <c r="R30" s="2">
        <f t="shared" si="27"/>
        <v>2307.7526643004508</v>
      </c>
      <c r="S30" s="2">
        <f t="shared" si="8"/>
        <v>821.55250513892827</v>
      </c>
      <c r="T30" s="2">
        <f t="shared" si="9"/>
        <v>457.70726063643014</v>
      </c>
      <c r="U30" s="2">
        <f t="shared" si="10"/>
        <v>452.07161300003997</v>
      </c>
      <c r="Z30" s="2">
        <v>1000000000000</v>
      </c>
      <c r="AA30" s="3">
        <f>IF('Modell einstellen'!$B$2="Ja",'creep_res-40'!P30,'creep_res-40'!L30)</f>
        <v>0.37508754752929113</v>
      </c>
      <c r="AB30" s="2">
        <f>IF('Modell einstellen'!$B$2="Ja",creep_res0!P30,creep_res0!L30)</f>
        <v>0.37281913936625122</v>
      </c>
      <c r="AC30" s="2">
        <f>IF('Modell einstellen'!$B$2="Ja",creep_res25!P30,creep_res25!L30)</f>
        <v>0.37340344754492044</v>
      </c>
      <c r="AD30" s="2">
        <f>IF('Modell einstellen'!$B$2="Ja",creep_res50!P30,creep_res50!L30)</f>
        <v>0.37588547480692353</v>
      </c>
      <c r="AE30" s="2">
        <f>IF('Modell einstellen'!$B$2="Ja",creep_res80!P30,creep_res80!L30)</f>
        <v>0.38418375754079576</v>
      </c>
      <c r="AF30" s="2">
        <f>IF('Modell einstellen'!$B$2="Ja",creep_res125!P30,creep_res125!L30)</f>
        <v>0.38798727678434231</v>
      </c>
      <c r="AG30" s="2">
        <f>IF('Modell einstellen'!$B$2="Ja",creep_res160!P30,creep_res160!L30)</f>
        <v>0.38693297594015463</v>
      </c>
      <c r="AL30" s="2">
        <f t="shared" si="11"/>
        <v>1000000000000</v>
      </c>
      <c r="AM30" s="2">
        <f t="shared" si="12"/>
        <v>2590.4913778751102</v>
      </c>
      <c r="AN30" s="2">
        <f t="shared" si="13"/>
        <v>1828.3308494849296</v>
      </c>
      <c r="AO30" s="2">
        <f t="shared" si="14"/>
        <v>1355.3669215252155</v>
      </c>
      <c r="AP30" s="2">
        <f t="shared" si="15"/>
        <v>838.64271647474698</v>
      </c>
      <c r="AQ30" s="2">
        <f t="shared" si="16"/>
        <v>296.76424848335745</v>
      </c>
      <c r="AR30" s="2">
        <f t="shared" si="17"/>
        <v>164.88164851800227</v>
      </c>
      <c r="AS30" s="2">
        <f t="shared" si="18"/>
        <v>162.97529182821398</v>
      </c>
      <c r="AX30" s="2">
        <f t="shared" si="28"/>
        <v>1000000000000</v>
      </c>
      <c r="AY30" s="37">
        <f t="shared" si="19"/>
        <v>9505.7307878181327</v>
      </c>
      <c r="AZ30" s="37">
        <f t="shared" si="20"/>
        <v>6578.47302589234</v>
      </c>
      <c r="BA30" s="37">
        <f t="shared" si="21"/>
        <v>4901.3067275840267</v>
      </c>
      <c r="BB30" s="37">
        <f t="shared" si="22"/>
        <v>3098.9559316424861</v>
      </c>
      <c r="BC30" s="37">
        <f t="shared" si="23"/>
        <v>1182.2643751491598</v>
      </c>
      <c r="BD30" s="37">
        <f t="shared" si="24"/>
        <v>681.03462936558253</v>
      </c>
      <c r="BE30" s="37">
        <f t="shared" si="25"/>
        <v>666.37704016566681</v>
      </c>
    </row>
    <row r="31" spans="1:57" x14ac:dyDescent="0.25">
      <c r="A31" s="2">
        <f>'creep_res-40'!A31</f>
        <v>10000000000000</v>
      </c>
      <c r="B31" s="3">
        <f>'creep_res-40'!O31</f>
        <v>-1.5006965714285713E-3</v>
      </c>
      <c r="C31" s="2">
        <f>IF('Modell einstellen'!$B$2="Ja",creep_res0!O31,creep_res0!C31)</f>
        <v>-2.1900582857142855E-3</v>
      </c>
      <c r="D31" s="2">
        <f>IF('Modell einstellen'!$B$2="Ja",creep_res25!O31,creep_res25!C31)</f>
        <v>-3.2099524E-3</v>
      </c>
      <c r="E31" s="2">
        <f>IF('Modell einstellen'!$B$2="Ja",creep_res50!O31,creep_res50!C31)</f>
        <v>-6.0493674285714292E-3</v>
      </c>
      <c r="F31" s="2">
        <f>IF('Modell einstellen'!$B$2="Ja",creep_res80!O31,creep_res80!C31)</f>
        <v>-1.5275055428571429E-2</v>
      </c>
      <c r="G31" s="2">
        <f>IF('Modell einstellen'!$B$2="Ja",creep_res125!O31,creep_res125!C31)</f>
        <v>-2.1887568571428574E-2</v>
      </c>
      <c r="H31" s="2">
        <f>IF('Modell einstellen'!$B$2="Ja",creep_res160!O31,creep_res160!C31)</f>
        <v>-2.2129644E-2</v>
      </c>
      <c r="M31" s="9">
        <f t="shared" si="26"/>
        <v>-10</v>
      </c>
      <c r="N31" s="2">
        <f t="shared" si="4"/>
        <v>10000000000000</v>
      </c>
      <c r="O31" s="2">
        <f t="shared" si="5"/>
        <v>6663.5722306479402</v>
      </c>
      <c r="P31" s="2">
        <f t="shared" si="6"/>
        <v>4566.0885215840317</v>
      </c>
      <c r="Q31" s="2">
        <f t="shared" si="7"/>
        <v>3115.3109933966621</v>
      </c>
      <c r="R31" s="2">
        <f t="shared" si="27"/>
        <v>1653.0654019740243</v>
      </c>
      <c r="S31" s="2">
        <f t="shared" si="8"/>
        <v>654.66210887165539</v>
      </c>
      <c r="T31" s="2">
        <f t="shared" si="9"/>
        <v>456.88035047683292</v>
      </c>
      <c r="U31" s="2">
        <f t="shared" si="10"/>
        <v>451.88255174823416</v>
      </c>
      <c r="Z31" s="2">
        <v>10000000000000</v>
      </c>
      <c r="AA31" s="3">
        <f>IF('Modell einstellen'!$B$2="Ja",'creep_res-40'!P31,'creep_res-40'!L31)</f>
        <v>0.37211206681544845</v>
      </c>
      <c r="AB31" s="2">
        <f>IF('Modell einstellen'!$B$2="Ja",creep_res0!P31,creep_res0!L31)</f>
        <v>0.37105240773761544</v>
      </c>
      <c r="AC31" s="2">
        <f>IF('Modell einstellen'!$B$2="Ja",creep_res25!P31,creep_res25!L31)</f>
        <v>0.37248523863291111</v>
      </c>
      <c r="AD31" s="2">
        <f>IF('Modell einstellen'!$B$2="Ja",creep_res50!P31,creep_res50!L31)</f>
        <v>0.37630053975891509</v>
      </c>
      <c r="AE31" s="2">
        <f>IF('Modell einstellen'!$B$2="Ja",creep_res80!P31,creep_res80!L31)</f>
        <v>0.38404057977325279</v>
      </c>
      <c r="AF31" s="2">
        <f>IF('Modell einstellen'!$B$2="Ja",creep_res125!P31,creep_res125!L31)</f>
        <v>0.38868171613136165</v>
      </c>
      <c r="AG31" s="2">
        <f>IF('Modell einstellen'!$B$2="Ja",creep_res160!P31,creep_res160!L31)</f>
        <v>0.38689559191669393</v>
      </c>
      <c r="AL31" s="2">
        <f t="shared" si="11"/>
        <v>10000000000000</v>
      </c>
      <c r="AM31" s="2">
        <f t="shared" si="12"/>
        <v>2428.2171958860131</v>
      </c>
      <c r="AN31" s="2">
        <f t="shared" si="13"/>
        <v>1665.1765081389453</v>
      </c>
      <c r="AO31" s="2">
        <f t="shared" si="14"/>
        <v>1134.9160288600715</v>
      </c>
      <c r="AP31" s="2">
        <f t="shared" si="15"/>
        <v>600.54666630574377</v>
      </c>
      <c r="AQ31" s="2">
        <f t="shared" si="16"/>
        <v>236.5039430342818</v>
      </c>
      <c r="AR31" s="2">
        <f t="shared" si="17"/>
        <v>164.50146393142782</v>
      </c>
      <c r="AS31" s="2">
        <f t="shared" si="18"/>
        <v>162.91152498499585</v>
      </c>
      <c r="AX31" s="2">
        <f t="shared" si="28"/>
        <v>10000000000000</v>
      </c>
      <c r="AY31" s="37">
        <f t="shared" si="19"/>
        <v>8684.1294883700029</v>
      </c>
      <c r="AZ31" s="37">
        <f t="shared" si="20"/>
        <v>5901.7368238160971</v>
      </c>
      <c r="BA31" s="37">
        <f t="shared" si="21"/>
        <v>4071.8305342290523</v>
      </c>
      <c r="BB31" s="37">
        <f t="shared" si="22"/>
        <v>2227.2603275070496</v>
      </c>
      <c r="BC31" s="37">
        <f t="shared" si="23"/>
        <v>940.93564166891053</v>
      </c>
      <c r="BD31" s="37">
        <f t="shared" si="24"/>
        <v>684.04508615430552</v>
      </c>
      <c r="BE31" s="37">
        <f t="shared" si="25"/>
        <v>665.87819078840846</v>
      </c>
    </row>
    <row r="32" spans="1:57" x14ac:dyDescent="0.25">
      <c r="A32" s="2">
        <f>'creep_res-40'!A32</f>
        <v>100000000000000</v>
      </c>
      <c r="B32" s="3">
        <f>'creep_res-40'!O32</f>
        <v>-1.597299942857143E-3</v>
      </c>
      <c r="C32" s="2">
        <f>IF('Modell einstellen'!$B$2="Ja",creep_res0!O32,creep_res0!C32)</f>
        <v>-2.4504237714285718E-3</v>
      </c>
      <c r="D32" s="2">
        <f>IF('Modell einstellen'!$B$2="Ja",creep_res25!O32,creep_res25!C32)</f>
        <v>-4.0818608571428572E-3</v>
      </c>
      <c r="E32" s="2">
        <f>IF('Modell einstellen'!$B$2="Ja",creep_res50!O32,creep_res50!C32)</f>
        <v>-8.7255600000000003E-3</v>
      </c>
      <c r="F32" s="2">
        <f>IF('Modell einstellen'!$B$2="Ja",creep_res80!O32,creep_res80!C32)</f>
        <v>-1.7486284571428572E-2</v>
      </c>
      <c r="G32" s="2">
        <f>IF('Modell einstellen'!$B$2="Ja",creep_res125!O32,creep_res125!C32)</f>
        <v>-2.213290285714286E-2</v>
      </c>
      <c r="H32" s="2">
        <f>IF('Modell einstellen'!$B$2="Ja",creep_res160!O32,creep_res160!C32)</f>
        <v>-2.2296514285714285E-2</v>
      </c>
      <c r="M32" s="9">
        <f t="shared" si="26"/>
        <v>-10</v>
      </c>
      <c r="N32" s="2">
        <f t="shared" si="4"/>
        <v>100000000000000</v>
      </c>
      <c r="O32" s="2">
        <f t="shared" si="5"/>
        <v>6260.5649269057576</v>
      </c>
      <c r="P32" s="2">
        <f t="shared" si="6"/>
        <v>4080.9267836028635</v>
      </c>
      <c r="Q32" s="2">
        <f t="shared" si="7"/>
        <v>2449.8630281580959</v>
      </c>
      <c r="R32" s="2">
        <f t="shared" si="27"/>
        <v>1146.0582472643589</v>
      </c>
      <c r="S32" s="2">
        <f t="shared" si="8"/>
        <v>571.87677343072266</v>
      </c>
      <c r="T32" s="2">
        <f t="shared" si="9"/>
        <v>451.81601638723777</v>
      </c>
      <c r="U32" s="2">
        <f t="shared" si="10"/>
        <v>448.50059842794133</v>
      </c>
      <c r="Z32" s="2">
        <v>100000000000000</v>
      </c>
      <c r="AA32" s="3">
        <f>IF('Modell einstellen'!$B$2="Ja",'creep_res-40'!P32,'creep_res-40'!L32)</f>
        <v>0.36998525619072381</v>
      </c>
      <c r="AB32" s="2">
        <f>IF('Modell einstellen'!$B$2="Ja",creep_res0!P32,creep_res0!L32)</f>
        <v>0.37005321715082468</v>
      </c>
      <c r="AC32" s="2">
        <f>IF('Modell einstellen'!$B$2="Ja",creep_res25!P32,creep_res25!L32)</f>
        <v>0.37247702080976652</v>
      </c>
      <c r="AD32" s="2">
        <f>IF('Modell einstellen'!$B$2="Ja",creep_res50!P32,creep_res50!L32)</f>
        <v>0.37755150222040601</v>
      </c>
      <c r="AE32" s="2">
        <f>IF('Modell einstellen'!$B$2="Ja",creep_res80!P32,creep_res80!L32)</f>
        <v>0.38369895648501395</v>
      </c>
      <c r="AF32" s="2">
        <f>IF('Modell einstellen'!$B$2="Ja",creep_res125!P32,creep_res125!L32)</f>
        <v>0.38587682514307076</v>
      </c>
      <c r="AG32" s="2">
        <f>IF('Modell einstellen'!$B$2="Ja",creep_res160!P32,creep_res160!L32)</f>
        <v>0.38486946069725192</v>
      </c>
      <c r="AL32" s="2">
        <f t="shared" si="11"/>
        <v>100000000000000</v>
      </c>
      <c r="AM32" s="2">
        <f t="shared" si="12"/>
        <v>2284.9023004500814</v>
      </c>
      <c r="AN32" s="2">
        <f t="shared" si="13"/>
        <v>1489.3314845424752</v>
      </c>
      <c r="AO32" s="2">
        <f t="shared" si="14"/>
        <v>892.49692017162795</v>
      </c>
      <c r="AP32" s="2">
        <f t="shared" si="15"/>
        <v>415.97655166325364</v>
      </c>
      <c r="AQ32" s="2">
        <f t="shared" si="16"/>
        <v>206.64782998877558</v>
      </c>
      <c r="AR32" s="2">
        <f t="shared" si="17"/>
        <v>163.00727748318997</v>
      </c>
      <c r="AS32" s="2">
        <f t="shared" si="18"/>
        <v>161.92883558935978</v>
      </c>
      <c r="AX32" s="2">
        <f t="shared" si="28"/>
        <v>100000000000000</v>
      </c>
      <c r="AY32" s="37">
        <f t="shared" si="19"/>
        <v>8025.4550926029715</v>
      </c>
      <c r="AZ32" s="37">
        <f t="shared" si="20"/>
        <v>5234.1000602011209</v>
      </c>
      <c r="BA32" s="37">
        <f t="shared" si="21"/>
        <v>3201.8582633951432</v>
      </c>
      <c r="BB32" s="37">
        <f t="shared" si="22"/>
        <v>1559.9187523003231</v>
      </c>
      <c r="BC32" s="37">
        <f t="shared" si="23"/>
        <v>819.53517089041009</v>
      </c>
      <c r="BD32" s="37">
        <f t="shared" si="24"/>
        <v>659.83679031254007</v>
      </c>
      <c r="BE32" s="37">
        <f t="shared" si="25"/>
        <v>649.26387204203775</v>
      </c>
    </row>
    <row r="33" spans="1:60" x14ac:dyDescent="0.25">
      <c r="A33" s="2">
        <f>'creep_res-40'!A33</f>
        <v>1000000000000000</v>
      </c>
      <c r="B33" s="3">
        <f>'creep_res-40'!O33</f>
        <v>-1.6886448000000001E-3</v>
      </c>
      <c r="C33" s="2">
        <f>IF('Modell einstellen'!$B$2="Ja",creep_res0!O33,creep_res0!C33)</f>
        <v>-2.8145985714285717E-3</v>
      </c>
      <c r="D33" s="2">
        <f>IF('Modell einstellen'!$B$2="Ja",creep_res25!O33,creep_res25!C33)</f>
        <v>-5.5902430857142863E-3</v>
      </c>
      <c r="E33" s="2">
        <f>IF('Modell einstellen'!$B$2="Ja",creep_res50!O33,creep_res50!C33)</f>
        <v>-1.2177281142857144E-2</v>
      </c>
      <c r="F33" s="2">
        <f>IF('Modell einstellen'!$B$2="Ja",creep_res80!O33,creep_res80!C33)</f>
        <v>-1.8844651428571429E-2</v>
      </c>
      <c r="G33" s="2">
        <f>IF('Modell einstellen'!$B$2="Ja",creep_res125!O33,creep_res125!C33)</f>
        <v>-2.2144656000000002E-2</v>
      </c>
      <c r="H33" s="2">
        <f>IF('Modell einstellen'!$B$2="Ja",creep_res160!O33,creep_res160!C33)</f>
        <v>-2.2364841142857143E-2</v>
      </c>
      <c r="M33" s="9">
        <f>M31</f>
        <v>-10</v>
      </c>
      <c r="N33" s="2">
        <f t="shared" si="4"/>
        <v>1000000000000000</v>
      </c>
      <c r="O33" s="2">
        <f t="shared" si="5"/>
        <v>5921.9085031973564</v>
      </c>
      <c r="P33" s="2">
        <f t="shared" si="6"/>
        <v>3552.9045248269349</v>
      </c>
      <c r="Q33" s="2">
        <f t="shared" si="7"/>
        <v>1788.8309768773254</v>
      </c>
      <c r="R33" s="2">
        <f t="shared" si="27"/>
        <v>821.201373499184</v>
      </c>
      <c r="S33" s="2">
        <f t="shared" si="8"/>
        <v>530.65454874046873</v>
      </c>
      <c r="T33" s="2">
        <f t="shared" si="9"/>
        <v>451.57621775655485</v>
      </c>
      <c r="U33" s="2">
        <f t="shared" si="10"/>
        <v>447.13038362867104</v>
      </c>
      <c r="Z33" s="2">
        <v>1000000000000000</v>
      </c>
      <c r="AA33" s="3">
        <f>IF('Modell einstellen'!$B$2="Ja",'creep_res-40'!P33,'creep_res-40'!L33)</f>
        <v>0.36932124505994396</v>
      </c>
      <c r="AB33" s="2">
        <f>IF('Modell einstellen'!$B$2="Ja",creep_res0!P33,creep_res0!L33)</f>
        <v>0.36958492431552026</v>
      </c>
      <c r="AC33" s="2">
        <f>IF('Modell einstellen'!$B$2="Ja",creep_res25!P33,creep_res25!L33)</f>
        <v>0.37329799121232177</v>
      </c>
      <c r="AD33" s="2">
        <f>IF('Modell einstellen'!$B$2="Ja",creep_res50!P33,creep_res50!L33)</f>
        <v>0.3792783394951591</v>
      </c>
      <c r="AE33" s="2">
        <f>IF('Modell einstellen'!$B$2="Ja",creep_res80!P33,creep_res80!L33)</f>
        <v>0.38330551692727372</v>
      </c>
      <c r="AF33" s="2">
        <f>IF('Modell einstellen'!$B$2="Ja",creep_res125!P33,creep_res125!L33)</f>
        <v>0.38586011128695918</v>
      </c>
      <c r="AG33" s="2">
        <f>IF('Modell einstellen'!$B$2="Ja",creep_res160!P33,creep_res160!L33)</f>
        <v>0.38375611597713882</v>
      </c>
      <c r="AL33" s="2">
        <f t="shared" si="11"/>
        <v>1000000000000000</v>
      </c>
      <c r="AM33" s="2">
        <f t="shared" si="12"/>
        <v>2162.351794570352</v>
      </c>
      <c r="AN33" s="2">
        <f t="shared" si="13"/>
        <v>1297.0734642842888</v>
      </c>
      <c r="AO33" s="2">
        <f t="shared" si="14"/>
        <v>651.2901745739025</v>
      </c>
      <c r="AP33" s="2">
        <f t="shared" si="15"/>
        <v>297.69240550814368</v>
      </c>
      <c r="AQ33" s="2">
        <f t="shared" si="16"/>
        <v>191.80670583863778</v>
      </c>
      <c r="AR33" s="2">
        <f t="shared" si="17"/>
        <v>162.92272722143832</v>
      </c>
      <c r="AS33" s="2">
        <f t="shared" si="18"/>
        <v>161.56401350859798</v>
      </c>
      <c r="AX33" s="2">
        <f>AL33</f>
        <v>1000000000000000</v>
      </c>
      <c r="AY33" s="37">
        <f t="shared" si="19"/>
        <v>7552.7560006646436</v>
      </c>
      <c r="AZ33" s="37">
        <f t="shared" si="20"/>
        <v>4540.5084575532119</v>
      </c>
      <c r="BA33" s="37">
        <f t="shared" si="21"/>
        <v>2353.0684240833825</v>
      </c>
      <c r="BB33" s="37">
        <f t="shared" si="22"/>
        <v>1133.7393389954989</v>
      </c>
      <c r="BC33" s="37">
        <f t="shared" si="23"/>
        <v>757.89722411263494</v>
      </c>
      <c r="BD33" s="37">
        <f t="shared" si="24"/>
        <v>659.39001525263291</v>
      </c>
      <c r="BE33" s="37">
        <f t="shared" si="25"/>
        <v>641.08087260851198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zoomScale="120" zoomScaleNormal="120" zoomScaleSheetLayoutView="110" workbookViewId="0">
      <selection activeCell="D11" sqref="D1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110</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6840.5863197092085</v>
      </c>
      <c r="G16" s="26">
        <f>INDEX(Comparison!$AM$3:$AS$33,G14,$B$3)</f>
        <v>6643.5965561721414</v>
      </c>
      <c r="H16" s="26">
        <f>INDEX(Comparison!$AM$3:$AS$33,H14,$B$3)</f>
        <v>6527.1577578820725</v>
      </c>
      <c r="I16" s="26">
        <f>INDEX(Comparison!$AM$3:$AS$33,I14,$B$3)</f>
        <v>6412.9995296962652</v>
      </c>
      <c r="J16" s="26">
        <f>INDEX(Comparison!$AM$3:$AS$33,J14,$B$3)</f>
        <v>6286.8028992665704</v>
      </c>
      <c r="K16" s="26">
        <f>INDEX(Comparison!$AM$3:$AS$33,K14,$B$3)</f>
        <v>6151.4165633211096</v>
      </c>
      <c r="L16" s="26">
        <f>INDEX(Comparison!$AM$3:$AS$33,L14,$B$3)</f>
        <v>5999.0572498672</v>
      </c>
      <c r="M16" s="26">
        <f>INDEX(Comparison!$AM$3:$AS$33,M14,$B$3)</f>
        <v>5834.1918541119712</v>
      </c>
      <c r="N16" s="26">
        <f>INDEX(Comparison!$AM$3:$AS$33,N14,$B$3)</f>
        <v>5660.667941479277</v>
      </c>
      <c r="O16" s="26">
        <f>INDEX(Comparison!$AM$3:$AS$33,O14,$B$3)</f>
        <v>5500.6338050295499</v>
      </c>
      <c r="P16" s="26">
        <f>INDEX(Comparison!$AM$3:$AS$33,P14,$B$3)</f>
        <v>5316.0543139142828</v>
      </c>
      <c r="Q16" s="26">
        <f>INDEX(Comparison!$AM$3:$AS$33,Q14,$B$3)</f>
        <v>5094.9618199282804</v>
      </c>
      <c r="R16" s="26">
        <f>INDEX(Comparison!$AM$3:$AS$33,R14,$B$3)</f>
        <v>4859.6753740182503</v>
      </c>
      <c r="S16" s="26">
        <f>INDEX(Comparison!$AM$3:$AS$33,S14,$B$3)</f>
        <v>4653.8175879978271</v>
      </c>
      <c r="T16" s="26">
        <f>INDEX(Comparison!$AM$3:$AS$33,T14,$B$3)</f>
        <v>4469.1753341299773</v>
      </c>
      <c r="U16" s="26">
        <f>INDEX(Comparison!$AM$3:$AS$33,U14,$B$3)</f>
        <v>4267.9652571239076</v>
      </c>
      <c r="V16" s="26">
        <f>INDEX(Comparison!$AM$3:$AS$33,V14,$B$3)</f>
        <v>3976.7785402340392</v>
      </c>
      <c r="W16" s="26">
        <f>INDEX(Comparison!$AM$3:$AS$33,W14,$B$3)</f>
        <v>3445.6591436468279</v>
      </c>
      <c r="X16" s="26">
        <f>INDEX(Comparison!$AM$3:$AS$33,X14,$B$3)</f>
        <v>2839.3657389117534</v>
      </c>
      <c r="Y16" s="26">
        <f>INDEX(Comparison!$AM$3:$AS$33,Y14,$B$3)</f>
        <v>2338.5721090290958</v>
      </c>
      <c r="Z16" s="26">
        <f>INDEX(Comparison!$AM$3:$AS$33,Z14,$B$3)</f>
        <v>1960.3272335044344</v>
      </c>
      <c r="AA16" s="26">
        <f>INDEX(Comparison!$AM$3:$AS$33,AA14,$B$3)</f>
        <v>1656.3185875611684</v>
      </c>
      <c r="AB16" s="26">
        <f>INDEX(Comparison!$AM$3:$AS$33,AB14,$B$3)</f>
        <v>1387.2108481854204</v>
      </c>
      <c r="AC16" s="26">
        <f>INDEX(Comparison!$AM$3:$AS$33,AC14,$B$3)</f>
        <v>1120.1049206759617</v>
      </c>
      <c r="AD16" s="26">
        <f>INDEX(Comparison!$AM$3:$AS$33,AD14,$B$3)</f>
        <v>849.29779427462438</v>
      </c>
      <c r="AE16" s="26">
        <f>INDEX(Comparison!$AM$3:$AS$33,AE14,$B$3)</f>
        <v>602.02056954985051</v>
      </c>
      <c r="AF16" s="26">
        <f>INDEX(Comparison!$AM$3:$AS$33,AF14,$B$3)</f>
        <v>414.55153000594095</v>
      </c>
      <c r="AG16" s="26">
        <f>INDEX(Comparison!$AM$3:$AS$33,AG14,$B$3)</f>
        <v>296.76424848335745</v>
      </c>
      <c r="AH16" s="26">
        <f>INDEX(Comparison!$AM$3:$AS$33,AH14,$B$3)</f>
        <v>236.5039430342818</v>
      </c>
      <c r="AI16" s="26">
        <f>INDEX(Comparison!$AM$3:$AS$33,AI14,$B$3)</f>
        <v>206.64782998877558</v>
      </c>
      <c r="AJ16" s="26">
        <f>INDEX(Comparison!$AM$3:$AS$33,AJ14,$B$3)</f>
        <v>191.80670583863778</v>
      </c>
    </row>
    <row r="17" spans="1:36" x14ac:dyDescent="0.25">
      <c r="A17" s="14" t="s">
        <v>20</v>
      </c>
      <c r="B17" s="105">
        <v>2.4534344455570217E-2</v>
      </c>
      <c r="C17" s="18">
        <f t="shared" ref="C17:C48" si="3">ABS(B17/$B$49)</f>
        <v>1.6870001986363008E-2</v>
      </c>
      <c r="D17" s="66"/>
      <c r="E17" s="65" t="s">
        <v>22</v>
      </c>
      <c r="F17" s="27">
        <f>($C$17+SUM(F18:F48))*$B$51</f>
        <v>6780.5643640910303</v>
      </c>
      <c r="G17" s="27">
        <f t="shared" ref="G17:M17" si="4">($C$17+SUM(G18:G48))*$B$51</f>
        <v>6721.2132312905433</v>
      </c>
      <c r="H17" s="27">
        <f t="shared" si="4"/>
        <v>6506.5953630070026</v>
      </c>
      <c r="I17" s="27">
        <f t="shared" si="4"/>
        <v>6416.3601690473088</v>
      </c>
      <c r="J17" s="27">
        <f t="shared" si="4"/>
        <v>6286.3245578573205</v>
      </c>
      <c r="K17" s="27">
        <f t="shared" si="4"/>
        <v>6151.5044781936895</v>
      </c>
      <c r="L17" s="27">
        <f t="shared" si="4"/>
        <v>5998.9915121398781</v>
      </c>
      <c r="M17" s="27">
        <f t="shared" si="4"/>
        <v>5834.3647134360945</v>
      </c>
      <c r="N17" s="27">
        <f t="shared" ref="N17" si="5">($C$17+SUM(N18:N48))*$B$51</f>
        <v>5660.3407048119661</v>
      </c>
      <c r="O17" s="27">
        <f t="shared" ref="O17" si="6">($C$17+SUM(O18:O48))*$B$51</f>
        <v>5501.2242867225432</v>
      </c>
      <c r="P17" s="27">
        <f t="shared" ref="P17" si="7">($C$17+SUM(P18:P48))*$B$51</f>
        <v>5315.0896380100203</v>
      </c>
      <c r="Q17" s="27">
        <f t="shared" ref="Q17" si="8">($C$17+SUM(Q18:Q48))*$B$51</f>
        <v>5096.2527806469298</v>
      </c>
      <c r="R17" s="27">
        <f t="shared" ref="R17" si="9">($C$17+SUM(R18:R48))*$B$51</f>
        <v>4858.164219671894</v>
      </c>
      <c r="S17" s="27">
        <f t="shared" ref="S17:T17" si="10">($C$17+SUM(S18:S48))*$B$51</f>
        <v>4655.247248401196</v>
      </c>
      <c r="T17" s="27">
        <f t="shared" si="10"/>
        <v>4467.9850839901183</v>
      </c>
      <c r="U17" s="27">
        <f t="shared" ref="U17" si="11">($C$17+SUM(U18:U48))*$B$51</f>
        <v>4268.8035079487699</v>
      </c>
      <c r="V17" s="27">
        <f t="shared" ref="V17" si="12">($C$17+SUM(V18:V48))*$B$51</f>
        <v>3976.274632618341</v>
      </c>
      <c r="W17" s="27">
        <f t="shared" ref="W17" si="13">($C$17+SUM(W18:W48))*$B$51</f>
        <v>3445.9153847661255</v>
      </c>
      <c r="X17" s="27">
        <f t="shared" ref="X17" si="14">($C$17+SUM(X18:X48))*$B$51</f>
        <v>2839.292851016708</v>
      </c>
      <c r="Y17" s="27">
        <f t="shared" ref="Y17" si="15">($C$17+SUM(Y18:Y48))*$B$51</f>
        <v>2338.6006415255101</v>
      </c>
      <c r="Z17" s="27">
        <f t="shared" ref="Z17:AA17" si="16">($C$17+SUM(Z18:Z48))*$B$51</f>
        <v>1960.3434472141162</v>
      </c>
      <c r="AA17" s="27">
        <f t="shared" si="16"/>
        <v>1656.3534945782949</v>
      </c>
      <c r="AB17" s="27">
        <f t="shared" ref="AB17" si="17">($C$17+SUM(AB18:AB48))*$B$51</f>
        <v>1387.0944068739254</v>
      </c>
      <c r="AC17" s="27">
        <f t="shared" ref="AC17" si="18">($C$17+SUM(AC18:AC48))*$B$51</f>
        <v>1120.3037942268586</v>
      </c>
      <c r="AD17" s="27">
        <f t="shared" ref="AD17" si="19">($C$17+SUM(AD18:AD48))*$B$51</f>
        <v>849.08571986551044</v>
      </c>
      <c r="AE17" s="27">
        <f t="shared" ref="AE17" si="20">($C$17+SUM(AE18:AE48))*$B$51</f>
        <v>602.2141265265526</v>
      </c>
      <c r="AF17" s="27">
        <f t="shared" ref="AF17" si="21">($C$17+SUM(AF18:AF48))*$B$51</f>
        <v>414.49311482774755</v>
      </c>
      <c r="AG17" s="27">
        <f t="shared" ref="AG17:AH17" si="22">($C$17+SUM(AG18:AG48))*$B$51</f>
        <v>296.66606886906953</v>
      </c>
      <c r="AH17" s="27">
        <f t="shared" si="22"/>
        <v>236.61487426186719</v>
      </c>
      <c r="AI17" s="27">
        <f t="shared" ref="AI17" si="23">($C$17+SUM(AI18:AI48))*$B$51</f>
        <v>206.56493116182051</v>
      </c>
      <c r="AJ17" s="27">
        <f t="shared" ref="AJ17" si="24">($C$17+SUM(AJ18:AJ48))*$B$51</f>
        <v>191.85208934801469</v>
      </c>
    </row>
    <row r="18" spans="1:36" x14ac:dyDescent="0.25">
      <c r="A18" s="3">
        <f>0.000000000000001/10^5</f>
        <v>1.0000000000000001E-20</v>
      </c>
      <c r="B18" s="106">
        <v>4.2509262012685144E-2</v>
      </c>
      <c r="C18" s="18">
        <f t="shared" si="3"/>
        <v>2.922969211146003E-2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5.9945338732777638E-2</v>
      </c>
      <c r="C19" s="18">
        <f t="shared" si="3"/>
        <v>4.1218871175731128E-2</v>
      </c>
      <c r="D19" s="17"/>
      <c r="F19" s="3">
        <f t="shared" si="25"/>
        <v>4.0176439607713409E-2</v>
      </c>
      <c r="G19" s="3">
        <f t="shared" si="25"/>
        <v>3.1904329973532382E-2</v>
      </c>
      <c r="H19" s="3">
        <f t="shared" si="25"/>
        <v>3.1814964143676693E-3</v>
      </c>
      <c r="I19" s="3">
        <f t="shared" si="25"/>
        <v>3.093495833027743E-13</v>
      </c>
      <c r="J19" s="3">
        <f t="shared" si="25"/>
        <v>2.3368482321300769E-113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1.2242598184344268E-2</v>
      </c>
      <c r="C20" s="18">
        <f t="shared" si="3"/>
        <v>8.4181036938707071E-3</v>
      </c>
      <c r="D20" s="17"/>
      <c r="F20" s="3">
        <f t="shared" si="25"/>
        <v>8.3986742172779596E-3</v>
      </c>
      <c r="G20" s="3">
        <f t="shared" si="25"/>
        <v>8.2258145542306697E-3</v>
      </c>
      <c r="H20" s="3">
        <f t="shared" si="25"/>
        <v>6.6812958717036054E-3</v>
      </c>
      <c r="I20" s="3">
        <f t="shared" si="25"/>
        <v>8.3498486468538036E-4</v>
      </c>
      <c r="J20" s="3">
        <f t="shared" si="25"/>
        <v>7.7599262498693233E-13</v>
      </c>
      <c r="K20" s="3">
        <f t="shared" si="25"/>
        <v>3.7294732625405279E-103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3.0506502125775797E-2</v>
      </c>
      <c r="C21" s="18">
        <f t="shared" si="3"/>
        <v>2.0976503056391274E-2</v>
      </c>
      <c r="D21" s="17"/>
      <c r="F21" s="3">
        <f t="shared" si="25"/>
        <v>2.0972131028546111E-2</v>
      </c>
      <c r="G21" s="3">
        <f t="shared" si="25"/>
        <v>2.0932823760954455E-2</v>
      </c>
      <c r="H21" s="3">
        <f t="shared" si="25"/>
        <v>2.054378035329936E-2</v>
      </c>
      <c r="I21" s="3">
        <f t="shared" si="25"/>
        <v>1.7029653982813843E-2</v>
      </c>
      <c r="J21" s="3">
        <f t="shared" si="25"/>
        <v>2.6089180126375954E-3</v>
      </c>
      <c r="K21" s="3">
        <f t="shared" si="25"/>
        <v>1.8578322841727035E-11</v>
      </c>
      <c r="L21" s="3">
        <f t="shared" si="25"/>
        <v>6.2297016451546127E-93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2.8093161577956324E-2</v>
      </c>
      <c r="C22" s="18">
        <f t="shared" si="3"/>
        <v>1.9317071727006741E-2</v>
      </c>
      <c r="D22" s="17"/>
      <c r="F22" s="3">
        <f t="shared" si="25"/>
        <v>1.9316708499363677E-2</v>
      </c>
      <c r="G22" s="3">
        <f t="shared" si="25"/>
        <v>1.9313439757907714E-2</v>
      </c>
      <c r="H22" s="3">
        <f t="shared" si="25"/>
        <v>1.9280782750115511E-2</v>
      </c>
      <c r="I22" s="3">
        <f t="shared" si="25"/>
        <v>1.8957234395289409E-2</v>
      </c>
      <c r="J22" s="3">
        <f t="shared" si="25"/>
        <v>1.6005828805705634E-2</v>
      </c>
      <c r="K22" s="3">
        <f t="shared" si="25"/>
        <v>2.9465244086387277E-3</v>
      </c>
      <c r="L22" s="3">
        <f t="shared" si="25"/>
        <v>1.317130477567853E-10</v>
      </c>
      <c r="M22" s="3">
        <f t="shared" si="25"/>
        <v>4.1958152778836683E-84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3.3836354983982735E-2</v>
      </c>
      <c r="C23" s="18">
        <f t="shared" si="3"/>
        <v>2.3266135226265444E-2</v>
      </c>
      <c r="D23" s="17"/>
      <c r="F23" s="3">
        <f t="shared" si="25"/>
        <v>2.3266095761261193E-2</v>
      </c>
      <c r="G23" s="3">
        <f t="shared" si="25"/>
        <v>2.3265740579235323E-2</v>
      </c>
      <c r="H23" s="3">
        <f t="shared" si="25"/>
        <v>2.3262189057185953E-2</v>
      </c>
      <c r="I23" s="3">
        <f t="shared" si="25"/>
        <v>2.3226703640789256E-2</v>
      </c>
      <c r="J23" s="3">
        <f t="shared" si="25"/>
        <v>2.2874813120229463E-2</v>
      </c>
      <c r="K23" s="3">
        <f t="shared" si="25"/>
        <v>1.9636194062752174E-2</v>
      </c>
      <c r="L23" s="3">
        <f t="shared" si="25"/>
        <v>4.2663347040872686E-3</v>
      </c>
      <c r="M23" s="3">
        <f t="shared" si="25"/>
        <v>1.0000713994713245E-9</v>
      </c>
      <c r="N23" s="3">
        <f t="shared" si="25"/>
        <v>5.009470706424217E-76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3.5925954520796818E-2</v>
      </c>
      <c r="C24" s="18">
        <f t="shared" si="3"/>
        <v>2.4702959772386686E-2</v>
      </c>
      <c r="D24" s="17"/>
      <c r="F24" s="3">
        <f t="shared" si="25"/>
        <v>2.4702955992456112E-2</v>
      </c>
      <c r="G24" s="3">
        <f t="shared" si="25"/>
        <v>2.470292197310698E-2</v>
      </c>
      <c r="H24" s="3">
        <f t="shared" si="25"/>
        <v>2.4702581782192347E-2</v>
      </c>
      <c r="I24" s="3">
        <f t="shared" si="25"/>
        <v>2.4699180130702974E-2</v>
      </c>
      <c r="J24" s="3">
        <f t="shared" si="25"/>
        <v>2.4665189368379241E-2</v>
      </c>
      <c r="K24" s="3">
        <f t="shared" si="25"/>
        <v>2.4327843928352355E-2</v>
      </c>
      <c r="L24" s="3">
        <f t="shared" si="25"/>
        <v>2.1198019611894152E-2</v>
      </c>
      <c r="M24" s="3">
        <f t="shared" si="25"/>
        <v>5.3482533990753846E-3</v>
      </c>
      <c r="N24" s="3">
        <f t="shared" si="25"/>
        <v>5.5895756488012353E-9</v>
      </c>
      <c r="O24" s="3">
        <f t="shared" si="25"/>
        <v>8.6905539903279613E-69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3.9848257205029075E-2</v>
      </c>
      <c r="C25" s="18">
        <f t="shared" si="3"/>
        <v>2.7399964951960259E-2</v>
      </c>
      <c r="D25" s="17"/>
      <c r="F25" s="3">
        <f t="shared" si="25"/>
        <v>2.7399964573751604E-2</v>
      </c>
      <c r="G25" s="3">
        <f t="shared" si="25"/>
        <v>2.739996116987397E-2</v>
      </c>
      <c r="H25" s="3">
        <f t="shared" si="25"/>
        <v>2.739992713112083E-2</v>
      </c>
      <c r="I25" s="3">
        <f t="shared" si="25"/>
        <v>2.7399586745915184E-2</v>
      </c>
      <c r="J25" s="3">
        <f t="shared" si="25"/>
        <v>2.739618312642058E-2</v>
      </c>
      <c r="K25" s="3">
        <f t="shared" si="25"/>
        <v>2.7362170176972039E-2</v>
      </c>
      <c r="L25" s="3">
        <f t="shared" si="25"/>
        <v>2.7024354582896582E-2</v>
      </c>
      <c r="M25" s="3">
        <f t="shared" si="25"/>
        <v>2.3867297147682754E-2</v>
      </c>
      <c r="N25" s="3">
        <f t="shared" si="25"/>
        <v>6.8910013557019738E-3</v>
      </c>
      <c r="O25" s="3">
        <f t="shared" si="25"/>
        <v>2.7737881459780262E-8</v>
      </c>
      <c r="P25" s="3">
        <f t="shared" si="25"/>
        <v>3.097296719756824E-62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3.088953602281783E-2</v>
      </c>
      <c r="C26" s="18">
        <f t="shared" si="3"/>
        <v>2.123988007939041E-2</v>
      </c>
      <c r="D26" s="17"/>
      <c r="F26" s="3">
        <f t="shared" si="25"/>
        <v>2.1239880052943184E-2</v>
      </c>
      <c r="G26" s="3">
        <f t="shared" si="25"/>
        <v>2.1239879814918164E-2</v>
      </c>
      <c r="H26" s="3">
        <f t="shared" si="25"/>
        <v>2.123987743466809E-2</v>
      </c>
      <c r="I26" s="3">
        <f t="shared" si="25"/>
        <v>2.1239853632182028E-2</v>
      </c>
      <c r="J26" s="3">
        <f t="shared" si="25"/>
        <v>2.1239615608788506E-2</v>
      </c>
      <c r="K26" s="3">
        <f t="shared" si="25"/>
        <v>2.1237235521555205E-2</v>
      </c>
      <c r="L26" s="3">
        <f t="shared" si="25"/>
        <v>2.1213449313335079E-2</v>
      </c>
      <c r="M26" s="3">
        <f t="shared" si="25"/>
        <v>2.0977047580262375E-2</v>
      </c>
      <c r="N26" s="3">
        <f t="shared" si="25"/>
        <v>1.8753187216457069E-2</v>
      </c>
      <c r="O26" s="3">
        <f t="shared" si="25"/>
        <v>6.1148013020615854E-3</v>
      </c>
      <c r="P26" s="3">
        <f t="shared" si="25"/>
        <v>8.3072054306526323E-8</v>
      </c>
      <c r="Q26" s="3">
        <f t="shared" si="25"/>
        <v>1.7790205309402815E-56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4.4166036158436721E-2</v>
      </c>
      <c r="C27" s="18">
        <f t="shared" si="3"/>
        <v>3.0368902624314728E-2</v>
      </c>
      <c r="D27" s="17"/>
      <c r="F27" s="3">
        <f t="shared" si="25"/>
        <v>3.0368902620903557E-2</v>
      </c>
      <c r="G27" s="3">
        <f t="shared" si="25"/>
        <v>3.0368902590202997E-2</v>
      </c>
      <c r="H27" s="3">
        <f t="shared" si="25"/>
        <v>3.0368902283197437E-2</v>
      </c>
      <c r="I27" s="3">
        <f t="shared" si="25"/>
        <v>3.0368899213141988E-2</v>
      </c>
      <c r="J27" s="3">
        <f t="shared" si="25"/>
        <v>3.0368868512604549E-2</v>
      </c>
      <c r="K27" s="3">
        <f t="shared" si="25"/>
        <v>3.0368561508937155E-2</v>
      </c>
      <c r="L27" s="3">
        <f t="shared" si="25"/>
        <v>3.0365491642953185E-2</v>
      </c>
      <c r="M27" s="3">
        <f t="shared" si="25"/>
        <v>3.033481004572898E-2</v>
      </c>
      <c r="N27" s="3">
        <f t="shared" si="25"/>
        <v>3.0029693970144721E-2</v>
      </c>
      <c r="O27" s="3">
        <f t="shared" si="25"/>
        <v>2.7142332870692298E-2</v>
      </c>
      <c r="P27" s="3">
        <f t="shared" si="25"/>
        <v>9.8766538231074546E-3</v>
      </c>
      <c r="Q27" s="3">
        <f t="shared" si="25"/>
        <v>4.0200960421963292E-7</v>
      </c>
      <c r="R27" s="3">
        <f t="shared" si="25"/>
        <v>5.0176734724969825E-51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4.8883110299045476E-2</v>
      </c>
      <c r="C28" s="18">
        <f t="shared" si="3"/>
        <v>3.3612398706551576E-2</v>
      </c>
      <c r="D28" s="17"/>
      <c r="F28" s="3">
        <f t="shared" si="25"/>
        <v>3.3612398706210994E-2</v>
      </c>
      <c r="G28" s="3">
        <f t="shared" si="25"/>
        <v>3.3612398703145765E-2</v>
      </c>
      <c r="H28" s="3">
        <f t="shared" si="25"/>
        <v>3.3612398672493451E-2</v>
      </c>
      <c r="I28" s="3">
        <f t="shared" si="25"/>
        <v>3.3612398365970325E-2</v>
      </c>
      <c r="J28" s="3">
        <f t="shared" si="25"/>
        <v>3.3612395300739242E-2</v>
      </c>
      <c r="K28" s="3">
        <f t="shared" si="25"/>
        <v>3.3612364648443811E-2</v>
      </c>
      <c r="L28" s="3">
        <f t="shared" si="25"/>
        <v>3.361205812702682E-2</v>
      </c>
      <c r="M28" s="3">
        <f t="shared" si="25"/>
        <v>3.3608993066592159E-2</v>
      </c>
      <c r="N28" s="3">
        <f t="shared" si="25"/>
        <v>3.3578357830582176E-2</v>
      </c>
      <c r="O28" s="3">
        <f t="shared" si="25"/>
        <v>3.3273537131247567E-2</v>
      </c>
      <c r="P28" s="3">
        <f t="shared" si="25"/>
        <v>3.0373451803790606E-2</v>
      </c>
      <c r="Q28" s="3">
        <f t="shared" si="25"/>
        <v>1.2202419322003392E-2</v>
      </c>
      <c r="R28" s="3">
        <f t="shared" si="25"/>
        <v>1.3364843921380375E-6</v>
      </c>
      <c r="S28" s="3">
        <f t="shared" si="25"/>
        <v>3.3200402965516436E-46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5.6789247956389365E-2</v>
      </c>
      <c r="C29" s="18">
        <f t="shared" si="3"/>
        <v>3.9048719135874044E-2</v>
      </c>
      <c r="D29" s="17"/>
      <c r="F29" s="3">
        <f t="shared" si="25"/>
        <v>3.904871913583835E-2</v>
      </c>
      <c r="G29" s="3">
        <f t="shared" si="25"/>
        <v>3.9048719135517121E-2</v>
      </c>
      <c r="H29" s="3">
        <f t="shared" si="25"/>
        <v>3.9048719132304816E-2</v>
      </c>
      <c r="I29" s="3">
        <f t="shared" si="25"/>
        <v>3.904871910018174E-2</v>
      </c>
      <c r="J29" s="3">
        <f t="shared" si="25"/>
        <v>3.9048718778950983E-2</v>
      </c>
      <c r="K29" s="3">
        <f t="shared" si="25"/>
        <v>3.904871556664357E-2</v>
      </c>
      <c r="L29" s="3">
        <f t="shared" si="25"/>
        <v>3.9048683443583941E-2</v>
      </c>
      <c r="M29" s="3">
        <f t="shared" si="25"/>
        <v>3.9048362214441093E-2</v>
      </c>
      <c r="N29" s="3">
        <f t="shared" si="25"/>
        <v>3.9045150068349362E-2</v>
      </c>
      <c r="O29" s="3">
        <f t="shared" si="25"/>
        <v>3.9013043136684633E-2</v>
      </c>
      <c r="P29" s="3">
        <f t="shared" si="25"/>
        <v>3.8693422332635098E-2</v>
      </c>
      <c r="Q29" s="3">
        <f t="shared" si="25"/>
        <v>3.5637751952370782E-2</v>
      </c>
      <c r="R29" s="3">
        <f t="shared" si="25"/>
        <v>1.5654596260506429E-2</v>
      </c>
      <c r="S29" s="3">
        <f t="shared" si="25"/>
        <v>4.1875265991188808E-6</v>
      </c>
      <c r="T29" s="3">
        <f t="shared" si="25"/>
        <v>7.8544295958234596E-42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3.3330647703433157E-2</v>
      </c>
      <c r="C30" s="18">
        <f t="shared" si="3"/>
        <v>2.2918407051060314E-2</v>
      </c>
      <c r="D30" s="17"/>
      <c r="F30" s="3">
        <f t="shared" si="25"/>
        <v>2.2918407051058423E-2</v>
      </c>
      <c r="G30" s="3">
        <f t="shared" si="25"/>
        <v>2.2918407051041416E-2</v>
      </c>
      <c r="H30" s="3">
        <f t="shared" si="25"/>
        <v>2.2918407050871344E-2</v>
      </c>
      <c r="I30" s="3">
        <f t="shared" si="25"/>
        <v>2.2918407049170589E-2</v>
      </c>
      <c r="J30" s="3">
        <f t="shared" si="25"/>
        <v>2.2918407032163055E-2</v>
      </c>
      <c r="K30" s="3">
        <f t="shared" si="25"/>
        <v>2.2918406862087716E-2</v>
      </c>
      <c r="L30" s="3">
        <f t="shared" si="25"/>
        <v>2.2918405161334386E-2</v>
      </c>
      <c r="M30" s="3">
        <f t="shared" si="25"/>
        <v>2.2918388153808061E-2</v>
      </c>
      <c r="N30" s="3">
        <f t="shared" si="25"/>
        <v>2.2918218079238953E-2</v>
      </c>
      <c r="O30" s="3">
        <f t="shared" si="25"/>
        <v>2.291651740296197E-2</v>
      </c>
      <c r="P30" s="3">
        <f t="shared" si="25"/>
        <v>2.2899517579696792E-2</v>
      </c>
      <c r="Q30" s="3">
        <f t="shared" si="25"/>
        <v>2.2730211395881526E-2</v>
      </c>
      <c r="R30" s="3">
        <f t="shared" si="25"/>
        <v>2.1104491389008422E-2</v>
      </c>
      <c r="S30" s="3">
        <f t="shared" si="25"/>
        <v>1.0048217919240099E-2</v>
      </c>
      <c r="T30" s="3">
        <f t="shared" si="25"/>
        <v>6.0149302343181964E-6</v>
      </c>
      <c r="U30" s="3">
        <f t="shared" si="25"/>
        <v>3.5534162724854189E-38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4.8612680599164952E-2</v>
      </c>
      <c r="C31" s="18">
        <f t="shared" si="3"/>
        <v>3.3426449186587111E-2</v>
      </c>
      <c r="D31" s="17"/>
      <c r="F31" s="3">
        <f t="shared" si="25"/>
        <v>3.3426449186586861E-2</v>
      </c>
      <c r="G31" s="3">
        <f t="shared" si="25"/>
        <v>3.3426449186584627E-2</v>
      </c>
      <c r="H31" s="3">
        <f t="shared" si="25"/>
        <v>3.3426449186562249E-2</v>
      </c>
      <c r="I31" s="3">
        <f t="shared" si="25"/>
        <v>3.3426449186338483E-2</v>
      </c>
      <c r="J31" s="3">
        <f t="shared" si="25"/>
        <v>3.3426449184100822E-2</v>
      </c>
      <c r="K31" s="3">
        <f t="shared" si="25"/>
        <v>3.3426449161724242E-2</v>
      </c>
      <c r="L31" s="3">
        <f t="shared" si="25"/>
        <v>3.3426448937958417E-2</v>
      </c>
      <c r="M31" s="3">
        <f t="shared" si="25"/>
        <v>3.3426446700300275E-2</v>
      </c>
      <c r="N31" s="3">
        <f t="shared" si="25"/>
        <v>3.3426424323727076E-2</v>
      </c>
      <c r="O31" s="3">
        <f t="shared" si="25"/>
        <v>3.3426200558818925E-2</v>
      </c>
      <c r="P31" s="3">
        <f t="shared" si="25"/>
        <v>3.3423962992122427E-2</v>
      </c>
      <c r="Q31" s="3">
        <f t="shared" si="25"/>
        <v>3.3401595561614532E-2</v>
      </c>
      <c r="R31" s="3">
        <f t="shared" si="25"/>
        <v>3.3178742865821294E-2</v>
      </c>
      <c r="S31" s="3">
        <f t="shared" si="25"/>
        <v>3.1030377734436312E-2</v>
      </c>
      <c r="T31" s="3">
        <f t="shared" si="25"/>
        <v>1.5887604438693474E-2</v>
      </c>
      <c r="U31" s="3">
        <f t="shared" si="25"/>
        <v>1.9668533502183907E-5</v>
      </c>
      <c r="V31" s="3">
        <f t="shared" si="26"/>
        <v>1.6630587594285632E-34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2.9385450922953648E-2</v>
      </c>
      <c r="C32" s="18">
        <f t="shared" si="3"/>
        <v>2.0205659716652863E-2</v>
      </c>
      <c r="D32" s="17"/>
      <c r="F32" s="3">
        <f t="shared" si="25"/>
        <v>2.0205659716652849E-2</v>
      </c>
      <c r="G32" s="3">
        <f t="shared" si="25"/>
        <v>2.0205659716652728E-2</v>
      </c>
      <c r="H32" s="3">
        <f t="shared" si="25"/>
        <v>2.0205659716651506E-2</v>
      </c>
      <c r="I32" s="3">
        <f t="shared" si="25"/>
        <v>2.0205659716639304E-2</v>
      </c>
      <c r="J32" s="3">
        <f t="shared" si="25"/>
        <v>2.0205659716517287E-2</v>
      </c>
      <c r="K32" s="3">
        <f t="shared" si="25"/>
        <v>2.0205659715297111E-2</v>
      </c>
      <c r="L32" s="3">
        <f t="shared" si="25"/>
        <v>2.0205659703095333E-2</v>
      </c>
      <c r="M32" s="3">
        <f t="shared" si="25"/>
        <v>2.0205659581077548E-2</v>
      </c>
      <c r="N32" s="3">
        <f t="shared" si="25"/>
        <v>2.0205658360899742E-2</v>
      </c>
      <c r="O32" s="3">
        <f t="shared" si="25"/>
        <v>2.0205646159125748E-2</v>
      </c>
      <c r="P32" s="3">
        <f t="shared" si="25"/>
        <v>2.0205524141791057E-2</v>
      </c>
      <c r="Q32" s="3">
        <f t="shared" si="25"/>
        <v>2.0204304008969373E-2</v>
      </c>
      <c r="R32" s="3">
        <f t="shared" si="25"/>
        <v>2.0192106732367002E-2</v>
      </c>
      <c r="S32" s="3">
        <f t="shared" si="25"/>
        <v>2.0070538223978127E-2</v>
      </c>
      <c r="T32" s="3">
        <f t="shared" si="25"/>
        <v>1.8894390054047062E-2</v>
      </c>
      <c r="U32" s="3">
        <f t="shared" si="25"/>
        <v>1.0329313378900428E-2</v>
      </c>
      <c r="V32" s="3">
        <f t="shared" si="26"/>
        <v>2.4629592308548577E-5</v>
      </c>
      <c r="W32" s="3">
        <f t="shared" si="26"/>
        <v>1.4632378199654833E-31</v>
      </c>
      <c r="X32" s="3">
        <f t="shared" si="26"/>
        <v>8.0147847714237632E-294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9.7514467742124827E-2</v>
      </c>
      <c r="C33" s="18">
        <f t="shared" si="3"/>
        <v>6.7051690233169634E-2</v>
      </c>
      <c r="D33" s="17"/>
      <c r="F33" s="3">
        <f t="shared" si="25"/>
        <v>6.705169023316962E-2</v>
      </c>
      <c r="G33" s="3">
        <f t="shared" si="25"/>
        <v>6.7051690233169592E-2</v>
      </c>
      <c r="H33" s="3">
        <f t="shared" si="25"/>
        <v>6.7051690233169217E-2</v>
      </c>
      <c r="I33" s="3">
        <f t="shared" si="25"/>
        <v>6.7051690233165581E-2</v>
      </c>
      <c r="J33" s="3">
        <f t="shared" si="25"/>
        <v>6.7051690233129041E-2</v>
      </c>
      <c r="K33" s="3">
        <f t="shared" si="25"/>
        <v>6.7051690232763778E-2</v>
      </c>
      <c r="L33" s="3">
        <f t="shared" si="25"/>
        <v>6.7051690229111144E-2</v>
      </c>
      <c r="M33" s="3">
        <f t="shared" si="25"/>
        <v>6.7051690192584779E-2</v>
      </c>
      <c r="N33" s="3">
        <f t="shared" si="25"/>
        <v>6.7051689827321168E-2</v>
      </c>
      <c r="O33" s="3">
        <f t="shared" si="25"/>
        <v>6.7051686174685057E-2</v>
      </c>
      <c r="P33" s="3">
        <f t="shared" si="25"/>
        <v>6.7051649648334877E-2</v>
      </c>
      <c r="Q33" s="3">
        <f t="shared" si="25"/>
        <v>6.7051284385927418E-2</v>
      </c>
      <c r="R33" s="3">
        <f t="shared" si="25"/>
        <v>6.704763187128783E-2</v>
      </c>
      <c r="S33" s="3">
        <f t="shared" si="25"/>
        <v>6.7011117666182479E-2</v>
      </c>
      <c r="T33" s="3">
        <f t="shared" si="25"/>
        <v>6.6647067542090238E-2</v>
      </c>
      <c r="U33" s="3">
        <f t="shared" ref="P33:AE48" si="27">$C33*EXP(-U$15/$A33)</f>
        <v>6.311358984088937E-2</v>
      </c>
      <c r="V33" s="3">
        <f t="shared" si="27"/>
        <v>3.6605071668701139E-2</v>
      </c>
      <c r="W33" s="3">
        <f t="shared" si="27"/>
        <v>1.5766127888473244E-4</v>
      </c>
      <c r="X33" s="3">
        <f t="shared" si="27"/>
        <v>3.4638803392936195E-28</v>
      </c>
      <c r="Y33" s="3">
        <f t="shared" si="27"/>
        <v>9.0769770620498717E-265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0.14046758874448936</v>
      </c>
      <c r="C34" s="18">
        <f t="shared" si="3"/>
        <v>9.6586583164285408E-2</v>
      </c>
      <c r="D34" s="17"/>
      <c r="F34" s="3">
        <f t="shared" ref="F34:O48" si="28">$C34*EXP(-F$15/$A34)</f>
        <v>9.6586583164285408E-2</v>
      </c>
      <c r="G34" s="3">
        <f t="shared" si="28"/>
        <v>9.6586583164285408E-2</v>
      </c>
      <c r="H34" s="3">
        <f t="shared" si="28"/>
        <v>9.6586583164285353E-2</v>
      </c>
      <c r="I34" s="3">
        <f t="shared" si="28"/>
        <v>9.6586583164284881E-2</v>
      </c>
      <c r="J34" s="3">
        <f t="shared" si="28"/>
        <v>9.6586583164280135E-2</v>
      </c>
      <c r="K34" s="3">
        <f t="shared" si="28"/>
        <v>9.6586583164232673E-2</v>
      </c>
      <c r="L34" s="3">
        <f t="shared" si="28"/>
        <v>9.6586583163758039E-2</v>
      </c>
      <c r="M34" s="3">
        <f t="shared" si="28"/>
        <v>9.6586583159011682E-2</v>
      </c>
      <c r="N34" s="3">
        <f t="shared" si="28"/>
        <v>9.6586583111548149E-2</v>
      </c>
      <c r="O34" s="3">
        <f t="shared" si="28"/>
        <v>9.6586582636912791E-2</v>
      </c>
      <c r="P34" s="3">
        <f t="shared" si="27"/>
        <v>9.6586577890559369E-2</v>
      </c>
      <c r="Q34" s="3">
        <f t="shared" si="27"/>
        <v>9.6586530427037937E-2</v>
      </c>
      <c r="R34" s="3">
        <f t="shared" si="27"/>
        <v>9.6586055793106543E-2</v>
      </c>
      <c r="S34" s="3">
        <f t="shared" si="27"/>
        <v>9.6581309582072117E-2</v>
      </c>
      <c r="T34" s="3">
        <f t="shared" si="27"/>
        <v>9.6533860297346591E-2</v>
      </c>
      <c r="U34" s="3">
        <f t="shared" si="27"/>
        <v>9.6060647683055014E-2</v>
      </c>
      <c r="V34" s="3">
        <f t="shared" si="27"/>
        <v>9.1454247379231524E-2</v>
      </c>
      <c r="W34" s="3">
        <f t="shared" si="27"/>
        <v>5.5948387693800526E-2</v>
      </c>
      <c r="X34" s="3">
        <f t="shared" si="27"/>
        <v>4.1079441596744405E-4</v>
      </c>
      <c r="Y34" s="3">
        <f t="shared" si="27"/>
        <v>1.8706566829633417E-25</v>
      </c>
      <c r="Z34" s="3">
        <f t="shared" si="27"/>
        <v>7.1728157149222138E-239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0.12180343303368169</v>
      </c>
      <c r="C35" s="18">
        <f t="shared" si="3"/>
        <v>8.375296763869805E-2</v>
      </c>
      <c r="D35" s="17"/>
      <c r="F35" s="3">
        <f t="shared" si="28"/>
        <v>8.375296763869805E-2</v>
      </c>
      <c r="G35" s="3">
        <f t="shared" si="28"/>
        <v>8.375296763869805E-2</v>
      </c>
      <c r="H35" s="3">
        <f t="shared" si="28"/>
        <v>8.375296763869805E-2</v>
      </c>
      <c r="I35" s="3">
        <f t="shared" si="28"/>
        <v>8.3752967638698009E-2</v>
      </c>
      <c r="J35" s="3">
        <f t="shared" si="28"/>
        <v>8.3752967638697648E-2</v>
      </c>
      <c r="K35" s="3">
        <f t="shared" si="28"/>
        <v>8.3752967638693929E-2</v>
      </c>
      <c r="L35" s="3">
        <f t="shared" si="28"/>
        <v>8.3752967638656806E-2</v>
      </c>
      <c r="M35" s="3">
        <f t="shared" si="28"/>
        <v>8.3752967638285519E-2</v>
      </c>
      <c r="N35" s="3">
        <f t="shared" si="28"/>
        <v>8.3752967634572822E-2</v>
      </c>
      <c r="O35" s="3">
        <f t="shared" si="28"/>
        <v>8.3752967597445799E-2</v>
      </c>
      <c r="P35" s="3">
        <f t="shared" si="27"/>
        <v>8.3752967226175618E-2</v>
      </c>
      <c r="Q35" s="3">
        <f t="shared" si="27"/>
        <v>8.3752963513473819E-2</v>
      </c>
      <c r="R35" s="3">
        <f t="shared" si="27"/>
        <v>8.3752926386464963E-2</v>
      </c>
      <c r="S35" s="3">
        <f t="shared" si="27"/>
        <v>8.3752555117281566E-2</v>
      </c>
      <c r="T35" s="3">
        <f t="shared" si="27"/>
        <v>8.3748842515965441E-2</v>
      </c>
      <c r="U35" s="3">
        <f t="shared" si="27"/>
        <v>8.371172555311511E-2</v>
      </c>
      <c r="V35" s="3">
        <f t="shared" si="27"/>
        <v>8.3341459473048329E-2</v>
      </c>
      <c r="W35" s="3">
        <f t="shared" si="27"/>
        <v>7.9727688942043434E-2</v>
      </c>
      <c r="X35" s="3">
        <f t="shared" si="27"/>
        <v>5.1178778274475881E-2</v>
      </c>
      <c r="Y35" s="3">
        <f t="shared" si="27"/>
        <v>6.0799121376205016E-4</v>
      </c>
      <c r="Z35" s="3">
        <f t="shared" si="27"/>
        <v>3.4038561035354474E-23</v>
      </c>
      <c r="AA35" s="3">
        <f t="shared" si="27"/>
        <v>1.0296985045998149E-215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8.6163753763939518E-2</v>
      </c>
      <c r="C36" s="18">
        <f t="shared" si="3"/>
        <v>5.92468529078687E-2</v>
      </c>
      <c r="D36" s="17"/>
      <c r="F36" s="3">
        <f t="shared" si="28"/>
        <v>5.92468529078687E-2</v>
      </c>
      <c r="G36" s="3">
        <f t="shared" si="28"/>
        <v>5.92468529078687E-2</v>
      </c>
      <c r="H36" s="3">
        <f t="shared" si="28"/>
        <v>5.92468529078687E-2</v>
      </c>
      <c r="I36" s="3">
        <f t="shared" si="28"/>
        <v>5.92468529078687E-2</v>
      </c>
      <c r="J36" s="3">
        <f t="shared" si="28"/>
        <v>5.9246852907868672E-2</v>
      </c>
      <c r="K36" s="3">
        <f t="shared" si="28"/>
        <v>5.9246852907868436E-2</v>
      </c>
      <c r="L36" s="3">
        <f t="shared" si="28"/>
        <v>5.924685290786607E-2</v>
      </c>
      <c r="M36" s="3">
        <f t="shared" si="28"/>
        <v>5.9246852907842373E-2</v>
      </c>
      <c r="N36" s="3">
        <f t="shared" si="28"/>
        <v>5.9246852907605452E-2</v>
      </c>
      <c r="O36" s="3">
        <f t="shared" si="28"/>
        <v>5.9246852905236257E-2</v>
      </c>
      <c r="P36" s="3">
        <f t="shared" si="27"/>
        <v>5.9246852881544257E-2</v>
      </c>
      <c r="Q36" s="3">
        <f t="shared" si="27"/>
        <v>5.9246852644624239E-2</v>
      </c>
      <c r="R36" s="3">
        <f t="shared" si="27"/>
        <v>5.9246850275424146E-2</v>
      </c>
      <c r="S36" s="3">
        <f t="shared" si="27"/>
        <v>5.9246826583428398E-2</v>
      </c>
      <c r="T36" s="3">
        <f t="shared" si="27"/>
        <v>5.9246589663992016E-2</v>
      </c>
      <c r="U36" s="3">
        <f t="shared" si="27"/>
        <v>5.9244220521734871E-2</v>
      </c>
      <c r="V36" s="3">
        <f t="shared" si="27"/>
        <v>5.9220534309065001E-2</v>
      </c>
      <c r="W36" s="3">
        <f t="shared" si="27"/>
        <v>5.8984192402494154E-2</v>
      </c>
      <c r="X36" s="3">
        <f t="shared" si="27"/>
        <v>5.6672033806448335E-2</v>
      </c>
      <c r="Y36" s="3">
        <f t="shared" si="27"/>
        <v>3.7992721927348733E-2</v>
      </c>
      <c r="Z36" s="3">
        <f t="shared" si="27"/>
        <v>6.9665300245721931E-4</v>
      </c>
      <c r="AA36" s="3">
        <f t="shared" si="27"/>
        <v>2.9934882312707938E-21</v>
      </c>
      <c r="AB36" s="3">
        <f t="shared" si="27"/>
        <v>6.423740286985141E-195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7.6028477350048043E-2</v>
      </c>
      <c r="C37" s="18">
        <f t="shared" si="3"/>
        <v>5.2277759702858778E-2</v>
      </c>
      <c r="D37" s="17"/>
      <c r="F37" s="3">
        <f t="shared" si="28"/>
        <v>5.2277759702858778E-2</v>
      </c>
      <c r="G37" s="3">
        <f t="shared" si="28"/>
        <v>5.2277759702858778E-2</v>
      </c>
      <c r="H37" s="3">
        <f t="shared" si="28"/>
        <v>5.2277759702858778E-2</v>
      </c>
      <c r="I37" s="3">
        <f t="shared" si="28"/>
        <v>5.2277759702858778E-2</v>
      </c>
      <c r="J37" s="3">
        <f t="shared" si="28"/>
        <v>5.2277759702858778E-2</v>
      </c>
      <c r="K37" s="3">
        <f t="shared" si="28"/>
        <v>5.2277759702858757E-2</v>
      </c>
      <c r="L37" s="3">
        <f t="shared" si="28"/>
        <v>5.227775970285857E-2</v>
      </c>
      <c r="M37" s="3">
        <f t="shared" si="28"/>
        <v>5.2277759702856683E-2</v>
      </c>
      <c r="N37" s="3">
        <f t="shared" si="28"/>
        <v>5.2277759702837823E-2</v>
      </c>
      <c r="O37" s="3">
        <f t="shared" si="28"/>
        <v>5.2277759702649244E-2</v>
      </c>
      <c r="P37" s="3">
        <f t="shared" si="27"/>
        <v>5.2277759700763426E-2</v>
      </c>
      <c r="Q37" s="3">
        <f t="shared" si="27"/>
        <v>5.2277759681905234E-2</v>
      </c>
      <c r="R37" s="3">
        <f t="shared" si="27"/>
        <v>5.2277759493323327E-2</v>
      </c>
      <c r="S37" s="3">
        <f t="shared" si="27"/>
        <v>5.2277757607504291E-2</v>
      </c>
      <c r="T37" s="3">
        <f t="shared" si="27"/>
        <v>5.2277738749317668E-2</v>
      </c>
      <c r="U37" s="3">
        <f t="shared" si="27"/>
        <v>5.2277550167825627E-2</v>
      </c>
      <c r="V37" s="3">
        <f t="shared" si="27"/>
        <v>5.2275664390319644E-2</v>
      </c>
      <c r="W37" s="3">
        <f t="shared" si="27"/>
        <v>5.2256810356205191E-2</v>
      </c>
      <c r="X37" s="3">
        <f t="shared" si="27"/>
        <v>5.206864361077445E-2</v>
      </c>
      <c r="Y37" s="3">
        <f t="shared" si="27"/>
        <v>5.0223841863176778E-2</v>
      </c>
      <c r="Z37" s="3">
        <f t="shared" si="27"/>
        <v>3.501439249710063E-2</v>
      </c>
      <c r="AA37" s="3">
        <f t="shared" si="27"/>
        <v>9.4975861912472228E-4</v>
      </c>
      <c r="AB37" s="3">
        <f t="shared" si="27"/>
        <v>2.0477631403975306E-19</v>
      </c>
      <c r="AC37" s="3">
        <f t="shared" si="27"/>
        <v>4.4457445124712267E-176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2.641268680483199E-2</v>
      </c>
      <c r="C38" s="18">
        <f t="shared" si="3"/>
        <v>1.8161564482377511E-2</v>
      </c>
      <c r="D38" s="17"/>
      <c r="F38" s="3">
        <f t="shared" si="28"/>
        <v>1.8161564482377511E-2</v>
      </c>
      <c r="G38" s="3">
        <f t="shared" si="28"/>
        <v>1.8161564482377511E-2</v>
      </c>
      <c r="H38" s="3">
        <f t="shared" si="28"/>
        <v>1.8161564482377511E-2</v>
      </c>
      <c r="I38" s="3">
        <f t="shared" si="28"/>
        <v>1.8161564482377511E-2</v>
      </c>
      <c r="J38" s="3">
        <f t="shared" si="28"/>
        <v>1.8161564482377511E-2</v>
      </c>
      <c r="K38" s="3">
        <f t="shared" si="28"/>
        <v>1.8161564482377511E-2</v>
      </c>
      <c r="L38" s="3">
        <f t="shared" si="28"/>
        <v>1.8161564482377504E-2</v>
      </c>
      <c r="M38" s="3">
        <f t="shared" si="28"/>
        <v>1.8161564482377445E-2</v>
      </c>
      <c r="N38" s="3">
        <f t="shared" si="28"/>
        <v>1.8161564482376855E-2</v>
      </c>
      <c r="O38" s="3">
        <f t="shared" si="28"/>
        <v>1.8161564482370943E-2</v>
      </c>
      <c r="P38" s="3">
        <f t="shared" si="27"/>
        <v>1.8161564482311845E-2</v>
      </c>
      <c r="Q38" s="3">
        <f t="shared" si="27"/>
        <v>1.8161564481720852E-2</v>
      </c>
      <c r="R38" s="3">
        <f t="shared" si="27"/>
        <v>1.8161564475810913E-2</v>
      </c>
      <c r="S38" s="3">
        <f t="shared" si="27"/>
        <v>1.8161564416711535E-2</v>
      </c>
      <c r="T38" s="3">
        <f t="shared" si="27"/>
        <v>1.8161563825717774E-2</v>
      </c>
      <c r="U38" s="3">
        <f t="shared" si="27"/>
        <v>1.8161557915781223E-2</v>
      </c>
      <c r="V38" s="3">
        <f t="shared" si="27"/>
        <v>1.8161498816521491E-2</v>
      </c>
      <c r="W38" s="3">
        <f t="shared" si="27"/>
        <v>1.8160907834501312E-2</v>
      </c>
      <c r="X38" s="3">
        <f t="shared" si="27"/>
        <v>1.8154999071889073E-2</v>
      </c>
      <c r="Y38" s="3">
        <f t="shared" si="27"/>
        <v>1.8096017077495457E-2</v>
      </c>
      <c r="Z38" s="3">
        <f t="shared" si="27"/>
        <v>1.7516634223837559E-2</v>
      </c>
      <c r="AA38" s="3">
        <f t="shared" si="27"/>
        <v>1.2651071195227006E-2</v>
      </c>
      <c r="AB38" s="3">
        <f t="shared" si="27"/>
        <v>4.8853275193137032E-4</v>
      </c>
      <c r="AC38" s="3">
        <f t="shared" si="27"/>
        <v>3.6021146733679713E-18</v>
      </c>
      <c r="AD38" s="3">
        <f t="shared" si="27"/>
        <v>1.7107873554762433E-159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5.9658218728831217E-2</v>
      </c>
      <c r="C39" s="18">
        <f t="shared" si="3"/>
        <v>4.1021445275655738E-2</v>
      </c>
      <c r="D39" s="17"/>
      <c r="F39" s="3">
        <f t="shared" si="28"/>
        <v>4.1021445275655738E-2</v>
      </c>
      <c r="G39" s="3">
        <f t="shared" si="28"/>
        <v>4.1021445275655738E-2</v>
      </c>
      <c r="H39" s="3">
        <f t="shared" si="28"/>
        <v>4.1021445275655738E-2</v>
      </c>
      <c r="I39" s="3">
        <f t="shared" si="28"/>
        <v>4.1021445275655738E-2</v>
      </c>
      <c r="J39" s="3">
        <f t="shared" si="28"/>
        <v>4.1021445275655738E-2</v>
      </c>
      <c r="K39" s="3">
        <f t="shared" si="28"/>
        <v>4.1021445275655738E-2</v>
      </c>
      <c r="L39" s="3">
        <f t="shared" si="28"/>
        <v>4.1021445275655731E-2</v>
      </c>
      <c r="M39" s="3">
        <f t="shared" si="28"/>
        <v>4.1021445275655696E-2</v>
      </c>
      <c r="N39" s="3">
        <f t="shared" si="28"/>
        <v>4.1021445275655329E-2</v>
      </c>
      <c r="O39" s="3">
        <f t="shared" si="28"/>
        <v>4.1021445275651637E-2</v>
      </c>
      <c r="P39" s="3">
        <f t="shared" si="27"/>
        <v>4.1021445275614715E-2</v>
      </c>
      <c r="Q39" s="3">
        <f t="shared" si="27"/>
        <v>4.1021445275245524E-2</v>
      </c>
      <c r="R39" s="3">
        <f t="shared" si="27"/>
        <v>4.1021445271553596E-2</v>
      </c>
      <c r="S39" s="3">
        <f t="shared" si="27"/>
        <v>4.1021445234634295E-2</v>
      </c>
      <c r="T39" s="3">
        <f t="shared" si="27"/>
        <v>4.1021444865441285E-2</v>
      </c>
      <c r="U39" s="3">
        <f t="shared" si="27"/>
        <v>4.1021441173511419E-2</v>
      </c>
      <c r="V39" s="3">
        <f t="shared" si="27"/>
        <v>4.1021404254230974E-2</v>
      </c>
      <c r="W39" s="3">
        <f t="shared" si="27"/>
        <v>4.1021035063254045E-2</v>
      </c>
      <c r="X39" s="3">
        <f t="shared" si="27"/>
        <v>4.1017343336228564E-2</v>
      </c>
      <c r="Y39" s="3">
        <f t="shared" si="27"/>
        <v>4.0980444334267521E-2</v>
      </c>
      <c r="Z39" s="3">
        <f t="shared" si="27"/>
        <v>4.0613275075313558E-2</v>
      </c>
      <c r="AA39" s="3">
        <f t="shared" si="27"/>
        <v>3.711773862732775E-2</v>
      </c>
      <c r="AB39" s="3">
        <f t="shared" si="27"/>
        <v>1.5090946364053136E-2</v>
      </c>
      <c r="AC39" s="3">
        <f t="shared" si="27"/>
        <v>1.8623707342703866E-6</v>
      </c>
      <c r="AD39" s="3">
        <f t="shared" si="27"/>
        <v>1.5260289307162034E-45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5.0389280043700357E-2</v>
      </c>
      <c r="C40" s="18">
        <f t="shared" si="3"/>
        <v>3.4648052486914098E-2</v>
      </c>
      <c r="D40" s="17"/>
      <c r="F40" s="3">
        <f t="shared" si="28"/>
        <v>3.4648052486914098E-2</v>
      </c>
      <c r="G40" s="3">
        <f t="shared" si="28"/>
        <v>3.4648052486914098E-2</v>
      </c>
      <c r="H40" s="3">
        <f t="shared" si="28"/>
        <v>3.4648052486914098E-2</v>
      </c>
      <c r="I40" s="3">
        <f t="shared" si="28"/>
        <v>3.4648052486914098E-2</v>
      </c>
      <c r="J40" s="3">
        <f t="shared" si="28"/>
        <v>3.4648052486914098E-2</v>
      </c>
      <c r="K40" s="3">
        <f t="shared" si="28"/>
        <v>3.4648052486914098E-2</v>
      </c>
      <c r="L40" s="3">
        <f t="shared" si="28"/>
        <v>3.4648052486914098E-2</v>
      </c>
      <c r="M40" s="3">
        <f t="shared" si="28"/>
        <v>3.4648052486914091E-2</v>
      </c>
      <c r="N40" s="3">
        <f t="shared" si="28"/>
        <v>3.4648052486914063E-2</v>
      </c>
      <c r="O40" s="3">
        <f t="shared" si="28"/>
        <v>3.4648052486913751E-2</v>
      </c>
      <c r="P40" s="3">
        <f t="shared" si="27"/>
        <v>3.4648052486910635E-2</v>
      </c>
      <c r="Q40" s="3">
        <f t="shared" si="27"/>
        <v>3.4648052486879452E-2</v>
      </c>
      <c r="R40" s="3">
        <f t="shared" si="27"/>
        <v>3.4648052486567618E-2</v>
      </c>
      <c r="S40" s="3">
        <f t="shared" si="27"/>
        <v>3.4648052483449293E-2</v>
      </c>
      <c r="T40" s="3">
        <f t="shared" si="27"/>
        <v>3.464805245226605E-2</v>
      </c>
      <c r="U40" s="3">
        <f t="shared" si="27"/>
        <v>3.4648052140433573E-2</v>
      </c>
      <c r="V40" s="3">
        <f t="shared" si="27"/>
        <v>3.4648049022109023E-2</v>
      </c>
      <c r="W40" s="3">
        <f t="shared" si="27"/>
        <v>3.4648017838878935E-2</v>
      </c>
      <c r="X40" s="3">
        <f t="shared" si="27"/>
        <v>3.4647706008121629E-2</v>
      </c>
      <c r="Y40" s="3">
        <f t="shared" si="27"/>
        <v>3.4644587854899891E-2</v>
      </c>
      <c r="Z40" s="3">
        <f t="shared" si="27"/>
        <v>3.4613421752680194E-2</v>
      </c>
      <c r="AA40" s="3">
        <f t="shared" si="27"/>
        <v>3.4303298604401754E-2</v>
      </c>
      <c r="AB40" s="3">
        <f t="shared" si="27"/>
        <v>3.135085435223376E-2</v>
      </c>
      <c r="AC40" s="3">
        <f t="shared" si="27"/>
        <v>1.2746306186564761E-2</v>
      </c>
      <c r="AD40" s="3">
        <f t="shared" si="27"/>
        <v>1.5730191493127886E-6</v>
      </c>
      <c r="AE40" s="3">
        <f t="shared" si="27"/>
        <v>1.2889338767247813E-45</v>
      </c>
      <c r="AF40" s="3">
        <f t="shared" si="29"/>
        <v>0</v>
      </c>
      <c r="AG40" s="3">
        <f t="shared" si="29"/>
        <v>0</v>
      </c>
      <c r="AH40" s="3">
        <f t="shared" si="29"/>
        <v>0</v>
      </c>
      <c r="AI40" s="3">
        <f t="shared" si="29"/>
        <v>0</v>
      </c>
      <c r="AJ40" s="3">
        <f t="shared" si="29"/>
        <v>0</v>
      </c>
    </row>
    <row r="41" spans="1:36" x14ac:dyDescent="0.25">
      <c r="A41" s="3">
        <f t="shared" si="30"/>
        <v>1000000000</v>
      </c>
      <c r="B41" s="106">
        <v>6.2489891084273955E-2</v>
      </c>
      <c r="C41" s="18">
        <f t="shared" si="3"/>
        <v>4.29685247400187E-2</v>
      </c>
      <c r="D41" s="17"/>
      <c r="F41" s="3">
        <f t="shared" si="28"/>
        <v>4.29685247400187E-2</v>
      </c>
      <c r="G41" s="3">
        <f t="shared" si="28"/>
        <v>4.29685247400187E-2</v>
      </c>
      <c r="H41" s="3">
        <f t="shared" si="28"/>
        <v>4.29685247400187E-2</v>
      </c>
      <c r="I41" s="3">
        <f t="shared" si="28"/>
        <v>4.29685247400187E-2</v>
      </c>
      <c r="J41" s="3">
        <f t="shared" si="28"/>
        <v>4.29685247400187E-2</v>
      </c>
      <c r="K41" s="3">
        <f t="shared" si="28"/>
        <v>4.29685247400187E-2</v>
      </c>
      <c r="L41" s="3">
        <f t="shared" si="28"/>
        <v>4.29685247400187E-2</v>
      </c>
      <c r="M41" s="3">
        <f t="shared" si="28"/>
        <v>4.29685247400187E-2</v>
      </c>
      <c r="N41" s="3">
        <f t="shared" si="28"/>
        <v>4.2968524740018693E-2</v>
      </c>
      <c r="O41" s="3">
        <f t="shared" si="28"/>
        <v>4.2968524740018658E-2</v>
      </c>
      <c r="P41" s="3">
        <f t="shared" si="27"/>
        <v>4.296852474001827E-2</v>
      </c>
      <c r="Q41" s="3">
        <f t="shared" si="27"/>
        <v>4.2968524740014405E-2</v>
      </c>
      <c r="R41" s="3">
        <f t="shared" si="27"/>
        <v>4.2968524739975734E-2</v>
      </c>
      <c r="S41" s="3">
        <f t="shared" si="27"/>
        <v>4.2968524739589016E-2</v>
      </c>
      <c r="T41" s="3">
        <f t="shared" si="27"/>
        <v>4.2968524735721846E-2</v>
      </c>
      <c r="U41" s="3">
        <f t="shared" si="27"/>
        <v>4.2968524697050176E-2</v>
      </c>
      <c r="V41" s="3">
        <f t="shared" si="27"/>
        <v>4.2968524310333454E-2</v>
      </c>
      <c r="W41" s="3">
        <f t="shared" si="27"/>
        <v>4.2968520443166444E-2</v>
      </c>
      <c r="X41" s="3">
        <f t="shared" si="27"/>
        <v>4.2968481771515445E-2</v>
      </c>
      <c r="Y41" s="3">
        <f t="shared" si="27"/>
        <v>4.2968095056919717E-2</v>
      </c>
      <c r="Z41" s="3">
        <f t="shared" si="27"/>
        <v>4.296422810238016E-2</v>
      </c>
      <c r="AA41" s="3">
        <f t="shared" si="27"/>
        <v>4.2925577692381423E-2</v>
      </c>
      <c r="AB41" s="3">
        <f t="shared" si="27"/>
        <v>4.254098077530253E-2</v>
      </c>
      <c r="AC41" s="3">
        <f t="shared" si="27"/>
        <v>3.887952898257277E-2</v>
      </c>
      <c r="AD41" s="3">
        <f t="shared" si="27"/>
        <v>1.5807236869319372E-2</v>
      </c>
      <c r="AE41" s="3">
        <f t="shared" si="27"/>
        <v>1.9507680051944418E-6</v>
      </c>
      <c r="AF41" s="3">
        <f t="shared" si="29"/>
        <v>1.5984617661040051E-45</v>
      </c>
      <c r="AG41" s="3">
        <f t="shared" si="29"/>
        <v>0</v>
      </c>
      <c r="AH41" s="3">
        <f t="shared" si="29"/>
        <v>0</v>
      </c>
      <c r="AI41" s="3">
        <f t="shared" si="29"/>
        <v>0</v>
      </c>
      <c r="AJ41" s="3">
        <f t="shared" si="29"/>
        <v>0</v>
      </c>
    </row>
    <row r="42" spans="1:36" x14ac:dyDescent="0.25">
      <c r="A42" s="3">
        <f t="shared" si="30"/>
        <v>10000000000</v>
      </c>
      <c r="B42" s="106">
        <v>4.649116787771794E-2</v>
      </c>
      <c r="C42" s="18">
        <f t="shared" si="3"/>
        <v>3.196768089181086E-2</v>
      </c>
      <c r="D42" s="17"/>
      <c r="F42" s="3">
        <f t="shared" si="28"/>
        <v>3.196768089181086E-2</v>
      </c>
      <c r="G42" s="3">
        <f t="shared" si="28"/>
        <v>3.196768089181086E-2</v>
      </c>
      <c r="H42" s="3">
        <f t="shared" si="28"/>
        <v>3.196768089181086E-2</v>
      </c>
      <c r="I42" s="3">
        <f t="shared" si="28"/>
        <v>3.196768089181086E-2</v>
      </c>
      <c r="J42" s="3">
        <f t="shared" si="28"/>
        <v>3.196768089181086E-2</v>
      </c>
      <c r="K42" s="3">
        <f t="shared" si="28"/>
        <v>3.196768089181086E-2</v>
      </c>
      <c r="L42" s="3">
        <f t="shared" si="28"/>
        <v>3.196768089181086E-2</v>
      </c>
      <c r="M42" s="3">
        <f t="shared" si="28"/>
        <v>3.196768089181086E-2</v>
      </c>
      <c r="N42" s="3">
        <f t="shared" si="28"/>
        <v>3.196768089181086E-2</v>
      </c>
      <c r="O42" s="3">
        <f t="shared" si="28"/>
        <v>3.1967680891810853E-2</v>
      </c>
      <c r="P42" s="3">
        <f t="shared" si="27"/>
        <v>3.1967680891810825E-2</v>
      </c>
      <c r="Q42" s="3">
        <f t="shared" si="27"/>
        <v>3.196768089181054E-2</v>
      </c>
      <c r="R42" s="3">
        <f t="shared" si="27"/>
        <v>3.1967680891807661E-2</v>
      </c>
      <c r="S42" s="3">
        <f t="shared" si="27"/>
        <v>3.1967680891778892E-2</v>
      </c>
      <c r="T42" s="3">
        <f t="shared" si="27"/>
        <v>3.1967680891491185E-2</v>
      </c>
      <c r="U42" s="3">
        <f t="shared" si="27"/>
        <v>3.196768088861409E-2</v>
      </c>
      <c r="V42" s="3">
        <f t="shared" si="27"/>
        <v>3.1967680859843181E-2</v>
      </c>
      <c r="W42" s="3">
        <f t="shared" si="27"/>
        <v>3.1967680572134054E-2</v>
      </c>
      <c r="X42" s="3">
        <f t="shared" si="27"/>
        <v>3.1967677695042933E-2</v>
      </c>
      <c r="Y42" s="3">
        <f t="shared" si="27"/>
        <v>3.1967648924145955E-2</v>
      </c>
      <c r="Z42" s="3">
        <f t="shared" si="27"/>
        <v>3.1967361216600321E-2</v>
      </c>
      <c r="AA42" s="3">
        <f t="shared" si="27"/>
        <v>3.1964484283554757E-2</v>
      </c>
      <c r="AB42" s="3">
        <f t="shared" si="27"/>
        <v>3.1935729189432882E-2</v>
      </c>
      <c r="AC42" s="3">
        <f t="shared" si="27"/>
        <v>3.1649597152283798E-2</v>
      </c>
      <c r="AD42" s="3">
        <f t="shared" si="27"/>
        <v>2.8925553838743619E-2</v>
      </c>
      <c r="AE42" s="3">
        <f t="shared" si="27"/>
        <v>1.1760252582026374E-2</v>
      </c>
      <c r="AF42" s="3">
        <f t="shared" si="29"/>
        <v>1.4513304671577422E-6</v>
      </c>
      <c r="AG42" s="3">
        <f t="shared" si="29"/>
        <v>1.1892220169472592E-45</v>
      </c>
      <c r="AH42" s="3">
        <f t="shared" si="29"/>
        <v>0</v>
      </c>
      <c r="AI42" s="3">
        <f t="shared" si="29"/>
        <v>0</v>
      </c>
      <c r="AJ42" s="3">
        <f t="shared" si="29"/>
        <v>0</v>
      </c>
    </row>
    <row r="43" spans="1:36" x14ac:dyDescent="0.25">
      <c r="A43" s="3">
        <f t="shared" si="30"/>
        <v>100000000000</v>
      </c>
      <c r="B43" s="106">
        <v>3.7818906609192272E-2</v>
      </c>
      <c r="C43" s="18">
        <f t="shared" si="3"/>
        <v>2.6004568036228887E-2</v>
      </c>
      <c r="D43" s="17"/>
      <c r="F43" s="3">
        <f t="shared" si="28"/>
        <v>2.6004568036228887E-2</v>
      </c>
      <c r="G43" s="3">
        <f t="shared" si="28"/>
        <v>2.6004568036228887E-2</v>
      </c>
      <c r="H43" s="3">
        <f t="shared" si="28"/>
        <v>2.6004568036228887E-2</v>
      </c>
      <c r="I43" s="3">
        <f t="shared" si="28"/>
        <v>2.6004568036228887E-2</v>
      </c>
      <c r="J43" s="3">
        <f t="shared" si="28"/>
        <v>2.6004568036228887E-2</v>
      </c>
      <c r="K43" s="3">
        <f t="shared" si="28"/>
        <v>2.6004568036228887E-2</v>
      </c>
      <c r="L43" s="3">
        <f t="shared" si="28"/>
        <v>2.6004568036228887E-2</v>
      </c>
      <c r="M43" s="3">
        <f t="shared" si="28"/>
        <v>2.6004568036228887E-2</v>
      </c>
      <c r="N43" s="3">
        <f t="shared" si="28"/>
        <v>2.6004568036228887E-2</v>
      </c>
      <c r="O43" s="3">
        <f t="shared" si="28"/>
        <v>2.6004568036228887E-2</v>
      </c>
      <c r="P43" s="3">
        <f t="shared" si="27"/>
        <v>2.6004568036228883E-2</v>
      </c>
      <c r="Q43" s="3">
        <f t="shared" si="27"/>
        <v>2.6004568036228862E-2</v>
      </c>
      <c r="R43" s="3">
        <f t="shared" si="27"/>
        <v>2.6004568036228626E-2</v>
      </c>
      <c r="S43" s="3">
        <f t="shared" si="27"/>
        <v>2.6004568036226285E-2</v>
      </c>
      <c r="T43" s="3">
        <f t="shared" si="27"/>
        <v>2.6004568036202883E-2</v>
      </c>
      <c r="U43" s="3">
        <f t="shared" si="27"/>
        <v>2.6004568035968841E-2</v>
      </c>
      <c r="V43" s="3">
        <f t="shared" si="27"/>
        <v>2.6004568033628429E-2</v>
      </c>
      <c r="W43" s="3">
        <f t="shared" si="27"/>
        <v>2.600456801022432E-2</v>
      </c>
      <c r="X43" s="3">
        <f t="shared" si="27"/>
        <v>2.6004567776183207E-2</v>
      </c>
      <c r="Y43" s="3">
        <f t="shared" si="27"/>
        <v>2.6004565435772214E-2</v>
      </c>
      <c r="Z43" s="3">
        <f t="shared" si="27"/>
        <v>2.6004542031673853E-2</v>
      </c>
      <c r="AA43" s="3">
        <f t="shared" si="27"/>
        <v>2.600430799184875E-2</v>
      </c>
      <c r="AB43" s="3">
        <f t="shared" si="27"/>
        <v>2.6001967709443768E-2</v>
      </c>
      <c r="AC43" s="3">
        <f t="shared" si="27"/>
        <v>2.5978576466143665E-2</v>
      </c>
      <c r="AD43" s="3">
        <f t="shared" si="27"/>
        <v>2.574581826098734E-2</v>
      </c>
      <c r="AE43" s="3">
        <f t="shared" si="27"/>
        <v>2.352990619904179E-2</v>
      </c>
      <c r="AF43" s="3">
        <f t="shared" si="29"/>
        <v>9.5665459570726339E-3</v>
      </c>
      <c r="AG43" s="3">
        <f t="shared" si="29"/>
        <v>1.1806055623485501E-6</v>
      </c>
      <c r="AH43" s="3">
        <f t="shared" si="29"/>
        <v>9.6738968818374414E-46</v>
      </c>
      <c r="AI43" s="3">
        <f t="shared" si="29"/>
        <v>0</v>
      </c>
      <c r="AJ43" s="3">
        <f t="shared" si="29"/>
        <v>0</v>
      </c>
    </row>
    <row r="44" spans="1:36" x14ac:dyDescent="0.25">
      <c r="A44" s="3">
        <f t="shared" si="30"/>
        <v>1000000000000</v>
      </c>
      <c r="B44" s="106">
        <v>1.803702743577057E-2</v>
      </c>
      <c r="C44" s="18">
        <f t="shared" si="3"/>
        <v>1.2402397350398719E-2</v>
      </c>
      <c r="D44" s="17"/>
      <c r="F44" s="3">
        <f t="shared" si="28"/>
        <v>1.2402397350398719E-2</v>
      </c>
      <c r="G44" s="3">
        <f t="shared" si="28"/>
        <v>1.2402397350398719E-2</v>
      </c>
      <c r="H44" s="3">
        <f t="shared" si="28"/>
        <v>1.2402397350398719E-2</v>
      </c>
      <c r="I44" s="3">
        <f t="shared" si="28"/>
        <v>1.2402397350398719E-2</v>
      </c>
      <c r="J44" s="3">
        <f t="shared" si="28"/>
        <v>1.2402397350398719E-2</v>
      </c>
      <c r="K44" s="3">
        <f t="shared" si="28"/>
        <v>1.2402397350398719E-2</v>
      </c>
      <c r="L44" s="3">
        <f t="shared" si="28"/>
        <v>1.2402397350398719E-2</v>
      </c>
      <c r="M44" s="3">
        <f t="shared" si="28"/>
        <v>1.2402397350398719E-2</v>
      </c>
      <c r="N44" s="3">
        <f t="shared" si="28"/>
        <v>1.2402397350398719E-2</v>
      </c>
      <c r="O44" s="3">
        <f t="shared" si="28"/>
        <v>1.2402397350398719E-2</v>
      </c>
      <c r="P44" s="3">
        <f t="shared" si="27"/>
        <v>1.2402397350398719E-2</v>
      </c>
      <c r="Q44" s="3">
        <f t="shared" si="27"/>
        <v>1.2402397350398718E-2</v>
      </c>
      <c r="R44" s="3">
        <f t="shared" si="27"/>
        <v>1.2402397350398707E-2</v>
      </c>
      <c r="S44" s="3">
        <f t="shared" si="27"/>
        <v>1.2402397350398596E-2</v>
      </c>
      <c r="T44" s="3">
        <f t="shared" si="27"/>
        <v>1.2402397350397479E-2</v>
      </c>
      <c r="U44" s="3">
        <f t="shared" si="27"/>
        <v>1.2402397350386318E-2</v>
      </c>
      <c r="V44" s="3">
        <f t="shared" si="27"/>
        <v>1.2402397350274695E-2</v>
      </c>
      <c r="W44" s="3">
        <f t="shared" si="27"/>
        <v>1.2402397349158479E-2</v>
      </c>
      <c r="X44" s="3">
        <f t="shared" si="27"/>
        <v>1.2402397337996323E-2</v>
      </c>
      <c r="Y44" s="3">
        <f t="shared" si="27"/>
        <v>1.2402397226374746E-2</v>
      </c>
      <c r="Z44" s="3">
        <f t="shared" si="27"/>
        <v>1.2402396110159046E-2</v>
      </c>
      <c r="AA44" s="3">
        <f t="shared" si="27"/>
        <v>1.2402384948007571E-2</v>
      </c>
      <c r="AB44" s="3">
        <f t="shared" si="27"/>
        <v>1.2402273327045334E-2</v>
      </c>
      <c r="AC44" s="3">
        <f t="shared" si="27"/>
        <v>1.2401157172673599E-2</v>
      </c>
      <c r="AD44" s="3">
        <f t="shared" si="27"/>
        <v>1.2390001152180447E-2</v>
      </c>
      <c r="AE44" s="3">
        <f t="shared" si="27"/>
        <v>1.2278991434853375E-2</v>
      </c>
      <c r="AF44" s="3">
        <f t="shared" si="29"/>
        <v>1.1222153195990802E-2</v>
      </c>
      <c r="AG44" s="3">
        <f t="shared" si="29"/>
        <v>4.562587006450858E-3</v>
      </c>
      <c r="AH44" s="3">
        <f t="shared" si="29"/>
        <v>5.6306796859453011E-7</v>
      </c>
      <c r="AI44" s="3">
        <f t="shared" si="29"/>
        <v>4.6137860428282747E-46</v>
      </c>
      <c r="AJ44" s="3">
        <f t="shared" si="29"/>
        <v>0</v>
      </c>
    </row>
    <row r="45" spans="1:36" x14ac:dyDescent="0.25">
      <c r="A45" s="3">
        <f t="shared" si="30"/>
        <v>10000000000000</v>
      </c>
      <c r="B45" s="106">
        <v>1.0177001059221981E-2</v>
      </c>
      <c r="C45" s="18">
        <f t="shared" si="3"/>
        <v>6.9977833887187504E-3</v>
      </c>
      <c r="D45" s="17"/>
      <c r="F45" s="3">
        <f t="shared" si="28"/>
        <v>6.9977833887187504E-3</v>
      </c>
      <c r="G45" s="3">
        <f t="shared" si="28"/>
        <v>6.9977833887187504E-3</v>
      </c>
      <c r="H45" s="3">
        <f t="shared" si="28"/>
        <v>6.9977833887187504E-3</v>
      </c>
      <c r="I45" s="3">
        <f t="shared" si="28"/>
        <v>6.9977833887187504E-3</v>
      </c>
      <c r="J45" s="3">
        <f t="shared" si="28"/>
        <v>6.9977833887187504E-3</v>
      </c>
      <c r="K45" s="3">
        <f t="shared" si="28"/>
        <v>6.9977833887187504E-3</v>
      </c>
      <c r="L45" s="3">
        <f t="shared" si="28"/>
        <v>6.9977833887187504E-3</v>
      </c>
      <c r="M45" s="3">
        <f t="shared" si="28"/>
        <v>6.9977833887187504E-3</v>
      </c>
      <c r="N45" s="3">
        <f t="shared" si="28"/>
        <v>6.9977833887187504E-3</v>
      </c>
      <c r="O45" s="3">
        <f t="shared" si="28"/>
        <v>6.9977833887187504E-3</v>
      </c>
      <c r="P45" s="3">
        <f t="shared" si="27"/>
        <v>6.9977833887187504E-3</v>
      </c>
      <c r="Q45" s="3">
        <f t="shared" si="27"/>
        <v>6.9977833887187504E-3</v>
      </c>
      <c r="R45" s="3">
        <f t="shared" si="27"/>
        <v>6.9977833887187495E-3</v>
      </c>
      <c r="S45" s="3">
        <f t="shared" si="27"/>
        <v>6.9977833887187434E-3</v>
      </c>
      <c r="T45" s="3">
        <f t="shared" si="27"/>
        <v>6.9977833887186801E-3</v>
      </c>
      <c r="U45" s="3">
        <f t="shared" si="27"/>
        <v>6.9977833887180504E-3</v>
      </c>
      <c r="V45" s="3">
        <f t="shared" si="27"/>
        <v>6.9977833887117525E-3</v>
      </c>
      <c r="W45" s="3">
        <f t="shared" si="27"/>
        <v>6.9977833886487725E-3</v>
      </c>
      <c r="X45" s="3">
        <f t="shared" si="27"/>
        <v>6.9977833880189716E-3</v>
      </c>
      <c r="Y45" s="3">
        <f t="shared" si="27"/>
        <v>6.9977833817209669E-3</v>
      </c>
      <c r="Z45" s="3">
        <f t="shared" si="27"/>
        <v>6.9977833187409169E-3</v>
      </c>
      <c r="AA45" s="3">
        <f t="shared" si="27"/>
        <v>6.9977826889404465E-3</v>
      </c>
      <c r="AB45" s="3">
        <f t="shared" si="27"/>
        <v>6.997776390938861E-3</v>
      </c>
      <c r="AC45" s="3">
        <f t="shared" si="27"/>
        <v>6.9977134112347511E-3</v>
      </c>
      <c r="AD45" s="3">
        <f t="shared" si="27"/>
        <v>6.9970836453676294E-3</v>
      </c>
      <c r="AE45" s="3">
        <f t="shared" si="27"/>
        <v>6.9907891030557201E-3</v>
      </c>
      <c r="AF45" s="3">
        <f t="shared" si="29"/>
        <v>6.9281542806136891E-3</v>
      </c>
      <c r="AG45" s="3">
        <f t="shared" si="29"/>
        <v>6.3318562534232011E-3</v>
      </c>
      <c r="AH45" s="3">
        <f t="shared" si="29"/>
        <v>2.574340642480656E-3</v>
      </c>
      <c r="AI45" s="3">
        <f t="shared" si="29"/>
        <v>3.1769887434091449E-7</v>
      </c>
      <c r="AJ45" s="3">
        <f t="shared" si="29"/>
        <v>2.6032285869770299E-46</v>
      </c>
    </row>
    <row r="46" spans="1:36" x14ac:dyDescent="0.25">
      <c r="A46" s="3">
        <f t="shared" si="30"/>
        <v>100000000000000</v>
      </c>
      <c r="B46" s="106">
        <v>4.3833211789406305E-3</v>
      </c>
      <c r="C46" s="18">
        <f t="shared" si="3"/>
        <v>3.0140050054937094E-3</v>
      </c>
      <c r="D46" s="17"/>
      <c r="F46" s="3">
        <f t="shared" si="28"/>
        <v>3.0140050054937094E-3</v>
      </c>
      <c r="G46" s="3">
        <f t="shared" si="28"/>
        <v>3.0140050054937094E-3</v>
      </c>
      <c r="H46" s="3">
        <f t="shared" si="28"/>
        <v>3.0140050054937094E-3</v>
      </c>
      <c r="I46" s="3">
        <f t="shared" si="28"/>
        <v>3.0140050054937094E-3</v>
      </c>
      <c r="J46" s="3">
        <f t="shared" si="28"/>
        <v>3.0140050054937094E-3</v>
      </c>
      <c r="K46" s="3">
        <f t="shared" si="28"/>
        <v>3.0140050054937094E-3</v>
      </c>
      <c r="L46" s="3">
        <f t="shared" si="28"/>
        <v>3.0140050054937094E-3</v>
      </c>
      <c r="M46" s="3">
        <f t="shared" si="28"/>
        <v>3.0140050054937094E-3</v>
      </c>
      <c r="N46" s="3">
        <f t="shared" si="28"/>
        <v>3.0140050054937094E-3</v>
      </c>
      <c r="O46" s="3">
        <f t="shared" si="28"/>
        <v>3.0140050054937094E-3</v>
      </c>
      <c r="P46" s="3">
        <f t="shared" si="27"/>
        <v>3.0140050054937094E-3</v>
      </c>
      <c r="Q46" s="3">
        <f t="shared" si="27"/>
        <v>3.0140050054937094E-3</v>
      </c>
      <c r="R46" s="3">
        <f t="shared" si="27"/>
        <v>3.0140050054937094E-3</v>
      </c>
      <c r="S46" s="3">
        <f t="shared" si="27"/>
        <v>3.0140050054937089E-3</v>
      </c>
      <c r="T46" s="3">
        <f t="shared" si="27"/>
        <v>3.0140050054937063E-3</v>
      </c>
      <c r="U46" s="3">
        <f t="shared" si="27"/>
        <v>3.0140050054936795E-3</v>
      </c>
      <c r="V46" s="3">
        <f t="shared" si="27"/>
        <v>3.014005005493408E-3</v>
      </c>
      <c r="W46" s="3">
        <f t="shared" si="27"/>
        <v>3.0140050054906953E-3</v>
      </c>
      <c r="X46" s="3">
        <f t="shared" si="27"/>
        <v>3.0140050054635694E-3</v>
      </c>
      <c r="Y46" s="3">
        <f t="shared" si="27"/>
        <v>3.014005005192309E-3</v>
      </c>
      <c r="Z46" s="3">
        <f t="shared" si="27"/>
        <v>3.0140050024797045E-3</v>
      </c>
      <c r="AA46" s="3">
        <f t="shared" si="27"/>
        <v>3.0140049753536596E-3</v>
      </c>
      <c r="AB46" s="3">
        <f t="shared" si="27"/>
        <v>3.0140047040932241E-3</v>
      </c>
      <c r="AC46" s="3">
        <f t="shared" si="27"/>
        <v>3.0140019914902108E-3</v>
      </c>
      <c r="AD46" s="3">
        <f t="shared" si="27"/>
        <v>3.013974865594354E-3</v>
      </c>
      <c r="AE46" s="3">
        <f t="shared" si="27"/>
        <v>3.0137036200626826E-3</v>
      </c>
      <c r="AF46" s="3">
        <f t="shared" si="29"/>
        <v>3.0109925069885099E-3</v>
      </c>
      <c r="AG46" s="3">
        <f t="shared" si="29"/>
        <v>2.9840151546082073E-3</v>
      </c>
      <c r="AH46" s="3">
        <f t="shared" si="29"/>
        <v>2.727184507118386E-3</v>
      </c>
      <c r="AI46" s="3">
        <f t="shared" si="29"/>
        <v>1.1087904771089558E-3</v>
      </c>
      <c r="AJ46" s="3">
        <f t="shared" si="29"/>
        <v>1.3683561555319219E-7</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1.6984111725058249E-2</v>
      </c>
      <c r="C48" s="18">
        <f t="shared" si="3"/>
        <v>1.1678404493635967E-2</v>
      </c>
      <c r="D48" s="17"/>
      <c r="F48" s="3">
        <f t="shared" si="28"/>
        <v>1.1678404493635967E-2</v>
      </c>
      <c r="G48" s="3">
        <f t="shared" si="28"/>
        <v>1.1678404493635967E-2</v>
      </c>
      <c r="H48" s="3">
        <f t="shared" si="28"/>
        <v>1.1678404493635967E-2</v>
      </c>
      <c r="I48" s="3">
        <f t="shared" si="28"/>
        <v>1.1678404493635967E-2</v>
      </c>
      <c r="J48" s="3">
        <f t="shared" si="28"/>
        <v>1.1678404493635967E-2</v>
      </c>
      <c r="K48" s="3">
        <f t="shared" si="28"/>
        <v>1.1678404493635967E-2</v>
      </c>
      <c r="L48" s="3">
        <f t="shared" si="28"/>
        <v>1.1678404493635967E-2</v>
      </c>
      <c r="M48" s="3">
        <f t="shared" si="28"/>
        <v>1.1678404493635967E-2</v>
      </c>
      <c r="N48" s="3">
        <f t="shared" si="28"/>
        <v>1.1678404493635967E-2</v>
      </c>
      <c r="O48" s="3">
        <f t="shared" si="28"/>
        <v>1.1678404493635967E-2</v>
      </c>
      <c r="P48" s="3">
        <f t="shared" si="27"/>
        <v>1.1678404493635967E-2</v>
      </c>
      <c r="Q48" s="3">
        <f t="shared" si="27"/>
        <v>1.1678404493635967E-2</v>
      </c>
      <c r="R48" s="3">
        <f t="shared" si="27"/>
        <v>1.1678404493635967E-2</v>
      </c>
      <c r="S48" s="3">
        <f t="shared" si="27"/>
        <v>1.1678404493635967E-2</v>
      </c>
      <c r="T48" s="3">
        <f t="shared" si="27"/>
        <v>1.1678404493635967E-2</v>
      </c>
      <c r="U48" s="3">
        <f t="shared" si="27"/>
        <v>1.1678404493635965E-2</v>
      </c>
      <c r="V48" s="3">
        <f t="shared" si="27"/>
        <v>1.1678404493635955E-2</v>
      </c>
      <c r="W48" s="3">
        <f t="shared" si="27"/>
        <v>1.1678404493635851E-2</v>
      </c>
      <c r="X48" s="3">
        <f t="shared" si="27"/>
        <v>1.16784044936348E-2</v>
      </c>
      <c r="Y48" s="3">
        <f t="shared" si="27"/>
        <v>1.1678404493624289E-2</v>
      </c>
      <c r="Z48" s="3">
        <f t="shared" si="27"/>
        <v>1.1678404493519184E-2</v>
      </c>
      <c r="AA48" s="3">
        <f t="shared" si="27"/>
        <v>1.1678404492468127E-2</v>
      </c>
      <c r="AB48" s="3">
        <f t="shared" si="27"/>
        <v>1.1678404481957562E-2</v>
      </c>
      <c r="AC48" s="3">
        <f t="shared" si="27"/>
        <v>1.1678404376851923E-2</v>
      </c>
      <c r="AD48" s="3">
        <f t="shared" si="27"/>
        <v>1.1678403325795577E-2</v>
      </c>
      <c r="AE48" s="3">
        <f t="shared" si="27"/>
        <v>1.1678392815237313E-2</v>
      </c>
      <c r="AF48" s="3">
        <f t="shared" si="29"/>
        <v>1.1678287710174949E-2</v>
      </c>
      <c r="AG48" s="3">
        <f t="shared" si="29"/>
        <v>1.167723671157668E-2</v>
      </c>
      <c r="AH48" s="3">
        <f t="shared" si="29"/>
        <v>1.1666731926398664E-2</v>
      </c>
      <c r="AI48" s="3">
        <f t="shared" si="29"/>
        <v>1.1562202427379827E-2</v>
      </c>
      <c r="AJ48" s="3">
        <f t="shared" si="29"/>
        <v>1.0567057368801116E-2</v>
      </c>
    </row>
    <row r="49" spans="1:36" x14ac:dyDescent="0.25">
      <c r="B49" s="16">
        <f>SUM(B17:B48)</f>
        <v>1.454317816642982</v>
      </c>
      <c r="C49" s="18">
        <f>SUM(C17:C48)</f>
        <v>0.99999999999999978</v>
      </c>
      <c r="F49" s="3">
        <f t="shared" ref="F49:AJ49" si="31">F16-F17</f>
        <v>60.021955618178254</v>
      </c>
      <c r="G49" s="3">
        <f t="shared" si="31"/>
        <v>-77.616675118401872</v>
      </c>
      <c r="H49" s="3">
        <f t="shared" si="31"/>
        <v>20.562394875069913</v>
      </c>
      <c r="I49" s="3">
        <f t="shared" si="31"/>
        <v>-3.3606393510435737</v>
      </c>
      <c r="J49" s="3">
        <f t="shared" si="31"/>
        <v>0.47834140924987878</v>
      </c>
      <c r="K49" s="3">
        <f t="shared" si="31"/>
        <v>-8.7914872579858638E-2</v>
      </c>
      <c r="L49" s="3">
        <f t="shared" si="31"/>
        <v>6.5737727321902639E-2</v>
      </c>
      <c r="M49" s="3">
        <f t="shared" si="31"/>
        <v>-0.17285932412323746</v>
      </c>
      <c r="N49" s="3">
        <f t="shared" si="31"/>
        <v>0.32723666731089907</v>
      </c>
      <c r="O49" s="3">
        <f t="shared" si="31"/>
        <v>-0.59048169299330766</v>
      </c>
      <c r="P49" s="3">
        <f t="shared" si="31"/>
        <v>0.96467590426254901</v>
      </c>
      <c r="Q49" s="3">
        <f t="shared" si="31"/>
        <v>-1.2909607186493304</v>
      </c>
      <c r="R49" s="3">
        <f t="shared" si="31"/>
        <v>1.5111543463563066</v>
      </c>
      <c r="S49" s="3">
        <f t="shared" si="31"/>
        <v>-1.4296604033688709</v>
      </c>
      <c r="T49" s="3">
        <f t="shared" si="31"/>
        <v>1.1902501398590175</v>
      </c>
      <c r="U49" s="3">
        <f t="shared" si="31"/>
        <v>-0.83825082486237079</v>
      </c>
      <c r="V49" s="3">
        <f t="shared" si="31"/>
        <v>0.50390761569815368</v>
      </c>
      <c r="W49" s="3">
        <f t="shared" si="31"/>
        <v>-0.256241119297556</v>
      </c>
      <c r="X49" s="3">
        <f t="shared" si="31"/>
        <v>7.2887895045369078E-2</v>
      </c>
      <c r="Y49" s="3">
        <f t="shared" si="31"/>
        <v>-2.8532496414300113E-2</v>
      </c>
      <c r="Z49" s="3">
        <f t="shared" si="31"/>
        <v>-1.621370968177871E-2</v>
      </c>
      <c r="AA49" s="3">
        <f t="shared" si="31"/>
        <v>-3.4907017126442952E-2</v>
      </c>
      <c r="AB49" s="3">
        <f t="shared" si="31"/>
        <v>0.11644131149500936</v>
      </c>
      <c r="AC49" s="3">
        <f t="shared" si="31"/>
        <v>-0.19887355089690573</v>
      </c>
      <c r="AD49" s="3">
        <f t="shared" si="31"/>
        <v>0.2120744091139386</v>
      </c>
      <c r="AE49" s="3">
        <f t="shared" si="31"/>
        <v>-0.19355697670209793</v>
      </c>
      <c r="AF49" s="3">
        <f t="shared" si="31"/>
        <v>5.8415178193399697E-2</v>
      </c>
      <c r="AG49" s="3">
        <f t="shared" si="31"/>
        <v>9.8179614287914774E-2</v>
      </c>
      <c r="AH49" s="3">
        <f t="shared" si="31"/>
        <v>-0.11093122758538243</v>
      </c>
      <c r="AI49" s="3">
        <f t="shared" si="31"/>
        <v>8.2898826955073446E-2</v>
      </c>
      <c r="AJ49" s="3">
        <f t="shared" si="31"/>
        <v>-4.5383509376904385E-2</v>
      </c>
    </row>
    <row r="50" spans="1:36" x14ac:dyDescent="0.25">
      <c r="F50" s="57">
        <f t="shared" ref="F50:AJ50" si="32">F49/F17</f>
        <v>8.8520589725608351E-3</v>
      </c>
      <c r="G50" s="57">
        <f t="shared" si="32"/>
        <v>-1.1548015581035012E-2</v>
      </c>
      <c r="H50" s="57">
        <f t="shared" si="32"/>
        <v>3.160238762037765E-3</v>
      </c>
      <c r="I50" s="57">
        <f t="shared" si="32"/>
        <v>-5.2376102065706772E-4</v>
      </c>
      <c r="J50" s="57">
        <f t="shared" si="32"/>
        <v>7.6092381939140663E-5</v>
      </c>
      <c r="K50" s="57">
        <f t="shared" si="32"/>
        <v>-1.429160506856588E-5</v>
      </c>
      <c r="L50" s="57">
        <f t="shared" si="32"/>
        <v>1.0958129743786482E-5</v>
      </c>
      <c r="M50" s="57">
        <f t="shared" si="32"/>
        <v>-2.9627788561992996E-5</v>
      </c>
      <c r="N50" s="57">
        <f t="shared" si="32"/>
        <v>5.7812185586763142E-5</v>
      </c>
      <c r="O50" s="57">
        <f t="shared" si="32"/>
        <v>-1.0733641499010725E-4</v>
      </c>
      <c r="P50" s="57">
        <f t="shared" si="32"/>
        <v>1.8149757952600127E-4</v>
      </c>
      <c r="Q50" s="57">
        <f t="shared" si="32"/>
        <v>-2.5331567608886403E-4</v>
      </c>
      <c r="R50" s="57">
        <f t="shared" si="32"/>
        <v>3.1105460376108188E-4</v>
      </c>
      <c r="S50" s="57">
        <f t="shared" si="32"/>
        <v>-3.0710729786906062E-4</v>
      </c>
      <c r="T50" s="57">
        <f t="shared" si="32"/>
        <v>2.6639528053125659E-4</v>
      </c>
      <c r="U50" s="57">
        <f t="shared" si="32"/>
        <v>-1.9636669228309458E-4</v>
      </c>
      <c r="V50" s="57">
        <f t="shared" si="32"/>
        <v>1.2672857442101151E-4</v>
      </c>
      <c r="W50" s="57">
        <f t="shared" si="32"/>
        <v>-7.4360827439454695E-5</v>
      </c>
      <c r="X50" s="57">
        <f t="shared" si="32"/>
        <v>2.5671143791761042E-5</v>
      </c>
      <c r="Y50" s="57">
        <f t="shared" si="32"/>
        <v>-1.2200670737731375E-5</v>
      </c>
      <c r="Z50" s="57">
        <f t="shared" si="32"/>
        <v>-8.2708515718612178E-6</v>
      </c>
      <c r="AA50" s="57">
        <f t="shared" si="32"/>
        <v>-2.1074617972976975E-5</v>
      </c>
      <c r="AB50" s="57">
        <f t="shared" si="32"/>
        <v>8.3946205044133554E-5</v>
      </c>
      <c r="AC50" s="57">
        <f t="shared" si="32"/>
        <v>-1.775175197314688E-4</v>
      </c>
      <c r="AD50" s="57">
        <f t="shared" si="32"/>
        <v>2.4976796117538025E-4</v>
      </c>
      <c r="AE50" s="57">
        <f t="shared" si="32"/>
        <v>-3.214088945712629E-4</v>
      </c>
      <c r="AF50" s="57">
        <f t="shared" si="32"/>
        <v>1.4093160080035471E-4</v>
      </c>
      <c r="AG50" s="57">
        <f t="shared" si="32"/>
        <v>3.3094318693805634E-4</v>
      </c>
      <c r="AH50" s="57">
        <f t="shared" si="32"/>
        <v>-4.6882609528009749E-4</v>
      </c>
      <c r="AI50" s="57">
        <f t="shared" si="32"/>
        <v>4.0132091390736356E-4</v>
      </c>
      <c r="AJ50" s="57">
        <f t="shared" si="32"/>
        <v>-2.3655467882124486E-4</v>
      </c>
    </row>
    <row r="51" spans="1:36" x14ac:dyDescent="0.25">
      <c r="A51" s="13" t="s">
        <v>21</v>
      </c>
      <c r="B51" s="3">
        <f>STUTT!D8</f>
        <v>6992.4087</v>
      </c>
      <c r="E51" s="11" t="s">
        <v>24</v>
      </c>
      <c r="F51" s="20">
        <f t="shared" ref="F51:AJ51" si="33">(F16-F17)^2</f>
        <v>3602.6351562305599</v>
      </c>
      <c r="G51" s="20">
        <f t="shared" si="33"/>
        <v>6024.3482564355445</v>
      </c>
      <c r="H51" s="20">
        <f t="shared" si="33"/>
        <v>422.81208299830143</v>
      </c>
      <c r="I51" s="20">
        <f t="shared" si="33"/>
        <v>11.293896847782571</v>
      </c>
      <c r="J51" s="20">
        <f t="shared" si="33"/>
        <v>0.22881050380316001</v>
      </c>
      <c r="K51" s="20">
        <f t="shared" si="33"/>
        <v>7.7290248207327805E-3</v>
      </c>
      <c r="L51" s="20">
        <f t="shared" si="33"/>
        <v>4.3214487934488243E-3</v>
      </c>
      <c r="M51" s="20">
        <f t="shared" si="33"/>
        <v>2.9880345936342464E-2</v>
      </c>
      <c r="N51" s="20">
        <f t="shared" si="33"/>
        <v>0.10708383643274404</v>
      </c>
      <c r="O51" s="20">
        <f t="shared" si="33"/>
        <v>0.34866862976024282</v>
      </c>
      <c r="P51" s="20">
        <f t="shared" si="33"/>
        <v>0.93059960026476662</v>
      </c>
      <c r="Q51" s="20">
        <f t="shared" si="33"/>
        <v>1.6665795770955956</v>
      </c>
      <c r="R51" s="20">
        <f t="shared" si="33"/>
        <v>2.2835874585115565</v>
      </c>
      <c r="S51" s="20">
        <f t="shared" si="33"/>
        <v>2.0439288689608426</v>
      </c>
      <c r="T51" s="20">
        <f t="shared" si="33"/>
        <v>1.4166953954344108</v>
      </c>
      <c r="U51" s="20">
        <f t="shared" si="33"/>
        <v>0.70266444538244499</v>
      </c>
      <c r="V51" s="20">
        <f t="shared" si="33"/>
        <v>0.25392288515859812</v>
      </c>
      <c r="W51" s="20">
        <f t="shared" si="33"/>
        <v>6.5659511218864319E-2</v>
      </c>
      <c r="X51" s="20">
        <f t="shared" si="33"/>
        <v>5.3126452441447378E-3</v>
      </c>
      <c r="Y51" s="20">
        <f t="shared" si="33"/>
        <v>8.1410335163204883E-4</v>
      </c>
      <c r="Z51" s="20">
        <f t="shared" si="33"/>
        <v>2.6288438164500467E-4</v>
      </c>
      <c r="AA51" s="20">
        <f t="shared" si="33"/>
        <v>1.2184998446657816E-3</v>
      </c>
      <c r="AB51" s="20">
        <f t="shared" si="33"/>
        <v>1.3558579022677798E-2</v>
      </c>
      <c r="AC51" s="20">
        <f t="shared" si="33"/>
        <v>3.9550689246344153E-2</v>
      </c>
      <c r="AD51" s="20">
        <f t="shared" si="33"/>
        <v>4.49755550010262E-2</v>
      </c>
      <c r="AE51" s="20">
        <f t="shared" si="33"/>
        <v>3.7464303230056478E-2</v>
      </c>
      <c r="AF51" s="20">
        <f t="shared" si="33"/>
        <v>3.4123330433666393E-3</v>
      </c>
      <c r="AG51" s="20">
        <f t="shared" si="33"/>
        <v>9.6392366617237182E-3</v>
      </c>
      <c r="AH51" s="20">
        <f t="shared" si="33"/>
        <v>1.2305737253599913E-2</v>
      </c>
      <c r="AI51" s="20">
        <f t="shared" si="33"/>
        <v>6.8722155105272117E-3</v>
      </c>
      <c r="AJ51" s="20">
        <f t="shared" si="33"/>
        <v>2.0596629233635682E-3</v>
      </c>
    </row>
    <row r="52" spans="1:36" x14ac:dyDescent="0.25">
      <c r="A52" s="13"/>
    </row>
    <row r="53" spans="1:36" x14ac:dyDescent="0.25">
      <c r="E53" s="119" t="s">
        <v>25</v>
      </c>
      <c r="F53" s="119"/>
      <c r="G53" s="104">
        <f>SUM(F51:AJ51)</f>
        <v>10071.356970488474</v>
      </c>
      <c r="I53" s="3">
        <f>G53+C123</f>
        <v>10071.356970488474</v>
      </c>
      <c r="K53" s="3">
        <f>SUM(Z51:AJ51)</f>
        <v>0.17131969611899647</v>
      </c>
    </row>
    <row r="55" spans="1:36" x14ac:dyDescent="0.25">
      <c r="E55" s="30" t="s">
        <v>30</v>
      </c>
      <c r="F55" s="31">
        <f t="shared" ref="F55:AJ55" si="34">ABS(F17-F16)/F16</f>
        <v>8.7743875762874325E-3</v>
      </c>
      <c r="G55" s="31">
        <f t="shared" si="34"/>
        <v>1.1682930241495953E-2</v>
      </c>
      <c r="H55" s="31">
        <f t="shared" si="34"/>
        <v>3.1502831152256361E-3</v>
      </c>
      <c r="I55" s="31">
        <f t="shared" si="34"/>
        <v>5.2403549002018118E-4</v>
      </c>
      <c r="J55" s="31">
        <f t="shared" si="34"/>
        <v>7.6086592329096704E-5</v>
      </c>
      <c r="K55" s="31">
        <f t="shared" si="34"/>
        <v>1.4291809321460417E-5</v>
      </c>
      <c r="L55" s="31">
        <f t="shared" si="34"/>
        <v>1.0958009664494844E-5</v>
      </c>
      <c r="M55" s="31">
        <f t="shared" si="34"/>
        <v>2.9628666393856287E-5</v>
      </c>
      <c r="N55" s="31">
        <f t="shared" si="34"/>
        <v>5.7808843531172361E-5</v>
      </c>
      <c r="O55" s="31">
        <f t="shared" si="34"/>
        <v>1.0734793733285714E-4</v>
      </c>
      <c r="P55" s="31">
        <f t="shared" si="34"/>
        <v>1.8146464413232172E-4</v>
      </c>
      <c r="Q55" s="31">
        <f t="shared" si="34"/>
        <v>2.5337986117970608E-4</v>
      </c>
      <c r="R55" s="31">
        <f t="shared" si="34"/>
        <v>3.1095787888128009E-4</v>
      </c>
      <c r="S55" s="31">
        <f t="shared" si="34"/>
        <v>3.0720164173515482E-4</v>
      </c>
      <c r="T55" s="31">
        <f t="shared" si="34"/>
        <v>2.6632433298585853E-4</v>
      </c>
      <c r="U55" s="31">
        <f t="shared" si="34"/>
        <v>1.964052597342956E-4</v>
      </c>
      <c r="V55" s="31">
        <f t="shared" si="34"/>
        <v>1.2671251632445643E-4</v>
      </c>
      <c r="W55" s="31">
        <f t="shared" si="34"/>
        <v>7.4366357383323374E-5</v>
      </c>
      <c r="X55" s="31">
        <f t="shared" si="34"/>
        <v>2.5670484801054512E-5</v>
      </c>
      <c r="Y55" s="31">
        <f t="shared" si="34"/>
        <v>1.2200819595913994E-5</v>
      </c>
      <c r="Z55" s="31">
        <f t="shared" si="34"/>
        <v>8.2709199794127291E-6</v>
      </c>
      <c r="AA55" s="31">
        <f t="shared" si="34"/>
        <v>2.107506212185995E-5</v>
      </c>
      <c r="AB55" s="31">
        <f t="shared" si="34"/>
        <v>8.3939158670308579E-5</v>
      </c>
      <c r="AC55" s="31">
        <f t="shared" si="34"/>
        <v>1.7754903779628909E-4</v>
      </c>
      <c r="AD55" s="31">
        <f t="shared" si="34"/>
        <v>2.4970559271859282E-4</v>
      </c>
      <c r="AE55" s="31">
        <f t="shared" si="34"/>
        <v>3.2151223146216831E-4</v>
      </c>
      <c r="AF55" s="31">
        <f t="shared" si="34"/>
        <v>1.4091174188299955E-4</v>
      </c>
      <c r="AG55" s="31">
        <f t="shared" si="34"/>
        <v>3.3083369977910494E-4</v>
      </c>
      <c r="AH55" s="31">
        <f t="shared" si="34"/>
        <v>4.690459962830416E-4</v>
      </c>
      <c r="AI55" s="31">
        <f t="shared" si="34"/>
        <v>4.0115992004162942E-4</v>
      </c>
      <c r="AJ55" s="31">
        <f t="shared" si="34"/>
        <v>2.366106501776033E-4</v>
      </c>
    </row>
    <row r="56" spans="1:36" x14ac:dyDescent="0.25">
      <c r="E56" s="13" t="s">
        <v>31</v>
      </c>
      <c r="F56" s="32">
        <f>AVERAGE(F55:AJ55)</f>
        <v>9.233243899764036E-4</v>
      </c>
    </row>
    <row r="57" spans="1:36" x14ac:dyDescent="0.25">
      <c r="A57" s="42"/>
      <c r="B57" s="15"/>
      <c r="C57" s="15"/>
      <c r="D57" s="15"/>
      <c r="F57" s="60">
        <f>AVERAGE(S55:X55)</f>
        <v>1.6611343216069055E-4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-14.406800109604639</v>
      </c>
    </row>
    <row r="119" spans="1:14" x14ac:dyDescent="0.25">
      <c r="L119" s="11">
        <f>L118+1</f>
        <v>2</v>
      </c>
      <c r="M119" s="11">
        <f t="shared" ref="M119:M124" si="35">INDEX($B$125:$K$126,1,L119)</f>
        <v>0</v>
      </c>
      <c r="N119" s="11">
        <f t="shared" ref="N119:N124" si="36">IF(L119=$B$3,0,INDEX($B$125:$K$126,2,L119))</f>
        <v>-10.950515452938541</v>
      </c>
    </row>
    <row r="120" spans="1:14" x14ac:dyDescent="0.25">
      <c r="L120" s="11">
        <f t="shared" ref="L120:L124" si="37">L119+1</f>
        <v>3</v>
      </c>
      <c r="M120" s="11">
        <f t="shared" si="35"/>
        <v>25</v>
      </c>
      <c r="N120" s="11">
        <f t="shared" si="36"/>
        <v>-6.5770330385822291</v>
      </c>
    </row>
    <row r="121" spans="1:14" x14ac:dyDescent="0.25">
      <c r="A121" s="103">
        <f>(A165+A204+A243+A282+A321+A360+A399)*10^9</f>
        <v>2.2247978146517613E+17</v>
      </c>
      <c r="L121" s="11">
        <f t="shared" si="37"/>
        <v>4</v>
      </c>
      <c r="M121" s="11">
        <f t="shared" si="35"/>
        <v>50</v>
      </c>
      <c r="N121" s="11">
        <f t="shared" si="36"/>
        <v>1.3428687777918219E-4</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9"/>
      <c r="B123" s="119"/>
      <c r="C123" s="3"/>
      <c r="D123" s="3"/>
      <c r="E123" s="3"/>
      <c r="F123" s="3"/>
      <c r="G123" s="3"/>
      <c r="H123" s="3"/>
      <c r="I123" s="3"/>
      <c r="J123" s="3"/>
      <c r="K123" s="3"/>
      <c r="L123" s="11">
        <f t="shared" si="37"/>
        <v>6</v>
      </c>
      <c r="M123" s="11">
        <f t="shared" si="35"/>
        <v>125</v>
      </c>
      <c r="N123" s="11">
        <f t="shared" si="36"/>
        <v>31.8000897176249</v>
      </c>
    </row>
    <row r="124" spans="1:14" x14ac:dyDescent="0.25">
      <c r="B124" s="3"/>
      <c r="C124" s="3"/>
      <c r="D124" s="3"/>
      <c r="E124" s="3"/>
      <c r="F124" s="3"/>
      <c r="G124" s="3"/>
      <c r="H124" s="3"/>
      <c r="I124" s="3"/>
      <c r="J124" s="3"/>
      <c r="K124" s="3"/>
      <c r="L124" s="11">
        <f t="shared" si="37"/>
        <v>7</v>
      </c>
      <c r="M124" s="11">
        <f t="shared" si="35"/>
        <v>160</v>
      </c>
      <c r="N124" s="11">
        <f t="shared" si="36"/>
        <v>35.861537922668312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-14.406800109604639</v>
      </c>
      <c r="C126" s="107">
        <v>-10.950515452938541</v>
      </c>
      <c r="D126" s="107">
        <v>-6.5770330385822291</v>
      </c>
      <c r="E126" s="107">
        <v>1.3428687777918219E-4</v>
      </c>
      <c r="F126" s="107">
        <v>12.063922953615501</v>
      </c>
      <c r="G126" s="107">
        <v>31.8000897176249</v>
      </c>
      <c r="H126" s="107">
        <v>35.861537922668312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7093.1154116431162</v>
      </c>
      <c r="C130" s="26">
        <f>INDEX(Comparison!$AM$3:$AS$33,G14,$B$122)</f>
        <v>7093.186769557813</v>
      </c>
      <c r="D130" s="26">
        <f>INDEX(Comparison!$AM$3:$AS$33,H14,$B$122)</f>
        <v>7093.1496241627792</v>
      </c>
      <c r="E130" s="26">
        <f>INDEX(Comparison!$AM$3:$AS$33,I14,$B$122)</f>
        <v>7093.139849123485</v>
      </c>
      <c r="F130" s="26">
        <f>INDEX(Comparison!$AM$3:$AS$33,J14,$B$122)</f>
        <v>7093.1370316171597</v>
      </c>
      <c r="G130" s="26">
        <f>INDEX(Comparison!$AM$3:$AS$33,K14,$B$122)</f>
        <v>7093.1361691156708</v>
      </c>
      <c r="H130" s="26">
        <f>INDEX(Comparison!$AM$3:$AS$33,L14,$B$122)</f>
        <v>7093.1358816152215</v>
      </c>
      <c r="I130" s="26">
        <f>INDEX(Comparison!$AM$3:$AS$33,M14,$B$122)</f>
        <v>7093.135709114963</v>
      </c>
      <c r="J130" s="26">
        <f>INDEX(Comparison!$AM$3:$AS$33,N14,$B$122)</f>
        <v>7093.1355366147118</v>
      </c>
      <c r="K130" s="26">
        <f>INDEX(Comparison!$AM$3:$AS$33,O14,$B$122)</f>
        <v>7093.1340991129555</v>
      </c>
      <c r="L130" s="26">
        <f>INDEX(Comparison!$AM$3:$AS$33,P14,$B$122)</f>
        <v>7093.1198391270691</v>
      </c>
      <c r="M130" s="26">
        <f>INDEX(Comparison!$AM$3:$AS$33,Q14,$B$122)</f>
        <v>7092.9771274266232</v>
      </c>
      <c r="N130" s="26">
        <f>INDEX(Comparison!$AM$3:$AS$33,R14,$B$122)</f>
        <v>7091.5625107943715</v>
      </c>
      <c r="O130" s="26">
        <f>INDEX(Comparison!$AM$3:$AS$33,S14,$B$122)</f>
        <v>7078.0585854387473</v>
      </c>
      <c r="P130" s="26">
        <f>INDEX(Comparison!$AM$3:$AS$33,T14,$B$122)</f>
        <v>6980.1771345591078</v>
      </c>
      <c r="Q130" s="26">
        <f>INDEX(Comparison!$AM$3:$AS$33,U14,$B$122)</f>
        <v>6817.7458366168885</v>
      </c>
      <c r="R130" s="26">
        <f>INDEX(Comparison!$AM$3:$AS$33,V14,$B$122)</f>
        <v>6700.2000319833087</v>
      </c>
      <c r="S130" s="26">
        <f>INDEX(Comparison!$AM$3:$AS$33,W14,$B$122)</f>
        <v>6581.4875752007347</v>
      </c>
      <c r="T130" s="26">
        <f>INDEX(Comparison!$AM$3:$AS$33,X14,$B$122)</f>
        <v>6449.3747740231202</v>
      </c>
      <c r="U130" s="26">
        <f>INDEX(Comparison!$AM$3:$AS$33,Y14,$B$122)</f>
        <v>6289.3605252793404</v>
      </c>
      <c r="V130" s="26">
        <f>INDEX(Comparison!$AM$3:$AS$33,Z14,$B$122)</f>
        <v>6015.8011652173718</v>
      </c>
      <c r="W130" s="26">
        <f>INDEX(Comparison!$AM$3:$AS$33,AA14,$B$122)</f>
        <v>5393.4478275395559</v>
      </c>
      <c r="X130" s="26">
        <f>INDEX(Comparison!$AM$3:$AS$33,AB14,$B$122)</f>
        <v>4577.424969740212</v>
      </c>
      <c r="Y130" s="26">
        <f>INDEX(Comparison!$AM$3:$AS$33,AC14,$B$122)</f>
        <v>3914.6236771373719</v>
      </c>
      <c r="Z130" s="26">
        <f>INDEX(Comparison!$AM$3:$AS$33,AD14,$B$122)</f>
        <v>3439.215903424868</v>
      </c>
      <c r="AA130" s="26">
        <f>INDEX(Comparison!$AM$3:$AS$33,AE14,$B$122)</f>
        <v>3078.9760704970804</v>
      </c>
      <c r="AB130" s="26">
        <f>INDEX(Comparison!$AM$3:$AS$33,AF14,$B$122)</f>
        <v>2798.5736498484516</v>
      </c>
      <c r="AC130" s="26">
        <f>INDEX(Comparison!$AM$3:$AS$33,AG14,$B$122)</f>
        <v>2590.4913778751102</v>
      </c>
      <c r="AD130" s="26">
        <f>INDEX(Comparison!$AM$3:$AS$33,AH14,$B$122)</f>
        <v>2428.2171958860131</v>
      </c>
      <c r="AE130" s="26">
        <f>INDEX(Comparison!$AM$3:$AS$33,AI14,$B$122)</f>
        <v>2284.9023004500814</v>
      </c>
      <c r="AF130" s="26">
        <f>INDEX(Comparison!$AM$3:$AS$33,AJ14,$B$122)</f>
        <v>2162.351794570352</v>
      </c>
    </row>
    <row r="131" spans="1:33" x14ac:dyDescent="0.25">
      <c r="A131" s="68" t="s">
        <v>22</v>
      </c>
      <c r="B131" s="27">
        <f>($C$17+SUM(B132:B162))*$B$51</f>
        <v>6981.4011332321725</v>
      </c>
      <c r="C131" s="27">
        <f t="shared" ref="C131:AF131" si="40">($C$17+SUM(C132:C162))*$B$51</f>
        <v>6905.5178743929891</v>
      </c>
      <c r="D131" s="27">
        <f t="shared" si="40"/>
        <v>6788.8279679156531</v>
      </c>
      <c r="E131" s="27">
        <f t="shared" si="40"/>
        <v>6788.0185655607611</v>
      </c>
      <c r="F131" s="27">
        <f t="shared" si="40"/>
        <v>6787.9809389866341</v>
      </c>
      <c r="G131" s="27">
        <f t="shared" si="40"/>
        <v>6787.6049317660063</v>
      </c>
      <c r="H131" s="27">
        <f t="shared" si="40"/>
        <v>6783.8705901471085</v>
      </c>
      <c r="I131" s="27">
        <f t="shared" si="40"/>
        <v>6748.9829448811251</v>
      </c>
      <c r="J131" s="27">
        <f t="shared" si="40"/>
        <v>6560.6937701822599</v>
      </c>
      <c r="K131" s="27">
        <f t="shared" si="40"/>
        <v>6439.7654452730549</v>
      </c>
      <c r="L131" s="27">
        <f t="shared" si="40"/>
        <v>6325.4863495569216</v>
      </c>
      <c r="M131" s="27">
        <f t="shared" si="40"/>
        <v>6190.6907533560661</v>
      </c>
      <c r="N131" s="27">
        <f t="shared" si="40"/>
        <v>6044.5134210764018</v>
      </c>
      <c r="O131" s="27">
        <f t="shared" si="40"/>
        <v>5882.5655896977887</v>
      </c>
      <c r="P131" s="27">
        <f t="shared" si="40"/>
        <v>5710.0891246861584</v>
      </c>
      <c r="Q131" s="27">
        <f t="shared" si="40"/>
        <v>5544.0325222455967</v>
      </c>
      <c r="R131" s="27">
        <f t="shared" si="40"/>
        <v>5371.2014981113907</v>
      </c>
      <c r="S131" s="27">
        <f t="shared" si="40"/>
        <v>5156.5200461543236</v>
      </c>
      <c r="T131" s="27">
        <f t="shared" si="40"/>
        <v>4920.5282513788306</v>
      </c>
      <c r="U131" s="27">
        <f t="shared" si="40"/>
        <v>4696.1025751270554</v>
      </c>
      <c r="V131" s="27">
        <f t="shared" si="40"/>
        <v>4518.8148601287376</v>
      </c>
      <c r="W131" s="27">
        <f t="shared" si="40"/>
        <v>4311.5561825588757</v>
      </c>
      <c r="X131" s="27">
        <f t="shared" si="40"/>
        <v>4076.0950997462905</v>
      </c>
      <c r="Y131" s="27">
        <f t="shared" si="40"/>
        <v>3582.5043348414192</v>
      </c>
      <c r="Z131" s="27">
        <f t="shared" si="40"/>
        <v>2965.9146126761857</v>
      </c>
      <c r="AA131" s="27">
        <f t="shared" si="40"/>
        <v>2437.6299330659499</v>
      </c>
      <c r="AB131" s="27">
        <f t="shared" si="40"/>
        <v>2042.2274631291664</v>
      </c>
      <c r="AC131" s="27">
        <f t="shared" si="40"/>
        <v>1718.0163845528461</v>
      </c>
      <c r="AD131" s="27">
        <f t="shared" si="40"/>
        <v>1471.6552735952207</v>
      </c>
      <c r="AE131" s="27">
        <f t="shared" si="40"/>
        <v>1185.0552778966578</v>
      </c>
      <c r="AF131" s="27">
        <f t="shared" si="40"/>
        <v>922.29997611351087</v>
      </c>
    </row>
    <row r="132" spans="1:33" x14ac:dyDescent="0.25">
      <c r="B132" s="3">
        <f t="shared" ref="B132:Z133" si="41">$C18*EXP(-B$129/$A18/EXP(-$B$126))</f>
        <v>2.7655475978072868E-2</v>
      </c>
      <c r="C132" s="3">
        <f t="shared" ref="C132:AF132" si="42">$C18*EXP(-C$129/$A18/EXP(-$B$126))</f>
        <v>1.6803246872852298E-2</v>
      </c>
      <c r="D132" s="3">
        <f t="shared" si="42"/>
        <v>1.1521629718753251E-4</v>
      </c>
      <c r="E132" s="3">
        <f t="shared" si="42"/>
        <v>2.6467990551210304E-26</v>
      </c>
      <c r="F132" s="3">
        <f t="shared" si="42"/>
        <v>1.0834067631635279E-242</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4.1218870591204618E-2</v>
      </c>
      <c r="C133" s="3">
        <f t="shared" si="41"/>
        <v>4.1218865330466405E-2</v>
      </c>
      <c r="D133" s="3">
        <f t="shared" si="41"/>
        <v>4.1218812723121223E-2</v>
      </c>
      <c r="E133" s="3">
        <f t="shared" si="41"/>
        <v>4.1218286653362204E-2</v>
      </c>
      <c r="F133" s="3">
        <f t="shared" si="41"/>
        <v>4.1213026325036262E-2</v>
      </c>
      <c r="G133" s="3">
        <f t="shared" si="41"/>
        <v>4.1160459950769501E-2</v>
      </c>
      <c r="H133" s="3">
        <f t="shared" si="41"/>
        <v>4.063846973723001E-2</v>
      </c>
      <c r="I133" s="3">
        <f t="shared" si="41"/>
        <v>3.5769149531899219E-2</v>
      </c>
      <c r="J133" s="3">
        <f t="shared" si="41"/>
        <v>9.9820857564088608E-3</v>
      </c>
      <c r="K133" s="3">
        <f t="shared" si="41"/>
        <v>2.8598820379786948E-8</v>
      </c>
      <c r="L133" s="3">
        <f t="shared" si="41"/>
        <v>1.0656543328371041E-63</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8.4181036831018647E-3</v>
      </c>
      <c r="C134" s="3">
        <f t="shared" si="44"/>
        <v>8.4181035861822934E-3</v>
      </c>
      <c r="D134" s="3">
        <f t="shared" si="44"/>
        <v>8.4181026169866304E-3</v>
      </c>
      <c r="E134" s="3">
        <f t="shared" si="44"/>
        <v>8.4180929250361382E-3</v>
      </c>
      <c r="F134" s="3">
        <f t="shared" si="44"/>
        <v>8.4179960061449496E-3</v>
      </c>
      <c r="G134" s="3">
        <f t="shared" si="44"/>
        <v>8.4170268786022979E-3</v>
      </c>
      <c r="H134" s="3">
        <f t="shared" si="44"/>
        <v>8.4073417374877675E-3</v>
      </c>
      <c r="I134" s="3">
        <f t="shared" si="44"/>
        <v>8.3111011524167402E-3</v>
      </c>
      <c r="J134" s="3">
        <f t="shared" si="44"/>
        <v>7.4072540611442878E-3</v>
      </c>
      <c r="K134" s="3">
        <f t="shared" si="44"/>
        <v>2.3423078180425175E-3</v>
      </c>
      <c r="L134" s="3">
        <f t="shared" si="44"/>
        <v>2.3415920780352744E-8</v>
      </c>
      <c r="M134" s="3">
        <f t="shared" si="44"/>
        <v>2.3344466959365212E-58</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2.097650305397061E-2</v>
      </c>
      <c r="C135" s="3">
        <f t="shared" si="47"/>
        <v>2.0976503032184641E-2</v>
      </c>
      <c r="D135" s="3">
        <f t="shared" si="47"/>
        <v>2.0976502814324942E-2</v>
      </c>
      <c r="E135" s="3">
        <f t="shared" si="47"/>
        <v>2.0976500635728076E-2</v>
      </c>
      <c r="F135" s="3">
        <f t="shared" si="47"/>
        <v>2.097647884977186E-2</v>
      </c>
      <c r="G135" s="3">
        <f t="shared" si="47"/>
        <v>2.0976260991454186E-2</v>
      </c>
      <c r="H135" s="3">
        <f t="shared" si="47"/>
        <v>2.0974082532718812E-2</v>
      </c>
      <c r="I135" s="3">
        <f t="shared" si="47"/>
        <v>2.0952310384723598E-2</v>
      </c>
      <c r="J135" s="3">
        <f t="shared" si="47"/>
        <v>2.0735828073703364E-2</v>
      </c>
      <c r="K135" s="3">
        <f t="shared" si="47"/>
        <v>1.8690289417324295E-2</v>
      </c>
      <c r="L135" s="3">
        <f t="shared" si="47"/>
        <v>6.6154967023675983E-3</v>
      </c>
      <c r="M135" s="3">
        <f t="shared" si="47"/>
        <v>2.041863782013955E-7</v>
      </c>
      <c r="N135" s="3">
        <f t="shared" si="47"/>
        <v>1.6020270730235915E-52</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1.9317071726805652E-2</v>
      </c>
      <c r="C136" s="3">
        <f t="shared" si="49"/>
        <v>1.9317071724995846E-2</v>
      </c>
      <c r="D136" s="3">
        <f t="shared" si="49"/>
        <v>1.9317071706897802E-2</v>
      </c>
      <c r="E136" s="3">
        <f t="shared" si="49"/>
        <v>1.9317071525917339E-2</v>
      </c>
      <c r="F136" s="3">
        <f t="shared" si="49"/>
        <v>1.9317069716112811E-2</v>
      </c>
      <c r="G136" s="3">
        <f t="shared" si="49"/>
        <v>1.9317051618076838E-2</v>
      </c>
      <c r="H136" s="3">
        <f t="shared" si="49"/>
        <v>1.9316870638649692E-2</v>
      </c>
      <c r="I136" s="3">
        <f t="shared" si="49"/>
        <v>1.9315060937632356E-2</v>
      </c>
      <c r="J136" s="3">
        <f t="shared" si="49"/>
        <v>1.9296973249639856E-2</v>
      </c>
      <c r="K136" s="3">
        <f t="shared" si="49"/>
        <v>1.9117025364342184E-2</v>
      </c>
      <c r="L136" s="3">
        <f t="shared" si="49"/>
        <v>1.7407304727766262E-2</v>
      </c>
      <c r="M136" s="3">
        <f t="shared" si="49"/>
        <v>6.8209315081449321E-3</v>
      </c>
      <c r="N136" s="3">
        <f t="shared" si="49"/>
        <v>5.8205664875357501E-7</v>
      </c>
      <c r="O136" s="3">
        <f t="shared" si="49"/>
        <v>1.1917383445926467E-47</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2.3266135226243597E-2</v>
      </c>
      <c r="C137" s="3">
        <f t="shared" si="51"/>
        <v>2.3266135226046963E-2</v>
      </c>
      <c r="D137" s="3">
        <f t="shared" si="51"/>
        <v>2.3266135224080609E-2</v>
      </c>
      <c r="E137" s="3">
        <f t="shared" si="51"/>
        <v>2.3266135204417088E-2</v>
      </c>
      <c r="F137" s="3">
        <f t="shared" si="51"/>
        <v>2.32661350077819E-2</v>
      </c>
      <c r="G137" s="3">
        <f t="shared" si="51"/>
        <v>2.32661330414301E-2</v>
      </c>
      <c r="H137" s="3">
        <f t="shared" si="51"/>
        <v>2.3266113377921255E-2</v>
      </c>
      <c r="I137" s="3">
        <f t="shared" si="51"/>
        <v>2.3265916743746819E-2</v>
      </c>
      <c r="J137" s="3">
        <f t="shared" si="51"/>
        <v>2.3263950493402387E-2</v>
      </c>
      <c r="K137" s="3">
        <f t="shared" si="51"/>
        <v>2.3244297127092986E-2</v>
      </c>
      <c r="L137" s="3">
        <f t="shared" si="51"/>
        <v>2.3048674326687196E-2</v>
      </c>
      <c r="M137" s="3">
        <f t="shared" si="51"/>
        <v>2.1180747502873108E-2</v>
      </c>
      <c r="N137" s="3">
        <f t="shared" si="51"/>
        <v>9.0969246704115034E-3</v>
      </c>
      <c r="O137" s="3">
        <f t="shared" si="51"/>
        <v>1.9427984699100273E-6</v>
      </c>
      <c r="P137" s="3">
        <f t="shared" si="51"/>
        <v>3.8349463804236359E-43</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2.4702959772384594E-2</v>
      </c>
      <c r="C138" s="3">
        <f t="shared" si="53"/>
        <v>2.4702959772365762E-2</v>
      </c>
      <c r="D138" s="3">
        <f t="shared" si="53"/>
        <v>2.4702959772177423E-2</v>
      </c>
      <c r="E138" s="3">
        <f t="shared" si="53"/>
        <v>2.4702959770294068E-2</v>
      </c>
      <c r="F138" s="3">
        <f t="shared" si="53"/>
        <v>2.4702959751460501E-2</v>
      </c>
      <c r="G138" s="3">
        <f t="shared" si="53"/>
        <v>2.4702959563124835E-2</v>
      </c>
      <c r="H138" s="3">
        <f t="shared" si="53"/>
        <v>2.4702957679768243E-2</v>
      </c>
      <c r="I138" s="3">
        <f t="shared" si="53"/>
        <v>2.4702938846210238E-2</v>
      </c>
      <c r="J138" s="3">
        <f t="shared" si="53"/>
        <v>2.4702750511419909E-2</v>
      </c>
      <c r="K138" s="3">
        <f t="shared" si="53"/>
        <v>2.470086724248716E-2</v>
      </c>
      <c r="L138" s="3">
        <f t="shared" si="53"/>
        <v>2.4682042447988866E-2</v>
      </c>
      <c r="M138" s="3">
        <f t="shared" si="53"/>
        <v>2.4494581763417442E-2</v>
      </c>
      <c r="N138" s="3">
        <f t="shared" si="53"/>
        <v>2.269652475158819E-2</v>
      </c>
      <c r="O138" s="3">
        <f t="shared" si="53"/>
        <v>1.0588945648043097E-2</v>
      </c>
      <c r="P138" s="3">
        <f t="shared" si="53"/>
        <v>5.173521650649665E-6</v>
      </c>
      <c r="Q138" s="3">
        <f t="shared" si="53"/>
        <v>4.0097914800159596E-39</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2.7399964951960051E-2</v>
      </c>
      <c r="C139" s="3">
        <f t="shared" si="55"/>
        <v>2.7399964951958167E-2</v>
      </c>
      <c r="D139" s="3">
        <f t="shared" si="55"/>
        <v>2.7399964951939321E-2</v>
      </c>
      <c r="E139" s="3">
        <f t="shared" si="55"/>
        <v>2.7399964951750878E-2</v>
      </c>
      <c r="F139" s="3">
        <f t="shared" si="55"/>
        <v>2.7399964949866448E-2</v>
      </c>
      <c r="G139" s="3">
        <f t="shared" si="55"/>
        <v>2.739996493102214E-2</v>
      </c>
      <c r="H139" s="3">
        <f t="shared" si="55"/>
        <v>2.7399964742579067E-2</v>
      </c>
      <c r="I139" s="3">
        <f t="shared" si="55"/>
        <v>2.7399962858148393E-2</v>
      </c>
      <c r="J139" s="3">
        <f t="shared" si="55"/>
        <v>2.7399944013848765E-2</v>
      </c>
      <c r="K139" s="3">
        <f t="shared" si="55"/>
        <v>2.7399755571565335E-2</v>
      </c>
      <c r="L139" s="3">
        <f t="shared" si="55"/>
        <v>2.7397871220009893E-2</v>
      </c>
      <c r="M139" s="3">
        <f t="shared" si="55"/>
        <v>2.7379034830528375E-2</v>
      </c>
      <c r="N139" s="3">
        <f t="shared" si="55"/>
        <v>2.7191381732984576E-2</v>
      </c>
      <c r="O139" s="3">
        <f t="shared" si="55"/>
        <v>2.5384154531655736E-2</v>
      </c>
      <c r="P139" s="3">
        <f t="shared" si="55"/>
        <v>1.2760772435695565E-2</v>
      </c>
      <c r="Q139" s="3">
        <f t="shared" si="55"/>
        <v>1.3152841100342583E-5</v>
      </c>
      <c r="R139" s="3">
        <f t="shared" si="55"/>
        <v>1.7801051988502225E-35</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2.1239880079390396E-2</v>
      </c>
      <c r="C140" s="3">
        <f t="shared" si="57"/>
        <v>2.1239880079390264E-2</v>
      </c>
      <c r="D140" s="3">
        <f t="shared" si="57"/>
        <v>2.1239880079388946E-2</v>
      </c>
      <c r="E140" s="3">
        <f t="shared" si="57"/>
        <v>2.1239880079375769E-2</v>
      </c>
      <c r="F140" s="3">
        <f t="shared" si="57"/>
        <v>2.1239880079243996E-2</v>
      </c>
      <c r="G140" s="3">
        <f t="shared" si="57"/>
        <v>2.1239880077926258E-2</v>
      </c>
      <c r="H140" s="3">
        <f t="shared" si="57"/>
        <v>2.1239880064748886E-2</v>
      </c>
      <c r="I140" s="3">
        <f t="shared" si="57"/>
        <v>2.1239879932975159E-2</v>
      </c>
      <c r="J140" s="3">
        <f t="shared" si="57"/>
        <v>2.1239878615237944E-2</v>
      </c>
      <c r="K140" s="3">
        <f t="shared" si="57"/>
        <v>2.1239865437870303E-2</v>
      </c>
      <c r="L140" s="3">
        <f t="shared" si="57"/>
        <v>2.1239733664643504E-2</v>
      </c>
      <c r="M140" s="3">
        <f t="shared" si="57"/>
        <v>2.1238415977338724E-2</v>
      </c>
      <c r="N140" s="3">
        <f t="shared" si="57"/>
        <v>2.1225243599578936E-2</v>
      </c>
      <c r="O140" s="3">
        <f t="shared" si="57"/>
        <v>2.1093968320593688E-2</v>
      </c>
      <c r="P140" s="3">
        <f t="shared" si="57"/>
        <v>1.9825052722719557E-2</v>
      </c>
      <c r="Q140" s="3">
        <f t="shared" si="57"/>
        <v>1.0660435971907835E-2</v>
      </c>
      <c r="R140" s="3">
        <f t="shared" si="57"/>
        <v>2.1546717480758186E-5</v>
      </c>
      <c r="S140" s="3">
        <f t="shared" si="57"/>
        <v>2.4515605777704008E-32</v>
      </c>
      <c r="T140" s="3">
        <f t="shared" si="57"/>
        <v>8.9136945400582959E-302</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3.0368902624314725E-2</v>
      </c>
      <c r="C141" s="3">
        <f t="shared" si="59"/>
        <v>3.0368902624314707E-2</v>
      </c>
      <c r="D141" s="3">
        <f t="shared" si="59"/>
        <v>3.0368902624314541E-2</v>
      </c>
      <c r="E141" s="3">
        <f t="shared" si="59"/>
        <v>3.0368902624312841E-2</v>
      </c>
      <c r="F141" s="3">
        <f t="shared" si="59"/>
        <v>3.0368902624295844E-2</v>
      </c>
      <c r="G141" s="3">
        <f t="shared" si="59"/>
        <v>3.0368902624125879E-2</v>
      </c>
      <c r="H141" s="3">
        <f t="shared" si="59"/>
        <v>3.0368902622426256E-2</v>
      </c>
      <c r="I141" s="3">
        <f t="shared" si="59"/>
        <v>3.0368902605430036E-2</v>
      </c>
      <c r="J141" s="3">
        <f t="shared" si="59"/>
        <v>3.036890243546779E-2</v>
      </c>
      <c r="K141" s="3">
        <f t="shared" si="59"/>
        <v>3.0368900735845406E-2</v>
      </c>
      <c r="L141" s="3">
        <f t="shared" si="59"/>
        <v>3.0368883739626797E-2</v>
      </c>
      <c r="M141" s="3">
        <f t="shared" si="59"/>
        <v>3.0368713777963855E-2</v>
      </c>
      <c r="N141" s="3">
        <f t="shared" si="59"/>
        <v>3.0367014213649738E-2</v>
      </c>
      <c r="O141" s="3">
        <f t="shared" si="59"/>
        <v>3.0350023800952888E-2</v>
      </c>
      <c r="P141" s="3">
        <f t="shared" si="59"/>
        <v>3.0180641636950691E-2</v>
      </c>
      <c r="Q141" s="3">
        <f t="shared" si="59"/>
        <v>2.8537951434957316E-2</v>
      </c>
      <c r="R141" s="3">
        <f t="shared" si="59"/>
        <v>1.6306698978062077E-2</v>
      </c>
      <c r="S141" s="3">
        <f t="shared" si="59"/>
        <v>6.0506028914291147E-5</v>
      </c>
      <c r="T141" s="3">
        <f t="shared" si="59"/>
        <v>2.9931233466762033E-29</v>
      </c>
      <c r="U141" s="3">
        <f t="shared" si="59"/>
        <v>2.6265414180817646E-272</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3.3612398706551576E-2</v>
      </c>
      <c r="C142" s="3">
        <f t="shared" si="61"/>
        <v>3.3612398706551569E-2</v>
      </c>
      <c r="D142" s="3">
        <f t="shared" si="61"/>
        <v>3.3612398706551555E-2</v>
      </c>
      <c r="E142" s="3">
        <f t="shared" si="61"/>
        <v>3.3612398706551389E-2</v>
      </c>
      <c r="F142" s="3">
        <f t="shared" si="61"/>
        <v>3.3612398706549688E-2</v>
      </c>
      <c r="G142" s="3">
        <f t="shared" si="61"/>
        <v>3.3612398706532723E-2</v>
      </c>
      <c r="H142" s="3">
        <f t="shared" si="61"/>
        <v>3.3612398706363025E-2</v>
      </c>
      <c r="I142" s="3">
        <f t="shared" si="61"/>
        <v>3.361239870466607E-2</v>
      </c>
      <c r="J142" s="3">
        <f t="shared" si="61"/>
        <v>3.3612398687696554E-2</v>
      </c>
      <c r="K142" s="3">
        <f t="shared" si="61"/>
        <v>3.3612398518001393E-2</v>
      </c>
      <c r="L142" s="3">
        <f t="shared" si="61"/>
        <v>3.3612396821049856E-2</v>
      </c>
      <c r="M142" s="3">
        <f t="shared" si="61"/>
        <v>3.3612379851539101E-2</v>
      </c>
      <c r="N142" s="3">
        <f t="shared" si="61"/>
        <v>3.3612210156902772E-2</v>
      </c>
      <c r="O142" s="3">
        <f t="shared" si="61"/>
        <v>3.3610513257658153E-2</v>
      </c>
      <c r="P142" s="3">
        <f t="shared" si="61"/>
        <v>3.3593548976199546E-2</v>
      </c>
      <c r="Q142" s="3">
        <f t="shared" si="61"/>
        <v>3.3424376381555321E-2</v>
      </c>
      <c r="R142" s="3">
        <f t="shared" si="61"/>
        <v>3.177880580445102E-2</v>
      </c>
      <c r="S142" s="3">
        <f t="shared" si="61"/>
        <v>1.9181394298872671E-2</v>
      </c>
      <c r="T142" s="3">
        <f t="shared" si="61"/>
        <v>1.2311363977598466E-4</v>
      </c>
      <c r="U142" s="3">
        <f t="shared" si="61"/>
        <v>1.4607172341759971E-26</v>
      </c>
      <c r="V142" s="3">
        <f t="shared" si="61"/>
        <v>8.0754359113011097E-246</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3.9048719135874044E-2</v>
      </c>
      <c r="C143" s="3">
        <f t="shared" si="63"/>
        <v>3.9048719135874044E-2</v>
      </c>
      <c r="D143" s="3">
        <f t="shared" si="63"/>
        <v>3.9048719135874044E-2</v>
      </c>
      <c r="E143" s="3">
        <f t="shared" si="63"/>
        <v>3.9048719135874023E-2</v>
      </c>
      <c r="F143" s="3">
        <f t="shared" si="63"/>
        <v>3.9048719135873843E-2</v>
      </c>
      <c r="G143" s="3">
        <f t="shared" si="63"/>
        <v>3.9048719135872066E-2</v>
      </c>
      <c r="H143" s="3">
        <f t="shared" si="63"/>
        <v>3.9048719135854282E-2</v>
      </c>
      <c r="I143" s="3">
        <f t="shared" si="63"/>
        <v>3.9048719135676445E-2</v>
      </c>
      <c r="J143" s="3">
        <f t="shared" si="63"/>
        <v>3.9048719133898069E-2</v>
      </c>
      <c r="K143" s="3">
        <f t="shared" si="63"/>
        <v>3.9048719116114322E-2</v>
      </c>
      <c r="L143" s="3">
        <f t="shared" si="63"/>
        <v>3.9048718938276827E-2</v>
      </c>
      <c r="M143" s="3">
        <f t="shared" si="63"/>
        <v>3.9048717159901929E-2</v>
      </c>
      <c r="N143" s="3">
        <f t="shared" si="63"/>
        <v>3.9048699376157361E-2</v>
      </c>
      <c r="O143" s="3">
        <f t="shared" si="63"/>
        <v>3.9048521539157152E-2</v>
      </c>
      <c r="P143" s="3">
        <f t="shared" si="63"/>
        <v>3.9046743213699636E-2</v>
      </c>
      <c r="Q143" s="3">
        <f t="shared" si="63"/>
        <v>3.9028964412827445E-2</v>
      </c>
      <c r="R143" s="3">
        <f t="shared" si="63"/>
        <v>3.8851621024837718E-2</v>
      </c>
      <c r="S143" s="3">
        <f t="shared" si="63"/>
        <v>3.7121909039930928E-2</v>
      </c>
      <c r="T143" s="3">
        <f t="shared" si="63"/>
        <v>2.3541920394526586E-2</v>
      </c>
      <c r="U143" s="3">
        <f t="shared" si="63"/>
        <v>2.4771809562343632E-4</v>
      </c>
      <c r="V143" s="3">
        <f t="shared" si="63"/>
        <v>4.1220778597336739E-24</v>
      </c>
      <c r="W143" s="3">
        <f t="shared" si="63"/>
        <v>6.7096639778883296E-222</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2.2918407051060314E-2</v>
      </c>
      <c r="C144" s="3">
        <f t="shared" si="65"/>
        <v>2.2918407051060314E-2</v>
      </c>
      <c r="D144" s="3">
        <f t="shared" si="65"/>
        <v>2.2918407051060314E-2</v>
      </c>
      <c r="E144" s="3">
        <f t="shared" si="65"/>
        <v>2.2918407051060314E-2</v>
      </c>
      <c r="F144" s="3">
        <f t="shared" si="65"/>
        <v>2.2918407051060304E-2</v>
      </c>
      <c r="G144" s="3">
        <f t="shared" si="65"/>
        <v>2.291840705106021E-2</v>
      </c>
      <c r="H144" s="3">
        <f t="shared" si="65"/>
        <v>2.291840705105927E-2</v>
      </c>
      <c r="I144" s="3">
        <f t="shared" si="65"/>
        <v>2.291840705104985E-2</v>
      </c>
      <c r="J144" s="3">
        <f t="shared" si="65"/>
        <v>2.2918407050955696E-2</v>
      </c>
      <c r="K144" s="3">
        <f t="shared" si="65"/>
        <v>2.2918407050014137E-2</v>
      </c>
      <c r="L144" s="3">
        <f t="shared" si="65"/>
        <v>2.2918407040598547E-2</v>
      </c>
      <c r="M144" s="3">
        <f t="shared" si="65"/>
        <v>2.2918406946442642E-2</v>
      </c>
      <c r="N144" s="3">
        <f t="shared" si="65"/>
        <v>2.291840600488362E-2</v>
      </c>
      <c r="O144" s="3">
        <f t="shared" si="65"/>
        <v>2.2918396589295544E-2</v>
      </c>
      <c r="P144" s="3">
        <f t="shared" si="65"/>
        <v>2.2918302433627514E-2</v>
      </c>
      <c r="Q144" s="3">
        <f t="shared" si="65"/>
        <v>2.2917360898222043E-2</v>
      </c>
      <c r="R144" s="3">
        <f t="shared" si="65"/>
        <v>2.2907947671326728E-2</v>
      </c>
      <c r="S144" s="3">
        <f t="shared" si="65"/>
        <v>2.2814027795322357E-2</v>
      </c>
      <c r="T144" s="3">
        <f t="shared" si="65"/>
        <v>2.1895748994232626E-2</v>
      </c>
      <c r="U144" s="3">
        <f t="shared" si="65"/>
        <v>1.4519049994961725E-2</v>
      </c>
      <c r="V144" s="3">
        <f t="shared" si="65"/>
        <v>2.3862841109350264E-4</v>
      </c>
      <c r="W144" s="3">
        <f t="shared" si="65"/>
        <v>3.4321134685119122E-22</v>
      </c>
      <c r="X144" s="3">
        <f t="shared" si="65"/>
        <v>1.300039410251638E-200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3.3426449186587111E-2</v>
      </c>
      <c r="C145" s="3">
        <f t="shared" si="68"/>
        <v>3.3426449186587111E-2</v>
      </c>
      <c r="D145" s="3">
        <f t="shared" si="68"/>
        <v>3.3426449186587111E-2</v>
      </c>
      <c r="E145" s="3">
        <f t="shared" si="68"/>
        <v>3.3426449186587111E-2</v>
      </c>
      <c r="F145" s="3">
        <f t="shared" si="68"/>
        <v>3.3426449186587111E-2</v>
      </c>
      <c r="G145" s="3">
        <f t="shared" si="68"/>
        <v>3.3426449186587097E-2</v>
      </c>
      <c r="H145" s="3">
        <f t="shared" si="68"/>
        <v>3.3426449186586972E-2</v>
      </c>
      <c r="I145" s="3">
        <f t="shared" si="68"/>
        <v>3.3426449186585737E-2</v>
      </c>
      <c r="J145" s="3">
        <f t="shared" si="68"/>
        <v>3.3426449186573344E-2</v>
      </c>
      <c r="K145" s="3">
        <f t="shared" si="68"/>
        <v>3.3426449186449464E-2</v>
      </c>
      <c r="L145" s="3">
        <f t="shared" si="68"/>
        <v>3.342644918521067E-2</v>
      </c>
      <c r="M145" s="3">
        <f t="shared" si="68"/>
        <v>3.3426449172822705E-2</v>
      </c>
      <c r="N145" s="3">
        <f t="shared" si="68"/>
        <v>3.3426449048943055E-2</v>
      </c>
      <c r="O145" s="3">
        <f t="shared" si="68"/>
        <v>3.3426447810146594E-2</v>
      </c>
      <c r="P145" s="3">
        <f t="shared" si="68"/>
        <v>3.3426435422184486E-2</v>
      </c>
      <c r="Q145" s="3">
        <f t="shared" si="68"/>
        <v>3.342631154281591E-2</v>
      </c>
      <c r="R145" s="3">
        <f t="shared" si="68"/>
        <v>3.3425072774380407E-2</v>
      </c>
      <c r="S145" s="3">
        <f t="shared" si="68"/>
        <v>3.3412687614704603E-2</v>
      </c>
      <c r="T145" s="3">
        <f t="shared" si="68"/>
        <v>3.3289088140022141E-2</v>
      </c>
      <c r="U145" s="3">
        <f t="shared" si="68"/>
        <v>3.2077963282875911E-2</v>
      </c>
      <c r="V145" s="3">
        <f t="shared" si="68"/>
        <v>2.2143978692325952E-2</v>
      </c>
      <c r="W145" s="3">
        <f t="shared" si="68"/>
        <v>5.4418221524432468E-4</v>
      </c>
      <c r="X145" s="3">
        <f t="shared" si="68"/>
        <v>4.3715075991660202E-20</v>
      </c>
      <c r="Y145" s="3">
        <f t="shared" si="68"/>
        <v>4.8921545905608644E-181</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2.0205659716652863E-2</v>
      </c>
      <c r="C146" s="3">
        <f t="shared" si="70"/>
        <v>2.0205659716652863E-2</v>
      </c>
      <c r="D146" s="3">
        <f t="shared" si="70"/>
        <v>2.0205659716652863E-2</v>
      </c>
      <c r="E146" s="3">
        <f t="shared" si="70"/>
        <v>2.0205659716652863E-2</v>
      </c>
      <c r="F146" s="3">
        <f t="shared" si="70"/>
        <v>2.0205659716652863E-2</v>
      </c>
      <c r="G146" s="3">
        <f t="shared" si="70"/>
        <v>2.0205659716652863E-2</v>
      </c>
      <c r="H146" s="3">
        <f t="shared" si="70"/>
        <v>2.0205659716652856E-2</v>
      </c>
      <c r="I146" s="3">
        <f t="shared" si="70"/>
        <v>2.020565971665279E-2</v>
      </c>
      <c r="J146" s="3">
        <f t="shared" si="70"/>
        <v>2.020565971665211E-2</v>
      </c>
      <c r="K146" s="3">
        <f t="shared" si="70"/>
        <v>2.0205659716645358E-2</v>
      </c>
      <c r="L146" s="3">
        <f t="shared" si="70"/>
        <v>2.0205659716577808E-2</v>
      </c>
      <c r="M146" s="3">
        <f t="shared" si="70"/>
        <v>2.02056597159023E-2</v>
      </c>
      <c r="N146" s="3">
        <f t="shared" si="70"/>
        <v>2.0205659709147238E-2</v>
      </c>
      <c r="O146" s="3">
        <f t="shared" si="70"/>
        <v>2.0205659641596617E-2</v>
      </c>
      <c r="P146" s="3">
        <f t="shared" si="70"/>
        <v>2.0205658966090417E-2</v>
      </c>
      <c r="Q146" s="3">
        <f t="shared" si="70"/>
        <v>2.0205652211029677E-2</v>
      </c>
      <c r="R146" s="3">
        <f t="shared" si="70"/>
        <v>2.0205584660546453E-2</v>
      </c>
      <c r="S146" s="3">
        <f t="shared" si="70"/>
        <v>2.0204909168134815E-2</v>
      </c>
      <c r="T146" s="3">
        <f t="shared" si="70"/>
        <v>2.0198155485924265E-2</v>
      </c>
      <c r="U146" s="3">
        <f t="shared" si="70"/>
        <v>2.0130742700918091E-2</v>
      </c>
      <c r="V146" s="3">
        <f t="shared" si="70"/>
        <v>1.9468866493393865E-2</v>
      </c>
      <c r="W146" s="3">
        <f t="shared" si="70"/>
        <v>1.3936360017243424E-2</v>
      </c>
      <c r="X146" s="3">
        <f t="shared" si="70"/>
        <v>4.9230727807948944E-4</v>
      </c>
      <c r="Y146" s="3">
        <f t="shared" si="70"/>
        <v>1.4897220628188379E-18</v>
      </c>
      <c r="Z146" s="3">
        <f t="shared" si="70"/>
        <v>9.5894827965199605E-164</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6.7051690233169634E-2</v>
      </c>
      <c r="C147" s="3">
        <f t="shared" si="72"/>
        <v>6.7051690233169634E-2</v>
      </c>
      <c r="D147" s="3">
        <f t="shared" si="72"/>
        <v>6.7051690233169634E-2</v>
      </c>
      <c r="E147" s="3">
        <f t="shared" si="72"/>
        <v>6.7051690233169634E-2</v>
      </c>
      <c r="F147" s="3">
        <f t="shared" si="72"/>
        <v>6.7051690233169634E-2</v>
      </c>
      <c r="G147" s="3">
        <f t="shared" si="72"/>
        <v>6.7051690233169634E-2</v>
      </c>
      <c r="H147" s="3">
        <f t="shared" si="72"/>
        <v>6.7051690233169634E-2</v>
      </c>
      <c r="I147" s="3">
        <f t="shared" si="72"/>
        <v>6.7051690233169606E-2</v>
      </c>
      <c r="J147" s="3">
        <f t="shared" si="72"/>
        <v>6.7051690233169411E-2</v>
      </c>
      <c r="K147" s="3">
        <f t="shared" si="72"/>
        <v>6.7051690233167385E-2</v>
      </c>
      <c r="L147" s="3">
        <f t="shared" si="72"/>
        <v>6.7051690233147165E-2</v>
      </c>
      <c r="M147" s="3">
        <f t="shared" si="72"/>
        <v>6.7051690232944952E-2</v>
      </c>
      <c r="N147" s="3">
        <f t="shared" si="72"/>
        <v>6.7051690230922806E-2</v>
      </c>
      <c r="O147" s="3">
        <f t="shared" si="72"/>
        <v>6.7051690210701342E-2</v>
      </c>
      <c r="P147" s="3">
        <f t="shared" si="72"/>
        <v>6.7051690008486681E-2</v>
      </c>
      <c r="Q147" s="3">
        <f t="shared" si="72"/>
        <v>6.7051687986340133E-2</v>
      </c>
      <c r="R147" s="3">
        <f t="shared" si="72"/>
        <v>6.7051667764878045E-2</v>
      </c>
      <c r="S147" s="3">
        <f t="shared" si="72"/>
        <v>6.705146555059259E-2</v>
      </c>
      <c r="T147" s="3">
        <f t="shared" si="72"/>
        <v>6.7049443441278819E-2</v>
      </c>
      <c r="U147" s="3">
        <f t="shared" si="72"/>
        <v>6.7029225701842415E-2</v>
      </c>
      <c r="V147" s="3">
        <f t="shared" si="72"/>
        <v>6.6827383303690993E-2</v>
      </c>
      <c r="W147" s="3">
        <f t="shared" si="72"/>
        <v>6.4842088135204659E-2</v>
      </c>
      <c r="X147" s="3">
        <f t="shared" si="72"/>
        <v>4.7960350876602852E-2</v>
      </c>
      <c r="Y147" s="3">
        <f t="shared" si="72"/>
        <v>2.3503684426180683E-3</v>
      </c>
      <c r="Z147" s="3">
        <f t="shared" si="72"/>
        <v>1.8778975881406752E-16</v>
      </c>
      <c r="AA147" s="3">
        <f t="shared" ref="AA147" si="73">$C33*EXP(-AA$129/$A33/EXP(-$B$126))</f>
        <v>1.9908176011704254E-147</v>
      </c>
      <c r="AB147" s="3">
        <f t="shared" si="67"/>
        <v>0</v>
      </c>
      <c r="AC147" s="3">
        <f t="shared" si="67"/>
        <v>0</v>
      </c>
      <c r="AD147" s="3">
        <f t="shared" si="67"/>
        <v>0</v>
      </c>
      <c r="AE147" s="3">
        <f t="shared" si="67"/>
        <v>0</v>
      </c>
      <c r="AF147" s="3">
        <f t="shared" si="67"/>
        <v>0</v>
      </c>
    </row>
    <row r="148" spans="1:32" x14ac:dyDescent="0.25">
      <c r="B148" s="3">
        <f t="shared" ref="B148:Z148" si="74">$C34*EXP(-B$129/$A34/EXP(-$B$126))</f>
        <v>9.6586583164285408E-2</v>
      </c>
      <c r="C148" s="3">
        <f t="shared" si="74"/>
        <v>9.6586583164285408E-2</v>
      </c>
      <c r="D148" s="3">
        <f t="shared" si="74"/>
        <v>9.6586583164285408E-2</v>
      </c>
      <c r="E148" s="3">
        <f t="shared" si="74"/>
        <v>9.6586583164285408E-2</v>
      </c>
      <c r="F148" s="3">
        <f t="shared" si="74"/>
        <v>9.6586583164285408E-2</v>
      </c>
      <c r="G148" s="3">
        <f t="shared" si="74"/>
        <v>9.6586583164285408E-2</v>
      </c>
      <c r="H148" s="3">
        <f t="shared" si="74"/>
        <v>9.6586583164285408E-2</v>
      </c>
      <c r="I148" s="3">
        <f t="shared" si="74"/>
        <v>9.6586583164285408E-2</v>
      </c>
      <c r="J148" s="3">
        <f t="shared" si="74"/>
        <v>9.6586583164285381E-2</v>
      </c>
      <c r="K148" s="3">
        <f t="shared" si="74"/>
        <v>9.6586583164285117E-2</v>
      </c>
      <c r="L148" s="3">
        <f t="shared" si="74"/>
        <v>9.6586583164282494E-2</v>
      </c>
      <c r="M148" s="3">
        <f t="shared" si="74"/>
        <v>9.6586583164256209E-2</v>
      </c>
      <c r="N148" s="3">
        <f t="shared" si="74"/>
        <v>9.6586583163993447E-2</v>
      </c>
      <c r="O148" s="3">
        <f t="shared" si="74"/>
        <v>9.6586583161365813E-2</v>
      </c>
      <c r="P148" s="3">
        <f t="shared" si="74"/>
        <v>9.6586583135089374E-2</v>
      </c>
      <c r="Q148" s="3">
        <f t="shared" si="74"/>
        <v>9.6586582872325119E-2</v>
      </c>
      <c r="R148" s="3">
        <f t="shared" si="74"/>
        <v>9.6586580244682543E-2</v>
      </c>
      <c r="S148" s="3">
        <f t="shared" si="74"/>
        <v>9.6586553968260727E-2</v>
      </c>
      <c r="T148" s="3">
        <f t="shared" si="74"/>
        <v>9.6586291204435695E-2</v>
      </c>
      <c r="U148" s="3">
        <f t="shared" si="74"/>
        <v>9.658366360550176E-2</v>
      </c>
      <c r="V148" s="3">
        <f t="shared" si="74"/>
        <v>9.6557391547405655E-2</v>
      </c>
      <c r="W148" s="3">
        <f t="shared" si="74"/>
        <v>9.6295063695336747E-2</v>
      </c>
      <c r="X148" s="3">
        <f t="shared" si="74"/>
        <v>9.3710665608371421E-2</v>
      </c>
      <c r="Y148" s="3">
        <f t="shared" si="74"/>
        <v>7.1390266122557583E-2</v>
      </c>
      <c r="Z148" s="3">
        <f t="shared" si="74"/>
        <v>4.7004429265223805E-3</v>
      </c>
      <c r="AA148" s="3">
        <f>$C34*EXP(-AA$129/$A34/EXP(-$B$126))</f>
        <v>7.1967532523189744E-15</v>
      </c>
      <c r="AB148" s="3">
        <f t="shared" si="67"/>
        <v>5.094656436773196E-133</v>
      </c>
      <c r="AC148" s="3">
        <f t="shared" si="67"/>
        <v>0</v>
      </c>
      <c r="AD148" s="3">
        <f t="shared" si="67"/>
        <v>0</v>
      </c>
      <c r="AE148" s="3">
        <f t="shared" si="67"/>
        <v>0</v>
      </c>
      <c r="AF148" s="3">
        <f t="shared" si="67"/>
        <v>0</v>
      </c>
    </row>
    <row r="149" spans="1:32" x14ac:dyDescent="0.25">
      <c r="B149" s="3">
        <f t="shared" ref="B149:Z149" si="75">$C35*EXP(-B$129/$A35/EXP(-$B$126))</f>
        <v>8.375296763869805E-2</v>
      </c>
      <c r="C149" s="3">
        <f t="shared" si="75"/>
        <v>8.375296763869805E-2</v>
      </c>
      <c r="D149" s="3">
        <f t="shared" si="75"/>
        <v>8.375296763869805E-2</v>
      </c>
      <c r="E149" s="3">
        <f t="shared" si="75"/>
        <v>8.375296763869805E-2</v>
      </c>
      <c r="F149" s="3">
        <f t="shared" si="75"/>
        <v>8.375296763869805E-2</v>
      </c>
      <c r="G149" s="3">
        <f t="shared" si="75"/>
        <v>8.375296763869805E-2</v>
      </c>
      <c r="H149" s="3">
        <f t="shared" si="75"/>
        <v>8.375296763869805E-2</v>
      </c>
      <c r="I149" s="3">
        <f t="shared" si="75"/>
        <v>8.375296763869805E-2</v>
      </c>
      <c r="J149" s="3">
        <f t="shared" si="75"/>
        <v>8.375296763869805E-2</v>
      </c>
      <c r="K149" s="3">
        <f t="shared" si="75"/>
        <v>8.3752967638698037E-2</v>
      </c>
      <c r="L149" s="3">
        <f t="shared" si="75"/>
        <v>8.3752967638697814E-2</v>
      </c>
      <c r="M149" s="3">
        <f t="shared" si="75"/>
        <v>8.3752967638695761E-2</v>
      </c>
      <c r="N149" s="3">
        <f t="shared" si="75"/>
        <v>8.3752967638675208E-2</v>
      </c>
      <c r="O149" s="3">
        <f t="shared" si="75"/>
        <v>8.3752967638469678E-2</v>
      </c>
      <c r="P149" s="3">
        <f t="shared" si="75"/>
        <v>8.375296763641428E-2</v>
      </c>
      <c r="Q149" s="3">
        <f t="shared" si="75"/>
        <v>8.3752967615860277E-2</v>
      </c>
      <c r="R149" s="3">
        <f t="shared" si="75"/>
        <v>8.3752967410320303E-2</v>
      </c>
      <c r="S149" s="3">
        <f t="shared" si="75"/>
        <v>8.3752965354920633E-2</v>
      </c>
      <c r="T149" s="3">
        <f t="shared" si="75"/>
        <v>8.3752944800926654E-2</v>
      </c>
      <c r="U149" s="3">
        <f t="shared" si="75"/>
        <v>8.3752739261264433E-2</v>
      </c>
      <c r="V149" s="3">
        <f t="shared" si="75"/>
        <v>8.3750683892384908E-2</v>
      </c>
      <c r="W149" s="3">
        <f t="shared" si="75"/>
        <v>8.3730132977620372E-2</v>
      </c>
      <c r="X149" s="3">
        <f t="shared" si="75"/>
        <v>8.3524900981312156E-2</v>
      </c>
      <c r="Y149" s="3">
        <f t="shared" si="75"/>
        <v>8.1500046135085477E-2</v>
      </c>
      <c r="Z149" s="3">
        <f t="shared" si="75"/>
        <v>6.3764169250163816E-2</v>
      </c>
      <c r="AA149" s="3">
        <f t="shared" ref="AA149" si="76">$C35*EXP(-AA$129/$A35/EXP(-$B$126))</f>
        <v>5.4798064433042833E-3</v>
      </c>
      <c r="AB149" s="3">
        <f t="shared" si="67"/>
        <v>1.2040661491464603E-13</v>
      </c>
      <c r="AC149" s="3">
        <f t="shared" si="67"/>
        <v>3.1586508968613463E-120</v>
      </c>
      <c r="AD149" s="3">
        <f t="shared" si="67"/>
        <v>0</v>
      </c>
      <c r="AE149" s="3">
        <f t="shared" si="67"/>
        <v>0</v>
      </c>
      <c r="AF149" s="3">
        <f t="shared" si="67"/>
        <v>0</v>
      </c>
    </row>
    <row r="150" spans="1:32" x14ac:dyDescent="0.25">
      <c r="B150" s="3">
        <f t="shared" ref="B150:Z150" si="77">$C36*EXP(-B$129/$A36/EXP(-$B$126))</f>
        <v>5.92468529078687E-2</v>
      </c>
      <c r="C150" s="3">
        <f t="shared" si="77"/>
        <v>5.92468529078687E-2</v>
      </c>
      <c r="D150" s="3">
        <f t="shared" si="77"/>
        <v>5.92468529078687E-2</v>
      </c>
      <c r="E150" s="3">
        <f t="shared" si="77"/>
        <v>5.92468529078687E-2</v>
      </c>
      <c r="F150" s="3">
        <f t="shared" si="77"/>
        <v>5.92468529078687E-2</v>
      </c>
      <c r="G150" s="3">
        <f t="shared" si="77"/>
        <v>5.92468529078687E-2</v>
      </c>
      <c r="H150" s="3">
        <f t="shared" si="77"/>
        <v>5.92468529078687E-2</v>
      </c>
      <c r="I150" s="3">
        <f t="shared" si="77"/>
        <v>5.92468529078687E-2</v>
      </c>
      <c r="J150" s="3">
        <f t="shared" si="77"/>
        <v>5.92468529078687E-2</v>
      </c>
      <c r="K150" s="3">
        <f t="shared" si="77"/>
        <v>5.92468529078687E-2</v>
      </c>
      <c r="L150" s="3">
        <f t="shared" si="77"/>
        <v>5.9246852907868686E-2</v>
      </c>
      <c r="M150" s="3">
        <f t="shared" si="77"/>
        <v>5.9246852907868554E-2</v>
      </c>
      <c r="N150" s="3">
        <f t="shared" si="77"/>
        <v>5.9246852907867242E-2</v>
      </c>
      <c r="O150" s="3">
        <f t="shared" si="77"/>
        <v>5.9246852907854121E-2</v>
      </c>
      <c r="P150" s="3">
        <f t="shared" si="77"/>
        <v>5.9246852907722962E-2</v>
      </c>
      <c r="Q150" s="3">
        <f t="shared" si="77"/>
        <v>5.9246852906411344E-2</v>
      </c>
      <c r="R150" s="3">
        <f t="shared" si="77"/>
        <v>5.9246852893295142E-2</v>
      </c>
      <c r="S150" s="3">
        <f t="shared" si="77"/>
        <v>5.9246852762133165E-2</v>
      </c>
      <c r="T150" s="3">
        <f t="shared" si="77"/>
        <v>5.9246851450513387E-2</v>
      </c>
      <c r="U150" s="3">
        <f t="shared" si="77"/>
        <v>5.9246838334317209E-2</v>
      </c>
      <c r="V150" s="3">
        <f t="shared" si="77"/>
        <v>5.9246707172515088E-2</v>
      </c>
      <c r="W150" s="3">
        <f t="shared" si="77"/>
        <v>5.9245395570464106E-2</v>
      </c>
      <c r="X150" s="3">
        <f t="shared" si="77"/>
        <v>5.9232281146839857E-2</v>
      </c>
      <c r="Y150" s="3">
        <f t="shared" si="77"/>
        <v>5.9101296468430958E-2</v>
      </c>
      <c r="Z150" s="3">
        <f t="shared" si="77"/>
        <v>5.780727554196561E-2</v>
      </c>
      <c r="AA150" s="3">
        <f t="shared" ref="AA150" si="78">$C36*EXP(-AA$129/$A36/EXP(-$B$126))</f>
        <v>4.6327347882365318E-2</v>
      </c>
      <c r="AB150" s="3">
        <f t="shared" si="67"/>
        <v>5.0627538232324784E-3</v>
      </c>
      <c r="AC150" s="3">
        <f t="shared" si="67"/>
        <v>1.2299303721808841E-12</v>
      </c>
      <c r="AD150" s="3">
        <f t="shared" si="67"/>
        <v>8.80679090617324E-109</v>
      </c>
      <c r="AE150" s="3">
        <f t="shared" si="67"/>
        <v>0</v>
      </c>
      <c r="AF150" s="3">
        <f t="shared" si="67"/>
        <v>0</v>
      </c>
    </row>
    <row r="151" spans="1:32" x14ac:dyDescent="0.25">
      <c r="B151" s="3">
        <f t="shared" ref="B151:Z151" si="79">$C37*EXP(-B$129/$A37/EXP(-$B$126))</f>
        <v>5.2277759702858778E-2</v>
      </c>
      <c r="C151" s="3">
        <f t="shared" si="79"/>
        <v>5.2277759702858778E-2</v>
      </c>
      <c r="D151" s="3">
        <f t="shared" si="79"/>
        <v>5.2277759702858778E-2</v>
      </c>
      <c r="E151" s="3">
        <f t="shared" si="79"/>
        <v>5.2277759702858778E-2</v>
      </c>
      <c r="F151" s="3">
        <f t="shared" si="79"/>
        <v>5.2277759702858778E-2</v>
      </c>
      <c r="G151" s="3">
        <f t="shared" si="79"/>
        <v>5.2277759702858778E-2</v>
      </c>
      <c r="H151" s="3">
        <f t="shared" si="79"/>
        <v>5.2277759702858778E-2</v>
      </c>
      <c r="I151" s="3">
        <f t="shared" si="79"/>
        <v>5.2277759702858778E-2</v>
      </c>
      <c r="J151" s="3">
        <f t="shared" si="79"/>
        <v>5.2277759702858778E-2</v>
      </c>
      <c r="K151" s="3">
        <f t="shared" si="79"/>
        <v>5.2277759702858778E-2</v>
      </c>
      <c r="L151" s="3">
        <f t="shared" si="79"/>
        <v>5.2277759702858778E-2</v>
      </c>
      <c r="M151" s="3">
        <f t="shared" si="79"/>
        <v>5.2277759702858764E-2</v>
      </c>
      <c r="N151" s="3">
        <f t="shared" si="79"/>
        <v>5.227775970285866E-2</v>
      </c>
      <c r="O151" s="3">
        <f t="shared" si="79"/>
        <v>5.2277759702857619E-2</v>
      </c>
      <c r="P151" s="3">
        <f t="shared" si="79"/>
        <v>5.2277759702847176E-2</v>
      </c>
      <c r="Q151" s="3">
        <f t="shared" si="79"/>
        <v>5.2277759702742781E-2</v>
      </c>
      <c r="R151" s="3">
        <f t="shared" si="79"/>
        <v>5.2277759701698762E-2</v>
      </c>
      <c r="S151" s="3">
        <f t="shared" si="79"/>
        <v>5.2277759691258627E-2</v>
      </c>
      <c r="T151" s="3">
        <f t="shared" si="79"/>
        <v>5.2277759586857243E-2</v>
      </c>
      <c r="U151" s="3">
        <f t="shared" si="79"/>
        <v>5.2277758542843465E-2</v>
      </c>
      <c r="V151" s="3">
        <f t="shared" si="79"/>
        <v>5.2277748102706835E-2</v>
      </c>
      <c r="W151" s="3">
        <f t="shared" si="79"/>
        <v>5.2277643701455177E-2</v>
      </c>
      <c r="X151" s="3">
        <f t="shared" si="79"/>
        <v>5.2276599700405768E-2</v>
      </c>
      <c r="Y151" s="3">
        <f t="shared" si="79"/>
        <v>5.2266160836539621E-2</v>
      </c>
      <c r="Z151" s="3">
        <f t="shared" si="79"/>
        <v>5.2161886775996404E-2</v>
      </c>
      <c r="AA151" s="3">
        <f t="shared" ref="AA151" si="80">$C37*EXP(-AA$129/$A37/EXP(-$B$126))</f>
        <v>5.1130519769936163E-2</v>
      </c>
      <c r="AB151" s="3">
        <f t="shared" si="67"/>
        <v>4.1874473774119743E-2</v>
      </c>
      <c r="AC151" s="3">
        <f t="shared" si="67"/>
        <v>5.6838277835049855E-3</v>
      </c>
      <c r="AD151" s="3">
        <f t="shared" si="67"/>
        <v>1.2065807506938517E-11</v>
      </c>
      <c r="AE151" s="3">
        <f t="shared" si="67"/>
        <v>2.2423903265108921E-98</v>
      </c>
      <c r="AF151" s="3">
        <f t="shared" si="67"/>
        <v>0</v>
      </c>
    </row>
    <row r="152" spans="1:32" x14ac:dyDescent="0.25">
      <c r="B152" s="3">
        <f t="shared" ref="B152:Z152" si="81">$C38*EXP(-B$129/$A38/EXP(-$B$126))</f>
        <v>1.8161564482377511E-2</v>
      </c>
      <c r="C152" s="3">
        <f t="shared" si="81"/>
        <v>1.8161564482377511E-2</v>
      </c>
      <c r="D152" s="3">
        <f t="shared" si="81"/>
        <v>1.8161564482377511E-2</v>
      </c>
      <c r="E152" s="3">
        <f t="shared" si="81"/>
        <v>1.8161564482377511E-2</v>
      </c>
      <c r="F152" s="3">
        <f t="shared" si="81"/>
        <v>1.8161564482377511E-2</v>
      </c>
      <c r="G152" s="3">
        <f t="shared" si="81"/>
        <v>1.8161564482377511E-2</v>
      </c>
      <c r="H152" s="3">
        <f t="shared" si="81"/>
        <v>1.8161564482377511E-2</v>
      </c>
      <c r="I152" s="3">
        <f t="shared" si="81"/>
        <v>1.8161564482377511E-2</v>
      </c>
      <c r="J152" s="3">
        <f t="shared" si="81"/>
        <v>1.8161564482377511E-2</v>
      </c>
      <c r="K152" s="3">
        <f t="shared" si="81"/>
        <v>1.8161564482377511E-2</v>
      </c>
      <c r="L152" s="3">
        <f t="shared" si="81"/>
        <v>1.8161564482377511E-2</v>
      </c>
      <c r="M152" s="3">
        <f t="shared" si="81"/>
        <v>1.8161564482377511E-2</v>
      </c>
      <c r="N152" s="3">
        <f t="shared" si="81"/>
        <v>1.8161564482377508E-2</v>
      </c>
      <c r="O152" s="3">
        <f t="shared" si="81"/>
        <v>1.8161564482377476E-2</v>
      </c>
      <c r="P152" s="3">
        <f t="shared" si="81"/>
        <v>1.8161564482377147E-2</v>
      </c>
      <c r="Q152" s="3">
        <f t="shared" si="81"/>
        <v>1.8161564482373875E-2</v>
      </c>
      <c r="R152" s="3">
        <f t="shared" si="81"/>
        <v>1.8161564482341158E-2</v>
      </c>
      <c r="S152" s="3">
        <f t="shared" si="81"/>
        <v>1.8161564482013975E-2</v>
      </c>
      <c r="T152" s="3">
        <f t="shared" si="81"/>
        <v>1.8161564478742159E-2</v>
      </c>
      <c r="U152" s="3">
        <f t="shared" si="81"/>
        <v>1.816156444602398E-2</v>
      </c>
      <c r="V152" s="3">
        <f t="shared" si="81"/>
        <v>1.8161564118842202E-2</v>
      </c>
      <c r="W152" s="3">
        <f t="shared" si="81"/>
        <v>1.8161560847024728E-2</v>
      </c>
      <c r="X152" s="3">
        <f t="shared" si="81"/>
        <v>1.8161528128882418E-2</v>
      </c>
      <c r="Y152" s="3">
        <f t="shared" si="81"/>
        <v>1.8161200950701107E-2</v>
      </c>
      <c r="Z152" s="3">
        <f t="shared" si="81"/>
        <v>1.8157929493045094E-2</v>
      </c>
      <c r="AA152" s="3">
        <f t="shared" ref="AA152" si="82">$C38*EXP(-AA$129/$A38/EXP(-$B$126))</f>
        <v>1.8125247310595446E-2</v>
      </c>
      <c r="AB152" s="3">
        <f t="shared" si="67"/>
        <v>1.7801643408270531E-2</v>
      </c>
      <c r="AC152" s="3">
        <f t="shared" si="67"/>
        <v>1.4866942426856902E-2</v>
      </c>
      <c r="AD152" s="3">
        <f t="shared" si="67"/>
        <v>2.4537893825359834E-3</v>
      </c>
      <c r="AE152" s="3">
        <f t="shared" si="67"/>
        <v>3.6812347793748975E-11</v>
      </c>
      <c r="AF152" s="3">
        <f t="shared" si="67"/>
        <v>2.1259637337865142E-89</v>
      </c>
    </row>
    <row r="153" spans="1:32" x14ac:dyDescent="0.25">
      <c r="B153" s="3">
        <f t="shared" ref="B153:Z153" si="83">$C39*EXP(-B$129/$A39/EXP(-$B$126))</f>
        <v>4.1021445275655738E-2</v>
      </c>
      <c r="C153" s="3">
        <f t="shared" si="83"/>
        <v>4.1021445275655738E-2</v>
      </c>
      <c r="D153" s="3">
        <f t="shared" si="83"/>
        <v>4.1021445275655738E-2</v>
      </c>
      <c r="E153" s="3">
        <f t="shared" si="83"/>
        <v>4.1021445275655738E-2</v>
      </c>
      <c r="F153" s="3">
        <f t="shared" si="83"/>
        <v>4.1021445275655738E-2</v>
      </c>
      <c r="G153" s="3">
        <f t="shared" si="83"/>
        <v>4.1021445275655738E-2</v>
      </c>
      <c r="H153" s="3">
        <f t="shared" si="83"/>
        <v>4.1021445275655738E-2</v>
      </c>
      <c r="I153" s="3">
        <f t="shared" si="83"/>
        <v>4.1021445275655738E-2</v>
      </c>
      <c r="J153" s="3">
        <f t="shared" si="83"/>
        <v>4.1021445275655738E-2</v>
      </c>
      <c r="K153" s="3">
        <f t="shared" si="83"/>
        <v>4.1021445275655738E-2</v>
      </c>
      <c r="L153" s="3">
        <f t="shared" si="83"/>
        <v>4.1021445275655738E-2</v>
      </c>
      <c r="M153" s="3">
        <f t="shared" si="83"/>
        <v>4.1021445275655738E-2</v>
      </c>
      <c r="N153" s="3">
        <f t="shared" si="83"/>
        <v>4.1021445275655738E-2</v>
      </c>
      <c r="O153" s="3">
        <f t="shared" si="83"/>
        <v>4.1021445275655717E-2</v>
      </c>
      <c r="P153" s="3">
        <f t="shared" si="83"/>
        <v>4.1021445275655509E-2</v>
      </c>
      <c r="Q153" s="3">
        <f t="shared" si="83"/>
        <v>4.1021445275653462E-2</v>
      </c>
      <c r="R153" s="3">
        <f t="shared" si="83"/>
        <v>4.1021445275633027E-2</v>
      </c>
      <c r="S153" s="3">
        <f t="shared" si="83"/>
        <v>4.1021445275428635E-2</v>
      </c>
      <c r="T153" s="3">
        <f t="shared" si="83"/>
        <v>4.1021445273384742E-2</v>
      </c>
      <c r="U153" s="3">
        <f t="shared" si="83"/>
        <v>4.1021445252945737E-2</v>
      </c>
      <c r="V153" s="3">
        <f t="shared" si="83"/>
        <v>4.1021445048555719E-2</v>
      </c>
      <c r="W153" s="3">
        <f t="shared" si="83"/>
        <v>4.1021443004655621E-2</v>
      </c>
      <c r="X153" s="3">
        <f t="shared" si="83"/>
        <v>4.1021422565660264E-2</v>
      </c>
      <c r="Y153" s="3">
        <f t="shared" si="83"/>
        <v>4.1021218176266715E-2</v>
      </c>
      <c r="Z153" s="3">
        <f t="shared" si="83"/>
        <v>4.1019174338340861E-2</v>
      </c>
      <c r="AA153" s="3">
        <f t="shared" ref="AA153" si="84">$C39*EXP(-AA$129/$A39/EXP(-$B$126))</f>
        <v>4.0998741559006277E-2</v>
      </c>
      <c r="AB153" s="3">
        <f t="shared" si="67"/>
        <v>4.0794972727068661E-2</v>
      </c>
      <c r="AC153" s="3">
        <f t="shared" si="67"/>
        <v>3.8812163675235545E-2</v>
      </c>
      <c r="AD153" s="3">
        <f t="shared" si="67"/>
        <v>2.3581961432217548E-2</v>
      </c>
      <c r="AE153" s="3">
        <f t="shared" si="67"/>
        <v>1.6169650408630223E-4</v>
      </c>
      <c r="AF153" s="3">
        <f t="shared" si="67"/>
        <v>3.7145626502420163E-26</v>
      </c>
    </row>
    <row r="154" spans="1:32" x14ac:dyDescent="0.25">
      <c r="B154" s="3">
        <f t="shared" ref="B154:Z154" si="85">$C40*EXP(-B$129/$A40/EXP(-$B$126))</f>
        <v>3.4648052486914098E-2</v>
      </c>
      <c r="C154" s="3">
        <f t="shared" si="85"/>
        <v>3.4648052486914098E-2</v>
      </c>
      <c r="D154" s="3">
        <f t="shared" si="85"/>
        <v>3.4648052486914098E-2</v>
      </c>
      <c r="E154" s="3">
        <f t="shared" si="85"/>
        <v>3.4648052486914098E-2</v>
      </c>
      <c r="F154" s="3">
        <f t="shared" si="85"/>
        <v>3.4648052486914098E-2</v>
      </c>
      <c r="G154" s="3">
        <f t="shared" si="85"/>
        <v>3.4648052486914098E-2</v>
      </c>
      <c r="H154" s="3">
        <f t="shared" si="85"/>
        <v>3.4648052486914098E-2</v>
      </c>
      <c r="I154" s="3">
        <f t="shared" si="85"/>
        <v>3.4648052486914098E-2</v>
      </c>
      <c r="J154" s="3">
        <f t="shared" si="85"/>
        <v>3.4648052486914098E-2</v>
      </c>
      <c r="K154" s="3">
        <f t="shared" si="85"/>
        <v>3.4648052486914098E-2</v>
      </c>
      <c r="L154" s="3">
        <f t="shared" si="85"/>
        <v>3.4648052486914098E-2</v>
      </c>
      <c r="M154" s="3">
        <f t="shared" si="85"/>
        <v>3.4648052486914098E-2</v>
      </c>
      <c r="N154" s="3">
        <f t="shared" si="85"/>
        <v>3.4648052486914098E-2</v>
      </c>
      <c r="O154" s="3">
        <f t="shared" si="85"/>
        <v>3.4648052486914098E-2</v>
      </c>
      <c r="P154" s="3">
        <f t="shared" si="85"/>
        <v>3.4648052486914077E-2</v>
      </c>
      <c r="Q154" s="3">
        <f t="shared" si="85"/>
        <v>3.4648052486913904E-2</v>
      </c>
      <c r="R154" s="3">
        <f t="shared" si="85"/>
        <v>3.4648052486912176E-2</v>
      </c>
      <c r="S154" s="3">
        <f t="shared" si="85"/>
        <v>3.4648052486894912E-2</v>
      </c>
      <c r="T154" s="3">
        <f t="shared" si="85"/>
        <v>3.4648052486722279E-2</v>
      </c>
      <c r="U154" s="3">
        <f t="shared" si="85"/>
        <v>3.4648052484995938E-2</v>
      </c>
      <c r="V154" s="3">
        <f t="shared" si="85"/>
        <v>3.464805246773249E-2</v>
      </c>
      <c r="W154" s="3">
        <f t="shared" si="85"/>
        <v>3.4648052295098007E-2</v>
      </c>
      <c r="X154" s="3">
        <f t="shared" si="85"/>
        <v>3.4648050568753225E-2</v>
      </c>
      <c r="Y154" s="3">
        <f t="shared" si="85"/>
        <v>3.4648033305310182E-2</v>
      </c>
      <c r="Z154" s="3">
        <f t="shared" si="85"/>
        <v>3.4647860671352809E-2</v>
      </c>
      <c r="AA154" s="3">
        <f t="shared" ref="AA154:AF154" si="86">$C40*EXP(-AA$129/$A40/EXP(-$B$126))</f>
        <v>3.4646134379086556E-2</v>
      </c>
      <c r="AB154" s="3">
        <f t="shared" si="86"/>
        <v>3.4628876186302733E-2</v>
      </c>
      <c r="AC154" s="3">
        <f t="shared" si="86"/>
        <v>3.4456766375526235E-2</v>
      </c>
      <c r="AD154" s="3">
        <f t="shared" si="86"/>
        <v>3.2782021089547426E-2</v>
      </c>
      <c r="AE154" s="3">
        <f t="shared" si="86"/>
        <v>1.9918094839353428E-2</v>
      </c>
      <c r="AF154" s="3">
        <f t="shared" si="86"/>
        <v>1.3657414854316498E-4</v>
      </c>
    </row>
    <row r="155" spans="1:32" x14ac:dyDescent="0.25">
      <c r="B155" s="3">
        <f t="shared" ref="B155:Z155" si="87">$C41*EXP(-B$129/$A41/EXP(-$B$126))</f>
        <v>4.29685247400187E-2</v>
      </c>
      <c r="C155" s="3">
        <f t="shared" si="87"/>
        <v>4.29685247400187E-2</v>
      </c>
      <c r="D155" s="3">
        <f t="shared" si="87"/>
        <v>4.29685247400187E-2</v>
      </c>
      <c r="E155" s="3">
        <f t="shared" si="87"/>
        <v>4.29685247400187E-2</v>
      </c>
      <c r="F155" s="3">
        <f t="shared" si="87"/>
        <v>4.29685247400187E-2</v>
      </c>
      <c r="G155" s="3">
        <f t="shared" si="87"/>
        <v>4.29685247400187E-2</v>
      </c>
      <c r="H155" s="3">
        <f t="shared" si="87"/>
        <v>4.29685247400187E-2</v>
      </c>
      <c r="I155" s="3">
        <f t="shared" si="87"/>
        <v>4.29685247400187E-2</v>
      </c>
      <c r="J155" s="3">
        <f t="shared" si="87"/>
        <v>4.29685247400187E-2</v>
      </c>
      <c r="K155" s="3">
        <f t="shared" si="87"/>
        <v>4.29685247400187E-2</v>
      </c>
      <c r="L155" s="3">
        <f t="shared" si="87"/>
        <v>4.29685247400187E-2</v>
      </c>
      <c r="M155" s="3">
        <f t="shared" si="87"/>
        <v>4.29685247400187E-2</v>
      </c>
      <c r="N155" s="3">
        <f t="shared" si="87"/>
        <v>4.29685247400187E-2</v>
      </c>
      <c r="O155" s="3">
        <f t="shared" si="87"/>
        <v>4.29685247400187E-2</v>
      </c>
      <c r="P155" s="3">
        <f t="shared" si="87"/>
        <v>4.29685247400187E-2</v>
      </c>
      <c r="Q155" s="3">
        <f t="shared" si="87"/>
        <v>4.2968524740018679E-2</v>
      </c>
      <c r="R155" s="3">
        <f t="shared" si="87"/>
        <v>4.2968524740018464E-2</v>
      </c>
      <c r="S155" s="3">
        <f t="shared" si="87"/>
        <v>4.296852474001632E-2</v>
      </c>
      <c r="T155" s="3">
        <f t="shared" si="87"/>
        <v>4.2968524739994907E-2</v>
      </c>
      <c r="U155" s="3">
        <f t="shared" si="87"/>
        <v>4.2968524739780821E-2</v>
      </c>
      <c r="V155" s="3">
        <f t="shared" si="87"/>
        <v>4.2968524737639908E-2</v>
      </c>
      <c r="W155" s="3">
        <f t="shared" si="87"/>
        <v>4.296852471623077E-2</v>
      </c>
      <c r="X155" s="3">
        <f t="shared" si="87"/>
        <v>4.2968524502139401E-2</v>
      </c>
      <c r="Y155" s="3">
        <f t="shared" si="87"/>
        <v>4.2968522361225753E-2</v>
      </c>
      <c r="Z155" s="3">
        <f t="shared" si="87"/>
        <v>4.2968500952095187E-2</v>
      </c>
      <c r="AA155" s="3">
        <f t="shared" ref="AA155:AF155" si="88">$C41*EXP(-AA$129/$A41/EXP(-$B$126))</f>
        <v>4.2968286861376201E-2</v>
      </c>
      <c r="AB155" s="3">
        <f t="shared" si="88"/>
        <v>4.2966146012854367E-2</v>
      </c>
      <c r="AC155" s="3">
        <f t="shared" si="88"/>
        <v>4.2944743393359963E-2</v>
      </c>
      <c r="AD155" s="3">
        <f t="shared" si="88"/>
        <v>4.2731302690880567E-2</v>
      </c>
      <c r="AE155" s="3">
        <f t="shared" si="88"/>
        <v>4.0654379773467288E-2</v>
      </c>
      <c r="AF155" s="3">
        <f t="shared" si="88"/>
        <v>2.4701277256551E-2</v>
      </c>
    </row>
    <row r="156" spans="1:32" x14ac:dyDescent="0.25">
      <c r="B156" s="3">
        <f t="shared" ref="B156:Z156" si="89">$C42*EXP(-B$129/$A42/EXP(-$B$126))</f>
        <v>3.196768089181086E-2</v>
      </c>
      <c r="C156" s="3">
        <f t="shared" si="89"/>
        <v>3.196768089181086E-2</v>
      </c>
      <c r="D156" s="3">
        <f t="shared" si="89"/>
        <v>3.196768089181086E-2</v>
      </c>
      <c r="E156" s="3">
        <f t="shared" si="89"/>
        <v>3.196768089181086E-2</v>
      </c>
      <c r="F156" s="3">
        <f t="shared" si="89"/>
        <v>3.196768089181086E-2</v>
      </c>
      <c r="G156" s="3">
        <f t="shared" si="89"/>
        <v>3.196768089181086E-2</v>
      </c>
      <c r="H156" s="3">
        <f t="shared" si="89"/>
        <v>3.196768089181086E-2</v>
      </c>
      <c r="I156" s="3">
        <f t="shared" si="89"/>
        <v>3.196768089181086E-2</v>
      </c>
      <c r="J156" s="3">
        <f t="shared" si="89"/>
        <v>3.196768089181086E-2</v>
      </c>
      <c r="K156" s="3">
        <f t="shared" si="89"/>
        <v>3.196768089181086E-2</v>
      </c>
      <c r="L156" s="3">
        <f t="shared" si="89"/>
        <v>3.196768089181086E-2</v>
      </c>
      <c r="M156" s="3">
        <f t="shared" si="89"/>
        <v>3.196768089181086E-2</v>
      </c>
      <c r="N156" s="3">
        <f t="shared" si="89"/>
        <v>3.196768089181086E-2</v>
      </c>
      <c r="O156" s="3">
        <f t="shared" si="89"/>
        <v>3.196768089181086E-2</v>
      </c>
      <c r="P156" s="3">
        <f t="shared" si="89"/>
        <v>3.196768089181086E-2</v>
      </c>
      <c r="Q156" s="3">
        <f t="shared" si="89"/>
        <v>3.196768089181086E-2</v>
      </c>
      <c r="R156" s="3">
        <f t="shared" si="89"/>
        <v>3.1967680891810839E-2</v>
      </c>
      <c r="S156" s="3">
        <f t="shared" si="89"/>
        <v>3.1967680891810679E-2</v>
      </c>
      <c r="T156" s="3">
        <f t="shared" si="89"/>
        <v>3.196768089180909E-2</v>
      </c>
      <c r="U156" s="3">
        <f t="shared" si="89"/>
        <v>3.1967680891793158E-2</v>
      </c>
      <c r="V156" s="3">
        <f t="shared" si="89"/>
        <v>3.1967680891633883E-2</v>
      </c>
      <c r="W156" s="3">
        <f t="shared" si="89"/>
        <v>3.1967680890041088E-2</v>
      </c>
      <c r="X156" s="3">
        <f t="shared" si="89"/>
        <v>3.1967680874113141E-2</v>
      </c>
      <c r="Y156" s="3">
        <f t="shared" si="89"/>
        <v>3.1967680714833649E-2</v>
      </c>
      <c r="Z156" s="3">
        <f t="shared" si="89"/>
        <v>3.1967679122038815E-2</v>
      </c>
      <c r="AA156" s="3">
        <f t="shared" ref="AA156:AF156" si="90">$C42*EXP(-AA$129/$A42/EXP(-$B$126))</f>
        <v>3.1967663194094859E-2</v>
      </c>
      <c r="AB156" s="3">
        <f t="shared" si="90"/>
        <v>3.1967503915091726E-2</v>
      </c>
      <c r="AC156" s="3">
        <f t="shared" si="90"/>
        <v>3.1965911168708235E-2</v>
      </c>
      <c r="AD156" s="3">
        <f t="shared" si="90"/>
        <v>3.1949988068848849E-2</v>
      </c>
      <c r="AE156" s="3">
        <f t="shared" si="90"/>
        <v>3.1791192664364538E-2</v>
      </c>
      <c r="AF156" s="3">
        <f t="shared" si="90"/>
        <v>3.0246005589349131E-2</v>
      </c>
    </row>
    <row r="157" spans="1:32" x14ac:dyDescent="0.25">
      <c r="B157" s="3">
        <f t="shared" ref="B157:Z157" si="91">$C43*EXP(-B$129/$A43/EXP(-$B$126))</f>
        <v>2.6004568036228887E-2</v>
      </c>
      <c r="C157" s="3">
        <f t="shared" si="91"/>
        <v>2.6004568036228887E-2</v>
      </c>
      <c r="D157" s="3">
        <f t="shared" si="91"/>
        <v>2.6004568036228887E-2</v>
      </c>
      <c r="E157" s="3">
        <f t="shared" si="91"/>
        <v>2.6004568036228887E-2</v>
      </c>
      <c r="F157" s="3">
        <f t="shared" si="91"/>
        <v>2.6004568036228887E-2</v>
      </c>
      <c r="G157" s="3">
        <f t="shared" si="91"/>
        <v>2.6004568036228887E-2</v>
      </c>
      <c r="H157" s="3">
        <f t="shared" si="91"/>
        <v>2.6004568036228887E-2</v>
      </c>
      <c r="I157" s="3">
        <f t="shared" si="91"/>
        <v>2.6004568036228887E-2</v>
      </c>
      <c r="J157" s="3">
        <f t="shared" si="91"/>
        <v>2.6004568036228887E-2</v>
      </c>
      <c r="K157" s="3">
        <f t="shared" si="91"/>
        <v>2.6004568036228887E-2</v>
      </c>
      <c r="L157" s="3">
        <f t="shared" si="91"/>
        <v>2.6004568036228887E-2</v>
      </c>
      <c r="M157" s="3">
        <f t="shared" si="91"/>
        <v>2.6004568036228887E-2</v>
      </c>
      <c r="N157" s="3">
        <f t="shared" si="91"/>
        <v>2.6004568036228887E-2</v>
      </c>
      <c r="O157" s="3">
        <f t="shared" si="91"/>
        <v>2.6004568036228887E-2</v>
      </c>
      <c r="P157" s="3">
        <f t="shared" si="91"/>
        <v>2.6004568036228887E-2</v>
      </c>
      <c r="Q157" s="3">
        <f t="shared" si="91"/>
        <v>2.6004568036228887E-2</v>
      </c>
      <c r="R157" s="3">
        <f t="shared" si="91"/>
        <v>2.6004568036228887E-2</v>
      </c>
      <c r="S157" s="3">
        <f t="shared" si="91"/>
        <v>2.6004568036228873E-2</v>
      </c>
      <c r="T157" s="3">
        <f t="shared" si="91"/>
        <v>2.6004568036228741E-2</v>
      </c>
      <c r="U157" s="3">
        <f t="shared" si="91"/>
        <v>2.6004568036227447E-2</v>
      </c>
      <c r="V157" s="3">
        <f t="shared" si="91"/>
        <v>2.6004568036214488E-2</v>
      </c>
      <c r="W157" s="3">
        <f t="shared" si="91"/>
        <v>2.6004568036084922E-2</v>
      </c>
      <c r="X157" s="3">
        <f t="shared" si="91"/>
        <v>2.600456803478924E-2</v>
      </c>
      <c r="Y157" s="3">
        <f t="shared" si="91"/>
        <v>2.600456802183242E-2</v>
      </c>
      <c r="Z157" s="3">
        <f t="shared" si="91"/>
        <v>2.6004567892264241E-2</v>
      </c>
      <c r="AA157" s="3">
        <f t="shared" ref="AA157:AF157" si="92">$C43*EXP(-AA$129/$A43/EXP(-$B$126))</f>
        <v>2.6004566596582464E-2</v>
      </c>
      <c r="AB157" s="3">
        <f t="shared" si="92"/>
        <v>2.6004553639768242E-2</v>
      </c>
      <c r="AC157" s="3">
        <f t="shared" si="92"/>
        <v>2.6004424071981086E-2</v>
      </c>
      <c r="AD157" s="3">
        <f t="shared" si="92"/>
        <v>2.6003128429615472E-2</v>
      </c>
      <c r="AE157" s="3">
        <f t="shared" si="92"/>
        <v>2.5990175555897714E-2</v>
      </c>
      <c r="AF157" s="3">
        <f t="shared" si="92"/>
        <v>2.5861001158989538E-2</v>
      </c>
    </row>
    <row r="158" spans="1:32" x14ac:dyDescent="0.25">
      <c r="B158" s="3">
        <f t="shared" ref="B158:Z158" si="93">$C44*EXP(-B$129/$A44/EXP(-$B$126))</f>
        <v>1.2402397350398719E-2</v>
      </c>
      <c r="C158" s="3">
        <f t="shared" si="93"/>
        <v>1.2402397350398719E-2</v>
      </c>
      <c r="D158" s="3">
        <f t="shared" si="93"/>
        <v>1.2402397350398719E-2</v>
      </c>
      <c r="E158" s="3">
        <f t="shared" si="93"/>
        <v>1.2402397350398719E-2</v>
      </c>
      <c r="F158" s="3">
        <f t="shared" si="93"/>
        <v>1.2402397350398719E-2</v>
      </c>
      <c r="G158" s="3">
        <f t="shared" si="93"/>
        <v>1.2402397350398719E-2</v>
      </c>
      <c r="H158" s="3">
        <f t="shared" si="93"/>
        <v>1.2402397350398719E-2</v>
      </c>
      <c r="I158" s="3">
        <f t="shared" si="93"/>
        <v>1.2402397350398719E-2</v>
      </c>
      <c r="J158" s="3">
        <f t="shared" si="93"/>
        <v>1.2402397350398719E-2</v>
      </c>
      <c r="K158" s="3">
        <f t="shared" si="93"/>
        <v>1.2402397350398719E-2</v>
      </c>
      <c r="L158" s="3">
        <f t="shared" si="93"/>
        <v>1.2402397350398719E-2</v>
      </c>
      <c r="M158" s="3">
        <f t="shared" si="93"/>
        <v>1.2402397350398719E-2</v>
      </c>
      <c r="N158" s="3">
        <f t="shared" si="93"/>
        <v>1.2402397350398719E-2</v>
      </c>
      <c r="O158" s="3">
        <f t="shared" si="93"/>
        <v>1.2402397350398719E-2</v>
      </c>
      <c r="P158" s="3">
        <f t="shared" si="93"/>
        <v>1.2402397350398719E-2</v>
      </c>
      <c r="Q158" s="3">
        <f t="shared" si="93"/>
        <v>1.2402397350398719E-2</v>
      </c>
      <c r="R158" s="3">
        <f t="shared" si="93"/>
        <v>1.2402397350398719E-2</v>
      </c>
      <c r="S158" s="3">
        <f t="shared" si="93"/>
        <v>1.2402397350398719E-2</v>
      </c>
      <c r="T158" s="3">
        <f t="shared" si="93"/>
        <v>1.2402397350398713E-2</v>
      </c>
      <c r="U158" s="3">
        <f t="shared" si="93"/>
        <v>1.240239735039865E-2</v>
      </c>
      <c r="V158" s="3">
        <f t="shared" si="93"/>
        <v>1.2402397350398033E-2</v>
      </c>
      <c r="W158" s="3">
        <f t="shared" si="93"/>
        <v>1.2402397350391853E-2</v>
      </c>
      <c r="X158" s="3">
        <f t="shared" si="93"/>
        <v>1.2402397350330057E-2</v>
      </c>
      <c r="Y158" s="3">
        <f t="shared" si="93"/>
        <v>1.2402397349712107E-2</v>
      </c>
      <c r="Z158" s="3">
        <f t="shared" si="93"/>
        <v>1.2402397343532592E-2</v>
      </c>
      <c r="AA158" s="3">
        <f t="shared" ref="AA158:AF158" si="94">$C44*EXP(-AA$129/$A44/EXP(-$B$126))</f>
        <v>1.2402397281737447E-2</v>
      </c>
      <c r="AB158" s="3">
        <f t="shared" si="94"/>
        <v>1.2402396663786007E-2</v>
      </c>
      <c r="AC158" s="3">
        <f t="shared" si="94"/>
        <v>1.240239048427331E-2</v>
      </c>
      <c r="AD158" s="3">
        <f t="shared" si="94"/>
        <v>1.2402328689315675E-2</v>
      </c>
      <c r="AE158" s="3">
        <f t="shared" si="94"/>
        <v>1.2401710756673226E-2</v>
      </c>
      <c r="AF158" s="3">
        <f t="shared" si="94"/>
        <v>1.2395533123326141E-2</v>
      </c>
    </row>
    <row r="159" spans="1:32" x14ac:dyDescent="0.25">
      <c r="A159" s="11" t="s">
        <v>75</v>
      </c>
      <c r="B159" s="3">
        <f t="shared" ref="B159:Z159" si="95">$C45*EXP(-B$129/$A45/EXP(-$B$126))</f>
        <v>6.9977833887187504E-3</v>
      </c>
      <c r="C159" s="3">
        <f t="shared" si="95"/>
        <v>6.9977833887187504E-3</v>
      </c>
      <c r="D159" s="3">
        <f t="shared" si="95"/>
        <v>6.9977833887187504E-3</v>
      </c>
      <c r="E159" s="3">
        <f t="shared" si="95"/>
        <v>6.9977833887187504E-3</v>
      </c>
      <c r="F159" s="3">
        <f t="shared" si="95"/>
        <v>6.9977833887187504E-3</v>
      </c>
      <c r="G159" s="3">
        <f t="shared" si="95"/>
        <v>6.9977833887187504E-3</v>
      </c>
      <c r="H159" s="3">
        <f t="shared" si="95"/>
        <v>6.9977833887187504E-3</v>
      </c>
      <c r="I159" s="3">
        <f t="shared" si="95"/>
        <v>6.9977833887187504E-3</v>
      </c>
      <c r="J159" s="3">
        <f t="shared" si="95"/>
        <v>6.9977833887187504E-3</v>
      </c>
      <c r="K159" s="3">
        <f t="shared" si="95"/>
        <v>6.9977833887187504E-3</v>
      </c>
      <c r="L159" s="3">
        <f t="shared" si="95"/>
        <v>6.9977833887187504E-3</v>
      </c>
      <c r="M159" s="3">
        <f t="shared" si="95"/>
        <v>6.9977833887187504E-3</v>
      </c>
      <c r="N159" s="3">
        <f t="shared" si="95"/>
        <v>6.9977833887187504E-3</v>
      </c>
      <c r="O159" s="3">
        <f t="shared" si="95"/>
        <v>6.9977833887187504E-3</v>
      </c>
      <c r="P159" s="3">
        <f t="shared" si="95"/>
        <v>6.9977833887187504E-3</v>
      </c>
      <c r="Q159" s="3">
        <f t="shared" si="95"/>
        <v>6.9977833887187504E-3</v>
      </c>
      <c r="R159" s="3">
        <f t="shared" si="95"/>
        <v>6.9977833887187504E-3</v>
      </c>
      <c r="S159" s="3">
        <f t="shared" si="95"/>
        <v>6.9977833887187504E-3</v>
      </c>
      <c r="T159" s="3">
        <f t="shared" si="95"/>
        <v>6.9977833887187504E-3</v>
      </c>
      <c r="U159" s="3">
        <f t="shared" si="95"/>
        <v>6.9977833887187469E-3</v>
      </c>
      <c r="V159" s="3">
        <f t="shared" si="95"/>
        <v>6.9977833887187113E-3</v>
      </c>
      <c r="W159" s="3">
        <f t="shared" si="95"/>
        <v>6.9977833887183627E-3</v>
      </c>
      <c r="X159" s="3">
        <f t="shared" si="95"/>
        <v>6.9977833887148759E-3</v>
      </c>
      <c r="Y159" s="3">
        <f t="shared" si="95"/>
        <v>6.9977833886800097E-3</v>
      </c>
      <c r="Z159" s="3">
        <f t="shared" si="95"/>
        <v>6.9977833883313441E-3</v>
      </c>
      <c r="AA159" s="3">
        <f t="shared" ref="AA159:AF159" si="96">$C45*EXP(-AA$129/$A45/EXP(-$B$126))</f>
        <v>6.997783384844687E-3</v>
      </c>
      <c r="AB159" s="3">
        <f t="shared" si="96"/>
        <v>6.9977833499781181E-3</v>
      </c>
      <c r="AC159" s="3">
        <f t="shared" si="96"/>
        <v>6.9977830013124376E-3</v>
      </c>
      <c r="AD159" s="3">
        <f t="shared" si="96"/>
        <v>6.9977795146565847E-3</v>
      </c>
      <c r="AE159" s="3">
        <f t="shared" si="96"/>
        <v>6.9977446481936083E-3</v>
      </c>
      <c r="AF159" s="3">
        <f t="shared" si="96"/>
        <v>6.9973959931184226E-3</v>
      </c>
    </row>
    <row r="160" spans="1:32" x14ac:dyDescent="0.25">
      <c r="B160" s="3">
        <f t="shared" ref="B160:Z160" si="97">$C46*EXP(-B$129/$A46/EXP(-$B$126))</f>
        <v>3.0140050054937094E-3</v>
      </c>
      <c r="C160" s="3">
        <f t="shared" si="97"/>
        <v>3.0140050054937094E-3</v>
      </c>
      <c r="D160" s="3">
        <f t="shared" si="97"/>
        <v>3.0140050054937094E-3</v>
      </c>
      <c r="E160" s="3">
        <f t="shared" si="97"/>
        <v>3.0140050054937094E-3</v>
      </c>
      <c r="F160" s="3">
        <f t="shared" si="97"/>
        <v>3.0140050054937094E-3</v>
      </c>
      <c r="G160" s="3">
        <f t="shared" si="97"/>
        <v>3.0140050054937094E-3</v>
      </c>
      <c r="H160" s="3">
        <f t="shared" si="97"/>
        <v>3.0140050054937094E-3</v>
      </c>
      <c r="I160" s="3">
        <f t="shared" si="97"/>
        <v>3.0140050054937094E-3</v>
      </c>
      <c r="J160" s="3">
        <f t="shared" si="97"/>
        <v>3.0140050054937094E-3</v>
      </c>
      <c r="K160" s="3">
        <f t="shared" si="97"/>
        <v>3.0140050054937094E-3</v>
      </c>
      <c r="L160" s="3">
        <f t="shared" si="97"/>
        <v>3.0140050054937094E-3</v>
      </c>
      <c r="M160" s="3">
        <f t="shared" si="97"/>
        <v>3.0140050054937094E-3</v>
      </c>
      <c r="N160" s="3">
        <f t="shared" si="97"/>
        <v>3.0140050054937094E-3</v>
      </c>
      <c r="O160" s="3">
        <f t="shared" si="97"/>
        <v>3.0140050054937094E-3</v>
      </c>
      <c r="P160" s="3">
        <f t="shared" si="97"/>
        <v>3.0140050054937094E-3</v>
      </c>
      <c r="Q160" s="3">
        <f t="shared" si="97"/>
        <v>3.0140050054937094E-3</v>
      </c>
      <c r="R160" s="3">
        <f t="shared" si="97"/>
        <v>3.0140050054937094E-3</v>
      </c>
      <c r="S160" s="3">
        <f t="shared" si="97"/>
        <v>3.0140050054937094E-3</v>
      </c>
      <c r="T160" s="3">
        <f t="shared" si="97"/>
        <v>3.0140050054937094E-3</v>
      </c>
      <c r="U160" s="3">
        <f t="shared" si="97"/>
        <v>3.0140050054937094E-3</v>
      </c>
      <c r="V160" s="3">
        <f t="shared" si="97"/>
        <v>3.0140050054937076E-3</v>
      </c>
      <c r="W160" s="3">
        <f t="shared" si="97"/>
        <v>3.0140050054936925E-3</v>
      </c>
      <c r="X160" s="3">
        <f t="shared" si="97"/>
        <v>3.0140050054935424E-3</v>
      </c>
      <c r="Y160" s="3">
        <f t="shared" si="97"/>
        <v>3.0140050054920406E-3</v>
      </c>
      <c r="Z160" s="3">
        <f t="shared" si="97"/>
        <v>3.0140050054770235E-3</v>
      </c>
      <c r="AA160" s="3">
        <f t="shared" ref="AA160:AF160" si="98">$C46*EXP(-AA$129/$A46/EXP(-$B$126))</f>
        <v>3.0140050053268502E-3</v>
      </c>
      <c r="AB160" s="3">
        <f t="shared" si="98"/>
        <v>3.014005003825117E-3</v>
      </c>
      <c r="AC160" s="3">
        <f t="shared" si="98"/>
        <v>3.0140049888077885E-3</v>
      </c>
      <c r="AD160" s="3">
        <f t="shared" si="98"/>
        <v>3.0140048386345054E-3</v>
      </c>
      <c r="AE160" s="3">
        <f t="shared" si="98"/>
        <v>3.0140033369020843E-3</v>
      </c>
      <c r="AF160" s="3">
        <f t="shared" si="98"/>
        <v>3.0139883196190248E-3</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1.1678404493635967E-2</v>
      </c>
      <c r="C162" s="3">
        <f t="shared" si="101"/>
        <v>1.1678404493635967E-2</v>
      </c>
      <c r="D162" s="3">
        <f t="shared" si="101"/>
        <v>1.1678404493635967E-2</v>
      </c>
      <c r="E162" s="3">
        <f t="shared" si="101"/>
        <v>1.1678404493635967E-2</v>
      </c>
      <c r="F162" s="3">
        <f t="shared" si="101"/>
        <v>1.1678404493635967E-2</v>
      </c>
      <c r="G162" s="3">
        <f t="shared" si="101"/>
        <v>1.1678404493635967E-2</v>
      </c>
      <c r="H162" s="3">
        <f t="shared" si="101"/>
        <v>1.1678404493635967E-2</v>
      </c>
      <c r="I162" s="3">
        <f t="shared" si="101"/>
        <v>1.1678404493635967E-2</v>
      </c>
      <c r="J162" s="3">
        <f t="shared" si="101"/>
        <v>1.1678404493635967E-2</v>
      </c>
      <c r="K162" s="3">
        <f t="shared" si="101"/>
        <v>1.1678404493635967E-2</v>
      </c>
      <c r="L162" s="3">
        <f t="shared" si="101"/>
        <v>1.1678404493635967E-2</v>
      </c>
      <c r="M162" s="3">
        <f t="shared" si="101"/>
        <v>1.1678404493635967E-2</v>
      </c>
      <c r="N162" s="3">
        <f t="shared" si="101"/>
        <v>1.1678404493635967E-2</v>
      </c>
      <c r="O162" s="3">
        <f t="shared" si="101"/>
        <v>1.1678404493635967E-2</v>
      </c>
      <c r="P162" s="3">
        <f t="shared" si="101"/>
        <v>1.1678404493635967E-2</v>
      </c>
      <c r="Q162" s="3">
        <f t="shared" si="101"/>
        <v>1.1678404493635967E-2</v>
      </c>
      <c r="R162" s="3">
        <f t="shared" si="101"/>
        <v>1.1678404493635967E-2</v>
      </c>
      <c r="S162" s="3">
        <f t="shared" si="101"/>
        <v>1.1678404493635967E-2</v>
      </c>
      <c r="T162" s="3">
        <f t="shared" si="101"/>
        <v>1.1678404493635967E-2</v>
      </c>
      <c r="U162" s="3">
        <f t="shared" si="101"/>
        <v>1.1678404493635967E-2</v>
      </c>
      <c r="V162" s="3">
        <f t="shared" si="101"/>
        <v>1.1678404493635967E-2</v>
      </c>
      <c r="W162" s="3">
        <f t="shared" si="101"/>
        <v>1.1678404493635967E-2</v>
      </c>
      <c r="X162" s="3">
        <f t="shared" si="101"/>
        <v>1.167840449363596E-2</v>
      </c>
      <c r="Y162" s="3">
        <f t="shared" si="101"/>
        <v>1.1678404493635903E-2</v>
      </c>
      <c r="Z162" s="3">
        <f t="shared" si="101"/>
        <v>1.167840449363532E-2</v>
      </c>
      <c r="AA162" s="3">
        <f t="shared" ref="AA162:AF162" si="102">$C48*EXP(-AA$129/$A48/EXP(-$B$126))</f>
        <v>1.1678404493629502E-2</v>
      </c>
      <c r="AB162" s="3">
        <f t="shared" si="102"/>
        <v>1.1678404493571314E-2</v>
      </c>
      <c r="AC162" s="3">
        <f t="shared" si="102"/>
        <v>1.1678404492989436E-2</v>
      </c>
      <c r="AD162" s="3">
        <f t="shared" si="102"/>
        <v>1.1678404487170651E-2</v>
      </c>
      <c r="AE162" s="3">
        <f t="shared" si="102"/>
        <v>1.1678404428982813E-2</v>
      </c>
      <c r="AF162" s="3">
        <f t="shared" si="102"/>
        <v>1.1678403847104434E-2</v>
      </c>
    </row>
    <row r="163" spans="1:34" x14ac:dyDescent="0.25">
      <c r="A163" s="79">
        <f>AVERAGE(B163:AF163)</f>
        <v>0.17242135145376053</v>
      </c>
      <c r="B163" s="80">
        <f>IF($A$64&lt;=B129,IF($B$64&gt;=B129,ABS((B131-B130)/B130),0),0)</f>
        <v>1.5749677247259845E-2</v>
      </c>
      <c r="C163" s="80">
        <f t="shared" ref="C163:AF163" si="103">IF($A$64&lt;=C129,IF($B$64&gt;=C129,ABS((C131-C130)/C130),0),0)</f>
        <v>2.6457627757702919E-2</v>
      </c>
      <c r="D163" s="80">
        <f t="shared" si="103"/>
        <v>4.2903600286458912E-2</v>
      </c>
      <c r="E163" s="80">
        <f t="shared" si="103"/>
        <v>4.3016391901596077E-2</v>
      </c>
      <c r="F163" s="80">
        <f t="shared" si="103"/>
        <v>4.3021316417589807E-2</v>
      </c>
      <c r="G163" s="80">
        <f t="shared" si="103"/>
        <v>4.3074210062395611E-2</v>
      </c>
      <c r="H163" s="80">
        <f t="shared" si="103"/>
        <v>4.3600643866093296E-2</v>
      </c>
      <c r="I163" s="80">
        <f t="shared" si="103"/>
        <v>4.8519128682620268E-2</v>
      </c>
      <c r="J163" s="80">
        <f t="shared" si="103"/>
        <v>7.5064372263012824E-2</v>
      </c>
      <c r="K163" s="80">
        <f t="shared" si="103"/>
        <v>9.2112829774585653E-2</v>
      </c>
      <c r="L163" s="80">
        <f t="shared" si="103"/>
        <v>0.10822226424763437</v>
      </c>
      <c r="M163" s="80">
        <f t="shared" si="103"/>
        <v>0.12720841444443121</v>
      </c>
      <c r="N163" s="80">
        <f t="shared" si="103"/>
        <v>0.14764716353049295</v>
      </c>
      <c r="O163" s="80">
        <f t="shared" si="103"/>
        <v>0.16890125750023777</v>
      </c>
      <c r="P163" s="80">
        <f t="shared" si="103"/>
        <v>0.18195641534434678</v>
      </c>
      <c r="Q163" s="80">
        <f t="shared" si="103"/>
        <v>0.18682323232561798</v>
      </c>
      <c r="R163" s="80">
        <f t="shared" si="103"/>
        <v>0.1983520682260175</v>
      </c>
      <c r="S163" s="80">
        <f t="shared" si="103"/>
        <v>0.21651146686286188</v>
      </c>
      <c r="T163" s="80">
        <f t="shared" si="103"/>
        <v>0.23705344722750465</v>
      </c>
      <c r="U163" s="80">
        <f t="shared" si="103"/>
        <v>0.25332590551112044</v>
      </c>
      <c r="V163" s="80">
        <f t="shared" si="103"/>
        <v>0.24884238424368585</v>
      </c>
      <c r="W163" s="80">
        <f t="shared" si="103"/>
        <v>0.20059369805274074</v>
      </c>
      <c r="X163" s="80">
        <f t="shared" si="103"/>
        <v>0.10952224740067645</v>
      </c>
      <c r="Y163" s="80">
        <f t="shared" si="103"/>
        <v>8.4840681937227755E-2</v>
      </c>
      <c r="Z163" s="80">
        <f t="shared" si="103"/>
        <v>0.13761895270295638</v>
      </c>
      <c r="AA163" s="80">
        <f t="shared" si="103"/>
        <v>0.20829851312471856</v>
      </c>
      <c r="AB163" s="80">
        <f t="shared" si="103"/>
        <v>0.27026131213671756</v>
      </c>
      <c r="AC163" s="80">
        <f t="shared" si="103"/>
        <v>0.33679903387206983</v>
      </c>
      <c r="AD163" s="80">
        <f t="shared" si="103"/>
        <v>0.3939358982843213</v>
      </c>
      <c r="AE163" s="80">
        <f t="shared" si="103"/>
        <v>0.48135407029734928</v>
      </c>
      <c r="AF163" s="80">
        <f t="shared" si="103"/>
        <v>0.57347366953453238</v>
      </c>
    </row>
    <row r="164" spans="1:34" x14ac:dyDescent="0.25">
      <c r="B164" s="21">
        <f>(B131-B130)^2</f>
        <v>12480.08000087785</v>
      </c>
      <c r="C164" s="21">
        <f t="shared" ref="C164:AF164" si="104">(C131-C130)^2</f>
        <v>35219.614212385655</v>
      </c>
      <c r="D164" s="21">
        <f t="shared" si="104"/>
        <v>92611.670460994021</v>
      </c>
      <c r="E164" s="21">
        <f t="shared" si="104"/>
        <v>93098.997682964153</v>
      </c>
      <c r="F164" s="21">
        <f t="shared" si="104"/>
        <v>93120.240869529895</v>
      </c>
      <c r="G164" s="21">
        <f t="shared" si="104"/>
        <v>93349.336996417012</v>
      </c>
      <c r="H164" s="21">
        <f t="shared" si="104"/>
        <v>95645.020506856876</v>
      </c>
      <c r="I164" s="21">
        <f t="shared" si="104"/>
        <v>118441.12512979157</v>
      </c>
      <c r="J164" s="21">
        <f t="shared" si="104"/>
        <v>283494.23464170966</v>
      </c>
      <c r="K164" s="21">
        <f t="shared" si="104"/>
        <v>426890.59782056388</v>
      </c>
      <c r="L164" s="21">
        <f t="shared" si="104"/>
        <v>589261.1743096417</v>
      </c>
      <c r="M164" s="21">
        <f t="shared" si="104"/>
        <v>814120.70083339314</v>
      </c>
      <c r="N164" s="21">
        <f t="shared" si="104"/>
        <v>1096311.796279229</v>
      </c>
      <c r="O164" s="21">
        <f t="shared" si="104"/>
        <v>1429203.5028656917</v>
      </c>
      <c r="P164" s="21">
        <f t="shared" si="104"/>
        <v>1613123.5528230292</v>
      </c>
      <c r="Q164" s="21">
        <f t="shared" si="104"/>
        <v>1622345.6072067011</v>
      </c>
      <c r="R164" s="21">
        <f t="shared" si="104"/>
        <v>1766237.1030337075</v>
      </c>
      <c r="S164" s="21">
        <f t="shared" si="104"/>
        <v>2030532.4588366344</v>
      </c>
      <c r="T164" s="21">
        <f t="shared" si="104"/>
        <v>2337371.689801536</v>
      </c>
      <c r="U164" s="21">
        <f t="shared" si="104"/>
        <v>2538470.8957234612</v>
      </c>
      <c r="V164" s="21">
        <f t="shared" si="104"/>
        <v>2240967.9976229216</v>
      </c>
      <c r="W164" s="21">
        <f t="shared" si="104"/>
        <v>1170489.5314790022</v>
      </c>
      <c r="X164" s="21">
        <f t="shared" si="104"/>
        <v>251331.63854812217</v>
      </c>
      <c r="Y164" s="21">
        <f t="shared" si="104"/>
        <v>110303.25752709621</v>
      </c>
      <c r="Z164" s="21">
        <f t="shared" si="104"/>
        <v>224014.11182436868</v>
      </c>
      <c r="AA164" s="21">
        <f t="shared" si="104"/>
        <v>411324.86799783056</v>
      </c>
      <c r="AB164" s="21">
        <f t="shared" si="104"/>
        <v>572059.55416480394</v>
      </c>
      <c r="AC164" s="21">
        <f t="shared" si="104"/>
        <v>761212.6139726846</v>
      </c>
      <c r="AD164" s="21">
        <f t="shared" si="104"/>
        <v>915010.71117665595</v>
      </c>
      <c r="AE164" s="21">
        <f t="shared" si="104"/>
        <v>1209663.4730196311</v>
      </c>
      <c r="AF164" s="21">
        <f t="shared" si="104"/>
        <v>1537728.5124581186</v>
      </c>
    </row>
    <row r="165" spans="1:34" x14ac:dyDescent="0.25">
      <c r="A165" s="71">
        <f>SUM(B165:AF165)</f>
        <v>26585435.669826351</v>
      </c>
      <c r="B165" s="60">
        <f>IF($A$64&lt;=B129,IF($B$64&gt;=B129,ABS(B164),0),0)</f>
        <v>12480.08000087785</v>
      </c>
      <c r="C165" s="60">
        <f t="shared" ref="C165:AF165" si="105">IF($A$64&lt;=C129,IF($B$64&gt;=C129,ABS(C164),0),0)</f>
        <v>35219.614212385655</v>
      </c>
      <c r="D165" s="60">
        <f t="shared" si="105"/>
        <v>92611.670460994021</v>
      </c>
      <c r="E165" s="60">
        <f t="shared" si="105"/>
        <v>93098.997682964153</v>
      </c>
      <c r="F165" s="60">
        <f t="shared" si="105"/>
        <v>93120.240869529895</v>
      </c>
      <c r="G165" s="60">
        <f t="shared" si="105"/>
        <v>93349.336996417012</v>
      </c>
      <c r="H165" s="60">
        <f t="shared" si="105"/>
        <v>95645.020506856876</v>
      </c>
      <c r="I165" s="60">
        <f t="shared" si="105"/>
        <v>118441.12512979157</v>
      </c>
      <c r="J165" s="60">
        <f t="shared" si="105"/>
        <v>283494.23464170966</v>
      </c>
      <c r="K165" s="60">
        <f t="shared" si="105"/>
        <v>426890.59782056388</v>
      </c>
      <c r="L165" s="60">
        <f t="shared" si="105"/>
        <v>589261.1743096417</v>
      </c>
      <c r="M165" s="60">
        <f t="shared" si="105"/>
        <v>814120.70083339314</v>
      </c>
      <c r="N165" s="60">
        <f t="shared" si="105"/>
        <v>1096311.796279229</v>
      </c>
      <c r="O165" s="60">
        <f t="shared" si="105"/>
        <v>1429203.5028656917</v>
      </c>
      <c r="P165" s="60">
        <f t="shared" si="105"/>
        <v>1613123.5528230292</v>
      </c>
      <c r="Q165" s="60">
        <f t="shared" si="105"/>
        <v>1622345.6072067011</v>
      </c>
      <c r="R165" s="60">
        <f t="shared" si="105"/>
        <v>1766237.1030337075</v>
      </c>
      <c r="S165" s="60">
        <f t="shared" si="105"/>
        <v>2030532.4588366344</v>
      </c>
      <c r="T165" s="60">
        <f t="shared" si="105"/>
        <v>2337371.689801536</v>
      </c>
      <c r="U165" s="60">
        <f t="shared" si="105"/>
        <v>2538470.8957234612</v>
      </c>
      <c r="V165" s="60">
        <f t="shared" si="105"/>
        <v>2240967.9976229216</v>
      </c>
      <c r="W165" s="60">
        <f t="shared" si="105"/>
        <v>1170489.5314790022</v>
      </c>
      <c r="X165" s="60">
        <f t="shared" si="105"/>
        <v>251331.63854812217</v>
      </c>
      <c r="Y165" s="60">
        <f t="shared" si="105"/>
        <v>110303.25752709621</v>
      </c>
      <c r="Z165" s="60">
        <f t="shared" si="105"/>
        <v>224014.11182436868</v>
      </c>
      <c r="AA165" s="60">
        <f t="shared" si="105"/>
        <v>411324.86799783056</v>
      </c>
      <c r="AB165" s="60">
        <f t="shared" si="105"/>
        <v>572059.55416480394</v>
      </c>
      <c r="AC165" s="60">
        <f t="shared" si="105"/>
        <v>761212.6139726846</v>
      </c>
      <c r="AD165" s="60">
        <f t="shared" si="105"/>
        <v>915010.71117665595</v>
      </c>
      <c r="AE165" s="60">
        <f t="shared" si="105"/>
        <v>1209663.4730196311</v>
      </c>
      <c r="AF165" s="60">
        <f t="shared" si="105"/>
        <v>1537728.5124581186</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7031.9211529245395</v>
      </c>
      <c r="C169" s="26">
        <f>INDEX(Comparison!$AM$3:$AS$33,G$14,$C$122)</f>
        <v>7031.9907762783369</v>
      </c>
      <c r="D169" s="26">
        <f>INDEX(Comparison!$AM$3:$AS$33,H$14,$C$122)</f>
        <v>7031.9539299810422</v>
      </c>
      <c r="E169" s="26">
        <f>INDEX(Comparison!$AM$3:$AS$33,I$14,$C$122)</f>
        <v>7031.9433621725511</v>
      </c>
      <c r="F169" s="26">
        <f>INDEX(Comparison!$AM$3:$AS$33,J$14,$C$122)</f>
        <v>7031.9306469370567</v>
      </c>
      <c r="G169" s="26">
        <f>INDEX(Comparison!$AM$3:$AS$33,K$14,$C$122)</f>
        <v>7031.8305090006179</v>
      </c>
      <c r="H169" s="26">
        <f>INDEX(Comparison!$AM$3:$AS$33,L$14,$C$122)</f>
        <v>7030.8436925650376</v>
      </c>
      <c r="I169" s="26">
        <f>INDEX(Comparison!$AM$3:$AS$33,M$14,$C$122)</f>
        <v>7021.3347469085647</v>
      </c>
      <c r="J169" s="26">
        <f>INDEX(Comparison!$AM$3:$AS$33,N$14,$C$122)</f>
        <v>6946.0273669032786</v>
      </c>
      <c r="K169" s="26">
        <f>INDEX(Comparison!$AM$3:$AS$33,O$14,$C$122)</f>
        <v>6777.7782322116691</v>
      </c>
      <c r="L169" s="26">
        <f>INDEX(Comparison!$AM$3:$AS$33,P$14,$C$122)</f>
        <v>6659.4311503256295</v>
      </c>
      <c r="M169" s="26">
        <f>INDEX(Comparison!$AM$3:$AS$33,Q$14,$C$122)</f>
        <v>6544.645454565718</v>
      </c>
      <c r="N169" s="26">
        <f>INDEX(Comparison!$AM$3:$AS$33,R$14,$C$122)</f>
        <v>6415.8365900058752</v>
      </c>
      <c r="O169" s="26">
        <f>INDEX(Comparison!$AM$3:$AS$33,S$14,$C$122)</f>
        <v>6279.1797519689544</v>
      </c>
      <c r="P169" s="26">
        <f>INDEX(Comparison!$AM$3:$AS$33,T$14,$C$122)</f>
        <v>6124.6018825038309</v>
      </c>
      <c r="Q169" s="26">
        <f>INDEX(Comparison!$AM$3:$AS$33,U$14,$C$122)</f>
        <v>5956.8287989294422</v>
      </c>
      <c r="R169" s="26">
        <f>INDEX(Comparison!$AM$3:$AS$33,V$14,$C$122)</f>
        <v>5777.56401011038</v>
      </c>
      <c r="S169" s="26">
        <f>INDEX(Comparison!$AM$3:$AS$33,W$14,$C$122)</f>
        <v>5602.1564627366897</v>
      </c>
      <c r="T169" s="26">
        <f>INDEX(Comparison!$AM$3:$AS$33,X$14,$C$122)</f>
        <v>5348.811853446321</v>
      </c>
      <c r="U169" s="26">
        <f>INDEX(Comparison!$AM$3:$AS$33,Y$14,$C$122)</f>
        <v>4793.3449045957559</v>
      </c>
      <c r="V169" s="26">
        <f>INDEX(Comparison!$AM$3:$AS$33,Z$14,$C$122)</f>
        <v>4005.8829435497059</v>
      </c>
      <c r="W169" s="26">
        <f>INDEX(Comparison!$AM$3:$AS$33,AA$14,$C$122)</f>
        <v>3346.4776601581179</v>
      </c>
      <c r="X169" s="26">
        <f>INDEX(Comparison!$AM$3:$AS$33,AB$14,$C$122)</f>
        <v>2892.1899665732253</v>
      </c>
      <c r="Y169" s="26">
        <f>INDEX(Comparison!$AM$3:$AS$33,AC$14,$C$122)</f>
        <v>2569.6224142495339</v>
      </c>
      <c r="Z169" s="26">
        <f>INDEX(Comparison!$AM$3:$AS$33,AD$14,$C$122)</f>
        <v>2337.0503651981739</v>
      </c>
      <c r="AA169" s="26">
        <f>INDEX(Comparison!$AM$3:$AS$33,AE$14,$C$122)</f>
        <v>2151.250620328482</v>
      </c>
      <c r="AB169" s="26">
        <f>INDEX(Comparison!$AM$3:$AS$33,AF$14,$C$122)</f>
        <v>1990.2744047049448</v>
      </c>
      <c r="AC169" s="26">
        <f>INDEX(Comparison!$AM$3:$AS$33,AG$14,$C$122)</f>
        <v>1828.3308494849296</v>
      </c>
      <c r="AD169" s="26">
        <f>INDEX(Comparison!$AM$3:$AS$33,AH$14,$C$122)</f>
        <v>1665.1765081389453</v>
      </c>
      <c r="AE169" s="26">
        <f>INDEX(Comparison!$AM$3:$AS$33,AI$14,$C$122)</f>
        <v>1489.3314845424752</v>
      </c>
      <c r="AF169" s="26">
        <f>INDEX(Comparison!$AM$3:$AS$33,AJ$14,$C$122)</f>
        <v>1297.0734642842888</v>
      </c>
      <c r="AG169" s="26"/>
      <c r="AH169" s="26"/>
    </row>
    <row r="170" spans="1:34" x14ac:dyDescent="0.25">
      <c r="A170" s="70" t="s">
        <v>22</v>
      </c>
      <c r="B170" s="27">
        <f>($C$17+SUM(B171:B201))*$B$51</f>
        <v>6823.3660753367403</v>
      </c>
      <c r="C170" s="27">
        <f t="shared" ref="C170:AF170" si="106">($C$17+SUM(C171:C201))*$B$51</f>
        <v>6788.021426120963</v>
      </c>
      <c r="D170" s="27">
        <f t="shared" si="106"/>
        <v>6788.009493369862</v>
      </c>
      <c r="E170" s="27">
        <f t="shared" si="106"/>
        <v>6787.890240713723</v>
      </c>
      <c r="F170" s="27">
        <f t="shared" si="106"/>
        <v>6786.7003088839338</v>
      </c>
      <c r="G170" s="27">
        <f t="shared" si="106"/>
        <v>6775.0566272560682</v>
      </c>
      <c r="H170" s="27">
        <f t="shared" si="106"/>
        <v>6680.7429346781264</v>
      </c>
      <c r="I170" s="27">
        <f t="shared" si="106"/>
        <v>6477.6309393622441</v>
      </c>
      <c r="J170" s="27">
        <f t="shared" si="106"/>
        <v>6392.1058854229195</v>
      </c>
      <c r="K170" s="27">
        <f t="shared" si="106"/>
        <v>6254.7973167906148</v>
      </c>
      <c r="L170" s="27">
        <f t="shared" si="106"/>
        <v>6117.2124511422535</v>
      </c>
      <c r="M170" s="27">
        <f t="shared" si="106"/>
        <v>5959.1619900986543</v>
      </c>
      <c r="N170" s="27">
        <f t="shared" si="106"/>
        <v>5790.6618541046164</v>
      </c>
      <c r="O170" s="27">
        <f t="shared" si="106"/>
        <v>5615.4162274482769</v>
      </c>
      <c r="P170" s="27">
        <f t="shared" si="106"/>
        <v>5457.7675232260899</v>
      </c>
      <c r="Q170" s="27">
        <f t="shared" si="106"/>
        <v>5257.9926623180972</v>
      </c>
      <c r="R170" s="27">
        <f t="shared" si="106"/>
        <v>5032.8918965315243</v>
      </c>
      <c r="S170" s="27">
        <f t="shared" si="106"/>
        <v>4793.2947445280724</v>
      </c>
      <c r="T170" s="27">
        <f t="shared" si="106"/>
        <v>4609.8602741358709</v>
      </c>
      <c r="U170" s="27">
        <f t="shared" si="106"/>
        <v>4411.2613041913946</v>
      </c>
      <c r="V170" s="27">
        <f t="shared" si="106"/>
        <v>4217.2563266854058</v>
      </c>
      <c r="W170" s="27">
        <f t="shared" si="106"/>
        <v>3854.0900390062402</v>
      </c>
      <c r="X170" s="27">
        <f t="shared" si="106"/>
        <v>3290.8284711998031</v>
      </c>
      <c r="Y170" s="27">
        <f t="shared" si="106"/>
        <v>2711.1128553860217</v>
      </c>
      <c r="Z170" s="27">
        <f t="shared" si="106"/>
        <v>2247.7017521756993</v>
      </c>
      <c r="AA170" s="27">
        <f t="shared" si="106"/>
        <v>1886.0790060743161</v>
      </c>
      <c r="AB170" s="27">
        <f t="shared" si="106"/>
        <v>1607.9840635138128</v>
      </c>
      <c r="AC170" s="27">
        <f t="shared" si="106"/>
        <v>1309.6213363871552</v>
      </c>
      <c r="AD170" s="27">
        <f t="shared" si="106"/>
        <v>1051.4829382895125</v>
      </c>
      <c r="AE170" s="27">
        <f t="shared" si="106"/>
        <v>774.37047785590221</v>
      </c>
      <c r="AF170" s="27">
        <f t="shared" si="106"/>
        <v>545.97474217173283</v>
      </c>
      <c r="AG170" s="27"/>
      <c r="AH170" s="27"/>
    </row>
    <row r="171" spans="1:34" x14ac:dyDescent="0.25">
      <c r="B171" s="3">
        <f t="shared" ref="B171:AF171" si="107">$C18*EXP(-B$168/$A18/EXP(-$C$126))</f>
        <v>5.054547410857221E-3</v>
      </c>
      <c r="C171" s="3">
        <f t="shared" si="107"/>
        <v>6.9888316341653147E-10</v>
      </c>
      <c r="D171" s="3">
        <f t="shared" si="107"/>
        <v>1.7849564086071518E-78</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4.1218852646838201E-2</v>
      </c>
      <c r="C172" s="3">
        <f t="shared" si="108"/>
        <v>4.1218685887176636E-2</v>
      </c>
      <c r="D172" s="3">
        <f t="shared" si="108"/>
        <v>4.1217018327666978E-2</v>
      </c>
      <c r="E172" s="3">
        <f t="shared" si="108"/>
        <v>4.1200346442609767E-2</v>
      </c>
      <c r="F172" s="3">
        <f t="shared" si="108"/>
        <v>4.1033998041215956E-2</v>
      </c>
      <c r="G172" s="3">
        <f t="shared" si="108"/>
        <v>3.940701036328792E-2</v>
      </c>
      <c r="H172" s="3">
        <f t="shared" si="108"/>
        <v>2.6294809891566465E-2</v>
      </c>
      <c r="I172" s="3">
        <f t="shared" si="108"/>
        <v>4.6008228007148196E-4</v>
      </c>
      <c r="J172" s="3">
        <f t="shared" si="108"/>
        <v>1.237343333867221E-21</v>
      </c>
      <c r="K172" s="3">
        <f t="shared" si="108"/>
        <v>2.4492740629736278E-197</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8.4181033525093721E-3</v>
      </c>
      <c r="C173" s="3">
        <f t="shared" si="109"/>
        <v>8.4181002802579778E-3</v>
      </c>
      <c r="D173" s="3">
        <f t="shared" si="109"/>
        <v>8.4180695578057064E-3</v>
      </c>
      <c r="E173" s="3">
        <f t="shared" si="109"/>
        <v>8.4177623394497223E-3</v>
      </c>
      <c r="F173" s="3">
        <f t="shared" si="109"/>
        <v>8.4146907724805733E-3</v>
      </c>
      <c r="G173" s="3">
        <f t="shared" si="109"/>
        <v>8.3840366786769732E-3</v>
      </c>
      <c r="H173" s="3">
        <f t="shared" si="109"/>
        <v>8.0835709862850831E-3</v>
      </c>
      <c r="I173" s="3">
        <f t="shared" si="109"/>
        <v>5.6118250698323213E-3</v>
      </c>
      <c r="J173" s="3">
        <f t="shared" si="109"/>
        <v>1.459193240096887E-4</v>
      </c>
      <c r="K173" s="3">
        <f t="shared" si="109"/>
        <v>2.0615774303846494E-20</v>
      </c>
      <c r="L173" s="3">
        <f t="shared" si="109"/>
        <v>6.5323293134805344E-179</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2.0976502979658702E-2</v>
      </c>
      <c r="C174" s="3">
        <f t="shared" si="110"/>
        <v>2.0976502289065585E-2</v>
      </c>
      <c r="D174" s="3">
        <f t="shared" si="110"/>
        <v>2.0976495383135629E-2</v>
      </c>
      <c r="E174" s="3">
        <f t="shared" si="110"/>
        <v>2.0976426323961146E-2</v>
      </c>
      <c r="F174" s="3">
        <f t="shared" si="110"/>
        <v>2.0975735744720864E-2</v>
      </c>
      <c r="G174" s="3">
        <f t="shared" si="110"/>
        <v>2.0968831202621219E-2</v>
      </c>
      <c r="H174" s="3">
        <f t="shared" si="110"/>
        <v>2.0899910659773951E-2</v>
      </c>
      <c r="I174" s="3">
        <f t="shared" si="110"/>
        <v>2.022304225964627E-2</v>
      </c>
      <c r="J174" s="3">
        <f t="shared" si="110"/>
        <v>1.4550137144599769E-2</v>
      </c>
      <c r="K174" s="3">
        <f t="shared" si="110"/>
        <v>5.4084530177352487E-4</v>
      </c>
      <c r="L174" s="3">
        <f t="shared" si="110"/>
        <v>2.7235340366042339E-18</v>
      </c>
      <c r="M174" s="3">
        <f t="shared" si="110"/>
        <v>2.8558162737052001E-161</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1.9317071720632413E-2</v>
      </c>
      <c r="C175" s="3">
        <f t="shared" si="111"/>
        <v>1.9317071663263442E-2</v>
      </c>
      <c r="D175" s="3">
        <f t="shared" si="111"/>
        <v>1.9317071089573756E-2</v>
      </c>
      <c r="E175" s="3">
        <f t="shared" si="111"/>
        <v>1.9317065352677833E-2</v>
      </c>
      <c r="F175" s="3">
        <f t="shared" si="111"/>
        <v>1.9317007983812296E-2</v>
      </c>
      <c r="G175" s="3">
        <f t="shared" si="111"/>
        <v>1.9316434304527626E-2</v>
      </c>
      <c r="H175" s="3">
        <f t="shared" si="111"/>
        <v>1.9310698448643974E-2</v>
      </c>
      <c r="I175" s="3">
        <f t="shared" si="111"/>
        <v>1.9253433483238169E-2</v>
      </c>
      <c r="J175" s="3">
        <f t="shared" si="111"/>
        <v>1.8690041139216046E-2</v>
      </c>
      <c r="K175" s="3">
        <f t="shared" si="111"/>
        <v>1.3887719669904996E-2</v>
      </c>
      <c r="L175" s="3">
        <f t="shared" si="111"/>
        <v>7.1258681632349651E-4</v>
      </c>
      <c r="M175" s="3">
        <f t="shared" si="111"/>
        <v>9.0137643446354263E-17</v>
      </c>
      <c r="N175" s="3">
        <f t="shared" si="111"/>
        <v>9.4534507377128835E-146</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2.3266135225572873E-2</v>
      </c>
      <c r="C176" s="3">
        <f t="shared" si="112"/>
        <v>2.3266135219339738E-2</v>
      </c>
      <c r="D176" s="3">
        <f t="shared" si="112"/>
        <v>2.3266135157008379E-2</v>
      </c>
      <c r="E176" s="3">
        <f t="shared" si="112"/>
        <v>2.3266134533694798E-2</v>
      </c>
      <c r="F176" s="3">
        <f t="shared" si="112"/>
        <v>2.3266128300559907E-2</v>
      </c>
      <c r="G176" s="3">
        <f t="shared" si="112"/>
        <v>2.3266065969302866E-2</v>
      </c>
      <c r="H176" s="3">
        <f t="shared" si="112"/>
        <v>2.326544266591675E-2</v>
      </c>
      <c r="I176" s="3">
        <f t="shared" si="112"/>
        <v>2.3259210550396231E-2</v>
      </c>
      <c r="J176" s="3">
        <f t="shared" si="112"/>
        <v>2.3196981138289281E-2</v>
      </c>
      <c r="K176" s="3">
        <f t="shared" si="112"/>
        <v>2.25837710345284E-2</v>
      </c>
      <c r="L176" s="3">
        <f t="shared" si="112"/>
        <v>1.727612704671002E-2</v>
      </c>
      <c r="M176" s="3">
        <f t="shared" si="112"/>
        <v>1.1856203907487815E-3</v>
      </c>
      <c r="N176" s="3">
        <f t="shared" si="112"/>
        <v>2.7475042131462102E-15</v>
      </c>
      <c r="O176" s="3">
        <f t="shared" si="112"/>
        <v>1.2270589828022304E-131</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2.470295977232035E-2</v>
      </c>
      <c r="C177" s="3">
        <f t="shared" si="113"/>
        <v>2.4702959771723345E-2</v>
      </c>
      <c r="D177" s="3">
        <f t="shared" si="113"/>
        <v>2.4702959765753298E-2</v>
      </c>
      <c r="E177" s="3">
        <f t="shared" si="113"/>
        <v>2.4702959706052803E-2</v>
      </c>
      <c r="F177" s="3">
        <f t="shared" si="113"/>
        <v>2.4702959109047865E-2</v>
      </c>
      <c r="G177" s="3">
        <f t="shared" si="113"/>
        <v>2.4702953138999267E-2</v>
      </c>
      <c r="H177" s="3">
        <f t="shared" si="113"/>
        <v>2.4702893438592635E-2</v>
      </c>
      <c r="I177" s="3">
        <f t="shared" si="113"/>
        <v>2.4702296442461656E-2</v>
      </c>
      <c r="J177" s="3">
        <f t="shared" si="113"/>
        <v>2.4696327274614377E-2</v>
      </c>
      <c r="K177" s="3">
        <f t="shared" si="113"/>
        <v>2.4636714871487567E-2</v>
      </c>
      <c r="L177" s="3">
        <f t="shared" si="113"/>
        <v>2.4048447943370969E-2</v>
      </c>
      <c r="M177" s="3">
        <f t="shared" si="113"/>
        <v>1.888554871292621E-2</v>
      </c>
      <c r="N177" s="3">
        <f t="shared" si="113"/>
        <v>1.6848263879737874E-3</v>
      </c>
      <c r="O177" s="3">
        <f t="shared" si="113"/>
        <v>5.3803513664511139E-14</v>
      </c>
      <c r="P177" s="3">
        <f t="shared" si="113"/>
        <v>5.9342448794554302E-119</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2.7399964951953622E-2</v>
      </c>
      <c r="C178" s="3">
        <f t="shared" si="114"/>
        <v>2.7399964951893889E-2</v>
      </c>
      <c r="D178" s="3">
        <f t="shared" si="114"/>
        <v>2.7399964951296544E-2</v>
      </c>
      <c r="E178" s="3">
        <f t="shared" si="114"/>
        <v>2.739996494532309E-2</v>
      </c>
      <c r="F178" s="3">
        <f t="shared" si="114"/>
        <v>2.7399964885588546E-2</v>
      </c>
      <c r="G178" s="3">
        <f t="shared" si="114"/>
        <v>2.7399964288243133E-2</v>
      </c>
      <c r="H178" s="3">
        <f t="shared" si="114"/>
        <v>2.7399958314789735E-2</v>
      </c>
      <c r="I178" s="3">
        <f t="shared" si="114"/>
        <v>2.7399898580327389E-2</v>
      </c>
      <c r="J178" s="3">
        <f t="shared" si="114"/>
        <v>2.7399301242866329E-2</v>
      </c>
      <c r="K178" s="3">
        <f t="shared" si="114"/>
        <v>2.7393328584440071E-2</v>
      </c>
      <c r="L178" s="3">
        <f t="shared" si="114"/>
        <v>2.7333673560877431E-2</v>
      </c>
      <c r="M178" s="3">
        <f t="shared" si="114"/>
        <v>2.6744222006922159E-2</v>
      </c>
      <c r="N178" s="3">
        <f t="shared" si="114"/>
        <v>2.150550382611972E-2</v>
      </c>
      <c r="O178" s="3">
        <f t="shared" si="114"/>
        <v>2.4307827733950553E-3</v>
      </c>
      <c r="P178" s="3">
        <f t="shared" si="114"/>
        <v>8.2739222080886813E-13</v>
      </c>
      <c r="Q178" s="3">
        <f t="shared" si="114"/>
        <v>1.7272860574398357E-107</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2.1239880079389945E-2</v>
      </c>
      <c r="C179" s="3">
        <f t="shared" si="115"/>
        <v>2.1239880079385768E-2</v>
      </c>
      <c r="D179" s="3">
        <f t="shared" si="115"/>
        <v>2.1239880079343999E-2</v>
      </c>
      <c r="E179" s="3">
        <f t="shared" si="115"/>
        <v>2.1239880078926288E-2</v>
      </c>
      <c r="F179" s="3">
        <f t="shared" si="115"/>
        <v>2.1239880074749196E-2</v>
      </c>
      <c r="G179" s="3">
        <f t="shared" si="115"/>
        <v>2.1239880032978262E-2</v>
      </c>
      <c r="H179" s="3">
        <f t="shared" si="115"/>
        <v>2.1239879615268929E-2</v>
      </c>
      <c r="I179" s="3">
        <f t="shared" si="115"/>
        <v>2.1239875438176077E-2</v>
      </c>
      <c r="J179" s="3">
        <f t="shared" si="115"/>
        <v>2.123983366729271E-2</v>
      </c>
      <c r="K179" s="3">
        <f t="shared" si="115"/>
        <v>2.1239415962977161E-2</v>
      </c>
      <c r="L179" s="3">
        <f t="shared" si="115"/>
        <v>2.1235239371598415E-2</v>
      </c>
      <c r="M179" s="3">
        <f t="shared" si="115"/>
        <v>2.1193518602629954E-2</v>
      </c>
      <c r="N179" s="3">
        <f t="shared" si="115"/>
        <v>2.0780792717209097E-2</v>
      </c>
      <c r="O179" s="3">
        <f t="shared" si="115"/>
        <v>1.7070748366519169E-2</v>
      </c>
      <c r="P179" s="3">
        <f t="shared" si="115"/>
        <v>2.3886749917020442E-3</v>
      </c>
      <c r="Q179" s="3">
        <f t="shared" si="115"/>
        <v>6.8738821767271861E-12</v>
      </c>
      <c r="R179" s="3">
        <f t="shared" si="115"/>
        <v>2.6770241803938019E-97</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3.0368902624314669E-2</v>
      </c>
      <c r="C180" s="3">
        <f t="shared" si="116"/>
        <v>3.0368902624314128E-2</v>
      </c>
      <c r="D180" s="3">
        <f t="shared" si="116"/>
        <v>3.0368902624308743E-2</v>
      </c>
      <c r="E180" s="3">
        <f t="shared" si="116"/>
        <v>3.0368902624254866E-2</v>
      </c>
      <c r="F180" s="3">
        <f t="shared" si="116"/>
        <v>3.0368902623716103E-2</v>
      </c>
      <c r="G180" s="3">
        <f t="shared" si="116"/>
        <v>3.0368902618328471E-2</v>
      </c>
      <c r="H180" s="3">
        <f t="shared" si="116"/>
        <v>3.0368902564452165E-2</v>
      </c>
      <c r="I180" s="3">
        <f t="shared" si="116"/>
        <v>3.0368902025689114E-2</v>
      </c>
      <c r="J180" s="3">
        <f t="shared" si="116"/>
        <v>3.0368896638059088E-2</v>
      </c>
      <c r="K180" s="3">
        <f t="shared" si="116"/>
        <v>3.0368842761811454E-2</v>
      </c>
      <c r="L180" s="3">
        <f t="shared" si="116"/>
        <v>3.0368304004591933E-2</v>
      </c>
      <c r="M180" s="3">
        <f t="shared" si="116"/>
        <v>3.0362916958047777E-2</v>
      </c>
      <c r="N180" s="3">
        <f t="shared" si="116"/>
        <v>3.0309099023224022E-2</v>
      </c>
      <c r="O180" s="3">
        <f t="shared" si="116"/>
        <v>2.9776138418536571E-2</v>
      </c>
      <c r="P180" s="3">
        <f t="shared" si="116"/>
        <v>2.4935716710621222E-2</v>
      </c>
      <c r="Q180" s="3">
        <f t="shared" si="116"/>
        <v>4.2301587151215196E-3</v>
      </c>
      <c r="R180" s="3">
        <f t="shared" si="116"/>
        <v>8.350351024048364E-11</v>
      </c>
      <c r="S180" s="3">
        <f t="shared" si="116"/>
        <v>7.502144620620539E-88</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3.3612398706551569E-2</v>
      </c>
      <c r="C181" s="3">
        <f t="shared" si="117"/>
        <v>3.3612398706551513E-2</v>
      </c>
      <c r="D181" s="3">
        <f t="shared" si="117"/>
        <v>3.3612398706550979E-2</v>
      </c>
      <c r="E181" s="3">
        <f t="shared" si="117"/>
        <v>3.3612398706545595E-2</v>
      </c>
      <c r="F181" s="3">
        <f t="shared" si="117"/>
        <v>3.3612398706491811E-2</v>
      </c>
      <c r="G181" s="3">
        <f t="shared" si="117"/>
        <v>3.3612398705953894E-2</v>
      </c>
      <c r="H181" s="3">
        <f t="shared" si="117"/>
        <v>3.3612398700574725E-2</v>
      </c>
      <c r="I181" s="3">
        <f t="shared" si="117"/>
        <v>3.361239864678308E-2</v>
      </c>
      <c r="J181" s="3">
        <f t="shared" si="117"/>
        <v>3.361239810886666E-2</v>
      </c>
      <c r="K181" s="3">
        <f t="shared" si="117"/>
        <v>3.3612392729702886E-2</v>
      </c>
      <c r="L181" s="3">
        <f t="shared" si="117"/>
        <v>3.3612338938112468E-2</v>
      </c>
      <c r="M181" s="3">
        <f t="shared" si="117"/>
        <v>3.3611801026943028E-2</v>
      </c>
      <c r="N181" s="3">
        <f t="shared" si="117"/>
        <v>3.3606422388687836E-2</v>
      </c>
      <c r="O181" s="3">
        <f t="shared" si="117"/>
        <v>3.3552683322035828E-2</v>
      </c>
      <c r="P181" s="3">
        <f t="shared" si="117"/>
        <v>3.3019996347878583E-2</v>
      </c>
      <c r="Q181" s="3">
        <f t="shared" si="117"/>
        <v>2.8136796583206451E-2</v>
      </c>
      <c r="R181" s="3">
        <f t="shared" si="117"/>
        <v>5.6787264686763627E-3</v>
      </c>
      <c r="S181" s="3">
        <f t="shared" si="117"/>
        <v>6.3681596701066089E-10</v>
      </c>
      <c r="T181" s="3">
        <f t="shared" si="117"/>
        <v>2.0028290503648144E-79</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3.9048719135874044E-2</v>
      </c>
      <c r="C182" s="3">
        <f t="shared" si="118"/>
        <v>3.9048719135874037E-2</v>
      </c>
      <c r="D182" s="3">
        <f t="shared" si="118"/>
        <v>3.9048719135873981E-2</v>
      </c>
      <c r="E182" s="3">
        <f t="shared" si="118"/>
        <v>3.9048719135873419E-2</v>
      </c>
      <c r="F182" s="3">
        <f t="shared" si="118"/>
        <v>3.9048719135867778E-2</v>
      </c>
      <c r="G182" s="3">
        <f t="shared" si="118"/>
        <v>3.9048719135811406E-2</v>
      </c>
      <c r="H182" s="3">
        <f t="shared" si="118"/>
        <v>3.9048719135247684E-2</v>
      </c>
      <c r="I182" s="3">
        <f t="shared" si="118"/>
        <v>3.9048719129610408E-2</v>
      </c>
      <c r="J182" s="3">
        <f t="shared" si="118"/>
        <v>3.9048719073237731E-2</v>
      </c>
      <c r="K182" s="3">
        <f t="shared" si="118"/>
        <v>3.904871850951093E-2</v>
      </c>
      <c r="L182" s="3">
        <f t="shared" si="118"/>
        <v>3.9048712872243367E-2</v>
      </c>
      <c r="M182" s="3">
        <f t="shared" si="118"/>
        <v>3.9048656499612457E-2</v>
      </c>
      <c r="N182" s="3">
        <f t="shared" si="118"/>
        <v>3.9048092777779361E-2</v>
      </c>
      <c r="O182" s="3">
        <f t="shared" si="118"/>
        <v>3.9042456007025148E-2</v>
      </c>
      <c r="P182" s="3">
        <f t="shared" si="118"/>
        <v>3.8986133033257597E-2</v>
      </c>
      <c r="Q182" s="3">
        <f t="shared" si="118"/>
        <v>3.8427352870459612E-2</v>
      </c>
      <c r="R182" s="3">
        <f t="shared" si="118"/>
        <v>3.3261631562657566E-2</v>
      </c>
      <c r="S182" s="3">
        <f t="shared" si="118"/>
        <v>7.8518925935070517E-3</v>
      </c>
      <c r="T182" s="3">
        <f t="shared" si="118"/>
        <v>4.2197076833244717E-9</v>
      </c>
      <c r="U182" s="3">
        <f t="shared" si="118"/>
        <v>8.4793493877699511E-72</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2.2918407051060314E-2</v>
      </c>
      <c r="C183" s="3">
        <f t="shared" si="119"/>
        <v>2.2918407051060314E-2</v>
      </c>
      <c r="D183" s="3">
        <f t="shared" si="119"/>
        <v>2.2918407051060311E-2</v>
      </c>
      <c r="E183" s="3">
        <f t="shared" si="119"/>
        <v>2.2918407051060279E-2</v>
      </c>
      <c r="F183" s="3">
        <f t="shared" si="119"/>
        <v>2.2918407051059984E-2</v>
      </c>
      <c r="G183" s="3">
        <f t="shared" si="119"/>
        <v>2.2918407051056997E-2</v>
      </c>
      <c r="H183" s="3">
        <f t="shared" si="119"/>
        <v>2.2918407051027153E-2</v>
      </c>
      <c r="I183" s="3">
        <f t="shared" si="119"/>
        <v>2.2918407050728687E-2</v>
      </c>
      <c r="J183" s="3">
        <f t="shared" si="119"/>
        <v>2.291840704774404E-2</v>
      </c>
      <c r="K183" s="3">
        <f t="shared" si="119"/>
        <v>2.2918407017897574E-2</v>
      </c>
      <c r="L183" s="3">
        <f t="shared" si="119"/>
        <v>2.2918406719432918E-2</v>
      </c>
      <c r="M183" s="3">
        <f t="shared" si="119"/>
        <v>2.2918403734786565E-2</v>
      </c>
      <c r="N183" s="3">
        <f t="shared" si="119"/>
        <v>2.2918373888344442E-2</v>
      </c>
      <c r="O183" s="3">
        <f t="shared" si="119"/>
        <v>2.2918075426060988E-2</v>
      </c>
      <c r="P183" s="3">
        <f t="shared" si="119"/>
        <v>2.2915091016993506E-2</v>
      </c>
      <c r="Q183" s="3">
        <f t="shared" si="119"/>
        <v>2.2885268292730538E-2</v>
      </c>
      <c r="R183" s="3">
        <f t="shared" si="119"/>
        <v>2.2589167431684844E-2</v>
      </c>
      <c r="S183" s="3">
        <f t="shared" si="119"/>
        <v>1.9830898279024626E-2</v>
      </c>
      <c r="T183" s="3">
        <f t="shared" si="119"/>
        <v>5.3921754046286898E-3</v>
      </c>
      <c r="U183" s="3">
        <f t="shared" si="119"/>
        <v>1.1911878466542488E-8</v>
      </c>
      <c r="V183" s="3">
        <f t="shared" si="119"/>
        <v>3.2971801785598931E-65</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3.3426449186587111E-2</v>
      </c>
      <c r="C184" s="3">
        <f t="shared" si="120"/>
        <v>3.3426449186587111E-2</v>
      </c>
      <c r="D184" s="3">
        <f t="shared" si="120"/>
        <v>3.3426449186587111E-2</v>
      </c>
      <c r="E184" s="3">
        <f t="shared" si="120"/>
        <v>3.3426449186587104E-2</v>
      </c>
      <c r="F184" s="3">
        <f t="shared" si="120"/>
        <v>3.3426449186587069E-2</v>
      </c>
      <c r="G184" s="3">
        <f t="shared" si="120"/>
        <v>3.3426449186586674E-2</v>
      </c>
      <c r="H184" s="3">
        <f t="shared" si="120"/>
        <v>3.3426449186582746E-2</v>
      </c>
      <c r="I184" s="3">
        <f t="shared" si="120"/>
        <v>3.3426449186543479E-2</v>
      </c>
      <c r="J184" s="3">
        <f t="shared" si="120"/>
        <v>3.3426449186150793E-2</v>
      </c>
      <c r="K184" s="3">
        <f t="shared" si="120"/>
        <v>3.3426449182223934E-2</v>
      </c>
      <c r="L184" s="3">
        <f t="shared" si="120"/>
        <v>3.3426449142955339E-2</v>
      </c>
      <c r="M184" s="3">
        <f t="shared" si="120"/>
        <v>3.3426448750269434E-2</v>
      </c>
      <c r="N184" s="3">
        <f t="shared" si="120"/>
        <v>3.3426444823410596E-2</v>
      </c>
      <c r="O184" s="3">
        <f t="shared" si="120"/>
        <v>3.3426405554847577E-2</v>
      </c>
      <c r="P184" s="3">
        <f t="shared" si="120"/>
        <v>3.3426012871754618E-2</v>
      </c>
      <c r="Q184" s="3">
        <f t="shared" si="120"/>
        <v>3.3422086294537717E-2</v>
      </c>
      <c r="R184" s="3">
        <f t="shared" si="120"/>
        <v>3.3382845882608515E-2</v>
      </c>
      <c r="S184" s="3">
        <f t="shared" si="120"/>
        <v>3.2992966798591941E-2</v>
      </c>
      <c r="T184" s="3">
        <f t="shared" si="120"/>
        <v>2.9336040420680644E-2</v>
      </c>
      <c r="U184" s="3">
        <f t="shared" si="120"/>
        <v>9.0615553768002583E-3</v>
      </c>
      <c r="V184" s="3">
        <f t="shared" si="120"/>
        <v>7.1649849720550776E-8</v>
      </c>
      <c r="W184" s="3">
        <f t="shared" si="120"/>
        <v>6.8444827576672296E-59</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2.0205659716652863E-2</v>
      </c>
      <c r="C185" s="3">
        <f t="shared" si="121"/>
        <v>2.0205659716652863E-2</v>
      </c>
      <c r="D185" s="3">
        <f t="shared" si="121"/>
        <v>2.0205659716652863E-2</v>
      </c>
      <c r="E185" s="3">
        <f t="shared" si="121"/>
        <v>2.0205659716652863E-2</v>
      </c>
      <c r="F185" s="3">
        <f t="shared" si="121"/>
        <v>2.0205659716652859E-2</v>
      </c>
      <c r="G185" s="3">
        <f t="shared" si="121"/>
        <v>2.0205659716652839E-2</v>
      </c>
      <c r="H185" s="3">
        <f t="shared" si="121"/>
        <v>2.0205659716652623E-2</v>
      </c>
      <c r="I185" s="3">
        <f t="shared" si="121"/>
        <v>2.0205659716650483E-2</v>
      </c>
      <c r="J185" s="3">
        <f t="shared" si="121"/>
        <v>2.0205659716629069E-2</v>
      </c>
      <c r="K185" s="3">
        <f t="shared" si="121"/>
        <v>2.0205659716414942E-2</v>
      </c>
      <c r="L185" s="3">
        <f t="shared" si="121"/>
        <v>2.0205659714273658E-2</v>
      </c>
      <c r="M185" s="3">
        <f t="shared" si="121"/>
        <v>2.0205659692860794E-2</v>
      </c>
      <c r="N185" s="3">
        <f t="shared" si="121"/>
        <v>2.0205659478732183E-2</v>
      </c>
      <c r="O185" s="3">
        <f t="shared" si="121"/>
        <v>2.0205657337446205E-2</v>
      </c>
      <c r="P185" s="3">
        <f t="shared" si="121"/>
        <v>2.0205635924598883E-2</v>
      </c>
      <c r="Q185" s="3">
        <f t="shared" si="121"/>
        <v>2.0205421797373727E-2</v>
      </c>
      <c r="R185" s="3">
        <f t="shared" si="121"/>
        <v>2.0203280649923789E-2</v>
      </c>
      <c r="S185" s="3">
        <f t="shared" si="121"/>
        <v>2.0181881650691784E-2</v>
      </c>
      <c r="T185" s="3">
        <f t="shared" si="121"/>
        <v>1.9969134307319322E-2</v>
      </c>
      <c r="U185" s="3">
        <f t="shared" si="121"/>
        <v>1.7961188327162959E-2</v>
      </c>
      <c r="V185" s="3">
        <f t="shared" si="121"/>
        <v>6.2243406467901762E-3</v>
      </c>
      <c r="W185" s="3">
        <f t="shared" si="121"/>
        <v>1.5548060249301452E-7</v>
      </c>
      <c r="X185" s="3">
        <f t="shared" si="121"/>
        <v>1.4706347906297666E-53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6.7051690233169634E-2</v>
      </c>
      <c r="C186" s="3">
        <f t="shared" si="122"/>
        <v>6.7051690233169634E-2</v>
      </c>
      <c r="D186" s="3">
        <f t="shared" si="122"/>
        <v>6.7051690233169634E-2</v>
      </c>
      <c r="E186" s="3">
        <f t="shared" si="122"/>
        <v>6.7051690233169634E-2</v>
      </c>
      <c r="F186" s="3">
        <f t="shared" si="122"/>
        <v>6.7051690233169634E-2</v>
      </c>
      <c r="G186" s="3">
        <f t="shared" si="122"/>
        <v>6.705169023316962E-2</v>
      </c>
      <c r="H186" s="3">
        <f t="shared" si="122"/>
        <v>6.7051690233169564E-2</v>
      </c>
      <c r="I186" s="3">
        <f t="shared" si="122"/>
        <v>6.7051690233168926E-2</v>
      </c>
      <c r="J186" s="3">
        <f t="shared" si="122"/>
        <v>6.7051690233162514E-2</v>
      </c>
      <c r="K186" s="3">
        <f t="shared" si="122"/>
        <v>6.7051690233098413E-2</v>
      </c>
      <c r="L186" s="3">
        <f t="shared" si="122"/>
        <v>6.7051690232457412E-2</v>
      </c>
      <c r="M186" s="3">
        <f t="shared" si="122"/>
        <v>6.7051690226047414E-2</v>
      </c>
      <c r="N186" s="3">
        <f t="shared" si="122"/>
        <v>6.7051690161947411E-2</v>
      </c>
      <c r="O186" s="3">
        <f t="shared" si="122"/>
        <v>6.7051689520947491E-2</v>
      </c>
      <c r="P186" s="3">
        <f t="shared" si="122"/>
        <v>6.7051683110948473E-2</v>
      </c>
      <c r="Q186" s="3">
        <f t="shared" si="122"/>
        <v>6.7051619010992075E-2</v>
      </c>
      <c r="R186" s="3">
        <f t="shared" si="122"/>
        <v>6.7050978014798424E-2</v>
      </c>
      <c r="S186" s="3">
        <f t="shared" si="122"/>
        <v>6.704456838987885E-2</v>
      </c>
      <c r="T186" s="3">
        <f t="shared" si="122"/>
        <v>6.6980505830470063E-2</v>
      </c>
      <c r="U186" s="3">
        <f t="shared" si="122"/>
        <v>6.6343237328995067E-2</v>
      </c>
      <c r="V186" s="3">
        <f t="shared" si="122"/>
        <v>6.0294684694437474E-2</v>
      </c>
      <c r="W186" s="3">
        <f t="shared" si="122"/>
        <v>2.3179427972554068E-2</v>
      </c>
      <c r="X186" s="3">
        <f t="shared" si="122"/>
        <v>1.6343293180012911E-6</v>
      </c>
      <c r="Y186" s="3">
        <f t="shared" si="122"/>
        <v>4.9625871354583232E-48</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9.6586583164285408E-2</v>
      </c>
      <c r="C187" s="3">
        <f t="shared" si="123"/>
        <v>9.6586583164285408E-2</v>
      </c>
      <c r="D187" s="3">
        <f t="shared" si="123"/>
        <v>9.6586583164285408E-2</v>
      </c>
      <c r="E187" s="3">
        <f t="shared" si="123"/>
        <v>9.6586583164285408E-2</v>
      </c>
      <c r="F187" s="3">
        <f t="shared" si="123"/>
        <v>9.6586583164285408E-2</v>
      </c>
      <c r="G187" s="3">
        <f t="shared" si="123"/>
        <v>9.6586583164285408E-2</v>
      </c>
      <c r="H187" s="3">
        <f t="shared" si="123"/>
        <v>9.6586583164285394E-2</v>
      </c>
      <c r="I187" s="3">
        <f t="shared" si="123"/>
        <v>9.6586583164285311E-2</v>
      </c>
      <c r="J187" s="3">
        <f t="shared" si="123"/>
        <v>9.6586583164284492E-2</v>
      </c>
      <c r="K187" s="3">
        <f t="shared" si="123"/>
        <v>9.6586583164276152E-2</v>
      </c>
      <c r="L187" s="3">
        <f t="shared" si="123"/>
        <v>9.6586583164192857E-2</v>
      </c>
      <c r="M187" s="3">
        <f t="shared" si="123"/>
        <v>9.6586583163359926E-2</v>
      </c>
      <c r="N187" s="3">
        <f t="shared" si="123"/>
        <v>9.6586583155030561E-2</v>
      </c>
      <c r="O187" s="3">
        <f t="shared" si="123"/>
        <v>9.6586583071736967E-2</v>
      </c>
      <c r="P187" s="3">
        <f t="shared" si="123"/>
        <v>9.6586582238800928E-2</v>
      </c>
      <c r="Q187" s="3">
        <f t="shared" si="123"/>
        <v>9.6586573909441018E-2</v>
      </c>
      <c r="R187" s="3">
        <f t="shared" si="123"/>
        <v>9.6586490615881357E-2</v>
      </c>
      <c r="S187" s="3">
        <f t="shared" si="123"/>
        <v>9.6585657684235326E-2</v>
      </c>
      <c r="T187" s="3">
        <f t="shared" si="123"/>
        <v>9.6577328762826695E-2</v>
      </c>
      <c r="U187" s="3">
        <f t="shared" si="123"/>
        <v>9.6494079041295117E-2</v>
      </c>
      <c r="V187" s="3">
        <f t="shared" si="123"/>
        <v>9.5665518509273226E-2</v>
      </c>
      <c r="W187" s="3">
        <f t="shared" si="123"/>
        <v>8.7761304946051541E-2</v>
      </c>
      <c r="X187" s="3">
        <f t="shared" si="123"/>
        <v>3.7049256535370681E-2</v>
      </c>
      <c r="Y187" s="3">
        <f t="shared" si="123"/>
        <v>6.661066192956948E-6</v>
      </c>
      <c r="Z187" s="3">
        <f t="shared" si="123"/>
        <v>2.3506407939428892E-43</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8.375296763869805E-2</v>
      </c>
      <c r="C188" s="3">
        <f t="shared" si="124"/>
        <v>8.375296763869805E-2</v>
      </c>
      <c r="D188" s="3">
        <f t="shared" si="124"/>
        <v>8.375296763869805E-2</v>
      </c>
      <c r="E188" s="3">
        <f t="shared" si="124"/>
        <v>8.375296763869805E-2</v>
      </c>
      <c r="F188" s="3">
        <f t="shared" si="124"/>
        <v>8.375296763869805E-2</v>
      </c>
      <c r="G188" s="3">
        <f t="shared" si="124"/>
        <v>8.375296763869805E-2</v>
      </c>
      <c r="H188" s="3">
        <f t="shared" si="124"/>
        <v>8.375296763869805E-2</v>
      </c>
      <c r="I188" s="3">
        <f t="shared" si="124"/>
        <v>8.3752967638698037E-2</v>
      </c>
      <c r="J188" s="3">
        <f t="shared" si="124"/>
        <v>8.3752967638697981E-2</v>
      </c>
      <c r="K188" s="3">
        <f t="shared" si="124"/>
        <v>8.3752967638697329E-2</v>
      </c>
      <c r="L188" s="3">
        <f t="shared" si="124"/>
        <v>8.3752967638690806E-2</v>
      </c>
      <c r="M188" s="3">
        <f t="shared" si="124"/>
        <v>8.375296763862565E-2</v>
      </c>
      <c r="N188" s="3">
        <f t="shared" si="124"/>
        <v>8.3752967637974116E-2</v>
      </c>
      <c r="O188" s="3">
        <f t="shared" si="124"/>
        <v>8.3752967631458702E-2</v>
      </c>
      <c r="P188" s="3">
        <f t="shared" si="124"/>
        <v>8.3752967566304626E-2</v>
      </c>
      <c r="Q188" s="3">
        <f t="shared" si="124"/>
        <v>8.3752966914763777E-2</v>
      </c>
      <c r="R188" s="3">
        <f t="shared" si="124"/>
        <v>8.3752960399355689E-2</v>
      </c>
      <c r="S188" s="3">
        <f t="shared" si="124"/>
        <v>8.375289524530255E-2</v>
      </c>
      <c r="T188" s="3">
        <f t="shared" si="124"/>
        <v>8.3752243707558946E-2</v>
      </c>
      <c r="U188" s="3">
        <f t="shared" si="124"/>
        <v>8.3745728608883852E-2</v>
      </c>
      <c r="V188" s="3">
        <f t="shared" si="124"/>
        <v>8.3680605490202453E-2</v>
      </c>
      <c r="W188" s="3">
        <f t="shared" si="124"/>
        <v>8.3032153105617984E-2</v>
      </c>
      <c r="X188" s="3">
        <f t="shared" si="124"/>
        <v>7.6817674841453826E-2</v>
      </c>
      <c r="Y188" s="3">
        <f t="shared" si="124"/>
        <v>3.52865936062021E-2</v>
      </c>
      <c r="Z188" s="3">
        <f t="shared" si="124"/>
        <v>1.4760311313025354E-5</v>
      </c>
      <c r="AA188" s="3">
        <f t="shared" si="124"/>
        <v>2.4207689146376133E-39</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5.92468529078687E-2</v>
      </c>
      <c r="C189" s="3">
        <f t="shared" si="125"/>
        <v>5.92468529078687E-2</v>
      </c>
      <c r="D189" s="3">
        <f t="shared" si="125"/>
        <v>5.92468529078687E-2</v>
      </c>
      <c r="E189" s="3">
        <f t="shared" si="125"/>
        <v>5.92468529078687E-2</v>
      </c>
      <c r="F189" s="3">
        <f t="shared" si="125"/>
        <v>5.92468529078687E-2</v>
      </c>
      <c r="G189" s="3">
        <f t="shared" si="125"/>
        <v>5.92468529078687E-2</v>
      </c>
      <c r="H189" s="3">
        <f t="shared" si="125"/>
        <v>5.92468529078687E-2</v>
      </c>
      <c r="I189" s="3">
        <f t="shared" si="125"/>
        <v>5.92468529078687E-2</v>
      </c>
      <c r="J189" s="3">
        <f t="shared" si="125"/>
        <v>5.9246852907868693E-2</v>
      </c>
      <c r="K189" s="3">
        <f t="shared" si="125"/>
        <v>5.9246852907868651E-2</v>
      </c>
      <c r="L189" s="3">
        <f t="shared" si="125"/>
        <v>5.9246852907868242E-2</v>
      </c>
      <c r="M189" s="3">
        <f t="shared" si="125"/>
        <v>5.9246852907864085E-2</v>
      </c>
      <c r="N189" s="3">
        <f t="shared" si="125"/>
        <v>5.9246852907822507E-2</v>
      </c>
      <c r="O189" s="3">
        <f t="shared" si="125"/>
        <v>5.9246852907406736E-2</v>
      </c>
      <c r="P189" s="3">
        <f t="shared" si="125"/>
        <v>5.9246852903249034E-2</v>
      </c>
      <c r="Q189" s="3">
        <f t="shared" si="125"/>
        <v>5.9246852861672014E-2</v>
      </c>
      <c r="R189" s="3">
        <f t="shared" si="125"/>
        <v>5.924685244590186E-2</v>
      </c>
      <c r="S189" s="3">
        <f t="shared" si="125"/>
        <v>5.9246848288200427E-2</v>
      </c>
      <c r="T189" s="3">
        <f t="shared" si="125"/>
        <v>5.9246806711202235E-2</v>
      </c>
      <c r="U189" s="3">
        <f t="shared" si="125"/>
        <v>5.9246390942824988E-2</v>
      </c>
      <c r="V189" s="3">
        <f t="shared" si="125"/>
        <v>5.9242233419521624E-2</v>
      </c>
      <c r="W189" s="3">
        <f t="shared" si="125"/>
        <v>5.9200674229235591E-2</v>
      </c>
      <c r="X189" s="3">
        <f t="shared" si="125"/>
        <v>5.8786682443424144E-2</v>
      </c>
      <c r="Y189" s="3">
        <f t="shared" si="125"/>
        <v>5.4802698410900713E-2</v>
      </c>
      <c r="Z189" s="3">
        <f t="shared" si="125"/>
        <v>2.7166385179520837E-2</v>
      </c>
      <c r="AA189" s="3">
        <f t="shared" si="125"/>
        <v>2.4340582308429483E-5</v>
      </c>
      <c r="AB189" s="3">
        <f t="shared" si="125"/>
        <v>8.1156266799692469E-36</v>
      </c>
      <c r="AC189" s="3">
        <f t="shared" si="125"/>
        <v>0</v>
      </c>
      <c r="AD189" s="3">
        <f t="shared" si="125"/>
        <v>0</v>
      </c>
      <c r="AE189" s="3">
        <f t="shared" si="125"/>
        <v>0</v>
      </c>
      <c r="AF189" s="3">
        <f t="shared" si="125"/>
        <v>0</v>
      </c>
      <c r="AG189" s="3"/>
      <c r="AH189" s="3"/>
    </row>
    <row r="190" spans="2:34" x14ac:dyDescent="0.25">
      <c r="B190" s="3">
        <f t="shared" ref="B190:AF190" si="126">$C37*EXP(-B$168/$A37/EXP(-$C$126))</f>
        <v>5.2277759702858778E-2</v>
      </c>
      <c r="C190" s="3">
        <f t="shared" si="126"/>
        <v>5.2277759702858778E-2</v>
      </c>
      <c r="D190" s="3">
        <f t="shared" si="126"/>
        <v>5.2277759702858778E-2</v>
      </c>
      <c r="E190" s="3">
        <f t="shared" si="126"/>
        <v>5.2277759702858778E-2</v>
      </c>
      <c r="F190" s="3">
        <f t="shared" si="126"/>
        <v>5.2277759702858778E-2</v>
      </c>
      <c r="G190" s="3">
        <f t="shared" si="126"/>
        <v>5.2277759702858778E-2</v>
      </c>
      <c r="H190" s="3">
        <f t="shared" si="126"/>
        <v>5.2277759702858778E-2</v>
      </c>
      <c r="I190" s="3">
        <f t="shared" si="126"/>
        <v>5.2277759702858778E-2</v>
      </c>
      <c r="J190" s="3">
        <f t="shared" si="126"/>
        <v>5.2277759702858778E-2</v>
      </c>
      <c r="K190" s="3">
        <f t="shared" si="126"/>
        <v>5.2277759702858771E-2</v>
      </c>
      <c r="L190" s="3">
        <f t="shared" si="126"/>
        <v>5.2277759702858743E-2</v>
      </c>
      <c r="M190" s="3">
        <f t="shared" si="126"/>
        <v>5.227775970285841E-2</v>
      </c>
      <c r="N190" s="3">
        <f t="shared" si="126"/>
        <v>5.2277759702855101E-2</v>
      </c>
      <c r="O190" s="3">
        <f t="shared" si="126"/>
        <v>5.2277759702822002E-2</v>
      </c>
      <c r="P190" s="3">
        <f t="shared" si="126"/>
        <v>5.2277759702491065E-2</v>
      </c>
      <c r="Q190" s="3">
        <f t="shared" si="126"/>
        <v>5.227775969918165E-2</v>
      </c>
      <c r="R190" s="3">
        <f t="shared" si="126"/>
        <v>5.227775966608747E-2</v>
      </c>
      <c r="S190" s="3">
        <f t="shared" si="126"/>
        <v>5.2277759335145696E-2</v>
      </c>
      <c r="T190" s="3">
        <f t="shared" si="126"/>
        <v>5.2277756025728088E-2</v>
      </c>
      <c r="U190" s="3">
        <f t="shared" si="126"/>
        <v>5.2277722931563561E-2</v>
      </c>
      <c r="V190" s="3">
        <f t="shared" si="126"/>
        <v>5.2277391991070524E-2</v>
      </c>
      <c r="W190" s="3">
        <f t="shared" si="126"/>
        <v>5.2274082701362683E-2</v>
      </c>
      <c r="X190" s="3">
        <f t="shared" si="126"/>
        <v>5.2241001323844016E-2</v>
      </c>
      <c r="Y190" s="3">
        <f t="shared" si="126"/>
        <v>5.1911336811002982E-2</v>
      </c>
      <c r="Z190" s="3">
        <f t="shared" si="126"/>
        <v>4.8726971013051318E-2</v>
      </c>
      <c r="AA190" s="3">
        <f t="shared" si="126"/>
        <v>2.5872681406589763E-2</v>
      </c>
      <c r="AB190" s="3">
        <f t="shared" si="126"/>
        <v>4.608522300679992E-5</v>
      </c>
      <c r="AC190" s="3">
        <f t="shared" si="126"/>
        <v>1.4817134405043069E-32</v>
      </c>
      <c r="AD190" s="3">
        <f t="shared" si="126"/>
        <v>1.7489987133401659E-307</v>
      </c>
      <c r="AE190" s="3">
        <f t="shared" si="126"/>
        <v>0</v>
      </c>
      <c r="AF190" s="3">
        <f t="shared" si="126"/>
        <v>0</v>
      </c>
      <c r="AG190" s="3"/>
      <c r="AH190" s="3"/>
    </row>
    <row r="191" spans="2:34" x14ac:dyDescent="0.25">
      <c r="B191" s="3">
        <f t="shared" ref="B191:AF191" si="127">$C38*EXP(-B$168/$A38/EXP(-$C$126))</f>
        <v>1.8161564482377511E-2</v>
      </c>
      <c r="C191" s="3">
        <f t="shared" si="127"/>
        <v>1.8161564482377511E-2</v>
      </c>
      <c r="D191" s="3">
        <f t="shared" si="127"/>
        <v>1.8161564482377511E-2</v>
      </c>
      <c r="E191" s="3">
        <f t="shared" si="127"/>
        <v>1.8161564482377511E-2</v>
      </c>
      <c r="F191" s="3">
        <f t="shared" si="127"/>
        <v>1.8161564482377511E-2</v>
      </c>
      <c r="G191" s="3">
        <f t="shared" si="127"/>
        <v>1.8161564482377511E-2</v>
      </c>
      <c r="H191" s="3">
        <f t="shared" si="127"/>
        <v>1.8161564482377511E-2</v>
      </c>
      <c r="I191" s="3">
        <f t="shared" si="127"/>
        <v>1.8161564482377511E-2</v>
      </c>
      <c r="J191" s="3">
        <f t="shared" si="127"/>
        <v>1.8161564482377511E-2</v>
      </c>
      <c r="K191" s="3">
        <f t="shared" si="127"/>
        <v>1.8161564482377511E-2</v>
      </c>
      <c r="L191" s="3">
        <f t="shared" si="127"/>
        <v>1.8161564482377508E-2</v>
      </c>
      <c r="M191" s="3">
        <f t="shared" si="127"/>
        <v>1.8161564482377501E-2</v>
      </c>
      <c r="N191" s="3">
        <f t="shared" si="127"/>
        <v>1.8161564482377397E-2</v>
      </c>
      <c r="O191" s="3">
        <f t="shared" si="127"/>
        <v>1.8161564482376359E-2</v>
      </c>
      <c r="P191" s="3">
        <f t="shared" si="127"/>
        <v>1.8161564482365989E-2</v>
      </c>
      <c r="Q191" s="3">
        <f t="shared" si="127"/>
        <v>1.8161564482262273E-2</v>
      </c>
      <c r="R191" s="3">
        <f t="shared" si="127"/>
        <v>1.8161564481225141E-2</v>
      </c>
      <c r="S191" s="3">
        <f t="shared" si="127"/>
        <v>1.8161564470853812E-2</v>
      </c>
      <c r="T191" s="3">
        <f t="shared" si="127"/>
        <v>1.8161564367140507E-2</v>
      </c>
      <c r="U191" s="3">
        <f t="shared" si="127"/>
        <v>1.8161563330007503E-2</v>
      </c>
      <c r="V191" s="3">
        <f t="shared" si="127"/>
        <v>1.8161552958680733E-2</v>
      </c>
      <c r="W191" s="3">
        <f t="shared" si="127"/>
        <v>1.8161449245738755E-2</v>
      </c>
      <c r="X191" s="3">
        <f t="shared" si="127"/>
        <v>1.8160412148892781E-2</v>
      </c>
      <c r="Y191" s="3">
        <f t="shared" si="127"/>
        <v>1.8150044437122991E-2</v>
      </c>
      <c r="Z191" s="3">
        <f t="shared" si="127"/>
        <v>1.8046692301359878E-2</v>
      </c>
      <c r="AA191" s="3">
        <f t="shared" si="127"/>
        <v>1.70449928392571E-2</v>
      </c>
      <c r="AB191" s="3">
        <f t="shared" si="127"/>
        <v>9.6291714189137012E-3</v>
      </c>
      <c r="AC191" s="3">
        <f t="shared" si="127"/>
        <v>3.1879380108602611E-5</v>
      </c>
      <c r="AD191" s="3">
        <f t="shared" si="127"/>
        <v>5.0433530004858148E-30</v>
      </c>
      <c r="AE191" s="3">
        <f t="shared" si="127"/>
        <v>4.952384502132107E-278</v>
      </c>
      <c r="AF191" s="3">
        <f t="shared" si="127"/>
        <v>0</v>
      </c>
      <c r="AG191" s="3"/>
      <c r="AH191" s="3"/>
    </row>
    <row r="192" spans="2:34" x14ac:dyDescent="0.25">
      <c r="B192" s="3">
        <f t="shared" ref="B192:AF192" si="128">$C39*EXP(-B$168/$A39/EXP(-$C$126))</f>
        <v>4.1021445275655738E-2</v>
      </c>
      <c r="C192" s="3">
        <f t="shared" si="128"/>
        <v>4.1021445275655738E-2</v>
      </c>
      <c r="D192" s="3">
        <f t="shared" si="128"/>
        <v>4.1021445275655738E-2</v>
      </c>
      <c r="E192" s="3">
        <f t="shared" si="128"/>
        <v>4.1021445275655738E-2</v>
      </c>
      <c r="F192" s="3">
        <f t="shared" si="128"/>
        <v>4.1021445275655738E-2</v>
      </c>
      <c r="G192" s="3">
        <f t="shared" si="128"/>
        <v>4.1021445275655738E-2</v>
      </c>
      <c r="H192" s="3">
        <f t="shared" si="128"/>
        <v>4.1021445275655738E-2</v>
      </c>
      <c r="I192" s="3">
        <f t="shared" si="128"/>
        <v>4.1021445275655738E-2</v>
      </c>
      <c r="J192" s="3">
        <f t="shared" si="128"/>
        <v>4.1021445275655738E-2</v>
      </c>
      <c r="K192" s="3">
        <f t="shared" si="128"/>
        <v>4.1021445275655738E-2</v>
      </c>
      <c r="L192" s="3">
        <f t="shared" si="128"/>
        <v>4.1021445275655738E-2</v>
      </c>
      <c r="M192" s="3">
        <f t="shared" si="128"/>
        <v>4.1021445275655731E-2</v>
      </c>
      <c r="N192" s="3">
        <f t="shared" si="128"/>
        <v>4.1021445275655662E-2</v>
      </c>
      <c r="O192" s="3">
        <f t="shared" si="128"/>
        <v>4.1021445275655016E-2</v>
      </c>
      <c r="P192" s="3">
        <f t="shared" si="128"/>
        <v>4.1021445275648535E-2</v>
      </c>
      <c r="Q192" s="3">
        <f t="shared" si="128"/>
        <v>4.1021445275583747E-2</v>
      </c>
      <c r="R192" s="3">
        <f t="shared" si="128"/>
        <v>4.1021445274935855E-2</v>
      </c>
      <c r="S192" s="3">
        <f t="shared" si="128"/>
        <v>4.1021445268456899E-2</v>
      </c>
      <c r="T192" s="3">
        <f t="shared" si="128"/>
        <v>4.1021445203667337E-2</v>
      </c>
      <c r="U192" s="3">
        <f t="shared" si="128"/>
        <v>4.1021444555771738E-2</v>
      </c>
      <c r="V192" s="3">
        <f t="shared" si="128"/>
        <v>4.1021438076816352E-2</v>
      </c>
      <c r="W192" s="3">
        <f t="shared" si="128"/>
        <v>4.1021373287318724E-2</v>
      </c>
      <c r="X192" s="3">
        <f t="shared" si="128"/>
        <v>4.1020725397970463E-2</v>
      </c>
      <c r="Y192" s="3">
        <f t="shared" si="128"/>
        <v>4.1014247067261339E-2</v>
      </c>
      <c r="Z192" s="3">
        <f t="shared" si="128"/>
        <v>4.0949520004641075E-2</v>
      </c>
      <c r="AA192" s="3">
        <f t="shared" si="128"/>
        <v>4.0307841095756351E-2</v>
      </c>
      <c r="AB192" s="3">
        <f t="shared" si="128"/>
        <v>3.4418882113433892E-2</v>
      </c>
      <c r="AC192" s="3">
        <f t="shared" si="128"/>
        <v>7.0936374976865932E-3</v>
      </c>
      <c r="AD192" s="3">
        <f t="shared" si="128"/>
        <v>9.8082447577092459E-10</v>
      </c>
      <c r="AE192" s="3">
        <f t="shared" si="128"/>
        <v>2.5050380741575267E-78</v>
      </c>
      <c r="AF192" s="3">
        <f t="shared" si="128"/>
        <v>0</v>
      </c>
      <c r="AG192" s="3"/>
      <c r="AH192" s="3"/>
    </row>
    <row r="193" spans="1:34" x14ac:dyDescent="0.25">
      <c r="B193" s="3">
        <f t="shared" ref="B193:AF193" si="129">$C40*EXP(-B$168/$A40/EXP(-$C$126))</f>
        <v>3.4648052486914098E-2</v>
      </c>
      <c r="C193" s="3">
        <f t="shared" si="129"/>
        <v>3.4648052486914098E-2</v>
      </c>
      <c r="D193" s="3">
        <f t="shared" si="129"/>
        <v>3.4648052486914098E-2</v>
      </c>
      <c r="E193" s="3">
        <f t="shared" si="129"/>
        <v>3.4648052486914098E-2</v>
      </c>
      <c r="F193" s="3">
        <f t="shared" si="129"/>
        <v>3.4648052486914098E-2</v>
      </c>
      <c r="G193" s="3">
        <f t="shared" si="129"/>
        <v>3.4648052486914098E-2</v>
      </c>
      <c r="H193" s="3">
        <f t="shared" si="129"/>
        <v>3.4648052486914098E-2</v>
      </c>
      <c r="I193" s="3">
        <f t="shared" si="129"/>
        <v>3.4648052486914098E-2</v>
      </c>
      <c r="J193" s="3">
        <f t="shared" si="129"/>
        <v>3.4648052486914098E-2</v>
      </c>
      <c r="K193" s="3">
        <f t="shared" si="129"/>
        <v>3.4648052486914098E-2</v>
      </c>
      <c r="L193" s="3">
        <f t="shared" si="129"/>
        <v>3.4648052486914098E-2</v>
      </c>
      <c r="M193" s="3">
        <f t="shared" si="129"/>
        <v>3.4648052486914098E-2</v>
      </c>
      <c r="N193" s="3">
        <f t="shared" si="129"/>
        <v>3.4648052486914091E-2</v>
      </c>
      <c r="O193" s="3">
        <f t="shared" si="129"/>
        <v>3.4648052486914035E-2</v>
      </c>
      <c r="P193" s="3">
        <f t="shared" si="129"/>
        <v>3.4648052486913487E-2</v>
      </c>
      <c r="Q193" s="3">
        <f t="shared" si="129"/>
        <v>3.4648052486908019E-2</v>
      </c>
      <c r="R193" s="3">
        <f t="shared" si="129"/>
        <v>3.4648052486853292E-2</v>
      </c>
      <c r="S193" s="3">
        <f t="shared" si="129"/>
        <v>3.4648052486306063E-2</v>
      </c>
      <c r="T193" s="3">
        <f t="shared" si="129"/>
        <v>3.4648052480833726E-2</v>
      </c>
      <c r="U193" s="3">
        <f t="shared" si="129"/>
        <v>3.464805242611034E-2</v>
      </c>
      <c r="V193" s="3">
        <f t="shared" si="129"/>
        <v>3.4648051878876561E-2</v>
      </c>
      <c r="W193" s="3">
        <f t="shared" si="129"/>
        <v>3.4648046406539228E-2</v>
      </c>
      <c r="X193" s="3">
        <f t="shared" si="129"/>
        <v>3.4647991683213433E-2</v>
      </c>
      <c r="Y193" s="3">
        <f t="shared" si="129"/>
        <v>3.4647444454709089E-2</v>
      </c>
      <c r="Z193" s="3">
        <f t="shared" si="129"/>
        <v>3.464197264500251E-2</v>
      </c>
      <c r="AA193" s="3">
        <f t="shared" si="129"/>
        <v>3.4587302053853894E-2</v>
      </c>
      <c r="AB193" s="3">
        <f t="shared" si="129"/>
        <v>3.4045319089446302E-2</v>
      </c>
      <c r="AC193" s="3">
        <f t="shared" si="129"/>
        <v>2.90713119928733E-2</v>
      </c>
      <c r="AD193" s="3">
        <f t="shared" si="129"/>
        <v>5.9915179168210861E-3</v>
      </c>
      <c r="AE193" s="3">
        <f t="shared" si="129"/>
        <v>8.284363870799225E-10</v>
      </c>
      <c r="AF193" s="3">
        <f t="shared" si="129"/>
        <v>2.1158369748283025E-78</v>
      </c>
      <c r="AG193" s="3"/>
      <c r="AH193" s="3"/>
    </row>
    <row r="194" spans="1:34" x14ac:dyDescent="0.25">
      <c r="B194" s="3">
        <f t="shared" ref="B194:AF194" si="130">$C41*EXP(-B$168/$A41/EXP(-$C$126))</f>
        <v>4.29685247400187E-2</v>
      </c>
      <c r="C194" s="3">
        <f t="shared" si="130"/>
        <v>4.29685247400187E-2</v>
      </c>
      <c r="D194" s="3">
        <f t="shared" si="130"/>
        <v>4.29685247400187E-2</v>
      </c>
      <c r="E194" s="3">
        <f t="shared" si="130"/>
        <v>4.29685247400187E-2</v>
      </c>
      <c r="F194" s="3">
        <f t="shared" si="130"/>
        <v>4.29685247400187E-2</v>
      </c>
      <c r="G194" s="3">
        <f t="shared" si="130"/>
        <v>4.29685247400187E-2</v>
      </c>
      <c r="H194" s="3">
        <f t="shared" si="130"/>
        <v>4.29685247400187E-2</v>
      </c>
      <c r="I194" s="3">
        <f t="shared" si="130"/>
        <v>4.29685247400187E-2</v>
      </c>
      <c r="J194" s="3">
        <f t="shared" si="130"/>
        <v>4.29685247400187E-2</v>
      </c>
      <c r="K194" s="3">
        <f t="shared" si="130"/>
        <v>4.29685247400187E-2</v>
      </c>
      <c r="L194" s="3">
        <f t="shared" si="130"/>
        <v>4.29685247400187E-2</v>
      </c>
      <c r="M194" s="3">
        <f t="shared" si="130"/>
        <v>4.29685247400187E-2</v>
      </c>
      <c r="N194" s="3">
        <f t="shared" si="130"/>
        <v>4.29685247400187E-2</v>
      </c>
      <c r="O194" s="3">
        <f t="shared" si="130"/>
        <v>4.2968524740018693E-2</v>
      </c>
      <c r="P194" s="3">
        <f t="shared" si="130"/>
        <v>4.2968524740018624E-2</v>
      </c>
      <c r="Q194" s="3">
        <f t="shared" si="130"/>
        <v>4.2968524740017944E-2</v>
      </c>
      <c r="R194" s="3">
        <f t="shared" si="130"/>
        <v>4.2968524740011158E-2</v>
      </c>
      <c r="S194" s="3">
        <f t="shared" si="130"/>
        <v>4.2968524739943295E-2</v>
      </c>
      <c r="T194" s="3">
        <f t="shared" si="130"/>
        <v>4.296852473926465E-2</v>
      </c>
      <c r="U194" s="3">
        <f t="shared" si="130"/>
        <v>4.2968524732478169E-2</v>
      </c>
      <c r="V194" s="3">
        <f t="shared" si="130"/>
        <v>4.2968524664613372E-2</v>
      </c>
      <c r="W194" s="3">
        <f t="shared" si="130"/>
        <v>4.2968523985965471E-2</v>
      </c>
      <c r="X194" s="3">
        <f t="shared" si="130"/>
        <v>4.2968517199487008E-2</v>
      </c>
      <c r="Y194" s="3">
        <f t="shared" si="130"/>
        <v>4.2968449334761294E-2</v>
      </c>
      <c r="Z194" s="3">
        <f t="shared" si="130"/>
        <v>4.2967770693399382E-2</v>
      </c>
      <c r="AA194" s="3">
        <f t="shared" si="130"/>
        <v>4.296098486926573E-2</v>
      </c>
      <c r="AB194" s="3">
        <f t="shared" si="130"/>
        <v>4.289318554203924E-2</v>
      </c>
      <c r="AC194" s="3">
        <f t="shared" si="130"/>
        <v>4.2221049397486485E-2</v>
      </c>
      <c r="AD194" s="3">
        <f t="shared" si="130"/>
        <v>3.6052571470282756E-2</v>
      </c>
      <c r="AE194" s="3">
        <f t="shared" si="130"/>
        <v>7.4303364074048556E-3</v>
      </c>
      <c r="AF194" s="3">
        <f t="shared" si="130"/>
        <v>1.0273792273669506E-9</v>
      </c>
      <c r="AG194" s="3"/>
      <c r="AH194" s="3"/>
    </row>
    <row r="195" spans="1:34" x14ac:dyDescent="0.25">
      <c r="B195" s="3">
        <f t="shared" ref="B195:AF195" si="131">$C42*EXP(-B$168/$A42/EXP(-$C$126))</f>
        <v>3.196768089181086E-2</v>
      </c>
      <c r="C195" s="3">
        <f t="shared" si="131"/>
        <v>3.196768089181086E-2</v>
      </c>
      <c r="D195" s="3">
        <f t="shared" si="131"/>
        <v>3.196768089181086E-2</v>
      </c>
      <c r="E195" s="3">
        <f t="shared" si="131"/>
        <v>3.196768089181086E-2</v>
      </c>
      <c r="F195" s="3">
        <f t="shared" si="131"/>
        <v>3.196768089181086E-2</v>
      </c>
      <c r="G195" s="3">
        <f t="shared" si="131"/>
        <v>3.196768089181086E-2</v>
      </c>
      <c r="H195" s="3">
        <f t="shared" si="131"/>
        <v>3.196768089181086E-2</v>
      </c>
      <c r="I195" s="3">
        <f t="shared" si="131"/>
        <v>3.196768089181086E-2</v>
      </c>
      <c r="J195" s="3">
        <f t="shared" si="131"/>
        <v>3.196768089181086E-2</v>
      </c>
      <c r="K195" s="3">
        <f t="shared" si="131"/>
        <v>3.196768089181086E-2</v>
      </c>
      <c r="L195" s="3">
        <f t="shared" si="131"/>
        <v>3.196768089181086E-2</v>
      </c>
      <c r="M195" s="3">
        <f t="shared" si="131"/>
        <v>3.196768089181086E-2</v>
      </c>
      <c r="N195" s="3">
        <f t="shared" si="131"/>
        <v>3.196768089181086E-2</v>
      </c>
      <c r="O195" s="3">
        <f t="shared" si="131"/>
        <v>3.196768089181086E-2</v>
      </c>
      <c r="P195" s="3">
        <f t="shared" si="131"/>
        <v>3.1967680891810853E-2</v>
      </c>
      <c r="Q195" s="3">
        <f t="shared" si="131"/>
        <v>3.1967680891810804E-2</v>
      </c>
      <c r="R195" s="3">
        <f t="shared" si="131"/>
        <v>3.1967680891810298E-2</v>
      </c>
      <c r="S195" s="3">
        <f t="shared" si="131"/>
        <v>3.1967680891805246E-2</v>
      </c>
      <c r="T195" s="3">
        <f t="shared" si="131"/>
        <v>3.1967680891754759E-2</v>
      </c>
      <c r="U195" s="3">
        <f t="shared" si="131"/>
        <v>3.1967680891249857E-2</v>
      </c>
      <c r="V195" s="3">
        <f t="shared" si="131"/>
        <v>3.1967680886200861E-2</v>
      </c>
      <c r="W195" s="3">
        <f t="shared" si="131"/>
        <v>3.1967680835710881E-2</v>
      </c>
      <c r="X195" s="3">
        <f t="shared" si="131"/>
        <v>3.1967680330811078E-2</v>
      </c>
      <c r="Y195" s="3">
        <f t="shared" si="131"/>
        <v>3.1967675281813483E-2</v>
      </c>
      <c r="Z195" s="3">
        <f t="shared" si="131"/>
        <v>3.1967624791881415E-2</v>
      </c>
      <c r="AA195" s="3">
        <f t="shared" si="131"/>
        <v>3.1967119896946602E-2</v>
      </c>
      <c r="AB195" s="3">
        <f t="shared" si="131"/>
        <v>3.1962071386163297E-2</v>
      </c>
      <c r="AC195" s="3">
        <f t="shared" si="131"/>
        <v>3.1911630109192082E-2</v>
      </c>
      <c r="AD195" s="3">
        <f t="shared" si="131"/>
        <v>3.1411574919610413E-2</v>
      </c>
      <c r="AE195" s="3">
        <f t="shared" si="131"/>
        <v>2.6822356761478653E-2</v>
      </c>
      <c r="AF195" s="3">
        <f t="shared" si="131"/>
        <v>5.5280143925792915E-3</v>
      </c>
      <c r="AG195" s="3"/>
      <c r="AH195" s="3"/>
    </row>
    <row r="196" spans="1:34" x14ac:dyDescent="0.25">
      <c r="B196" s="3">
        <f t="shared" ref="B196:AF196" si="132">$C43*EXP(-B$168/$A43/EXP(-$C$126))</f>
        <v>2.6004568036228887E-2</v>
      </c>
      <c r="C196" s="3">
        <f t="shared" si="132"/>
        <v>2.6004568036228887E-2</v>
      </c>
      <c r="D196" s="3">
        <f t="shared" si="132"/>
        <v>2.6004568036228887E-2</v>
      </c>
      <c r="E196" s="3">
        <f t="shared" si="132"/>
        <v>2.6004568036228887E-2</v>
      </c>
      <c r="F196" s="3">
        <f t="shared" si="132"/>
        <v>2.6004568036228887E-2</v>
      </c>
      <c r="G196" s="3">
        <f t="shared" si="132"/>
        <v>2.6004568036228887E-2</v>
      </c>
      <c r="H196" s="3">
        <f t="shared" si="132"/>
        <v>2.6004568036228887E-2</v>
      </c>
      <c r="I196" s="3">
        <f t="shared" si="132"/>
        <v>2.6004568036228887E-2</v>
      </c>
      <c r="J196" s="3">
        <f t="shared" si="132"/>
        <v>2.6004568036228887E-2</v>
      </c>
      <c r="K196" s="3">
        <f t="shared" si="132"/>
        <v>2.6004568036228887E-2</v>
      </c>
      <c r="L196" s="3">
        <f t="shared" si="132"/>
        <v>2.6004568036228887E-2</v>
      </c>
      <c r="M196" s="3">
        <f t="shared" si="132"/>
        <v>2.6004568036228887E-2</v>
      </c>
      <c r="N196" s="3">
        <f t="shared" si="132"/>
        <v>2.6004568036228887E-2</v>
      </c>
      <c r="O196" s="3">
        <f t="shared" si="132"/>
        <v>2.6004568036228887E-2</v>
      </c>
      <c r="P196" s="3">
        <f t="shared" si="132"/>
        <v>2.6004568036228887E-2</v>
      </c>
      <c r="Q196" s="3">
        <f t="shared" si="132"/>
        <v>2.600456803622888E-2</v>
      </c>
      <c r="R196" s="3">
        <f t="shared" si="132"/>
        <v>2.6004568036228842E-2</v>
      </c>
      <c r="S196" s="3">
        <f t="shared" si="132"/>
        <v>2.6004568036228432E-2</v>
      </c>
      <c r="T196" s="3">
        <f t="shared" si="132"/>
        <v>2.6004568036224321E-2</v>
      </c>
      <c r="U196" s="3">
        <f t="shared" si="132"/>
        <v>2.600456803618325E-2</v>
      </c>
      <c r="V196" s="3">
        <f t="shared" si="132"/>
        <v>2.6004568035772533E-2</v>
      </c>
      <c r="W196" s="3">
        <f t="shared" si="132"/>
        <v>2.6004568031665357E-2</v>
      </c>
      <c r="X196" s="3">
        <f t="shared" si="132"/>
        <v>2.6004567990593554E-2</v>
      </c>
      <c r="Y196" s="3">
        <f t="shared" si="132"/>
        <v>2.6004567579875577E-2</v>
      </c>
      <c r="Z196" s="3">
        <f t="shared" si="132"/>
        <v>2.6004563472696147E-2</v>
      </c>
      <c r="AA196" s="3">
        <f t="shared" si="132"/>
        <v>2.6004522400937511E-2</v>
      </c>
      <c r="AB196" s="3">
        <f t="shared" si="132"/>
        <v>2.6004111686918942E-2</v>
      </c>
      <c r="AC196" s="3">
        <f t="shared" si="132"/>
        <v>2.6000004903490064E-2</v>
      </c>
      <c r="AD196" s="3">
        <f t="shared" si="132"/>
        <v>2.5958972724043846E-2</v>
      </c>
      <c r="AE196" s="3">
        <f t="shared" si="132"/>
        <v>2.555219566557174E-2</v>
      </c>
      <c r="AF196" s="3">
        <f t="shared" si="132"/>
        <v>2.1819030403126761E-2</v>
      </c>
      <c r="AG196" s="3"/>
      <c r="AH196" s="3"/>
    </row>
    <row r="197" spans="1:34" x14ac:dyDescent="0.25">
      <c r="B197" s="3">
        <f t="shared" ref="B197:AF197" si="133">$C44*EXP(-B$168/$A44/EXP(-$C$126))</f>
        <v>1.2402397350398719E-2</v>
      </c>
      <c r="C197" s="3">
        <f t="shared" si="133"/>
        <v>1.2402397350398719E-2</v>
      </c>
      <c r="D197" s="3">
        <f t="shared" si="133"/>
        <v>1.2402397350398719E-2</v>
      </c>
      <c r="E197" s="3">
        <f t="shared" si="133"/>
        <v>1.2402397350398719E-2</v>
      </c>
      <c r="F197" s="3">
        <f t="shared" si="133"/>
        <v>1.2402397350398719E-2</v>
      </c>
      <c r="G197" s="3">
        <f t="shared" si="133"/>
        <v>1.2402397350398719E-2</v>
      </c>
      <c r="H197" s="3">
        <f t="shared" si="133"/>
        <v>1.2402397350398719E-2</v>
      </c>
      <c r="I197" s="3">
        <f t="shared" si="133"/>
        <v>1.2402397350398719E-2</v>
      </c>
      <c r="J197" s="3">
        <f t="shared" si="133"/>
        <v>1.2402397350398719E-2</v>
      </c>
      <c r="K197" s="3">
        <f t="shared" si="133"/>
        <v>1.2402397350398719E-2</v>
      </c>
      <c r="L197" s="3">
        <f t="shared" si="133"/>
        <v>1.2402397350398719E-2</v>
      </c>
      <c r="M197" s="3">
        <f t="shared" si="133"/>
        <v>1.2402397350398719E-2</v>
      </c>
      <c r="N197" s="3">
        <f t="shared" si="133"/>
        <v>1.2402397350398719E-2</v>
      </c>
      <c r="O197" s="3">
        <f t="shared" si="133"/>
        <v>1.2402397350398719E-2</v>
      </c>
      <c r="P197" s="3">
        <f t="shared" si="133"/>
        <v>1.2402397350398719E-2</v>
      </c>
      <c r="Q197" s="3">
        <f t="shared" si="133"/>
        <v>1.2402397350398719E-2</v>
      </c>
      <c r="R197" s="3">
        <f t="shared" si="133"/>
        <v>1.2402397350398716E-2</v>
      </c>
      <c r="S197" s="3">
        <f t="shared" si="133"/>
        <v>1.2402397350398697E-2</v>
      </c>
      <c r="T197" s="3">
        <f t="shared" si="133"/>
        <v>1.2402397350398503E-2</v>
      </c>
      <c r="U197" s="3">
        <f t="shared" si="133"/>
        <v>1.2402397350396542E-2</v>
      </c>
      <c r="V197" s="3">
        <f t="shared" si="133"/>
        <v>1.2402397350376954E-2</v>
      </c>
      <c r="W197" s="3">
        <f t="shared" si="133"/>
        <v>1.2402397350181071E-2</v>
      </c>
      <c r="X197" s="3">
        <f t="shared" si="133"/>
        <v>1.2402397348222228E-2</v>
      </c>
      <c r="Y197" s="3">
        <f t="shared" si="133"/>
        <v>1.2402397328633793E-2</v>
      </c>
      <c r="Z197" s="3">
        <f t="shared" si="133"/>
        <v>1.2402397132749456E-2</v>
      </c>
      <c r="AA197" s="3">
        <f t="shared" si="133"/>
        <v>1.2402395173906256E-2</v>
      </c>
      <c r="AB197" s="3">
        <f t="shared" si="133"/>
        <v>1.240237558549126E-2</v>
      </c>
      <c r="AC197" s="3">
        <f t="shared" si="133"/>
        <v>1.2402179703042892E-2</v>
      </c>
      <c r="AD197" s="3">
        <f t="shared" si="133"/>
        <v>1.2400221048707777E-2</v>
      </c>
      <c r="AE197" s="3">
        <f t="shared" si="133"/>
        <v>1.2380651510273765E-2</v>
      </c>
      <c r="AF197" s="3">
        <f t="shared" si="133"/>
        <v>1.2186646722146968E-2</v>
      </c>
      <c r="AG197" s="3"/>
      <c r="AH197" s="3"/>
    </row>
    <row r="198" spans="1:34" x14ac:dyDescent="0.25">
      <c r="B198" s="3">
        <f t="shared" ref="B198:AF198" si="134">$C45*EXP(-B$168/$A45/EXP(-$C$126))</f>
        <v>6.9977833887187504E-3</v>
      </c>
      <c r="C198" s="3">
        <f t="shared" si="134"/>
        <v>6.9977833887187504E-3</v>
      </c>
      <c r="D198" s="3">
        <f t="shared" si="134"/>
        <v>6.9977833887187504E-3</v>
      </c>
      <c r="E198" s="3">
        <f t="shared" si="134"/>
        <v>6.9977833887187504E-3</v>
      </c>
      <c r="F198" s="3">
        <f t="shared" si="134"/>
        <v>6.9977833887187504E-3</v>
      </c>
      <c r="G198" s="3">
        <f t="shared" si="134"/>
        <v>6.9977833887187504E-3</v>
      </c>
      <c r="H198" s="3">
        <f t="shared" si="134"/>
        <v>6.9977833887187504E-3</v>
      </c>
      <c r="I198" s="3">
        <f t="shared" si="134"/>
        <v>6.9977833887187504E-3</v>
      </c>
      <c r="J198" s="3">
        <f t="shared" si="134"/>
        <v>6.9977833887187504E-3</v>
      </c>
      <c r="K198" s="3">
        <f t="shared" si="134"/>
        <v>6.9977833887187504E-3</v>
      </c>
      <c r="L198" s="3">
        <f t="shared" si="134"/>
        <v>6.9977833887187504E-3</v>
      </c>
      <c r="M198" s="3">
        <f t="shared" si="134"/>
        <v>6.9977833887187504E-3</v>
      </c>
      <c r="N198" s="3">
        <f t="shared" si="134"/>
        <v>6.9977833887187504E-3</v>
      </c>
      <c r="O198" s="3">
        <f t="shared" si="134"/>
        <v>6.9977833887187504E-3</v>
      </c>
      <c r="P198" s="3">
        <f t="shared" si="134"/>
        <v>6.9977833887187504E-3</v>
      </c>
      <c r="Q198" s="3">
        <f t="shared" si="134"/>
        <v>6.9977833887187504E-3</v>
      </c>
      <c r="R198" s="3">
        <f t="shared" si="134"/>
        <v>6.9977833887187504E-3</v>
      </c>
      <c r="S198" s="3">
        <f t="shared" si="134"/>
        <v>6.9977833887187486E-3</v>
      </c>
      <c r="T198" s="3">
        <f t="shared" si="134"/>
        <v>6.9977833887187382E-3</v>
      </c>
      <c r="U198" s="3">
        <f t="shared" si="134"/>
        <v>6.9977833887186272E-3</v>
      </c>
      <c r="V198" s="3">
        <f t="shared" si="134"/>
        <v>6.9977833887175222E-3</v>
      </c>
      <c r="W198" s="3">
        <f t="shared" si="134"/>
        <v>6.9977833887064694E-3</v>
      </c>
      <c r="X198" s="3">
        <f t="shared" si="134"/>
        <v>6.9977833885959467E-3</v>
      </c>
      <c r="Y198" s="3">
        <f t="shared" si="134"/>
        <v>6.9977833874907119E-3</v>
      </c>
      <c r="Z198" s="3">
        <f t="shared" si="134"/>
        <v>6.9977833764383627E-3</v>
      </c>
      <c r="AA198" s="3">
        <f t="shared" si="134"/>
        <v>6.9977832659148791E-3</v>
      </c>
      <c r="AB198" s="3">
        <f t="shared" si="134"/>
        <v>6.9977821606801395E-3</v>
      </c>
      <c r="AC198" s="3">
        <f t="shared" si="134"/>
        <v>6.9977711083423384E-3</v>
      </c>
      <c r="AD198" s="3">
        <f t="shared" si="134"/>
        <v>6.9976605859244055E-3</v>
      </c>
      <c r="AE198" s="3">
        <f t="shared" si="134"/>
        <v>6.9965554577477084E-3</v>
      </c>
      <c r="AF198" s="3">
        <f t="shared" si="134"/>
        <v>6.9855137706359809E-3</v>
      </c>
      <c r="AG198" s="3"/>
      <c r="AH198" s="3"/>
    </row>
    <row r="199" spans="1:34" x14ac:dyDescent="0.25">
      <c r="B199" s="3">
        <f t="shared" ref="B199:AF199" si="135">$C46*EXP(-B$168/$A46/EXP(-$C$126))</f>
        <v>3.0140050054937094E-3</v>
      </c>
      <c r="C199" s="3">
        <f t="shared" si="135"/>
        <v>3.0140050054937094E-3</v>
      </c>
      <c r="D199" s="3">
        <f t="shared" si="135"/>
        <v>3.0140050054937094E-3</v>
      </c>
      <c r="E199" s="3">
        <f t="shared" si="135"/>
        <v>3.0140050054937094E-3</v>
      </c>
      <c r="F199" s="3">
        <f t="shared" si="135"/>
        <v>3.0140050054937094E-3</v>
      </c>
      <c r="G199" s="3">
        <f t="shared" si="135"/>
        <v>3.0140050054937094E-3</v>
      </c>
      <c r="H199" s="3">
        <f t="shared" si="135"/>
        <v>3.0140050054937094E-3</v>
      </c>
      <c r="I199" s="3">
        <f t="shared" si="135"/>
        <v>3.0140050054937094E-3</v>
      </c>
      <c r="J199" s="3">
        <f t="shared" si="135"/>
        <v>3.0140050054937094E-3</v>
      </c>
      <c r="K199" s="3">
        <f t="shared" si="135"/>
        <v>3.0140050054937094E-3</v>
      </c>
      <c r="L199" s="3">
        <f t="shared" si="135"/>
        <v>3.0140050054937094E-3</v>
      </c>
      <c r="M199" s="3">
        <f t="shared" si="135"/>
        <v>3.0140050054937094E-3</v>
      </c>
      <c r="N199" s="3">
        <f t="shared" si="135"/>
        <v>3.0140050054937094E-3</v>
      </c>
      <c r="O199" s="3">
        <f t="shared" si="135"/>
        <v>3.0140050054937094E-3</v>
      </c>
      <c r="P199" s="3">
        <f t="shared" si="135"/>
        <v>3.0140050054937094E-3</v>
      </c>
      <c r="Q199" s="3">
        <f t="shared" si="135"/>
        <v>3.0140050054937094E-3</v>
      </c>
      <c r="R199" s="3">
        <f t="shared" si="135"/>
        <v>3.0140050054937094E-3</v>
      </c>
      <c r="S199" s="3">
        <f t="shared" si="135"/>
        <v>3.0140050054937094E-3</v>
      </c>
      <c r="T199" s="3">
        <f t="shared" si="135"/>
        <v>3.0140050054937085E-3</v>
      </c>
      <c r="U199" s="3">
        <f t="shared" si="135"/>
        <v>3.0140050054937042E-3</v>
      </c>
      <c r="V199" s="3">
        <f t="shared" si="135"/>
        <v>3.0140050054936565E-3</v>
      </c>
      <c r="W199" s="3">
        <f t="shared" si="135"/>
        <v>3.0140050054931803E-3</v>
      </c>
      <c r="X199" s="3">
        <f t="shared" si="135"/>
        <v>3.0140050054884202E-3</v>
      </c>
      <c r="Y199" s="3">
        <f t="shared" si="135"/>
        <v>3.0140050054408168E-3</v>
      </c>
      <c r="Z199" s="3">
        <f t="shared" si="135"/>
        <v>3.0140050049647826E-3</v>
      </c>
      <c r="AA199" s="3">
        <f t="shared" si="135"/>
        <v>3.0140050002044417E-3</v>
      </c>
      <c r="AB199" s="3">
        <f t="shared" si="135"/>
        <v>3.0140049526010343E-3</v>
      </c>
      <c r="AC199" s="3">
        <f t="shared" si="135"/>
        <v>3.0140044765670031E-3</v>
      </c>
      <c r="AD199" s="3">
        <f t="shared" si="135"/>
        <v>3.0139997162308215E-3</v>
      </c>
      <c r="AE199" s="3">
        <f t="shared" si="135"/>
        <v>3.0139521132825212E-3</v>
      </c>
      <c r="AF199" s="3">
        <f t="shared" si="135"/>
        <v>3.0134761251486724E-3</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1.1678404493635967E-2</v>
      </c>
      <c r="C201" s="3">
        <f t="shared" si="137"/>
        <v>1.1678404493635967E-2</v>
      </c>
      <c r="D201" s="3">
        <f t="shared" si="137"/>
        <v>1.1678404493635967E-2</v>
      </c>
      <c r="E201" s="3">
        <f t="shared" si="137"/>
        <v>1.1678404493635967E-2</v>
      </c>
      <c r="F201" s="3">
        <f t="shared" si="137"/>
        <v>1.1678404493635967E-2</v>
      </c>
      <c r="G201" s="3">
        <f t="shared" si="137"/>
        <v>1.1678404493635967E-2</v>
      </c>
      <c r="H201" s="3">
        <f t="shared" si="137"/>
        <v>1.1678404493635967E-2</v>
      </c>
      <c r="I201" s="3">
        <f t="shared" si="137"/>
        <v>1.1678404493635967E-2</v>
      </c>
      <c r="J201" s="3">
        <f t="shared" si="137"/>
        <v>1.1678404493635967E-2</v>
      </c>
      <c r="K201" s="3">
        <f t="shared" si="137"/>
        <v>1.1678404493635967E-2</v>
      </c>
      <c r="L201" s="3">
        <f t="shared" si="137"/>
        <v>1.1678404493635967E-2</v>
      </c>
      <c r="M201" s="3">
        <f t="shared" si="137"/>
        <v>1.1678404493635967E-2</v>
      </c>
      <c r="N201" s="3">
        <f t="shared" si="137"/>
        <v>1.1678404493635967E-2</v>
      </c>
      <c r="O201" s="3">
        <f t="shared" si="137"/>
        <v>1.1678404493635967E-2</v>
      </c>
      <c r="P201" s="3">
        <f t="shared" si="137"/>
        <v>1.1678404493635967E-2</v>
      </c>
      <c r="Q201" s="3">
        <f t="shared" si="137"/>
        <v>1.1678404493635967E-2</v>
      </c>
      <c r="R201" s="3">
        <f t="shared" si="137"/>
        <v>1.1678404493635967E-2</v>
      </c>
      <c r="S201" s="3">
        <f t="shared" si="137"/>
        <v>1.1678404493635967E-2</v>
      </c>
      <c r="T201" s="3">
        <f t="shared" si="137"/>
        <v>1.1678404493635967E-2</v>
      </c>
      <c r="U201" s="3">
        <f t="shared" si="137"/>
        <v>1.1678404493635967E-2</v>
      </c>
      <c r="V201" s="3">
        <f t="shared" si="137"/>
        <v>1.1678404493635965E-2</v>
      </c>
      <c r="W201" s="3">
        <f t="shared" si="137"/>
        <v>1.1678404493635946E-2</v>
      </c>
      <c r="X201" s="3">
        <f t="shared" si="137"/>
        <v>1.1678404493635762E-2</v>
      </c>
      <c r="Y201" s="3">
        <f t="shared" si="137"/>
        <v>1.1678404493633917E-2</v>
      </c>
      <c r="Z201" s="3">
        <f t="shared" si="137"/>
        <v>1.1678404493615473E-2</v>
      </c>
      <c r="AA201" s="3">
        <f t="shared" si="137"/>
        <v>1.1678404493431023E-2</v>
      </c>
      <c r="AB201" s="3">
        <f t="shared" si="137"/>
        <v>1.1678404491586528E-2</v>
      </c>
      <c r="AC201" s="3">
        <f t="shared" si="137"/>
        <v>1.1678404473141573E-2</v>
      </c>
      <c r="AD201" s="3">
        <f t="shared" si="137"/>
        <v>1.167840428869203E-2</v>
      </c>
      <c r="AE201" s="3">
        <f t="shared" si="137"/>
        <v>1.1678402444196762E-2</v>
      </c>
      <c r="AF201" s="3">
        <f t="shared" si="137"/>
        <v>1.167838399926009E-2</v>
      </c>
      <c r="AG201" s="3"/>
      <c r="AH201" s="3"/>
    </row>
    <row r="202" spans="1:34" x14ac:dyDescent="0.25">
      <c r="A202" s="79">
        <f>AVERAGE(B202:AF202)</f>
        <v>0.13041753219677452</v>
      </c>
      <c r="B202" s="80">
        <f>IF($A$64&lt;=B168,IF($B$64&gt;=B168,ABS((B170-B169)/B169),0),0)</f>
        <v>2.9658335617296017E-2</v>
      </c>
      <c r="C202" s="80">
        <f t="shared" ref="C202:AF202" si="138">IF($A$64&lt;=C168,IF($B$64&gt;=C168,ABS((C170-C169)/C169),0),0)</f>
        <v>3.4694207930473703E-2</v>
      </c>
      <c r="D202" s="80">
        <f t="shared" si="138"/>
        <v>3.4690846817285376E-2</v>
      </c>
      <c r="E202" s="80">
        <f t="shared" si="138"/>
        <v>3.4706354828123481E-2</v>
      </c>
      <c r="F202" s="80">
        <f t="shared" si="138"/>
        <v>3.4873827738892665E-2</v>
      </c>
      <c r="G202" s="80">
        <f t="shared" si="138"/>
        <v>3.6515937267811521E-2</v>
      </c>
      <c r="H202" s="80">
        <f t="shared" si="138"/>
        <v>4.9794985238704001E-2</v>
      </c>
      <c r="I202" s="80">
        <f t="shared" si="138"/>
        <v>7.7435961557837538E-2</v>
      </c>
      <c r="J202" s="80">
        <f t="shared" si="138"/>
        <v>7.9746515845835461E-2</v>
      </c>
      <c r="K202" s="80">
        <f t="shared" si="138"/>
        <v>7.7161113495210876E-2</v>
      </c>
      <c r="L202" s="80">
        <f t="shared" si="138"/>
        <v>8.1421173512224512E-2</v>
      </c>
      <c r="M202" s="80">
        <f t="shared" si="138"/>
        <v>8.9459920866853809E-2</v>
      </c>
      <c r="N202" s="80">
        <f t="shared" si="138"/>
        <v>9.7442434377943893E-2</v>
      </c>
      <c r="O202" s="80">
        <f t="shared" si="138"/>
        <v>0.10570863564027483</v>
      </c>
      <c r="P202" s="80">
        <f t="shared" si="138"/>
        <v>0.1088779927365873</v>
      </c>
      <c r="Q202" s="80">
        <f t="shared" si="138"/>
        <v>0.1173168073483897</v>
      </c>
      <c r="R202" s="80">
        <f t="shared" si="138"/>
        <v>0.12889032683596852</v>
      </c>
      <c r="S202" s="80">
        <f t="shared" si="138"/>
        <v>0.14438399276936351</v>
      </c>
      <c r="T202" s="80">
        <f t="shared" si="138"/>
        <v>0.13815247190538818</v>
      </c>
      <c r="U202" s="80">
        <f t="shared" si="138"/>
        <v>7.9711268020381296E-2</v>
      </c>
      <c r="V202" s="80">
        <f t="shared" si="138"/>
        <v>5.2765741314547004E-2</v>
      </c>
      <c r="W202" s="80">
        <f t="shared" si="138"/>
        <v>0.15168557223362372</v>
      </c>
      <c r="X202" s="80">
        <f t="shared" si="138"/>
        <v>0.13783275277000548</v>
      </c>
      <c r="Y202" s="80">
        <f t="shared" si="138"/>
        <v>5.5062736202746931E-2</v>
      </c>
      <c r="Z202" s="80">
        <f t="shared" si="138"/>
        <v>3.8231359645900562E-2</v>
      </c>
      <c r="AA202" s="80">
        <f t="shared" si="138"/>
        <v>0.12326393389426468</v>
      </c>
      <c r="AB202" s="80">
        <f t="shared" si="138"/>
        <v>0.19207921294039151</v>
      </c>
      <c r="AC202" s="80">
        <f t="shared" si="138"/>
        <v>0.2837065913119079</v>
      </c>
      <c r="AD202" s="80">
        <f t="shared" si="138"/>
        <v>0.36854565678164442</v>
      </c>
      <c r="AE202" s="80">
        <f t="shared" si="138"/>
        <v>0.48005498715835587</v>
      </c>
      <c r="AF202" s="80">
        <f t="shared" si="138"/>
        <v>0.57907184349577623</v>
      </c>
    </row>
    <row r="203" spans="1:34" x14ac:dyDescent="0.25">
      <c r="B203" s="21">
        <f>(B170-B169)^2</f>
        <v>43495.220387652917</v>
      </c>
      <c r="C203" s="21">
        <f t="shared" ref="C203:AF203" si="139">(C170-C169)^2</f>
        <v>59521.04381621127</v>
      </c>
      <c r="D203" s="21">
        <f t="shared" si="139"/>
        <v>59508.888153546119</v>
      </c>
      <c r="E203" s="21">
        <f t="shared" si="139"/>
        <v>59561.926093797534</v>
      </c>
      <c r="F203" s="21">
        <f t="shared" si="139"/>
        <v>60137.918701648974</v>
      </c>
      <c r="G203" s="21">
        <f t="shared" si="139"/>
        <v>65932.826346164002</v>
      </c>
      <c r="H203" s="21">
        <f t="shared" si="139"/>
        <v>122570.54067298961</v>
      </c>
      <c r="I203" s="21">
        <f t="shared" si="139"/>
        <v>295613.83034036646</v>
      </c>
      <c r="J203" s="21">
        <f t="shared" si="139"/>
        <v>306829.00764539576</v>
      </c>
      <c r="K203" s="21">
        <f t="shared" si="139"/>
        <v>273509.03789464396</v>
      </c>
      <c r="L203" s="21">
        <f t="shared" si="139"/>
        <v>294001.11774411239</v>
      </c>
      <c r="M203" s="21">
        <f t="shared" si="139"/>
        <v>342790.88716435537</v>
      </c>
      <c r="N203" s="21">
        <f t="shared" si="139"/>
        <v>390843.45040920872</v>
      </c>
      <c r="O203" s="21">
        <f t="shared" si="139"/>
        <v>440582.01648411201</v>
      </c>
      <c r="P203" s="21">
        <f t="shared" si="139"/>
        <v>444668.06271335535</v>
      </c>
      <c r="Q203" s="21">
        <f t="shared" si="139"/>
        <v>488371.94583387038</v>
      </c>
      <c r="R203" s="21">
        <f t="shared" si="139"/>
        <v>554536.55674200016</v>
      </c>
      <c r="S203" s="21">
        <f t="shared" si="139"/>
        <v>654257.2791833966</v>
      </c>
      <c r="T203" s="21">
        <f t="shared" si="139"/>
        <v>546049.43656540848</v>
      </c>
      <c r="U203" s="21">
        <f t="shared" si="139"/>
        <v>145987.87769795963</v>
      </c>
      <c r="V203" s="21">
        <f t="shared" si="139"/>
        <v>44678.707098231382</v>
      </c>
      <c r="W203" s="21">
        <f t="shared" si="139"/>
        <v>257670.32715984961</v>
      </c>
      <c r="X203" s="21">
        <f t="shared" si="139"/>
        <v>158912.65737091404</v>
      </c>
      <c r="Y203" s="21">
        <f t="shared" si="139"/>
        <v>20019.544932997916</v>
      </c>
      <c r="Z203" s="21">
        <f t="shared" si="139"/>
        <v>7983.1746490399246</v>
      </c>
      <c r="AA203" s="21">
        <f t="shared" si="139"/>
        <v>70315.985006160146</v>
      </c>
      <c r="AB203" s="21">
        <f t="shared" si="139"/>
        <v>146145.90496803215</v>
      </c>
      <c r="AC203" s="21">
        <f t="shared" si="139"/>
        <v>269059.55897813011</v>
      </c>
      <c r="AD203" s="21">
        <f t="shared" si="139"/>
        <v>376619.79767454072</v>
      </c>
      <c r="AE203" s="21">
        <f t="shared" si="139"/>
        <v>511169.24108227791</v>
      </c>
      <c r="AF203" s="21">
        <f t="shared" si="139"/>
        <v>564149.29035911453</v>
      </c>
      <c r="AG203" s="3"/>
      <c r="AH203" s="3"/>
    </row>
    <row r="204" spans="1:34" x14ac:dyDescent="0.25">
      <c r="A204" s="71">
        <f>SUM(B204:AF204)</f>
        <v>8075493.059869484</v>
      </c>
      <c r="B204" s="60">
        <f>IF($A$64&lt;=B168,IF($B$64&gt;=B168,ABS(B203),0),0)</f>
        <v>43495.220387652917</v>
      </c>
      <c r="C204" s="60">
        <f t="shared" ref="C204" si="140">IF($A$64&lt;=C168,IF($B$64&gt;=C168,ABS(C203),0),0)</f>
        <v>59521.04381621127</v>
      </c>
      <c r="D204" s="60">
        <f t="shared" ref="D204" si="141">IF($A$64&lt;=D168,IF($B$64&gt;=D168,ABS(D203),0),0)</f>
        <v>59508.888153546119</v>
      </c>
      <c r="E204" s="60">
        <f t="shared" ref="E204" si="142">IF($A$64&lt;=E168,IF($B$64&gt;=E168,ABS(E203),0),0)</f>
        <v>59561.926093797534</v>
      </c>
      <c r="F204" s="60">
        <f t="shared" ref="F204" si="143">IF($A$64&lt;=F168,IF($B$64&gt;=F168,ABS(F203),0),0)</f>
        <v>60137.918701648974</v>
      </c>
      <c r="G204" s="60">
        <f t="shared" ref="G204" si="144">IF($A$64&lt;=G168,IF($B$64&gt;=G168,ABS(G203),0),0)</f>
        <v>65932.826346164002</v>
      </c>
      <c r="H204" s="60">
        <f t="shared" ref="H204" si="145">IF($A$64&lt;=H168,IF($B$64&gt;=H168,ABS(H203),0),0)</f>
        <v>122570.54067298961</v>
      </c>
      <c r="I204" s="60">
        <f t="shared" ref="I204" si="146">IF($A$64&lt;=I168,IF($B$64&gt;=I168,ABS(I203),0),0)</f>
        <v>295613.83034036646</v>
      </c>
      <c r="J204" s="60">
        <f t="shared" ref="J204" si="147">IF($A$64&lt;=J168,IF($B$64&gt;=J168,ABS(J203),0),0)</f>
        <v>306829.00764539576</v>
      </c>
      <c r="K204" s="60">
        <f t="shared" ref="K204" si="148">IF($A$64&lt;=K168,IF($B$64&gt;=K168,ABS(K203),0),0)</f>
        <v>273509.03789464396</v>
      </c>
      <c r="L204" s="60">
        <f t="shared" ref="L204" si="149">IF($A$64&lt;=L168,IF($B$64&gt;=L168,ABS(L203),0),0)</f>
        <v>294001.11774411239</v>
      </c>
      <c r="M204" s="60">
        <f t="shared" ref="M204" si="150">IF($A$64&lt;=M168,IF($B$64&gt;=M168,ABS(M203),0),0)</f>
        <v>342790.88716435537</v>
      </c>
      <c r="N204" s="60">
        <f t="shared" ref="N204" si="151">IF($A$64&lt;=N168,IF($B$64&gt;=N168,ABS(N203),0),0)</f>
        <v>390843.45040920872</v>
      </c>
      <c r="O204" s="60">
        <f t="shared" ref="O204" si="152">IF($A$64&lt;=O168,IF($B$64&gt;=O168,ABS(O203),0),0)</f>
        <v>440582.01648411201</v>
      </c>
      <c r="P204" s="60">
        <f t="shared" ref="P204" si="153">IF($A$64&lt;=P168,IF($B$64&gt;=P168,ABS(P203),0),0)</f>
        <v>444668.06271335535</v>
      </c>
      <c r="Q204" s="60">
        <f t="shared" ref="Q204" si="154">IF($A$64&lt;=Q168,IF($B$64&gt;=Q168,ABS(Q203),0),0)</f>
        <v>488371.94583387038</v>
      </c>
      <c r="R204" s="60">
        <f t="shared" ref="R204" si="155">IF($A$64&lt;=R168,IF($B$64&gt;=R168,ABS(R203),0),0)</f>
        <v>554536.55674200016</v>
      </c>
      <c r="S204" s="60">
        <f t="shared" ref="S204" si="156">IF($A$64&lt;=S168,IF($B$64&gt;=S168,ABS(S203),0),0)</f>
        <v>654257.2791833966</v>
      </c>
      <c r="T204" s="60">
        <f t="shared" ref="T204" si="157">IF($A$64&lt;=T168,IF($B$64&gt;=T168,ABS(T203),0),0)</f>
        <v>546049.43656540848</v>
      </c>
      <c r="U204" s="60">
        <f t="shared" ref="U204" si="158">IF($A$64&lt;=U168,IF($B$64&gt;=U168,ABS(U203),0),0)</f>
        <v>145987.87769795963</v>
      </c>
      <c r="V204" s="60">
        <f t="shared" ref="V204" si="159">IF($A$64&lt;=V168,IF($B$64&gt;=V168,ABS(V203),0),0)</f>
        <v>44678.707098231382</v>
      </c>
      <c r="W204" s="60">
        <f t="shared" ref="W204" si="160">IF($A$64&lt;=W168,IF($B$64&gt;=W168,ABS(W203),0),0)</f>
        <v>257670.32715984961</v>
      </c>
      <c r="X204" s="60">
        <f t="shared" ref="X204" si="161">IF($A$64&lt;=X168,IF($B$64&gt;=X168,ABS(X203),0),0)</f>
        <v>158912.65737091404</v>
      </c>
      <c r="Y204" s="60">
        <f t="shared" ref="Y204" si="162">IF($A$64&lt;=Y168,IF($B$64&gt;=Y168,ABS(Y203),0),0)</f>
        <v>20019.544932997916</v>
      </c>
      <c r="Z204" s="60">
        <f t="shared" ref="Z204" si="163">IF($A$64&lt;=Z168,IF($B$64&gt;=Z168,ABS(Z203),0),0)</f>
        <v>7983.1746490399246</v>
      </c>
      <c r="AA204" s="60">
        <f t="shared" ref="AA204" si="164">IF($A$64&lt;=AA168,IF($B$64&gt;=AA168,ABS(AA203),0),0)</f>
        <v>70315.985006160146</v>
      </c>
      <c r="AB204" s="60">
        <f t="shared" ref="AB204" si="165">IF($A$64&lt;=AB168,IF($B$64&gt;=AB168,ABS(AB203),0),0)</f>
        <v>146145.90496803215</v>
      </c>
      <c r="AC204" s="60">
        <f t="shared" ref="AC204" si="166">IF($A$64&lt;=AC168,IF($B$64&gt;=AC168,ABS(AC203),0),0)</f>
        <v>269059.55897813011</v>
      </c>
      <c r="AD204" s="60">
        <f t="shared" ref="AD204" si="167">IF($A$64&lt;=AD168,IF($B$64&gt;=AD168,ABS(AD203),0),0)</f>
        <v>376619.79767454072</v>
      </c>
      <c r="AE204" s="60">
        <f t="shared" ref="AE204" si="168">IF($A$64&lt;=AE168,IF($B$64&gt;=AE168,ABS(AE203),0),0)</f>
        <v>511169.24108227791</v>
      </c>
      <c r="AF204" s="60">
        <f t="shared" ref="AF204" si="169">IF($A$64&lt;=AF168,IF($B$64&gt;=AF168,ABS(AF203),0),0)</f>
        <v>564149.29035911453</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6992.3964680806075</v>
      </c>
      <c r="C208" s="26">
        <f>INDEX(Comparison!$AM$3:$AS$33,G$14,$D$122)</f>
        <v>6992.459052459466</v>
      </c>
      <c r="D208" s="26">
        <f>INDEX(Comparison!$AM$3:$AS$33,H$14,$D$122)</f>
        <v>6992.3628853177524</v>
      </c>
      <c r="E208" s="26">
        <f>INDEX(Comparison!$AM$3:$AS$33,I$14,$D$122)</f>
        <v>6991.7590094248426</v>
      </c>
      <c r="F208" s="26">
        <f>INDEX(Comparison!$AM$3:$AS$33,J$14,$D$122)</f>
        <v>6985.9675385002447</v>
      </c>
      <c r="G208" s="26">
        <f>INDEX(Comparison!$AM$3:$AS$33,K$14,$D$122)</f>
        <v>6936.0316435873456</v>
      </c>
      <c r="H208" s="26">
        <f>INDEX(Comparison!$AM$3:$AS$33,L$14,$D$122)</f>
        <v>6767.3497232459458</v>
      </c>
      <c r="I208" s="26">
        <f>INDEX(Comparison!$AM$3:$AS$33,M$14,$D$122)</f>
        <v>6644.5309370841214</v>
      </c>
      <c r="J208" s="26">
        <f>INDEX(Comparison!$AM$3:$AS$33,N$14,$D$122)</f>
        <v>6532.7504586905397</v>
      </c>
      <c r="K208" s="26">
        <f>INDEX(Comparison!$AM$3:$AS$33,O$14,$D$122)</f>
        <v>6406.2589516029093</v>
      </c>
      <c r="L208" s="26">
        <f>INDEX(Comparison!$AM$3:$AS$33,P$14,$D$122)</f>
        <v>6273.617616065887</v>
      </c>
      <c r="M208" s="26">
        <f>INDEX(Comparison!$AM$3:$AS$33,Q$14,$D$122)</f>
        <v>6123.1895749079549</v>
      </c>
      <c r="N208" s="26">
        <f>INDEX(Comparison!$AM$3:$AS$33,R$14,$D$122)</f>
        <v>5959.0875608576071</v>
      </c>
      <c r="O208" s="26">
        <f>INDEX(Comparison!$AM$3:$AS$33,S$14,$D$122)</f>
        <v>5781.2083401997561</v>
      </c>
      <c r="P208" s="26">
        <f>INDEX(Comparison!$AM$3:$AS$33,T$14,$D$122)</f>
        <v>5618.3452185734377</v>
      </c>
      <c r="Q208" s="26">
        <f>INDEX(Comparison!$AM$3:$AS$33,U$14,$D$122)</f>
        <v>5440.9922001853329</v>
      </c>
      <c r="R208" s="26">
        <f>INDEX(Comparison!$AM$3:$AS$33,V$14,$D$122)</f>
        <v>5221.4874412485688</v>
      </c>
      <c r="S208" s="26">
        <f>INDEX(Comparison!$AM$3:$AS$33,W$14,$D$122)</f>
        <v>4926.1795387850607</v>
      </c>
      <c r="T208" s="26">
        <f>INDEX(Comparison!$AM$3:$AS$33,X$14,$D$122)</f>
        <v>4442.9821588725517</v>
      </c>
      <c r="U208" s="26">
        <f>INDEX(Comparison!$AM$3:$AS$33,Y$14,$D$122)</f>
        <v>3752.7744100380223</v>
      </c>
      <c r="V208" s="26">
        <f>INDEX(Comparison!$AM$3:$AS$33,Z$14,$D$122)</f>
        <v>3130.6377978974938</v>
      </c>
      <c r="W208" s="26">
        <f>INDEX(Comparison!$AM$3:$AS$33,AA$14,$D$122)</f>
        <v>2685.7977977575347</v>
      </c>
      <c r="X208" s="26">
        <f>INDEX(Comparison!$AM$3:$AS$33,AB$14,$D$122)</f>
        <v>2368.346654493816</v>
      </c>
      <c r="Y208" s="26">
        <f>INDEX(Comparison!$AM$3:$AS$33,AC$14,$D$122)</f>
        <v>2132.4244867059297</v>
      </c>
      <c r="Z208" s="26">
        <f>INDEX(Comparison!$AM$3:$AS$33,AD$14,$D$122)</f>
        <v>1927.1689592855932</v>
      </c>
      <c r="AA208" s="26">
        <f>INDEX(Comparison!$AM$3:$AS$33,AE$14,$D$122)</f>
        <v>1740.579877269425</v>
      </c>
      <c r="AB208" s="26">
        <f>INDEX(Comparison!$AM$3:$AS$33,AF$14,$D$122)</f>
        <v>1552.3921804639763</v>
      </c>
      <c r="AC208" s="26">
        <f>INDEX(Comparison!$AM$3:$AS$33,AG$14,$D$122)</f>
        <v>1355.3669215252155</v>
      </c>
      <c r="AD208" s="26">
        <f>INDEX(Comparison!$AM$3:$AS$33,AH$14,$D$122)</f>
        <v>1134.9160288600715</v>
      </c>
      <c r="AE208" s="26">
        <f>INDEX(Comparison!$AM$3:$AS$33,AI$14,$D$122)</f>
        <v>892.49692017162795</v>
      </c>
      <c r="AF208" s="26">
        <f>INDEX(Comparison!$AM$3:$AS$33,AJ$14,$D$122)</f>
        <v>651.2901745739025</v>
      </c>
      <c r="AG208" s="26"/>
      <c r="AH208" s="26"/>
    </row>
    <row r="209" spans="1:34" x14ac:dyDescent="0.25">
      <c r="A209" s="70" t="s">
        <v>22</v>
      </c>
      <c r="B209" s="27">
        <f>($C$17+SUM(B210:B240))*$B$51</f>
        <v>6788.0122341691158</v>
      </c>
      <c r="C209" s="27">
        <f t="shared" ref="C209:AF209" si="170">($C$17+SUM(C210:C240))*$B$51</f>
        <v>6787.9176389726899</v>
      </c>
      <c r="D209" s="27">
        <f t="shared" si="170"/>
        <v>6786.9733200606379</v>
      </c>
      <c r="E209" s="27">
        <f t="shared" si="170"/>
        <v>6777.6915166647432</v>
      </c>
      <c r="F209" s="27">
        <f t="shared" si="170"/>
        <v>6699.2524126277676</v>
      </c>
      <c r="G209" s="27">
        <f t="shared" si="170"/>
        <v>6487.1741514650503</v>
      </c>
      <c r="H209" s="27">
        <f t="shared" si="170"/>
        <v>6402.4464646050137</v>
      </c>
      <c r="I209" s="27">
        <f t="shared" si="170"/>
        <v>6267.0133378668124</v>
      </c>
      <c r="J209" s="27">
        <f t="shared" si="170"/>
        <v>6130.7990736123938</v>
      </c>
      <c r="K209" s="27">
        <f t="shared" si="170"/>
        <v>5974.7718725919094</v>
      </c>
      <c r="L209" s="27">
        <f t="shared" si="170"/>
        <v>5807.8885175056776</v>
      </c>
      <c r="M209" s="27">
        <f t="shared" si="170"/>
        <v>5632.933541577203</v>
      </c>
      <c r="N209" s="27">
        <f t="shared" si="170"/>
        <v>5475.5109195734558</v>
      </c>
      <c r="O209" s="27">
        <f t="shared" si="170"/>
        <v>5281.1964760191349</v>
      </c>
      <c r="P209" s="27">
        <f t="shared" si="170"/>
        <v>5058.9262984619609</v>
      </c>
      <c r="Q209" s="27">
        <f t="shared" si="170"/>
        <v>4819.774588753482</v>
      </c>
      <c r="R209" s="27">
        <f t="shared" si="170"/>
        <v>4629.0845557820849</v>
      </c>
      <c r="S209" s="27">
        <f t="shared" si="170"/>
        <v>4435.1593103474206</v>
      </c>
      <c r="T209" s="27">
        <f t="shared" si="170"/>
        <v>4240.0661794086018</v>
      </c>
      <c r="U209" s="27">
        <f t="shared" si="170"/>
        <v>3907.3114819739221</v>
      </c>
      <c r="V209" s="27">
        <f t="shared" si="170"/>
        <v>3358.1029650330238</v>
      </c>
      <c r="W209" s="27">
        <f t="shared" si="170"/>
        <v>2766.4840579127494</v>
      </c>
      <c r="X209" s="27">
        <f t="shared" si="170"/>
        <v>2286.7267412483552</v>
      </c>
      <c r="Y209" s="27">
        <f t="shared" si="170"/>
        <v>1917.7876068497651</v>
      </c>
      <c r="Z209" s="27">
        <f t="shared" si="170"/>
        <v>1628.3612733602145</v>
      </c>
      <c r="AA209" s="27">
        <f t="shared" si="170"/>
        <v>1340.6026902182793</v>
      </c>
      <c r="AB209" s="27">
        <f t="shared" si="170"/>
        <v>1079.9983564703973</v>
      </c>
      <c r="AC209" s="27">
        <f t="shared" si="170"/>
        <v>804.71743157770027</v>
      </c>
      <c r="AD209" s="27">
        <f t="shared" si="170"/>
        <v>568.85428672203932</v>
      </c>
      <c r="AE209" s="27">
        <f t="shared" si="170"/>
        <v>389.57679896260601</v>
      </c>
      <c r="AF209" s="27">
        <f t="shared" si="170"/>
        <v>284.52567931146007</v>
      </c>
      <c r="AG209" s="27"/>
      <c r="AH209" s="27"/>
    </row>
    <row r="210" spans="1:34" x14ac:dyDescent="0.25">
      <c r="B210" s="3">
        <f t="shared" ref="B210:AF210" si="171">$C18*EXP(-B$207/$A18/EXP(-$D$126))</f>
        <v>1.0308617067162794E-62</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4.1217401501410011E-2</v>
      </c>
      <c r="C211" s="3">
        <f t="shared" si="172"/>
        <v>4.1204176790376315E-2</v>
      </c>
      <c r="D211" s="3">
        <f t="shared" si="172"/>
        <v>4.1072162830617494E-2</v>
      </c>
      <c r="E211" s="3">
        <f t="shared" si="172"/>
        <v>3.9775063820805423E-2</v>
      </c>
      <c r="F211" s="3">
        <f t="shared" si="172"/>
        <v>2.8856523350911066E-2</v>
      </c>
      <c r="G211" s="3">
        <f t="shared" si="172"/>
        <v>1.1656689091306168E-3</v>
      </c>
      <c r="H211" s="3">
        <f t="shared" si="172"/>
        <v>1.3486128235140971E-17</v>
      </c>
      <c r="I211" s="3">
        <f t="shared" si="172"/>
        <v>5.7943937463785019E-157</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8.4180766173462106E-3</v>
      </c>
      <c r="C212" s="3">
        <f t="shared" si="173"/>
        <v>8.4178329325447811E-3</v>
      </c>
      <c r="D212" s="3">
        <f t="shared" si="173"/>
        <v>8.415396472474454E-3</v>
      </c>
      <c r="E212" s="3">
        <f t="shared" si="173"/>
        <v>8.3910706246465554E-3</v>
      </c>
      <c r="F212" s="3">
        <f t="shared" si="173"/>
        <v>8.1516462457597704E-3</v>
      </c>
      <c r="G212" s="3">
        <f t="shared" si="173"/>
        <v>6.1027391204462123E-3</v>
      </c>
      <c r="H212" s="3">
        <f t="shared" si="173"/>
        <v>3.3753562112986648E-4</v>
      </c>
      <c r="I212" s="3">
        <f t="shared" si="173"/>
        <v>9.0420661521923191E-17</v>
      </c>
      <c r="J212" s="3">
        <f t="shared" si="173"/>
        <v>1.7208711772775667E-142</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2.0976496970012685E-2</v>
      </c>
      <c r="C213" s="3">
        <f t="shared" si="174"/>
        <v>2.0976442192684849E-2</v>
      </c>
      <c r="D213" s="3">
        <f t="shared" si="174"/>
        <v>2.0975894427273829E-2</v>
      </c>
      <c r="E213" s="3">
        <f t="shared" si="174"/>
        <v>2.0970417559821805E-2</v>
      </c>
      <c r="F213" s="3">
        <f t="shared" si="174"/>
        <v>2.0915727475162377E-2</v>
      </c>
      <c r="G213" s="3">
        <f t="shared" si="174"/>
        <v>2.0376610208066321E-2</v>
      </c>
      <c r="H213" s="3">
        <f t="shared" si="174"/>
        <v>1.5693563550098162E-2</v>
      </c>
      <c r="I213" s="3">
        <f t="shared" si="174"/>
        <v>1.1524388667654198E-3</v>
      </c>
      <c r="J213" s="3">
        <f t="shared" si="174"/>
        <v>5.2551021231263151E-15</v>
      </c>
      <c r="K213" s="3">
        <f t="shared" si="174"/>
        <v>2.0427432985057347E-128</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1.9317071221398883E-2</v>
      </c>
      <c r="C214" s="3">
        <f t="shared" si="175"/>
        <v>1.9317066670928768E-2</v>
      </c>
      <c r="D214" s="3">
        <f t="shared" si="175"/>
        <v>1.9317021166286547E-2</v>
      </c>
      <c r="E214" s="3">
        <f t="shared" si="175"/>
        <v>1.9316566125759976E-2</v>
      </c>
      <c r="F214" s="3">
        <f t="shared" si="175"/>
        <v>1.9312016310005377E-2</v>
      </c>
      <c r="G214" s="3">
        <f t="shared" si="175"/>
        <v>1.9266577052221432E-2</v>
      </c>
      <c r="H214" s="3">
        <f t="shared" si="175"/>
        <v>1.8818023435484849E-2</v>
      </c>
      <c r="I214" s="3">
        <f t="shared" si="175"/>
        <v>1.486854319470088E-2</v>
      </c>
      <c r="J214" s="3">
        <f t="shared" si="175"/>
        <v>1.4099787158933746E-3</v>
      </c>
      <c r="K214" s="3">
        <f t="shared" si="175"/>
        <v>8.2918977326180545E-14</v>
      </c>
      <c r="L214" s="3">
        <f t="shared" si="175"/>
        <v>4.1026808997887742E-116</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2.3266135171331172E-2</v>
      </c>
      <c r="C215" s="3">
        <f t="shared" si="176"/>
        <v>2.3266134676922741E-2</v>
      </c>
      <c r="D215" s="3">
        <f t="shared" si="176"/>
        <v>2.3266129732838984E-2</v>
      </c>
      <c r="E215" s="3">
        <f t="shared" si="176"/>
        <v>2.3266080292059212E-2</v>
      </c>
      <c r="F215" s="3">
        <f t="shared" si="176"/>
        <v>2.3265585890039873E-2</v>
      </c>
      <c r="G215" s="3">
        <f t="shared" si="176"/>
        <v>2.3260642447639462E-2</v>
      </c>
      <c r="H215" s="3">
        <f t="shared" si="176"/>
        <v>2.3211265757528823E-2</v>
      </c>
      <c r="I215" s="3">
        <f t="shared" si="176"/>
        <v>2.2723227109084979E-2</v>
      </c>
      <c r="J215" s="3">
        <f t="shared" si="176"/>
        <v>1.8373075485527756E-2</v>
      </c>
      <c r="K215" s="3">
        <f t="shared" si="176"/>
        <v>2.1943220225678723E-3</v>
      </c>
      <c r="L215" s="3">
        <f t="shared" si="176"/>
        <v>1.2956430992187918E-12</v>
      </c>
      <c r="M215" s="3">
        <f t="shared" si="176"/>
        <v>6.6732228949025396E-105</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2.4702959767125124E-2</v>
      </c>
      <c r="C216" s="3">
        <f t="shared" si="177"/>
        <v>2.4702959719771062E-2</v>
      </c>
      <c r="D216" s="3">
        <f t="shared" si="177"/>
        <v>2.4702959246230484E-2</v>
      </c>
      <c r="E216" s="3">
        <f t="shared" si="177"/>
        <v>2.4702954510825149E-2</v>
      </c>
      <c r="F216" s="3">
        <f t="shared" si="177"/>
        <v>2.4702907156821736E-2</v>
      </c>
      <c r="G216" s="3">
        <f t="shared" si="177"/>
        <v>2.4702433621780189E-2</v>
      </c>
      <c r="H216" s="3">
        <f t="shared" si="177"/>
        <v>2.4697698770586928E-2</v>
      </c>
      <c r="I216" s="3">
        <f t="shared" si="177"/>
        <v>2.4650400145484617E-2</v>
      </c>
      <c r="J216" s="3">
        <f t="shared" si="177"/>
        <v>2.4182367375092009E-2</v>
      </c>
      <c r="K216" s="3">
        <f t="shared" si="177"/>
        <v>1.9963984587360914E-2</v>
      </c>
      <c r="L216" s="3">
        <f t="shared" si="177"/>
        <v>2.9358329388166952E-3</v>
      </c>
      <c r="M216" s="3">
        <f t="shared" si="177"/>
        <v>1.3885849932025244E-11</v>
      </c>
      <c r="N216" s="3">
        <f t="shared" si="177"/>
        <v>7.7800744661176604E-95</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2.7399964951433802E-2</v>
      </c>
      <c r="C217" s="3">
        <f t="shared" si="178"/>
        <v>2.7399964946695696E-2</v>
      </c>
      <c r="D217" s="3">
        <f t="shared" si="178"/>
        <v>2.7399964899314632E-2</v>
      </c>
      <c r="E217" s="3">
        <f t="shared" si="178"/>
        <v>2.7399964425503989E-2</v>
      </c>
      <c r="F217" s="3">
        <f t="shared" si="178"/>
        <v>2.7399959687398001E-2</v>
      </c>
      <c r="G217" s="3">
        <f t="shared" si="178"/>
        <v>2.7399912306383219E-2</v>
      </c>
      <c r="H217" s="3">
        <f t="shared" si="178"/>
        <v>2.7399438500741658E-2</v>
      </c>
      <c r="I217" s="3">
        <f t="shared" si="178"/>
        <v>2.7394700894926322E-2</v>
      </c>
      <c r="J217" s="3">
        <f t="shared" si="178"/>
        <v>2.7347369867982481E-2</v>
      </c>
      <c r="K217" s="3">
        <f t="shared" si="178"/>
        <v>2.6878534040498614E-2</v>
      </c>
      <c r="L217" s="3">
        <f t="shared" si="178"/>
        <v>2.2610268498514535E-2</v>
      </c>
      <c r="M217" s="3">
        <f t="shared" si="178"/>
        <v>4.0115030875739772E-3</v>
      </c>
      <c r="N217" s="3">
        <f t="shared" si="178"/>
        <v>1.2397132482571588E-10</v>
      </c>
      <c r="O217" s="3">
        <f t="shared" si="178"/>
        <v>9.8505925939885783E-86</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2.1239880079353596E-2</v>
      </c>
      <c r="C218" s="3">
        <f t="shared" si="179"/>
        <v>2.1239880079022274E-2</v>
      </c>
      <c r="D218" s="3">
        <f t="shared" si="179"/>
        <v>2.1239880075709029E-2</v>
      </c>
      <c r="E218" s="3">
        <f t="shared" si="179"/>
        <v>2.1239880042576584E-2</v>
      </c>
      <c r="F218" s="3">
        <f t="shared" si="179"/>
        <v>2.1239879711252154E-2</v>
      </c>
      <c r="G218" s="3">
        <f t="shared" si="179"/>
        <v>2.1239876398008162E-2</v>
      </c>
      <c r="H218" s="3">
        <f t="shared" si="179"/>
        <v>2.1239843265596633E-2</v>
      </c>
      <c r="I218" s="3">
        <f t="shared" si="179"/>
        <v>2.1239511944323955E-2</v>
      </c>
      <c r="J218" s="3">
        <f t="shared" si="179"/>
        <v>2.1236199015840101E-2</v>
      </c>
      <c r="K218" s="3">
        <f t="shared" si="179"/>
        <v>2.1203098138897657E-2</v>
      </c>
      <c r="L218" s="3">
        <f t="shared" si="179"/>
        <v>2.0874913831112181E-2</v>
      </c>
      <c r="M218" s="3">
        <f t="shared" si="179"/>
        <v>1.7859873193091666E-2</v>
      </c>
      <c r="N218" s="3">
        <f t="shared" si="179"/>
        <v>3.7533163167978055E-3</v>
      </c>
      <c r="O218" s="3">
        <f t="shared" si="179"/>
        <v>6.3064233967581053E-10</v>
      </c>
      <c r="P218" s="3">
        <f t="shared" si="179"/>
        <v>1.1310002590316039E-77</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3.0368902624309982E-2</v>
      </c>
      <c r="C219" s="3">
        <f t="shared" si="180"/>
        <v>3.0368902624267245E-2</v>
      </c>
      <c r="D219" s="3">
        <f t="shared" si="180"/>
        <v>3.0368902623839903E-2</v>
      </c>
      <c r="E219" s="3">
        <f t="shared" si="180"/>
        <v>3.0368902619566467E-2</v>
      </c>
      <c r="F219" s="3">
        <f t="shared" si="180"/>
        <v>3.036890257683212E-2</v>
      </c>
      <c r="G219" s="3">
        <f t="shared" si="180"/>
        <v>3.0368902149488633E-2</v>
      </c>
      <c r="H219" s="3">
        <f t="shared" si="180"/>
        <v>3.0368897876054117E-2</v>
      </c>
      <c r="I219" s="3">
        <f t="shared" si="180"/>
        <v>3.0368855141742056E-2</v>
      </c>
      <c r="J219" s="3">
        <f t="shared" si="180"/>
        <v>3.0368427801928818E-2</v>
      </c>
      <c r="K219" s="3">
        <f t="shared" si="180"/>
        <v>3.0364154734518103E-2</v>
      </c>
      <c r="L219" s="3">
        <f t="shared" si="180"/>
        <v>3.0321457115364891E-2</v>
      </c>
      <c r="M219" s="3">
        <f t="shared" si="180"/>
        <v>2.9897769273602166E-2</v>
      </c>
      <c r="N219" s="3">
        <f t="shared" si="180"/>
        <v>2.5973230462694067E-2</v>
      </c>
      <c r="O219" s="3">
        <f t="shared" si="180"/>
        <v>6.3591314055437926E-3</v>
      </c>
      <c r="P219" s="3">
        <f t="shared" si="180"/>
        <v>4.9217109292579563E-9</v>
      </c>
      <c r="Q219" s="3">
        <f t="shared" si="180"/>
        <v>3.7957633855134973E-70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3.3612398706551104E-2</v>
      </c>
      <c r="C220" s="3">
        <f t="shared" si="181"/>
        <v>3.3612398706546837E-2</v>
      </c>
      <c r="D220" s="3">
        <f t="shared" si="181"/>
        <v>3.3612398706504169E-2</v>
      </c>
      <c r="E220" s="3">
        <f t="shared" si="181"/>
        <v>3.3612398706077497E-2</v>
      </c>
      <c r="F220" s="3">
        <f t="shared" si="181"/>
        <v>3.3612398701810778E-2</v>
      </c>
      <c r="G220" s="3">
        <f t="shared" si="181"/>
        <v>3.3612398659143582E-2</v>
      </c>
      <c r="H220" s="3">
        <f t="shared" si="181"/>
        <v>3.3612398232471641E-2</v>
      </c>
      <c r="I220" s="3">
        <f t="shared" si="181"/>
        <v>3.361239396575251E-2</v>
      </c>
      <c r="J220" s="3">
        <f t="shared" si="181"/>
        <v>3.3612351298590977E-2</v>
      </c>
      <c r="K220" s="3">
        <f t="shared" si="181"/>
        <v>3.3611924629954541E-2</v>
      </c>
      <c r="L220" s="3">
        <f t="shared" si="181"/>
        <v>3.3607658241461516E-2</v>
      </c>
      <c r="M220" s="3">
        <f t="shared" si="181"/>
        <v>3.3565024129678239E-2</v>
      </c>
      <c r="N220" s="3">
        <f t="shared" si="181"/>
        <v>3.3141646390233301E-2</v>
      </c>
      <c r="O220" s="3">
        <f t="shared" si="181"/>
        <v>2.9190748705343737E-2</v>
      </c>
      <c r="P220" s="3">
        <f t="shared" si="181"/>
        <v>8.2026991678727981E-3</v>
      </c>
      <c r="Q220" s="3">
        <f t="shared" si="181"/>
        <v>2.5180960039095507E-8</v>
      </c>
      <c r="R220" s="3">
        <f t="shared" si="181"/>
        <v>1.8716613841417653E-63</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3.9048719135873995E-2</v>
      </c>
      <c r="C221" s="3">
        <f t="shared" si="182"/>
        <v>3.9048719135873544E-2</v>
      </c>
      <c r="D221" s="3">
        <f t="shared" si="182"/>
        <v>3.9048719135869076E-2</v>
      </c>
      <c r="E221" s="3">
        <f t="shared" si="182"/>
        <v>3.9048719135824361E-2</v>
      </c>
      <c r="F221" s="3">
        <f t="shared" si="182"/>
        <v>3.9048719135377219E-2</v>
      </c>
      <c r="G221" s="3">
        <f t="shared" si="182"/>
        <v>3.9048719130905768E-2</v>
      </c>
      <c r="H221" s="3">
        <f t="shared" si="182"/>
        <v>3.9048719086191314E-2</v>
      </c>
      <c r="I221" s="3">
        <f t="shared" si="182"/>
        <v>3.9048718639046742E-2</v>
      </c>
      <c r="J221" s="3">
        <f t="shared" si="182"/>
        <v>3.9048714167601299E-2</v>
      </c>
      <c r="K221" s="3">
        <f t="shared" si="182"/>
        <v>3.9048669453175075E-2</v>
      </c>
      <c r="L221" s="3">
        <f t="shared" si="182"/>
        <v>3.9048222311728893E-2</v>
      </c>
      <c r="M221" s="3">
        <f t="shared" si="182"/>
        <v>3.9043751178866243E-2</v>
      </c>
      <c r="N221" s="3">
        <f t="shared" si="182"/>
        <v>3.8999067998230434E-2</v>
      </c>
      <c r="O221" s="3">
        <f t="shared" si="182"/>
        <v>3.8555039101500356E-2</v>
      </c>
      <c r="P221" s="3">
        <f t="shared" si="182"/>
        <v>3.438352063950368E-2</v>
      </c>
      <c r="Q221" s="3">
        <f t="shared" si="182"/>
        <v>1.0940629188886225E-2</v>
      </c>
      <c r="R221" s="3">
        <f t="shared" si="182"/>
        <v>1.1640237770971282E-7</v>
      </c>
      <c r="S221" s="3">
        <f t="shared" si="182"/>
        <v>2.1635023942701784E-57</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2.2918407051060311E-2</v>
      </c>
      <c r="C222" s="3">
        <f t="shared" si="183"/>
        <v>2.291840705106029E-2</v>
      </c>
      <c r="D222" s="3">
        <f t="shared" si="183"/>
        <v>2.291840705106005E-2</v>
      </c>
      <c r="E222" s="3">
        <f t="shared" si="183"/>
        <v>2.2918407051057684E-2</v>
      </c>
      <c r="F222" s="3">
        <f t="shared" si="183"/>
        <v>2.2918407051034009E-2</v>
      </c>
      <c r="G222" s="3">
        <f t="shared" si="183"/>
        <v>2.2918407050797267E-2</v>
      </c>
      <c r="H222" s="3">
        <f t="shared" si="183"/>
        <v>2.2918407048429866E-2</v>
      </c>
      <c r="I222" s="3">
        <f t="shared" si="183"/>
        <v>2.2918407024755838E-2</v>
      </c>
      <c r="J222" s="3">
        <f t="shared" si="183"/>
        <v>2.2918406788015537E-2</v>
      </c>
      <c r="K222" s="3">
        <f t="shared" si="183"/>
        <v>2.2918404420612694E-2</v>
      </c>
      <c r="L222" s="3">
        <f t="shared" si="183"/>
        <v>2.2918380746597675E-2</v>
      </c>
      <c r="M222" s="3">
        <f t="shared" si="183"/>
        <v>2.2918144007792508E-2</v>
      </c>
      <c r="N222" s="3">
        <f t="shared" si="183"/>
        <v>2.2915776754235218E-2</v>
      </c>
      <c r="O222" s="3">
        <f t="shared" si="183"/>
        <v>2.2892117662963472E-2</v>
      </c>
      <c r="P222" s="3">
        <f t="shared" si="183"/>
        <v>2.2656866056127482E-2</v>
      </c>
      <c r="Q222" s="3">
        <f t="shared" si="183"/>
        <v>2.0433300142192849E-2</v>
      </c>
      <c r="R222" s="3">
        <f t="shared" si="183"/>
        <v>7.2731959122307888E-3</v>
      </c>
      <c r="S222" s="3">
        <f t="shared" si="183"/>
        <v>2.3746138811628615E-7</v>
      </c>
      <c r="T222" s="3">
        <f t="shared" si="183"/>
        <v>3.2679105813874681E-52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3.3426449186587111E-2</v>
      </c>
      <c r="C223" s="3">
        <f t="shared" si="184"/>
        <v>3.3426449186587104E-2</v>
      </c>
      <c r="D223" s="3">
        <f t="shared" si="184"/>
        <v>3.3426449186587076E-2</v>
      </c>
      <c r="E223" s="3">
        <f t="shared" si="184"/>
        <v>3.3426449186586764E-2</v>
      </c>
      <c r="F223" s="3">
        <f t="shared" si="184"/>
        <v>3.3426449186583648E-2</v>
      </c>
      <c r="G223" s="3">
        <f t="shared" si="184"/>
        <v>3.34264491865525E-2</v>
      </c>
      <c r="H223" s="3">
        <f t="shared" si="184"/>
        <v>3.3426449186241027E-2</v>
      </c>
      <c r="I223" s="3">
        <f t="shared" si="184"/>
        <v>3.3426449183126268E-2</v>
      </c>
      <c r="J223" s="3">
        <f t="shared" si="184"/>
        <v>3.3426449151978663E-2</v>
      </c>
      <c r="K223" s="3">
        <f t="shared" si="184"/>
        <v>3.3426448840502658E-2</v>
      </c>
      <c r="L223" s="3">
        <f t="shared" si="184"/>
        <v>3.3426445725742757E-2</v>
      </c>
      <c r="M223" s="3">
        <f t="shared" si="184"/>
        <v>3.3426414578159681E-2</v>
      </c>
      <c r="N223" s="3">
        <f t="shared" si="184"/>
        <v>3.3426103103925214E-2</v>
      </c>
      <c r="O223" s="3">
        <f t="shared" si="184"/>
        <v>3.3422988521207141E-2</v>
      </c>
      <c r="P223" s="3">
        <f t="shared" si="184"/>
        <v>3.3391858651174798E-2</v>
      </c>
      <c r="Q223" s="3">
        <f t="shared" si="184"/>
        <v>3.3082150177753247E-2</v>
      </c>
      <c r="R223" s="3">
        <f t="shared" si="184"/>
        <v>3.0138739413810487E-2</v>
      </c>
      <c r="S223" s="3">
        <f t="shared" si="184"/>
        <v>1.186966960647747E-2</v>
      </c>
      <c r="T223" s="3">
        <f t="shared" si="184"/>
        <v>1.0655506547590662E-6</v>
      </c>
      <c r="U223" s="3">
        <f t="shared" si="184"/>
        <v>3.6218361419738904E-47</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2.0205659716652863E-2</v>
      </c>
      <c r="C224" s="3">
        <f t="shared" si="185"/>
        <v>2.0205659716652863E-2</v>
      </c>
      <c r="D224" s="3">
        <f t="shared" si="185"/>
        <v>2.0205659716652859E-2</v>
      </c>
      <c r="E224" s="3">
        <f t="shared" si="185"/>
        <v>2.0205659716652846E-2</v>
      </c>
      <c r="F224" s="3">
        <f t="shared" si="185"/>
        <v>2.0205659716652676E-2</v>
      </c>
      <c r="G224" s="3">
        <f t="shared" si="185"/>
        <v>2.0205659716650975E-2</v>
      </c>
      <c r="H224" s="3">
        <f t="shared" si="185"/>
        <v>2.0205659716633989E-2</v>
      </c>
      <c r="I224" s="3">
        <f t="shared" si="185"/>
        <v>2.0205659716464146E-2</v>
      </c>
      <c r="J224" s="3">
        <f t="shared" si="185"/>
        <v>2.0205659714765692E-2</v>
      </c>
      <c r="K224" s="3">
        <f t="shared" si="185"/>
        <v>2.0205659697781143E-2</v>
      </c>
      <c r="L224" s="3">
        <f t="shared" si="185"/>
        <v>2.0205659527935668E-2</v>
      </c>
      <c r="M224" s="3">
        <f t="shared" si="185"/>
        <v>2.0205657829481007E-2</v>
      </c>
      <c r="N224" s="3">
        <f t="shared" si="185"/>
        <v>2.0205640844942231E-2</v>
      </c>
      <c r="O224" s="3">
        <f t="shared" si="185"/>
        <v>2.020547100033972E-2</v>
      </c>
      <c r="P224" s="3">
        <f t="shared" si="185"/>
        <v>2.0203772632835036E-2</v>
      </c>
      <c r="Q224" s="3">
        <f t="shared" si="185"/>
        <v>2.0186796807388527E-2</v>
      </c>
      <c r="R224" s="3">
        <f t="shared" si="185"/>
        <v>2.0017821077086356E-2</v>
      </c>
      <c r="S224" s="3">
        <f t="shared" si="185"/>
        <v>1.8403936172474166E-2</v>
      </c>
      <c r="T224" s="3">
        <f t="shared" si="185"/>
        <v>7.9405369517519583E-3</v>
      </c>
      <c r="U224" s="3">
        <f t="shared" si="185"/>
        <v>1.7751759201472527E-6</v>
      </c>
      <c r="V224" s="3">
        <f t="shared" si="185"/>
        <v>5.5354976241988245E-43</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6.7051690233169634E-2</v>
      </c>
      <c r="C225" s="3">
        <f t="shared" si="186"/>
        <v>6.7051690233169634E-2</v>
      </c>
      <c r="D225" s="3">
        <f t="shared" si="186"/>
        <v>6.7051690233169634E-2</v>
      </c>
      <c r="E225" s="3">
        <f t="shared" si="186"/>
        <v>6.705169023316962E-2</v>
      </c>
      <c r="F225" s="3">
        <f t="shared" si="186"/>
        <v>6.7051690233169578E-2</v>
      </c>
      <c r="G225" s="3">
        <f t="shared" si="186"/>
        <v>6.7051690233169065E-2</v>
      </c>
      <c r="H225" s="3">
        <f t="shared" si="186"/>
        <v>6.7051690233163985E-2</v>
      </c>
      <c r="I225" s="3">
        <f t="shared" si="186"/>
        <v>6.7051690233113137E-2</v>
      </c>
      <c r="J225" s="3">
        <f t="shared" si="186"/>
        <v>6.705169023260471E-2</v>
      </c>
      <c r="K225" s="3">
        <f t="shared" si="186"/>
        <v>6.7051690227520333E-2</v>
      </c>
      <c r="L225" s="3">
        <f t="shared" si="186"/>
        <v>6.7051690176676615E-2</v>
      </c>
      <c r="M225" s="3">
        <f t="shared" si="186"/>
        <v>6.7051689668239475E-2</v>
      </c>
      <c r="N225" s="3">
        <f t="shared" si="186"/>
        <v>6.7051684583868315E-2</v>
      </c>
      <c r="O225" s="3">
        <f t="shared" si="186"/>
        <v>6.7051633740177891E-2</v>
      </c>
      <c r="P225" s="3">
        <f t="shared" si="186"/>
        <v>6.7051125305393991E-2</v>
      </c>
      <c r="Q225" s="3">
        <f t="shared" si="186"/>
        <v>6.7046041169593229E-2</v>
      </c>
      <c r="R225" s="3">
        <f t="shared" si="186"/>
        <v>6.6995221009450254E-2</v>
      </c>
      <c r="S225" s="3">
        <f t="shared" si="186"/>
        <v>6.64891332592151E-2</v>
      </c>
      <c r="T225" s="3">
        <f t="shared" si="186"/>
        <v>6.1633828582654426E-2</v>
      </c>
      <c r="U225" s="3">
        <f t="shared" si="186"/>
        <v>2.8873796532264927E-2</v>
      </c>
      <c r="V225" s="3">
        <f t="shared" si="186"/>
        <v>1.4701151318851059E-5</v>
      </c>
      <c r="W225" s="3">
        <f t="shared" si="186"/>
        <v>1.7211784827990912E-38</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9.6586583164285408E-2</v>
      </c>
      <c r="C226" s="3">
        <f t="shared" si="187"/>
        <v>9.6586583164285408E-2</v>
      </c>
      <c r="D226" s="3">
        <f t="shared" si="187"/>
        <v>9.6586583164285408E-2</v>
      </c>
      <c r="E226" s="3">
        <f t="shared" si="187"/>
        <v>9.6586583164285408E-2</v>
      </c>
      <c r="F226" s="3">
        <f t="shared" si="187"/>
        <v>9.6586583164285394E-2</v>
      </c>
      <c r="G226" s="3">
        <f t="shared" si="187"/>
        <v>9.6586583164285339E-2</v>
      </c>
      <c r="H226" s="3">
        <f t="shared" si="187"/>
        <v>9.6586583164284673E-2</v>
      </c>
      <c r="I226" s="3">
        <f t="shared" si="187"/>
        <v>9.6586583164278067E-2</v>
      </c>
      <c r="J226" s="3">
        <f t="shared" si="187"/>
        <v>9.6586583164211995E-2</v>
      </c>
      <c r="K226" s="3">
        <f t="shared" si="187"/>
        <v>9.6586583163551315E-2</v>
      </c>
      <c r="L226" s="3">
        <f t="shared" si="187"/>
        <v>9.6586583156944517E-2</v>
      </c>
      <c r="M226" s="3">
        <f t="shared" si="187"/>
        <v>9.658658309087656E-2</v>
      </c>
      <c r="N226" s="3">
        <f t="shared" si="187"/>
        <v>9.658658243019691E-2</v>
      </c>
      <c r="O226" s="3">
        <f t="shared" si="187"/>
        <v>9.6586575823400675E-2</v>
      </c>
      <c r="P226" s="3">
        <f t="shared" si="187"/>
        <v>9.6586509755463179E-2</v>
      </c>
      <c r="Q226" s="3">
        <f t="shared" si="187"/>
        <v>9.6585849078573788E-2</v>
      </c>
      <c r="R226" s="3">
        <f t="shared" si="187"/>
        <v>9.6579242558230888E-2</v>
      </c>
      <c r="S226" s="3">
        <f t="shared" si="187"/>
        <v>9.6513202203613674E-2</v>
      </c>
      <c r="T226" s="3">
        <f t="shared" si="187"/>
        <v>9.5855277261108401E-2</v>
      </c>
      <c r="U226" s="3">
        <f t="shared" si="187"/>
        <v>8.9517728219656215E-2</v>
      </c>
      <c r="V226" s="3">
        <f t="shared" si="187"/>
        <v>4.5168877325010598E-2</v>
      </c>
      <c r="W226" s="3">
        <f t="shared" si="187"/>
        <v>4.8321648037066771E-5</v>
      </c>
      <c r="X226" s="3">
        <f t="shared" si="187"/>
        <v>9.4878137813751888E-35</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8.375296763869805E-2</v>
      </c>
      <c r="C227" s="3">
        <f t="shared" si="188"/>
        <v>8.375296763869805E-2</v>
      </c>
      <c r="D227" s="3">
        <f t="shared" si="188"/>
        <v>8.375296763869805E-2</v>
      </c>
      <c r="E227" s="3">
        <f t="shared" si="188"/>
        <v>8.375296763869805E-2</v>
      </c>
      <c r="F227" s="3">
        <f t="shared" si="188"/>
        <v>8.375296763869805E-2</v>
      </c>
      <c r="G227" s="3">
        <f t="shared" si="188"/>
        <v>8.3752967638698037E-2</v>
      </c>
      <c r="H227" s="3">
        <f t="shared" si="188"/>
        <v>8.3752967638697995E-2</v>
      </c>
      <c r="I227" s="3">
        <f t="shared" si="188"/>
        <v>8.3752967638697468E-2</v>
      </c>
      <c r="J227" s="3">
        <f t="shared" si="188"/>
        <v>8.3752967638692305E-2</v>
      </c>
      <c r="K227" s="3">
        <f t="shared" si="188"/>
        <v>8.3752967638640638E-2</v>
      </c>
      <c r="L227" s="3">
        <f t="shared" si="188"/>
        <v>8.3752967638123829E-2</v>
      </c>
      <c r="M227" s="3">
        <f t="shared" si="188"/>
        <v>8.3752967632955852E-2</v>
      </c>
      <c r="N227" s="3">
        <f t="shared" si="188"/>
        <v>8.3752967581276039E-2</v>
      </c>
      <c r="O227" s="3">
        <f t="shared" si="188"/>
        <v>8.3752967064477921E-2</v>
      </c>
      <c r="P227" s="3">
        <f t="shared" si="188"/>
        <v>8.3752961896496933E-2</v>
      </c>
      <c r="Q227" s="3">
        <f t="shared" si="188"/>
        <v>8.3752910216704626E-2</v>
      </c>
      <c r="R227" s="3">
        <f t="shared" si="188"/>
        <v>8.3752393420535476E-2</v>
      </c>
      <c r="S227" s="3">
        <f t="shared" si="188"/>
        <v>8.3747225634229344E-2</v>
      </c>
      <c r="T227" s="3">
        <f t="shared" si="188"/>
        <v>8.3695565305699438E-2</v>
      </c>
      <c r="U227" s="3">
        <f t="shared" si="188"/>
        <v>8.3180711476863858E-2</v>
      </c>
      <c r="V227" s="3">
        <f t="shared" si="188"/>
        <v>7.8203189742500415E-2</v>
      </c>
      <c r="W227" s="3">
        <f t="shared" si="188"/>
        <v>4.2193235902775648E-2</v>
      </c>
      <c r="X227" s="3">
        <f t="shared" si="188"/>
        <v>8.819145296552854E-5</v>
      </c>
      <c r="Y227" s="3">
        <f t="shared" si="188"/>
        <v>1.4036639211260888E-31</v>
      </c>
      <c r="Z227" s="3">
        <f t="shared" si="188"/>
        <v>1.4642982128572641E-299</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5.92468529078687E-2</v>
      </c>
      <c r="C228" s="3">
        <f t="shared" si="189"/>
        <v>5.92468529078687E-2</v>
      </c>
      <c r="D228" s="3">
        <f t="shared" si="189"/>
        <v>5.92468529078687E-2</v>
      </c>
      <c r="E228" s="3">
        <f t="shared" si="189"/>
        <v>5.92468529078687E-2</v>
      </c>
      <c r="F228" s="3">
        <f t="shared" si="189"/>
        <v>5.92468529078687E-2</v>
      </c>
      <c r="G228" s="3">
        <f t="shared" si="189"/>
        <v>5.92468529078687E-2</v>
      </c>
      <c r="H228" s="3">
        <f t="shared" si="189"/>
        <v>5.9246852907868693E-2</v>
      </c>
      <c r="I228" s="3">
        <f t="shared" si="189"/>
        <v>5.9246852907868658E-2</v>
      </c>
      <c r="J228" s="3">
        <f t="shared" si="189"/>
        <v>5.9246852907868332E-2</v>
      </c>
      <c r="K228" s="3">
        <f t="shared" si="189"/>
        <v>5.9246852907865036E-2</v>
      </c>
      <c r="L228" s="3">
        <f t="shared" si="189"/>
        <v>5.9246852907832055E-2</v>
      </c>
      <c r="M228" s="3">
        <f t="shared" si="189"/>
        <v>5.924685290750227E-2</v>
      </c>
      <c r="N228" s="3">
        <f t="shared" si="189"/>
        <v>5.9246852904204408E-2</v>
      </c>
      <c r="O228" s="3">
        <f t="shared" si="189"/>
        <v>5.9246852871225775E-2</v>
      </c>
      <c r="P228" s="3">
        <f t="shared" si="189"/>
        <v>5.9246852541439493E-2</v>
      </c>
      <c r="Q228" s="3">
        <f t="shared" si="189"/>
        <v>5.9246849243576712E-2</v>
      </c>
      <c r="R228" s="3">
        <f t="shared" si="189"/>
        <v>5.9246816264958993E-2</v>
      </c>
      <c r="S228" s="3">
        <f t="shared" si="189"/>
        <v>5.9246486479791451E-2</v>
      </c>
      <c r="T228" s="3">
        <f t="shared" si="189"/>
        <v>5.9243188729076843E-2</v>
      </c>
      <c r="U228" s="3">
        <f t="shared" si="189"/>
        <v>5.9210221315928846E-2</v>
      </c>
      <c r="V228" s="3">
        <f t="shared" si="189"/>
        <v>5.8881554508453122E-2</v>
      </c>
      <c r="W228" s="3">
        <f t="shared" si="189"/>
        <v>5.569357474300568E-2</v>
      </c>
      <c r="X228" s="3">
        <f t="shared" si="189"/>
        <v>3.1920035592270586E-2</v>
      </c>
      <c r="Y228" s="3">
        <f t="shared" si="189"/>
        <v>1.2208044187992875E-4</v>
      </c>
      <c r="Z228" s="3">
        <f t="shared" si="189"/>
        <v>8.1747287117124356E-29</v>
      </c>
      <c r="AA228" s="3">
        <f t="shared" si="189"/>
        <v>1.4816509814427004E-270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5.2277759702858778E-2</v>
      </c>
      <c r="C229" s="3">
        <f t="shared" si="190"/>
        <v>5.2277759702858778E-2</v>
      </c>
      <c r="D229" s="3">
        <f t="shared" si="190"/>
        <v>5.2277759702858778E-2</v>
      </c>
      <c r="E229" s="3">
        <f t="shared" si="190"/>
        <v>5.2277759702858778E-2</v>
      </c>
      <c r="F229" s="3">
        <f t="shared" si="190"/>
        <v>5.2277759702858778E-2</v>
      </c>
      <c r="G229" s="3">
        <f t="shared" si="190"/>
        <v>5.2277759702858778E-2</v>
      </c>
      <c r="H229" s="3">
        <f t="shared" si="190"/>
        <v>5.2277759702858778E-2</v>
      </c>
      <c r="I229" s="3">
        <f t="shared" si="190"/>
        <v>5.2277759702858771E-2</v>
      </c>
      <c r="J229" s="3">
        <f t="shared" si="190"/>
        <v>5.227775970285875E-2</v>
      </c>
      <c r="K229" s="3">
        <f t="shared" si="190"/>
        <v>5.2277759702858487E-2</v>
      </c>
      <c r="L229" s="3">
        <f t="shared" si="190"/>
        <v>5.2277759702855857E-2</v>
      </c>
      <c r="M229" s="3">
        <f t="shared" si="190"/>
        <v>5.2277759702829614E-2</v>
      </c>
      <c r="N229" s="3">
        <f t="shared" si="190"/>
        <v>5.2277759702567109E-2</v>
      </c>
      <c r="O229" s="3">
        <f t="shared" si="190"/>
        <v>5.2277759699942104E-2</v>
      </c>
      <c r="P229" s="3">
        <f t="shared" si="190"/>
        <v>5.2277759673692012E-2</v>
      </c>
      <c r="Q229" s="3">
        <f t="shared" si="190"/>
        <v>5.227775941119106E-2</v>
      </c>
      <c r="R229" s="3">
        <f t="shared" si="190"/>
        <v>5.2277756786181712E-2</v>
      </c>
      <c r="S229" s="3">
        <f t="shared" si="190"/>
        <v>5.2277730536095399E-2</v>
      </c>
      <c r="T229" s="3">
        <f t="shared" si="190"/>
        <v>5.2277468035957252E-2</v>
      </c>
      <c r="U229" s="3">
        <f t="shared" si="190"/>
        <v>5.2274843107069188E-2</v>
      </c>
      <c r="V229" s="3">
        <f t="shared" si="190"/>
        <v>5.2248601066182315E-2</v>
      </c>
      <c r="W229" s="3">
        <f t="shared" si="190"/>
        <v>5.1986904111913007E-2</v>
      </c>
      <c r="X229" s="3">
        <f t="shared" si="190"/>
        <v>4.9440953805400256E-2</v>
      </c>
      <c r="Y229" s="3">
        <f t="shared" si="190"/>
        <v>2.9923727511920802E-2</v>
      </c>
      <c r="Z229" s="3">
        <f t="shared" si="190"/>
        <v>1.97380479714231E-4</v>
      </c>
      <c r="AA229" s="3">
        <f t="shared" si="190"/>
        <v>3.0774378289606015E-26</v>
      </c>
      <c r="AB229" s="3">
        <f t="shared" si="190"/>
        <v>2.6124029549893987E-244</v>
      </c>
      <c r="AC229" s="3">
        <f t="shared" si="190"/>
        <v>0</v>
      </c>
      <c r="AD229" s="3">
        <f t="shared" si="190"/>
        <v>0</v>
      </c>
      <c r="AE229" s="3">
        <f t="shared" si="190"/>
        <v>0</v>
      </c>
      <c r="AF229" s="3">
        <f t="shared" si="190"/>
        <v>0</v>
      </c>
      <c r="AG229" s="3"/>
      <c r="AH229" s="3"/>
    </row>
    <row r="230" spans="2:34" x14ac:dyDescent="0.25">
      <c r="B230" s="3">
        <f t="shared" ref="B230:AF230" si="191">$C38*EXP(-B$207/$A38/EXP(-$D$126))</f>
        <v>1.8161564482377511E-2</v>
      </c>
      <c r="C230" s="3">
        <f t="shared" si="191"/>
        <v>1.8161564482377511E-2</v>
      </c>
      <c r="D230" s="3">
        <f t="shared" si="191"/>
        <v>1.8161564482377511E-2</v>
      </c>
      <c r="E230" s="3">
        <f t="shared" si="191"/>
        <v>1.8161564482377511E-2</v>
      </c>
      <c r="F230" s="3">
        <f t="shared" si="191"/>
        <v>1.8161564482377511E-2</v>
      </c>
      <c r="G230" s="3">
        <f t="shared" si="191"/>
        <v>1.8161564482377511E-2</v>
      </c>
      <c r="H230" s="3">
        <f t="shared" si="191"/>
        <v>1.8161564482377511E-2</v>
      </c>
      <c r="I230" s="3">
        <f t="shared" si="191"/>
        <v>1.8161564482377511E-2</v>
      </c>
      <c r="J230" s="3">
        <f t="shared" si="191"/>
        <v>1.8161564482377511E-2</v>
      </c>
      <c r="K230" s="3">
        <f t="shared" si="191"/>
        <v>1.8161564482377501E-2</v>
      </c>
      <c r="L230" s="3">
        <f t="shared" si="191"/>
        <v>1.8161564482377421E-2</v>
      </c>
      <c r="M230" s="3">
        <f t="shared" si="191"/>
        <v>1.8161564482376599E-2</v>
      </c>
      <c r="N230" s="3">
        <f t="shared" si="191"/>
        <v>1.8161564482368373E-2</v>
      </c>
      <c r="O230" s="3">
        <f t="shared" si="191"/>
        <v>1.8161564482286105E-2</v>
      </c>
      <c r="P230" s="3">
        <f t="shared" si="191"/>
        <v>1.8161564481463457E-2</v>
      </c>
      <c r="Q230" s="3">
        <f t="shared" si="191"/>
        <v>1.8161564473236982E-2</v>
      </c>
      <c r="R230" s="3">
        <f t="shared" si="191"/>
        <v>1.8161564390972239E-2</v>
      </c>
      <c r="S230" s="3">
        <f t="shared" si="191"/>
        <v>1.8161563568324827E-2</v>
      </c>
      <c r="T230" s="3">
        <f t="shared" si="191"/>
        <v>1.816155534185274E-2</v>
      </c>
      <c r="U230" s="3">
        <f t="shared" si="191"/>
        <v>1.8161473077336805E-2</v>
      </c>
      <c r="V230" s="3">
        <f t="shared" si="191"/>
        <v>1.8160650452671546E-2</v>
      </c>
      <c r="W230" s="3">
        <f t="shared" si="191"/>
        <v>1.8152426255085535E-2</v>
      </c>
      <c r="X230" s="3">
        <f t="shared" si="191"/>
        <v>1.8070388842879925E-2</v>
      </c>
      <c r="Y230" s="3">
        <f t="shared" si="191"/>
        <v>1.7270132361127944E-2</v>
      </c>
      <c r="Z230" s="3">
        <f t="shared" si="191"/>
        <v>1.0979368153008687E-2</v>
      </c>
      <c r="AA230" s="3">
        <f t="shared" si="191"/>
        <v>1.1841157698350502E-4</v>
      </c>
      <c r="AB230" s="3">
        <f t="shared" si="191"/>
        <v>2.5209389999944269E-24</v>
      </c>
      <c r="AC230" s="3">
        <f t="shared" si="191"/>
        <v>4.8221871043198933E-221</v>
      </c>
      <c r="AD230" s="3">
        <f t="shared" si="191"/>
        <v>0</v>
      </c>
      <c r="AE230" s="3">
        <f t="shared" si="191"/>
        <v>0</v>
      </c>
      <c r="AF230" s="3">
        <f t="shared" si="191"/>
        <v>0</v>
      </c>
      <c r="AG230" s="3"/>
      <c r="AH230" s="3"/>
    </row>
    <row r="231" spans="2:34" x14ac:dyDescent="0.25">
      <c r="B231" s="3">
        <f t="shared" ref="B231:AF231" si="192">$C39*EXP(-B$207/$A39/EXP(-$D$126))</f>
        <v>4.1021445275655738E-2</v>
      </c>
      <c r="C231" s="3">
        <f t="shared" si="192"/>
        <v>4.1021445275655738E-2</v>
      </c>
      <c r="D231" s="3">
        <f t="shared" si="192"/>
        <v>4.1021445275655738E-2</v>
      </c>
      <c r="E231" s="3">
        <f t="shared" si="192"/>
        <v>4.1021445275655738E-2</v>
      </c>
      <c r="F231" s="3">
        <f t="shared" si="192"/>
        <v>4.1021445275655738E-2</v>
      </c>
      <c r="G231" s="3">
        <f t="shared" si="192"/>
        <v>4.1021445275655738E-2</v>
      </c>
      <c r="H231" s="3">
        <f t="shared" si="192"/>
        <v>4.1021445275655738E-2</v>
      </c>
      <c r="I231" s="3">
        <f t="shared" si="192"/>
        <v>4.1021445275655738E-2</v>
      </c>
      <c r="J231" s="3">
        <f t="shared" si="192"/>
        <v>4.1021445275655738E-2</v>
      </c>
      <c r="K231" s="3">
        <f t="shared" si="192"/>
        <v>4.1021445275655731E-2</v>
      </c>
      <c r="L231" s="3">
        <f t="shared" si="192"/>
        <v>4.1021445275655675E-2</v>
      </c>
      <c r="M231" s="3">
        <f t="shared" si="192"/>
        <v>4.1021445275655169E-2</v>
      </c>
      <c r="N231" s="3">
        <f t="shared" si="192"/>
        <v>4.1021445275650027E-2</v>
      </c>
      <c r="O231" s="3">
        <f t="shared" si="192"/>
        <v>4.1021445275598638E-2</v>
      </c>
      <c r="P231" s="3">
        <f t="shared" si="192"/>
        <v>4.1021445275084729E-2</v>
      </c>
      <c r="Q231" s="3">
        <f t="shared" si="192"/>
        <v>4.102144526994566E-2</v>
      </c>
      <c r="R231" s="3">
        <f t="shared" si="192"/>
        <v>4.102144521855499E-2</v>
      </c>
      <c r="S231" s="3">
        <f t="shared" si="192"/>
        <v>4.1021444704648261E-2</v>
      </c>
      <c r="T231" s="3">
        <f t="shared" si="192"/>
        <v>4.1021439565581283E-2</v>
      </c>
      <c r="U231" s="3">
        <f t="shared" si="192"/>
        <v>4.1021388174946938E-2</v>
      </c>
      <c r="V231" s="3">
        <f t="shared" si="192"/>
        <v>4.1020874272144452E-2</v>
      </c>
      <c r="W231" s="3">
        <f t="shared" si="192"/>
        <v>4.1015735598196802E-2</v>
      </c>
      <c r="X231" s="3">
        <f t="shared" si="192"/>
        <v>4.0964384250035395E-2</v>
      </c>
      <c r="Y231" s="3">
        <f t="shared" si="192"/>
        <v>4.0454393549923605E-2</v>
      </c>
      <c r="Z231" s="3">
        <f t="shared" si="192"/>
        <v>3.5690968550114402E-2</v>
      </c>
      <c r="AA231" s="3">
        <f t="shared" si="192"/>
        <v>1.0197288797053438E-2</v>
      </c>
      <c r="AB231" s="3">
        <f t="shared" si="192"/>
        <v>3.6961413728787901E-8</v>
      </c>
      <c r="AC231" s="3">
        <f t="shared" si="192"/>
        <v>1.4467287896012896E-62</v>
      </c>
      <c r="AD231" s="3">
        <f t="shared" si="192"/>
        <v>0</v>
      </c>
      <c r="AE231" s="3">
        <f t="shared" si="192"/>
        <v>0</v>
      </c>
      <c r="AF231" s="3">
        <f t="shared" si="192"/>
        <v>0</v>
      </c>
      <c r="AG231" s="3"/>
      <c r="AH231" s="3"/>
    </row>
    <row r="232" spans="2:34" x14ac:dyDescent="0.25">
      <c r="B232" s="3">
        <f t="shared" ref="B232:AF232" si="193">$C40*EXP(-B$207/$A40/EXP(-$D$126))</f>
        <v>3.4648052486914098E-2</v>
      </c>
      <c r="C232" s="3">
        <f t="shared" si="193"/>
        <v>3.4648052486914098E-2</v>
      </c>
      <c r="D232" s="3">
        <f t="shared" si="193"/>
        <v>3.4648052486914098E-2</v>
      </c>
      <c r="E232" s="3">
        <f t="shared" si="193"/>
        <v>3.4648052486914098E-2</v>
      </c>
      <c r="F232" s="3">
        <f t="shared" si="193"/>
        <v>3.4648052486914098E-2</v>
      </c>
      <c r="G232" s="3">
        <f t="shared" si="193"/>
        <v>3.4648052486914098E-2</v>
      </c>
      <c r="H232" s="3">
        <f t="shared" si="193"/>
        <v>3.4648052486914098E-2</v>
      </c>
      <c r="I232" s="3">
        <f t="shared" si="193"/>
        <v>3.4648052486914098E-2</v>
      </c>
      <c r="J232" s="3">
        <f t="shared" si="193"/>
        <v>3.4648052486914098E-2</v>
      </c>
      <c r="K232" s="3">
        <f t="shared" si="193"/>
        <v>3.4648052486914098E-2</v>
      </c>
      <c r="L232" s="3">
        <f t="shared" si="193"/>
        <v>3.4648052486914091E-2</v>
      </c>
      <c r="M232" s="3">
        <f t="shared" si="193"/>
        <v>3.4648052486914049E-2</v>
      </c>
      <c r="N232" s="3">
        <f t="shared" si="193"/>
        <v>3.4648052486913619E-2</v>
      </c>
      <c r="O232" s="3">
        <f t="shared" si="193"/>
        <v>3.4648052486909275E-2</v>
      </c>
      <c r="P232" s="3">
        <f t="shared" si="193"/>
        <v>3.4648052486865866E-2</v>
      </c>
      <c r="Q232" s="3">
        <f t="shared" si="193"/>
        <v>3.4648052486431803E-2</v>
      </c>
      <c r="R232" s="3">
        <f t="shared" si="193"/>
        <v>3.4648052482091185E-2</v>
      </c>
      <c r="S232" s="3">
        <f t="shared" si="193"/>
        <v>3.4648052438684941E-2</v>
      </c>
      <c r="T232" s="3">
        <f t="shared" si="193"/>
        <v>3.464805200462253E-2</v>
      </c>
      <c r="U232" s="3">
        <f t="shared" si="193"/>
        <v>3.4648047663998711E-2</v>
      </c>
      <c r="V232" s="3">
        <f t="shared" si="193"/>
        <v>3.4648004257790473E-2</v>
      </c>
      <c r="W232" s="3">
        <f t="shared" si="193"/>
        <v>3.4647570198698838E-2</v>
      </c>
      <c r="X232" s="3">
        <f t="shared" si="193"/>
        <v>3.464322990684772E-2</v>
      </c>
      <c r="Y232" s="3">
        <f t="shared" si="193"/>
        <v>3.4599856880997114E-2</v>
      </c>
      <c r="Z232" s="3">
        <f t="shared" si="193"/>
        <v>3.4169102078805927E-2</v>
      </c>
      <c r="AA232" s="3">
        <f t="shared" si="193"/>
        <v>3.0145757745084628E-2</v>
      </c>
      <c r="AB232" s="3">
        <f t="shared" si="193"/>
        <v>8.6129631730504832E-3</v>
      </c>
      <c r="AC232" s="3">
        <f t="shared" si="193"/>
        <v>3.1218817237177882E-8</v>
      </c>
      <c r="AD232" s="3">
        <f t="shared" si="193"/>
        <v>1.221954387506253E-62</v>
      </c>
      <c r="AE232" s="3">
        <f t="shared" si="193"/>
        <v>0</v>
      </c>
      <c r="AF232" s="3">
        <f t="shared" si="193"/>
        <v>0</v>
      </c>
      <c r="AG232" s="3"/>
      <c r="AH232" s="3"/>
    </row>
    <row r="233" spans="2:34" x14ac:dyDescent="0.25">
      <c r="B233" s="3">
        <f t="shared" ref="B233:AF233" si="194">$C41*EXP(-B$207/$A41/EXP(-$D$126))</f>
        <v>4.29685247400187E-2</v>
      </c>
      <c r="C233" s="3">
        <f t="shared" si="194"/>
        <v>4.29685247400187E-2</v>
      </c>
      <c r="D233" s="3">
        <f t="shared" si="194"/>
        <v>4.29685247400187E-2</v>
      </c>
      <c r="E233" s="3">
        <f t="shared" si="194"/>
        <v>4.29685247400187E-2</v>
      </c>
      <c r="F233" s="3">
        <f t="shared" si="194"/>
        <v>4.29685247400187E-2</v>
      </c>
      <c r="G233" s="3">
        <f t="shared" si="194"/>
        <v>4.29685247400187E-2</v>
      </c>
      <c r="H233" s="3">
        <f t="shared" si="194"/>
        <v>4.29685247400187E-2</v>
      </c>
      <c r="I233" s="3">
        <f t="shared" si="194"/>
        <v>4.29685247400187E-2</v>
      </c>
      <c r="J233" s="3">
        <f t="shared" si="194"/>
        <v>4.29685247400187E-2</v>
      </c>
      <c r="K233" s="3">
        <f t="shared" si="194"/>
        <v>4.29685247400187E-2</v>
      </c>
      <c r="L233" s="3">
        <f t="shared" si="194"/>
        <v>4.29685247400187E-2</v>
      </c>
      <c r="M233" s="3">
        <f t="shared" si="194"/>
        <v>4.2968524740018693E-2</v>
      </c>
      <c r="N233" s="3">
        <f t="shared" si="194"/>
        <v>4.2968524740018638E-2</v>
      </c>
      <c r="O233" s="3">
        <f t="shared" si="194"/>
        <v>4.2968524740018103E-2</v>
      </c>
      <c r="P233" s="3">
        <f t="shared" si="194"/>
        <v>4.2968524740012719E-2</v>
      </c>
      <c r="Q233" s="3">
        <f t="shared" si="194"/>
        <v>4.2968524739958887E-2</v>
      </c>
      <c r="R233" s="3">
        <f t="shared" si="194"/>
        <v>4.2968524739420588E-2</v>
      </c>
      <c r="S233" s="3">
        <f t="shared" si="194"/>
        <v>4.2968524734037596E-2</v>
      </c>
      <c r="T233" s="3">
        <f t="shared" si="194"/>
        <v>4.2968524680207669E-2</v>
      </c>
      <c r="U233" s="3">
        <f t="shared" si="194"/>
        <v>4.2968524141908396E-2</v>
      </c>
      <c r="V233" s="3">
        <f t="shared" si="194"/>
        <v>4.2968518758916038E-2</v>
      </c>
      <c r="W233" s="3">
        <f t="shared" si="194"/>
        <v>4.2968464929029539E-2</v>
      </c>
      <c r="X233" s="3">
        <f t="shared" si="194"/>
        <v>4.2967926633873575E-2</v>
      </c>
      <c r="Y233" s="3">
        <f t="shared" si="194"/>
        <v>4.2962544053197375E-2</v>
      </c>
      <c r="Z233" s="3">
        <f t="shared" si="194"/>
        <v>4.2908755317596289E-2</v>
      </c>
      <c r="AA233" s="3">
        <f t="shared" si="194"/>
        <v>4.2374557951616654E-2</v>
      </c>
      <c r="AB233" s="3">
        <f t="shared" si="194"/>
        <v>3.738503738313996E-2</v>
      </c>
      <c r="AC233" s="3">
        <f t="shared" si="194"/>
        <v>1.0681302255757785E-2</v>
      </c>
      <c r="AD233" s="3">
        <f t="shared" si="194"/>
        <v>3.8715784135816318E-8</v>
      </c>
      <c r="AE233" s="3">
        <f t="shared" si="194"/>
        <v>1.5153976504326519E-62</v>
      </c>
      <c r="AF233" s="3">
        <f t="shared" si="194"/>
        <v>0</v>
      </c>
      <c r="AG233" s="3"/>
      <c r="AH233" s="3"/>
    </row>
    <row r="234" spans="2:34" x14ac:dyDescent="0.25">
      <c r="B234" s="3">
        <f t="shared" ref="B234:AF234" si="195">$C42*EXP(-B$207/$A42/EXP(-$D$126))</f>
        <v>3.196768089181086E-2</v>
      </c>
      <c r="C234" s="3">
        <f t="shared" si="195"/>
        <v>3.196768089181086E-2</v>
      </c>
      <c r="D234" s="3">
        <f t="shared" si="195"/>
        <v>3.196768089181086E-2</v>
      </c>
      <c r="E234" s="3">
        <f t="shared" si="195"/>
        <v>3.196768089181086E-2</v>
      </c>
      <c r="F234" s="3">
        <f t="shared" si="195"/>
        <v>3.196768089181086E-2</v>
      </c>
      <c r="G234" s="3">
        <f t="shared" si="195"/>
        <v>3.196768089181086E-2</v>
      </c>
      <c r="H234" s="3">
        <f t="shared" si="195"/>
        <v>3.196768089181086E-2</v>
      </c>
      <c r="I234" s="3">
        <f t="shared" si="195"/>
        <v>3.196768089181086E-2</v>
      </c>
      <c r="J234" s="3">
        <f t="shared" si="195"/>
        <v>3.196768089181086E-2</v>
      </c>
      <c r="K234" s="3">
        <f t="shared" si="195"/>
        <v>3.196768089181086E-2</v>
      </c>
      <c r="L234" s="3">
        <f t="shared" si="195"/>
        <v>3.196768089181086E-2</v>
      </c>
      <c r="M234" s="3">
        <f t="shared" si="195"/>
        <v>3.196768089181086E-2</v>
      </c>
      <c r="N234" s="3">
        <f t="shared" si="195"/>
        <v>3.1967680891810853E-2</v>
      </c>
      <c r="O234" s="3">
        <f t="shared" si="195"/>
        <v>3.1967680891810811E-2</v>
      </c>
      <c r="P234" s="3">
        <f t="shared" si="195"/>
        <v>3.1967680891810415E-2</v>
      </c>
      <c r="Q234" s="3">
        <f t="shared" si="195"/>
        <v>3.1967680891806412E-2</v>
      </c>
      <c r="R234" s="3">
        <f t="shared" si="195"/>
        <v>3.196768089176636E-2</v>
      </c>
      <c r="S234" s="3">
        <f t="shared" si="195"/>
        <v>3.1967680891365875E-2</v>
      </c>
      <c r="T234" s="3">
        <f t="shared" si="195"/>
        <v>3.1967680887361044E-2</v>
      </c>
      <c r="U234" s="3">
        <f t="shared" si="195"/>
        <v>3.1967680847312711E-2</v>
      </c>
      <c r="V234" s="3">
        <f t="shared" si="195"/>
        <v>3.1967680446829343E-2</v>
      </c>
      <c r="W234" s="3">
        <f t="shared" si="195"/>
        <v>3.1967676441995968E-2</v>
      </c>
      <c r="X234" s="3">
        <f t="shared" si="195"/>
        <v>3.1967636393689811E-2</v>
      </c>
      <c r="Y234" s="3">
        <f t="shared" si="195"/>
        <v>3.196723591338764E-2</v>
      </c>
      <c r="Z234" s="3">
        <f t="shared" si="195"/>
        <v>3.196323138629549E-2</v>
      </c>
      <c r="AA234" s="3">
        <f t="shared" si="195"/>
        <v>3.1923213695539916E-2</v>
      </c>
      <c r="AB234" s="3">
        <f t="shared" si="195"/>
        <v>3.152578206314835E-2</v>
      </c>
      <c r="AC234" s="3">
        <f t="shared" si="195"/>
        <v>2.7813683444420669E-2</v>
      </c>
      <c r="AD234" s="3">
        <f t="shared" si="195"/>
        <v>7.9466647758336742E-3</v>
      </c>
      <c r="AE234" s="3">
        <f t="shared" si="195"/>
        <v>2.8803731108257515E-8</v>
      </c>
      <c r="AF234" s="3">
        <f t="shared" si="195"/>
        <v>1.1274240576407995E-62</v>
      </c>
      <c r="AG234" s="3"/>
      <c r="AH234" s="3"/>
    </row>
    <row r="235" spans="2:34" x14ac:dyDescent="0.25">
      <c r="B235" s="3">
        <f t="shared" ref="B235:AF235" si="196">$C43*EXP(-B$207/$A43/EXP(-$D$126))</f>
        <v>2.6004568036228887E-2</v>
      </c>
      <c r="C235" s="3">
        <f t="shared" si="196"/>
        <v>2.6004568036228887E-2</v>
      </c>
      <c r="D235" s="3">
        <f t="shared" si="196"/>
        <v>2.6004568036228887E-2</v>
      </c>
      <c r="E235" s="3">
        <f t="shared" si="196"/>
        <v>2.6004568036228887E-2</v>
      </c>
      <c r="F235" s="3">
        <f t="shared" si="196"/>
        <v>2.6004568036228887E-2</v>
      </c>
      <c r="G235" s="3">
        <f t="shared" si="196"/>
        <v>2.6004568036228887E-2</v>
      </c>
      <c r="H235" s="3">
        <f t="shared" si="196"/>
        <v>2.6004568036228887E-2</v>
      </c>
      <c r="I235" s="3">
        <f t="shared" si="196"/>
        <v>2.6004568036228887E-2</v>
      </c>
      <c r="J235" s="3">
        <f t="shared" si="196"/>
        <v>2.6004568036228887E-2</v>
      </c>
      <c r="K235" s="3">
        <f t="shared" si="196"/>
        <v>2.6004568036228887E-2</v>
      </c>
      <c r="L235" s="3">
        <f t="shared" si="196"/>
        <v>2.6004568036228887E-2</v>
      </c>
      <c r="M235" s="3">
        <f t="shared" si="196"/>
        <v>2.6004568036228887E-2</v>
      </c>
      <c r="N235" s="3">
        <f t="shared" si="196"/>
        <v>2.6004568036228887E-2</v>
      </c>
      <c r="O235" s="3">
        <f t="shared" si="196"/>
        <v>2.6004568036228883E-2</v>
      </c>
      <c r="P235" s="3">
        <f t="shared" si="196"/>
        <v>2.6004568036228849E-2</v>
      </c>
      <c r="Q235" s="3">
        <f t="shared" si="196"/>
        <v>2.6004568036228526E-2</v>
      </c>
      <c r="R235" s="3">
        <f t="shared" si="196"/>
        <v>2.6004568036225265E-2</v>
      </c>
      <c r="S235" s="3">
        <f t="shared" si="196"/>
        <v>2.600456803619269E-2</v>
      </c>
      <c r="T235" s="3">
        <f t="shared" si="196"/>
        <v>2.6004568035866909E-2</v>
      </c>
      <c r="U235" s="3">
        <f t="shared" si="196"/>
        <v>2.6004568032609119E-2</v>
      </c>
      <c r="V235" s="3">
        <f t="shared" si="196"/>
        <v>2.6004568000031227E-2</v>
      </c>
      <c r="W235" s="3">
        <f t="shared" si="196"/>
        <v>2.6004567674252296E-2</v>
      </c>
      <c r="X235" s="3">
        <f t="shared" si="196"/>
        <v>2.6004564416463209E-2</v>
      </c>
      <c r="Y235" s="3">
        <f t="shared" si="196"/>
        <v>2.6004531838594774E-2</v>
      </c>
      <c r="Z235" s="3">
        <f t="shared" si="196"/>
        <v>2.600420606215512E-2</v>
      </c>
      <c r="AA235" s="3">
        <f t="shared" si="196"/>
        <v>2.6000948522217422E-2</v>
      </c>
      <c r="AB235" s="3">
        <f t="shared" si="196"/>
        <v>2.596839555832154E-2</v>
      </c>
      <c r="AC235" s="3">
        <f t="shared" si="196"/>
        <v>2.5645099102777794E-2</v>
      </c>
      <c r="AD235" s="3">
        <f t="shared" si="196"/>
        <v>2.2625439296531928E-2</v>
      </c>
      <c r="AE235" s="3">
        <f t="shared" si="196"/>
        <v>6.4643283172038804E-3</v>
      </c>
      <c r="AF235" s="3">
        <f t="shared" si="196"/>
        <v>2.3430807753520938E-8</v>
      </c>
      <c r="AG235" s="3"/>
      <c r="AH235" s="3"/>
    </row>
    <row r="236" spans="2:34" x14ac:dyDescent="0.25">
      <c r="B236" s="3">
        <f t="shared" ref="B236:AF236" si="197">$C44*EXP(-B$207/$A44/EXP(-$D$126))</f>
        <v>1.2402397350398719E-2</v>
      </c>
      <c r="C236" s="3">
        <f t="shared" si="197"/>
        <v>1.2402397350398719E-2</v>
      </c>
      <c r="D236" s="3">
        <f t="shared" si="197"/>
        <v>1.2402397350398719E-2</v>
      </c>
      <c r="E236" s="3">
        <f t="shared" si="197"/>
        <v>1.2402397350398719E-2</v>
      </c>
      <c r="F236" s="3">
        <f t="shared" si="197"/>
        <v>1.2402397350398719E-2</v>
      </c>
      <c r="G236" s="3">
        <f t="shared" si="197"/>
        <v>1.2402397350398719E-2</v>
      </c>
      <c r="H236" s="3">
        <f t="shared" si="197"/>
        <v>1.2402397350398719E-2</v>
      </c>
      <c r="I236" s="3">
        <f t="shared" si="197"/>
        <v>1.2402397350398719E-2</v>
      </c>
      <c r="J236" s="3">
        <f t="shared" si="197"/>
        <v>1.2402397350398719E-2</v>
      </c>
      <c r="K236" s="3">
        <f t="shared" si="197"/>
        <v>1.2402397350398719E-2</v>
      </c>
      <c r="L236" s="3">
        <f t="shared" si="197"/>
        <v>1.2402397350398719E-2</v>
      </c>
      <c r="M236" s="3">
        <f t="shared" si="197"/>
        <v>1.2402397350398719E-2</v>
      </c>
      <c r="N236" s="3">
        <f t="shared" si="197"/>
        <v>1.2402397350398719E-2</v>
      </c>
      <c r="O236" s="3">
        <f t="shared" si="197"/>
        <v>1.2402397350398719E-2</v>
      </c>
      <c r="P236" s="3">
        <f t="shared" si="197"/>
        <v>1.2402397350398718E-2</v>
      </c>
      <c r="Q236" s="3">
        <f t="shared" si="197"/>
        <v>1.2402397350398702E-2</v>
      </c>
      <c r="R236" s="3">
        <f t="shared" si="197"/>
        <v>1.2402397350398548E-2</v>
      </c>
      <c r="S236" s="3">
        <f t="shared" si="197"/>
        <v>1.2402397350396993E-2</v>
      </c>
      <c r="T236" s="3">
        <f t="shared" si="197"/>
        <v>1.2402397350381456E-2</v>
      </c>
      <c r="U236" s="3">
        <f t="shared" si="197"/>
        <v>1.2402397350226082E-2</v>
      </c>
      <c r="V236" s="3">
        <f t="shared" si="197"/>
        <v>1.2402397348672338E-2</v>
      </c>
      <c r="W236" s="3">
        <f t="shared" si="197"/>
        <v>1.2402397333134916E-2</v>
      </c>
      <c r="X236" s="3">
        <f t="shared" si="197"/>
        <v>1.2402397177760685E-2</v>
      </c>
      <c r="Y236" s="3">
        <f t="shared" si="197"/>
        <v>1.2402395624018485E-2</v>
      </c>
      <c r="Z236" s="3">
        <f t="shared" si="197"/>
        <v>1.2402380086607189E-2</v>
      </c>
      <c r="AA236" s="3">
        <f t="shared" si="197"/>
        <v>1.2402224713564794E-2</v>
      </c>
      <c r="AB236" s="3">
        <f t="shared" si="197"/>
        <v>1.2400671090192321E-2</v>
      </c>
      <c r="AC236" s="3">
        <f t="shared" si="197"/>
        <v>1.2385145556655004E-2</v>
      </c>
      <c r="AD236" s="3">
        <f t="shared" si="197"/>
        <v>1.223095529677286E-2</v>
      </c>
      <c r="AE236" s="3">
        <f t="shared" si="197"/>
        <v>1.079078444956196E-2</v>
      </c>
      <c r="AF236" s="3">
        <f t="shared" si="197"/>
        <v>3.0830417287340305E-3</v>
      </c>
      <c r="AG236" s="3"/>
      <c r="AH236" s="3"/>
    </row>
    <row r="237" spans="2:34" x14ac:dyDescent="0.25">
      <c r="B237" s="3">
        <f t="shared" ref="B237:AF237" si="198">$C45*EXP(-B$207/$A45/EXP(-$D$126))</f>
        <v>6.9977833887187504E-3</v>
      </c>
      <c r="C237" s="3">
        <f t="shared" si="198"/>
        <v>6.9977833887187504E-3</v>
      </c>
      <c r="D237" s="3">
        <f t="shared" si="198"/>
        <v>6.9977833887187504E-3</v>
      </c>
      <c r="E237" s="3">
        <f t="shared" si="198"/>
        <v>6.9977833887187504E-3</v>
      </c>
      <c r="F237" s="3">
        <f t="shared" si="198"/>
        <v>6.9977833887187504E-3</v>
      </c>
      <c r="G237" s="3">
        <f t="shared" si="198"/>
        <v>6.9977833887187504E-3</v>
      </c>
      <c r="H237" s="3">
        <f t="shared" si="198"/>
        <v>6.9977833887187504E-3</v>
      </c>
      <c r="I237" s="3">
        <f t="shared" si="198"/>
        <v>6.9977833887187504E-3</v>
      </c>
      <c r="J237" s="3">
        <f t="shared" si="198"/>
        <v>6.9977833887187504E-3</v>
      </c>
      <c r="K237" s="3">
        <f t="shared" si="198"/>
        <v>6.9977833887187504E-3</v>
      </c>
      <c r="L237" s="3">
        <f t="shared" si="198"/>
        <v>6.9977833887187504E-3</v>
      </c>
      <c r="M237" s="3">
        <f t="shared" si="198"/>
        <v>6.9977833887187504E-3</v>
      </c>
      <c r="N237" s="3">
        <f t="shared" si="198"/>
        <v>6.9977833887187504E-3</v>
      </c>
      <c r="O237" s="3">
        <f t="shared" si="198"/>
        <v>6.9977833887187504E-3</v>
      </c>
      <c r="P237" s="3">
        <f t="shared" si="198"/>
        <v>6.9977833887187504E-3</v>
      </c>
      <c r="Q237" s="3">
        <f t="shared" si="198"/>
        <v>6.9977833887187495E-3</v>
      </c>
      <c r="R237" s="3">
        <f t="shared" si="198"/>
        <v>6.99778338871874E-3</v>
      </c>
      <c r="S237" s="3">
        <f t="shared" si="198"/>
        <v>6.9977833887186532E-3</v>
      </c>
      <c r="T237" s="3">
        <f t="shared" si="198"/>
        <v>6.9977833887177763E-3</v>
      </c>
      <c r="U237" s="3">
        <f t="shared" si="198"/>
        <v>6.9977833887090099E-3</v>
      </c>
      <c r="V237" s="3">
        <f t="shared" si="198"/>
        <v>6.997783388621343E-3</v>
      </c>
      <c r="W237" s="3">
        <f t="shared" si="198"/>
        <v>6.997783387744678E-3</v>
      </c>
      <c r="X237" s="3">
        <f t="shared" si="198"/>
        <v>6.9977833789780239E-3</v>
      </c>
      <c r="Y237" s="3">
        <f t="shared" si="198"/>
        <v>6.9977832913114884E-3</v>
      </c>
      <c r="Z237" s="3">
        <f t="shared" si="198"/>
        <v>6.9977824146461908E-3</v>
      </c>
      <c r="AA237" s="3">
        <f t="shared" si="198"/>
        <v>6.9977736479992607E-3</v>
      </c>
      <c r="AB237" s="3">
        <f t="shared" si="198"/>
        <v>6.9976859821339913E-3</v>
      </c>
      <c r="AC237" s="3">
        <f t="shared" si="198"/>
        <v>6.9968093838827777E-3</v>
      </c>
      <c r="AD237" s="3">
        <f t="shared" si="198"/>
        <v>6.9880494387190356E-3</v>
      </c>
      <c r="AE237" s="3">
        <f t="shared" si="198"/>
        <v>6.9010509327994676E-3</v>
      </c>
      <c r="AF237" s="3">
        <f t="shared" si="198"/>
        <v>6.0884658053599371E-3</v>
      </c>
      <c r="AG237" s="3"/>
      <c r="AH237" s="3"/>
    </row>
    <row r="238" spans="2:34" x14ac:dyDescent="0.25">
      <c r="B238" s="3">
        <f t="shared" ref="B238:AF238" si="199">$C46*EXP(-B$207/$A46/EXP(-$D$126))</f>
        <v>3.0140050054937094E-3</v>
      </c>
      <c r="C238" s="3">
        <f t="shared" si="199"/>
        <v>3.0140050054937094E-3</v>
      </c>
      <c r="D238" s="3">
        <f t="shared" si="199"/>
        <v>3.0140050054937094E-3</v>
      </c>
      <c r="E238" s="3">
        <f t="shared" si="199"/>
        <v>3.0140050054937094E-3</v>
      </c>
      <c r="F238" s="3">
        <f t="shared" si="199"/>
        <v>3.0140050054937094E-3</v>
      </c>
      <c r="G238" s="3">
        <f t="shared" si="199"/>
        <v>3.0140050054937094E-3</v>
      </c>
      <c r="H238" s="3">
        <f t="shared" si="199"/>
        <v>3.0140050054937094E-3</v>
      </c>
      <c r="I238" s="3">
        <f t="shared" si="199"/>
        <v>3.0140050054937094E-3</v>
      </c>
      <c r="J238" s="3">
        <f t="shared" si="199"/>
        <v>3.0140050054937094E-3</v>
      </c>
      <c r="K238" s="3">
        <f t="shared" si="199"/>
        <v>3.0140050054937094E-3</v>
      </c>
      <c r="L238" s="3">
        <f t="shared" si="199"/>
        <v>3.0140050054937094E-3</v>
      </c>
      <c r="M238" s="3">
        <f t="shared" si="199"/>
        <v>3.0140050054937094E-3</v>
      </c>
      <c r="N238" s="3">
        <f t="shared" si="199"/>
        <v>3.0140050054937094E-3</v>
      </c>
      <c r="O238" s="3">
        <f t="shared" si="199"/>
        <v>3.0140050054937094E-3</v>
      </c>
      <c r="P238" s="3">
        <f t="shared" si="199"/>
        <v>3.0140050054937094E-3</v>
      </c>
      <c r="Q238" s="3">
        <f t="shared" si="199"/>
        <v>3.0140050054937094E-3</v>
      </c>
      <c r="R238" s="3">
        <f t="shared" si="199"/>
        <v>3.0140050054937089E-3</v>
      </c>
      <c r="S238" s="3">
        <f t="shared" si="199"/>
        <v>3.014005005493705E-3</v>
      </c>
      <c r="T238" s="3">
        <f t="shared" si="199"/>
        <v>3.0140050054936677E-3</v>
      </c>
      <c r="U238" s="3">
        <f t="shared" si="199"/>
        <v>3.0140050054932896E-3</v>
      </c>
      <c r="V238" s="3">
        <f t="shared" si="199"/>
        <v>3.0140050054895139E-3</v>
      </c>
      <c r="W238" s="3">
        <f t="shared" si="199"/>
        <v>3.0140050054517551E-3</v>
      </c>
      <c r="X238" s="3">
        <f t="shared" si="199"/>
        <v>3.0140050050741678E-3</v>
      </c>
      <c r="Y238" s="3">
        <f t="shared" si="199"/>
        <v>3.0140050012982954E-3</v>
      </c>
      <c r="Z238" s="3">
        <f t="shared" si="199"/>
        <v>3.0140049635395709E-3</v>
      </c>
      <c r="AA238" s="3">
        <f t="shared" si="199"/>
        <v>3.0140045859523481E-3</v>
      </c>
      <c r="AB238" s="3">
        <f t="shared" si="199"/>
        <v>3.0140008100827242E-3</v>
      </c>
      <c r="AC238" s="3">
        <f t="shared" si="199"/>
        <v>3.0139630516466519E-3</v>
      </c>
      <c r="AD238" s="3">
        <f t="shared" si="199"/>
        <v>3.013585493301359E-3</v>
      </c>
      <c r="AE238" s="3">
        <f t="shared" si="199"/>
        <v>3.0098125101858863E-3</v>
      </c>
      <c r="AF238" s="3">
        <f t="shared" si="199"/>
        <v>2.9723415114786714E-3</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1.1678404493635967E-2</v>
      </c>
      <c r="C240" s="3">
        <f t="shared" si="201"/>
        <v>1.1678404493635967E-2</v>
      </c>
      <c r="D240" s="3">
        <f t="shared" si="201"/>
        <v>1.1678404493635967E-2</v>
      </c>
      <c r="E240" s="3">
        <f t="shared" si="201"/>
        <v>1.1678404493635967E-2</v>
      </c>
      <c r="F240" s="3">
        <f t="shared" si="201"/>
        <v>1.1678404493635967E-2</v>
      </c>
      <c r="G240" s="3">
        <f t="shared" si="201"/>
        <v>1.1678404493635967E-2</v>
      </c>
      <c r="H240" s="3">
        <f t="shared" si="201"/>
        <v>1.1678404493635967E-2</v>
      </c>
      <c r="I240" s="3">
        <f t="shared" si="201"/>
        <v>1.1678404493635967E-2</v>
      </c>
      <c r="J240" s="3">
        <f t="shared" si="201"/>
        <v>1.1678404493635967E-2</v>
      </c>
      <c r="K240" s="3">
        <f t="shared" si="201"/>
        <v>1.1678404493635967E-2</v>
      </c>
      <c r="L240" s="3">
        <f t="shared" si="201"/>
        <v>1.1678404493635967E-2</v>
      </c>
      <c r="M240" s="3">
        <f t="shared" si="201"/>
        <v>1.1678404493635967E-2</v>
      </c>
      <c r="N240" s="3">
        <f t="shared" si="201"/>
        <v>1.1678404493635967E-2</v>
      </c>
      <c r="O240" s="3">
        <f t="shared" si="201"/>
        <v>1.1678404493635967E-2</v>
      </c>
      <c r="P240" s="3">
        <f t="shared" si="201"/>
        <v>1.1678404493635967E-2</v>
      </c>
      <c r="Q240" s="3">
        <f t="shared" si="201"/>
        <v>1.1678404493635967E-2</v>
      </c>
      <c r="R240" s="3">
        <f t="shared" si="201"/>
        <v>1.1678404493635967E-2</v>
      </c>
      <c r="S240" s="3">
        <f t="shared" si="201"/>
        <v>1.1678404493635967E-2</v>
      </c>
      <c r="T240" s="3">
        <f t="shared" si="201"/>
        <v>1.1678404493635965E-2</v>
      </c>
      <c r="U240" s="3">
        <f t="shared" si="201"/>
        <v>1.167840449363595E-2</v>
      </c>
      <c r="V240" s="3">
        <f t="shared" si="201"/>
        <v>1.1678404493635806E-2</v>
      </c>
      <c r="W240" s="3">
        <f t="shared" si="201"/>
        <v>1.1678404493634342E-2</v>
      </c>
      <c r="X240" s="3">
        <f t="shared" si="201"/>
        <v>1.1678404493619711E-2</v>
      </c>
      <c r="Y240" s="3">
        <f t="shared" si="201"/>
        <v>1.1678404493473406E-2</v>
      </c>
      <c r="Z240" s="3">
        <f t="shared" si="201"/>
        <v>1.1678404492010365E-2</v>
      </c>
      <c r="AA240" s="3">
        <f t="shared" si="201"/>
        <v>1.1678404477379943E-2</v>
      </c>
      <c r="AB240" s="3">
        <f t="shared" si="201"/>
        <v>1.1678404331075719E-2</v>
      </c>
      <c r="AC240" s="3">
        <f t="shared" si="201"/>
        <v>1.1678402868033583E-2</v>
      </c>
      <c r="AD240" s="3">
        <f t="shared" si="201"/>
        <v>1.1678388237622321E-2</v>
      </c>
      <c r="AE240" s="3">
        <f t="shared" si="201"/>
        <v>1.1678241934517747E-2</v>
      </c>
      <c r="AF240" s="3">
        <f t="shared" si="201"/>
        <v>1.1676779004274353E-2</v>
      </c>
      <c r="AG240" s="3"/>
      <c r="AH240" s="3"/>
    </row>
    <row r="241" spans="1:34" x14ac:dyDescent="0.25">
      <c r="A241" s="79">
        <f>AVERAGE(B241:AF241)</f>
        <v>0.13735970196929959</v>
      </c>
      <c r="B241" s="80">
        <f>IF($A$64&lt;=B207,IF($B$64&gt;=B207,ABS((B209-B208)/B208),0),0)</f>
        <v>2.9229497332492447E-2</v>
      </c>
      <c r="C241" s="80">
        <f t="shared" ref="C241:AF241" si="202">IF($A$64&lt;=C207,IF($B$64&gt;=C207,ABS((C209-C208)/C208),0),0)</f>
        <v>2.92517141612481E-2</v>
      </c>
      <c r="D241" s="80">
        <f t="shared" si="202"/>
        <v>2.9373413340486414E-2</v>
      </c>
      <c r="E241" s="80">
        <f t="shared" si="202"/>
        <v>3.061711544570371E-2</v>
      </c>
      <c r="F241" s="80">
        <f t="shared" si="202"/>
        <v>4.1041577174867519E-2</v>
      </c>
      <c r="G241" s="80">
        <f t="shared" si="202"/>
        <v>6.4713876058694608E-2</v>
      </c>
      <c r="H241" s="80">
        <f t="shared" si="202"/>
        <v>5.3921146913315864E-2</v>
      </c>
      <c r="I241" s="80">
        <f t="shared" si="202"/>
        <v>5.6816290388585114E-2</v>
      </c>
      <c r="J241" s="80">
        <f t="shared" si="202"/>
        <v>6.1528660496043996E-2</v>
      </c>
      <c r="K241" s="80">
        <f t="shared" si="202"/>
        <v>6.7353986510807151E-2</v>
      </c>
      <c r="L241" s="80">
        <f t="shared" si="202"/>
        <v>7.4236130899584973E-2</v>
      </c>
      <c r="M241" s="80">
        <f t="shared" si="202"/>
        <v>8.0065467079405525E-2</v>
      </c>
      <c r="N241" s="80">
        <f t="shared" si="202"/>
        <v>8.1149443827698509E-2</v>
      </c>
      <c r="O241" s="80">
        <f t="shared" si="202"/>
        <v>8.6489161911667833E-2</v>
      </c>
      <c r="P241" s="80">
        <f t="shared" si="202"/>
        <v>9.9570051028925508E-2</v>
      </c>
      <c r="Q241" s="80">
        <f t="shared" si="202"/>
        <v>0.11417358977480077</v>
      </c>
      <c r="R241" s="80">
        <f t="shared" si="202"/>
        <v>0.1134548138116038</v>
      </c>
      <c r="S241" s="80">
        <f t="shared" si="202"/>
        <v>9.9675666420948175E-2</v>
      </c>
      <c r="T241" s="80">
        <f t="shared" si="202"/>
        <v>4.5671121829451995E-2</v>
      </c>
      <c r="U241" s="80">
        <f t="shared" si="202"/>
        <v>4.1179419557578485E-2</v>
      </c>
      <c r="V241" s="80">
        <f t="shared" si="202"/>
        <v>7.2657771936534277E-2</v>
      </c>
      <c r="W241" s="80">
        <f t="shared" si="202"/>
        <v>3.0041822293019421E-2</v>
      </c>
      <c r="X241" s="80">
        <f t="shared" si="202"/>
        <v>3.4462823713154997E-2</v>
      </c>
      <c r="Y241" s="80">
        <f t="shared" si="202"/>
        <v>0.10065391820168303</v>
      </c>
      <c r="Z241" s="80">
        <f t="shared" si="202"/>
        <v>0.15505007201659557</v>
      </c>
      <c r="AA241" s="80">
        <f t="shared" si="202"/>
        <v>0.22979536433491296</v>
      </c>
      <c r="AB241" s="80">
        <f t="shared" si="202"/>
        <v>0.30430056910773068</v>
      </c>
      <c r="AC241" s="80">
        <f t="shared" si="202"/>
        <v>0.40627337232626337</v>
      </c>
      <c r="AD241" s="80">
        <f t="shared" si="202"/>
        <v>0.49876971312722934</v>
      </c>
      <c r="AE241" s="80">
        <f t="shared" si="202"/>
        <v>0.56349787863952516</v>
      </c>
      <c r="AF241" s="80">
        <f t="shared" si="202"/>
        <v>0.56313531138772821</v>
      </c>
    </row>
    <row r="242" spans="1:34" x14ac:dyDescent="0.25">
      <c r="B242" s="21">
        <f>(B209-B208)^2</f>
        <v>41772.915071587362</v>
      </c>
      <c r="C242" s="21">
        <f t="shared" ref="C242:AF242" si="203">(C209-C208)^2</f>
        <v>41837.189831168289</v>
      </c>
      <c r="D242" s="21">
        <f t="shared" si="203"/>
        <v>42184.873516506515</v>
      </c>
      <c r="E242" s="21">
        <f t="shared" si="203"/>
        <v>45824.891456595215</v>
      </c>
      <c r="F242" s="21">
        <f t="shared" si="203"/>
        <v>82205.563404070374</v>
      </c>
      <c r="G242" s="21">
        <f t="shared" si="203"/>
        <v>201473.04823431637</v>
      </c>
      <c r="H242" s="21">
        <f t="shared" si="203"/>
        <v>133154.38816677098</v>
      </c>
      <c r="I242" s="21">
        <f t="shared" si="203"/>
        <v>142519.53771880074</v>
      </c>
      <c r="J242" s="21">
        <f t="shared" si="203"/>
        <v>161564.91596623993</v>
      </c>
      <c r="K242" s="21">
        <f t="shared" si="203"/>
        <v>186181.09935344485</v>
      </c>
      <c r="L242" s="21">
        <f t="shared" si="203"/>
        <v>216903.59324570527</v>
      </c>
      <c r="M242" s="21">
        <f t="shared" si="203"/>
        <v>240350.97821720337</v>
      </c>
      <c r="N242" s="21">
        <f t="shared" si="203"/>
        <v>233846.36799566072</v>
      </c>
      <c r="O242" s="21">
        <f t="shared" si="203"/>
        <v>250011.86432137995</v>
      </c>
      <c r="P242" s="21">
        <f t="shared" si="203"/>
        <v>312949.52817869087</v>
      </c>
      <c r="Q242" s="21">
        <f t="shared" si="203"/>
        <v>385911.32075309404</v>
      </c>
      <c r="R242" s="21">
        <f t="shared" si="203"/>
        <v>350941.17870901601</v>
      </c>
      <c r="S242" s="21">
        <f t="shared" si="203"/>
        <v>241100.86473495225</v>
      </c>
      <c r="T242" s="21">
        <f t="shared" si="203"/>
        <v>41174.894721814162</v>
      </c>
      <c r="U242" s="21">
        <f t="shared" si="203"/>
        <v>23881.70660252147</v>
      </c>
      <c r="V242" s="21">
        <f t="shared" si="203"/>
        <v>51740.402259994604</v>
      </c>
      <c r="W242" s="21">
        <f t="shared" si="203"/>
        <v>6510.2725778349986</v>
      </c>
      <c r="X242" s="21">
        <f t="shared" si="203"/>
        <v>6661.8102381965464</v>
      </c>
      <c r="Y242" s="21">
        <f t="shared" si="203"/>
        <v>46068.990194389626</v>
      </c>
      <c r="Z242" s="21">
        <f t="shared" si="203"/>
        <v>89286.033168079812</v>
      </c>
      <c r="AA242" s="21">
        <f t="shared" si="203"/>
        <v>159981.75016134712</v>
      </c>
      <c r="AB242" s="21">
        <f t="shared" si="203"/>
        <v>223155.92494727645</v>
      </c>
      <c r="AC242" s="21">
        <f t="shared" si="203"/>
        <v>303214.86077945866</v>
      </c>
      <c r="AD242" s="21">
        <f t="shared" si="203"/>
        <v>320425.89591234404</v>
      </c>
      <c r="AE242" s="21">
        <f t="shared" si="203"/>
        <v>252928.64831689734</v>
      </c>
      <c r="AF242" s="21">
        <f t="shared" si="203"/>
        <v>134516.19498511415</v>
      </c>
      <c r="AG242" s="3"/>
      <c r="AH242" s="3"/>
    </row>
    <row r="243" spans="1:34" x14ac:dyDescent="0.25">
      <c r="A243" s="71">
        <f>SUM(B243:AF243)</f>
        <v>4970281.5037404709</v>
      </c>
      <c r="B243" s="60">
        <f>IF($A$64&lt;=B207,IF($B$64&gt;=B207,ABS(B242),0),0)</f>
        <v>41772.915071587362</v>
      </c>
      <c r="C243" s="60">
        <f t="shared" ref="C243" si="204">IF($A$64&lt;=C207,IF($B$64&gt;=C207,ABS(C242),0),0)</f>
        <v>41837.189831168289</v>
      </c>
      <c r="D243" s="60">
        <f t="shared" ref="D243" si="205">IF($A$64&lt;=D207,IF($B$64&gt;=D207,ABS(D242),0),0)</f>
        <v>42184.873516506515</v>
      </c>
      <c r="E243" s="60">
        <f t="shared" ref="E243" si="206">IF($A$64&lt;=E207,IF($B$64&gt;=E207,ABS(E242),0),0)</f>
        <v>45824.891456595215</v>
      </c>
      <c r="F243" s="60">
        <f t="shared" ref="F243" si="207">IF($A$64&lt;=F207,IF($B$64&gt;=F207,ABS(F242),0),0)</f>
        <v>82205.563404070374</v>
      </c>
      <c r="G243" s="60">
        <f t="shared" ref="G243" si="208">IF($A$64&lt;=G207,IF($B$64&gt;=G207,ABS(G242),0),0)</f>
        <v>201473.04823431637</v>
      </c>
      <c r="H243" s="60">
        <f t="shared" ref="H243" si="209">IF($A$64&lt;=H207,IF($B$64&gt;=H207,ABS(H242),0),0)</f>
        <v>133154.38816677098</v>
      </c>
      <c r="I243" s="60">
        <f t="shared" ref="I243" si="210">IF($A$64&lt;=I207,IF($B$64&gt;=I207,ABS(I242),0),0)</f>
        <v>142519.53771880074</v>
      </c>
      <c r="J243" s="60">
        <f t="shared" ref="J243" si="211">IF($A$64&lt;=J207,IF($B$64&gt;=J207,ABS(J242),0),0)</f>
        <v>161564.91596623993</v>
      </c>
      <c r="K243" s="60">
        <f t="shared" ref="K243" si="212">IF($A$64&lt;=K207,IF($B$64&gt;=K207,ABS(K242),0),0)</f>
        <v>186181.09935344485</v>
      </c>
      <c r="L243" s="60">
        <f t="shared" ref="L243" si="213">IF($A$64&lt;=L207,IF($B$64&gt;=L207,ABS(L242),0),0)</f>
        <v>216903.59324570527</v>
      </c>
      <c r="M243" s="60">
        <f t="shared" ref="M243" si="214">IF($A$64&lt;=M207,IF($B$64&gt;=M207,ABS(M242),0),0)</f>
        <v>240350.97821720337</v>
      </c>
      <c r="N243" s="60">
        <f t="shared" ref="N243" si="215">IF($A$64&lt;=N207,IF($B$64&gt;=N207,ABS(N242),0),0)</f>
        <v>233846.36799566072</v>
      </c>
      <c r="O243" s="60">
        <f t="shared" ref="O243" si="216">IF($A$64&lt;=O207,IF($B$64&gt;=O207,ABS(O242),0),0)</f>
        <v>250011.86432137995</v>
      </c>
      <c r="P243" s="60">
        <f t="shared" ref="P243" si="217">IF($A$64&lt;=P207,IF($B$64&gt;=P207,ABS(P242),0),0)</f>
        <v>312949.52817869087</v>
      </c>
      <c r="Q243" s="60">
        <f t="shared" ref="Q243" si="218">IF($A$64&lt;=Q207,IF($B$64&gt;=Q207,ABS(Q242),0),0)</f>
        <v>385911.32075309404</v>
      </c>
      <c r="R243" s="60">
        <f t="shared" ref="R243" si="219">IF($A$64&lt;=R207,IF($B$64&gt;=R207,ABS(R242),0),0)</f>
        <v>350941.17870901601</v>
      </c>
      <c r="S243" s="60">
        <f t="shared" ref="S243" si="220">IF($A$64&lt;=S207,IF($B$64&gt;=S207,ABS(S242),0),0)</f>
        <v>241100.86473495225</v>
      </c>
      <c r="T243" s="60">
        <f t="shared" ref="T243" si="221">IF($A$64&lt;=T207,IF($B$64&gt;=T207,ABS(T242),0),0)</f>
        <v>41174.894721814162</v>
      </c>
      <c r="U243" s="60">
        <f t="shared" ref="U243" si="222">IF($A$64&lt;=U207,IF($B$64&gt;=U207,ABS(U242),0),0)</f>
        <v>23881.70660252147</v>
      </c>
      <c r="V243" s="60">
        <f t="shared" ref="V243" si="223">IF($A$64&lt;=V207,IF($B$64&gt;=V207,ABS(V242),0),0)</f>
        <v>51740.402259994604</v>
      </c>
      <c r="W243" s="60">
        <f t="shared" ref="W243" si="224">IF($A$64&lt;=W207,IF($B$64&gt;=W207,ABS(W242),0),0)</f>
        <v>6510.2725778349986</v>
      </c>
      <c r="X243" s="60">
        <f t="shared" ref="X243" si="225">IF($A$64&lt;=X207,IF($B$64&gt;=X207,ABS(X242),0),0)</f>
        <v>6661.8102381965464</v>
      </c>
      <c r="Y243" s="60">
        <f t="shared" ref="Y243" si="226">IF($A$64&lt;=Y207,IF($B$64&gt;=Y207,ABS(Y242),0),0)</f>
        <v>46068.990194389626</v>
      </c>
      <c r="Z243" s="60">
        <f t="shared" ref="Z243" si="227">IF($A$64&lt;=Z207,IF($B$64&gt;=Z207,ABS(Z242),0),0)</f>
        <v>89286.033168079812</v>
      </c>
      <c r="AA243" s="60">
        <f t="shared" ref="AA243" si="228">IF($A$64&lt;=AA207,IF($B$64&gt;=AA207,ABS(AA242),0),0)</f>
        <v>159981.75016134712</v>
      </c>
      <c r="AB243" s="60">
        <f t="shared" ref="AB243" si="229">IF($A$64&lt;=AB207,IF($B$64&gt;=AB207,ABS(AB242),0),0)</f>
        <v>223155.92494727645</v>
      </c>
      <c r="AC243" s="60">
        <f t="shared" ref="AC243" si="230">IF($A$64&lt;=AC207,IF($B$64&gt;=AC207,ABS(AC242),0),0)</f>
        <v>303214.86077945866</v>
      </c>
      <c r="AD243" s="60">
        <f t="shared" ref="AD243" si="231">IF($A$64&lt;=AD207,IF($B$64&gt;=AD207,ABS(AD242),0),0)</f>
        <v>320425.89591234404</v>
      </c>
      <c r="AE243" s="60">
        <f t="shared" ref="AE243" si="232">IF($A$64&lt;=AE207,IF($B$64&gt;=AE207,ABS(AE242),0),0)</f>
        <v>252928.64831689734</v>
      </c>
      <c r="AF243" s="60">
        <f t="shared" ref="AF243" si="233">IF($A$64&lt;=AF207,IF($B$64&gt;=AF207,ABS(AF242),0),0)</f>
        <v>134516.19498511415</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6951.7769139036336</v>
      </c>
      <c r="C247" s="26">
        <f>INDEX(Comparison!$AM$3:$AS$33,G$14,$E$122)</f>
        <v>6950.7516447504031</v>
      </c>
      <c r="D247" s="26">
        <f>INDEX(Comparison!$AM$3:$AS$33,H$14,$E$122)</f>
        <v>6940.1985301294053</v>
      </c>
      <c r="E247" s="26">
        <f>INDEX(Comparison!$AM$3:$AS$33,I$14,$E$122)</f>
        <v>6859.1289652487367</v>
      </c>
      <c r="F247" s="26">
        <f>INDEX(Comparison!$AM$3:$AS$33,J$14,$E$122)</f>
        <v>6695.6616107202954</v>
      </c>
      <c r="G247" s="26">
        <f>INDEX(Comparison!$AM$3:$AS$33,K$14,$E$122)</f>
        <v>6579.8912612434069</v>
      </c>
      <c r="H247" s="26">
        <f>INDEX(Comparison!$AM$3:$AS$33,L$14,$E$122)</f>
        <v>6466.0632255652681</v>
      </c>
      <c r="I247" s="26">
        <f>INDEX(Comparison!$AM$3:$AS$33,M$14,$E$122)</f>
        <v>6338.9884403076148</v>
      </c>
      <c r="J247" s="26">
        <f>INDEX(Comparison!$AM$3:$AS$33,N$14,$E$122)</f>
        <v>6203.5301972004399</v>
      </c>
      <c r="K247" s="26">
        <f>INDEX(Comparison!$AM$3:$AS$33,O$14,$E$122)</f>
        <v>6050.6164561665273</v>
      </c>
      <c r="L247" s="26">
        <f>INDEX(Comparison!$AM$3:$AS$33,P$14,$E$122)</f>
        <v>5884.895018012654</v>
      </c>
      <c r="M247" s="26">
        <f>INDEX(Comparison!$AM$3:$AS$33,Q$14,$E$122)</f>
        <v>5709.3519393565812</v>
      </c>
      <c r="N247" s="26">
        <f>INDEX(Comparison!$AM$3:$AS$33,R$14,$E$122)</f>
        <v>5547.9132434192643</v>
      </c>
      <c r="O247" s="26">
        <f>INDEX(Comparison!$AM$3:$AS$33,S$14,$E$122)</f>
        <v>5364.2356794540465</v>
      </c>
      <c r="P247" s="26">
        <f>INDEX(Comparison!$AM$3:$AS$33,T$14,$E$122)</f>
        <v>5142.9380897638539</v>
      </c>
      <c r="Q247" s="26">
        <f>INDEX(Comparison!$AM$3:$AS$33,U$14,$E$122)</f>
        <v>4901.2536857987861</v>
      </c>
      <c r="R247" s="26">
        <f>INDEX(Comparison!$AM$3:$AS$33,V$14,$E$122)</f>
        <v>4661.3568218837227</v>
      </c>
      <c r="S247" s="26">
        <f>INDEX(Comparison!$AM$3:$AS$33,W$14,$E$122)</f>
        <v>4298.6774546472579</v>
      </c>
      <c r="T247" s="26">
        <f>INDEX(Comparison!$AM$3:$AS$33,X$14,$E$122)</f>
        <v>3673.7236771243274</v>
      </c>
      <c r="U247" s="26">
        <f>INDEX(Comparison!$AM$3:$AS$33,Y$14,$E$122)</f>
        <v>3055.9581241953465</v>
      </c>
      <c r="V247" s="26">
        <f>INDEX(Comparison!$AM$3:$AS$33,Z$14,$E$122)</f>
        <v>2586.4007874245467</v>
      </c>
      <c r="W247" s="26">
        <f>INDEX(Comparison!$AM$3:$AS$33,AA$14,$E$122)</f>
        <v>2247.3343211844494</v>
      </c>
      <c r="X247" s="26">
        <f>INDEX(Comparison!$AM$3:$AS$33,AB$14,$E$122)</f>
        <v>1979.307169199863</v>
      </c>
      <c r="Y247" s="26">
        <f>INDEX(Comparison!$AM$3:$AS$33,AC$14,$E$122)</f>
        <v>1753.9456058771568</v>
      </c>
      <c r="Z247" s="26">
        <f>INDEX(Comparison!$AM$3:$AS$33,AD$14,$E$122)</f>
        <v>1541.283272452644</v>
      </c>
      <c r="AA247" s="26">
        <f>INDEX(Comparison!$AM$3:$AS$33,AE$14,$E$122)</f>
        <v>1325.7320252858156</v>
      </c>
      <c r="AB247" s="26">
        <f>INDEX(Comparison!$AM$3:$AS$33,AF$14,$E$122)</f>
        <v>1090.3481138846798</v>
      </c>
      <c r="AC247" s="26">
        <f>INDEX(Comparison!$AM$3:$AS$33,AG$14,$E$122)</f>
        <v>838.64271647474698</v>
      </c>
      <c r="AD247" s="26">
        <f>INDEX(Comparison!$AM$3:$AS$33,AH$14,$E$122)</f>
        <v>600.54666630574377</v>
      </c>
      <c r="AE247" s="26">
        <f>INDEX(Comparison!$AM$3:$AS$33,AI$14,$E$122)</f>
        <v>415.97655166325364</v>
      </c>
      <c r="AF247" s="26">
        <f>INDEX(Comparison!$AM$3:$AS$33,AJ$14,$E$122)</f>
        <v>297.69240550814368</v>
      </c>
      <c r="AG247" s="26"/>
      <c r="AH247" s="26"/>
    </row>
    <row r="248" spans="1:34" x14ac:dyDescent="0.25">
      <c r="A248" s="70" t="s">
        <v>22</v>
      </c>
      <c r="B248" s="27">
        <f>($C$17+SUM(B249:B279))*$B$51</f>
        <v>6780.5633749679682</v>
      </c>
      <c r="C248" s="27">
        <f t="shared" ref="C248:AF248" si="234">($C$17+SUM(C249:C279))*$B$51</f>
        <v>6721.2053337961888</v>
      </c>
      <c r="D248" s="27">
        <f t="shared" si="234"/>
        <v>6506.5858214604295</v>
      </c>
      <c r="E248" s="27">
        <f t="shared" si="234"/>
        <v>6416.3546484572144</v>
      </c>
      <c r="F248" s="27">
        <f t="shared" si="234"/>
        <v>6286.3162219701435</v>
      </c>
      <c r="G248" s="27">
        <f t="shared" si="234"/>
        <v>6151.4957603934054</v>
      </c>
      <c r="H248" s="27">
        <f t="shared" si="234"/>
        <v>5998.9812926859904</v>
      </c>
      <c r="I248" s="27">
        <f t="shared" si="234"/>
        <v>5834.3536548693965</v>
      </c>
      <c r="J248" s="27">
        <f t="shared" si="234"/>
        <v>5660.3292284624595</v>
      </c>
      <c r="K248" s="27">
        <f t="shared" si="234"/>
        <v>5501.213922038909</v>
      </c>
      <c r="L248" s="27">
        <f t="shared" si="234"/>
        <v>5315.0759776901969</v>
      </c>
      <c r="M248" s="27">
        <f t="shared" si="234"/>
        <v>5096.2379066111089</v>
      </c>
      <c r="N248" s="27">
        <f t="shared" si="234"/>
        <v>4858.1488879770313</v>
      </c>
      <c r="O248" s="27">
        <f t="shared" si="234"/>
        <v>4655.2370953737964</v>
      </c>
      <c r="P248" s="27">
        <f t="shared" si="234"/>
        <v>4467.9723179642651</v>
      </c>
      <c r="Q248" s="27">
        <f t="shared" si="234"/>
        <v>4268.7927414077931</v>
      </c>
      <c r="R248" s="27">
        <f t="shared" si="234"/>
        <v>3976.2485711295126</v>
      </c>
      <c r="S248" s="27">
        <f t="shared" si="234"/>
        <v>3445.8818491163393</v>
      </c>
      <c r="T248" s="27">
        <f t="shared" si="234"/>
        <v>2839.264503814959</v>
      </c>
      <c r="U248" s="27">
        <f t="shared" si="234"/>
        <v>2338.5799848630518</v>
      </c>
      <c r="V248" s="27">
        <f t="shared" si="234"/>
        <v>1960.3263499299401</v>
      </c>
      <c r="W248" s="27">
        <f t="shared" si="234"/>
        <v>1656.3417742926852</v>
      </c>
      <c r="X248" s="27">
        <f t="shared" si="234"/>
        <v>1387.0752023146729</v>
      </c>
      <c r="Y248" s="27">
        <f t="shared" si="234"/>
        <v>1120.2878343132159</v>
      </c>
      <c r="Z248" s="27">
        <f t="shared" si="234"/>
        <v>849.06789195792726</v>
      </c>
      <c r="AA248" s="27">
        <f t="shared" si="234"/>
        <v>602.20073374560309</v>
      </c>
      <c r="AB248" s="27">
        <f t="shared" si="234"/>
        <v>414.48299652203963</v>
      </c>
      <c r="AC248" s="27">
        <f t="shared" si="234"/>
        <v>296.66114986415681</v>
      </c>
      <c r="AD248" s="27">
        <f t="shared" si="234"/>
        <v>236.61218465037442</v>
      </c>
      <c r="AE248" s="27">
        <f t="shared" si="234"/>
        <v>206.56377846370935</v>
      </c>
      <c r="AF248" s="27">
        <f t="shared" si="234"/>
        <v>191.85109576917736</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4.017630139902429E-2</v>
      </c>
      <c r="C250" s="3">
        <f t="shared" si="236"/>
        <v>3.1903232467778452E-2</v>
      </c>
      <c r="D250" s="3">
        <f t="shared" si="236"/>
        <v>3.1804021521913014E-3</v>
      </c>
      <c r="E250" s="3">
        <f t="shared" si="236"/>
        <v>3.0828723384713574E-13</v>
      </c>
      <c r="F250" s="3">
        <f t="shared" si="236"/>
        <v>2.2578264904736243E-113</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8.3986716109929489E-3</v>
      </c>
      <c r="C251" s="3">
        <f t="shared" si="237"/>
        <v>8.2257890278360501E-3</v>
      </c>
      <c r="D251" s="3">
        <f t="shared" si="237"/>
        <v>6.6810885402444941E-3</v>
      </c>
      <c r="E251" s="3">
        <f t="shared" si="237"/>
        <v>8.3472579150411434E-4</v>
      </c>
      <c r="F251" s="3">
        <f t="shared" si="237"/>
        <v>7.7358828902254967E-13</v>
      </c>
      <c r="G251" s="3">
        <f t="shared" si="237"/>
        <v>3.6155171498545184E-103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2.0972130441461925E-2</v>
      </c>
      <c r="C252" s="3">
        <f t="shared" si="238"/>
        <v>2.0932817901116781E-2</v>
      </c>
      <c r="D252" s="3">
        <f t="shared" si="238"/>
        <v>2.0543722844065169E-2</v>
      </c>
      <c r="E252" s="3">
        <f t="shared" si="238"/>
        <v>1.7029177269178259E-2</v>
      </c>
      <c r="F252" s="3">
        <f t="shared" si="238"/>
        <v>2.6081877863305966E-3</v>
      </c>
      <c r="G252" s="3">
        <f t="shared" si="238"/>
        <v>1.8526388264031653E-11</v>
      </c>
      <c r="H252" s="3">
        <f t="shared" si="238"/>
        <v>6.0577285383047402E-93</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1.9316708450584155E-2</v>
      </c>
      <c r="C253" s="3">
        <f t="shared" si="239"/>
        <v>1.9313439270195038E-2</v>
      </c>
      <c r="D253" s="3">
        <f t="shared" si="239"/>
        <v>1.928077788123601E-2</v>
      </c>
      <c r="E253" s="3">
        <f t="shared" si="239"/>
        <v>1.8957186523589246E-2</v>
      </c>
      <c r="F253" s="3">
        <f t="shared" si="239"/>
        <v>1.6005424623579463E-2</v>
      </c>
      <c r="G253" s="3">
        <f t="shared" si="239"/>
        <v>2.9457804314336365E-3</v>
      </c>
      <c r="H253" s="3">
        <f t="shared" si="239"/>
        <v>1.3138085895845928E-10</v>
      </c>
      <c r="I253" s="3">
        <f t="shared" si="239"/>
        <v>4.091187064787129E-84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2.3266095755961207E-2</v>
      </c>
      <c r="C254" s="3">
        <f t="shared" si="240"/>
        <v>2.3265740526236294E-2</v>
      </c>
      <c r="D254" s="3">
        <f t="shared" si="240"/>
        <v>2.3262188527276597E-2</v>
      </c>
      <c r="E254" s="3">
        <f t="shared" si="240"/>
        <v>2.3226698349779772E-2</v>
      </c>
      <c r="F254" s="3">
        <f t="shared" si="240"/>
        <v>2.2874761011789525E-2</v>
      </c>
      <c r="G254" s="3">
        <f t="shared" si="240"/>
        <v>1.963574675813605E-2</v>
      </c>
      <c r="H254" s="3">
        <f t="shared" si="240"/>
        <v>4.2653629497894545E-3</v>
      </c>
      <c r="I254" s="3">
        <f t="shared" si="240"/>
        <v>9.9779584385768033E-10</v>
      </c>
      <c r="J254" s="3">
        <f t="shared" si="240"/>
        <v>4.896645624040851E-76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2.4702955991948484E-2</v>
      </c>
      <c r="C255" s="3">
        <f t="shared" si="241"/>
        <v>2.4702921968030696E-2</v>
      </c>
      <c r="D255" s="3">
        <f t="shared" si="241"/>
        <v>2.4702581731430206E-2</v>
      </c>
      <c r="E255" s="3">
        <f t="shared" si="241"/>
        <v>2.4699179623151449E-2</v>
      </c>
      <c r="F255" s="3">
        <f t="shared" si="241"/>
        <v>2.4665184299849353E-2</v>
      </c>
      <c r="G255" s="3">
        <f t="shared" si="241"/>
        <v>2.4327793936321836E-2</v>
      </c>
      <c r="H255" s="3">
        <f t="shared" si="241"/>
        <v>2.1197584011334144E-2</v>
      </c>
      <c r="I255" s="3">
        <f t="shared" si="241"/>
        <v>5.3471544819122651E-3</v>
      </c>
      <c r="J255" s="3">
        <f t="shared" si="241"/>
        <v>5.5781012406560259E-9</v>
      </c>
      <c r="K255" s="3">
        <f t="shared" si="241"/>
        <v>8.5137913517976093E-69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2.7399964573700815E-2</v>
      </c>
      <c r="C256" s="3">
        <f t="shared" si="242"/>
        <v>2.7399961169366049E-2</v>
      </c>
      <c r="D256" s="3">
        <f t="shared" si="242"/>
        <v>2.739992712604165E-2</v>
      </c>
      <c r="E256" s="3">
        <f t="shared" si="242"/>
        <v>2.7399586695124017E-2</v>
      </c>
      <c r="F256" s="3">
        <f t="shared" si="242"/>
        <v>2.7396182618571994E-2</v>
      </c>
      <c r="G256" s="3">
        <f t="shared" si="242"/>
        <v>2.7362165104791628E-2</v>
      </c>
      <c r="H256" s="3">
        <f t="shared" si="242"/>
        <v>2.7024304487349826E-2</v>
      </c>
      <c r="I256" s="3">
        <f t="shared" si="242"/>
        <v>2.3866854718864367E-2</v>
      </c>
      <c r="J256" s="3">
        <f t="shared" si="242"/>
        <v>6.8897240752197227E-3</v>
      </c>
      <c r="K256" s="3">
        <f t="shared" si="242"/>
        <v>2.7686510815484766E-8</v>
      </c>
      <c r="L256" s="3">
        <f t="shared" si="242"/>
        <v>3.0404103891057136E-62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2.1239880052939634E-2</v>
      </c>
      <c r="C257" s="3">
        <f t="shared" si="243"/>
        <v>2.1239879814882644E-2</v>
      </c>
      <c r="D257" s="3">
        <f t="shared" si="243"/>
        <v>2.1239877434312913E-2</v>
      </c>
      <c r="E257" s="3">
        <f t="shared" si="243"/>
        <v>2.1239853628630279E-2</v>
      </c>
      <c r="F257" s="3">
        <f t="shared" si="243"/>
        <v>2.1239615573271409E-2</v>
      </c>
      <c r="G257" s="3">
        <f t="shared" si="243"/>
        <v>2.1237235166424059E-2</v>
      </c>
      <c r="H257" s="3">
        <f t="shared" si="243"/>
        <v>2.1213445766001433E-2</v>
      </c>
      <c r="I257" s="3">
        <f t="shared" si="243"/>
        <v>2.0977012502265583E-2</v>
      </c>
      <c r="J257" s="3">
        <f t="shared" si="243"/>
        <v>1.8752873626430432E-2</v>
      </c>
      <c r="K257" s="3">
        <f t="shared" si="243"/>
        <v>6.1137788644381411E-3</v>
      </c>
      <c r="L257" s="3">
        <f t="shared" si="243"/>
        <v>8.2933256478837315E-8</v>
      </c>
      <c r="M257" s="3">
        <f t="shared" si="243"/>
        <v>1.7495189257684942E-56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3.0368902620903099E-2</v>
      </c>
      <c r="C258" s="3">
        <f t="shared" si="244"/>
        <v>3.0368902590198418E-2</v>
      </c>
      <c r="D258" s="3">
        <f t="shared" si="244"/>
        <v>3.0368902283151627E-2</v>
      </c>
      <c r="E258" s="3">
        <f t="shared" si="244"/>
        <v>3.0368899212683882E-2</v>
      </c>
      <c r="F258" s="3">
        <f t="shared" si="244"/>
        <v>3.0368868508023492E-2</v>
      </c>
      <c r="G258" s="3">
        <f t="shared" si="244"/>
        <v>3.0368561463127018E-2</v>
      </c>
      <c r="H258" s="3">
        <f t="shared" si="244"/>
        <v>3.0365491184898123E-2</v>
      </c>
      <c r="I258" s="3">
        <f t="shared" si="244"/>
        <v>3.0334805469806887E-2</v>
      </c>
      <c r="J258" s="3">
        <f t="shared" si="244"/>
        <v>3.0029648671213695E-2</v>
      </c>
      <c r="K258" s="3">
        <f t="shared" si="244"/>
        <v>2.7141923439174327E-2</v>
      </c>
      <c r="L258" s="3">
        <f t="shared" si="244"/>
        <v>9.8751640694814419E-3</v>
      </c>
      <c r="M258" s="3">
        <f t="shared" si="244"/>
        <v>4.0140364097258801E-7</v>
      </c>
      <c r="N258" s="3">
        <f t="shared" si="244"/>
        <v>4.9425512752413398E-51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3.3612398706210946E-2</v>
      </c>
      <c r="C259" s="3">
        <f t="shared" si="245"/>
        <v>3.3612398703145308E-2</v>
      </c>
      <c r="D259" s="3">
        <f t="shared" si="245"/>
        <v>3.3612398672488879E-2</v>
      </c>
      <c r="E259" s="3">
        <f t="shared" si="245"/>
        <v>3.3612398365924591E-2</v>
      </c>
      <c r="F259" s="3">
        <f t="shared" si="245"/>
        <v>3.3612395300281858E-2</v>
      </c>
      <c r="G259" s="3">
        <f t="shared" si="245"/>
        <v>3.3612364643869942E-2</v>
      </c>
      <c r="H259" s="3">
        <f t="shared" si="245"/>
        <v>3.3612058081288615E-2</v>
      </c>
      <c r="I259" s="3">
        <f t="shared" si="245"/>
        <v>3.3608992609251868E-2</v>
      </c>
      <c r="J259" s="3">
        <f t="shared" si="245"/>
        <v>3.3578353261348289E-2</v>
      </c>
      <c r="K259" s="3">
        <f t="shared" si="245"/>
        <v>3.3273491853726522E-2</v>
      </c>
      <c r="L259" s="3">
        <f t="shared" si="245"/>
        <v>3.0373038494506233E-2</v>
      </c>
      <c r="M259" s="3">
        <f t="shared" si="245"/>
        <v>1.220075896926678E-2</v>
      </c>
      <c r="N259" s="3">
        <f t="shared" si="245"/>
        <v>1.3346669842712119E-6</v>
      </c>
      <c r="O259" s="3">
        <f t="shared" si="245"/>
        <v>3.2751682578001694E-46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3.904871913583835E-2</v>
      </c>
      <c r="C260" s="3">
        <f t="shared" si="246"/>
        <v>3.9048719135517072E-2</v>
      </c>
      <c r="D260" s="3">
        <f t="shared" si="246"/>
        <v>3.904871913230433E-2</v>
      </c>
      <c r="E260" s="3">
        <f t="shared" si="246"/>
        <v>3.9048719100176946E-2</v>
      </c>
      <c r="F260" s="3">
        <f t="shared" si="246"/>
        <v>3.9048718778903049E-2</v>
      </c>
      <c r="G260" s="3">
        <f t="shared" si="246"/>
        <v>3.9048715566164231E-2</v>
      </c>
      <c r="H260" s="3">
        <f t="shared" si="246"/>
        <v>3.9048683438790616E-2</v>
      </c>
      <c r="I260" s="3">
        <f t="shared" si="246"/>
        <v>3.9048362166508227E-2</v>
      </c>
      <c r="J260" s="3">
        <f t="shared" si="246"/>
        <v>3.9045149589060149E-2</v>
      </c>
      <c r="K260" s="3">
        <f t="shared" si="246"/>
        <v>3.9013038347734022E-2</v>
      </c>
      <c r="L260" s="3">
        <f t="shared" si="246"/>
        <v>3.8693374835497944E-2</v>
      </c>
      <c r="M260" s="3">
        <f t="shared" si="246"/>
        <v>3.5637314492528716E-2</v>
      </c>
      <c r="N260" s="3">
        <f t="shared" si="246"/>
        <v>1.5652674736684392E-2</v>
      </c>
      <c r="O260" s="3">
        <f t="shared" si="246"/>
        <v>4.1823894566666436E-6</v>
      </c>
      <c r="P260" s="3">
        <f t="shared" si="246"/>
        <v>7.7586038084160115E-42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2.2918407051058423E-2</v>
      </c>
      <c r="C261" s="3">
        <f t="shared" si="247"/>
        <v>2.2918407051041412E-2</v>
      </c>
      <c r="D261" s="3">
        <f t="shared" si="247"/>
        <v>2.2918407050871316E-2</v>
      </c>
      <c r="E261" s="3">
        <f t="shared" si="247"/>
        <v>2.2918407049170333E-2</v>
      </c>
      <c r="F261" s="3">
        <f t="shared" si="247"/>
        <v>2.2918407032160516E-2</v>
      </c>
      <c r="G261" s="3">
        <f t="shared" si="247"/>
        <v>2.2918406862062337E-2</v>
      </c>
      <c r="H261" s="3">
        <f t="shared" si="247"/>
        <v>2.2918405161080607E-2</v>
      </c>
      <c r="I261" s="3">
        <f t="shared" si="247"/>
        <v>2.2918388151270241E-2</v>
      </c>
      <c r="J261" s="3">
        <f t="shared" si="247"/>
        <v>2.2918218053860916E-2</v>
      </c>
      <c r="K261" s="3">
        <f t="shared" si="247"/>
        <v>2.2916517149200451E-2</v>
      </c>
      <c r="L261" s="3">
        <f t="shared" si="247"/>
        <v>2.2899515043964175E-2</v>
      </c>
      <c r="M261" s="3">
        <f t="shared" si="247"/>
        <v>2.2730186226045751E-2</v>
      </c>
      <c r="N261" s="3">
        <f t="shared" si="247"/>
        <v>2.1104257693893944E-2</v>
      </c>
      <c r="O261" s="3">
        <f t="shared" si="247"/>
        <v>1.0047105311318744E-2</v>
      </c>
      <c r="P261" s="3">
        <f t="shared" si="247"/>
        <v>6.0082734067049432E-6</v>
      </c>
      <c r="Q261" s="3">
        <f t="shared" si="247"/>
        <v>3.5142852752122935E-38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3.3426449186586861E-2</v>
      </c>
      <c r="C262" s="3">
        <f t="shared" si="248"/>
        <v>3.3426449186584627E-2</v>
      </c>
      <c r="D262" s="3">
        <f t="shared" si="248"/>
        <v>3.3426449186562242E-2</v>
      </c>
      <c r="E262" s="3">
        <f t="shared" si="248"/>
        <v>3.3426449186338449E-2</v>
      </c>
      <c r="F262" s="3">
        <f t="shared" si="248"/>
        <v>3.3426449184100489E-2</v>
      </c>
      <c r="G262" s="3">
        <f t="shared" si="248"/>
        <v>3.3426449161720904E-2</v>
      </c>
      <c r="H262" s="3">
        <f t="shared" si="248"/>
        <v>3.3426448937925027E-2</v>
      </c>
      <c r="I262" s="3">
        <f t="shared" si="248"/>
        <v>3.3426446699966375E-2</v>
      </c>
      <c r="J262" s="3">
        <f t="shared" si="248"/>
        <v>3.3426424320388094E-2</v>
      </c>
      <c r="K262" s="3">
        <f t="shared" si="248"/>
        <v>3.3426200525429363E-2</v>
      </c>
      <c r="L262" s="3">
        <f t="shared" si="248"/>
        <v>3.3423962658249137E-2</v>
      </c>
      <c r="M262" s="3">
        <f t="shared" si="248"/>
        <v>3.3401592225116065E-2</v>
      </c>
      <c r="N262" s="3">
        <f t="shared" si="248"/>
        <v>3.3178709723459932E-2</v>
      </c>
      <c r="O262" s="3">
        <f t="shared" si="248"/>
        <v>3.1030067772309801E-2</v>
      </c>
      <c r="P262" s="3">
        <f t="shared" si="248"/>
        <v>1.5886017498842463E-2</v>
      </c>
      <c r="Q262" s="3">
        <f t="shared" si="248"/>
        <v>1.9648896335469005E-5</v>
      </c>
      <c r="R262" s="3">
        <f t="shared" si="248"/>
        <v>1.6465290946662011E-34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2.0205659716652849E-2</v>
      </c>
      <c r="C263" s="3">
        <f t="shared" si="249"/>
        <v>2.0205659716652728E-2</v>
      </c>
      <c r="D263" s="3">
        <f t="shared" si="249"/>
        <v>2.0205659716651506E-2</v>
      </c>
      <c r="E263" s="3">
        <f t="shared" si="249"/>
        <v>2.0205659716639304E-2</v>
      </c>
      <c r="F263" s="3">
        <f t="shared" si="249"/>
        <v>2.020565971651727E-2</v>
      </c>
      <c r="G263" s="3">
        <f t="shared" si="249"/>
        <v>2.020565971529693E-2</v>
      </c>
      <c r="H263" s="3">
        <f t="shared" si="249"/>
        <v>2.0205659703093511E-2</v>
      </c>
      <c r="I263" s="3">
        <f t="shared" si="249"/>
        <v>2.020565958105934E-2</v>
      </c>
      <c r="J263" s="3">
        <f t="shared" si="249"/>
        <v>2.0205658360717669E-2</v>
      </c>
      <c r="K263" s="3">
        <f t="shared" si="249"/>
        <v>2.0205646157305027E-2</v>
      </c>
      <c r="L263" s="3">
        <f t="shared" si="249"/>
        <v>2.0205524123583972E-2</v>
      </c>
      <c r="M263" s="3">
        <f t="shared" si="249"/>
        <v>2.0204303826909506E-2</v>
      </c>
      <c r="N263" s="3">
        <f t="shared" si="249"/>
        <v>2.0192104912867489E-2</v>
      </c>
      <c r="O263" s="3">
        <f t="shared" si="249"/>
        <v>2.0070520138535063E-2</v>
      </c>
      <c r="P263" s="3">
        <f t="shared" si="249"/>
        <v>1.8894219798508267E-2</v>
      </c>
      <c r="Q263" s="3">
        <f t="shared" si="249"/>
        <v>1.0328382652107513E-2</v>
      </c>
      <c r="R263" s="3">
        <f t="shared" si="249"/>
        <v>2.4607408715123171E-5</v>
      </c>
      <c r="S263" s="3">
        <f t="shared" si="249"/>
        <v>1.4501118920564143E-31</v>
      </c>
      <c r="T263" s="3">
        <f t="shared" si="249"/>
        <v>7.3241600870204513E-294</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6.705169023316962E-2</v>
      </c>
      <c r="C264" s="3">
        <f t="shared" si="250"/>
        <v>6.7051690233169592E-2</v>
      </c>
      <c r="D264" s="3">
        <f t="shared" si="250"/>
        <v>6.7051690233169217E-2</v>
      </c>
      <c r="E264" s="3">
        <f t="shared" si="250"/>
        <v>6.7051690233165581E-2</v>
      </c>
      <c r="F264" s="3">
        <f t="shared" si="250"/>
        <v>6.7051690233129041E-2</v>
      </c>
      <c r="G264" s="3">
        <f t="shared" si="250"/>
        <v>6.7051690232763736E-2</v>
      </c>
      <c r="H264" s="3">
        <f t="shared" si="250"/>
        <v>6.7051690229110603E-2</v>
      </c>
      <c r="I264" s="3">
        <f t="shared" si="250"/>
        <v>6.7051690192579338E-2</v>
      </c>
      <c r="J264" s="3">
        <f t="shared" si="250"/>
        <v>6.7051689827266669E-2</v>
      </c>
      <c r="K264" s="3">
        <f t="shared" si="250"/>
        <v>6.7051686174140021E-2</v>
      </c>
      <c r="L264" s="3">
        <f t="shared" si="250"/>
        <v>6.7051649642884487E-2</v>
      </c>
      <c r="M264" s="3">
        <f t="shared" si="250"/>
        <v>6.705128433142396E-2</v>
      </c>
      <c r="N264" s="3">
        <f t="shared" si="250"/>
        <v>6.7047631326282983E-2</v>
      </c>
      <c r="O264" s="3">
        <f t="shared" si="250"/>
        <v>6.7011112219102345E-2</v>
      </c>
      <c r="P264" s="3">
        <f t="shared" si="250"/>
        <v>6.6647013367231306E-2</v>
      </c>
      <c r="Q264" s="3">
        <f t="shared" si="250"/>
        <v>6.3113076816468966E-2</v>
      </c>
      <c r="R264" s="3">
        <f t="shared" si="250"/>
        <v>3.6602096301776542E-2</v>
      </c>
      <c r="S264" s="3">
        <f t="shared" si="250"/>
        <v>1.5753317406590114E-4</v>
      </c>
      <c r="T264" s="3">
        <f t="shared" si="250"/>
        <v>3.4358378935031086E-28</v>
      </c>
      <c r="U264" s="3">
        <f t="shared" si="250"/>
        <v>8.3683354686619784E-265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9.6586583164285408E-2</v>
      </c>
      <c r="C265" s="3">
        <f t="shared" si="251"/>
        <v>9.6586583164285408E-2</v>
      </c>
      <c r="D265" s="3">
        <f t="shared" si="251"/>
        <v>9.6586583164285353E-2</v>
      </c>
      <c r="E265" s="3">
        <f t="shared" si="251"/>
        <v>9.6586583164284881E-2</v>
      </c>
      <c r="F265" s="3">
        <f t="shared" si="251"/>
        <v>9.6586583164280135E-2</v>
      </c>
      <c r="G265" s="3">
        <f t="shared" si="251"/>
        <v>9.6586583164232659E-2</v>
      </c>
      <c r="H265" s="3">
        <f t="shared" si="251"/>
        <v>9.6586583163757969E-2</v>
      </c>
      <c r="I265" s="3">
        <f t="shared" si="251"/>
        <v>9.6586583159010975E-2</v>
      </c>
      <c r="J265" s="3">
        <f t="shared" si="251"/>
        <v>9.6586583111541072E-2</v>
      </c>
      <c r="K265" s="3">
        <f t="shared" si="251"/>
        <v>9.6586582636841972E-2</v>
      </c>
      <c r="L265" s="3">
        <f t="shared" si="251"/>
        <v>9.658657788985113E-2</v>
      </c>
      <c r="M265" s="3">
        <f t="shared" si="251"/>
        <v>9.658653041995556E-2</v>
      </c>
      <c r="N265" s="3">
        <f t="shared" si="251"/>
        <v>9.658605572228296E-2</v>
      </c>
      <c r="O265" s="3">
        <f t="shared" si="251"/>
        <v>9.6581308873871022E-2</v>
      </c>
      <c r="P265" s="3">
        <f t="shared" si="251"/>
        <v>9.6533853218815094E-2</v>
      </c>
      <c r="Q265" s="3">
        <f t="shared" si="251"/>
        <v>9.6060577244755557E-2</v>
      </c>
      <c r="R265" s="3">
        <f t="shared" si="251"/>
        <v>9.1453576775757259E-2</v>
      </c>
      <c r="S265" s="3">
        <f t="shared" si="251"/>
        <v>5.5944285320619763E-2</v>
      </c>
      <c r="T265" s="3">
        <f t="shared" si="251"/>
        <v>4.1049330343937953E-4</v>
      </c>
      <c r="U265" s="3">
        <f t="shared" si="251"/>
        <v>1.8569898999251742E-25</v>
      </c>
      <c r="V265" s="3">
        <f t="shared" si="251"/>
        <v>6.6656758667922967E-239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8.375296763869805E-2</v>
      </c>
      <c r="C266" s="3">
        <f t="shared" si="252"/>
        <v>8.375296763869805E-2</v>
      </c>
      <c r="D266" s="3">
        <f t="shared" si="252"/>
        <v>8.375296763869805E-2</v>
      </c>
      <c r="E266" s="3">
        <f t="shared" si="252"/>
        <v>8.3752967638698009E-2</v>
      </c>
      <c r="F266" s="3">
        <f t="shared" si="252"/>
        <v>8.3752967638697648E-2</v>
      </c>
      <c r="G266" s="3">
        <f t="shared" si="252"/>
        <v>8.3752967638693929E-2</v>
      </c>
      <c r="H266" s="3">
        <f t="shared" si="252"/>
        <v>8.3752967638656792E-2</v>
      </c>
      <c r="I266" s="3">
        <f t="shared" si="252"/>
        <v>8.3752967638285464E-2</v>
      </c>
      <c r="J266" s="3">
        <f t="shared" si="252"/>
        <v>8.3752967634572267E-2</v>
      </c>
      <c r="K266" s="3">
        <f t="shared" si="252"/>
        <v>8.3752967597440262E-2</v>
      </c>
      <c r="L266" s="3">
        <f t="shared" si="252"/>
        <v>8.3752967226120217E-2</v>
      </c>
      <c r="M266" s="3">
        <f t="shared" si="252"/>
        <v>8.3752963512919817E-2</v>
      </c>
      <c r="N266" s="3">
        <f t="shared" si="252"/>
        <v>8.3752926380924964E-2</v>
      </c>
      <c r="O266" s="3">
        <f t="shared" si="252"/>
        <v>8.375255506188177E-2</v>
      </c>
      <c r="P266" s="3">
        <f t="shared" si="252"/>
        <v>8.3748841961992032E-2</v>
      </c>
      <c r="Q266" s="3">
        <f t="shared" si="252"/>
        <v>8.3711720015836419E-2</v>
      </c>
      <c r="R266" s="3">
        <f t="shared" si="252"/>
        <v>8.3341404345197698E-2</v>
      </c>
      <c r="S266" s="3">
        <f t="shared" si="252"/>
        <v>7.9727161569104268E-2</v>
      </c>
      <c r="T266" s="3">
        <f t="shared" si="252"/>
        <v>5.1175393064180723E-2</v>
      </c>
      <c r="U266" s="3">
        <f t="shared" si="252"/>
        <v>6.075891788418045E-4</v>
      </c>
      <c r="V266" s="3">
        <f t="shared" si="252"/>
        <v>3.381414921815701E-23</v>
      </c>
      <c r="W266" s="3">
        <f t="shared" si="252"/>
        <v>9.6379087073304282E-216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5.92468529078687E-2</v>
      </c>
      <c r="C267" s="3">
        <f t="shared" si="253"/>
        <v>5.92468529078687E-2</v>
      </c>
      <c r="D267" s="3">
        <f t="shared" si="253"/>
        <v>5.92468529078687E-2</v>
      </c>
      <c r="E267" s="3">
        <f t="shared" si="253"/>
        <v>5.92468529078687E-2</v>
      </c>
      <c r="F267" s="3">
        <f t="shared" si="253"/>
        <v>5.9246852907868672E-2</v>
      </c>
      <c r="G267" s="3">
        <f t="shared" si="253"/>
        <v>5.9246852907868436E-2</v>
      </c>
      <c r="H267" s="3">
        <f t="shared" si="253"/>
        <v>5.924685290786607E-2</v>
      </c>
      <c r="I267" s="3">
        <f t="shared" si="253"/>
        <v>5.9246852907842366E-2</v>
      </c>
      <c r="J267" s="3">
        <f t="shared" si="253"/>
        <v>5.9246852907605417E-2</v>
      </c>
      <c r="K267" s="3">
        <f t="shared" si="253"/>
        <v>5.9246852905235903E-2</v>
      </c>
      <c r="L267" s="3">
        <f t="shared" si="253"/>
        <v>5.9246852881540718E-2</v>
      </c>
      <c r="M267" s="3">
        <f t="shared" si="253"/>
        <v>5.9246852644588885E-2</v>
      </c>
      <c r="N267" s="3">
        <f t="shared" si="253"/>
        <v>5.9246850275070616E-2</v>
      </c>
      <c r="O267" s="3">
        <f t="shared" si="253"/>
        <v>5.9246826579893129E-2</v>
      </c>
      <c r="P267" s="3">
        <f t="shared" si="253"/>
        <v>5.9246589628639518E-2</v>
      </c>
      <c r="Q267" s="3">
        <f t="shared" si="253"/>
        <v>5.9244220168224074E-2</v>
      </c>
      <c r="R267" s="3">
        <f t="shared" si="253"/>
        <v>5.9220530775370497E-2</v>
      </c>
      <c r="S267" s="3">
        <f t="shared" si="253"/>
        <v>5.898415720658394E-2</v>
      </c>
      <c r="T267" s="3">
        <f t="shared" si="253"/>
        <v>5.6671695644921256E-2</v>
      </c>
      <c r="U267" s="3">
        <f t="shared" si="253"/>
        <v>3.7990454965846153E-2</v>
      </c>
      <c r="V267" s="3">
        <f t="shared" si="253"/>
        <v>6.9623743298107921E-4</v>
      </c>
      <c r="W267" s="3">
        <f t="shared" si="253"/>
        <v>2.9756792460709023E-21</v>
      </c>
      <c r="X267" s="3">
        <f t="shared" si="253"/>
        <v>6.0516469445633164E-195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5.2277759702858778E-2</v>
      </c>
      <c r="C268" s="3">
        <f t="shared" si="254"/>
        <v>5.2277759702858778E-2</v>
      </c>
      <c r="D268" s="3">
        <f t="shared" si="254"/>
        <v>5.2277759702858778E-2</v>
      </c>
      <c r="E268" s="3">
        <f t="shared" si="254"/>
        <v>5.2277759702858778E-2</v>
      </c>
      <c r="F268" s="3">
        <f t="shared" si="254"/>
        <v>5.2277759702858778E-2</v>
      </c>
      <c r="G268" s="3">
        <f t="shared" si="254"/>
        <v>5.2277759702858757E-2</v>
      </c>
      <c r="H268" s="3">
        <f t="shared" si="254"/>
        <v>5.227775970285857E-2</v>
      </c>
      <c r="I268" s="3">
        <f t="shared" si="254"/>
        <v>5.2277759702856683E-2</v>
      </c>
      <c r="J268" s="3">
        <f t="shared" si="254"/>
        <v>5.2277759702837823E-2</v>
      </c>
      <c r="K268" s="3">
        <f t="shared" si="254"/>
        <v>5.2277759702649217E-2</v>
      </c>
      <c r="L268" s="3">
        <f t="shared" si="254"/>
        <v>5.2277759700763142E-2</v>
      </c>
      <c r="M268" s="3">
        <f t="shared" si="254"/>
        <v>5.2277759681902417E-2</v>
      </c>
      <c r="N268" s="3">
        <f t="shared" si="254"/>
        <v>5.2277759493295183E-2</v>
      </c>
      <c r="O268" s="3">
        <f t="shared" si="254"/>
        <v>5.2277757607222891E-2</v>
      </c>
      <c r="P268" s="3">
        <f t="shared" si="254"/>
        <v>5.2277738746503696E-2</v>
      </c>
      <c r="Q268" s="3">
        <f t="shared" si="254"/>
        <v>5.2277550139685984E-2</v>
      </c>
      <c r="R268" s="3">
        <f t="shared" si="254"/>
        <v>5.2275664108933417E-2</v>
      </c>
      <c r="S268" s="3">
        <f t="shared" si="254"/>
        <v>5.2256807543357806E-2</v>
      </c>
      <c r="T268" s="3">
        <f t="shared" si="254"/>
        <v>5.2068615583592583E-2</v>
      </c>
      <c r="U268" s="3">
        <f t="shared" si="254"/>
        <v>5.0223571522095715E-2</v>
      </c>
      <c r="V268" s="3">
        <f t="shared" si="254"/>
        <v>3.5012507814629334E-2</v>
      </c>
      <c r="W268" s="3">
        <f t="shared" si="254"/>
        <v>9.49247526459763E-4</v>
      </c>
      <c r="X268" s="3">
        <f t="shared" si="254"/>
        <v>2.0367701795036083E-19</v>
      </c>
      <c r="Y268" s="3">
        <f t="shared" si="254"/>
        <v>4.2127682114393101E-176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1.8161564482377511E-2</v>
      </c>
      <c r="C269" s="3">
        <f t="shared" si="255"/>
        <v>1.8161564482377511E-2</v>
      </c>
      <c r="D269" s="3">
        <f t="shared" si="255"/>
        <v>1.8161564482377511E-2</v>
      </c>
      <c r="E269" s="3">
        <f t="shared" si="255"/>
        <v>1.8161564482377511E-2</v>
      </c>
      <c r="F269" s="3">
        <f t="shared" si="255"/>
        <v>1.8161564482377511E-2</v>
      </c>
      <c r="G269" s="3">
        <f t="shared" si="255"/>
        <v>1.8161564482377511E-2</v>
      </c>
      <c r="H269" s="3">
        <f t="shared" si="255"/>
        <v>1.8161564482377504E-2</v>
      </c>
      <c r="I269" s="3">
        <f t="shared" si="255"/>
        <v>1.8161564482377445E-2</v>
      </c>
      <c r="J269" s="3">
        <f t="shared" si="255"/>
        <v>1.8161564482376855E-2</v>
      </c>
      <c r="K269" s="3">
        <f t="shared" si="255"/>
        <v>1.8161564482370943E-2</v>
      </c>
      <c r="L269" s="3">
        <f t="shared" si="255"/>
        <v>1.8161564482311838E-2</v>
      </c>
      <c r="M269" s="3">
        <f t="shared" si="255"/>
        <v>1.8161564481720762E-2</v>
      </c>
      <c r="N269" s="3">
        <f t="shared" si="255"/>
        <v>1.8161564475810032E-2</v>
      </c>
      <c r="O269" s="3">
        <f t="shared" si="255"/>
        <v>1.8161564416702719E-2</v>
      </c>
      <c r="P269" s="3">
        <f t="shared" si="255"/>
        <v>1.8161563825629588E-2</v>
      </c>
      <c r="Q269" s="3">
        <f t="shared" si="255"/>
        <v>1.8161557914899356E-2</v>
      </c>
      <c r="R269" s="3">
        <f t="shared" si="255"/>
        <v>1.8161498807702851E-2</v>
      </c>
      <c r="S269" s="3">
        <f t="shared" si="255"/>
        <v>1.8160907746317793E-2</v>
      </c>
      <c r="T269" s="3">
        <f t="shared" si="255"/>
        <v>1.8154998190340808E-2</v>
      </c>
      <c r="U269" s="3">
        <f t="shared" si="255"/>
        <v>1.8096008290654469E-2</v>
      </c>
      <c r="V269" s="3">
        <f t="shared" si="255"/>
        <v>1.7516549168909438E-2</v>
      </c>
      <c r="W269" s="3">
        <f t="shared" si="255"/>
        <v>1.265045691486595E-2</v>
      </c>
      <c r="X269" s="3">
        <f t="shared" si="255"/>
        <v>4.8829559374290513E-4</v>
      </c>
      <c r="Y269" s="3">
        <f t="shared" si="255"/>
        <v>3.5846663605387228E-18</v>
      </c>
      <c r="Z269" s="3">
        <f t="shared" si="255"/>
        <v>1.629701593859427E-159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4.1021445275655738E-2</v>
      </c>
      <c r="C270" s="3">
        <f t="shared" si="256"/>
        <v>4.1021445275655738E-2</v>
      </c>
      <c r="D270" s="3">
        <f t="shared" si="256"/>
        <v>4.1021445275655738E-2</v>
      </c>
      <c r="E270" s="3">
        <f t="shared" si="256"/>
        <v>4.1021445275655738E-2</v>
      </c>
      <c r="F270" s="3">
        <f t="shared" si="256"/>
        <v>4.1021445275655738E-2</v>
      </c>
      <c r="G270" s="3">
        <f t="shared" si="256"/>
        <v>4.1021445275655738E-2</v>
      </c>
      <c r="H270" s="3">
        <f t="shared" si="256"/>
        <v>4.1021445275655731E-2</v>
      </c>
      <c r="I270" s="3">
        <f t="shared" si="256"/>
        <v>4.1021445275655696E-2</v>
      </c>
      <c r="J270" s="3">
        <f t="shared" si="256"/>
        <v>4.1021445275655329E-2</v>
      </c>
      <c r="K270" s="3">
        <f t="shared" si="256"/>
        <v>4.1021445275651637E-2</v>
      </c>
      <c r="L270" s="3">
        <f t="shared" si="256"/>
        <v>4.1021445275614715E-2</v>
      </c>
      <c r="M270" s="3">
        <f t="shared" si="256"/>
        <v>4.1021445275245469E-2</v>
      </c>
      <c r="N270" s="3">
        <f t="shared" si="256"/>
        <v>4.1021445271553041E-2</v>
      </c>
      <c r="O270" s="3">
        <f t="shared" si="256"/>
        <v>4.1021445234628785E-2</v>
      </c>
      <c r="P270" s="3">
        <f t="shared" si="256"/>
        <v>4.1021444865386197E-2</v>
      </c>
      <c r="Q270" s="3">
        <f t="shared" si="256"/>
        <v>4.102144117296052E-2</v>
      </c>
      <c r="R270" s="3">
        <f t="shared" si="256"/>
        <v>4.1021404248721964E-2</v>
      </c>
      <c r="S270" s="3">
        <f t="shared" si="256"/>
        <v>4.102103500816448E-2</v>
      </c>
      <c r="T270" s="3">
        <f t="shared" si="256"/>
        <v>4.101734278538248E-2</v>
      </c>
      <c r="U270" s="3">
        <f t="shared" si="256"/>
        <v>4.0980438830762453E-2</v>
      </c>
      <c r="V270" s="3">
        <f t="shared" si="256"/>
        <v>4.0613220533389068E-2</v>
      </c>
      <c r="W270" s="3">
        <f t="shared" si="256"/>
        <v>3.7117240154683206E-2</v>
      </c>
      <c r="X270" s="3">
        <f t="shared" si="256"/>
        <v>1.5088919847989265E-2</v>
      </c>
      <c r="Y270" s="3">
        <f t="shared" si="256"/>
        <v>1.8598713255081379E-6</v>
      </c>
      <c r="Z270" s="3">
        <f t="shared" si="256"/>
        <v>1.5056719873124991E-45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3.4648052486914098E-2</v>
      </c>
      <c r="C271" s="3">
        <f t="shared" si="257"/>
        <v>3.4648052486914098E-2</v>
      </c>
      <c r="D271" s="3">
        <f t="shared" si="257"/>
        <v>3.4648052486914098E-2</v>
      </c>
      <c r="E271" s="3">
        <f t="shared" si="257"/>
        <v>3.4648052486914098E-2</v>
      </c>
      <c r="F271" s="3">
        <f t="shared" si="257"/>
        <v>3.4648052486914098E-2</v>
      </c>
      <c r="G271" s="3">
        <f t="shared" si="257"/>
        <v>3.4648052486914098E-2</v>
      </c>
      <c r="H271" s="3">
        <f t="shared" si="257"/>
        <v>3.4648052486914098E-2</v>
      </c>
      <c r="I271" s="3">
        <f t="shared" si="257"/>
        <v>3.4648052486914091E-2</v>
      </c>
      <c r="J271" s="3">
        <f t="shared" si="257"/>
        <v>3.4648052486914063E-2</v>
      </c>
      <c r="K271" s="3">
        <f t="shared" si="257"/>
        <v>3.4648052486913751E-2</v>
      </c>
      <c r="L271" s="3">
        <f t="shared" si="257"/>
        <v>3.4648052486910635E-2</v>
      </c>
      <c r="M271" s="3">
        <f t="shared" si="257"/>
        <v>3.4648052486879445E-2</v>
      </c>
      <c r="N271" s="3">
        <f t="shared" si="257"/>
        <v>3.464805248656757E-2</v>
      </c>
      <c r="O271" s="3">
        <f t="shared" si="257"/>
        <v>3.4648052483448828E-2</v>
      </c>
      <c r="P271" s="3">
        <f t="shared" si="257"/>
        <v>3.4648052452261394E-2</v>
      </c>
      <c r="Q271" s="3">
        <f t="shared" si="257"/>
        <v>3.4648052140387048E-2</v>
      </c>
      <c r="R271" s="3">
        <f t="shared" si="257"/>
        <v>3.4648049021643715E-2</v>
      </c>
      <c r="S271" s="3">
        <f t="shared" si="257"/>
        <v>3.4648017834225844E-2</v>
      </c>
      <c r="T271" s="3">
        <f t="shared" si="257"/>
        <v>3.4647705961591176E-2</v>
      </c>
      <c r="U271" s="3">
        <f t="shared" si="257"/>
        <v>3.4644587389637306E-2</v>
      </c>
      <c r="V271" s="3">
        <f t="shared" si="257"/>
        <v>3.4613417104240068E-2</v>
      </c>
      <c r="W271" s="3">
        <f t="shared" si="257"/>
        <v>3.4303252536510925E-2</v>
      </c>
      <c r="X271" s="3">
        <f t="shared" si="257"/>
        <v>3.1350433325957494E-2</v>
      </c>
      <c r="Y271" s="3">
        <f t="shared" si="257"/>
        <v>1.2744594524908894E-2</v>
      </c>
      <c r="Z271" s="3">
        <f t="shared" si="257"/>
        <v>1.5709080670386582E-6</v>
      </c>
      <c r="AA271" s="3">
        <f t="shared" si="257"/>
        <v>1.2717397374450698E-45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4.29685247400187E-2</v>
      </c>
      <c r="C272" s="3">
        <f t="shared" si="258"/>
        <v>4.29685247400187E-2</v>
      </c>
      <c r="D272" s="3">
        <f t="shared" si="258"/>
        <v>4.29685247400187E-2</v>
      </c>
      <c r="E272" s="3">
        <f t="shared" si="258"/>
        <v>4.29685247400187E-2</v>
      </c>
      <c r="F272" s="3">
        <f t="shared" si="258"/>
        <v>4.29685247400187E-2</v>
      </c>
      <c r="G272" s="3">
        <f t="shared" si="258"/>
        <v>4.29685247400187E-2</v>
      </c>
      <c r="H272" s="3">
        <f t="shared" si="258"/>
        <v>4.29685247400187E-2</v>
      </c>
      <c r="I272" s="3">
        <f t="shared" si="258"/>
        <v>4.29685247400187E-2</v>
      </c>
      <c r="J272" s="3">
        <f t="shared" si="258"/>
        <v>4.2968524740018693E-2</v>
      </c>
      <c r="K272" s="3">
        <f t="shared" si="258"/>
        <v>4.2968524740018658E-2</v>
      </c>
      <c r="L272" s="3">
        <f t="shared" si="258"/>
        <v>4.296852474001827E-2</v>
      </c>
      <c r="M272" s="3">
        <f t="shared" si="258"/>
        <v>4.2968524740014405E-2</v>
      </c>
      <c r="N272" s="3">
        <f t="shared" si="258"/>
        <v>4.2968524739975728E-2</v>
      </c>
      <c r="O272" s="3">
        <f t="shared" si="258"/>
        <v>4.2968524739588961E-2</v>
      </c>
      <c r="P272" s="3">
        <f t="shared" si="258"/>
        <v>4.296852473572127E-2</v>
      </c>
      <c r="Q272" s="3">
        <f t="shared" si="258"/>
        <v>4.2968524697044402E-2</v>
      </c>
      <c r="R272" s="3">
        <f t="shared" si="258"/>
        <v>4.2968524310275751E-2</v>
      </c>
      <c r="S272" s="3">
        <f t="shared" si="258"/>
        <v>4.2968520442589392E-2</v>
      </c>
      <c r="T272" s="3">
        <f t="shared" si="258"/>
        <v>4.2968481765744949E-2</v>
      </c>
      <c r="U272" s="3">
        <f t="shared" si="258"/>
        <v>4.2968094999215334E-2</v>
      </c>
      <c r="V272" s="3">
        <f t="shared" si="258"/>
        <v>4.296422752538822E-2</v>
      </c>
      <c r="W272" s="3">
        <f t="shared" si="258"/>
        <v>4.292557192765295E-2</v>
      </c>
      <c r="X272" s="3">
        <f t="shared" si="258"/>
        <v>4.2540923644550158E-2</v>
      </c>
      <c r="Y272" s="3">
        <f t="shared" si="258"/>
        <v>3.8879006849965904E-2</v>
      </c>
      <c r="Z272" s="3">
        <f t="shared" si="258"/>
        <v>1.5805114164840258E-2</v>
      </c>
      <c r="AA272" s="3">
        <f t="shared" si="258"/>
        <v>1.9481499622046243E-6</v>
      </c>
      <c r="AB272" s="3">
        <f t="shared" si="258"/>
        <v>1.5771385820865879E-45</v>
      </c>
      <c r="AC272" s="3">
        <f t="shared" si="258"/>
        <v>0</v>
      </c>
      <c r="AD272" s="3">
        <f t="shared" si="258"/>
        <v>0</v>
      </c>
      <c r="AE272" s="3">
        <f t="shared" si="258"/>
        <v>0</v>
      </c>
      <c r="AF272" s="3">
        <f t="shared" si="258"/>
        <v>0</v>
      </c>
      <c r="AG272" s="3"/>
      <c r="AH272" s="3"/>
    </row>
    <row r="273" spans="1:34" x14ac:dyDescent="0.25">
      <c r="B273" s="3">
        <f t="shared" ref="B273:AF273" si="259">$C42*EXP(-B$246/$A42/EXP(-$E$126))</f>
        <v>3.196768089181086E-2</v>
      </c>
      <c r="C273" s="3">
        <f t="shared" si="259"/>
        <v>3.196768089181086E-2</v>
      </c>
      <c r="D273" s="3">
        <f t="shared" si="259"/>
        <v>3.196768089181086E-2</v>
      </c>
      <c r="E273" s="3">
        <f t="shared" si="259"/>
        <v>3.196768089181086E-2</v>
      </c>
      <c r="F273" s="3">
        <f t="shared" si="259"/>
        <v>3.196768089181086E-2</v>
      </c>
      <c r="G273" s="3">
        <f t="shared" si="259"/>
        <v>3.196768089181086E-2</v>
      </c>
      <c r="H273" s="3">
        <f t="shared" si="259"/>
        <v>3.196768089181086E-2</v>
      </c>
      <c r="I273" s="3">
        <f t="shared" si="259"/>
        <v>3.196768089181086E-2</v>
      </c>
      <c r="J273" s="3">
        <f t="shared" si="259"/>
        <v>3.196768089181086E-2</v>
      </c>
      <c r="K273" s="3">
        <f t="shared" si="259"/>
        <v>3.1967680891810853E-2</v>
      </c>
      <c r="L273" s="3">
        <f t="shared" si="259"/>
        <v>3.1967680891810825E-2</v>
      </c>
      <c r="M273" s="3">
        <f t="shared" si="259"/>
        <v>3.196768089181054E-2</v>
      </c>
      <c r="N273" s="3">
        <f t="shared" si="259"/>
        <v>3.1967680891807661E-2</v>
      </c>
      <c r="O273" s="3">
        <f t="shared" si="259"/>
        <v>3.1967680891778892E-2</v>
      </c>
      <c r="P273" s="3">
        <f t="shared" si="259"/>
        <v>3.1967680891491143E-2</v>
      </c>
      <c r="Q273" s="3">
        <f t="shared" si="259"/>
        <v>3.196768088861366E-2</v>
      </c>
      <c r="R273" s="3">
        <f t="shared" si="259"/>
        <v>3.1967680859838886E-2</v>
      </c>
      <c r="S273" s="3">
        <f t="shared" si="259"/>
        <v>3.1967680572091123E-2</v>
      </c>
      <c r="T273" s="3">
        <f t="shared" si="259"/>
        <v>3.1967677694613617E-2</v>
      </c>
      <c r="U273" s="3">
        <f t="shared" si="259"/>
        <v>3.1967648919852827E-2</v>
      </c>
      <c r="V273" s="3">
        <f t="shared" si="259"/>
        <v>3.1967361173669467E-2</v>
      </c>
      <c r="W273" s="3">
        <f t="shared" si="259"/>
        <v>3.1964483854284853E-2</v>
      </c>
      <c r="X273" s="3">
        <f t="shared" si="259"/>
        <v>3.1935724900595847E-2</v>
      </c>
      <c r="Y273" s="3">
        <f t="shared" si="259"/>
        <v>3.1649554648202682E-2</v>
      </c>
      <c r="Z273" s="3">
        <f t="shared" si="259"/>
        <v>2.8925165383038881E-2</v>
      </c>
      <c r="AA273" s="3">
        <f t="shared" si="259"/>
        <v>1.1758673334429986E-2</v>
      </c>
      <c r="AB273" s="3">
        <f t="shared" si="259"/>
        <v>1.4493826981019995E-6</v>
      </c>
      <c r="AC273" s="3">
        <f t="shared" si="259"/>
        <v>1.1733580154161267E-45</v>
      </c>
      <c r="AD273" s="3">
        <f t="shared" si="259"/>
        <v>0</v>
      </c>
      <c r="AE273" s="3">
        <f t="shared" si="259"/>
        <v>0</v>
      </c>
      <c r="AF273" s="3">
        <f t="shared" si="259"/>
        <v>0</v>
      </c>
      <c r="AG273" s="3"/>
      <c r="AH273" s="3"/>
    </row>
    <row r="274" spans="1:34" x14ac:dyDescent="0.25">
      <c r="B274" s="3">
        <f t="shared" ref="B274:AF274" si="260">$C43*EXP(-B$246/$A43/EXP(-$E$126))</f>
        <v>2.6004568036228887E-2</v>
      </c>
      <c r="C274" s="3">
        <f t="shared" si="260"/>
        <v>2.6004568036228887E-2</v>
      </c>
      <c r="D274" s="3">
        <f t="shared" si="260"/>
        <v>2.6004568036228887E-2</v>
      </c>
      <c r="E274" s="3">
        <f t="shared" si="260"/>
        <v>2.6004568036228887E-2</v>
      </c>
      <c r="F274" s="3">
        <f t="shared" si="260"/>
        <v>2.6004568036228887E-2</v>
      </c>
      <c r="G274" s="3">
        <f t="shared" si="260"/>
        <v>2.6004568036228887E-2</v>
      </c>
      <c r="H274" s="3">
        <f t="shared" si="260"/>
        <v>2.6004568036228887E-2</v>
      </c>
      <c r="I274" s="3">
        <f t="shared" si="260"/>
        <v>2.6004568036228887E-2</v>
      </c>
      <c r="J274" s="3">
        <f t="shared" si="260"/>
        <v>2.6004568036228887E-2</v>
      </c>
      <c r="K274" s="3">
        <f t="shared" si="260"/>
        <v>2.6004568036228887E-2</v>
      </c>
      <c r="L274" s="3">
        <f t="shared" si="260"/>
        <v>2.6004568036228883E-2</v>
      </c>
      <c r="M274" s="3">
        <f t="shared" si="260"/>
        <v>2.6004568036228862E-2</v>
      </c>
      <c r="N274" s="3">
        <f t="shared" si="260"/>
        <v>2.6004568036228626E-2</v>
      </c>
      <c r="O274" s="3">
        <f t="shared" si="260"/>
        <v>2.6004568036226285E-2</v>
      </c>
      <c r="P274" s="3">
        <f t="shared" si="260"/>
        <v>2.600456803620288E-2</v>
      </c>
      <c r="Q274" s="3">
        <f t="shared" si="260"/>
        <v>2.6004568035968807E-2</v>
      </c>
      <c r="R274" s="3">
        <f t="shared" si="260"/>
        <v>2.6004568033628082E-2</v>
      </c>
      <c r="S274" s="3">
        <f t="shared" si="260"/>
        <v>2.6004568010220826E-2</v>
      </c>
      <c r="T274" s="3">
        <f t="shared" si="260"/>
        <v>2.6004567776148287E-2</v>
      </c>
      <c r="U274" s="3">
        <f t="shared" si="260"/>
        <v>2.6004565435422983E-2</v>
      </c>
      <c r="V274" s="3">
        <f t="shared" si="260"/>
        <v>2.6004542028181549E-2</v>
      </c>
      <c r="W274" s="3">
        <f t="shared" si="260"/>
        <v>2.6004307956926029E-2</v>
      </c>
      <c r="X274" s="3">
        <f t="shared" si="260"/>
        <v>2.600196736024802E-2</v>
      </c>
      <c r="Y274" s="3">
        <f t="shared" si="260"/>
        <v>2.5978572977327731E-2</v>
      </c>
      <c r="Z274" s="3">
        <f t="shared" si="260"/>
        <v>2.5745783685433583E-2</v>
      </c>
      <c r="AA274" s="3">
        <f t="shared" si="260"/>
        <v>2.3529590204183198E-2</v>
      </c>
      <c r="AB274" s="3">
        <f t="shared" si="260"/>
        <v>9.5652612954887899E-3</v>
      </c>
      <c r="AC274" s="3">
        <f t="shared" si="260"/>
        <v>1.1790211217036268E-6</v>
      </c>
      <c r="AD274" s="3">
        <f t="shared" si="260"/>
        <v>9.5448488884783566E-46</v>
      </c>
      <c r="AE274" s="3">
        <f t="shared" si="260"/>
        <v>0</v>
      </c>
      <c r="AF274" s="3">
        <f t="shared" si="260"/>
        <v>0</v>
      </c>
      <c r="AG274" s="3"/>
      <c r="AH274" s="3"/>
    </row>
    <row r="275" spans="1:34" x14ac:dyDescent="0.25">
      <c r="B275" s="3">
        <f t="shared" ref="B275:AF275" si="261">$C44*EXP(-B$246/$A44/EXP(-$E$126))</f>
        <v>1.2402397350398719E-2</v>
      </c>
      <c r="C275" s="3">
        <f t="shared" si="261"/>
        <v>1.2402397350398719E-2</v>
      </c>
      <c r="D275" s="3">
        <f t="shared" si="261"/>
        <v>1.2402397350398719E-2</v>
      </c>
      <c r="E275" s="3">
        <f t="shared" si="261"/>
        <v>1.2402397350398719E-2</v>
      </c>
      <c r="F275" s="3">
        <f t="shared" si="261"/>
        <v>1.2402397350398719E-2</v>
      </c>
      <c r="G275" s="3">
        <f t="shared" si="261"/>
        <v>1.2402397350398719E-2</v>
      </c>
      <c r="H275" s="3">
        <f t="shared" si="261"/>
        <v>1.2402397350398719E-2</v>
      </c>
      <c r="I275" s="3">
        <f t="shared" si="261"/>
        <v>1.2402397350398719E-2</v>
      </c>
      <c r="J275" s="3">
        <f t="shared" si="261"/>
        <v>1.2402397350398719E-2</v>
      </c>
      <c r="K275" s="3">
        <f t="shared" si="261"/>
        <v>1.2402397350398719E-2</v>
      </c>
      <c r="L275" s="3">
        <f t="shared" si="261"/>
        <v>1.2402397350398719E-2</v>
      </c>
      <c r="M275" s="3">
        <f t="shared" si="261"/>
        <v>1.2402397350398718E-2</v>
      </c>
      <c r="N275" s="3">
        <f t="shared" si="261"/>
        <v>1.2402397350398707E-2</v>
      </c>
      <c r="O275" s="3">
        <f t="shared" si="261"/>
        <v>1.2402397350398596E-2</v>
      </c>
      <c r="P275" s="3">
        <f t="shared" si="261"/>
        <v>1.2402397350397479E-2</v>
      </c>
      <c r="Q275" s="3">
        <f t="shared" si="261"/>
        <v>1.2402397350386316E-2</v>
      </c>
      <c r="R275" s="3">
        <f t="shared" si="261"/>
        <v>1.240239735027468E-2</v>
      </c>
      <c r="S275" s="3">
        <f t="shared" si="261"/>
        <v>1.2402397349158312E-2</v>
      </c>
      <c r="T275" s="3">
        <f t="shared" si="261"/>
        <v>1.2402397337994656E-2</v>
      </c>
      <c r="U275" s="3">
        <f t="shared" si="261"/>
        <v>1.2402397226358091E-2</v>
      </c>
      <c r="V275" s="3">
        <f t="shared" si="261"/>
        <v>1.2402396109992489E-2</v>
      </c>
      <c r="W275" s="3">
        <f t="shared" si="261"/>
        <v>1.2402384946341981E-2</v>
      </c>
      <c r="X275" s="3">
        <f t="shared" si="261"/>
        <v>1.2402273310389589E-2</v>
      </c>
      <c r="Y275" s="3">
        <f t="shared" si="261"/>
        <v>1.2401157006131151E-2</v>
      </c>
      <c r="Z275" s="3">
        <f t="shared" si="261"/>
        <v>1.2389999488254269E-2</v>
      </c>
      <c r="AA275" s="3">
        <f t="shared" si="261"/>
        <v>1.2278974944683043E-2</v>
      </c>
      <c r="AB275" s="3">
        <f t="shared" si="261"/>
        <v>1.1222002488092426E-2</v>
      </c>
      <c r="AC275" s="3">
        <f t="shared" si="261"/>
        <v>4.5619743108890071E-3</v>
      </c>
      <c r="AD275" s="3">
        <f t="shared" si="261"/>
        <v>5.6231229895875366E-7</v>
      </c>
      <c r="AE275" s="3">
        <f t="shared" si="261"/>
        <v>4.5522389912225262E-46</v>
      </c>
      <c r="AF275" s="3">
        <f t="shared" si="261"/>
        <v>0</v>
      </c>
      <c r="AG275" s="3"/>
      <c r="AH275" s="3"/>
    </row>
    <row r="276" spans="1:34" x14ac:dyDescent="0.25">
      <c r="B276" s="3">
        <f t="shared" ref="B276:AF276" si="262">$C45*EXP(-B$246/$A45/EXP(-$E$126))</f>
        <v>6.9977833887187504E-3</v>
      </c>
      <c r="C276" s="3">
        <f t="shared" si="262"/>
        <v>6.9977833887187504E-3</v>
      </c>
      <c r="D276" s="3">
        <f t="shared" si="262"/>
        <v>6.9977833887187504E-3</v>
      </c>
      <c r="E276" s="3">
        <f t="shared" si="262"/>
        <v>6.9977833887187504E-3</v>
      </c>
      <c r="F276" s="3">
        <f t="shared" si="262"/>
        <v>6.9977833887187504E-3</v>
      </c>
      <c r="G276" s="3">
        <f t="shared" si="262"/>
        <v>6.9977833887187504E-3</v>
      </c>
      <c r="H276" s="3">
        <f t="shared" si="262"/>
        <v>6.9977833887187504E-3</v>
      </c>
      <c r="I276" s="3">
        <f t="shared" si="262"/>
        <v>6.9977833887187504E-3</v>
      </c>
      <c r="J276" s="3">
        <f t="shared" si="262"/>
        <v>6.9977833887187504E-3</v>
      </c>
      <c r="K276" s="3">
        <f t="shared" si="262"/>
        <v>6.9977833887187504E-3</v>
      </c>
      <c r="L276" s="3">
        <f t="shared" si="262"/>
        <v>6.9977833887187504E-3</v>
      </c>
      <c r="M276" s="3">
        <f t="shared" si="262"/>
        <v>6.9977833887187504E-3</v>
      </c>
      <c r="N276" s="3">
        <f t="shared" si="262"/>
        <v>6.9977833887187495E-3</v>
      </c>
      <c r="O276" s="3">
        <f t="shared" si="262"/>
        <v>6.9977833887187434E-3</v>
      </c>
      <c r="P276" s="3">
        <f t="shared" si="262"/>
        <v>6.9977833887186801E-3</v>
      </c>
      <c r="Q276" s="3">
        <f t="shared" si="262"/>
        <v>6.9977833887180504E-3</v>
      </c>
      <c r="R276" s="3">
        <f t="shared" si="262"/>
        <v>6.9977833887117516E-3</v>
      </c>
      <c r="S276" s="3">
        <f t="shared" si="262"/>
        <v>6.997783388648763E-3</v>
      </c>
      <c r="T276" s="3">
        <f t="shared" si="262"/>
        <v>6.9977833880188779E-3</v>
      </c>
      <c r="U276" s="3">
        <f t="shared" si="262"/>
        <v>6.9977833817200267E-3</v>
      </c>
      <c r="V276" s="3">
        <f t="shared" si="262"/>
        <v>6.9977833187315191E-3</v>
      </c>
      <c r="W276" s="3">
        <f t="shared" si="262"/>
        <v>6.9977826888464696E-3</v>
      </c>
      <c r="X276" s="3">
        <f t="shared" si="262"/>
        <v>6.9977763899990875E-3</v>
      </c>
      <c r="Y276" s="3">
        <f t="shared" si="262"/>
        <v>6.9977134018371096E-3</v>
      </c>
      <c r="Z276" s="3">
        <f t="shared" si="262"/>
        <v>6.9970835513996684E-3</v>
      </c>
      <c r="AA276" s="3">
        <f t="shared" si="262"/>
        <v>6.9907881642215066E-3</v>
      </c>
      <c r="AB276" s="3">
        <f t="shared" si="262"/>
        <v>6.9281449763931614E-3</v>
      </c>
      <c r="AC276" s="3">
        <f t="shared" si="262"/>
        <v>6.3317712197641417E-3</v>
      </c>
      <c r="AD276" s="3">
        <f t="shared" si="262"/>
        <v>2.573994942314476E-3</v>
      </c>
      <c r="AE276" s="3">
        <f t="shared" si="262"/>
        <v>3.172725041581832E-7</v>
      </c>
      <c r="AF276" s="3">
        <f t="shared" si="262"/>
        <v>2.5685019995937063E-46</v>
      </c>
      <c r="AG276" s="3"/>
      <c r="AH276" s="3"/>
    </row>
    <row r="277" spans="1:34" x14ac:dyDescent="0.25">
      <c r="B277" s="3">
        <f t="shared" ref="B277:AF277" si="263">$C46*EXP(-B$246/$A46/EXP(-$E$126))</f>
        <v>3.0140050054937094E-3</v>
      </c>
      <c r="C277" s="3">
        <f t="shared" si="263"/>
        <v>3.0140050054937094E-3</v>
      </c>
      <c r="D277" s="3">
        <f t="shared" si="263"/>
        <v>3.0140050054937094E-3</v>
      </c>
      <c r="E277" s="3">
        <f t="shared" si="263"/>
        <v>3.0140050054937094E-3</v>
      </c>
      <c r="F277" s="3">
        <f t="shared" si="263"/>
        <v>3.0140050054937094E-3</v>
      </c>
      <c r="G277" s="3">
        <f t="shared" si="263"/>
        <v>3.0140050054937094E-3</v>
      </c>
      <c r="H277" s="3">
        <f t="shared" si="263"/>
        <v>3.0140050054937094E-3</v>
      </c>
      <c r="I277" s="3">
        <f t="shared" si="263"/>
        <v>3.0140050054937094E-3</v>
      </c>
      <c r="J277" s="3">
        <f t="shared" si="263"/>
        <v>3.0140050054937094E-3</v>
      </c>
      <c r="K277" s="3">
        <f t="shared" si="263"/>
        <v>3.0140050054937094E-3</v>
      </c>
      <c r="L277" s="3">
        <f t="shared" si="263"/>
        <v>3.0140050054937094E-3</v>
      </c>
      <c r="M277" s="3">
        <f t="shared" si="263"/>
        <v>3.0140050054937094E-3</v>
      </c>
      <c r="N277" s="3">
        <f t="shared" si="263"/>
        <v>3.0140050054937094E-3</v>
      </c>
      <c r="O277" s="3">
        <f t="shared" si="263"/>
        <v>3.0140050054937089E-3</v>
      </c>
      <c r="P277" s="3">
        <f t="shared" si="263"/>
        <v>3.0140050054937063E-3</v>
      </c>
      <c r="Q277" s="3">
        <f t="shared" si="263"/>
        <v>3.0140050054936795E-3</v>
      </c>
      <c r="R277" s="3">
        <f t="shared" si="263"/>
        <v>3.014005005493408E-3</v>
      </c>
      <c r="S277" s="3">
        <f t="shared" si="263"/>
        <v>3.0140050054906953E-3</v>
      </c>
      <c r="T277" s="3">
        <f t="shared" si="263"/>
        <v>3.0140050054635655E-3</v>
      </c>
      <c r="U277" s="3">
        <f t="shared" si="263"/>
        <v>3.0140050051922682E-3</v>
      </c>
      <c r="V277" s="3">
        <f t="shared" si="263"/>
        <v>3.0140050024792995E-3</v>
      </c>
      <c r="W277" s="3">
        <f t="shared" si="263"/>
        <v>3.0140049753496121E-3</v>
      </c>
      <c r="X277" s="3">
        <f t="shared" si="263"/>
        <v>3.0140047040527473E-3</v>
      </c>
      <c r="Y277" s="3">
        <f t="shared" si="263"/>
        <v>3.0140019910854425E-3</v>
      </c>
      <c r="Z277" s="3">
        <f t="shared" si="263"/>
        <v>3.0139748615467094E-3</v>
      </c>
      <c r="AA277" s="3">
        <f t="shared" si="263"/>
        <v>3.0137035795898804E-3</v>
      </c>
      <c r="AB277" s="3">
        <f t="shared" si="263"/>
        <v>3.0109921026246047E-3</v>
      </c>
      <c r="AC277" s="3">
        <f t="shared" si="263"/>
        <v>2.9840111472010495E-3</v>
      </c>
      <c r="AD277" s="3">
        <f t="shared" si="263"/>
        <v>2.727147882395984E-3</v>
      </c>
      <c r="AE277" s="3">
        <f t="shared" si="263"/>
        <v>1.1086415810981211E-3</v>
      </c>
      <c r="AF277" s="3">
        <f t="shared" si="263"/>
        <v>1.366519742780111E-7</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1.1678404493635967E-2</v>
      </c>
      <c r="C279" s="3">
        <f t="shared" si="265"/>
        <v>1.1678404493635967E-2</v>
      </c>
      <c r="D279" s="3">
        <f t="shared" si="265"/>
        <v>1.1678404493635967E-2</v>
      </c>
      <c r="E279" s="3">
        <f t="shared" si="265"/>
        <v>1.1678404493635967E-2</v>
      </c>
      <c r="F279" s="3">
        <f t="shared" si="265"/>
        <v>1.1678404493635967E-2</v>
      </c>
      <c r="G279" s="3">
        <f t="shared" si="265"/>
        <v>1.1678404493635967E-2</v>
      </c>
      <c r="H279" s="3">
        <f t="shared" si="265"/>
        <v>1.1678404493635967E-2</v>
      </c>
      <c r="I279" s="3">
        <f t="shared" si="265"/>
        <v>1.1678404493635967E-2</v>
      </c>
      <c r="J279" s="3">
        <f t="shared" si="265"/>
        <v>1.1678404493635967E-2</v>
      </c>
      <c r="K279" s="3">
        <f t="shared" si="265"/>
        <v>1.1678404493635967E-2</v>
      </c>
      <c r="L279" s="3">
        <f t="shared" si="265"/>
        <v>1.1678404493635967E-2</v>
      </c>
      <c r="M279" s="3">
        <f t="shared" si="265"/>
        <v>1.1678404493635967E-2</v>
      </c>
      <c r="N279" s="3">
        <f t="shared" si="265"/>
        <v>1.1678404493635967E-2</v>
      </c>
      <c r="O279" s="3">
        <f t="shared" si="265"/>
        <v>1.1678404493635967E-2</v>
      </c>
      <c r="P279" s="3">
        <f t="shared" si="265"/>
        <v>1.1678404493635967E-2</v>
      </c>
      <c r="Q279" s="3">
        <f t="shared" si="265"/>
        <v>1.1678404493635965E-2</v>
      </c>
      <c r="R279" s="3">
        <f t="shared" si="265"/>
        <v>1.1678404493635955E-2</v>
      </c>
      <c r="S279" s="3">
        <f t="shared" si="265"/>
        <v>1.1678404493635851E-2</v>
      </c>
      <c r="T279" s="3">
        <f t="shared" si="265"/>
        <v>1.16784044936348E-2</v>
      </c>
      <c r="U279" s="3">
        <f t="shared" si="265"/>
        <v>1.1678404493624287E-2</v>
      </c>
      <c r="V279" s="3">
        <f t="shared" si="265"/>
        <v>1.1678404493519168E-2</v>
      </c>
      <c r="W279" s="3">
        <f t="shared" si="265"/>
        <v>1.1678404492467969E-2</v>
      </c>
      <c r="X279" s="3">
        <f t="shared" si="265"/>
        <v>1.1678404481955994E-2</v>
      </c>
      <c r="Y279" s="3">
        <f t="shared" si="265"/>
        <v>1.1678404376836239E-2</v>
      </c>
      <c r="Z279" s="3">
        <f t="shared" si="265"/>
        <v>1.167840332563874E-2</v>
      </c>
      <c r="AA279" s="3">
        <f t="shared" si="265"/>
        <v>1.1678392813668953E-2</v>
      </c>
      <c r="AB279" s="3">
        <f t="shared" si="265"/>
        <v>1.1678287694491488E-2</v>
      </c>
      <c r="AC279" s="3">
        <f t="shared" si="265"/>
        <v>1.1677236554756184E-2</v>
      </c>
      <c r="AD279" s="3">
        <f t="shared" si="265"/>
        <v>1.1666730359604567E-2</v>
      </c>
      <c r="AE279" s="3">
        <f t="shared" si="265"/>
        <v>1.156218689982706E-2</v>
      </c>
      <c r="AF279" s="3">
        <f t="shared" si="265"/>
        <v>1.0566915458511685E-2</v>
      </c>
      <c r="AG279" s="3"/>
      <c r="AH279" s="3"/>
    </row>
    <row r="280" spans="1:34" x14ac:dyDescent="0.25">
      <c r="A280" s="79">
        <f>AVERAGE(B280:AF280)</f>
        <v>0.10757775289148887</v>
      </c>
      <c r="B280" s="80">
        <f>IF($D$61&lt;=B246,IF($E$61&gt;=B246,ABS((B248-B247)/B247),0),0)</f>
        <v>2.4628744716079187E-2</v>
      </c>
      <c r="C280" s="80">
        <f t="shared" ref="C280:AF280" si="266">IF($D$61&lt;=C246,IF($E$61&gt;=C246,ABS((C248-C247)/C247),0),0)</f>
        <v>3.3024674551216417E-2</v>
      </c>
      <c r="D280" s="80">
        <f t="shared" si="266"/>
        <v>6.2478430089072785E-2</v>
      </c>
      <c r="E280" s="80">
        <f t="shared" si="266"/>
        <v>6.4552557479937364E-2</v>
      </c>
      <c r="F280" s="80">
        <f t="shared" si="266"/>
        <v>6.1135913453982921E-2</v>
      </c>
      <c r="G280" s="80">
        <f t="shared" si="266"/>
        <v>6.5106775148902285E-2</v>
      </c>
      <c r="H280" s="80">
        <f t="shared" si="266"/>
        <v>7.2235905617586207E-2</v>
      </c>
      <c r="I280" s="80">
        <f t="shared" si="266"/>
        <v>7.9608093655670051E-2</v>
      </c>
      <c r="J280" s="80">
        <f t="shared" si="266"/>
        <v>8.7563202155946457E-2</v>
      </c>
      <c r="K280" s="80">
        <f t="shared" si="266"/>
        <v>9.080108417179393E-2</v>
      </c>
      <c r="L280" s="80">
        <f t="shared" si="266"/>
        <v>9.6827392600605244E-2</v>
      </c>
      <c r="M280" s="80">
        <f t="shared" si="266"/>
        <v>0.10738767538905082</v>
      </c>
      <c r="N280" s="80">
        <f t="shared" si="266"/>
        <v>0.12432861243106257</v>
      </c>
      <c r="O280" s="80">
        <f t="shared" si="266"/>
        <v>0.13217140827645543</v>
      </c>
      <c r="P280" s="80">
        <f t="shared" si="266"/>
        <v>0.13124127882134021</v>
      </c>
      <c r="Q280" s="80">
        <f t="shared" si="266"/>
        <v>0.12904064652346539</v>
      </c>
      <c r="R280" s="80">
        <f t="shared" si="266"/>
        <v>0.14697614384245911</v>
      </c>
      <c r="S280" s="80">
        <f t="shared" si="266"/>
        <v>0.19838557661705225</v>
      </c>
      <c r="T280" s="80">
        <f t="shared" si="266"/>
        <v>0.22714260696998209</v>
      </c>
      <c r="U280" s="80">
        <f t="shared" si="266"/>
        <v>0.23474737224064057</v>
      </c>
      <c r="V280" s="80">
        <f t="shared" si="266"/>
        <v>0.24206396802021973</v>
      </c>
      <c r="W280" s="80">
        <f t="shared" si="266"/>
        <v>0.26297491268690443</v>
      </c>
      <c r="X280" s="80">
        <f t="shared" si="266"/>
        <v>0.29921175252682003</v>
      </c>
      <c r="Y280" s="80">
        <f t="shared" si="266"/>
        <v>0.36127561164990951</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29314.075914874607</v>
      </c>
      <c r="C281" s="21">
        <f t="shared" ref="C281:AF281" si="267">(C248-C247)^2</f>
        <v>52691.508872688835</v>
      </c>
      <c r="D281" s="21">
        <f t="shared" si="267"/>
        <v>188019.98111924605</v>
      </c>
      <c r="E281" s="21">
        <f t="shared" si="267"/>
        <v>196049.09561019938</v>
      </c>
      <c r="F281" s="21">
        <f t="shared" si="267"/>
        <v>167563.64729101295</v>
      </c>
      <c r="G281" s="21">
        <f t="shared" si="267"/>
        <v>183522.70514852367</v>
      </c>
      <c r="H281" s="21">
        <f t="shared" si="267"/>
        <v>218165.53202224209</v>
      </c>
      <c r="I281" s="21">
        <f t="shared" si="267"/>
        <v>254656.2666742767</v>
      </c>
      <c r="J281" s="21">
        <f t="shared" si="267"/>
        <v>295067.29243788042</v>
      </c>
      <c r="K281" s="21">
        <f t="shared" si="267"/>
        <v>301843.14450584882</v>
      </c>
      <c r="L281" s="21">
        <f t="shared" si="267"/>
        <v>324693.73871400603</v>
      </c>
      <c r="M281" s="21">
        <f t="shared" si="267"/>
        <v>375908.81714941608</v>
      </c>
      <c r="N281" s="21">
        <f t="shared" si="267"/>
        <v>475774.8660386391</v>
      </c>
      <c r="O281" s="21">
        <f t="shared" si="267"/>
        <v>502678.99222779949</v>
      </c>
      <c r="P281" s="21">
        <f t="shared" si="267"/>
        <v>455578.79310101451</v>
      </c>
      <c r="Q281" s="21">
        <f t="shared" si="267"/>
        <v>400006.84617994679</v>
      </c>
      <c r="R281" s="21">
        <f t="shared" si="267"/>
        <v>469373.31525149359</v>
      </c>
      <c r="S281" s="21">
        <f t="shared" si="267"/>
        <v>727260.34481284628</v>
      </c>
      <c r="T281" s="21">
        <f t="shared" si="267"/>
        <v>696322.11192015465</v>
      </c>
      <c r="U281" s="21">
        <f t="shared" si="267"/>
        <v>514631.39479186526</v>
      </c>
      <c r="V281" s="21">
        <f t="shared" si="267"/>
        <v>391969.20128418808</v>
      </c>
      <c r="W281" s="21">
        <f t="shared" si="267"/>
        <v>349272.19048161421</v>
      </c>
      <c r="X281" s="21">
        <f t="shared" si="267"/>
        <v>350738.7026007009</v>
      </c>
      <c r="Y281" s="21">
        <f t="shared" si="267"/>
        <v>401522.17146337958</v>
      </c>
      <c r="Z281" s="21">
        <f t="shared" si="267"/>
        <v>479162.13299344556</v>
      </c>
      <c r="AA281" s="21">
        <f t="shared" si="267"/>
        <v>523497.52983784792</v>
      </c>
      <c r="AB281" s="21">
        <f t="shared" si="267"/>
        <v>456793.65686761535</v>
      </c>
      <c r="AC281" s="21">
        <f t="shared" si="267"/>
        <v>293744.0185456695</v>
      </c>
      <c r="AD281" s="21">
        <f t="shared" si="267"/>
        <v>132448.30693776239</v>
      </c>
      <c r="AE281" s="21">
        <f t="shared" si="267"/>
        <v>43853.709579123773</v>
      </c>
      <c r="AF281" s="21">
        <f t="shared" si="267"/>
        <v>11202.382847259805</v>
      </c>
      <c r="AG281" s="3"/>
      <c r="AH281" s="3"/>
    </row>
    <row r="282" spans="1:34" s="3" customFormat="1" x14ac:dyDescent="0.25">
      <c r="A282" s="71">
        <f>SUM(B282:AF282)</f>
        <v>8322624.7356138574</v>
      </c>
      <c r="B282" s="21">
        <f>IF($D$61&lt;=B246,IF($E$61&gt;=B246,ABS(B281),0),0)</f>
        <v>29314.075914874607</v>
      </c>
      <c r="C282" s="21">
        <f t="shared" ref="C282:AF282" si="268">IF($D$61&lt;=C246,IF($E$61&gt;=C246,ABS(C281),0),0)</f>
        <v>52691.508872688835</v>
      </c>
      <c r="D282" s="21">
        <f t="shared" si="268"/>
        <v>188019.98111924605</v>
      </c>
      <c r="E282" s="21">
        <f t="shared" si="268"/>
        <v>196049.09561019938</v>
      </c>
      <c r="F282" s="21">
        <f t="shared" si="268"/>
        <v>167563.64729101295</v>
      </c>
      <c r="G282" s="21">
        <f t="shared" si="268"/>
        <v>183522.70514852367</v>
      </c>
      <c r="H282" s="21">
        <f t="shared" si="268"/>
        <v>218165.53202224209</v>
      </c>
      <c r="I282" s="21">
        <f t="shared" si="268"/>
        <v>254656.2666742767</v>
      </c>
      <c r="J282" s="21">
        <f t="shared" si="268"/>
        <v>295067.29243788042</v>
      </c>
      <c r="K282" s="21">
        <f t="shared" si="268"/>
        <v>301843.14450584882</v>
      </c>
      <c r="L282" s="21">
        <f t="shared" si="268"/>
        <v>324693.73871400603</v>
      </c>
      <c r="M282" s="21">
        <f t="shared" si="268"/>
        <v>375908.81714941608</v>
      </c>
      <c r="N282" s="21">
        <f t="shared" si="268"/>
        <v>475774.8660386391</v>
      </c>
      <c r="O282" s="21">
        <f t="shared" si="268"/>
        <v>502678.99222779949</v>
      </c>
      <c r="P282" s="21">
        <f t="shared" si="268"/>
        <v>455578.79310101451</v>
      </c>
      <c r="Q282" s="21">
        <f t="shared" si="268"/>
        <v>400006.84617994679</v>
      </c>
      <c r="R282" s="21">
        <f t="shared" si="268"/>
        <v>469373.31525149359</v>
      </c>
      <c r="S282" s="21">
        <f t="shared" si="268"/>
        <v>727260.34481284628</v>
      </c>
      <c r="T282" s="21">
        <f t="shared" si="268"/>
        <v>696322.11192015465</v>
      </c>
      <c r="U282" s="21">
        <f t="shared" si="268"/>
        <v>514631.39479186526</v>
      </c>
      <c r="V282" s="21">
        <f t="shared" si="268"/>
        <v>391969.20128418808</v>
      </c>
      <c r="W282" s="21">
        <f t="shared" si="268"/>
        <v>349272.19048161421</v>
      </c>
      <c r="X282" s="21">
        <f t="shared" si="268"/>
        <v>350738.7026007009</v>
      </c>
      <c r="Y282" s="21">
        <f t="shared" si="268"/>
        <v>401522.17146337958</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6840.5863197092085</v>
      </c>
      <c r="C286" s="26">
        <f>INDEX(Comparison!$AM$3:$AS$33,G$14,$F$122)</f>
        <v>6643.5965561721414</v>
      </c>
      <c r="D286" s="26">
        <f>INDEX(Comparison!$AM$3:$AS$33,H$14,$F$122)</f>
        <v>6527.1577578820725</v>
      </c>
      <c r="E286" s="26">
        <f>INDEX(Comparison!$AM$3:$AS$33,I$14,$F$122)</f>
        <v>6412.9995296962652</v>
      </c>
      <c r="F286" s="26">
        <f>INDEX(Comparison!$AM$3:$AS$33,J$14,$F$122)</f>
        <v>6286.8028992665704</v>
      </c>
      <c r="G286" s="26">
        <f>INDEX(Comparison!$AM$3:$AS$33,K$14,$F$122)</f>
        <v>6151.4165633211096</v>
      </c>
      <c r="H286" s="26">
        <f>INDEX(Comparison!$AM$3:$AS$33,L$14,$F$122)</f>
        <v>5999.0572498672</v>
      </c>
      <c r="I286" s="26">
        <f>INDEX(Comparison!$AM$3:$AS$33,M$14,$F$122)</f>
        <v>5834.1918541119712</v>
      </c>
      <c r="J286" s="26">
        <f>INDEX(Comparison!$AM$3:$AS$33,N$14,$F$122)</f>
        <v>5660.667941479277</v>
      </c>
      <c r="K286" s="26">
        <f>INDEX(Comparison!$AM$3:$AS$33,O$14,$F$122)</f>
        <v>5500.6338050295499</v>
      </c>
      <c r="L286" s="26">
        <f>INDEX(Comparison!$AM$3:$AS$33,P$14,$F$122)</f>
        <v>5316.0543139142828</v>
      </c>
      <c r="M286" s="26">
        <f>INDEX(Comparison!$AM$3:$AS$33,Q$14,$F$122)</f>
        <v>5094.9618199282804</v>
      </c>
      <c r="N286" s="26">
        <f>INDEX(Comparison!$AM$3:$AS$33,R$14,$F$122)</f>
        <v>4859.6753740182503</v>
      </c>
      <c r="O286" s="26">
        <f>INDEX(Comparison!$AM$3:$AS$33,S$14,$F$122)</f>
        <v>4653.8175879978271</v>
      </c>
      <c r="P286" s="26">
        <f>INDEX(Comparison!$AM$3:$AS$33,T$14,$F$122)</f>
        <v>4469.1753341299773</v>
      </c>
      <c r="Q286" s="26">
        <f>INDEX(Comparison!$AM$3:$AS$33,U$14,$F$122)</f>
        <v>4267.9652571239076</v>
      </c>
      <c r="R286" s="26">
        <f>INDEX(Comparison!$AM$3:$AS$33,V$14,$F$122)</f>
        <v>3976.7785402340392</v>
      </c>
      <c r="S286" s="26">
        <f>INDEX(Comparison!$AM$3:$AS$33,W$14,$F$122)</f>
        <v>3445.6591436468279</v>
      </c>
      <c r="T286" s="26">
        <f>INDEX(Comparison!$AM$3:$AS$33,X$14,$F$122)</f>
        <v>2839.3657389117534</v>
      </c>
      <c r="U286" s="26">
        <f>INDEX(Comparison!$AM$3:$AS$33,Y$14,$F$122)</f>
        <v>2338.5721090290958</v>
      </c>
      <c r="V286" s="26">
        <f>INDEX(Comparison!$AM$3:$AS$33,Z$14,$F$122)</f>
        <v>1960.3272335044344</v>
      </c>
      <c r="W286" s="26">
        <f>INDEX(Comparison!$AM$3:$AS$33,AA$14,$F$122)</f>
        <v>1656.3185875611684</v>
      </c>
      <c r="X286" s="26">
        <f>INDEX(Comparison!$AM$3:$AS$33,AB$14,$F$122)</f>
        <v>1387.2108481854204</v>
      </c>
      <c r="Y286" s="26">
        <f>INDEX(Comparison!$AM$3:$AS$33,AC$14,$F$122)</f>
        <v>1120.1049206759617</v>
      </c>
      <c r="Z286" s="26">
        <f>INDEX(Comparison!$AM$3:$AS$33,AD$14,$F$122)</f>
        <v>849.29779427462438</v>
      </c>
      <c r="AA286" s="26">
        <f>INDEX(Comparison!$AM$3:$AS$33,AE$14,$F$122)</f>
        <v>602.02056954985051</v>
      </c>
      <c r="AB286" s="26">
        <f>INDEX(Comparison!$AM$3:$AS$33,AF$14,$F$122)</f>
        <v>414.55153000594095</v>
      </c>
      <c r="AC286" s="26">
        <f>INDEX(Comparison!$AM$3:$AS$33,AG$14,$F$122)</f>
        <v>296.76424848335745</v>
      </c>
      <c r="AD286" s="26">
        <f>INDEX(Comparison!$AM$3:$AS$33,AH$14,$F$122)</f>
        <v>236.5039430342818</v>
      </c>
      <c r="AE286" s="26">
        <f>INDEX(Comparison!$AM$3:$AS$33,AI$14,$F$122)</f>
        <v>206.64782998877558</v>
      </c>
      <c r="AF286" s="26">
        <f>INDEX(Comparison!$AM$3:$AS$33,AJ$14,$F$122)</f>
        <v>191.80670583863778</v>
      </c>
      <c r="AG286" s="26"/>
      <c r="AH286" s="26"/>
    </row>
    <row r="287" spans="1:34" x14ac:dyDescent="0.25">
      <c r="A287" s="70" t="s">
        <v>22</v>
      </c>
      <c r="B287" s="27">
        <f>($C$17+SUM(B288:B318))*$B$51</f>
        <v>6117.8682351047182</v>
      </c>
      <c r="C287" s="27">
        <f t="shared" ref="C287:AF287" si="269">($C$17+SUM(C288:C318))*$B$51</f>
        <v>5959.9054305517684</v>
      </c>
      <c r="D287" s="27">
        <f t="shared" si="269"/>
        <v>5791.4815816318878</v>
      </c>
      <c r="E287" s="27">
        <f t="shared" si="269"/>
        <v>5616.2381050602953</v>
      </c>
      <c r="F287" s="27">
        <f t="shared" si="269"/>
        <v>5458.6291687976809</v>
      </c>
      <c r="G287" s="27">
        <f t="shared" si="269"/>
        <v>5259.1110522815452</v>
      </c>
      <c r="H287" s="27">
        <f t="shared" si="269"/>
        <v>5034.154643755237</v>
      </c>
      <c r="I287" s="27">
        <f t="shared" si="269"/>
        <v>4794.5678465120654</v>
      </c>
      <c r="J287" s="27">
        <f t="shared" si="269"/>
        <v>4610.8136594167172</v>
      </c>
      <c r="K287" s="27">
        <f t="shared" si="269"/>
        <v>4412.4386293690959</v>
      </c>
      <c r="L287" s="27">
        <f t="shared" si="269"/>
        <v>4218.4292179486165</v>
      </c>
      <c r="M287" s="27">
        <f t="shared" si="269"/>
        <v>3856.7841730902883</v>
      </c>
      <c r="N287" s="27">
        <f t="shared" si="269"/>
        <v>3294.2287177336452</v>
      </c>
      <c r="O287" s="27">
        <f t="shared" si="269"/>
        <v>2713.9199840707997</v>
      </c>
      <c r="P287" s="27">
        <f t="shared" si="269"/>
        <v>2249.6880204364638</v>
      </c>
      <c r="Q287" s="27">
        <f t="shared" si="269"/>
        <v>1887.691969176017</v>
      </c>
      <c r="R287" s="27">
        <f t="shared" si="269"/>
        <v>1609.031001517219</v>
      </c>
      <c r="S287" s="27">
        <f t="shared" si="269"/>
        <v>1311.1044755647808</v>
      </c>
      <c r="T287" s="27">
        <f t="shared" si="269"/>
        <v>1052.8756610333255</v>
      </c>
      <c r="U287" s="27">
        <f t="shared" si="269"/>
        <v>775.82677180575195</v>
      </c>
      <c r="V287" s="27">
        <f t="shared" si="269"/>
        <v>547.07432834115434</v>
      </c>
      <c r="W287" s="27">
        <f t="shared" si="269"/>
        <v>373.73460543394873</v>
      </c>
      <c r="X287" s="27">
        <f t="shared" si="269"/>
        <v>276.7562812699378</v>
      </c>
      <c r="Y287" s="27">
        <f t="shared" si="269"/>
        <v>225.83049742744203</v>
      </c>
      <c r="Z287" s="27">
        <f t="shared" si="269"/>
        <v>201.93528256396814</v>
      </c>
      <c r="AA287" s="27">
        <f t="shared" si="269"/>
        <v>186.61517901480516</v>
      </c>
      <c r="AB287" s="27">
        <f t="shared" si="269"/>
        <v>132.36706831386897</v>
      </c>
      <c r="AC287" s="27">
        <f t="shared" si="269"/>
        <v>117.96195104119749</v>
      </c>
      <c r="AD287" s="27">
        <f t="shared" si="269"/>
        <v>117.96194865846198</v>
      </c>
      <c r="AE287" s="27">
        <f t="shared" si="269"/>
        <v>117.96194865846198</v>
      </c>
      <c r="AF287" s="27">
        <f t="shared" si="269"/>
        <v>117.96194865846198</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6.5088452187879152E-177</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4.1248517876168072E-18</v>
      </c>
      <c r="C291" s="3">
        <f t="shared" si="273"/>
        <v>1.8133668649905427E-159</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7.397758279335838E-4</v>
      </c>
      <c r="C292" s="3">
        <f t="shared" si="274"/>
        <v>1.3107797859211952E-16</v>
      </c>
      <c r="D292" s="3">
        <f t="shared" si="274"/>
        <v>3.9978428775934939E-144</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1.7334582599781573E-2</v>
      </c>
      <c r="C293" s="3">
        <f t="shared" si="275"/>
        <v>1.2263534457306474E-3</v>
      </c>
      <c r="D293" s="3">
        <f t="shared" si="275"/>
        <v>3.8515746989990684E-15</v>
      </c>
      <c r="E293" s="3">
        <f t="shared" si="275"/>
        <v>3.5963754144311481E-130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2.4055776956365075E-2</v>
      </c>
      <c r="C294" s="3">
        <f t="shared" si="276"/>
        <v>1.8943183371253513E-2</v>
      </c>
      <c r="D294" s="3">
        <f t="shared" si="276"/>
        <v>1.7369555814053706E-3</v>
      </c>
      <c r="E294" s="3">
        <f t="shared" si="276"/>
        <v>7.2970312284927002E-14</v>
      </c>
      <c r="F294" s="3">
        <f t="shared" si="276"/>
        <v>1.2494564645572937E-117</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2.7334424911815036E-2</v>
      </c>
      <c r="C295" s="3">
        <f t="shared" si="277"/>
        <v>2.6751574396644533E-2</v>
      </c>
      <c r="D295" s="3">
        <f t="shared" si="277"/>
        <v>2.156469889184414E-2</v>
      </c>
      <c r="E295" s="3">
        <f t="shared" si="277"/>
        <v>2.4985262634674554E-3</v>
      </c>
      <c r="F295" s="3">
        <f t="shared" si="277"/>
        <v>1.0891535805145235E-12</v>
      </c>
      <c r="G295" s="3">
        <f t="shared" si="277"/>
        <v>2.6986164883892966E-106</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2.1235292027026828E-2</v>
      </c>
      <c r="C296" s="3">
        <f t="shared" si="278"/>
        <v>2.1194044128259461E-2</v>
      </c>
      <c r="D296" s="3">
        <f t="shared" si="278"/>
        <v>2.0785946206846512E-2</v>
      </c>
      <c r="E296" s="3">
        <f t="shared" si="278"/>
        <v>1.7113129890199356E-2</v>
      </c>
      <c r="F296" s="3">
        <f t="shared" si="278"/>
        <v>2.4486455470351452E-3</v>
      </c>
      <c r="G296" s="3">
        <f t="shared" si="278"/>
        <v>8.8082714802112585E-12</v>
      </c>
      <c r="H296" s="3">
        <f t="shared" si="278"/>
        <v>3.195496692548401E-96</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3.0368310797451385E-2</v>
      </c>
      <c r="C297" s="3">
        <f t="shared" si="279"/>
        <v>3.0362984874660808E-2</v>
      </c>
      <c r="D297" s="3">
        <f t="shared" si="279"/>
        <v>3.0309776992364104E-2</v>
      </c>
      <c r="E297" s="3">
        <f t="shared" si="279"/>
        <v>2.9782799565106152E-2</v>
      </c>
      <c r="F297" s="3">
        <f t="shared" si="279"/>
        <v>2.4991555977602074E-2</v>
      </c>
      <c r="G297" s="3">
        <f t="shared" si="279"/>
        <v>4.3258461610489567E-3</v>
      </c>
      <c r="H297" s="3">
        <f t="shared" si="279"/>
        <v>1.0443565993624209E-10</v>
      </c>
      <c r="I297" s="3">
        <f t="shared" si="279"/>
        <v>7.0246754316126588E-87</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3.3612339616343058E-2</v>
      </c>
      <c r="C298" s="3">
        <f t="shared" si="280"/>
        <v>3.3611807809140977E-2</v>
      </c>
      <c r="D298" s="3">
        <f t="shared" si="280"/>
        <v>3.3606490199875827E-2</v>
      </c>
      <c r="E298" s="3">
        <f t="shared" si="280"/>
        <v>3.3553360355714004E-2</v>
      </c>
      <c r="F298" s="3">
        <f t="shared" si="280"/>
        <v>3.3026659802903535E-2</v>
      </c>
      <c r="G298" s="3">
        <f t="shared" si="280"/>
        <v>2.8193628397137151E-2</v>
      </c>
      <c r="H298" s="3">
        <f t="shared" si="280"/>
        <v>5.7944758166365296E-3</v>
      </c>
      <c r="I298" s="3">
        <f t="shared" si="280"/>
        <v>7.791946977125374E-10</v>
      </c>
      <c r="J298" s="3">
        <f t="shared" si="280"/>
        <v>1.5064833208555988E-78</v>
      </c>
      <c r="K298" s="3">
        <f t="shared" si="280"/>
        <v>0</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3.904871294332083E-2</v>
      </c>
      <c r="C299" s="3">
        <f t="shared" si="281"/>
        <v>3.9048657210386112E-2</v>
      </c>
      <c r="D299" s="3">
        <f t="shared" si="281"/>
        <v>3.9048099885413912E-2</v>
      </c>
      <c r="E299" s="3">
        <f t="shared" si="281"/>
        <v>3.9042527073168722E-2</v>
      </c>
      <c r="F299" s="3">
        <f t="shared" si="281"/>
        <v>3.8986842675299831E-2</v>
      </c>
      <c r="G299" s="3">
        <f t="shared" si="281"/>
        <v>3.8434348152329899E-2</v>
      </c>
      <c r="H299" s="3">
        <f t="shared" si="281"/>
        <v>3.3322230371782377E-2</v>
      </c>
      <c r="I299" s="3">
        <f t="shared" si="281"/>
        <v>7.996123435708281E-3</v>
      </c>
      <c r="J299" s="3">
        <f t="shared" si="281"/>
        <v>5.0621354441430487E-9</v>
      </c>
      <c r="K299" s="3">
        <f t="shared" si="281"/>
        <v>5.2345153217622165E-71</v>
      </c>
      <c r="L299" s="3">
        <f t="shared" si="281"/>
        <v>0</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2.2918406723196109E-2</v>
      </c>
      <c r="C300" s="3">
        <f t="shared" si="282"/>
        <v>2.291840377241847E-2</v>
      </c>
      <c r="D300" s="3">
        <f t="shared" si="282"/>
        <v>2.2918374264662988E-2</v>
      </c>
      <c r="E300" s="3">
        <f t="shared" si="282"/>
        <v>2.291807918919769E-2</v>
      </c>
      <c r="F300" s="3">
        <f t="shared" si="282"/>
        <v>2.2915128643487943E-2</v>
      </c>
      <c r="G300" s="3">
        <f t="shared" si="282"/>
        <v>2.2885644070763496E-2</v>
      </c>
      <c r="H300" s="3">
        <f t="shared" si="282"/>
        <v>2.2592876866086915E-2</v>
      </c>
      <c r="I300" s="3">
        <f t="shared" si="282"/>
        <v>1.9863487261845371E-2</v>
      </c>
      <c r="J300" s="3">
        <f t="shared" si="282"/>
        <v>5.4814455519876862E-3</v>
      </c>
      <c r="K300" s="3">
        <f t="shared" si="282"/>
        <v>1.4037545858652097E-8</v>
      </c>
      <c r="L300" s="3">
        <f t="shared" si="282"/>
        <v>1.7031465651399677E-64</v>
      </c>
      <c r="M300" s="3">
        <f t="shared" si="282"/>
        <v>0</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3.3426449143450464E-2</v>
      </c>
      <c r="C301" s="3">
        <f t="shared" si="283"/>
        <v>3.3426448755220613E-2</v>
      </c>
      <c r="D301" s="3">
        <f t="shared" si="283"/>
        <v>3.342644487292238E-2</v>
      </c>
      <c r="E301" s="3">
        <f t="shared" si="283"/>
        <v>3.3426406049964857E-2</v>
      </c>
      <c r="F301" s="3">
        <f t="shared" si="283"/>
        <v>3.3426017822869622E-2</v>
      </c>
      <c r="G301" s="3">
        <f t="shared" si="283"/>
        <v>3.3422135799904641E-2</v>
      </c>
      <c r="H301" s="3">
        <f t="shared" si="283"/>
        <v>3.3383340358337968E-2</v>
      </c>
      <c r="I301" s="3">
        <f t="shared" si="283"/>
        <v>3.2997854131700935E-2</v>
      </c>
      <c r="J301" s="3">
        <f t="shared" si="283"/>
        <v>2.937952563180463E-2</v>
      </c>
      <c r="K301" s="3">
        <f t="shared" si="283"/>
        <v>9.1967755676924407E-3</v>
      </c>
      <c r="L301" s="3">
        <f t="shared" si="283"/>
        <v>8.308902810520032E-8</v>
      </c>
      <c r="M301" s="3">
        <f t="shared" si="283"/>
        <v>3.0104026375646998E-58</v>
      </c>
      <c r="N301" s="3">
        <f t="shared" si="283"/>
        <v>0</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2.0205659714300654E-2</v>
      </c>
      <c r="C302" s="3">
        <f t="shared" si="284"/>
        <v>2.0205659693130779E-2</v>
      </c>
      <c r="D302" s="3">
        <f t="shared" si="284"/>
        <v>2.0205659481432024E-2</v>
      </c>
      <c r="E302" s="3">
        <f t="shared" si="284"/>
        <v>2.0205657364444601E-2</v>
      </c>
      <c r="F302" s="3">
        <f t="shared" si="284"/>
        <v>2.0205636194582568E-2</v>
      </c>
      <c r="G302" s="3">
        <f t="shared" si="284"/>
        <v>2.0205424497182146E-2</v>
      </c>
      <c r="H302" s="3">
        <f t="shared" si="284"/>
        <v>2.0203307645163225E-2</v>
      </c>
      <c r="I302" s="3">
        <f t="shared" si="284"/>
        <v>2.0182151318778225E-2</v>
      </c>
      <c r="J302" s="3">
        <f t="shared" si="284"/>
        <v>1.9971802721561183E-2</v>
      </c>
      <c r="K302" s="3">
        <f t="shared" si="284"/>
        <v>1.798520375032775E-2</v>
      </c>
      <c r="L302" s="3">
        <f t="shared" si="284"/>
        <v>6.3080671702528011E-3</v>
      </c>
      <c r="M302" s="3">
        <f t="shared" si="284"/>
        <v>1.7770750888537009E-7</v>
      </c>
      <c r="N302" s="3">
        <f t="shared" si="284"/>
        <v>5.5950049697331332E-53</v>
      </c>
      <c r="O302" s="3">
        <f t="shared" si="284"/>
        <v>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6.7051690232465488E-2</v>
      </c>
      <c r="C303" s="3">
        <f t="shared" si="285"/>
        <v>6.7051690226128224E-2</v>
      </c>
      <c r="D303" s="3">
        <f t="shared" si="285"/>
        <v>6.7051690162755626E-2</v>
      </c>
      <c r="E303" s="3">
        <f t="shared" si="285"/>
        <v>6.7051689529029526E-2</v>
      </c>
      <c r="F303" s="3">
        <f t="shared" si="285"/>
        <v>6.7051683191768921E-2</v>
      </c>
      <c r="G303" s="3">
        <f t="shared" si="285"/>
        <v>6.7051619819195829E-2</v>
      </c>
      <c r="H303" s="3">
        <f t="shared" si="285"/>
        <v>6.7050986096759052E-2</v>
      </c>
      <c r="I303" s="3">
        <f t="shared" si="285"/>
        <v>6.7044649201803239E-2</v>
      </c>
      <c r="J303" s="3">
        <f t="shared" si="285"/>
        <v>6.6981313181917315E-2</v>
      </c>
      <c r="K303" s="3">
        <f t="shared" si="285"/>
        <v>6.6351234463888117E-2</v>
      </c>
      <c r="L303" s="3">
        <f t="shared" si="285"/>
        <v>6.0367404444900831E-2</v>
      </c>
      <c r="M303" s="3">
        <f t="shared" si="285"/>
        <v>2.3460510794926882E-2</v>
      </c>
      <c r="N303" s="3">
        <f t="shared" si="285"/>
        <v>1.8436864586146531E-6</v>
      </c>
      <c r="O303" s="3">
        <f t="shared" si="285"/>
        <v>1.6564681481508505E-47</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9.6586583164193912E-2</v>
      </c>
      <c r="C304" s="3">
        <f t="shared" si="286"/>
        <v>9.6586583163370418E-2</v>
      </c>
      <c r="D304" s="3">
        <f t="shared" si="286"/>
        <v>9.6586583155135575E-2</v>
      </c>
      <c r="E304" s="3">
        <f t="shared" si="286"/>
        <v>9.6586583072787169E-2</v>
      </c>
      <c r="F304" s="3">
        <f t="shared" si="286"/>
        <v>9.6586582249302999E-2</v>
      </c>
      <c r="G304" s="3">
        <f t="shared" si="286"/>
        <v>9.6586574014461718E-2</v>
      </c>
      <c r="H304" s="3">
        <f t="shared" si="286"/>
        <v>9.6586491666087515E-2</v>
      </c>
      <c r="I304" s="3">
        <f t="shared" si="286"/>
        <v>9.6585668186207022E-2</v>
      </c>
      <c r="J304" s="3">
        <f t="shared" si="286"/>
        <v>9.6577433773538876E-2</v>
      </c>
      <c r="K304" s="3">
        <f t="shared" si="286"/>
        <v>9.6495128248357626E-2</v>
      </c>
      <c r="L304" s="3">
        <f t="shared" si="286"/>
        <v>9.5675920997179309E-2</v>
      </c>
      <c r="M304" s="3">
        <f t="shared" si="286"/>
        <v>8.7856781641969986E-2</v>
      </c>
      <c r="N304" s="3">
        <f t="shared" si="286"/>
        <v>3.745429932481608E-2</v>
      </c>
      <c r="O304" s="3">
        <f t="shared" si="286"/>
        <v>7.4261812402326747E-6</v>
      </c>
      <c r="P304" s="3">
        <f t="shared" si="286"/>
        <v>6.9727519719473992E-43</v>
      </c>
      <c r="Q304" s="3">
        <f t="shared" si="286"/>
        <v>0</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8.3752967638690889E-2</v>
      </c>
      <c r="C305" s="3">
        <f t="shared" si="287"/>
        <v>8.3752967638626483E-2</v>
      </c>
      <c r="D305" s="3">
        <f t="shared" si="287"/>
        <v>8.3752967637982331E-2</v>
      </c>
      <c r="E305" s="3">
        <f t="shared" si="287"/>
        <v>8.3752967631540859E-2</v>
      </c>
      <c r="F305" s="3">
        <f t="shared" si="287"/>
        <v>8.3752967567126121E-2</v>
      </c>
      <c r="G305" s="3">
        <f t="shared" si="287"/>
        <v>8.3752966922978733E-2</v>
      </c>
      <c r="H305" s="3">
        <f t="shared" si="287"/>
        <v>8.3752960481505184E-2</v>
      </c>
      <c r="I305" s="3">
        <f t="shared" si="287"/>
        <v>8.3752896066796936E-2</v>
      </c>
      <c r="J305" s="3">
        <f t="shared" si="287"/>
        <v>8.3752251922439291E-2</v>
      </c>
      <c r="K305" s="3">
        <f t="shared" si="287"/>
        <v>8.3745810751333083E-2</v>
      </c>
      <c r="L305" s="3">
        <f t="shared" si="287"/>
        <v>8.3681426279553994E-2</v>
      </c>
      <c r="M305" s="3">
        <f t="shared" si="287"/>
        <v>8.3040297754538667E-2</v>
      </c>
      <c r="N305" s="3">
        <f t="shared" si="287"/>
        <v>7.6893058799177863E-2</v>
      </c>
      <c r="O305" s="3">
        <f t="shared" si="287"/>
        <v>3.5634406874765941E-2</v>
      </c>
      <c r="P305" s="3">
        <f t="shared" si="287"/>
        <v>1.6281465931272137E-5</v>
      </c>
      <c r="Q305" s="3">
        <f t="shared" si="287"/>
        <v>6.4555493886255576E-39</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5.9246852907868248E-2</v>
      </c>
      <c r="C306" s="3">
        <f t="shared" si="288"/>
        <v>5.9246852907864134E-2</v>
      </c>
      <c r="D306" s="3">
        <f t="shared" si="288"/>
        <v>5.9246852907823021E-2</v>
      </c>
      <c r="E306" s="3">
        <f t="shared" si="288"/>
        <v>5.9246852907411975E-2</v>
      </c>
      <c r="F306" s="3">
        <f t="shared" si="288"/>
        <v>5.924685290330145E-2</v>
      </c>
      <c r="G306" s="3">
        <f t="shared" si="288"/>
        <v>5.9246852862196241E-2</v>
      </c>
      <c r="H306" s="3">
        <f t="shared" si="288"/>
        <v>5.924685245114409E-2</v>
      </c>
      <c r="I306" s="3">
        <f t="shared" si="288"/>
        <v>5.9246848340622792E-2</v>
      </c>
      <c r="J306" s="3">
        <f t="shared" si="288"/>
        <v>5.9246807235425518E-2</v>
      </c>
      <c r="K306" s="3">
        <f t="shared" si="288"/>
        <v>5.9246396185021283E-2</v>
      </c>
      <c r="L306" s="3">
        <f t="shared" si="288"/>
        <v>5.9242285837826897E-2</v>
      </c>
      <c r="M306" s="3">
        <f t="shared" si="288"/>
        <v>5.9201198046652727E-2</v>
      </c>
      <c r="N306" s="3">
        <f t="shared" si="288"/>
        <v>5.8791884194026804E-2</v>
      </c>
      <c r="O306" s="3">
        <f t="shared" si="288"/>
        <v>5.4851209994567982E-2</v>
      </c>
      <c r="P306" s="3">
        <f t="shared" si="288"/>
        <v>2.7407823375686462E-2</v>
      </c>
      <c r="Q306" s="3">
        <f t="shared" si="288"/>
        <v>2.6592421890111427E-5</v>
      </c>
      <c r="R306" s="3">
        <f t="shared" si="288"/>
        <v>1.9660354563929196E-35</v>
      </c>
      <c r="S306" s="3">
        <f t="shared" si="288"/>
        <v>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5.2277759702858743E-2</v>
      </c>
      <c r="C307" s="3">
        <f t="shared" si="289"/>
        <v>5.227775970285841E-2</v>
      </c>
      <c r="D307" s="3">
        <f t="shared" si="289"/>
        <v>5.2277759702855142E-2</v>
      </c>
      <c r="E307" s="3">
        <f t="shared" si="289"/>
        <v>5.2277759702822425E-2</v>
      </c>
      <c r="F307" s="3">
        <f t="shared" si="289"/>
        <v>5.2277759702495236E-2</v>
      </c>
      <c r="G307" s="3">
        <f t="shared" si="289"/>
        <v>5.2277759699223374E-2</v>
      </c>
      <c r="H307" s="3">
        <f t="shared" si="289"/>
        <v>5.227775966650474E-2</v>
      </c>
      <c r="I307" s="3">
        <f t="shared" si="289"/>
        <v>5.2277759339318379E-2</v>
      </c>
      <c r="J307" s="3">
        <f t="shared" si="289"/>
        <v>5.227775606745487E-2</v>
      </c>
      <c r="K307" s="3">
        <f t="shared" si="289"/>
        <v>5.2277723348831122E-2</v>
      </c>
      <c r="L307" s="3">
        <f t="shared" si="289"/>
        <v>5.2277396163719798E-2</v>
      </c>
      <c r="M307" s="3">
        <f t="shared" si="289"/>
        <v>5.2274124425229017E-2</v>
      </c>
      <c r="N307" s="3">
        <f t="shared" si="289"/>
        <v>5.2241418299957751E-2</v>
      </c>
      <c r="O307" s="3">
        <f t="shared" si="289"/>
        <v>5.1915480407875907E-2</v>
      </c>
      <c r="P307" s="3">
        <f t="shared" si="289"/>
        <v>4.8765879173655158E-2</v>
      </c>
      <c r="Q307" s="3">
        <f t="shared" si="289"/>
        <v>2.6080016950006425E-2</v>
      </c>
      <c r="R307" s="3">
        <f t="shared" si="289"/>
        <v>4.9914414327692052E-5</v>
      </c>
      <c r="S307" s="3">
        <f t="shared" si="289"/>
        <v>3.2916002239909832E-32</v>
      </c>
      <c r="T307" s="3">
        <f t="shared" si="289"/>
        <v>5.1193888538681488E-304</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1.8161564482377508E-2</v>
      </c>
      <c r="C308" s="3">
        <f t="shared" si="290"/>
        <v>1.8161564482377501E-2</v>
      </c>
      <c r="D308" s="3">
        <f t="shared" si="290"/>
        <v>1.8161564482377397E-2</v>
      </c>
      <c r="E308" s="3">
        <f t="shared" si="290"/>
        <v>1.8161564482376373E-2</v>
      </c>
      <c r="F308" s="3">
        <f t="shared" si="290"/>
        <v>1.8161564482366117E-2</v>
      </c>
      <c r="G308" s="3">
        <f t="shared" si="290"/>
        <v>1.8161564482263581E-2</v>
      </c>
      <c r="H308" s="3">
        <f t="shared" si="290"/>
        <v>1.8161564481238218E-2</v>
      </c>
      <c r="I308" s="3">
        <f t="shared" si="290"/>
        <v>1.8161564470984579E-2</v>
      </c>
      <c r="J308" s="3">
        <f t="shared" si="290"/>
        <v>1.8161564368448176E-2</v>
      </c>
      <c r="K308" s="3">
        <f t="shared" si="290"/>
        <v>1.8161563343084192E-2</v>
      </c>
      <c r="L308" s="3">
        <f t="shared" si="290"/>
        <v>1.816155308944754E-2</v>
      </c>
      <c r="M308" s="3">
        <f t="shared" si="290"/>
        <v>1.8161450553399419E-2</v>
      </c>
      <c r="N308" s="3">
        <f t="shared" si="290"/>
        <v>1.8160425224756912E-2</v>
      </c>
      <c r="O308" s="3">
        <f t="shared" si="290"/>
        <v>1.8150175121538131E-2</v>
      </c>
      <c r="P308" s="3">
        <f t="shared" si="290"/>
        <v>1.8047991746027114E-2</v>
      </c>
      <c r="Q308" s="3">
        <f t="shared" si="290"/>
        <v>1.705726999387237E-2</v>
      </c>
      <c r="R308" s="3">
        <f t="shared" si="290"/>
        <v>9.698753578268552E-3</v>
      </c>
      <c r="S308" s="3">
        <f t="shared" si="290"/>
        <v>3.425941461807752E-5</v>
      </c>
      <c r="T308" s="3">
        <f t="shared" si="290"/>
        <v>1.036143882196768E-29</v>
      </c>
      <c r="U308" s="3">
        <f t="shared" si="290"/>
        <v>6.6347010337664699E-275</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4.1021445275655738E-2</v>
      </c>
      <c r="C309" s="3">
        <f t="shared" si="291"/>
        <v>4.1021445275655731E-2</v>
      </c>
      <c r="D309" s="3">
        <f t="shared" si="291"/>
        <v>4.1021445275655662E-2</v>
      </c>
      <c r="E309" s="3">
        <f t="shared" si="291"/>
        <v>4.102144527565503E-2</v>
      </c>
      <c r="F309" s="3">
        <f t="shared" si="291"/>
        <v>4.1021445275648619E-2</v>
      </c>
      <c r="G309" s="3">
        <f t="shared" si="291"/>
        <v>4.1021445275584566E-2</v>
      </c>
      <c r="H309" s="3">
        <f t="shared" si="291"/>
        <v>4.1021445274944023E-2</v>
      </c>
      <c r="I309" s="3">
        <f t="shared" si="291"/>
        <v>4.1021445268538584E-2</v>
      </c>
      <c r="J309" s="3">
        <f t="shared" si="291"/>
        <v>4.1021445204484232E-2</v>
      </c>
      <c r="K309" s="3">
        <f t="shared" si="291"/>
        <v>4.1021444563940732E-2</v>
      </c>
      <c r="L309" s="3">
        <f t="shared" si="291"/>
        <v>4.1021438158506236E-2</v>
      </c>
      <c r="M309" s="3">
        <f t="shared" si="291"/>
        <v>4.1021374104216288E-2</v>
      </c>
      <c r="N309" s="3">
        <f t="shared" si="291"/>
        <v>4.1020733566817867E-2</v>
      </c>
      <c r="O309" s="3">
        <f t="shared" si="291"/>
        <v>4.1014328742907662E-2</v>
      </c>
      <c r="P309" s="3">
        <f t="shared" si="291"/>
        <v>4.0950335479439257E-2</v>
      </c>
      <c r="Q309" s="3">
        <f t="shared" si="291"/>
        <v>4.0315868778214983E-2</v>
      </c>
      <c r="R309" s="3">
        <f t="shared" si="291"/>
        <v>3.4487491993901949E-2</v>
      </c>
      <c r="S309" s="3">
        <f t="shared" si="291"/>
        <v>7.2363157663284435E-3</v>
      </c>
      <c r="T309" s="3">
        <f t="shared" si="291"/>
        <v>1.19695129562383E-9</v>
      </c>
      <c r="U309" s="3">
        <f t="shared" si="291"/>
        <v>1.8351272097490102E-77</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3.4648052486914098E-2</v>
      </c>
      <c r="C310" s="3">
        <f t="shared" si="292"/>
        <v>3.4648052486914098E-2</v>
      </c>
      <c r="D310" s="3">
        <f t="shared" si="292"/>
        <v>3.4648052486914091E-2</v>
      </c>
      <c r="E310" s="3">
        <f t="shared" si="292"/>
        <v>3.4648052486914035E-2</v>
      </c>
      <c r="F310" s="3">
        <f t="shared" si="292"/>
        <v>3.4648052486913501E-2</v>
      </c>
      <c r="G310" s="3">
        <f t="shared" si="292"/>
        <v>3.4648052486908089E-2</v>
      </c>
      <c r="H310" s="3">
        <f t="shared" si="292"/>
        <v>3.4648052486853986E-2</v>
      </c>
      <c r="I310" s="3">
        <f t="shared" si="292"/>
        <v>3.4648052486312961E-2</v>
      </c>
      <c r="J310" s="3">
        <f t="shared" si="292"/>
        <v>3.4648052480902719E-2</v>
      </c>
      <c r="K310" s="3">
        <f t="shared" si="292"/>
        <v>3.4648052426800323E-2</v>
      </c>
      <c r="L310" s="3">
        <f t="shared" si="292"/>
        <v>3.4648051885776354E-2</v>
      </c>
      <c r="M310" s="3">
        <f t="shared" si="292"/>
        <v>3.4648046475537174E-2</v>
      </c>
      <c r="N310" s="3">
        <f t="shared" si="292"/>
        <v>3.4647992373191799E-2</v>
      </c>
      <c r="O310" s="3">
        <f t="shared" si="292"/>
        <v>3.4647451354384413E-2</v>
      </c>
      <c r="P310" s="3">
        <f t="shared" si="292"/>
        <v>3.4642041630921015E-2</v>
      </c>
      <c r="Q310" s="3">
        <f t="shared" si="292"/>
        <v>3.4587990830502777E-2</v>
      </c>
      <c r="R310" s="3">
        <f t="shared" si="292"/>
        <v>3.4052099532244105E-2</v>
      </c>
      <c r="S310" s="3">
        <f t="shared" si="292"/>
        <v>2.912926213879341E-2</v>
      </c>
      <c r="T310" s="3">
        <f t="shared" si="292"/>
        <v>6.112028642550651E-3</v>
      </c>
      <c r="U310" s="3">
        <f t="shared" si="292"/>
        <v>1.0109841580756287E-9</v>
      </c>
      <c r="V310" s="3">
        <f t="shared" si="292"/>
        <v>1.5500083786975134E-77</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4.29685247400187E-2</v>
      </c>
      <c r="C311" s="3">
        <f t="shared" si="293"/>
        <v>4.29685247400187E-2</v>
      </c>
      <c r="D311" s="3">
        <f t="shared" si="293"/>
        <v>4.29685247400187E-2</v>
      </c>
      <c r="E311" s="3">
        <f t="shared" si="293"/>
        <v>4.2968524740018693E-2</v>
      </c>
      <c r="F311" s="3">
        <f t="shared" si="293"/>
        <v>4.2968524740018624E-2</v>
      </c>
      <c r="G311" s="3">
        <f t="shared" si="293"/>
        <v>4.2968524740017958E-2</v>
      </c>
      <c r="H311" s="3">
        <f t="shared" si="293"/>
        <v>4.2968524740011241E-2</v>
      </c>
      <c r="I311" s="3">
        <f t="shared" si="293"/>
        <v>4.2968524739944149E-2</v>
      </c>
      <c r="J311" s="3">
        <f t="shared" si="293"/>
        <v>4.2968524739273206E-2</v>
      </c>
      <c r="K311" s="3">
        <f t="shared" si="293"/>
        <v>4.2968524732563733E-2</v>
      </c>
      <c r="L311" s="3">
        <f t="shared" si="293"/>
        <v>4.2968524665469049E-2</v>
      </c>
      <c r="M311" s="3">
        <f t="shared" si="293"/>
        <v>4.2968523994522202E-2</v>
      </c>
      <c r="N311" s="3">
        <f t="shared" si="293"/>
        <v>4.2968517285054297E-2</v>
      </c>
      <c r="O311" s="3">
        <f t="shared" si="293"/>
        <v>4.2968450190432841E-2</v>
      </c>
      <c r="P311" s="3">
        <f t="shared" si="293"/>
        <v>4.2967779249980451E-2</v>
      </c>
      <c r="Q311" s="3">
        <f t="shared" si="293"/>
        <v>4.2961070421639769E-2</v>
      </c>
      <c r="R311" s="3">
        <f t="shared" si="293"/>
        <v>4.2894039723280424E-2</v>
      </c>
      <c r="S311" s="3">
        <f t="shared" si="293"/>
        <v>4.2229458113220666E-2</v>
      </c>
      <c r="T311" s="3">
        <f t="shared" si="293"/>
        <v>3.6124437912980978E-2</v>
      </c>
      <c r="U311" s="3">
        <f t="shared" si="293"/>
        <v>7.5797868881181387E-3</v>
      </c>
      <c r="V311" s="3">
        <f t="shared" si="293"/>
        <v>1.2537644886230263E-9</v>
      </c>
      <c r="W311" s="3">
        <f t="shared" si="293"/>
        <v>1.9222313690633698E-77</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3.196768089181086E-2</v>
      </c>
      <c r="C312" s="3">
        <f t="shared" si="294"/>
        <v>3.196768089181086E-2</v>
      </c>
      <c r="D312" s="3">
        <f t="shared" si="294"/>
        <v>3.196768089181086E-2</v>
      </c>
      <c r="E312" s="3">
        <f t="shared" si="294"/>
        <v>3.196768089181086E-2</v>
      </c>
      <c r="F312" s="3">
        <f t="shared" si="294"/>
        <v>3.1967680891810853E-2</v>
      </c>
      <c r="G312" s="3">
        <f t="shared" si="294"/>
        <v>3.1967680891810804E-2</v>
      </c>
      <c r="H312" s="3">
        <f t="shared" si="294"/>
        <v>3.1967680891810304E-2</v>
      </c>
      <c r="I312" s="3">
        <f t="shared" si="294"/>
        <v>3.1967680891805315E-2</v>
      </c>
      <c r="J312" s="3">
        <f t="shared" si="294"/>
        <v>3.1967680891755397E-2</v>
      </c>
      <c r="K312" s="3">
        <f t="shared" si="294"/>
        <v>3.1967680891256227E-2</v>
      </c>
      <c r="L312" s="3">
        <f t="shared" si="294"/>
        <v>3.1967680886264518E-2</v>
      </c>
      <c r="M312" s="3">
        <f t="shared" si="294"/>
        <v>3.1967680836347483E-2</v>
      </c>
      <c r="N312" s="3">
        <f t="shared" si="294"/>
        <v>3.1967680337177104E-2</v>
      </c>
      <c r="O312" s="3">
        <f t="shared" si="294"/>
        <v>3.1967675345473755E-2</v>
      </c>
      <c r="P312" s="3">
        <f t="shared" si="294"/>
        <v>3.1967625428483089E-2</v>
      </c>
      <c r="Q312" s="3">
        <f t="shared" si="294"/>
        <v>3.1967126262863389E-2</v>
      </c>
      <c r="R312" s="3">
        <f t="shared" si="294"/>
        <v>3.1962135035334627E-2</v>
      </c>
      <c r="S312" s="3">
        <f t="shared" si="294"/>
        <v>3.1912265602114104E-2</v>
      </c>
      <c r="T312" s="3">
        <f t="shared" si="294"/>
        <v>3.141783082769492E-2</v>
      </c>
      <c r="U312" s="3">
        <f t="shared" si="294"/>
        <v>2.6875823887029436E-2</v>
      </c>
      <c r="V312" s="3">
        <f t="shared" si="294"/>
        <v>5.6392024146367575E-3</v>
      </c>
      <c r="W312" s="3">
        <f t="shared" si="294"/>
        <v>9.3277447453198023E-10</v>
      </c>
      <c r="X312" s="3">
        <f t="shared" si="294"/>
        <v>1.4300998085981709E-77</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2.6004568036228887E-2</v>
      </c>
      <c r="C313" s="3">
        <f t="shared" si="295"/>
        <v>2.6004568036228887E-2</v>
      </c>
      <c r="D313" s="3">
        <f t="shared" si="295"/>
        <v>2.6004568036228887E-2</v>
      </c>
      <c r="E313" s="3">
        <f t="shared" si="295"/>
        <v>2.6004568036228887E-2</v>
      </c>
      <c r="F313" s="3">
        <f t="shared" si="295"/>
        <v>2.6004568036228887E-2</v>
      </c>
      <c r="G313" s="3">
        <f t="shared" si="295"/>
        <v>2.600456803622888E-2</v>
      </c>
      <c r="H313" s="3">
        <f t="shared" si="295"/>
        <v>2.6004568036228842E-2</v>
      </c>
      <c r="I313" s="3">
        <f t="shared" si="295"/>
        <v>2.6004568036228436E-2</v>
      </c>
      <c r="J313" s="3">
        <f t="shared" si="295"/>
        <v>2.6004568036224373E-2</v>
      </c>
      <c r="K313" s="3">
        <f t="shared" si="295"/>
        <v>2.600456803618377E-2</v>
      </c>
      <c r="L313" s="3">
        <f t="shared" si="295"/>
        <v>2.6004568035777713E-2</v>
      </c>
      <c r="M313" s="3">
        <f t="shared" si="295"/>
        <v>2.6004568031717138E-2</v>
      </c>
      <c r="N313" s="3">
        <f t="shared" si="295"/>
        <v>2.6004567991111407E-2</v>
      </c>
      <c r="O313" s="3">
        <f t="shared" si="295"/>
        <v>2.6004567585054112E-2</v>
      </c>
      <c r="P313" s="3">
        <f t="shared" si="295"/>
        <v>2.6004563524481501E-2</v>
      </c>
      <c r="Q313" s="3">
        <f t="shared" si="295"/>
        <v>2.6004522918790265E-2</v>
      </c>
      <c r="R313" s="3">
        <f t="shared" si="295"/>
        <v>2.6004116865365159E-2</v>
      </c>
      <c r="S313" s="3">
        <f t="shared" si="295"/>
        <v>2.6000056679820409E-2</v>
      </c>
      <c r="T313" s="3">
        <f t="shared" si="295"/>
        <v>2.5959489674866245E-2</v>
      </c>
      <c r="U313" s="3">
        <f t="shared" si="295"/>
        <v>2.5557284623634182E-2</v>
      </c>
      <c r="V313" s="3">
        <f t="shared" si="295"/>
        <v>2.1862524002452668E-2</v>
      </c>
      <c r="W313" s="3">
        <f t="shared" si="295"/>
        <v>4.5872899994773703E-3</v>
      </c>
      <c r="X313" s="3">
        <f t="shared" si="295"/>
        <v>7.5877876057122032E-10</v>
      </c>
      <c r="Y313" s="3">
        <f t="shared" si="295"/>
        <v>1.1633351789624426E-77</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1.2402397350398719E-2</v>
      </c>
      <c r="C314" s="3">
        <f t="shared" si="296"/>
        <v>1.2402397350398719E-2</v>
      </c>
      <c r="D314" s="3">
        <f t="shared" si="296"/>
        <v>1.2402397350398719E-2</v>
      </c>
      <c r="E314" s="3">
        <f t="shared" si="296"/>
        <v>1.2402397350398719E-2</v>
      </c>
      <c r="F314" s="3">
        <f t="shared" si="296"/>
        <v>1.2402397350398719E-2</v>
      </c>
      <c r="G314" s="3">
        <f t="shared" si="296"/>
        <v>1.2402397350398719E-2</v>
      </c>
      <c r="H314" s="3">
        <f t="shared" si="296"/>
        <v>1.2402397350398716E-2</v>
      </c>
      <c r="I314" s="3">
        <f t="shared" si="296"/>
        <v>1.2402397350398697E-2</v>
      </c>
      <c r="J314" s="3">
        <f t="shared" si="296"/>
        <v>1.2402397350398504E-2</v>
      </c>
      <c r="K314" s="3">
        <f t="shared" si="296"/>
        <v>1.2402397350396567E-2</v>
      </c>
      <c r="L314" s="3">
        <f t="shared" si="296"/>
        <v>1.2402397350377202E-2</v>
      </c>
      <c r="M314" s="3">
        <f t="shared" si="296"/>
        <v>1.2402397350183541E-2</v>
      </c>
      <c r="N314" s="3">
        <f t="shared" si="296"/>
        <v>1.2402397348246925E-2</v>
      </c>
      <c r="O314" s="3">
        <f t="shared" si="296"/>
        <v>1.2402397328880772E-2</v>
      </c>
      <c r="P314" s="3">
        <f t="shared" si="296"/>
        <v>1.2402397135219262E-2</v>
      </c>
      <c r="Q314" s="3">
        <f t="shared" si="296"/>
        <v>1.2402395198604322E-2</v>
      </c>
      <c r="R314" s="3">
        <f t="shared" si="296"/>
        <v>1.2402375832471545E-2</v>
      </c>
      <c r="S314" s="3">
        <f t="shared" si="296"/>
        <v>1.2402182172806957E-2</v>
      </c>
      <c r="T314" s="3">
        <f t="shared" si="296"/>
        <v>1.2400245742470095E-2</v>
      </c>
      <c r="U314" s="3">
        <f t="shared" si="296"/>
        <v>1.2380898060399154E-2</v>
      </c>
      <c r="V314" s="3">
        <f t="shared" si="296"/>
        <v>1.218907380649238E-2</v>
      </c>
      <c r="W314" s="3">
        <f t="shared" si="296"/>
        <v>1.042692612249092E-2</v>
      </c>
      <c r="X314" s="3">
        <f t="shared" si="296"/>
        <v>2.1878230492337458E-3</v>
      </c>
      <c r="Y314" s="3">
        <f t="shared" si="296"/>
        <v>3.6188548398637575E-10</v>
      </c>
      <c r="Z314" s="3">
        <f t="shared" si="296"/>
        <v>5.5483117893319754E-78</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6.9977833887187504E-3</v>
      </c>
      <c r="C315" s="3">
        <f t="shared" si="297"/>
        <v>6.9977833887187504E-3</v>
      </c>
      <c r="D315" s="3">
        <f t="shared" si="297"/>
        <v>6.9977833887187504E-3</v>
      </c>
      <c r="E315" s="3">
        <f t="shared" si="297"/>
        <v>6.9977833887187504E-3</v>
      </c>
      <c r="F315" s="3">
        <f t="shared" si="297"/>
        <v>6.9977833887187504E-3</v>
      </c>
      <c r="G315" s="3">
        <f t="shared" si="297"/>
        <v>6.9977833887187504E-3</v>
      </c>
      <c r="H315" s="3">
        <f t="shared" si="297"/>
        <v>6.9977833887187504E-3</v>
      </c>
      <c r="I315" s="3">
        <f t="shared" si="297"/>
        <v>6.9977833887187486E-3</v>
      </c>
      <c r="J315" s="3">
        <f t="shared" si="297"/>
        <v>6.9977833887187382E-3</v>
      </c>
      <c r="K315" s="3">
        <f t="shared" si="297"/>
        <v>6.9977833887186289E-3</v>
      </c>
      <c r="L315" s="3">
        <f t="shared" si="297"/>
        <v>6.9977833887175361E-3</v>
      </c>
      <c r="M315" s="3">
        <f t="shared" si="297"/>
        <v>6.9977833887066099E-3</v>
      </c>
      <c r="N315" s="3">
        <f t="shared" si="297"/>
        <v>6.9977833885973405E-3</v>
      </c>
      <c r="O315" s="3">
        <f t="shared" si="297"/>
        <v>6.9977833875046469E-3</v>
      </c>
      <c r="P315" s="3">
        <f t="shared" si="297"/>
        <v>6.9977833765777165E-3</v>
      </c>
      <c r="Q315" s="3">
        <f t="shared" si="297"/>
        <v>6.9977832673084146E-3</v>
      </c>
      <c r="R315" s="3">
        <f t="shared" si="297"/>
        <v>6.997782174615488E-3</v>
      </c>
      <c r="S315" s="3">
        <f t="shared" si="297"/>
        <v>6.9977712476956009E-3</v>
      </c>
      <c r="T315" s="3">
        <f t="shared" si="297"/>
        <v>6.9976619794351481E-3</v>
      </c>
      <c r="U315" s="3">
        <f t="shared" si="297"/>
        <v>6.9965693906668749E-3</v>
      </c>
      <c r="V315" s="3">
        <f t="shared" si="297"/>
        <v>6.9856528811904316E-3</v>
      </c>
      <c r="W315" s="3">
        <f t="shared" si="297"/>
        <v>6.8774202113591407E-3</v>
      </c>
      <c r="X315" s="3">
        <f t="shared" si="297"/>
        <v>5.883166645440435E-3</v>
      </c>
      <c r="Y315" s="3">
        <f t="shared" si="297"/>
        <v>1.2344316472727524E-3</v>
      </c>
      <c r="Z315" s="3">
        <f t="shared" si="297"/>
        <v>2.0418602604897934E-10</v>
      </c>
      <c r="AA315" s="3">
        <f t="shared" si="297"/>
        <v>3.1305144463518988E-78</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3.0140050054937094E-3</v>
      </c>
      <c r="C316" s="3">
        <f t="shared" si="298"/>
        <v>3.0140050054937094E-3</v>
      </c>
      <c r="D316" s="3">
        <f t="shared" si="298"/>
        <v>3.0140050054937094E-3</v>
      </c>
      <c r="E316" s="3">
        <f t="shared" si="298"/>
        <v>3.0140050054937094E-3</v>
      </c>
      <c r="F316" s="3">
        <f t="shared" si="298"/>
        <v>3.0140050054937094E-3</v>
      </c>
      <c r="G316" s="3">
        <f t="shared" si="298"/>
        <v>3.0140050054937094E-3</v>
      </c>
      <c r="H316" s="3">
        <f t="shared" si="298"/>
        <v>3.0140050054937094E-3</v>
      </c>
      <c r="I316" s="3">
        <f t="shared" si="298"/>
        <v>3.0140050054937094E-3</v>
      </c>
      <c r="J316" s="3">
        <f t="shared" si="298"/>
        <v>3.0140050054937085E-3</v>
      </c>
      <c r="K316" s="3">
        <f t="shared" si="298"/>
        <v>3.0140050054937042E-3</v>
      </c>
      <c r="L316" s="3">
        <f t="shared" si="298"/>
        <v>3.0140050054936573E-3</v>
      </c>
      <c r="M316" s="3">
        <f t="shared" si="298"/>
        <v>3.0140050054931864E-3</v>
      </c>
      <c r="N316" s="3">
        <f t="shared" si="298"/>
        <v>3.0140050054884801E-3</v>
      </c>
      <c r="O316" s="3">
        <f t="shared" si="298"/>
        <v>3.014005005441417E-3</v>
      </c>
      <c r="P316" s="3">
        <f t="shared" si="298"/>
        <v>3.0140050049707844E-3</v>
      </c>
      <c r="Q316" s="3">
        <f t="shared" si="298"/>
        <v>3.0140050002644627E-3</v>
      </c>
      <c r="R316" s="3">
        <f t="shared" si="298"/>
        <v>3.0140049532012417E-3</v>
      </c>
      <c r="S316" s="3">
        <f t="shared" si="298"/>
        <v>3.0140044825690765E-3</v>
      </c>
      <c r="T316" s="3">
        <f t="shared" si="298"/>
        <v>3.0139997762514605E-3</v>
      </c>
      <c r="U316" s="3">
        <f t="shared" si="298"/>
        <v>3.0139527134794867E-3</v>
      </c>
      <c r="V316" s="3">
        <f t="shared" si="298"/>
        <v>3.0134821261758229E-3</v>
      </c>
      <c r="W316" s="3">
        <f t="shared" si="298"/>
        <v>3.0087802924126396E-3</v>
      </c>
      <c r="X316" s="3">
        <f t="shared" si="298"/>
        <v>2.9621635581542809E-3</v>
      </c>
      <c r="Y316" s="3">
        <f t="shared" si="298"/>
        <v>2.5339300650684621E-3</v>
      </c>
      <c r="Z316" s="3">
        <f t="shared" si="298"/>
        <v>5.316802417488284E-4</v>
      </c>
      <c r="AA316" s="3">
        <f t="shared" si="298"/>
        <v>8.7944663385211154E-11</v>
      </c>
      <c r="AB316" s="3">
        <f t="shared" si="298"/>
        <v>1.3483392793046355E-78</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1.1678404493635967E-2</v>
      </c>
      <c r="C318" s="3">
        <f t="shared" si="300"/>
        <v>1.1678404493635967E-2</v>
      </c>
      <c r="D318" s="3">
        <f t="shared" si="300"/>
        <v>1.1678404493635967E-2</v>
      </c>
      <c r="E318" s="3">
        <f t="shared" si="300"/>
        <v>1.1678404493635967E-2</v>
      </c>
      <c r="F318" s="3">
        <f t="shared" si="300"/>
        <v>1.1678404493635967E-2</v>
      </c>
      <c r="G318" s="3">
        <f t="shared" si="300"/>
        <v>1.1678404493635967E-2</v>
      </c>
      <c r="H318" s="3">
        <f t="shared" si="300"/>
        <v>1.1678404493635967E-2</v>
      </c>
      <c r="I318" s="3">
        <f t="shared" si="300"/>
        <v>1.1678404493635967E-2</v>
      </c>
      <c r="J318" s="3">
        <f t="shared" si="300"/>
        <v>1.1678404493635967E-2</v>
      </c>
      <c r="K318" s="3">
        <f t="shared" si="300"/>
        <v>1.1678404493635967E-2</v>
      </c>
      <c r="L318" s="3">
        <f t="shared" si="300"/>
        <v>1.1678404493635965E-2</v>
      </c>
      <c r="M318" s="3">
        <f t="shared" si="300"/>
        <v>1.1678404493635946E-2</v>
      </c>
      <c r="N318" s="3">
        <f t="shared" si="300"/>
        <v>1.1678404493635764E-2</v>
      </c>
      <c r="O318" s="3">
        <f t="shared" si="300"/>
        <v>1.1678404493633941E-2</v>
      </c>
      <c r="P318" s="3">
        <f t="shared" si="300"/>
        <v>1.1678404493615705E-2</v>
      </c>
      <c r="Q318" s="3">
        <f t="shared" si="300"/>
        <v>1.167840449343335E-2</v>
      </c>
      <c r="R318" s="3">
        <f t="shared" si="300"/>
        <v>1.1678404491609784E-2</v>
      </c>
      <c r="S318" s="3">
        <f t="shared" si="300"/>
        <v>1.1678404473374137E-2</v>
      </c>
      <c r="T318" s="3">
        <f t="shared" si="300"/>
        <v>1.1678404291017661E-2</v>
      </c>
      <c r="U318" s="3">
        <f t="shared" si="300"/>
        <v>1.1678402467453074E-2</v>
      </c>
      <c r="V318" s="3">
        <f t="shared" si="300"/>
        <v>1.1678384231822842E-2</v>
      </c>
      <c r="W318" s="3">
        <f t="shared" si="300"/>
        <v>1.1678201877086635E-2</v>
      </c>
      <c r="X318" s="3">
        <f t="shared" si="300"/>
        <v>1.1676378486325261E-2</v>
      </c>
      <c r="Y318" s="3">
        <f t="shared" si="300"/>
        <v>1.1658160229737032E-2</v>
      </c>
      <c r="Z318" s="3">
        <f t="shared" si="300"/>
        <v>1.1477533761682354E-2</v>
      </c>
      <c r="AA318" s="3">
        <f t="shared" si="300"/>
        <v>9.8182518623944493E-3</v>
      </c>
      <c r="AB318" s="3">
        <f t="shared" si="300"/>
        <v>2.060108365148478E-3</v>
      </c>
      <c r="AC318" s="3">
        <f t="shared" si="300"/>
        <v>3.4076033390691594E-10</v>
      </c>
      <c r="AD318" s="3">
        <f t="shared" si="300"/>
        <v>5.2244277861767484E-78</v>
      </c>
      <c r="AE318" s="3">
        <f t="shared" si="300"/>
        <v>0</v>
      </c>
      <c r="AF318" s="3">
        <f t="shared" si="300"/>
        <v>0</v>
      </c>
      <c r="AG318" s="3"/>
      <c r="AH318" s="3"/>
    </row>
    <row r="319" spans="1:34" x14ac:dyDescent="0.25">
      <c r="A319" s="79">
        <f>AVERAGE(B319:AF319)</f>
        <v>0.43047584045039955</v>
      </c>
      <c r="B319" s="80">
        <f>IF($A$64&lt;=B285,IF($B$64&gt;=B285,ABS((B287-B286)/B286),0),0)</f>
        <v>0.10565148231843566</v>
      </c>
      <c r="C319" s="80">
        <f t="shared" ref="C319:AF319" si="301">IF($A$64&lt;=C285,IF($B$64&gt;=C285,ABS((C287-C286)/C286),0),0)</f>
        <v>0.10290978987656907</v>
      </c>
      <c r="D319" s="80">
        <f t="shared" si="301"/>
        <v>0.11271003452640561</v>
      </c>
      <c r="E319" s="80">
        <f t="shared" si="301"/>
        <v>0.12424161594686822</v>
      </c>
      <c r="F319" s="80">
        <f t="shared" si="301"/>
        <v>0.13173209717860024</v>
      </c>
      <c r="G319" s="80">
        <f t="shared" si="301"/>
        <v>0.14505691524129435</v>
      </c>
      <c r="H319" s="80">
        <f t="shared" si="301"/>
        <v>0.16084237338013782</v>
      </c>
      <c r="I319" s="80">
        <f t="shared" si="301"/>
        <v>0.17819503259344702</v>
      </c>
      <c r="J319" s="80">
        <f t="shared" si="301"/>
        <v>0.18546473541922795</v>
      </c>
      <c r="K319" s="80">
        <f t="shared" si="301"/>
        <v>0.19783087081082434</v>
      </c>
      <c r="L319" s="80">
        <f t="shared" si="301"/>
        <v>0.20647364213204777</v>
      </c>
      <c r="M319" s="80">
        <f t="shared" si="301"/>
        <v>0.24302000497727408</v>
      </c>
      <c r="N319" s="80">
        <f t="shared" si="301"/>
        <v>0.32212988230738682</v>
      </c>
      <c r="O319" s="80">
        <f t="shared" si="301"/>
        <v>0.41684006028298443</v>
      </c>
      <c r="P319" s="80">
        <f t="shared" si="301"/>
        <v>0.49662122153584853</v>
      </c>
      <c r="Q319" s="80">
        <f t="shared" si="301"/>
        <v>0.55770680981407683</v>
      </c>
      <c r="R319" s="80">
        <f t="shared" si="301"/>
        <v>0.59539336042018443</v>
      </c>
      <c r="S319" s="80">
        <f t="shared" si="301"/>
        <v>0.61949095342694582</v>
      </c>
      <c r="T319" s="80">
        <f t="shared" si="301"/>
        <v>0.62918631911193579</v>
      </c>
      <c r="U319" s="80">
        <f t="shared" si="301"/>
        <v>0.66824765898373284</v>
      </c>
      <c r="V319" s="80">
        <f t="shared" si="301"/>
        <v>0.72092703759302401</v>
      </c>
      <c r="W319" s="80">
        <f t="shared" si="301"/>
        <v>0.77435826160457999</v>
      </c>
      <c r="X319" s="80">
        <f t="shared" si="301"/>
        <v>0.80049443699783884</v>
      </c>
      <c r="Y319" s="80">
        <f t="shared" si="301"/>
        <v>0.79838451446927161</v>
      </c>
      <c r="Z319" s="80">
        <f t="shared" si="301"/>
        <v>0.76223265393449091</v>
      </c>
      <c r="AA319" s="80">
        <f t="shared" si="301"/>
        <v>0.69001859993863146</v>
      </c>
      <c r="AB319" s="80">
        <f t="shared" si="301"/>
        <v>0.6806981551558331</v>
      </c>
      <c r="AC319" s="80">
        <f t="shared" si="301"/>
        <v>0.60250619256176063</v>
      </c>
      <c r="AD319" s="80">
        <f t="shared" si="301"/>
        <v>0.50122629185356493</v>
      </c>
      <c r="AE319" s="80">
        <f t="shared" si="301"/>
        <v>0.42916434852052754</v>
      </c>
      <c r="AF319" s="80">
        <f t="shared" si="301"/>
        <v>0.38499570104863573</v>
      </c>
    </row>
    <row r="320" spans="1:34" x14ac:dyDescent="0.25">
      <c r="B320" s="21">
        <f>(B287-B286)^2</f>
        <v>522321.42981438315</v>
      </c>
      <c r="C320" s="21">
        <f t="shared" ref="C320:AF320" si="302">(C287-C286)^2</f>
        <v>467433.55525205261</v>
      </c>
      <c r="D320" s="21">
        <f t="shared" si="302"/>
        <v>541219.43630209274</v>
      </c>
      <c r="E320" s="21">
        <f t="shared" si="302"/>
        <v>634828.76778794033</v>
      </c>
      <c r="F320" s="21">
        <f t="shared" si="302"/>
        <v>685871.72783875687</v>
      </c>
      <c r="G320" s="21">
        <f t="shared" si="302"/>
        <v>796209.12503157824</v>
      </c>
      <c r="H320" s="21">
        <f t="shared" si="302"/>
        <v>931037.03928165801</v>
      </c>
      <c r="I320" s="21">
        <f t="shared" si="302"/>
        <v>1080818.0771780889</v>
      </c>
      <c r="J320" s="21">
        <f t="shared" si="302"/>
        <v>1102194.013565093</v>
      </c>
      <c r="K320" s="21">
        <f t="shared" si="302"/>
        <v>1184168.7403306863</v>
      </c>
      <c r="L320" s="21">
        <f t="shared" si="302"/>
        <v>1204780.8512936381</v>
      </c>
      <c r="M320" s="21">
        <f t="shared" si="302"/>
        <v>1533083.8851292676</v>
      </c>
      <c r="N320" s="21">
        <f t="shared" si="302"/>
        <v>2450623.2336726505</v>
      </c>
      <c r="O320" s="21">
        <f t="shared" si="302"/>
        <v>3763202.713721822</v>
      </c>
      <c r="P320" s="21">
        <f t="shared" si="302"/>
        <v>4926123.9356464483</v>
      </c>
      <c r="Q320" s="21">
        <f t="shared" si="302"/>
        <v>5665700.9253182625</v>
      </c>
      <c r="R320" s="21">
        <f t="shared" si="302"/>
        <v>5606228.4070995599</v>
      </c>
      <c r="S320" s="21">
        <f t="shared" si="302"/>
        <v>4556323.6310308585</v>
      </c>
      <c r="T320" s="21">
        <f t="shared" si="302"/>
        <v>3191546.7983580711</v>
      </c>
      <c r="U320" s="21">
        <f t="shared" si="302"/>
        <v>2442172.9890133031</v>
      </c>
      <c r="V320" s="21">
        <f t="shared" si="302"/>
        <v>1997283.7739524511</v>
      </c>
      <c r="W320" s="21">
        <f t="shared" si="302"/>
        <v>1645021.6712093165</v>
      </c>
      <c r="X320" s="21">
        <f t="shared" si="302"/>
        <v>1233109.3451834524</v>
      </c>
      <c r="Y320" s="21">
        <f t="shared" si="302"/>
        <v>799726.74407647259</v>
      </c>
      <c r="Z320" s="21">
        <f t="shared" si="302"/>
        <v>419078.22156832955</v>
      </c>
      <c r="AA320" s="21">
        <f t="shared" si="302"/>
        <v>172561.63848557355</v>
      </c>
      <c r="AB320" s="21">
        <f t="shared" si="302"/>
        <v>79628.070420444434</v>
      </c>
      <c r="AC320" s="21">
        <f t="shared" si="302"/>
        <v>31970.261570594641</v>
      </c>
      <c r="AD320" s="21">
        <f t="shared" si="302"/>
        <v>14052.204430596899</v>
      </c>
      <c r="AE320" s="21">
        <f t="shared" si="302"/>
        <v>7865.1855473344676</v>
      </c>
      <c r="AF320" s="21">
        <f t="shared" si="302"/>
        <v>5453.0481629991264</v>
      </c>
      <c r="AG320" s="3"/>
      <c r="AH320" s="3"/>
    </row>
    <row r="321" spans="1:34" x14ac:dyDescent="0.25">
      <c r="A321" s="71">
        <f>SUM(B321:AF321)</f>
        <v>49691639.447273776</v>
      </c>
      <c r="B321" s="60">
        <f>IF($A$64&lt;=B285,IF($B$64&gt;=B285,ABS(B320),0),0)</f>
        <v>522321.42981438315</v>
      </c>
      <c r="C321" s="60">
        <f t="shared" ref="C321" si="303">IF($A$64&lt;=C285,IF($B$64&gt;=C285,ABS(C320),0),0)</f>
        <v>467433.55525205261</v>
      </c>
      <c r="D321" s="60">
        <f t="shared" ref="D321" si="304">IF($A$64&lt;=D285,IF($B$64&gt;=D285,ABS(D320),0),0)</f>
        <v>541219.43630209274</v>
      </c>
      <c r="E321" s="60">
        <f t="shared" ref="E321" si="305">IF($A$64&lt;=E285,IF($B$64&gt;=E285,ABS(E320),0),0)</f>
        <v>634828.76778794033</v>
      </c>
      <c r="F321" s="60">
        <f t="shared" ref="F321" si="306">IF($A$64&lt;=F285,IF($B$64&gt;=F285,ABS(F320),0),0)</f>
        <v>685871.72783875687</v>
      </c>
      <c r="G321" s="60">
        <f t="shared" ref="G321" si="307">IF($A$64&lt;=G285,IF($B$64&gt;=G285,ABS(G320),0),0)</f>
        <v>796209.12503157824</v>
      </c>
      <c r="H321" s="60">
        <f t="shared" ref="H321" si="308">IF($A$64&lt;=H285,IF($B$64&gt;=H285,ABS(H320),0),0)</f>
        <v>931037.03928165801</v>
      </c>
      <c r="I321" s="60">
        <f t="shared" ref="I321" si="309">IF($A$64&lt;=I285,IF($B$64&gt;=I285,ABS(I320),0),0)</f>
        <v>1080818.0771780889</v>
      </c>
      <c r="J321" s="60">
        <f t="shared" ref="J321" si="310">IF($A$64&lt;=J285,IF($B$64&gt;=J285,ABS(J320),0),0)</f>
        <v>1102194.013565093</v>
      </c>
      <c r="K321" s="60">
        <f t="shared" ref="K321" si="311">IF($A$64&lt;=K285,IF($B$64&gt;=K285,ABS(K320),0),0)</f>
        <v>1184168.7403306863</v>
      </c>
      <c r="L321" s="60">
        <f t="shared" ref="L321" si="312">IF($A$64&lt;=L285,IF($B$64&gt;=L285,ABS(L320),0),0)</f>
        <v>1204780.8512936381</v>
      </c>
      <c r="M321" s="60">
        <f t="shared" ref="M321" si="313">IF($A$64&lt;=M285,IF($B$64&gt;=M285,ABS(M320),0),0)</f>
        <v>1533083.8851292676</v>
      </c>
      <c r="N321" s="60">
        <f t="shared" ref="N321" si="314">IF($A$64&lt;=N285,IF($B$64&gt;=N285,ABS(N320),0),0)</f>
        <v>2450623.2336726505</v>
      </c>
      <c r="O321" s="60">
        <f t="shared" ref="O321" si="315">IF($A$64&lt;=O285,IF($B$64&gt;=O285,ABS(O320),0),0)</f>
        <v>3763202.713721822</v>
      </c>
      <c r="P321" s="60">
        <f t="shared" ref="P321" si="316">IF($A$64&lt;=P285,IF($B$64&gt;=P285,ABS(P320),0),0)</f>
        <v>4926123.9356464483</v>
      </c>
      <c r="Q321" s="60">
        <f t="shared" ref="Q321" si="317">IF($A$64&lt;=Q285,IF($B$64&gt;=Q285,ABS(Q320),0),0)</f>
        <v>5665700.9253182625</v>
      </c>
      <c r="R321" s="60">
        <f t="shared" ref="R321" si="318">IF($A$64&lt;=R285,IF($B$64&gt;=R285,ABS(R320),0),0)</f>
        <v>5606228.4070995599</v>
      </c>
      <c r="S321" s="60">
        <f t="shared" ref="S321" si="319">IF($A$64&lt;=S285,IF($B$64&gt;=S285,ABS(S320),0),0)</f>
        <v>4556323.6310308585</v>
      </c>
      <c r="T321" s="60">
        <f t="shared" ref="T321" si="320">IF($A$64&lt;=T285,IF($B$64&gt;=T285,ABS(T320),0),0)</f>
        <v>3191546.7983580711</v>
      </c>
      <c r="U321" s="60">
        <f t="shared" ref="U321" si="321">IF($A$64&lt;=U285,IF($B$64&gt;=U285,ABS(U320),0),0)</f>
        <v>2442172.9890133031</v>
      </c>
      <c r="V321" s="60">
        <f t="shared" ref="V321" si="322">IF($A$64&lt;=V285,IF($B$64&gt;=V285,ABS(V320),0),0)</f>
        <v>1997283.7739524511</v>
      </c>
      <c r="W321" s="60">
        <f t="shared" ref="W321" si="323">IF($A$64&lt;=W285,IF($B$64&gt;=W285,ABS(W320),0),0)</f>
        <v>1645021.6712093165</v>
      </c>
      <c r="X321" s="60">
        <f t="shared" ref="X321" si="324">IF($A$64&lt;=X285,IF($B$64&gt;=X285,ABS(X320),0),0)</f>
        <v>1233109.3451834524</v>
      </c>
      <c r="Y321" s="60">
        <f t="shared" ref="Y321" si="325">IF($A$64&lt;=Y285,IF($B$64&gt;=Y285,ABS(Y320),0),0)</f>
        <v>799726.74407647259</v>
      </c>
      <c r="Z321" s="60">
        <f t="shared" ref="Z321" si="326">IF($A$64&lt;=Z285,IF($B$64&gt;=Z285,ABS(Z320),0),0)</f>
        <v>419078.22156832955</v>
      </c>
      <c r="AA321" s="60">
        <f t="shared" ref="AA321" si="327">IF($A$64&lt;=AA285,IF($B$64&gt;=AA285,ABS(AA320),0),0)</f>
        <v>172561.63848557355</v>
      </c>
      <c r="AB321" s="60">
        <f t="shared" ref="AB321" si="328">IF($A$64&lt;=AB285,IF($B$64&gt;=AB285,ABS(AB320),0),0)</f>
        <v>79628.070420444434</v>
      </c>
      <c r="AC321" s="60">
        <f t="shared" ref="AC321" si="329">IF($A$64&lt;=AC285,IF($B$64&gt;=AC285,ABS(AC320),0),0)</f>
        <v>31970.261570594641</v>
      </c>
      <c r="AD321" s="60">
        <f t="shared" ref="AD321" si="330">IF($A$64&lt;=AD285,IF($B$64&gt;=AD285,ABS(AD320),0),0)</f>
        <v>14052.204430596899</v>
      </c>
      <c r="AE321" s="60">
        <f t="shared" ref="AE321" si="331">IF($A$64&lt;=AE285,IF($B$64&gt;=AE285,ABS(AE320),0),0)</f>
        <v>7865.1855473344676</v>
      </c>
      <c r="AF321" s="60">
        <f t="shared" ref="AF321" si="332">IF($A$64&lt;=AF285,IF($B$64&gt;=AF285,ABS(AF320),0),0)</f>
        <v>5453.0481629991264</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5776.5900052436255</v>
      </c>
      <c r="C325" s="26">
        <f>INDEX(Comparison!$AM$3:$AS$33,G$14,$G$122)</f>
        <v>5571.6920956359099</v>
      </c>
      <c r="D325" s="26">
        <f>INDEX(Comparison!$AM$3:$AS$33,H$14,$G$122)</f>
        <v>5400.7646013667554</v>
      </c>
      <c r="E325" s="26">
        <f>INDEX(Comparison!$AM$3:$AS$33,I$14,$G$122)</f>
        <v>5215.0678795321228</v>
      </c>
      <c r="F325" s="26">
        <f>INDEX(Comparison!$AM$3:$AS$33,J$14,$G$122)</f>
        <v>4985.425095489265</v>
      </c>
      <c r="G325" s="26">
        <f>INDEX(Comparison!$AM$3:$AS$33,K$14,$G$122)</f>
        <v>4758.3350912889036</v>
      </c>
      <c r="H325" s="26">
        <f>INDEX(Comparison!$AM$3:$AS$33,L$14,$G$122)</f>
        <v>4565.5114420012915</v>
      </c>
      <c r="I325" s="26">
        <f>INDEX(Comparison!$AM$3:$AS$33,M$14,$G$122)</f>
        <v>4384.874474223483</v>
      </c>
      <c r="J325" s="26">
        <f>INDEX(Comparison!$AM$3:$AS$33,N$14,$G$122)</f>
        <v>4203.1654341512503</v>
      </c>
      <c r="K325" s="26">
        <f>INDEX(Comparison!$AM$3:$AS$33,O$14,$G$122)</f>
        <v>4026.8171479490911</v>
      </c>
      <c r="L325" s="26">
        <f>INDEX(Comparison!$AM$3:$AS$33,P$14,$G$122)</f>
        <v>3842.8247437350828</v>
      </c>
      <c r="M325" s="26">
        <f>INDEX(Comparison!$AM$3:$AS$33,Q$14,$G$122)</f>
        <v>3637.9090125528774</v>
      </c>
      <c r="N325" s="26">
        <f>INDEX(Comparison!$AM$3:$AS$33,R$14,$G$122)</f>
        <v>3407.0475124340101</v>
      </c>
      <c r="O325" s="26">
        <f>INDEX(Comparison!$AM$3:$AS$33,S$14,$G$122)</f>
        <v>3145.7192687287707</v>
      </c>
      <c r="P325" s="26">
        <f>INDEX(Comparison!$AM$3:$AS$33,T$14,$G$122)</f>
        <v>2837.9758401657195</v>
      </c>
      <c r="Q325" s="26">
        <f>INDEX(Comparison!$AM$3:$AS$33,U$14,$G$122)</f>
        <v>2426.1662837806571</v>
      </c>
      <c r="R325" s="26">
        <f>INDEX(Comparison!$AM$3:$AS$33,V$14,$G$122)</f>
        <v>1854.808278855141</v>
      </c>
      <c r="S325" s="26">
        <f>INDEX(Comparison!$AM$3:$AS$33,W$14,$G$122)</f>
        <v>1269.173844412863</v>
      </c>
      <c r="T325" s="26">
        <f>INDEX(Comparison!$AM$3:$AS$33,X$14,$G$122)</f>
        <v>808.20803145416335</v>
      </c>
      <c r="U325" s="26">
        <f>INDEX(Comparison!$AM$3:$AS$33,Y$14,$G$122)</f>
        <v>509.02880387480866</v>
      </c>
      <c r="V325" s="26">
        <f>INDEX(Comparison!$AM$3:$AS$33,Z$14,$G$122)</f>
        <v>344.05387649356049</v>
      </c>
      <c r="W325" s="26">
        <f>INDEX(Comparison!$AM$3:$AS$33,AA$14,$G$122)</f>
        <v>262.73242624087396</v>
      </c>
      <c r="X325" s="26">
        <f>INDEX(Comparison!$AM$3:$AS$33,AB$14,$G$122)</f>
        <v>222.939887660718</v>
      </c>
      <c r="Y325" s="26">
        <f>INDEX(Comparison!$AM$3:$AS$33,AC$14,$G$122)</f>
        <v>201.32214117210117</v>
      </c>
      <c r="Z325" s="26">
        <f>INDEX(Comparison!$AM$3:$AS$33,AD$14,$G$122)</f>
        <v>188.02569432355588</v>
      </c>
      <c r="AA325" s="26">
        <f>INDEX(Comparison!$AM$3:$AS$33,AE$14,$G$122)</f>
        <v>181.14617749166206</v>
      </c>
      <c r="AB325" s="26">
        <f>INDEX(Comparison!$AM$3:$AS$33,AF$14,$G$122)</f>
        <v>171.73287142228415</v>
      </c>
      <c r="AC325" s="26">
        <f>INDEX(Comparison!$AM$3:$AS$33,AG$14,$G$122)</f>
        <v>164.88164851800227</v>
      </c>
      <c r="AD325" s="26">
        <f>INDEX(Comparison!$AM$3:$AS$33,AH$14,$G$122)</f>
        <v>164.50146393142782</v>
      </c>
      <c r="AE325" s="26">
        <f>INDEX(Comparison!$AM$3:$AS$33,AI$14,$G$122)</f>
        <v>163.00727748318997</v>
      </c>
      <c r="AF325" s="26">
        <f>INDEX(Comparison!$AM$3:$AS$33,AJ$14,$G$122)</f>
        <v>162.92272722143832</v>
      </c>
      <c r="AG325" s="26"/>
      <c r="AH325" s="26"/>
    </row>
    <row r="326" spans="1:34" x14ac:dyDescent="0.25">
      <c r="A326" s="77" t="s">
        <v>22</v>
      </c>
      <c r="B326" s="27">
        <f>($C$17+SUM(B327:B357))*$B$51</f>
        <v>4506.4331775749497</v>
      </c>
      <c r="C326" s="27">
        <f t="shared" ref="C326:AF326" si="333">($C$17+SUM(C327:C357))*$B$51</f>
        <v>4300.8521831977259</v>
      </c>
      <c r="D326" s="27">
        <f t="shared" si="333"/>
        <v>4052.5508569653648</v>
      </c>
      <c r="E326" s="27">
        <f t="shared" si="333"/>
        <v>3547.945986878141</v>
      </c>
      <c r="F326" s="27">
        <f t="shared" si="333"/>
        <v>2931.0752286428137</v>
      </c>
      <c r="G326" s="27">
        <f t="shared" si="333"/>
        <v>2409.050218965343</v>
      </c>
      <c r="H326" s="27">
        <f t="shared" si="333"/>
        <v>2018.8366111264204</v>
      </c>
      <c r="I326" s="27">
        <f t="shared" si="333"/>
        <v>1699.4563697050157</v>
      </c>
      <c r="J326" s="27">
        <f t="shared" si="333"/>
        <v>1449.7031522134632</v>
      </c>
      <c r="K326" s="27">
        <f t="shared" si="333"/>
        <v>1169.1561533132824</v>
      </c>
      <c r="L326" s="27">
        <f t="shared" si="333"/>
        <v>904.25980869103012</v>
      </c>
      <c r="M326" s="27">
        <f t="shared" si="333"/>
        <v>643.77342073193813</v>
      </c>
      <c r="N326" s="27">
        <f t="shared" si="333"/>
        <v>446.19381539674788</v>
      </c>
      <c r="O326" s="27">
        <f t="shared" si="333"/>
        <v>312.13649810564186</v>
      </c>
      <c r="P326" s="27">
        <f t="shared" si="333"/>
        <v>245.0925924748216</v>
      </c>
      <c r="Q326" s="27">
        <f t="shared" si="333"/>
        <v>210.21219564727107</v>
      </c>
      <c r="R326" s="27">
        <f t="shared" si="333"/>
        <v>194.54222920276084</v>
      </c>
      <c r="S326" s="27">
        <f t="shared" si="333"/>
        <v>160.73954059455835</v>
      </c>
      <c r="T326" s="27">
        <f t="shared" si="333"/>
        <v>118.08902668804598</v>
      </c>
      <c r="U326" s="27">
        <f t="shared" si="333"/>
        <v>117.96194865846198</v>
      </c>
      <c r="V326" s="27">
        <f t="shared" si="333"/>
        <v>117.96194865846198</v>
      </c>
      <c r="W326" s="27">
        <f t="shared" si="333"/>
        <v>117.96194865846198</v>
      </c>
      <c r="X326" s="27">
        <f t="shared" si="333"/>
        <v>117.96194865846198</v>
      </c>
      <c r="Y326" s="27">
        <f t="shared" si="333"/>
        <v>117.96194865846198</v>
      </c>
      <c r="Z326" s="27">
        <f t="shared" si="333"/>
        <v>117.96194865846198</v>
      </c>
      <c r="AA326" s="27">
        <f t="shared" si="333"/>
        <v>117.96194865846198</v>
      </c>
      <c r="AB326" s="27">
        <f t="shared" si="333"/>
        <v>117.96194865846198</v>
      </c>
      <c r="AC326" s="27">
        <f t="shared" si="333"/>
        <v>117.96194865846198</v>
      </c>
      <c r="AD326" s="27">
        <f t="shared" si="333"/>
        <v>117.96194865846198</v>
      </c>
      <c r="AE326" s="27">
        <f t="shared" si="333"/>
        <v>117.96194865846198</v>
      </c>
      <c r="AF326" s="27">
        <f t="shared" si="333"/>
        <v>117.96194865846198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1.0208695484597854E-286</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8.4286631180210266E-28</v>
      </c>
      <c r="C338" s="3">
        <f t="shared" si="345"/>
        <v>8.5728618395329001E-259</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1.1089485847163011E-4</v>
      </c>
      <c r="C339" s="3">
        <f t="shared" si="346"/>
        <v>1.6123311790821159E-25</v>
      </c>
      <c r="D339" s="3">
        <f t="shared" si="346"/>
        <v>6.8058545990173694E-234</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2.0664902356930671E-2</v>
      </c>
      <c r="C340" s="3">
        <f t="shared" si="347"/>
        <v>2.7259718761293476E-4</v>
      </c>
      <c r="D340" s="3">
        <f t="shared" si="347"/>
        <v>4.3491211378190014E-23</v>
      </c>
      <c r="E340" s="3">
        <f t="shared" si="347"/>
        <v>4.647322801873687E-211</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1.9347836379607821E-2</v>
      </c>
      <c r="C341" s="3">
        <f t="shared" si="348"/>
        <v>1.3093831477989822E-2</v>
      </c>
      <c r="D341" s="3">
        <f t="shared" si="348"/>
        <v>2.6388223768128037E-4</v>
      </c>
      <c r="E341" s="3">
        <f t="shared" si="348"/>
        <v>2.9163810583558242E-21</v>
      </c>
      <c r="F341" s="3">
        <f t="shared" si="348"/>
        <v>7.9283967674480797E-191</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6.6789800852645895E-2</v>
      </c>
      <c r="C342" s="3">
        <f t="shared" si="349"/>
        <v>6.4478350014388092E-2</v>
      </c>
      <c r="D342" s="3">
        <f t="shared" si="349"/>
        <v>4.5336875317327933E-2</v>
      </c>
      <c r="E342" s="3">
        <f t="shared" si="349"/>
        <v>1.3391470728869555E-3</v>
      </c>
      <c r="F342" s="3">
        <f t="shared" si="349"/>
        <v>6.7701017177920257E-19</v>
      </c>
      <c r="G342" s="3">
        <f t="shared" si="349"/>
        <v>7.3835355172981009E-172</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9.6552491797773241E-2</v>
      </c>
      <c r="C343" s="3">
        <f t="shared" si="350"/>
        <v>9.6246210472449176E-2</v>
      </c>
      <c r="D343" s="3">
        <f t="shared" si="350"/>
        <v>9.3236328673781593E-2</v>
      </c>
      <c r="E343" s="3">
        <f t="shared" si="350"/>
        <v>6.7857900175090274E-2</v>
      </c>
      <c r="F343" s="3">
        <f t="shared" si="350"/>
        <v>2.8297817414543232E-3</v>
      </c>
      <c r="G343" s="3">
        <f t="shared" si="350"/>
        <v>4.5006804151633732E-17</v>
      </c>
      <c r="H343" s="3">
        <f t="shared" si="350"/>
        <v>4.6615519756958432E-155</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8.3750300508951644E-2</v>
      </c>
      <c r="C344" s="3">
        <f t="shared" si="351"/>
        <v>8.3726300162996745E-2</v>
      </c>
      <c r="D344" s="3">
        <f t="shared" si="351"/>
        <v>8.3486674656628929E-2</v>
      </c>
      <c r="E344" s="3">
        <f t="shared" si="351"/>
        <v>8.112781716031256E-2</v>
      </c>
      <c r="F344" s="3">
        <f t="shared" si="351"/>
        <v>6.0911047655698949E-2</v>
      </c>
      <c r="G344" s="3">
        <f t="shared" si="351"/>
        <v>3.467040008666755E-3</v>
      </c>
      <c r="H344" s="3">
        <f t="shared" si="351"/>
        <v>1.2376182168767933E-15</v>
      </c>
      <c r="I344" s="3">
        <f t="shared" si="351"/>
        <v>4.1578143378596486E-140</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5.924668270686876E-2</v>
      </c>
      <c r="C345" s="3">
        <f t="shared" si="352"/>
        <v>5.9245150919871571E-2</v>
      </c>
      <c r="D345" s="3">
        <f t="shared" si="352"/>
        <v>5.9229835227919039E-2</v>
      </c>
      <c r="E345" s="3">
        <f t="shared" si="352"/>
        <v>5.9076895902112653E-2</v>
      </c>
      <c r="F345" s="3">
        <f t="shared" si="352"/>
        <v>5.7569055292098596E-2</v>
      </c>
      <c r="G345" s="3">
        <f t="shared" si="352"/>
        <v>4.4453243109632432E-2</v>
      </c>
      <c r="H345" s="3">
        <f t="shared" si="352"/>
        <v>3.350016373109002E-3</v>
      </c>
      <c r="I345" s="3">
        <f t="shared" si="352"/>
        <v>1.9791637123953369E-14</v>
      </c>
      <c r="J345" s="3">
        <f t="shared" si="352"/>
        <v>1.0252496263716138E-126</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5.2277746155303007E-2</v>
      </c>
      <c r="C346" s="3">
        <f t="shared" si="353"/>
        <v>5.2277624227459039E-2</v>
      </c>
      <c r="D346" s="3">
        <f t="shared" si="353"/>
        <v>5.2276404964659795E-2</v>
      </c>
      <c r="E346" s="3">
        <f t="shared" si="353"/>
        <v>5.2264213900575028E-2</v>
      </c>
      <c r="F346" s="3">
        <f t="shared" si="353"/>
        <v>5.2142459515619299E-2</v>
      </c>
      <c r="G346" s="3">
        <f t="shared" si="353"/>
        <v>5.0940407250510217E-2</v>
      </c>
      <c r="H346" s="3">
        <f t="shared" si="353"/>
        <v>4.0343299393882801E-2</v>
      </c>
      <c r="I346" s="3">
        <f t="shared" si="353"/>
        <v>3.9161689399806994E-3</v>
      </c>
      <c r="J346" s="3">
        <f t="shared" si="353"/>
        <v>2.9091189045569238E-13</v>
      </c>
      <c r="K346" s="3">
        <f t="shared" si="353"/>
        <v>1.488545149795663E-114</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1.8161564057812815E-2</v>
      </c>
      <c r="C347" s="3">
        <f t="shared" si="354"/>
        <v>1.8161560236730996E-2</v>
      </c>
      <c r="D347" s="3">
        <f t="shared" si="354"/>
        <v>1.8161522025957014E-2</v>
      </c>
      <c r="E347" s="3">
        <f t="shared" si="354"/>
        <v>1.8161139922638778E-2</v>
      </c>
      <c r="F347" s="3">
        <f t="shared" si="354"/>
        <v>1.8157319331581011E-2</v>
      </c>
      <c r="G347" s="3">
        <f t="shared" si="354"/>
        <v>1.8119157599062626E-2</v>
      </c>
      <c r="H347" s="3">
        <f t="shared" si="354"/>
        <v>1.7741923881755897E-2</v>
      </c>
      <c r="I347" s="3">
        <f t="shared" si="354"/>
        <v>1.4375660359487558E-2</v>
      </c>
      <c r="J347" s="3">
        <f t="shared" si="354"/>
        <v>1.7534715441521844E-3</v>
      </c>
      <c r="K347" s="3">
        <f t="shared" si="354"/>
        <v>1.2782267769528511E-12</v>
      </c>
      <c r="L347" s="3">
        <f t="shared" si="354"/>
        <v>5.4162636716585608E-104</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4.1021445010430743E-2</v>
      </c>
      <c r="C348" s="3">
        <f t="shared" si="355"/>
        <v>4.1021442623405902E-2</v>
      </c>
      <c r="D348" s="3">
        <f t="shared" si="355"/>
        <v>4.1021418753165062E-2</v>
      </c>
      <c r="E348" s="3">
        <f t="shared" si="355"/>
        <v>4.1021180051520618E-2</v>
      </c>
      <c r="F348" s="3">
        <f t="shared" si="355"/>
        <v>4.1018793111469512E-2</v>
      </c>
      <c r="G348" s="3">
        <f t="shared" si="355"/>
        <v>4.0994931348643633E-2</v>
      </c>
      <c r="H348" s="3">
        <f t="shared" si="355"/>
        <v>4.075707584705221E-2</v>
      </c>
      <c r="I348" s="3">
        <f t="shared" si="355"/>
        <v>3.8453117852490622E-2</v>
      </c>
      <c r="J348" s="3">
        <f t="shared" si="355"/>
        <v>2.1489037951624892E-2</v>
      </c>
      <c r="K348" s="3">
        <f t="shared" si="355"/>
        <v>6.3836800459171538E-5</v>
      </c>
      <c r="L348" s="3">
        <f t="shared" si="355"/>
        <v>3.4167444739008423E-30</v>
      </c>
      <c r="M348" s="3">
        <f t="shared" si="355"/>
        <v>6.5921395095113196E-283</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3.464805246451233E-2</v>
      </c>
      <c r="C349" s="3">
        <f t="shared" si="356"/>
        <v>3.4648052262896405E-2</v>
      </c>
      <c r="D349" s="3">
        <f t="shared" si="356"/>
        <v>3.4648050246737262E-2</v>
      </c>
      <c r="E349" s="3">
        <f t="shared" si="356"/>
        <v>3.4648030085152215E-2</v>
      </c>
      <c r="F349" s="3">
        <f t="shared" si="356"/>
        <v>3.4647828469947059E-2</v>
      </c>
      <c r="G349" s="3">
        <f t="shared" si="356"/>
        <v>3.4645812382419712E-2</v>
      </c>
      <c r="H349" s="3">
        <f t="shared" si="356"/>
        <v>3.462565795818464E-2</v>
      </c>
      <c r="I349" s="3">
        <f t="shared" si="356"/>
        <v>3.4424757432909105E-2</v>
      </c>
      <c r="J349" s="3">
        <f t="shared" si="356"/>
        <v>3.2478759260811806E-2</v>
      </c>
      <c r="K349" s="3">
        <f t="shared" si="356"/>
        <v>1.815034331038173E-2</v>
      </c>
      <c r="L349" s="3">
        <f t="shared" si="356"/>
        <v>5.3918646650381307E-5</v>
      </c>
      <c r="M349" s="3">
        <f t="shared" si="356"/>
        <v>2.8858939774203111E-30</v>
      </c>
      <c r="N349" s="3">
        <f t="shared" si="356"/>
        <v>5.5679363365131272E-283</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4.2968524737240561E-2</v>
      </c>
      <c r="C350" s="3">
        <f t="shared" si="357"/>
        <v>4.2968524712237312E-2</v>
      </c>
      <c r="D350" s="3">
        <f t="shared" si="357"/>
        <v>4.2968524462204824E-2</v>
      </c>
      <c r="E350" s="3">
        <f t="shared" si="357"/>
        <v>4.2968521961880043E-2</v>
      </c>
      <c r="F350" s="3">
        <f t="shared" si="357"/>
        <v>4.2968496958640225E-2</v>
      </c>
      <c r="G350" s="3">
        <f t="shared" si="357"/>
        <v>4.2968246927042222E-2</v>
      </c>
      <c r="H350" s="3">
        <f t="shared" si="357"/>
        <v>4.2965746691081504E-2</v>
      </c>
      <c r="I350" s="3">
        <f t="shared" si="357"/>
        <v>4.2940752331681577E-2</v>
      </c>
      <c r="J350" s="3">
        <f t="shared" si="357"/>
        <v>4.2691607038628093E-2</v>
      </c>
      <c r="K350" s="3">
        <f t="shared" si="357"/>
        <v>4.0278291870816732E-2</v>
      </c>
      <c r="L350" s="3">
        <f t="shared" si="357"/>
        <v>2.2509013338239459E-2</v>
      </c>
      <c r="M350" s="3">
        <f t="shared" si="357"/>
        <v>6.6866808846478408E-5</v>
      </c>
      <c r="N350" s="3">
        <f t="shared" si="357"/>
        <v>3.578919964193918E-30</v>
      </c>
      <c r="O350" s="3">
        <f t="shared" si="357"/>
        <v>6.9050348592225204E-283</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3.1967680891604171E-2</v>
      </c>
      <c r="C351" s="3">
        <f t="shared" si="358"/>
        <v>3.1967680889743985E-2</v>
      </c>
      <c r="D351" s="3">
        <f t="shared" si="358"/>
        <v>3.1967680871142087E-2</v>
      </c>
      <c r="E351" s="3">
        <f t="shared" si="358"/>
        <v>3.1967680685123165E-2</v>
      </c>
      <c r="F351" s="3">
        <f t="shared" si="358"/>
        <v>3.1967678824933989E-2</v>
      </c>
      <c r="G351" s="3">
        <f t="shared" si="358"/>
        <v>3.1967660223048151E-2</v>
      </c>
      <c r="H351" s="3">
        <f t="shared" si="358"/>
        <v>3.1967474204785101E-2</v>
      </c>
      <c r="I351" s="3">
        <f t="shared" si="358"/>
        <v>3.196561408168732E-2</v>
      </c>
      <c r="J351" s="3">
        <f t="shared" si="358"/>
        <v>3.1947018802695862E-2</v>
      </c>
      <c r="K351" s="3">
        <f t="shared" si="358"/>
        <v>3.1761659931935922E-2</v>
      </c>
      <c r="L351" s="3">
        <f t="shared" si="358"/>
        <v>2.9966204080408659E-2</v>
      </c>
      <c r="M351" s="3">
        <f t="shared" si="358"/>
        <v>1.6746233666155887E-2</v>
      </c>
      <c r="N351" s="3">
        <f t="shared" si="358"/>
        <v>4.9747502861486578E-5</v>
      </c>
      <c r="O351" s="3">
        <f t="shared" si="358"/>
        <v>2.6626413646947222E-30</v>
      </c>
      <c r="P351" s="3">
        <f t="shared" si="358"/>
        <v>5.1372010619873935E-283</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2.6004568036212074E-2</v>
      </c>
      <c r="C352" s="3">
        <f t="shared" si="359"/>
        <v>2.6004568036060754E-2</v>
      </c>
      <c r="D352" s="3">
        <f t="shared" si="359"/>
        <v>2.6004568034547558E-2</v>
      </c>
      <c r="E352" s="3">
        <f t="shared" si="359"/>
        <v>2.6004568019415579E-2</v>
      </c>
      <c r="F352" s="3">
        <f t="shared" si="359"/>
        <v>2.600456786809582E-2</v>
      </c>
      <c r="G352" s="3">
        <f t="shared" si="359"/>
        <v>2.6004566354898281E-2</v>
      </c>
      <c r="H352" s="3">
        <f t="shared" si="359"/>
        <v>2.6004551222927729E-2</v>
      </c>
      <c r="I352" s="3">
        <f t="shared" si="359"/>
        <v>2.6004399903706493E-2</v>
      </c>
      <c r="J352" s="3">
        <f t="shared" si="359"/>
        <v>2.6002886759921812E-2</v>
      </c>
      <c r="K352" s="3">
        <f t="shared" si="359"/>
        <v>2.5987760163803608E-2</v>
      </c>
      <c r="L352" s="3">
        <f t="shared" si="359"/>
        <v>2.5836977334667253E-2</v>
      </c>
      <c r="M352" s="3">
        <f t="shared" si="359"/>
        <v>2.4376438047970152E-2</v>
      </c>
      <c r="N352" s="3">
        <f t="shared" si="359"/>
        <v>1.3622463706264465E-2</v>
      </c>
      <c r="O352" s="3">
        <f t="shared" si="359"/>
        <v>4.0467818956658054E-5</v>
      </c>
      <c r="P352" s="3">
        <f t="shared" si="359"/>
        <v>2.1659637669249452E-30</v>
      </c>
      <c r="Q352" s="3">
        <f t="shared" si="359"/>
        <v>4.1789298067748015E-283</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1.2402397350397918E-2</v>
      </c>
      <c r="C353" s="3">
        <f t="shared" si="360"/>
        <v>1.24023973503907E-2</v>
      </c>
      <c r="D353" s="3">
        <f t="shared" si="360"/>
        <v>1.2402397350318532E-2</v>
      </c>
      <c r="E353" s="3">
        <f t="shared" si="360"/>
        <v>1.240239734959684E-2</v>
      </c>
      <c r="F353" s="3">
        <f t="shared" si="360"/>
        <v>1.2402397342379924E-2</v>
      </c>
      <c r="G353" s="3">
        <f t="shared" si="360"/>
        <v>1.2402397270210766E-2</v>
      </c>
      <c r="H353" s="3">
        <f t="shared" si="360"/>
        <v>1.2402396548519211E-2</v>
      </c>
      <c r="I353" s="3">
        <f t="shared" si="360"/>
        <v>1.2402389331605966E-2</v>
      </c>
      <c r="J353" s="3">
        <f t="shared" si="360"/>
        <v>1.240231716270449E-2</v>
      </c>
      <c r="K353" s="3">
        <f t="shared" si="360"/>
        <v>1.2401595496786419E-2</v>
      </c>
      <c r="L353" s="3">
        <f t="shared" si="360"/>
        <v>1.2394381146778544E-2</v>
      </c>
      <c r="M353" s="3">
        <f t="shared" si="360"/>
        <v>1.2322468067585648E-2</v>
      </c>
      <c r="N353" s="3">
        <f t="shared" si="360"/>
        <v>1.1625890891058466E-2</v>
      </c>
      <c r="O353" s="3">
        <f t="shared" si="360"/>
        <v>6.4969818972227767E-3</v>
      </c>
      <c r="P353" s="3">
        <f t="shared" si="360"/>
        <v>1.930037714547843E-5</v>
      </c>
      <c r="Q353" s="3">
        <f t="shared" si="360"/>
        <v>1.0330163241529156E-30</v>
      </c>
      <c r="R353" s="3">
        <f t="shared" si="360"/>
        <v>1.9930632145413672E-283</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6.9977833887187053E-3</v>
      </c>
      <c r="C354" s="3">
        <f t="shared" si="361"/>
        <v>6.9977833887182985E-3</v>
      </c>
      <c r="D354" s="3">
        <f t="shared" si="361"/>
        <v>6.9977833887142253E-3</v>
      </c>
      <c r="E354" s="3">
        <f t="shared" si="361"/>
        <v>6.9977833886735062E-3</v>
      </c>
      <c r="F354" s="3">
        <f t="shared" si="361"/>
        <v>6.9977833882663076E-3</v>
      </c>
      <c r="G354" s="3">
        <f t="shared" si="361"/>
        <v>6.9977833841943192E-3</v>
      </c>
      <c r="H354" s="3">
        <f t="shared" si="361"/>
        <v>6.9977833434744386E-3</v>
      </c>
      <c r="I354" s="3">
        <f t="shared" si="361"/>
        <v>6.9977829362756509E-3</v>
      </c>
      <c r="J354" s="3">
        <f t="shared" si="361"/>
        <v>6.9977788642890662E-3</v>
      </c>
      <c r="K354" s="3">
        <f t="shared" si="361"/>
        <v>6.9977381445535452E-3</v>
      </c>
      <c r="L354" s="3">
        <f t="shared" si="361"/>
        <v>6.9973309602301441E-3</v>
      </c>
      <c r="M354" s="3">
        <f t="shared" si="361"/>
        <v>6.9932604198967548E-3</v>
      </c>
      <c r="N354" s="3">
        <f t="shared" si="361"/>
        <v>6.9526850265441567E-3</v>
      </c>
      <c r="O354" s="3">
        <f t="shared" si="361"/>
        <v>6.559656480760157E-3</v>
      </c>
      <c r="P354" s="3">
        <f t="shared" si="361"/>
        <v>3.6657809544967013E-3</v>
      </c>
      <c r="Q354" s="3">
        <f t="shared" si="361"/>
        <v>1.0889818699470549E-5</v>
      </c>
      <c r="R354" s="3">
        <f t="shared" si="361"/>
        <v>5.8285702910495612E-31</v>
      </c>
      <c r="S354" s="3">
        <f t="shared" si="361"/>
        <v>1.1245426397288906E-283</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3.0140050054937072E-3</v>
      </c>
      <c r="C355" s="3">
        <f t="shared" si="362"/>
        <v>3.0140050054936899E-3</v>
      </c>
      <c r="D355" s="3">
        <f t="shared" si="362"/>
        <v>3.0140050054935147E-3</v>
      </c>
      <c r="E355" s="3">
        <f t="shared" si="362"/>
        <v>3.0140050054917604E-3</v>
      </c>
      <c r="F355" s="3">
        <f t="shared" si="362"/>
        <v>3.0140050054742224E-3</v>
      </c>
      <c r="G355" s="3">
        <f t="shared" si="362"/>
        <v>3.0140050052988383E-3</v>
      </c>
      <c r="H355" s="3">
        <f t="shared" si="362"/>
        <v>3.0140050035449982E-3</v>
      </c>
      <c r="I355" s="3">
        <f t="shared" si="362"/>
        <v>3.0140049860065982E-3</v>
      </c>
      <c r="J355" s="3">
        <f t="shared" si="362"/>
        <v>3.0140048106226062E-3</v>
      </c>
      <c r="K355" s="3">
        <f t="shared" si="362"/>
        <v>3.0140030567832451E-3</v>
      </c>
      <c r="L355" s="3">
        <f t="shared" si="362"/>
        <v>3.0139855184457653E-3</v>
      </c>
      <c r="M355" s="3">
        <f t="shared" si="362"/>
        <v>3.0138101406838773E-3</v>
      </c>
      <c r="N355" s="3">
        <f t="shared" si="362"/>
        <v>3.0120569242354121E-3</v>
      </c>
      <c r="O355" s="3">
        <f t="shared" si="362"/>
        <v>2.9945807561588523E-3</v>
      </c>
      <c r="P355" s="3">
        <f t="shared" si="362"/>
        <v>2.825300008457432E-3</v>
      </c>
      <c r="Q355" s="3">
        <f t="shared" si="362"/>
        <v>1.5788831308651736E-3</v>
      </c>
      <c r="R355" s="3">
        <f t="shared" si="362"/>
        <v>4.6903378178347307E-6</v>
      </c>
      <c r="S355" s="3">
        <f t="shared" si="362"/>
        <v>2.5104149494561266E-31</v>
      </c>
      <c r="T355" s="3">
        <f t="shared" si="362"/>
        <v>4.8435010870700282E-284</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1.1678404493635967E-2</v>
      </c>
      <c r="C357" s="3">
        <f t="shared" si="364"/>
        <v>1.1678404493635965E-2</v>
      </c>
      <c r="D357" s="3">
        <f t="shared" si="364"/>
        <v>1.167840449363596E-2</v>
      </c>
      <c r="E357" s="3">
        <f t="shared" si="364"/>
        <v>1.1678404493635892E-2</v>
      </c>
      <c r="F357" s="3">
        <f t="shared" si="364"/>
        <v>1.1678404493635212E-2</v>
      </c>
      <c r="G357" s="3">
        <f t="shared" si="364"/>
        <v>1.1678404493628416E-2</v>
      </c>
      <c r="H357" s="3">
        <f t="shared" si="364"/>
        <v>1.167840449356046E-2</v>
      </c>
      <c r="I357" s="3">
        <f t="shared" si="364"/>
        <v>1.1678404492880897E-2</v>
      </c>
      <c r="J357" s="3">
        <f t="shared" si="364"/>
        <v>1.1678404486085271E-2</v>
      </c>
      <c r="K357" s="3">
        <f t="shared" si="364"/>
        <v>1.1678404418129004E-2</v>
      </c>
      <c r="L357" s="3">
        <f t="shared" si="364"/>
        <v>1.1678403738566363E-2</v>
      </c>
      <c r="M357" s="3">
        <f t="shared" si="364"/>
        <v>1.1678396942942123E-2</v>
      </c>
      <c r="N357" s="3">
        <f t="shared" si="364"/>
        <v>1.1678328986917211E-2</v>
      </c>
      <c r="O357" s="3">
        <f t="shared" si="364"/>
        <v>1.1677649448416517E-2</v>
      </c>
      <c r="P357" s="3">
        <f t="shared" si="364"/>
        <v>1.1670856237783904E-2</v>
      </c>
      <c r="Q357" s="3">
        <f t="shared" si="364"/>
        <v>1.1603141101470319E-2</v>
      </c>
      <c r="R357" s="3">
        <f t="shared" si="364"/>
        <v>1.0947226781142742E-2</v>
      </c>
      <c r="S357" s="3">
        <f t="shared" si="364"/>
        <v>6.1177190538213768E-3</v>
      </c>
      <c r="T357" s="3">
        <f t="shared" si="364"/>
        <v>1.8173713098893577E-5</v>
      </c>
      <c r="U357" s="3">
        <f t="shared" si="364"/>
        <v>9.7271375373236835E-31</v>
      </c>
      <c r="V357" s="3">
        <f t="shared" si="364"/>
        <v>1.8767176815256739E-283</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0.55743947431582586</v>
      </c>
      <c r="B358" s="80">
        <f>IF($A$64&lt;=B324,IF($B$64&gt;=B324,ABS((B326-B325)/B325),0),0)</f>
        <v>0.21988003762006775</v>
      </c>
      <c r="C358" s="80">
        <f t="shared" ref="C358:AF358" si="365">IF($A$64&lt;=C324,IF($B$64&gt;=C324,ABS((C326-C325)/C325),0),0)</f>
        <v>0.22808868304721713</v>
      </c>
      <c r="D358" s="80">
        <f t="shared" si="365"/>
        <v>0.2496338655567773</v>
      </c>
      <c r="E358" s="80">
        <f t="shared" si="365"/>
        <v>0.31967405432957663</v>
      </c>
      <c r="F358" s="80">
        <f t="shared" si="365"/>
        <v>0.41207115291034963</v>
      </c>
      <c r="G358" s="80">
        <f t="shared" si="365"/>
        <v>0.49371993086918209</v>
      </c>
      <c r="H358" s="80">
        <f t="shared" si="365"/>
        <v>0.55780712921804365</v>
      </c>
      <c r="I358" s="80">
        <f t="shared" si="365"/>
        <v>0.6124275895022121</v>
      </c>
      <c r="J358" s="80">
        <f t="shared" si="365"/>
        <v>0.65509253087341224</v>
      </c>
      <c r="K358" s="80">
        <f t="shared" si="365"/>
        <v>0.70965750110884751</v>
      </c>
      <c r="L358" s="80">
        <f t="shared" si="365"/>
        <v>0.764688772194143</v>
      </c>
      <c r="M358" s="80">
        <f t="shared" si="365"/>
        <v>0.82303751454185636</v>
      </c>
      <c r="N358" s="80">
        <f t="shared" si="365"/>
        <v>0.86903798266142018</v>
      </c>
      <c r="O358" s="80">
        <f t="shared" si="365"/>
        <v>0.9007742041037945</v>
      </c>
      <c r="P358" s="80">
        <f t="shared" si="365"/>
        <v>0.91363823856213311</v>
      </c>
      <c r="Q358" s="80">
        <f t="shared" si="365"/>
        <v>0.91335622910409064</v>
      </c>
      <c r="R358" s="80">
        <f t="shared" si="365"/>
        <v>0.89511464261802853</v>
      </c>
      <c r="S358" s="80">
        <f t="shared" si="365"/>
        <v>0.87335104540472264</v>
      </c>
      <c r="T358" s="80">
        <f t="shared" si="365"/>
        <v>0.85388783321594186</v>
      </c>
      <c r="U358" s="80">
        <f t="shared" si="365"/>
        <v>0.76826075899729684</v>
      </c>
      <c r="V358" s="80">
        <f t="shared" si="365"/>
        <v>0.6571410563349086</v>
      </c>
      <c r="W358" s="80">
        <f t="shared" si="365"/>
        <v>0.55101869096921419</v>
      </c>
      <c r="X358" s="80">
        <f t="shared" si="365"/>
        <v>0.47088002108450477</v>
      </c>
      <c r="Y358" s="80">
        <f t="shared" si="365"/>
        <v>0.41406370917930158</v>
      </c>
      <c r="Z358" s="80">
        <f t="shared" si="365"/>
        <v>0.37262857035128261</v>
      </c>
      <c r="AA358" s="80">
        <f t="shared" si="365"/>
        <v>0.34880244070349414</v>
      </c>
      <c r="AB358" s="80">
        <f t="shared" si="365"/>
        <v>0.31310792347728034</v>
      </c>
      <c r="AC358" s="80">
        <f t="shared" si="365"/>
        <v>0.28456593126807228</v>
      </c>
      <c r="AD358" s="80">
        <f t="shared" si="365"/>
        <v>0.2829124687447509</v>
      </c>
      <c r="AE358" s="80">
        <f t="shared" si="365"/>
        <v>0.27633937281955562</v>
      </c>
      <c r="AF358" s="80">
        <f t="shared" si="365"/>
        <v>0.27596382241912376</v>
      </c>
    </row>
    <row r="359" spans="1:34" x14ac:dyDescent="0.25">
      <c r="B359" s="21">
        <f>(B326-B325)^2</f>
        <v>1613298.3668733542</v>
      </c>
      <c r="C359" s="21">
        <f t="shared" ref="C359:AF359" si="366">(C326-C325)^2</f>
        <v>1615034.0830458913</v>
      </c>
      <c r="D359" s="21">
        <f t="shared" si="366"/>
        <v>1817680.3005928183</v>
      </c>
      <c r="E359" s="21">
        <f t="shared" si="366"/>
        <v>2779295.4049661946</v>
      </c>
      <c r="F359" s="21">
        <f t="shared" si="366"/>
        <v>4220353.375412032</v>
      </c>
      <c r="G359" s="21">
        <f t="shared" si="366"/>
        <v>5519139.4113283288</v>
      </c>
      <c r="H359" s="21">
        <f t="shared" si="366"/>
        <v>6485552.6942115529</v>
      </c>
      <c r="I359" s="21">
        <f t="shared" si="366"/>
        <v>7211470.3960755579</v>
      </c>
      <c r="J359" s="21">
        <f t="shared" si="366"/>
        <v>7581554.5380540472</v>
      </c>
      <c r="K359" s="21">
        <f t="shared" si="366"/>
        <v>8166226.3602629183</v>
      </c>
      <c r="L359" s="21">
        <f t="shared" si="366"/>
        <v>8635163.8774704579</v>
      </c>
      <c r="M359" s="21">
        <f t="shared" si="366"/>
        <v>8964847.9422089253</v>
      </c>
      <c r="N359" s="21">
        <f t="shared" si="366"/>
        <v>8766654.6152592227</v>
      </c>
      <c r="O359" s="21">
        <f t="shared" si="366"/>
        <v>8029191.3179722475</v>
      </c>
      <c r="P359" s="21">
        <f t="shared" si="366"/>
        <v>6723043.5361560984</v>
      </c>
      <c r="Q359" s="21">
        <f t="shared" si="366"/>
        <v>4910452.5207150662</v>
      </c>
      <c r="R359" s="21">
        <f t="shared" si="366"/>
        <v>2756483.3556283196</v>
      </c>
      <c r="S359" s="21">
        <f t="shared" si="366"/>
        <v>1228626.6058811697</v>
      </c>
      <c r="T359" s="21">
        <f t="shared" si="366"/>
        <v>476264.24073937623</v>
      </c>
      <c r="U359" s="21">
        <f t="shared" si="366"/>
        <v>152933.28524880303</v>
      </c>
      <c r="V359" s="21">
        <f t="shared" si="366"/>
        <v>51117.559832191393</v>
      </c>
      <c r="W359" s="21">
        <f t="shared" si="366"/>
        <v>20958.49117943965</v>
      </c>
      <c r="X359" s="21">
        <f t="shared" si="366"/>
        <v>11020.367677161386</v>
      </c>
      <c r="Y359" s="21">
        <f t="shared" si="366"/>
        <v>6948.9216959109872</v>
      </c>
      <c r="Z359" s="21">
        <f t="shared" si="366"/>
        <v>4908.9284566229653</v>
      </c>
      <c r="AA359" s="21">
        <f t="shared" si="366"/>
        <v>3992.2467732461923</v>
      </c>
      <c r="AB359" s="21">
        <f t="shared" si="366"/>
        <v>2891.3121348729292</v>
      </c>
      <c r="AC359" s="21">
        <f t="shared" si="366"/>
        <v>2201.4582349093448</v>
      </c>
      <c r="AD359" s="21">
        <f t="shared" si="366"/>
        <v>2165.9264818426209</v>
      </c>
      <c r="AE359" s="21">
        <f t="shared" si="366"/>
        <v>2029.0816489278702</v>
      </c>
      <c r="AF359" s="21">
        <f t="shared" si="366"/>
        <v>2021.4716089889932</v>
      </c>
      <c r="AG359" s="3"/>
      <c r="AH359" s="3"/>
    </row>
    <row r="360" spans="1:34" x14ac:dyDescent="0.25">
      <c r="A360" s="71">
        <f>SUM(B360:AF360)</f>
        <v>97763521.993826509</v>
      </c>
      <c r="B360" s="60">
        <f>IF($A$64&lt;=B324,IF($B$64&gt;=B324,ABS(B359),0),0)</f>
        <v>1613298.3668733542</v>
      </c>
      <c r="C360" s="60">
        <f t="shared" ref="C360:AF360" si="367">IF($A$64&lt;=C324,IF($B$64&gt;=C324,ABS(C359),0),0)</f>
        <v>1615034.0830458913</v>
      </c>
      <c r="D360" s="60">
        <f t="shared" si="367"/>
        <v>1817680.3005928183</v>
      </c>
      <c r="E360" s="60">
        <f t="shared" si="367"/>
        <v>2779295.4049661946</v>
      </c>
      <c r="F360" s="60">
        <f t="shared" si="367"/>
        <v>4220353.375412032</v>
      </c>
      <c r="G360" s="60">
        <f t="shared" si="367"/>
        <v>5519139.4113283288</v>
      </c>
      <c r="H360" s="60">
        <f t="shared" si="367"/>
        <v>6485552.6942115529</v>
      </c>
      <c r="I360" s="60">
        <f t="shared" si="367"/>
        <v>7211470.3960755579</v>
      </c>
      <c r="J360" s="60">
        <f t="shared" si="367"/>
        <v>7581554.5380540472</v>
      </c>
      <c r="K360" s="60">
        <f t="shared" si="367"/>
        <v>8166226.3602629183</v>
      </c>
      <c r="L360" s="60">
        <f t="shared" si="367"/>
        <v>8635163.8774704579</v>
      </c>
      <c r="M360" s="60">
        <f t="shared" si="367"/>
        <v>8964847.9422089253</v>
      </c>
      <c r="N360" s="60">
        <f t="shared" si="367"/>
        <v>8766654.6152592227</v>
      </c>
      <c r="O360" s="60">
        <f t="shared" si="367"/>
        <v>8029191.3179722475</v>
      </c>
      <c r="P360" s="60">
        <f t="shared" si="367"/>
        <v>6723043.5361560984</v>
      </c>
      <c r="Q360" s="60">
        <f t="shared" si="367"/>
        <v>4910452.5207150662</v>
      </c>
      <c r="R360" s="60">
        <f t="shared" si="367"/>
        <v>2756483.3556283196</v>
      </c>
      <c r="S360" s="60">
        <f t="shared" si="367"/>
        <v>1228626.6058811697</v>
      </c>
      <c r="T360" s="60">
        <f t="shared" si="367"/>
        <v>476264.24073937623</v>
      </c>
      <c r="U360" s="60">
        <f t="shared" si="367"/>
        <v>152933.28524880303</v>
      </c>
      <c r="V360" s="60">
        <f t="shared" si="367"/>
        <v>51117.559832191393</v>
      </c>
      <c r="W360" s="60">
        <f t="shared" si="367"/>
        <v>20958.49117943965</v>
      </c>
      <c r="X360" s="60">
        <f t="shared" si="367"/>
        <v>11020.367677161386</v>
      </c>
      <c r="Y360" s="60">
        <f t="shared" si="367"/>
        <v>6948.9216959109872</v>
      </c>
      <c r="Z360" s="60">
        <f t="shared" si="367"/>
        <v>4908.9284566229653</v>
      </c>
      <c r="AA360" s="60">
        <f t="shared" si="367"/>
        <v>3992.2467732461923</v>
      </c>
      <c r="AB360" s="60">
        <f t="shared" si="367"/>
        <v>2891.3121348729292</v>
      </c>
      <c r="AC360" s="60">
        <f t="shared" si="367"/>
        <v>2201.4582349093448</v>
      </c>
      <c r="AD360" s="60">
        <f t="shared" si="367"/>
        <v>2165.9264818426209</v>
      </c>
      <c r="AE360" s="60">
        <f t="shared" si="367"/>
        <v>2029.0816489278702</v>
      </c>
      <c r="AF360" s="60">
        <f t="shared" si="367"/>
        <v>2021.4716089889932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4536.230397827354</v>
      </c>
      <c r="C364" s="26">
        <f>INDEX(Comparison!$AM$3:$AS$33,G$14,$H$122)</f>
        <v>4303.1205029931816</v>
      </c>
      <c r="D364" s="26">
        <f>INDEX(Comparison!$AM$3:$AS$33,H$14,$H$122)</f>
        <v>4127.6064584710148</v>
      </c>
      <c r="E364" s="26">
        <f>INDEX(Comparison!$AM$3:$AS$33,I$14,$H$122)</f>
        <v>3945.604356178083</v>
      </c>
      <c r="F364" s="26">
        <f>INDEX(Comparison!$AM$3:$AS$33,J$14,$H$122)</f>
        <v>3766.6240058114313</v>
      </c>
      <c r="G364" s="26">
        <f>INDEX(Comparison!$AM$3:$AS$33,K$14,$H$122)</f>
        <v>3551.9419942460731</v>
      </c>
      <c r="H364" s="26">
        <f>INDEX(Comparison!$AM$3:$AS$33,L$14,$H$122)</f>
        <v>3318.4500658255338</v>
      </c>
      <c r="I364" s="26">
        <f>INDEX(Comparison!$AM$3:$AS$33,M$14,$H$122)</f>
        <v>3050.6755206683788</v>
      </c>
      <c r="J364" s="26">
        <f>INDEX(Comparison!$AM$3:$AS$33,N$14,$H$122)</f>
        <v>2745.1346410108995</v>
      </c>
      <c r="K364" s="26">
        <f>INDEX(Comparison!$AM$3:$AS$33,O$14,$H$122)</f>
        <v>2379.9691784471511</v>
      </c>
      <c r="L364" s="26">
        <f>INDEX(Comparison!$AM$3:$AS$33,P$14,$H$122)</f>
        <v>1948.7143373862357</v>
      </c>
      <c r="M364" s="26">
        <f>INDEX(Comparison!$AM$3:$AS$33,Q$14,$H$122)</f>
        <v>1482.8611668944652</v>
      </c>
      <c r="N364" s="26">
        <f>INDEX(Comparison!$AM$3:$AS$33,R$14,$H$122)</f>
        <v>1064.7698916660522</v>
      </c>
      <c r="O364" s="26">
        <f>INDEX(Comparison!$AM$3:$AS$33,S$14,$H$122)</f>
        <v>756.04671038027936</v>
      </c>
      <c r="P364" s="26">
        <f>INDEX(Comparison!$AM$3:$AS$33,T$14,$H$122)</f>
        <v>574.27764486440731</v>
      </c>
      <c r="Q364" s="26">
        <f>INDEX(Comparison!$AM$3:$AS$33,U$14,$H$122)</f>
        <v>472.36033693576201</v>
      </c>
      <c r="R364" s="26">
        <f>INDEX(Comparison!$AM$3:$AS$33,V$14,$H$122)</f>
        <v>404.76609252146119</v>
      </c>
      <c r="S364" s="26">
        <f>INDEX(Comparison!$AM$3:$AS$33,W$14,$H$122)</f>
        <v>332.62382454066642</v>
      </c>
      <c r="T364" s="26">
        <f>INDEX(Comparison!$AM$3:$AS$33,X$14,$H$122)</f>
        <v>270.11210763785351</v>
      </c>
      <c r="U364" s="26">
        <f>INDEX(Comparison!$AM$3:$AS$33,Y$14,$H$122)</f>
        <v>230.23496622900356</v>
      </c>
      <c r="V364" s="26">
        <f>INDEX(Comparison!$AM$3:$AS$33,Z$14,$H$122)</f>
        <v>198.97748766430533</v>
      </c>
      <c r="W364" s="26">
        <f>INDEX(Comparison!$AM$3:$AS$33,AA$14,$H$122)</f>
        <v>182.67861803771595</v>
      </c>
      <c r="X364" s="26">
        <f>INDEX(Comparison!$AM$3:$AS$33,AB$14,$H$122)</f>
        <v>174.62746722417066</v>
      </c>
      <c r="Y364" s="26">
        <f>INDEX(Comparison!$AM$3:$AS$33,AC$14,$H$122)</f>
        <v>169.86894542912563</v>
      </c>
      <c r="Z364" s="26">
        <f>INDEX(Comparison!$AM$3:$AS$33,AD$14,$H$122)</f>
        <v>166.84170745231376</v>
      </c>
      <c r="AA364" s="26">
        <f>INDEX(Comparison!$AM$3:$AS$33,AE$14,$H$122)</f>
        <v>166.12540478353452</v>
      </c>
      <c r="AB364" s="26">
        <f>INDEX(Comparison!$AM$3:$AS$33,AF$14,$H$122)</f>
        <v>165.25800429032441</v>
      </c>
      <c r="AC364" s="26">
        <f>INDEX(Comparison!$AM$3:$AS$33,AG$14,$H$122)</f>
        <v>162.97529182821398</v>
      </c>
      <c r="AD364" s="26">
        <f>INDEX(Comparison!$AM$3:$AS$33,AH$14,$H$122)</f>
        <v>162.91152498499585</v>
      </c>
      <c r="AE364" s="26">
        <f>INDEX(Comparison!$AM$3:$AS$33,AI$14,$H$122)</f>
        <v>161.92883558935978</v>
      </c>
      <c r="AF364" s="26">
        <f>INDEX(Comparison!$AM$3:$AS$33,AJ$14,$H$122)</f>
        <v>161.56401350859798</v>
      </c>
      <c r="AG364" s="26"/>
      <c r="AH364" s="26"/>
    </row>
    <row r="365" spans="1:34" x14ac:dyDescent="0.25">
      <c r="A365" s="70" t="s">
        <v>22</v>
      </c>
      <c r="B365" s="27">
        <f>($C$17+SUM(B366:B396))*$B$51</f>
        <v>4129.1946629688573</v>
      </c>
      <c r="C365" s="27">
        <f t="shared" ref="C365:AF365" si="368">($C$17+SUM(C366:C396))*$B$51</f>
        <v>3670.8102445558443</v>
      </c>
      <c r="D365" s="27">
        <f t="shared" si="368"/>
        <v>3064.4261462679087</v>
      </c>
      <c r="E365" s="27">
        <f t="shared" si="368"/>
        <v>2520.8950289529544</v>
      </c>
      <c r="F365" s="27">
        <f t="shared" si="368"/>
        <v>2108.0250703643842</v>
      </c>
      <c r="G365" s="27">
        <f t="shared" si="368"/>
        <v>1771.7546625932353</v>
      </c>
      <c r="H365" s="27">
        <f t="shared" si="368"/>
        <v>1524.0524453687053</v>
      </c>
      <c r="I365" s="27">
        <f t="shared" si="368"/>
        <v>1223.3615404695524</v>
      </c>
      <c r="J365" s="27">
        <f t="shared" si="368"/>
        <v>964.86268523209083</v>
      </c>
      <c r="K365" s="27">
        <f t="shared" si="368"/>
        <v>691.75453429135223</v>
      </c>
      <c r="L365" s="27">
        <f t="shared" si="368"/>
        <v>483.127647267626</v>
      </c>
      <c r="M365" s="27">
        <f t="shared" si="368"/>
        <v>331.5851712727063</v>
      </c>
      <c r="N365" s="27">
        <f t="shared" si="368"/>
        <v>255.53933664251278</v>
      </c>
      <c r="O365" s="27">
        <f t="shared" si="368"/>
        <v>214.94185168307885</v>
      </c>
      <c r="P365" s="27">
        <f t="shared" si="368"/>
        <v>197.10738120713245</v>
      </c>
      <c r="Q365" s="27">
        <f t="shared" si="368"/>
        <v>174.06494001894205</v>
      </c>
      <c r="R365" s="27">
        <f t="shared" si="368"/>
        <v>119.87517926350134</v>
      </c>
      <c r="S365" s="27">
        <f t="shared" si="368"/>
        <v>117.96194865846198</v>
      </c>
      <c r="T365" s="27">
        <f t="shared" si="368"/>
        <v>117.96194865846198</v>
      </c>
      <c r="U365" s="27">
        <f t="shared" si="368"/>
        <v>117.96194865846198</v>
      </c>
      <c r="V365" s="27">
        <f t="shared" si="368"/>
        <v>117.96194865846198</v>
      </c>
      <c r="W365" s="27">
        <f t="shared" si="368"/>
        <v>117.96194865846198</v>
      </c>
      <c r="X365" s="27">
        <f t="shared" si="368"/>
        <v>117.96194865846198</v>
      </c>
      <c r="Y365" s="27">
        <f t="shared" si="368"/>
        <v>117.96194865846198</v>
      </c>
      <c r="Z365" s="27">
        <f t="shared" si="368"/>
        <v>117.96194865846198</v>
      </c>
      <c r="AA365" s="27">
        <f t="shared" si="368"/>
        <v>117.96194865846198</v>
      </c>
      <c r="AB365" s="27">
        <f t="shared" si="368"/>
        <v>117.96194865846198</v>
      </c>
      <c r="AC365" s="27">
        <f t="shared" si="368"/>
        <v>117.96194865846198</v>
      </c>
      <c r="AD365" s="27">
        <f t="shared" si="368"/>
        <v>117.96194865846198</v>
      </c>
      <c r="AE365" s="27">
        <f t="shared" si="368"/>
        <v>117.96194865846198</v>
      </c>
      <c r="AF365" s="27">
        <f t="shared" si="368"/>
        <v>117.96194865846198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8.6955720756565201E-137</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2.5015433275508528E-14</v>
      </c>
      <c r="C379" s="3">
        <f t="shared" si="382"/>
        <v>1.8419086586020025E-123</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1.6278619848840022E-3</v>
      </c>
      <c r="C380" s="3">
        <f t="shared" si="383"/>
        <v>2.3276544080717262E-13</v>
      </c>
      <c r="D380" s="3">
        <f t="shared" si="383"/>
        <v>8.3162529069879911E-112</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5.3423811343373519E-2</v>
      </c>
      <c r="C381" s="3">
        <f t="shared" si="384"/>
        <v>6.912913313439459E-3</v>
      </c>
      <c r="D381" s="3">
        <f t="shared" si="384"/>
        <v>9.0975309062603638E-12</v>
      </c>
      <c r="E381" s="3">
        <f t="shared" si="384"/>
        <v>1.4175808139133481E-100</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9.4627095360757515E-2</v>
      </c>
      <c r="C382" s="3">
        <f t="shared" si="385"/>
        <v>7.868715954418791E-2</v>
      </c>
      <c r="D382" s="3">
        <f t="shared" si="385"/>
        <v>1.243905702673548E-2</v>
      </c>
      <c r="E382" s="3">
        <f t="shared" si="385"/>
        <v>1.2123370097477861E-10</v>
      </c>
      <c r="F382" s="3">
        <f t="shared" si="385"/>
        <v>9.3752403037312709E-91</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8.3598259137492137E-2</v>
      </c>
      <c r="C383" s="3">
        <f t="shared" si="386"/>
        <v>8.2218679475416293E-2</v>
      </c>
      <c r="D383" s="3">
        <f t="shared" si="386"/>
        <v>6.9615048886490394E-2</v>
      </c>
      <c r="E383" s="3">
        <f t="shared" si="386"/>
        <v>1.3183462390206763E-2</v>
      </c>
      <c r="F383" s="3">
        <f t="shared" si="386"/>
        <v>7.8215532392029053E-10</v>
      </c>
      <c r="G383" s="3">
        <f t="shared" si="386"/>
        <v>4.2259875940021467E-82</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5.9236972131768165E-2</v>
      </c>
      <c r="C384" s="3">
        <f t="shared" si="387"/>
        <v>5.9148119267000553E-2</v>
      </c>
      <c r="D384" s="3">
        <f t="shared" si="387"/>
        <v>5.8266887880759267E-2</v>
      </c>
      <c r="E384" s="3">
        <f t="shared" si="387"/>
        <v>5.0145347736541696E-2</v>
      </c>
      <c r="F384" s="3">
        <f t="shared" si="387"/>
        <v>1.1176836457456502E-2</v>
      </c>
      <c r="G384" s="3">
        <f t="shared" si="387"/>
        <v>3.382216359257788E-9</v>
      </c>
      <c r="H384" s="3">
        <f t="shared" si="387"/>
        <v>2.1778415610538538E-74</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5.2276973160202106E-2</v>
      </c>
      <c r="C385" s="3">
        <f t="shared" si="388"/>
        <v>5.2269894808795819E-2</v>
      </c>
      <c r="D385" s="3">
        <f t="shared" si="388"/>
        <v>5.2199163986176293E-2</v>
      </c>
      <c r="E385" s="3">
        <f t="shared" si="388"/>
        <v>5.1497098600329902E-2</v>
      </c>
      <c r="F385" s="3">
        <f t="shared" si="388"/>
        <v>4.497538583946846E-2</v>
      </c>
      <c r="G385" s="3">
        <f t="shared" si="388"/>
        <v>1.1611712236458257E-2</v>
      </c>
      <c r="H385" s="3">
        <f t="shared" si="388"/>
        <v>1.5279527758236359E-8</v>
      </c>
      <c r="I385" s="3">
        <f t="shared" si="388"/>
        <v>2.3781903049147054E-67</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1.8161539832876456E-2</v>
      </c>
      <c r="C386" s="3">
        <f t="shared" si="389"/>
        <v>1.8161317988872439E-2</v>
      </c>
      <c r="D386" s="3">
        <f t="shared" si="389"/>
        <v>1.8159099697867675E-2</v>
      </c>
      <c r="E386" s="3">
        <f t="shared" si="389"/>
        <v>1.8136931684628502E-2</v>
      </c>
      <c r="F386" s="3">
        <f t="shared" si="389"/>
        <v>1.7916734522273096E-2</v>
      </c>
      <c r="G386" s="3">
        <f t="shared" si="389"/>
        <v>1.5856570894075505E-2</v>
      </c>
      <c r="H386" s="3">
        <f t="shared" si="389"/>
        <v>4.6742659963102187E-3</v>
      </c>
      <c r="I386" s="3">
        <f t="shared" si="389"/>
        <v>2.3160872538677376E-8</v>
      </c>
      <c r="J386" s="3">
        <f t="shared" si="389"/>
        <v>2.066188082167558E-61</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4.1021429877138332E-2</v>
      </c>
      <c r="C387" s="3">
        <f t="shared" si="390"/>
        <v>4.1021291290741772E-2</v>
      </c>
      <c r="D387" s="3">
        <f t="shared" si="390"/>
        <v>4.10199054525269E-2</v>
      </c>
      <c r="E387" s="3">
        <f t="shared" si="390"/>
        <v>4.100604964512429E-2</v>
      </c>
      <c r="F387" s="3">
        <f t="shared" si="390"/>
        <v>4.0867748724156376E-2</v>
      </c>
      <c r="G387" s="3">
        <f t="shared" si="390"/>
        <v>3.9510136261419276E-2</v>
      </c>
      <c r="H387" s="3">
        <f t="shared" si="390"/>
        <v>2.8182963462413543E-2</v>
      </c>
      <c r="I387" s="3">
        <f t="shared" si="390"/>
        <v>9.6109863180982144E-4</v>
      </c>
      <c r="J387" s="3">
        <f t="shared" si="390"/>
        <v>2.0444710863116969E-18</v>
      </c>
      <c r="K387" s="3">
        <f t="shared" si="390"/>
        <v>3.8789225903999015E-165</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3.4648051186304804E-2</v>
      </c>
      <c r="C388" s="3">
        <f t="shared" si="391"/>
        <v>3.4648039480823366E-2</v>
      </c>
      <c r="D388" s="3">
        <f t="shared" si="391"/>
        <v>3.4647922426226441E-2</v>
      </c>
      <c r="E388" s="3">
        <f t="shared" si="391"/>
        <v>3.4646751902007104E-2</v>
      </c>
      <c r="F388" s="3">
        <f t="shared" si="391"/>
        <v>3.463504883452842E-2</v>
      </c>
      <c r="G388" s="3">
        <f t="shared" si="391"/>
        <v>3.4518235359613424E-2</v>
      </c>
      <c r="H388" s="3">
        <f t="shared" si="391"/>
        <v>3.3371551532417332E-2</v>
      </c>
      <c r="I388" s="3">
        <f t="shared" si="391"/>
        <v>2.380425142802035E-2</v>
      </c>
      <c r="J388" s="3">
        <f t="shared" si="391"/>
        <v>8.1177529500185859E-4</v>
      </c>
      <c r="K388" s="3">
        <f t="shared" si="391"/>
        <v>1.7268270542516522E-18</v>
      </c>
      <c r="L388" s="3">
        <f t="shared" si="391"/>
        <v>3.2762647098785469E-165</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4.2968524578724604E-2</v>
      </c>
      <c r="C389" s="3">
        <f t="shared" si="392"/>
        <v>4.2968523127077753E-2</v>
      </c>
      <c r="D389" s="3">
        <f t="shared" si="392"/>
        <v>4.2968508610611952E-2</v>
      </c>
      <c r="E389" s="3">
        <f t="shared" si="392"/>
        <v>4.2968363446223692E-2</v>
      </c>
      <c r="F389" s="3">
        <f t="shared" si="392"/>
        <v>4.2966911829314017E-2</v>
      </c>
      <c r="G389" s="3">
        <f t="shared" si="392"/>
        <v>4.2952398357173502E-2</v>
      </c>
      <c r="H389" s="3">
        <f t="shared" si="392"/>
        <v>4.2807532994574883E-2</v>
      </c>
      <c r="I389" s="3">
        <f t="shared" si="392"/>
        <v>4.1385481569997322E-2</v>
      </c>
      <c r="J389" s="3">
        <f t="shared" si="392"/>
        <v>2.9520665462765112E-2</v>
      </c>
      <c r="K389" s="3">
        <f t="shared" si="392"/>
        <v>1.0067170978743218E-3</v>
      </c>
      <c r="L389" s="3">
        <f t="shared" si="392"/>
        <v>2.1415117351940293E-18</v>
      </c>
      <c r="M389" s="3">
        <f t="shared" si="392"/>
        <v>4.063035326283779E-165</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3.1967680879810917E-2</v>
      </c>
      <c r="C390" s="3">
        <f t="shared" si="393"/>
        <v>3.1967680771811439E-2</v>
      </c>
      <c r="D390" s="3">
        <f t="shared" si="393"/>
        <v>3.1967679691816638E-2</v>
      </c>
      <c r="E390" s="3">
        <f t="shared" si="393"/>
        <v>3.1967668891870651E-2</v>
      </c>
      <c r="F390" s="3">
        <f t="shared" si="393"/>
        <v>3.1967560892611449E-2</v>
      </c>
      <c r="G390" s="3">
        <f t="shared" si="393"/>
        <v>3.1966480920086762E-2</v>
      </c>
      <c r="H390" s="3">
        <f t="shared" si="393"/>
        <v>3.1955683201318724E-2</v>
      </c>
      <c r="I390" s="3">
        <f t="shared" si="393"/>
        <v>3.1847906410939042E-2</v>
      </c>
      <c r="J390" s="3">
        <f t="shared" si="393"/>
        <v>3.0789929986854328E-2</v>
      </c>
      <c r="K390" s="3">
        <f t="shared" si="393"/>
        <v>2.196275573661146E-2</v>
      </c>
      <c r="L390" s="3">
        <f t="shared" si="393"/>
        <v>7.4897639907108948E-4</v>
      </c>
      <c r="M390" s="3">
        <f t="shared" si="393"/>
        <v>1.5932398003181147E-18</v>
      </c>
      <c r="N390" s="3">
        <f t="shared" si="393"/>
        <v>3.0228130369536613E-165</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2.6004568035252733E-2</v>
      </c>
      <c r="C391" s="3">
        <f t="shared" si="394"/>
        <v>2.6004568026467362E-2</v>
      </c>
      <c r="D391" s="3">
        <f t="shared" si="394"/>
        <v>2.6004567938613637E-2</v>
      </c>
      <c r="E391" s="3">
        <f t="shared" si="394"/>
        <v>2.6004567060076391E-2</v>
      </c>
      <c r="F391" s="3">
        <f t="shared" si="394"/>
        <v>2.6004558274705592E-2</v>
      </c>
      <c r="G391" s="3">
        <f t="shared" si="394"/>
        <v>2.6004470421160848E-2</v>
      </c>
      <c r="H391" s="3">
        <f t="shared" si="394"/>
        <v>2.6003591902037403E-2</v>
      </c>
      <c r="I391" s="3">
        <f t="shared" si="394"/>
        <v>2.5994808343001958E-2</v>
      </c>
      <c r="J391" s="3">
        <f t="shared" si="394"/>
        <v>2.5907135768702936E-2</v>
      </c>
      <c r="K391" s="3">
        <f t="shared" si="394"/>
        <v>2.504650968844558E-2</v>
      </c>
      <c r="L391" s="3">
        <f t="shared" si="394"/>
        <v>1.7865918323843613E-2</v>
      </c>
      <c r="M391" s="3">
        <f t="shared" si="394"/>
        <v>6.0926558273306666E-4</v>
      </c>
      <c r="N391" s="3">
        <f t="shared" si="394"/>
        <v>1.2960437426042257E-18</v>
      </c>
      <c r="O391" s="3">
        <f t="shared" si="394"/>
        <v>2.4589505740592478E-165</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1.2402397350352163E-2</v>
      </c>
      <c r="C392" s="3">
        <f t="shared" si="395"/>
        <v>1.2402397349933161E-2</v>
      </c>
      <c r="D392" s="3">
        <f t="shared" si="395"/>
        <v>1.2402397345743141E-2</v>
      </c>
      <c r="E392" s="3">
        <f t="shared" si="395"/>
        <v>1.2402397303842932E-2</v>
      </c>
      <c r="F392" s="3">
        <f t="shared" si="395"/>
        <v>1.2402396884840856E-2</v>
      </c>
      <c r="G392" s="3">
        <f t="shared" si="395"/>
        <v>1.2402392694820881E-2</v>
      </c>
      <c r="H392" s="3">
        <f t="shared" si="395"/>
        <v>1.2402350794698985E-2</v>
      </c>
      <c r="I392" s="3">
        <f t="shared" si="395"/>
        <v>1.2401931801265458E-2</v>
      </c>
      <c r="J392" s="3">
        <f t="shared" si="395"/>
        <v>1.239774264537729E-2</v>
      </c>
      <c r="K392" s="3">
        <f t="shared" si="395"/>
        <v>1.2355928833985615E-2</v>
      </c>
      <c r="L392" s="3">
        <f t="shared" si="395"/>
        <v>1.1945469156186031E-2</v>
      </c>
      <c r="M392" s="3">
        <f t="shared" si="395"/>
        <v>8.5208190258487734E-3</v>
      </c>
      <c r="N392" s="3">
        <f t="shared" si="395"/>
        <v>2.9057794147745132E-4</v>
      </c>
      <c r="O392" s="3">
        <f t="shared" si="395"/>
        <v>6.1812407177391073E-19</v>
      </c>
      <c r="P392" s="3">
        <f t="shared" si="395"/>
        <v>1.1727509582926492E-165</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6.997783388716124E-3</v>
      </c>
      <c r="C393" s="3">
        <f t="shared" si="396"/>
        <v>6.9977833886924823E-3</v>
      </c>
      <c r="D393" s="3">
        <f t="shared" si="396"/>
        <v>6.997783388456069E-3</v>
      </c>
      <c r="E393" s="3">
        <f t="shared" si="396"/>
        <v>6.997783386091941E-3</v>
      </c>
      <c r="F393" s="3">
        <f t="shared" si="396"/>
        <v>6.9977833624506585E-3</v>
      </c>
      <c r="G393" s="3">
        <f t="shared" si="396"/>
        <v>6.997783126037836E-3</v>
      </c>
      <c r="H393" s="3">
        <f t="shared" si="396"/>
        <v>6.997780761910051E-3</v>
      </c>
      <c r="I393" s="3">
        <f t="shared" si="396"/>
        <v>6.9977571206761256E-3</v>
      </c>
      <c r="J393" s="3">
        <f t="shared" si="396"/>
        <v>6.9975207127296393E-3</v>
      </c>
      <c r="K393" s="3">
        <f t="shared" si="396"/>
        <v>6.995157072486647E-3</v>
      </c>
      <c r="L393" s="3">
        <f t="shared" si="396"/>
        <v>6.9715645373896904E-3</v>
      </c>
      <c r="M393" s="3">
        <f t="shared" si="396"/>
        <v>6.7399715772631201E-3</v>
      </c>
      <c r="N393" s="3">
        <f t="shared" si="396"/>
        <v>4.8076871069968026E-3</v>
      </c>
      <c r="O393" s="3">
        <f t="shared" si="396"/>
        <v>1.6395229362117051E-4</v>
      </c>
      <c r="P393" s="3">
        <f t="shared" si="396"/>
        <v>3.4876308502465536E-19</v>
      </c>
      <c r="Q393" s="3">
        <f t="shared" si="396"/>
        <v>6.616992621011667E-166</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3.0140050054935962E-3</v>
      </c>
      <c r="C394" s="3">
        <f t="shared" si="397"/>
        <v>3.0140050054925779E-3</v>
      </c>
      <c r="D394" s="3">
        <f t="shared" si="397"/>
        <v>3.0140050054823955E-3</v>
      </c>
      <c r="E394" s="3">
        <f t="shared" si="397"/>
        <v>3.0140050053805703E-3</v>
      </c>
      <c r="F394" s="3">
        <f t="shared" si="397"/>
        <v>3.0140050043623206E-3</v>
      </c>
      <c r="G394" s="3">
        <f t="shared" si="397"/>
        <v>3.0140049941798181E-3</v>
      </c>
      <c r="H394" s="3">
        <f t="shared" si="397"/>
        <v>3.0140048923547984E-3</v>
      </c>
      <c r="I394" s="3">
        <f t="shared" si="397"/>
        <v>3.0140038741047924E-3</v>
      </c>
      <c r="J394" s="3">
        <f t="shared" si="397"/>
        <v>3.0139936916236511E-3</v>
      </c>
      <c r="K394" s="3">
        <f t="shared" si="397"/>
        <v>3.0138918687042399E-3</v>
      </c>
      <c r="L394" s="3">
        <f t="shared" si="397"/>
        <v>3.0128738286867322E-3</v>
      </c>
      <c r="M394" s="3">
        <f t="shared" si="397"/>
        <v>3.0027123225462096E-3</v>
      </c>
      <c r="N394" s="3">
        <f t="shared" si="397"/>
        <v>2.9029632588378528E-3</v>
      </c>
      <c r="O394" s="3">
        <f t="shared" si="397"/>
        <v>2.0707118526555354E-3</v>
      </c>
      <c r="P394" s="3">
        <f t="shared" si="397"/>
        <v>7.0615651583759374E-5</v>
      </c>
      <c r="Q394" s="3">
        <f t="shared" si="397"/>
        <v>1.5021523611181721E-19</v>
      </c>
      <c r="R394" s="3">
        <f t="shared" si="397"/>
        <v>2.8499951732137933E-166</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1.1678404493635964E-2</v>
      </c>
      <c r="C396" s="3">
        <f t="shared" si="399"/>
        <v>1.1678404493635924E-2</v>
      </c>
      <c r="D396" s="3">
        <f t="shared" si="399"/>
        <v>1.1678404493635528E-2</v>
      </c>
      <c r="E396" s="3">
        <f t="shared" si="399"/>
        <v>1.1678404493631583E-2</v>
      </c>
      <c r="F396" s="3">
        <f t="shared" si="399"/>
        <v>1.1678404493592129E-2</v>
      </c>
      <c r="G396" s="3">
        <f t="shared" si="399"/>
        <v>1.1678404493197587E-2</v>
      </c>
      <c r="H396" s="3">
        <f t="shared" si="399"/>
        <v>1.1678404489252159E-2</v>
      </c>
      <c r="I396" s="3">
        <f t="shared" si="399"/>
        <v>1.1678404449797886E-2</v>
      </c>
      <c r="J396" s="3">
        <f t="shared" si="399"/>
        <v>1.1678404055255154E-2</v>
      </c>
      <c r="K396" s="3">
        <f t="shared" si="399"/>
        <v>1.1678400109828579E-2</v>
      </c>
      <c r="L396" s="3">
        <f t="shared" si="399"/>
        <v>1.1678360655636133E-2</v>
      </c>
      <c r="M396" s="3">
        <f t="shared" si="399"/>
        <v>1.1677966121042648E-2</v>
      </c>
      <c r="N396" s="3">
        <f t="shared" si="399"/>
        <v>1.1674021508112843E-2</v>
      </c>
      <c r="O396" s="3">
        <f t="shared" si="399"/>
        <v>1.1634648587776851E-2</v>
      </c>
      <c r="P396" s="3">
        <f t="shared" si="399"/>
        <v>1.124814959002325E-2</v>
      </c>
      <c r="Q396" s="3">
        <f t="shared" si="399"/>
        <v>8.0234142149728863E-3</v>
      </c>
      <c r="R396" s="3">
        <f t="shared" si="399"/>
        <v>2.7361538593122567E-4</v>
      </c>
      <c r="S396" s="3">
        <f t="shared" si="399"/>
        <v>5.8204093398095565E-19</v>
      </c>
      <c r="T396" s="3">
        <f t="shared" si="399"/>
        <v>1.1042913458018228E-165</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0.46261647315231008</v>
      </c>
      <c r="B397" s="80">
        <f>IF($A$64&lt;=B363,IF($B$64&gt;=B363,ABS((B365-B364)/B364),0),0)</f>
        <v>8.9729951779664474E-2</v>
      </c>
      <c r="C397" s="80">
        <f t="shared" ref="C397:AF397" si="400">IF($A$64&lt;=C363,IF($B$64&gt;=C363,ABS((C365-C364)/C364),0),0)</f>
        <v>0.14694226155124226</v>
      </c>
      <c r="D397" s="80">
        <f t="shared" si="400"/>
        <v>0.25757792631154541</v>
      </c>
      <c r="E397" s="80">
        <f t="shared" si="400"/>
        <v>0.36108773171701786</v>
      </c>
      <c r="F397" s="80">
        <f t="shared" si="400"/>
        <v>0.44034098781509268</v>
      </c>
      <c r="G397" s="80">
        <f t="shared" si="400"/>
        <v>0.50118705050269163</v>
      </c>
      <c r="H397" s="80">
        <f t="shared" si="400"/>
        <v>0.54073365121148342</v>
      </c>
      <c r="I397" s="80">
        <f t="shared" si="400"/>
        <v>0.59898667289219809</v>
      </c>
      <c r="J397" s="80">
        <f t="shared" si="400"/>
        <v>0.64851899399849511</v>
      </c>
      <c r="K397" s="80">
        <f t="shared" si="400"/>
        <v>0.70934307025660792</v>
      </c>
      <c r="L397" s="80">
        <f t="shared" si="400"/>
        <v>0.75207877419548641</v>
      </c>
      <c r="M397" s="80">
        <f t="shared" si="400"/>
        <v>0.77638825624711694</v>
      </c>
      <c r="N397" s="80">
        <f t="shared" si="400"/>
        <v>0.76000510660320342</v>
      </c>
      <c r="O397" s="80">
        <f t="shared" si="400"/>
        <v>0.71570294701108272</v>
      </c>
      <c r="P397" s="80">
        <f t="shared" si="400"/>
        <v>0.65677336917115858</v>
      </c>
      <c r="Q397" s="80">
        <f t="shared" si="400"/>
        <v>0.63149967004402885</v>
      </c>
      <c r="R397" s="80">
        <f t="shared" si="400"/>
        <v>0.70384085653828465</v>
      </c>
      <c r="S397" s="80">
        <f t="shared" si="400"/>
        <v>0.64535929192275876</v>
      </c>
      <c r="T397" s="80">
        <f t="shared" si="400"/>
        <v>0.56328522371675138</v>
      </c>
      <c r="U397" s="80">
        <f t="shared" si="400"/>
        <v>0.48764537988929557</v>
      </c>
      <c r="V397" s="80">
        <f t="shared" si="400"/>
        <v>0.40715932217681111</v>
      </c>
      <c r="W397" s="80">
        <f t="shared" si="400"/>
        <v>0.3542651574356257</v>
      </c>
      <c r="X397" s="80">
        <f t="shared" si="400"/>
        <v>0.32449373209408522</v>
      </c>
      <c r="Y397" s="80">
        <f t="shared" si="400"/>
        <v>0.30557084250764832</v>
      </c>
      <c r="Z397" s="80">
        <f t="shared" si="400"/>
        <v>0.29297086166432612</v>
      </c>
      <c r="AA397" s="80">
        <f t="shared" si="400"/>
        <v>0.28992228002592807</v>
      </c>
      <c r="AB397" s="80">
        <f t="shared" si="400"/>
        <v>0.28619524866567408</v>
      </c>
      <c r="AC397" s="80">
        <f t="shared" si="400"/>
        <v>0.27619734663337092</v>
      </c>
      <c r="AD397" s="80">
        <f t="shared" si="400"/>
        <v>0.27591403573610723</v>
      </c>
      <c r="AE397" s="80">
        <f t="shared" si="400"/>
        <v>0.27151981159424105</v>
      </c>
      <c r="AF397" s="80">
        <f t="shared" si="400"/>
        <v>0.26987485581258863</v>
      </c>
    </row>
    <row r="398" spans="1:34" x14ac:dyDescent="0.25">
      <c r="B398" s="21">
        <f>(B365-B364)^2</f>
        <v>165678.08945179638</v>
      </c>
      <c r="C398" s="21">
        <f t="shared" ref="C398:AF398" si="401">(C365-C364)^2</f>
        <v>399816.26292509231</v>
      </c>
      <c r="D398" s="21">
        <f t="shared" si="401"/>
        <v>1130352.3762562941</v>
      </c>
      <c r="E398" s="21">
        <f t="shared" si="401"/>
        <v>2029796.6670822785</v>
      </c>
      <c r="F398" s="21">
        <f t="shared" si="401"/>
        <v>2750950.428666078</v>
      </c>
      <c r="G398" s="21">
        <f t="shared" si="401"/>
        <v>3169066.9357772511</v>
      </c>
      <c r="H398" s="21">
        <f t="shared" si="401"/>
        <v>3219862.8203011281</v>
      </c>
      <c r="I398" s="21">
        <f t="shared" si="401"/>
        <v>3339076.3822300769</v>
      </c>
      <c r="J398" s="21">
        <f t="shared" si="401"/>
        <v>3169368.2365325047</v>
      </c>
      <c r="K398" s="21">
        <f t="shared" si="401"/>
        <v>2850068.6847420908</v>
      </c>
      <c r="L398" s="21">
        <f t="shared" si="401"/>
        <v>2147944.3462528214</v>
      </c>
      <c r="M398" s="21">
        <f t="shared" si="401"/>
        <v>1325436.4180948723</v>
      </c>
      <c r="N398" s="21">
        <f t="shared" si="401"/>
        <v>654854.0911837056</v>
      </c>
      <c r="O398" s="21">
        <f t="shared" si="401"/>
        <v>292794.46810571733</v>
      </c>
      <c r="P398" s="21">
        <f t="shared" si="401"/>
        <v>142257.40778729823</v>
      </c>
      <c r="Q398" s="21">
        <f t="shared" si="401"/>
        <v>88980.14382176318</v>
      </c>
      <c r="R398" s="21">
        <f t="shared" si="401"/>
        <v>81162.832456954391</v>
      </c>
      <c r="S398" s="21">
        <f t="shared" si="401"/>
        <v>46079.720957266945</v>
      </c>
      <c r="T398" s="21">
        <f t="shared" si="401"/>
        <v>23149.670877454118</v>
      </c>
      <c r="U398" s="21">
        <f t="shared" si="401"/>
        <v>12605.230474395139</v>
      </c>
      <c r="V398" s="21">
        <f t="shared" si="401"/>
        <v>6563.5175604073256</v>
      </c>
      <c r="W398" s="21">
        <f t="shared" si="401"/>
        <v>4188.2472955436688</v>
      </c>
      <c r="X398" s="21">
        <f t="shared" si="401"/>
        <v>3210.9809943206751</v>
      </c>
      <c r="Y398" s="21">
        <f t="shared" si="401"/>
        <v>2694.3363137496867</v>
      </c>
      <c r="Z398" s="21">
        <f t="shared" si="401"/>
        <v>2389.2308197451302</v>
      </c>
      <c r="AA398" s="21">
        <f t="shared" si="401"/>
        <v>2319.7185059117878</v>
      </c>
      <c r="AB398" s="21">
        <f t="shared" si="401"/>
        <v>2236.9168783322257</v>
      </c>
      <c r="AC398" s="21">
        <f t="shared" si="401"/>
        <v>2026.2010633178595</v>
      </c>
      <c r="AD398" s="21">
        <f t="shared" si="401"/>
        <v>2020.4644119348943</v>
      </c>
      <c r="AE398" s="21">
        <f t="shared" si="401"/>
        <v>1933.0871463943517</v>
      </c>
      <c r="AF398" s="21">
        <f t="shared" si="401"/>
        <v>1901.1400591954655</v>
      </c>
      <c r="AG398" s="3"/>
      <c r="AH398" s="3"/>
    </row>
    <row r="399" spans="1:34" x14ac:dyDescent="0.25">
      <c r="A399" s="71">
        <f>SUM(B399:AF399)</f>
        <v>27070785.055025697</v>
      </c>
      <c r="B399" s="60">
        <f>IF($A$64&lt;=B363,IF($B$64&gt;=B363,ABS(B398),0),0)</f>
        <v>165678.08945179638</v>
      </c>
      <c r="C399" s="60">
        <f t="shared" ref="C399" si="402">IF($A$64&lt;=C363,IF($B$64&gt;=C363,ABS(C398),0),0)</f>
        <v>399816.26292509231</v>
      </c>
      <c r="D399" s="60">
        <f t="shared" ref="D399" si="403">IF($A$64&lt;=D363,IF($B$64&gt;=D363,ABS(D398),0),0)</f>
        <v>1130352.3762562941</v>
      </c>
      <c r="E399" s="60">
        <f t="shared" ref="E399" si="404">IF($A$64&lt;=E363,IF($B$64&gt;=E363,ABS(E398),0),0)</f>
        <v>2029796.6670822785</v>
      </c>
      <c r="F399" s="60">
        <f t="shared" ref="F399" si="405">IF($A$64&lt;=F363,IF($B$64&gt;=F363,ABS(F398),0),0)</f>
        <v>2750950.428666078</v>
      </c>
      <c r="G399" s="60">
        <f t="shared" ref="G399" si="406">IF($A$64&lt;=G363,IF($B$64&gt;=G363,ABS(G398),0),0)</f>
        <v>3169066.9357772511</v>
      </c>
      <c r="H399" s="60">
        <f t="shared" ref="H399" si="407">IF($A$64&lt;=H363,IF($B$64&gt;=H363,ABS(H398),0),0)</f>
        <v>3219862.8203011281</v>
      </c>
      <c r="I399" s="60">
        <f t="shared" ref="I399" si="408">IF($A$64&lt;=I363,IF($B$64&gt;=I363,ABS(I398),0),0)</f>
        <v>3339076.3822300769</v>
      </c>
      <c r="J399" s="60">
        <f t="shared" ref="J399" si="409">IF($A$64&lt;=J363,IF($B$64&gt;=J363,ABS(J398),0),0)</f>
        <v>3169368.2365325047</v>
      </c>
      <c r="K399" s="60">
        <f t="shared" ref="K399" si="410">IF($A$64&lt;=K363,IF($B$64&gt;=K363,ABS(K398),0),0)</f>
        <v>2850068.6847420908</v>
      </c>
      <c r="L399" s="60">
        <f t="shared" ref="L399" si="411">IF($A$64&lt;=L363,IF($B$64&gt;=L363,ABS(L398),0),0)</f>
        <v>2147944.3462528214</v>
      </c>
      <c r="M399" s="60">
        <f t="shared" ref="M399" si="412">IF($A$64&lt;=M363,IF($B$64&gt;=M363,ABS(M398),0),0)</f>
        <v>1325436.4180948723</v>
      </c>
      <c r="N399" s="60">
        <f t="shared" ref="N399" si="413">IF($A$64&lt;=N363,IF($B$64&gt;=N363,ABS(N398),0),0)</f>
        <v>654854.0911837056</v>
      </c>
      <c r="O399" s="60">
        <f t="shared" ref="O399" si="414">IF($A$64&lt;=O363,IF($B$64&gt;=O363,ABS(O398),0),0)</f>
        <v>292794.46810571733</v>
      </c>
      <c r="P399" s="60">
        <f t="shared" ref="P399" si="415">IF($A$64&lt;=P363,IF($B$64&gt;=P363,ABS(P398),0),0)</f>
        <v>142257.40778729823</v>
      </c>
      <c r="Q399" s="60">
        <f t="shared" ref="Q399" si="416">IF($A$64&lt;=Q363,IF($B$64&gt;=Q363,ABS(Q398),0),0)</f>
        <v>88980.14382176318</v>
      </c>
      <c r="R399" s="60">
        <f t="shared" ref="R399" si="417">IF($A$64&lt;=R363,IF($B$64&gt;=R363,ABS(R398),0),0)</f>
        <v>81162.832456954391</v>
      </c>
      <c r="S399" s="60">
        <f t="shared" ref="S399" si="418">IF($A$64&lt;=S363,IF($B$64&gt;=S363,ABS(S398),0),0)</f>
        <v>46079.720957266945</v>
      </c>
      <c r="T399" s="60">
        <f t="shared" ref="T399" si="419">IF($A$64&lt;=T363,IF($B$64&gt;=T363,ABS(T398),0),0)</f>
        <v>23149.670877454118</v>
      </c>
      <c r="U399" s="60">
        <f t="shared" ref="U399" si="420">IF($A$64&lt;=U363,IF($B$64&gt;=U363,ABS(U398),0),0)</f>
        <v>12605.230474395139</v>
      </c>
      <c r="V399" s="60">
        <f t="shared" ref="V399" si="421">IF($A$64&lt;=V363,IF($B$64&gt;=V363,ABS(V398),0),0)</f>
        <v>6563.5175604073256</v>
      </c>
      <c r="W399" s="60">
        <f t="shared" ref="W399" si="422">IF($A$64&lt;=W363,IF($B$64&gt;=W363,ABS(W398),0),0)</f>
        <v>4188.2472955436688</v>
      </c>
      <c r="X399" s="60">
        <f t="shared" ref="X399" si="423">IF($A$64&lt;=X363,IF($B$64&gt;=X363,ABS(X398),0),0)</f>
        <v>3210.9809943206751</v>
      </c>
      <c r="Y399" s="60">
        <f t="shared" ref="Y399" si="424">IF($A$64&lt;=Y363,IF($B$64&gt;=Y363,ABS(Y398),0),0)</f>
        <v>2694.3363137496867</v>
      </c>
      <c r="Z399" s="60">
        <f t="shared" ref="Z399" si="425">IF($A$64&lt;=Z363,IF($B$64&gt;=Z363,ABS(Z398),0),0)</f>
        <v>2389.2308197451302</v>
      </c>
      <c r="AA399" s="60">
        <f t="shared" ref="AA399" si="426">IF($A$64&lt;=AA363,IF($B$64&gt;=AA363,ABS(AA398),0),0)</f>
        <v>2319.7185059117878</v>
      </c>
      <c r="AB399" s="60">
        <f t="shared" ref="AB399" si="427">IF($A$64&lt;=AB363,IF($B$64&gt;=AB363,ABS(AB398),0),0)</f>
        <v>2236.9168783322257</v>
      </c>
      <c r="AC399" s="60">
        <f t="shared" ref="AC399" si="428">IF($A$64&lt;=AC363,IF($B$64&gt;=AC363,ABS(AC398),0),0)</f>
        <v>2026.2010633178595</v>
      </c>
      <c r="AD399" s="60">
        <f t="shared" ref="AD399" si="429">IF($A$64&lt;=AD363,IF($B$64&gt;=AD363,ABS(AD398),0),0)</f>
        <v>2020.4644119348943</v>
      </c>
      <c r="AE399" s="60">
        <f t="shared" ref="AE399" si="430">IF($A$64&lt;=AE363,IF($B$64&gt;=AE363,ABS(AE398),0),0)</f>
        <v>1933.0871463943517</v>
      </c>
      <c r="AF399" s="60">
        <f t="shared" ref="AF399" si="431">IF($A$64&lt;=AF363,IF($B$64&gt;=AF363,ABS(AF398),0),0)</f>
        <v>1901.1400591954655</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162</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-14.406800109604639</v>
      </c>
      <c r="C403" s="107">
        <f t="shared" ref="C403:H403" si="432">IF(C125=$B$2,0,C126)</f>
        <v>-10.950515452938541</v>
      </c>
      <c r="D403" s="107">
        <f t="shared" si="432"/>
        <v>-6.5770330385822291</v>
      </c>
      <c r="E403" s="107">
        <f t="shared" si="432"/>
        <v>1.3428687777918219E-4</v>
      </c>
      <c r="F403" s="107">
        <f t="shared" si="432"/>
        <v>0</v>
      </c>
      <c r="G403" s="107">
        <f t="shared" si="432"/>
        <v>31.8000897176249</v>
      </c>
      <c r="H403" s="107">
        <f t="shared" si="432"/>
        <v>35.861537922668312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5.5361291178458031E-22</v>
      </c>
      <c r="C404" s="3">
        <f t="shared" ref="C404:H419" si="433">$A404/EXP(-C$403)</f>
        <v>1.7548967302632991E-20</v>
      </c>
      <c r="D404" s="3">
        <f t="shared" si="433"/>
        <v>1.3919731047146803E-18</v>
      </c>
      <c r="E404" s="3">
        <f t="shared" si="433"/>
        <v>1.0001342958946657E-15</v>
      </c>
      <c r="F404" s="3">
        <f t="shared" si="433"/>
        <v>1.0000000000000001E-15</v>
      </c>
      <c r="G404" s="3">
        <f t="shared" si="433"/>
        <v>6.4655204306795444E-2</v>
      </c>
      <c r="H404" s="3">
        <f t="shared" si="433"/>
        <v>3.7537732261831018</v>
      </c>
      <c r="I404" s="109">
        <f>Comparison!AL3</f>
        <v>1.0000000000000001E-15</v>
      </c>
      <c r="J404" s="3">
        <f>Comparison!AM3</f>
        <v>7093.1154116431162</v>
      </c>
      <c r="K404" s="3">
        <f>Comparison!AN3</f>
        <v>7031.9211529245395</v>
      </c>
      <c r="L404" s="3">
        <f>Comparison!AO3</f>
        <v>6992.3964680806075</v>
      </c>
      <c r="M404" s="3">
        <f>Comparison!AP3</f>
        <v>6951.7769139036336</v>
      </c>
      <c r="N404" s="3">
        <f>Comparison!AQ3</f>
        <v>6840.5863197092085</v>
      </c>
      <c r="O404" s="3">
        <f>Comparison!AR3</f>
        <v>5776.5900052436255</v>
      </c>
      <c r="P404" s="3">
        <f>Comparison!AS3</f>
        <v>4536.230397827354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5.536129117845803E-21</v>
      </c>
      <c r="C405" s="3">
        <f t="shared" si="433"/>
        <v>1.7548967302632989E-19</v>
      </c>
      <c r="D405" s="3">
        <f t="shared" si="433"/>
        <v>1.3919731047146802E-17</v>
      </c>
      <c r="E405" s="3">
        <f t="shared" si="433"/>
        <v>1.0001342958946656E-14</v>
      </c>
      <c r="F405" s="3">
        <f t="shared" si="433"/>
        <v>1E-14</v>
      </c>
      <c r="G405" s="3">
        <f t="shared" si="433"/>
        <v>0.64655204306795433</v>
      </c>
      <c r="H405" s="3">
        <f t="shared" si="433"/>
        <v>37.537732261831017</v>
      </c>
      <c r="I405" s="109">
        <f>Comparison!AL4</f>
        <v>1E-14</v>
      </c>
      <c r="J405" s="3">
        <f>Comparison!AM4</f>
        <v>7093.186769557813</v>
      </c>
      <c r="K405" s="3">
        <f>Comparison!AN4</f>
        <v>7031.9907762783369</v>
      </c>
      <c r="L405" s="3">
        <f>Comparison!AO4</f>
        <v>6992.459052459466</v>
      </c>
      <c r="M405" s="3">
        <f>Comparison!AP4</f>
        <v>6950.7516447504031</v>
      </c>
      <c r="N405" s="3">
        <f>Comparison!AQ4</f>
        <v>6643.5965561721414</v>
      </c>
      <c r="O405" s="3">
        <f>Comparison!AR4</f>
        <v>5571.6920956359099</v>
      </c>
      <c r="P405" s="3">
        <f>Comparison!AS4</f>
        <v>4303.1205029931816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5.5361291178458031E-20</v>
      </c>
      <c r="C406" s="3">
        <f t="shared" si="433"/>
        <v>1.754896730263299E-18</v>
      </c>
      <c r="D406" s="3">
        <f t="shared" si="433"/>
        <v>1.3919731047146801E-16</v>
      </c>
      <c r="E406" s="3">
        <f t="shared" si="433"/>
        <v>1.0001342958946656E-13</v>
      </c>
      <c r="F406" s="3">
        <f t="shared" si="433"/>
        <v>1E-13</v>
      </c>
      <c r="G406" s="3">
        <f t="shared" si="433"/>
        <v>6.4655204306795442</v>
      </c>
      <c r="H406" s="3">
        <f t="shared" si="433"/>
        <v>375.37732261831019</v>
      </c>
      <c r="I406" s="109">
        <f>Comparison!AL5</f>
        <v>1E-13</v>
      </c>
      <c r="J406" s="3">
        <f>Comparison!AM5</f>
        <v>7093.1496241627792</v>
      </c>
      <c r="K406" s="3">
        <f>Comparison!AN5</f>
        <v>7031.9539299810422</v>
      </c>
      <c r="L406" s="3">
        <f>Comparison!AO5</f>
        <v>6992.3628853177524</v>
      </c>
      <c r="M406" s="3">
        <f>Comparison!AP5</f>
        <v>6940.1985301294053</v>
      </c>
      <c r="N406" s="3">
        <f>Comparison!AQ5</f>
        <v>6527.1577578820725</v>
      </c>
      <c r="O406" s="3">
        <f>Comparison!AR5</f>
        <v>5400.7646013667554</v>
      </c>
      <c r="P406" s="3">
        <f>Comparison!AS5</f>
        <v>4127.6064584710148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5.5361291178458031E-19</v>
      </c>
      <c r="C407" s="3">
        <f t="shared" si="433"/>
        <v>1.7548967302632987E-17</v>
      </c>
      <c r="D407" s="3">
        <f t="shared" si="433"/>
        <v>1.3919731047146801E-15</v>
      </c>
      <c r="E407" s="3">
        <f t="shared" si="433"/>
        <v>1.0001342958946654E-12</v>
      </c>
      <c r="F407" s="3">
        <f t="shared" si="433"/>
        <v>9.9999999999999998E-13</v>
      </c>
      <c r="G407" s="3">
        <f t="shared" si="433"/>
        <v>64.65520430679544</v>
      </c>
      <c r="H407" s="3">
        <f t="shared" si="433"/>
        <v>3753.7732261831015</v>
      </c>
      <c r="I407" s="109">
        <f>Comparison!AL6</f>
        <v>9.9999999999999998E-13</v>
      </c>
      <c r="J407" s="3">
        <f>Comparison!AM6</f>
        <v>7093.139849123485</v>
      </c>
      <c r="K407" s="3">
        <f>Comparison!AN6</f>
        <v>7031.9433621725511</v>
      </c>
      <c r="L407" s="3">
        <f>Comparison!AO6</f>
        <v>6991.7590094248426</v>
      </c>
      <c r="M407" s="3">
        <f>Comparison!AP6</f>
        <v>6859.1289652487367</v>
      </c>
      <c r="N407" s="3">
        <f>Comparison!AQ6</f>
        <v>6412.9995296962652</v>
      </c>
      <c r="O407" s="3">
        <f>Comparison!AR6</f>
        <v>5215.0678795321228</v>
      </c>
      <c r="P407" s="3">
        <f>Comparison!AS6</f>
        <v>3945.604356178083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5.5361291178458027E-18</v>
      </c>
      <c r="C408" s="3">
        <f t="shared" si="433"/>
        <v>1.7548967302632987E-16</v>
      </c>
      <c r="D408" s="3">
        <f t="shared" si="433"/>
        <v>1.3919731047146801E-14</v>
      </c>
      <c r="E408" s="3">
        <f t="shared" si="433"/>
        <v>1.0001342958946654E-11</v>
      </c>
      <c r="F408" s="3">
        <f t="shared" si="433"/>
        <v>9.9999999999999994E-12</v>
      </c>
      <c r="G408" s="3">
        <f t="shared" si="433"/>
        <v>646.55204306795429</v>
      </c>
      <c r="H408" s="3">
        <f t="shared" si="433"/>
        <v>37537.732261831014</v>
      </c>
      <c r="I408" s="109">
        <f>Comparison!AL7</f>
        <v>9.9999999999999994E-12</v>
      </c>
      <c r="J408" s="3">
        <f>Comparison!AM7</f>
        <v>7093.1370316171597</v>
      </c>
      <c r="K408" s="3">
        <f>Comparison!AN7</f>
        <v>7031.9306469370567</v>
      </c>
      <c r="L408" s="3">
        <f>Comparison!AO7</f>
        <v>6985.9675385002447</v>
      </c>
      <c r="M408" s="3">
        <f>Comparison!AP7</f>
        <v>6695.6616107202954</v>
      </c>
      <c r="N408" s="3">
        <f>Comparison!AQ7</f>
        <v>6286.8028992665704</v>
      </c>
      <c r="O408" s="3">
        <f>Comparison!AR7</f>
        <v>4985.425095489265</v>
      </c>
      <c r="P408" s="3">
        <f>Comparison!AS7</f>
        <v>3766.6240058114313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5.5361291178458029E-17</v>
      </c>
      <c r="C409" s="3">
        <f t="shared" si="433"/>
        <v>1.7548967302632989E-15</v>
      </c>
      <c r="D409" s="3">
        <f t="shared" si="433"/>
        <v>1.3919731047146803E-13</v>
      </c>
      <c r="E409" s="3">
        <f t="shared" si="433"/>
        <v>1.0001342958946655E-10</v>
      </c>
      <c r="F409" s="3">
        <f t="shared" si="433"/>
        <v>1E-10</v>
      </c>
      <c r="G409" s="3">
        <f t="shared" si="433"/>
        <v>6465.520430679544</v>
      </c>
      <c r="H409" s="3">
        <f t="shared" si="433"/>
        <v>375377.32261831017</v>
      </c>
      <c r="I409" s="109">
        <f>Comparison!AL8</f>
        <v>1E-10</v>
      </c>
      <c r="J409" s="3">
        <f>Comparison!AM8</f>
        <v>7093.1361691156708</v>
      </c>
      <c r="K409" s="3">
        <f>Comparison!AN8</f>
        <v>7031.8305090006179</v>
      </c>
      <c r="L409" s="3">
        <f>Comparison!AO8</f>
        <v>6936.0316435873456</v>
      </c>
      <c r="M409" s="3">
        <f>Comparison!AP8</f>
        <v>6579.8912612434069</v>
      </c>
      <c r="N409" s="3">
        <f>Comparison!AQ8</f>
        <v>6151.4165633211096</v>
      </c>
      <c r="O409" s="3">
        <f>Comparison!AR8</f>
        <v>4758.3350912889036</v>
      </c>
      <c r="P409" s="3">
        <f>Comparison!AS8</f>
        <v>3551.9419942460731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5.5361291178458028E-16</v>
      </c>
      <c r="C410" s="3">
        <f t="shared" si="433"/>
        <v>1.7548967302632989E-14</v>
      </c>
      <c r="D410" s="3">
        <f t="shared" si="433"/>
        <v>1.3919731047146802E-12</v>
      </c>
      <c r="E410" s="3">
        <f t="shared" si="433"/>
        <v>1.0001342958946657E-9</v>
      </c>
      <c r="F410" s="3">
        <f t="shared" si="433"/>
        <v>1.0000000000000001E-9</v>
      </c>
      <c r="G410" s="3">
        <f t="shared" si="433"/>
        <v>64655.204306795444</v>
      </c>
      <c r="H410" s="3">
        <f t="shared" si="433"/>
        <v>3753773.226183102</v>
      </c>
      <c r="I410" s="109">
        <f>Comparison!AL9</f>
        <v>1.0000000000000001E-9</v>
      </c>
      <c r="J410" s="3">
        <f>Comparison!AM9</f>
        <v>7093.1358816152215</v>
      </c>
      <c r="K410" s="3">
        <f>Comparison!AN9</f>
        <v>7030.8436925650376</v>
      </c>
      <c r="L410" s="3">
        <f>Comparison!AO9</f>
        <v>6767.3497232459458</v>
      </c>
      <c r="M410" s="3">
        <f>Comparison!AP9</f>
        <v>6466.0632255652681</v>
      </c>
      <c r="N410" s="3">
        <f>Comparison!AQ9</f>
        <v>5999.0572498672</v>
      </c>
      <c r="O410" s="3">
        <f>Comparison!AR9</f>
        <v>4565.5114420012915</v>
      </c>
      <c r="P410" s="3">
        <f>Comparison!AS9</f>
        <v>3318.4500658255338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5.5361291178458028E-15</v>
      </c>
      <c r="C411" s="3">
        <f t="shared" si="433"/>
        <v>1.754896730263299E-13</v>
      </c>
      <c r="D411" s="3">
        <f t="shared" si="433"/>
        <v>1.3919731047146802E-11</v>
      </c>
      <c r="E411" s="3">
        <f t="shared" si="433"/>
        <v>1.0001342958946655E-8</v>
      </c>
      <c r="F411" s="3">
        <f t="shared" si="433"/>
        <v>1E-8</v>
      </c>
      <c r="G411" s="3">
        <f t="shared" si="433"/>
        <v>646552.04306795436</v>
      </c>
      <c r="H411" s="3">
        <f t="shared" si="433"/>
        <v>37537732.261831015</v>
      </c>
      <c r="I411" s="109">
        <f>Comparison!AL10</f>
        <v>1E-8</v>
      </c>
      <c r="J411" s="3">
        <f>Comparison!AM10</f>
        <v>7093.135709114963</v>
      </c>
      <c r="K411" s="3">
        <f>Comparison!AN10</f>
        <v>7021.3347469085647</v>
      </c>
      <c r="L411" s="3">
        <f>Comparison!AO10</f>
        <v>6644.5309370841214</v>
      </c>
      <c r="M411" s="3">
        <f>Comparison!AP10</f>
        <v>6338.9884403076148</v>
      </c>
      <c r="N411" s="3">
        <f>Comparison!AQ10</f>
        <v>5834.1918541119712</v>
      </c>
      <c r="O411" s="3">
        <f>Comparison!AR10</f>
        <v>4384.874474223483</v>
      </c>
      <c r="P411" s="3">
        <f>Comparison!AS10</f>
        <v>3050.6755206683788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5.5361291178458024E-14</v>
      </c>
      <c r="C412" s="3">
        <f t="shared" si="433"/>
        <v>1.7548967302632988E-12</v>
      </c>
      <c r="D412" s="3">
        <f t="shared" si="433"/>
        <v>1.3919731047146801E-10</v>
      </c>
      <c r="E412" s="3">
        <f t="shared" si="433"/>
        <v>1.0001342958946655E-7</v>
      </c>
      <c r="F412" s="3">
        <f t="shared" si="433"/>
        <v>9.9999999999999995E-8</v>
      </c>
      <c r="G412" s="3">
        <f t="shared" si="433"/>
        <v>6465520.4306795439</v>
      </c>
      <c r="H412" s="3">
        <f t="shared" si="433"/>
        <v>375377322.61831015</v>
      </c>
      <c r="I412" s="109">
        <f>Comparison!AL11</f>
        <v>9.9999999999999995E-8</v>
      </c>
      <c r="J412" s="3">
        <f>Comparison!AM11</f>
        <v>7093.1355366147118</v>
      </c>
      <c r="K412" s="3">
        <f>Comparison!AN11</f>
        <v>6946.0273669032786</v>
      </c>
      <c r="L412" s="3">
        <f>Comparison!AO11</f>
        <v>6532.7504586905397</v>
      </c>
      <c r="M412" s="3">
        <f>Comparison!AP11</f>
        <v>6203.5301972004399</v>
      </c>
      <c r="N412" s="3">
        <f>Comparison!AQ11</f>
        <v>5660.667941479277</v>
      </c>
      <c r="O412" s="3">
        <f>Comparison!AR11</f>
        <v>4203.1654341512503</v>
      </c>
      <c r="P412" s="3">
        <f>Comparison!AS11</f>
        <v>2745.1346410108995</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5.5361291178458022E-13</v>
      </c>
      <c r="C413" s="3">
        <f t="shared" si="433"/>
        <v>1.7548967302632989E-11</v>
      </c>
      <c r="D413" s="3">
        <f t="shared" si="433"/>
        <v>1.3919731047146802E-9</v>
      </c>
      <c r="E413" s="3">
        <f t="shared" si="433"/>
        <v>1.0001342958946654E-6</v>
      </c>
      <c r="F413" s="3">
        <f t="shared" si="433"/>
        <v>9.9999999999999995E-7</v>
      </c>
      <c r="G413" s="3">
        <f t="shared" si="433"/>
        <v>64655204.306795433</v>
      </c>
      <c r="H413" s="3">
        <f t="shared" si="433"/>
        <v>3753773226.1831017</v>
      </c>
      <c r="I413" s="109">
        <f>Comparison!AL12</f>
        <v>9.9999999999999995E-7</v>
      </c>
      <c r="J413" s="3">
        <f>Comparison!AM12</f>
        <v>7093.1340991129555</v>
      </c>
      <c r="K413" s="3">
        <f>Comparison!AN12</f>
        <v>6777.7782322116691</v>
      </c>
      <c r="L413" s="3">
        <f>Comparison!AO12</f>
        <v>6406.2589516029093</v>
      </c>
      <c r="M413" s="3">
        <f>Comparison!AP12</f>
        <v>6050.6164561665273</v>
      </c>
      <c r="N413" s="3">
        <f>Comparison!AQ12</f>
        <v>5500.6338050295499</v>
      </c>
      <c r="O413" s="3">
        <f>Comparison!AR12</f>
        <v>4026.8171479490911</v>
      </c>
      <c r="P413" s="3">
        <f>Comparison!AS12</f>
        <v>2379.9691784471511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5.536129117845803E-12</v>
      </c>
      <c r="C414" s="3">
        <f t="shared" si="433"/>
        <v>1.754896730263299E-10</v>
      </c>
      <c r="D414" s="3">
        <f t="shared" si="433"/>
        <v>1.3919731047146804E-8</v>
      </c>
      <c r="E414" s="3">
        <f t="shared" si="433"/>
        <v>1.0001342958946656E-5</v>
      </c>
      <c r="F414" s="3">
        <f t="shared" si="433"/>
        <v>1.0000000000000001E-5</v>
      </c>
      <c r="G414" s="3">
        <f t="shared" si="433"/>
        <v>646552043.06795442</v>
      </c>
      <c r="H414" s="3">
        <f t="shared" si="433"/>
        <v>37537732261.831017</v>
      </c>
      <c r="I414" s="109">
        <f>Comparison!AL13</f>
        <v>1.0000000000000001E-5</v>
      </c>
      <c r="J414" s="3">
        <f>Comparison!AM13</f>
        <v>7093.1198391270691</v>
      </c>
      <c r="K414" s="3">
        <f>Comparison!AN13</f>
        <v>6659.4311503256295</v>
      </c>
      <c r="L414" s="3">
        <f>Comparison!AO13</f>
        <v>6273.617616065887</v>
      </c>
      <c r="M414" s="3">
        <f>Comparison!AP13</f>
        <v>5884.895018012654</v>
      </c>
      <c r="N414" s="3">
        <f>Comparison!AQ13</f>
        <v>5316.0543139142828</v>
      </c>
      <c r="O414" s="3">
        <f>Comparison!AR13</f>
        <v>3842.8247437350828</v>
      </c>
      <c r="P414" s="3">
        <f>Comparison!AS13</f>
        <v>1948.7143373862357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5.5361291178458032E-11</v>
      </c>
      <c r="C415" s="3">
        <f t="shared" si="433"/>
        <v>1.754896730263299E-9</v>
      </c>
      <c r="D415" s="3">
        <f t="shared" si="433"/>
        <v>1.3919731047146803E-7</v>
      </c>
      <c r="E415" s="3">
        <f t="shared" si="433"/>
        <v>1.0001342958946656E-4</v>
      </c>
      <c r="F415" s="3">
        <f t="shared" si="433"/>
        <v>1E-4</v>
      </c>
      <c r="G415" s="3">
        <f t="shared" si="433"/>
        <v>6465520430.6795444</v>
      </c>
      <c r="H415" s="3">
        <f t="shared" si="433"/>
        <v>375377322618.31018</v>
      </c>
      <c r="I415" s="109">
        <f>Comparison!AL14</f>
        <v>1E-4</v>
      </c>
      <c r="J415" s="3">
        <f>Comparison!AM14</f>
        <v>7092.9771274266232</v>
      </c>
      <c r="K415" s="3">
        <f>Comparison!AN14</f>
        <v>6544.645454565718</v>
      </c>
      <c r="L415" s="3">
        <f>Comparison!AO14</f>
        <v>6123.1895749079549</v>
      </c>
      <c r="M415" s="3">
        <f>Comparison!AP14</f>
        <v>5709.3519393565812</v>
      </c>
      <c r="N415" s="3">
        <f>Comparison!AQ14</f>
        <v>5094.9618199282804</v>
      </c>
      <c r="O415" s="3">
        <f>Comparison!AR14</f>
        <v>3637.9090125528774</v>
      </c>
      <c r="P415" s="3">
        <f>Comparison!AS14</f>
        <v>1482.8611668944652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5.5361291178458029E-10</v>
      </c>
      <c r="C416" s="3">
        <f t="shared" si="433"/>
        <v>1.754896730263299E-8</v>
      </c>
      <c r="D416" s="3">
        <f t="shared" si="433"/>
        <v>1.3919731047146803E-6</v>
      </c>
      <c r="E416" s="3">
        <f t="shared" si="433"/>
        <v>1.0001342958946655E-3</v>
      </c>
      <c r="F416" s="3">
        <f t="shared" si="433"/>
        <v>1E-3</v>
      </c>
      <c r="G416" s="3">
        <f t="shared" si="433"/>
        <v>64655204306.795441</v>
      </c>
      <c r="H416" s="3">
        <f t="shared" si="433"/>
        <v>3753773226183.1016</v>
      </c>
      <c r="I416" s="109">
        <f>Comparison!AL15</f>
        <v>1E-3</v>
      </c>
      <c r="J416" s="3">
        <f>Comparison!AM15</f>
        <v>7091.5625107943715</v>
      </c>
      <c r="K416" s="3">
        <f>Comparison!AN15</f>
        <v>6415.8365900058752</v>
      </c>
      <c r="L416" s="3">
        <f>Comparison!AO15</f>
        <v>5959.0875608576071</v>
      </c>
      <c r="M416" s="3">
        <f>Comparison!AP15</f>
        <v>5547.9132434192643</v>
      </c>
      <c r="N416" s="3">
        <f>Comparison!AQ15</f>
        <v>4859.6753740182503</v>
      </c>
      <c r="O416" s="3">
        <f>Comparison!AR15</f>
        <v>3407.0475124340101</v>
      </c>
      <c r="P416" s="3">
        <f>Comparison!AS15</f>
        <v>1064.7698916660522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5.5361291178458027E-9</v>
      </c>
      <c r="C417" s="3">
        <f t="shared" si="433"/>
        <v>1.7548967302632988E-7</v>
      </c>
      <c r="D417" s="3">
        <f t="shared" si="433"/>
        <v>1.3919731047146802E-5</v>
      </c>
      <c r="E417" s="3">
        <f t="shared" si="433"/>
        <v>1.0001342958946655E-2</v>
      </c>
      <c r="F417" s="3">
        <f t="shared" si="433"/>
        <v>0.01</v>
      </c>
      <c r="G417" s="3">
        <f t="shared" si="433"/>
        <v>646552043067.95435</v>
      </c>
      <c r="H417" s="3">
        <f t="shared" si="433"/>
        <v>37537732261831.016</v>
      </c>
      <c r="I417" s="109">
        <f>Comparison!AL16</f>
        <v>0.01</v>
      </c>
      <c r="J417" s="3">
        <f>Comparison!AM16</f>
        <v>7078.0585854387473</v>
      </c>
      <c r="K417" s="3">
        <f>Comparison!AN16</f>
        <v>6279.1797519689544</v>
      </c>
      <c r="L417" s="3">
        <f>Comparison!AO16</f>
        <v>5781.2083401997561</v>
      </c>
      <c r="M417" s="3">
        <f>Comparison!AP16</f>
        <v>5364.2356794540465</v>
      </c>
      <c r="N417" s="3">
        <f>Comparison!AQ16</f>
        <v>4653.8175879978271</v>
      </c>
      <c r="O417" s="3">
        <f>Comparison!AR16</f>
        <v>3145.7192687287707</v>
      </c>
      <c r="P417" s="3">
        <f>Comparison!AS16</f>
        <v>756.04671038027936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5.5361291178458029E-8</v>
      </c>
      <c r="C418" s="3">
        <f t="shared" si="433"/>
        <v>1.7548967302632988E-6</v>
      </c>
      <c r="D418" s="3">
        <f t="shared" si="433"/>
        <v>1.3919731047146804E-4</v>
      </c>
      <c r="E418" s="3">
        <f t="shared" si="433"/>
        <v>0.10001342958946656</v>
      </c>
      <c r="F418" s="3">
        <f t="shared" si="433"/>
        <v>0.1</v>
      </c>
      <c r="G418" s="3">
        <f t="shared" si="433"/>
        <v>6465520430679.5439</v>
      </c>
      <c r="H418" s="3">
        <f t="shared" si="433"/>
        <v>375377322618310.19</v>
      </c>
      <c r="I418" s="109">
        <f>Comparison!AL17</f>
        <v>0.1</v>
      </c>
      <c r="J418" s="3">
        <f>Comparison!AM17</f>
        <v>6980.1771345591078</v>
      </c>
      <c r="K418" s="3">
        <f>Comparison!AN17</f>
        <v>6124.6018825038309</v>
      </c>
      <c r="L418" s="3">
        <f>Comparison!AO17</f>
        <v>5618.3452185734377</v>
      </c>
      <c r="M418" s="3">
        <f>Comparison!AP17</f>
        <v>5142.9380897638539</v>
      </c>
      <c r="N418" s="3">
        <f>Comparison!AQ17</f>
        <v>4469.1753341299773</v>
      </c>
      <c r="O418" s="3">
        <f>Comparison!AR17</f>
        <v>2837.9758401657195</v>
      </c>
      <c r="P418" s="3">
        <f>Comparison!AS17</f>
        <v>574.27764486440731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5.5361291178458027E-7</v>
      </c>
      <c r="C419" s="3">
        <f t="shared" si="433"/>
        <v>1.7548967302632987E-5</v>
      </c>
      <c r="D419" s="3">
        <f t="shared" si="433"/>
        <v>1.3919731047146802E-3</v>
      </c>
      <c r="E419" s="3">
        <f t="shared" si="433"/>
        <v>1.0001342958946655</v>
      </c>
      <c r="F419" s="3">
        <f t="shared" si="433"/>
        <v>1</v>
      </c>
      <c r="G419" s="3">
        <f t="shared" si="433"/>
        <v>64655204306795.437</v>
      </c>
      <c r="H419" s="3">
        <f t="shared" si="433"/>
        <v>3753773226183101.5</v>
      </c>
      <c r="I419" s="109">
        <f>Comparison!AL18</f>
        <v>1</v>
      </c>
      <c r="J419" s="3">
        <f>Comparison!AM18</f>
        <v>6817.7458366168885</v>
      </c>
      <c r="K419" s="3">
        <f>Comparison!AN18</f>
        <v>5956.8287989294422</v>
      </c>
      <c r="L419" s="3">
        <f>Comparison!AO18</f>
        <v>5440.9922001853329</v>
      </c>
      <c r="M419" s="3">
        <f>Comparison!AP18</f>
        <v>4901.2536857987861</v>
      </c>
      <c r="N419" s="3">
        <f>Comparison!AQ18</f>
        <v>4267.9652571239076</v>
      </c>
      <c r="O419" s="3">
        <f>Comparison!AR18</f>
        <v>2426.1662837806571</v>
      </c>
      <c r="P419" s="3">
        <f>Comparison!AS18</f>
        <v>472.36033693576201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5.5361291178458029E-6</v>
      </c>
      <c r="C420" s="3">
        <f t="shared" si="434"/>
        <v>1.7548967302632987E-4</v>
      </c>
      <c r="D420" s="3">
        <f t="shared" si="434"/>
        <v>1.3919731047146802E-2</v>
      </c>
      <c r="E420" s="3">
        <f t="shared" si="434"/>
        <v>10.001342958946655</v>
      </c>
      <c r="F420" s="3">
        <f t="shared" si="434"/>
        <v>10</v>
      </c>
      <c r="G420" s="3">
        <f t="shared" si="434"/>
        <v>646552043067954.37</v>
      </c>
      <c r="H420" s="3">
        <f t="shared" si="434"/>
        <v>3.7537732261831016E+16</v>
      </c>
      <c r="I420" s="109">
        <f>Comparison!AL19</f>
        <v>10</v>
      </c>
      <c r="J420" s="3">
        <f>Comparison!AM19</f>
        <v>6700.2000319833087</v>
      </c>
      <c r="K420" s="3">
        <f>Comparison!AN19</f>
        <v>5777.56401011038</v>
      </c>
      <c r="L420" s="3">
        <f>Comparison!AO19</f>
        <v>5221.4874412485688</v>
      </c>
      <c r="M420" s="3">
        <f>Comparison!AP19</f>
        <v>4661.3568218837227</v>
      </c>
      <c r="N420" s="3">
        <f>Comparison!AQ19</f>
        <v>3976.7785402340392</v>
      </c>
      <c r="O420" s="3">
        <f>Comparison!AR19</f>
        <v>1854.808278855141</v>
      </c>
      <c r="P420" s="3">
        <f>Comparison!AS19</f>
        <v>404.76609252146119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5.5361291178458028E-5</v>
      </c>
      <c r="C421" s="3">
        <f t="shared" si="434"/>
        <v>1.7548967302632988E-3</v>
      </c>
      <c r="D421" s="3">
        <f t="shared" si="434"/>
        <v>0.13919731047146802</v>
      </c>
      <c r="E421" s="3">
        <f t="shared" si="434"/>
        <v>100.01342958946655</v>
      </c>
      <c r="F421" s="3">
        <f t="shared" si="434"/>
        <v>100</v>
      </c>
      <c r="G421" s="3">
        <f t="shared" si="434"/>
        <v>6465520430679544</v>
      </c>
      <c r="H421" s="3">
        <f t="shared" si="434"/>
        <v>3.7537732261831014E+17</v>
      </c>
      <c r="I421" s="109">
        <f>Comparison!AL20</f>
        <v>100</v>
      </c>
      <c r="J421" s="3">
        <f>Comparison!AM20</f>
        <v>6581.4875752007347</v>
      </c>
      <c r="K421" s="3">
        <f>Comparison!AN20</f>
        <v>5602.1564627366897</v>
      </c>
      <c r="L421" s="3">
        <f>Comparison!AO20</f>
        <v>4926.1795387850607</v>
      </c>
      <c r="M421" s="3">
        <f>Comparison!AP20</f>
        <v>4298.6774546472579</v>
      </c>
      <c r="N421" s="3">
        <f>Comparison!AQ20</f>
        <v>3445.6591436468279</v>
      </c>
      <c r="O421" s="3">
        <f>Comparison!AR20</f>
        <v>1269.173844412863</v>
      </c>
      <c r="P421" s="3">
        <f>Comparison!AS20</f>
        <v>332.62382454066642</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5.5361291178458033E-4</v>
      </c>
      <c r="C422" s="3">
        <f t="shared" si="434"/>
        <v>1.7548967302632987E-2</v>
      </c>
      <c r="D422" s="3">
        <f t="shared" si="434"/>
        <v>1.3919731047146802</v>
      </c>
      <c r="E422" s="3">
        <f t="shared" si="434"/>
        <v>1000.1342958946656</v>
      </c>
      <c r="F422" s="3">
        <f t="shared" si="434"/>
        <v>1000</v>
      </c>
      <c r="G422" s="3">
        <f t="shared" si="434"/>
        <v>6.465520430679544E+16</v>
      </c>
      <c r="H422" s="3">
        <f t="shared" si="434"/>
        <v>3.753773226183102E+18</v>
      </c>
      <c r="I422" s="109">
        <f>Comparison!AL21</f>
        <v>1000</v>
      </c>
      <c r="J422" s="3">
        <f>Comparison!AM21</f>
        <v>6449.3747740231202</v>
      </c>
      <c r="K422" s="3">
        <f>Comparison!AN21</f>
        <v>5348.811853446321</v>
      </c>
      <c r="L422" s="3">
        <f>Comparison!AO21</f>
        <v>4442.9821588725517</v>
      </c>
      <c r="M422" s="3">
        <f>Comparison!AP21</f>
        <v>3673.7236771243274</v>
      </c>
      <c r="N422" s="3">
        <f>Comparison!AQ21</f>
        <v>2839.3657389117534</v>
      </c>
      <c r="O422" s="3">
        <f>Comparison!AR21</f>
        <v>808.20803145416335</v>
      </c>
      <c r="P422" s="3">
        <f>Comparison!AS21</f>
        <v>270.11210763785351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5.5361291178458024E-3</v>
      </c>
      <c r="C423" s="3">
        <f t="shared" si="434"/>
        <v>0.1754896730263299</v>
      </c>
      <c r="D423" s="3">
        <f t="shared" si="434"/>
        <v>13.919731047146803</v>
      </c>
      <c r="E423" s="3">
        <f t="shared" si="434"/>
        <v>10001.342958946656</v>
      </c>
      <c r="F423" s="3">
        <f t="shared" si="434"/>
        <v>10000</v>
      </c>
      <c r="G423" s="3">
        <f t="shared" si="434"/>
        <v>6.4655204306795443E+17</v>
      </c>
      <c r="H423" s="3">
        <f t="shared" si="434"/>
        <v>3.7537732261831016E+19</v>
      </c>
      <c r="I423" s="109">
        <f>Comparison!AL22</f>
        <v>10000</v>
      </c>
      <c r="J423" s="3">
        <f>Comparison!AM22</f>
        <v>6289.3605252793404</v>
      </c>
      <c r="K423" s="3">
        <f>Comparison!AN22</f>
        <v>4793.3449045957559</v>
      </c>
      <c r="L423" s="3">
        <f>Comparison!AO22</f>
        <v>3752.7744100380223</v>
      </c>
      <c r="M423" s="3">
        <f>Comparison!AP22</f>
        <v>3055.9581241953465</v>
      </c>
      <c r="N423" s="3">
        <f>Comparison!AQ22</f>
        <v>2338.5721090290958</v>
      </c>
      <c r="O423" s="3">
        <f>Comparison!AR22</f>
        <v>509.02880387480866</v>
      </c>
      <c r="P423" s="3">
        <f>Comparison!AS22</f>
        <v>230.23496622900356</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5.5361291178458026E-2</v>
      </c>
      <c r="C424" s="3">
        <f t="shared" si="434"/>
        <v>1.7548967302632987</v>
      </c>
      <c r="D424" s="3">
        <f t="shared" si="434"/>
        <v>139.19731047146803</v>
      </c>
      <c r="E424" s="3">
        <f t="shared" si="434"/>
        <v>100013.42958946656</v>
      </c>
      <c r="F424" s="3">
        <f t="shared" si="434"/>
        <v>100000</v>
      </c>
      <c r="G424" s="3">
        <f t="shared" si="434"/>
        <v>6.4655204306795438E+18</v>
      </c>
      <c r="H424" s="3">
        <f t="shared" si="434"/>
        <v>3.7537732261831016E+20</v>
      </c>
      <c r="I424" s="109">
        <f>Comparison!AL23</f>
        <v>100000</v>
      </c>
      <c r="J424" s="3">
        <f>Comparison!AM23</f>
        <v>6015.8011652173718</v>
      </c>
      <c r="K424" s="3">
        <f>Comparison!AN23</f>
        <v>4005.8829435497059</v>
      </c>
      <c r="L424" s="3">
        <f>Comparison!AO23</f>
        <v>3130.6377978974938</v>
      </c>
      <c r="M424" s="3">
        <f>Comparison!AP23</f>
        <v>2586.4007874245467</v>
      </c>
      <c r="N424" s="3">
        <f>Comparison!AQ23</f>
        <v>1960.3272335044344</v>
      </c>
      <c r="O424" s="3">
        <f>Comparison!AR23</f>
        <v>344.05387649356049</v>
      </c>
      <c r="P424" s="3">
        <f>Comparison!AS23</f>
        <v>198.97748766430533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0.55361291178458027</v>
      </c>
      <c r="C425" s="3">
        <f t="shared" si="434"/>
        <v>17.548967302632988</v>
      </c>
      <c r="D425" s="3">
        <f t="shared" si="434"/>
        <v>1391.9731047146802</v>
      </c>
      <c r="E425" s="3">
        <f t="shared" si="434"/>
        <v>1000134.2958946655</v>
      </c>
      <c r="F425" s="3">
        <f t="shared" si="434"/>
        <v>1000000</v>
      </c>
      <c r="G425" s="3">
        <f t="shared" si="434"/>
        <v>6.4655204306795438E+19</v>
      </c>
      <c r="H425" s="3">
        <f t="shared" si="434"/>
        <v>3.7537732261831015E+21</v>
      </c>
      <c r="I425" s="109">
        <f>Comparison!AL24</f>
        <v>1000000</v>
      </c>
      <c r="J425" s="3">
        <f>Comparison!AM24</f>
        <v>5393.4478275395559</v>
      </c>
      <c r="K425" s="3">
        <f>Comparison!AN24</f>
        <v>3346.4776601581179</v>
      </c>
      <c r="L425" s="3">
        <f>Comparison!AO24</f>
        <v>2685.7977977575347</v>
      </c>
      <c r="M425" s="3">
        <f>Comparison!AP24</f>
        <v>2247.3343211844494</v>
      </c>
      <c r="N425" s="3">
        <f>Comparison!AQ24</f>
        <v>1656.3185875611684</v>
      </c>
      <c r="O425" s="3">
        <f>Comparison!AR24</f>
        <v>262.73242624087396</v>
      </c>
      <c r="P425" s="3">
        <f>Comparison!AS24</f>
        <v>182.67861803771595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5.5361291178458032</v>
      </c>
      <c r="C426" s="3">
        <f t="shared" si="434"/>
        <v>175.48967302632988</v>
      </c>
      <c r="D426" s="3">
        <f t="shared" si="434"/>
        <v>13919.731047146801</v>
      </c>
      <c r="E426" s="3">
        <f t="shared" si="434"/>
        <v>10001342.958946655</v>
      </c>
      <c r="F426" s="3">
        <f t="shared" si="434"/>
        <v>10000000</v>
      </c>
      <c r="G426" s="3">
        <f t="shared" si="434"/>
        <v>6.4655204306795443E+20</v>
      </c>
      <c r="H426" s="3">
        <f t="shared" si="434"/>
        <v>3.7537732261831017E+22</v>
      </c>
      <c r="I426" s="109">
        <f>Comparison!AL25</f>
        <v>10000000</v>
      </c>
      <c r="J426" s="3">
        <f>Comparison!AM25</f>
        <v>4577.424969740212</v>
      </c>
      <c r="K426" s="3">
        <f>Comparison!AN25</f>
        <v>2892.1899665732253</v>
      </c>
      <c r="L426" s="3">
        <f>Comparison!AO25</f>
        <v>2368.346654493816</v>
      </c>
      <c r="M426" s="3">
        <f>Comparison!AP25</f>
        <v>1979.307169199863</v>
      </c>
      <c r="N426" s="3">
        <f>Comparison!AQ25</f>
        <v>1387.2108481854204</v>
      </c>
      <c r="O426" s="3">
        <f>Comparison!AR25</f>
        <v>222.939887660718</v>
      </c>
      <c r="P426" s="3">
        <f>Comparison!AS25</f>
        <v>174.62746722417066</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55.361291178458032</v>
      </c>
      <c r="C427" s="3">
        <f t="shared" si="434"/>
        <v>1754.8967302632989</v>
      </c>
      <c r="D427" s="3">
        <f t="shared" si="434"/>
        <v>139197.31047146802</v>
      </c>
      <c r="E427" s="3">
        <f t="shared" si="434"/>
        <v>100013429.58946656</v>
      </c>
      <c r="F427" s="3">
        <f t="shared" si="434"/>
        <v>100000000</v>
      </c>
      <c r="G427" s="3">
        <f t="shared" si="434"/>
        <v>6.4655204306795438E+21</v>
      </c>
      <c r="H427" s="3">
        <f t="shared" si="434"/>
        <v>3.753773226183102E+23</v>
      </c>
      <c r="I427" s="109">
        <f>Comparison!AL26</f>
        <v>100000000</v>
      </c>
      <c r="J427" s="3">
        <f>Comparison!AM26</f>
        <v>3914.6236771373719</v>
      </c>
      <c r="K427" s="3">
        <f>Comparison!AN26</f>
        <v>2569.6224142495339</v>
      </c>
      <c r="L427" s="3">
        <f>Comparison!AO26</f>
        <v>2132.4244867059297</v>
      </c>
      <c r="M427" s="3">
        <f>Comparison!AP26</f>
        <v>1753.9456058771568</v>
      </c>
      <c r="N427" s="3">
        <f>Comparison!AQ26</f>
        <v>1120.1049206759617</v>
      </c>
      <c r="O427" s="3">
        <f>Comparison!AR26</f>
        <v>201.32214117210117</v>
      </c>
      <c r="P427" s="3">
        <f>Comparison!AS26</f>
        <v>169.86894542912563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553.61291178458032</v>
      </c>
      <c r="C428" s="3">
        <f t="shared" si="434"/>
        <v>17548.967302632987</v>
      </c>
      <c r="D428" s="3">
        <f t="shared" si="434"/>
        <v>1391973.1047146802</v>
      </c>
      <c r="E428" s="3">
        <f t="shared" si="434"/>
        <v>1000134295.8946655</v>
      </c>
      <c r="F428" s="3">
        <f t="shared" si="434"/>
        <v>1000000000</v>
      </c>
      <c r="G428" s="3">
        <f t="shared" si="434"/>
        <v>6.4655204306795436E+22</v>
      </c>
      <c r="H428" s="3">
        <f t="shared" si="434"/>
        <v>3.7537732261831014E+24</v>
      </c>
      <c r="I428" s="109">
        <f>Comparison!AL27</f>
        <v>1000000000</v>
      </c>
      <c r="J428" s="3">
        <f>Comparison!AM27</f>
        <v>3439.215903424868</v>
      </c>
      <c r="K428" s="3">
        <f>Comparison!AN27</f>
        <v>2337.0503651981739</v>
      </c>
      <c r="L428" s="3">
        <f>Comparison!AO27</f>
        <v>1927.1689592855932</v>
      </c>
      <c r="M428" s="3">
        <f>Comparison!AP27</f>
        <v>1541.283272452644</v>
      </c>
      <c r="N428" s="3">
        <f>Comparison!AQ27</f>
        <v>849.29779427462438</v>
      </c>
      <c r="O428" s="3">
        <f>Comparison!AR27</f>
        <v>188.02569432355588</v>
      </c>
      <c r="P428" s="3">
        <f>Comparison!AS27</f>
        <v>166.84170745231376</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5536.1291178458032</v>
      </c>
      <c r="C429" s="3">
        <f t="shared" si="434"/>
        <v>175489.6730263299</v>
      </c>
      <c r="D429" s="3">
        <f t="shared" si="434"/>
        <v>13919731.047146801</v>
      </c>
      <c r="E429" s="3">
        <f t="shared" si="434"/>
        <v>10001342958.946655</v>
      </c>
      <c r="F429" s="3">
        <f t="shared" si="434"/>
        <v>10000000000</v>
      </c>
      <c r="G429" s="3">
        <f t="shared" si="434"/>
        <v>6.4655204306795436E+23</v>
      </c>
      <c r="H429" s="3">
        <f t="shared" si="434"/>
        <v>3.7537732261831017E+25</v>
      </c>
      <c r="I429" s="109">
        <f>Comparison!AL28</f>
        <v>10000000000</v>
      </c>
      <c r="J429" s="3">
        <f>Comparison!AM28</f>
        <v>3078.9760704970804</v>
      </c>
      <c r="K429" s="3">
        <f>Comparison!AN28</f>
        <v>2151.250620328482</v>
      </c>
      <c r="L429" s="3">
        <f>Comparison!AO28</f>
        <v>1740.579877269425</v>
      </c>
      <c r="M429" s="3">
        <f>Comparison!AP28</f>
        <v>1325.7320252858156</v>
      </c>
      <c r="N429" s="3">
        <f>Comparison!AQ28</f>
        <v>602.02056954985051</v>
      </c>
      <c r="O429" s="3">
        <f>Comparison!AR28</f>
        <v>181.14617749166206</v>
      </c>
      <c r="P429" s="3">
        <f>Comparison!AS28</f>
        <v>166.12540478353452</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55361.291178458028</v>
      </c>
      <c r="C430" s="3">
        <f t="shared" si="434"/>
        <v>1754896.7302632988</v>
      </c>
      <c r="D430" s="3">
        <f t="shared" si="434"/>
        <v>139197310.47146803</v>
      </c>
      <c r="E430" s="3">
        <f t="shared" si="434"/>
        <v>100013429589.46655</v>
      </c>
      <c r="F430" s="3">
        <f t="shared" si="434"/>
        <v>100000000000</v>
      </c>
      <c r="G430" s="3">
        <f t="shared" si="434"/>
        <v>6.4655204306795436E+24</v>
      </c>
      <c r="H430" s="3">
        <f t="shared" si="434"/>
        <v>3.7537732261831014E+26</v>
      </c>
      <c r="I430" s="109">
        <f>Comparison!AL29</f>
        <v>100000000000</v>
      </c>
      <c r="J430" s="3">
        <f>Comparison!AM29</f>
        <v>2798.5736498484516</v>
      </c>
      <c r="K430" s="3">
        <f>Comparison!AN29</f>
        <v>1990.2744047049448</v>
      </c>
      <c r="L430" s="3">
        <f>Comparison!AO29</f>
        <v>1552.3921804639763</v>
      </c>
      <c r="M430" s="3">
        <f>Comparison!AP29</f>
        <v>1090.3481138846798</v>
      </c>
      <c r="N430" s="3">
        <f>Comparison!AQ29</f>
        <v>414.55153000594095</v>
      </c>
      <c r="O430" s="3">
        <f>Comparison!AR29</f>
        <v>171.73287142228415</v>
      </c>
      <c r="P430" s="3">
        <f>Comparison!AS29</f>
        <v>165.25800429032441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553612.91178458033</v>
      </c>
      <c r="C431" s="3">
        <f t="shared" si="434"/>
        <v>17548967.302632987</v>
      </c>
      <c r="D431" s="3">
        <f t="shared" si="434"/>
        <v>1391973104.7146802</v>
      </c>
      <c r="E431" s="3">
        <f t="shared" si="434"/>
        <v>1000134295894.6655</v>
      </c>
      <c r="F431" s="3">
        <f t="shared" si="434"/>
        <v>1000000000000</v>
      </c>
      <c r="G431" s="3">
        <f t="shared" si="434"/>
        <v>6.465520430679544E+25</v>
      </c>
      <c r="H431" s="3">
        <f t="shared" si="434"/>
        <v>3.7537732261831019E+27</v>
      </c>
      <c r="I431" s="109">
        <f>Comparison!AL30</f>
        <v>1000000000000</v>
      </c>
      <c r="J431" s="3">
        <f>Comparison!AM30</f>
        <v>2590.4913778751102</v>
      </c>
      <c r="K431" s="3">
        <f>Comparison!AN30</f>
        <v>1828.3308494849296</v>
      </c>
      <c r="L431" s="3">
        <f>Comparison!AO30</f>
        <v>1355.3669215252155</v>
      </c>
      <c r="M431" s="3">
        <f>Comparison!AP30</f>
        <v>838.64271647474698</v>
      </c>
      <c r="N431" s="3">
        <f>Comparison!AQ30</f>
        <v>296.76424848335745</v>
      </c>
      <c r="O431" s="3">
        <f>Comparison!AR30</f>
        <v>164.88164851800227</v>
      </c>
      <c r="P431" s="3">
        <f>Comparison!AS30</f>
        <v>162.97529182821398</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5536129.1178458026</v>
      </c>
      <c r="C432" s="3">
        <f t="shared" si="434"/>
        <v>175489673.02632987</v>
      </c>
      <c r="D432" s="3">
        <f t="shared" si="434"/>
        <v>13919731047.146801</v>
      </c>
      <c r="E432" s="3">
        <f t="shared" si="434"/>
        <v>10001342958946.654</v>
      </c>
      <c r="F432" s="3">
        <f t="shared" si="434"/>
        <v>10000000000000</v>
      </c>
      <c r="G432" s="3">
        <f t="shared" si="434"/>
        <v>6.4655204306795438E+26</v>
      </c>
      <c r="H432" s="3">
        <f t="shared" si="434"/>
        <v>3.7537732261831017E+28</v>
      </c>
      <c r="I432" s="109">
        <f>Comparison!AL31</f>
        <v>10000000000000</v>
      </c>
      <c r="J432" s="3">
        <f>Comparison!AM31</f>
        <v>2428.2171958860131</v>
      </c>
      <c r="K432" s="3">
        <f>Comparison!AN31</f>
        <v>1665.1765081389453</v>
      </c>
      <c r="L432" s="3">
        <f>Comparison!AO31</f>
        <v>1134.9160288600715</v>
      </c>
      <c r="M432" s="3">
        <f>Comparison!AP31</f>
        <v>600.54666630574377</v>
      </c>
      <c r="N432" s="3">
        <f>Comparison!AQ31</f>
        <v>236.5039430342818</v>
      </c>
      <c r="O432" s="3">
        <f>Comparison!AR31</f>
        <v>164.50146393142782</v>
      </c>
      <c r="P432" s="3">
        <f>Comparison!AS31</f>
        <v>162.91152498499585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55361291.178458028</v>
      </c>
      <c r="C433" s="3">
        <f t="shared" si="434"/>
        <v>1754896730.2632987</v>
      </c>
      <c r="D433" s="3">
        <f t="shared" si="434"/>
        <v>139197310471.46802</v>
      </c>
      <c r="E433" s="3">
        <f t="shared" si="434"/>
        <v>100013429589466.55</v>
      </c>
      <c r="F433" s="3">
        <f t="shared" si="434"/>
        <v>100000000000000</v>
      </c>
      <c r="G433" s="3">
        <f t="shared" si="434"/>
        <v>6.4655204306795435E+27</v>
      </c>
      <c r="H433" s="3">
        <f t="shared" si="434"/>
        <v>3.7537732261831018E+29</v>
      </c>
      <c r="I433" s="109">
        <f>Comparison!AL32</f>
        <v>100000000000000</v>
      </c>
      <c r="J433" s="3">
        <f>Comparison!AM32</f>
        <v>2284.9023004500814</v>
      </c>
      <c r="K433" s="3">
        <f>Comparison!AN32</f>
        <v>1489.3314845424752</v>
      </c>
      <c r="L433" s="3">
        <f>Comparison!AO32</f>
        <v>892.49692017162795</v>
      </c>
      <c r="M433" s="3">
        <f>Comparison!AP32</f>
        <v>415.97655166325364</v>
      </c>
      <c r="N433" s="3">
        <f>Comparison!AQ32</f>
        <v>206.64782998877558</v>
      </c>
      <c r="O433" s="3">
        <f>Comparison!AR32</f>
        <v>163.00727748318997</v>
      </c>
      <c r="P433" s="3">
        <f>Comparison!AS32</f>
        <v>161.92883558935978</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553612911.78458023</v>
      </c>
      <c r="C434" s="3">
        <f t="shared" si="434"/>
        <v>17548967302.632988</v>
      </c>
      <c r="D434" s="3">
        <f t="shared" si="434"/>
        <v>1391973104714.6802</v>
      </c>
      <c r="E434" s="3">
        <f t="shared" si="434"/>
        <v>1000134295894665.5</v>
      </c>
      <c r="F434" s="3">
        <f t="shared" si="434"/>
        <v>1000000000000000</v>
      </c>
      <c r="G434" s="3">
        <f t="shared" si="434"/>
        <v>6.465520430679544E+28</v>
      </c>
      <c r="H434" s="3">
        <f t="shared" si="434"/>
        <v>3.7537732261831017E+30</v>
      </c>
      <c r="I434" s="109">
        <f>Comparison!AL33</f>
        <v>1000000000000000</v>
      </c>
      <c r="J434" s="3">
        <f>Comparison!AM33</f>
        <v>2162.351794570352</v>
      </c>
      <c r="K434" s="3">
        <f>Comparison!AN33</f>
        <v>1297.0734642842888</v>
      </c>
      <c r="L434" s="3">
        <f>Comparison!AO33</f>
        <v>651.2901745739025</v>
      </c>
      <c r="M434" s="3">
        <f>Comparison!AP33</f>
        <v>297.69240550814368</v>
      </c>
      <c r="N434" s="3">
        <f>Comparison!AQ33</f>
        <v>191.80670583863778</v>
      </c>
      <c r="O434" s="3">
        <f>Comparison!AR33</f>
        <v>162.92272722143832</v>
      </c>
      <c r="P434" s="3">
        <f>Comparison!AS33</f>
        <v>161.56401350859798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-14.406800109604639</v>
      </c>
      <c r="M1" s="54">
        <v>1</v>
      </c>
      <c r="N1" s="56">
        <f>INDEX($H$217:$P$217,1,Q1)</f>
        <v>0.59739868758354531</v>
      </c>
      <c r="O1" s="11"/>
      <c r="P1" s="55">
        <v>1</v>
      </c>
      <c r="Q1" s="11">
        <v>2</v>
      </c>
    </row>
    <row r="2" spans="1:17" x14ac:dyDescent="0.25">
      <c r="A2" s="11">
        <f>'Mastercurve bestimmen'!M119</f>
        <v>0</v>
      </c>
      <c r="B2" s="11">
        <f>'Mastercurve bestimmen'!N119</f>
        <v>-10.950515452938541</v>
      </c>
      <c r="M2" s="54">
        <v>2</v>
      </c>
      <c r="N2" s="56">
        <f t="shared" ref="N2:N9" si="0">INDEX($H$217:$P$217,1,Q2)</f>
        <v>-2.0812024934506054E-2</v>
      </c>
      <c r="O2" s="11"/>
      <c r="P2" s="55">
        <v>2</v>
      </c>
      <c r="Q2" s="11">
        <f>Q1+1</f>
        <v>3</v>
      </c>
    </row>
    <row r="3" spans="1:17" x14ac:dyDescent="0.25">
      <c r="A3" s="11">
        <f>'Mastercurve bestimmen'!M120</f>
        <v>25</v>
      </c>
      <c r="B3" s="11">
        <f>'Mastercurve bestimmen'!N120</f>
        <v>-6.5770330385822291</v>
      </c>
      <c r="M3" s="54">
        <v>3</v>
      </c>
      <c r="N3" s="56">
        <f t="shared" si="0"/>
        <v>-2.1071982851047954E-4</v>
      </c>
      <c r="O3" s="11"/>
      <c r="P3" s="55">
        <v>3</v>
      </c>
      <c r="Q3" s="11">
        <f t="shared" ref="Q3:Q8" si="1">Q2+1</f>
        <v>4</v>
      </c>
    </row>
    <row r="4" spans="1:17" x14ac:dyDescent="0.25">
      <c r="A4" s="11">
        <f>'Mastercurve bestimmen'!M121</f>
        <v>50</v>
      </c>
      <c r="B4" s="11">
        <f>'Mastercurve bestimmen'!N121</f>
        <v>1.3428687777918219E-4</v>
      </c>
      <c r="M4" s="54">
        <v>4</v>
      </c>
      <c r="N4" s="56">
        <f t="shared" si="0"/>
        <v>5.919587130831067E-6</v>
      </c>
      <c r="O4" s="11"/>
      <c r="P4" s="55">
        <v>4</v>
      </c>
      <c r="Q4" s="11">
        <f t="shared" si="1"/>
        <v>5</v>
      </c>
    </row>
    <row r="5" spans="1:17" x14ac:dyDescent="0.25">
      <c r="A5" s="11">
        <f>'Mastercurve bestimmen'!M122</f>
        <v>80</v>
      </c>
      <c r="B5" s="11">
        <f>'Mastercurve bestimmen'!N122</f>
        <v>0</v>
      </c>
      <c r="M5" s="54">
        <v>5</v>
      </c>
      <c r="N5" s="56">
        <f t="shared" si="0"/>
        <v>6.1042098919939253E-8</v>
      </c>
      <c r="O5" s="11"/>
      <c r="P5" s="55">
        <v>5</v>
      </c>
      <c r="Q5" s="11">
        <f t="shared" si="1"/>
        <v>6</v>
      </c>
    </row>
    <row r="6" spans="1:17" x14ac:dyDescent="0.25">
      <c r="A6" s="11">
        <f>'Mastercurve bestimmen'!M123</f>
        <v>125</v>
      </c>
      <c r="B6" s="11">
        <f>'Mastercurve bestimmen'!N123</f>
        <v>31.8000897176249</v>
      </c>
      <c r="M6" s="54">
        <v>6</v>
      </c>
      <c r="N6" s="56">
        <f t="shared" si="0"/>
        <v>-4.1178154162140483E-10</v>
      </c>
      <c r="O6" s="11"/>
      <c r="P6" s="55">
        <v>6</v>
      </c>
      <c r="Q6" s="11">
        <f t="shared" si="1"/>
        <v>7</v>
      </c>
    </row>
    <row r="7" spans="1:17" x14ac:dyDescent="0.25">
      <c r="A7" s="11">
        <f>'Mastercurve bestimmen'!M124</f>
        <v>160</v>
      </c>
      <c r="B7" s="11">
        <f>'Mastercurve bestimmen'!N124</f>
        <v>35.861537922668312</v>
      </c>
      <c r="M7" s="54">
        <v>7</v>
      </c>
      <c r="N7" s="56">
        <f t="shared" si="0"/>
        <v>-5.8258702284117547E-12</v>
      </c>
      <c r="O7" s="11"/>
      <c r="P7" s="55">
        <v>7</v>
      </c>
      <c r="Q7" s="11">
        <f t="shared" si="1"/>
        <v>8</v>
      </c>
    </row>
    <row r="8" spans="1:17" x14ac:dyDescent="0.25">
      <c r="A8" s="11"/>
      <c r="B8" s="11"/>
      <c r="M8" s="54">
        <v>8</v>
      </c>
      <c r="N8" s="56">
        <f t="shared" si="0"/>
        <v>-1.3979192011894637E-14</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-45.801625734711926</v>
      </c>
      <c r="E15" s="11">
        <f>A15-'Mastercurve bestimmen'!$B$2</f>
        <v>-120</v>
      </c>
      <c r="F15" s="11">
        <f>B15</f>
        <v>-45.801625734711926</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-45.738092888466561</v>
      </c>
      <c r="E16" s="11">
        <f>A16-'Mastercurve bestimmen'!$B$2</f>
        <v>-119</v>
      </c>
      <c r="F16" s="11">
        <f t="shared" ref="F16:F79" si="4">B16</f>
        <v>-45.738092888466561</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-45.67441338219669</v>
      </c>
      <c r="E17" s="11">
        <f>A17-'Mastercurve bestimmen'!$B$2</f>
        <v>-118</v>
      </c>
      <c r="F17" s="11">
        <f t="shared" si="4"/>
        <v>-45.67441338219669</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-45.610440555877801</v>
      </c>
      <c r="E18" s="11">
        <f>A18-'Mastercurve bestimmen'!$B$2</f>
        <v>-117</v>
      </c>
      <c r="F18" s="11">
        <f t="shared" si="4"/>
        <v>-45.610440555877801</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-45.54602774948539</v>
      </c>
      <c r="E19" s="11">
        <f>A19-'Mastercurve bestimmen'!$B$2</f>
        <v>-116</v>
      </c>
      <c r="F19" s="11">
        <f t="shared" si="4"/>
        <v>-45.54602774948539</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-45.481028302994957</v>
      </c>
      <c r="E20" s="11">
        <f>A20-'Mastercurve bestimmen'!$B$2</f>
        <v>-115</v>
      </c>
      <c r="F20" s="11">
        <f t="shared" si="4"/>
        <v>-45.481028302994957</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-45.415295556381992</v>
      </c>
      <c r="E21" s="11">
        <f>A21-'Mastercurve bestimmen'!$B$2</f>
        <v>-114</v>
      </c>
      <c r="F21" s="11">
        <f t="shared" si="4"/>
        <v>-45.415295556381992</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-45.34868284962198</v>
      </c>
      <c r="E22" s="11">
        <f>A22-'Mastercurve bestimmen'!$B$2</f>
        <v>-113</v>
      </c>
      <c r="F22" s="11">
        <f t="shared" si="4"/>
        <v>-45.34868284962198</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-45.281043522690418</v>
      </c>
      <c r="E23" s="11">
        <f>A23-'Mastercurve bestimmen'!$B$2</f>
        <v>-112</v>
      </c>
      <c r="F23" s="11">
        <f t="shared" si="4"/>
        <v>-45.281043522690418</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-45.212230915562813</v>
      </c>
      <c r="E24" s="11">
        <f>A24-'Mastercurve bestimmen'!$B$2</f>
        <v>-111</v>
      </c>
      <c r="F24" s="11">
        <f t="shared" si="4"/>
        <v>-45.212230915562813</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-45.14209836821464</v>
      </c>
      <c r="E25" s="11">
        <f>A25-'Mastercurve bestimmen'!$B$2</f>
        <v>-110</v>
      </c>
      <c r="F25" s="11">
        <f t="shared" si="4"/>
        <v>-45.14209836821464</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-45.0704992206214</v>
      </c>
      <c r="E26" s="11">
        <f>A26-'Mastercurve bestimmen'!$B$2</f>
        <v>-109</v>
      </c>
      <c r="F26" s="11">
        <f t="shared" si="4"/>
        <v>-45.0704992206214</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-44.997286812758588</v>
      </c>
      <c r="E27" s="11">
        <f>A27-'Mastercurve bestimmen'!$B$2</f>
        <v>-108</v>
      </c>
      <c r="F27" s="11">
        <f t="shared" si="4"/>
        <v>-44.997286812758588</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-44.922314484601692</v>
      </c>
      <c r="E28" s="11">
        <f>A28-'Mastercurve bestimmen'!$B$2</f>
        <v>-107</v>
      </c>
      <c r="F28" s="11">
        <f t="shared" si="4"/>
        <v>-44.922314484601692</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-44.845435576126206</v>
      </c>
      <c r="E29" s="11">
        <f>A29-'Mastercurve bestimmen'!$B$2</f>
        <v>-106</v>
      </c>
      <c r="F29" s="11">
        <f t="shared" si="4"/>
        <v>-44.845435576126206</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-44.766503427307626</v>
      </c>
      <c r="E30" s="11">
        <f>A30-'Mastercurve bestimmen'!$B$2</f>
        <v>-105</v>
      </c>
      <c r="F30" s="11">
        <f t="shared" si="4"/>
        <v>-44.766503427307626</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-44.685371378121459</v>
      </c>
      <c r="E31" s="11">
        <f>A31-'Mastercurve bestimmen'!$B$2</f>
        <v>-104</v>
      </c>
      <c r="F31" s="11">
        <f t="shared" si="4"/>
        <v>-44.685371378121459</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-44.601892768543166</v>
      </c>
      <c r="E32" s="11">
        <f>A32-'Mastercurve bestimmen'!$B$2</f>
        <v>-103</v>
      </c>
      <c r="F32" s="11">
        <f t="shared" si="4"/>
        <v>-44.601892768543166</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-44.515920938548263</v>
      </c>
      <c r="E33" s="11">
        <f>A33-'Mastercurve bestimmen'!$B$2</f>
        <v>-102</v>
      </c>
      <c r="F33" s="11">
        <f t="shared" si="4"/>
        <v>-44.515920938548263</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-44.427309228112236</v>
      </c>
      <c r="E34" s="11">
        <f>A34-'Mastercurve bestimmen'!$B$2</f>
        <v>-101</v>
      </c>
      <c r="F34" s="11">
        <f t="shared" si="4"/>
        <v>-44.427309228112236</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-44.335910977210588</v>
      </c>
      <c r="E35" s="11">
        <f>A35-'Mastercurve bestimmen'!$B$2</f>
        <v>-100</v>
      </c>
      <c r="F35" s="11">
        <f t="shared" si="4"/>
        <v>-44.335910977210588</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-44.2415795258188</v>
      </c>
      <c r="E36" s="11">
        <f>A36-'Mastercurve bestimmen'!$B$2</f>
        <v>-99</v>
      </c>
      <c r="F36" s="11">
        <f t="shared" si="4"/>
        <v>-44.2415795258188</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-44.144168213912366</v>
      </c>
      <c r="E37" s="11">
        <f>A37-'Mastercurve bestimmen'!$B$2</f>
        <v>-98</v>
      </c>
      <c r="F37" s="11">
        <f t="shared" si="4"/>
        <v>-44.144168213912366</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-44.043530381466795</v>
      </c>
      <c r="E38" s="11">
        <f>A38-'Mastercurve bestimmen'!$B$2</f>
        <v>-97</v>
      </c>
      <c r="F38" s="11">
        <f t="shared" si="4"/>
        <v>-44.043530381466795</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-43.939519368457553</v>
      </c>
      <c r="E39" s="11">
        <f>A39-'Mastercurve bestimmen'!$B$2</f>
        <v>-96</v>
      </c>
      <c r="F39" s="11">
        <f t="shared" si="4"/>
        <v>-43.939519368457553</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-43.831988514860157</v>
      </c>
      <c r="E40" s="11">
        <f>A40-'Mastercurve bestimmen'!$B$2</f>
        <v>-95</v>
      </c>
      <c r="F40" s="11">
        <f t="shared" si="4"/>
        <v>-43.831988514860157</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-43.720791160650094</v>
      </c>
      <c r="E41" s="11">
        <f>A41-'Mastercurve bestimmen'!$B$2</f>
        <v>-94</v>
      </c>
      <c r="F41" s="11">
        <f t="shared" si="4"/>
        <v>-43.720791160650094</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-43.605780645802852</v>
      </c>
      <c r="E42" s="11">
        <f>A42-'Mastercurve bestimmen'!$B$2</f>
        <v>-93</v>
      </c>
      <c r="F42" s="11">
        <f t="shared" si="4"/>
        <v>-43.605780645802852</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-43.486810310293926</v>
      </c>
      <c r="E43" s="11">
        <f>A43-'Mastercurve bestimmen'!$B$2</f>
        <v>-92</v>
      </c>
      <c r="F43" s="11">
        <f t="shared" si="4"/>
        <v>-43.486810310293926</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-43.36373349409881</v>
      </c>
      <c r="E44" s="11">
        <f>A44-'Mastercurve bestimmen'!$B$2</f>
        <v>-91</v>
      </c>
      <c r="F44" s="11">
        <f t="shared" si="4"/>
        <v>-43.36373349409881</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-43.236403537192999</v>
      </c>
      <c r="E45" s="11">
        <f>A45-'Mastercurve bestimmen'!$B$2</f>
        <v>-90</v>
      </c>
      <c r="F45" s="11">
        <f t="shared" si="4"/>
        <v>-43.236403537192999</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-43.104673779551987</v>
      </c>
      <c r="E46" s="11">
        <f>A46-'Mastercurve bestimmen'!$B$2</f>
        <v>-89</v>
      </c>
      <c r="F46" s="11">
        <f t="shared" si="4"/>
        <v>-43.104673779551987</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-42.968397561151264</v>
      </c>
      <c r="E47" s="11">
        <f>A47-'Mastercurve bestimmen'!$B$2</f>
        <v>-88</v>
      </c>
      <c r="F47" s="11">
        <f t="shared" si="4"/>
        <v>-42.968397561151264</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-42.827428221966329</v>
      </c>
      <c r="E48" s="11">
        <f>A48-'Mastercurve bestimmen'!$B$2</f>
        <v>-87</v>
      </c>
      <c r="F48" s="11">
        <f t="shared" si="4"/>
        <v>-42.827428221966329</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-42.681619101972665</v>
      </c>
      <c r="E49" s="11">
        <f>A49-'Mastercurve bestimmen'!$B$2</f>
        <v>-86</v>
      </c>
      <c r="F49" s="11">
        <f t="shared" si="4"/>
        <v>-42.681619101972665</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-42.530823541145764</v>
      </c>
      <c r="E50" s="11">
        <f>A50-'Mastercurve bestimmen'!$B$2</f>
        <v>-85</v>
      </c>
      <c r="F50" s="11">
        <f t="shared" si="4"/>
        <v>-42.530823541145764</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-42.374894879461138</v>
      </c>
      <c r="E51" s="11">
        <f>A51-'Mastercurve bestimmen'!$B$2</f>
        <v>-84</v>
      </c>
      <c r="F51" s="11">
        <f t="shared" si="4"/>
        <v>-42.374894879461138</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-42.213686456894266</v>
      </c>
      <c r="E52" s="11">
        <f>A52-'Mastercurve bestimmen'!$B$2</f>
        <v>-83</v>
      </c>
      <c r="F52" s="11">
        <f t="shared" si="4"/>
        <v>-42.213686456894266</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-42.047051613420642</v>
      </c>
      <c r="E53" s="11">
        <f>A53-'Mastercurve bestimmen'!$B$2</f>
        <v>-82</v>
      </c>
      <c r="F53" s="11">
        <f t="shared" si="4"/>
        <v>-42.047051613420642</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-41.874843689015755</v>
      </c>
      <c r="E54" s="11">
        <f>A54-'Mastercurve bestimmen'!$B$2</f>
        <v>-81</v>
      </c>
      <c r="F54" s="11">
        <f t="shared" si="4"/>
        <v>-41.874843689015755</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-41.696916023655113</v>
      </c>
      <c r="E55" s="11">
        <f>A55-'Mastercurve bestimmen'!$B$2</f>
        <v>-80</v>
      </c>
      <c r="F55" s="11">
        <f t="shared" si="4"/>
        <v>-41.696916023655113</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-41.565532961159505</v>
      </c>
      <c r="E56" s="11">
        <f>A56-'Mastercurve bestimmen'!$B$2</f>
        <v>-79</v>
      </c>
      <c r="F56" s="11">
        <f t="shared" si="4"/>
        <v>-41.565532961159505</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-41.428597079596727</v>
      </c>
      <c r="E57" s="11">
        <f>A57-'Mastercurve bestimmen'!$B$2</f>
        <v>-78</v>
      </c>
      <c r="F57" s="11">
        <f t="shared" si="4"/>
        <v>-41.428597079596727</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-41.286421960879899</v>
      </c>
      <c r="E58" s="11">
        <f>A58-'Mastercurve bestimmen'!$B$2</f>
        <v>-77</v>
      </c>
      <c r="F58" s="11">
        <f t="shared" si="4"/>
        <v>-41.286421960879899</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-41.139321186922089</v>
      </c>
      <c r="E59" s="11">
        <f>A59-'Mastercurve bestimmen'!$B$2</f>
        <v>-76</v>
      </c>
      <c r="F59" s="11">
        <f t="shared" si="4"/>
        <v>-41.139321186922089</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-40.987608339636431</v>
      </c>
      <c r="E60" s="11">
        <f>A60-'Mastercurve bestimmen'!$B$2</f>
        <v>-75</v>
      </c>
      <c r="F60" s="11">
        <f t="shared" si="4"/>
        <v>-40.987608339636431</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-40.831597000936014</v>
      </c>
      <c r="E61" s="11">
        <f>A61-'Mastercurve bestimmen'!$B$2</f>
        <v>-74</v>
      </c>
      <c r="F61" s="11">
        <f t="shared" si="4"/>
        <v>-40.831597000936014</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-40.671600752733944</v>
      </c>
      <c r="E62" s="11">
        <f>A62-'Mastercurve bestimmen'!$B$2</f>
        <v>-73</v>
      </c>
      <c r="F62" s="11">
        <f t="shared" si="4"/>
        <v>-40.671600752733944</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-40.507933176943325</v>
      </c>
      <c r="E63" s="11">
        <f>A63-'Mastercurve bestimmen'!$B$2</f>
        <v>-72</v>
      </c>
      <c r="F63" s="11">
        <f t="shared" si="4"/>
        <v>-40.507933176943325</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-40.340907855477255</v>
      </c>
      <c r="E64" s="11">
        <f>A64-'Mastercurve bestimmen'!$B$2</f>
        <v>-71</v>
      </c>
      <c r="F64" s="11">
        <f t="shared" si="4"/>
        <v>-40.340907855477255</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-40.170838370248845</v>
      </c>
      <c r="E65" s="11">
        <f>A65-'Mastercurve bestimmen'!$B$2</f>
        <v>-70</v>
      </c>
      <c r="F65" s="11">
        <f t="shared" si="4"/>
        <v>-40.170838370248845</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-39.998038303171192</v>
      </c>
      <c r="E66" s="11">
        <f>A66-'Mastercurve bestimmen'!$B$2</f>
        <v>-69</v>
      </c>
      <c r="F66" s="11">
        <f t="shared" si="4"/>
        <v>-39.998038303171192</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-39.822821236157395</v>
      </c>
      <c r="E67" s="11">
        <f>A67-'Mastercurve bestimmen'!$B$2</f>
        <v>-68</v>
      </c>
      <c r="F67" s="11">
        <f t="shared" si="4"/>
        <v>-39.822821236157395</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-39.645500751120565</v>
      </c>
      <c r="E68" s="11">
        <f>A68-'Mastercurve bestimmen'!$B$2</f>
        <v>-67</v>
      </c>
      <c r="F68" s="11">
        <f t="shared" si="4"/>
        <v>-39.645500751120565</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-39.466390429973806</v>
      </c>
      <c r="E69" s="11">
        <f>A69-'Mastercurve bestimmen'!$B$2</f>
        <v>-66</v>
      </c>
      <c r="F69" s="11">
        <f t="shared" si="4"/>
        <v>-39.466390429973806</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-39.285803854630217</v>
      </c>
      <c r="E70" s="11">
        <f>A70-'Mastercurve bestimmen'!$B$2</f>
        <v>-65</v>
      </c>
      <c r="F70" s="11">
        <f t="shared" si="4"/>
        <v>-39.285803854630217</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-39.104054607002894</v>
      </c>
      <c r="E71" s="11">
        <f>A71-'Mastercurve bestimmen'!$B$2</f>
        <v>-64</v>
      </c>
      <c r="F71" s="11">
        <f t="shared" si="4"/>
        <v>-39.104054607002894</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-38.921456269004949</v>
      </c>
      <c r="E72" s="11">
        <f>A72-'Mastercurve bestimmen'!$B$2</f>
        <v>-63</v>
      </c>
      <c r="F72" s="11">
        <f t="shared" si="4"/>
        <v>-38.921456269004949</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-38.738322422549487</v>
      </c>
      <c r="E73" s="11">
        <f>A73-'Mastercurve bestimmen'!$B$2</f>
        <v>-62</v>
      </c>
      <c r="F73" s="11">
        <f t="shared" si="4"/>
        <v>-38.738322422549487</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-38.554966649549606</v>
      </c>
      <c r="E74" s="11">
        <f>A74-'Mastercurve bestimmen'!$B$2</f>
        <v>-61</v>
      </c>
      <c r="F74" s="11">
        <f t="shared" si="4"/>
        <v>-38.554966649549606</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-38.371702531918402</v>
      </c>
      <c r="E75" s="11">
        <f>A75-'Mastercurve bestimmen'!$B$2</f>
        <v>-60</v>
      </c>
      <c r="F75" s="11">
        <f t="shared" si="4"/>
        <v>-38.371702531918402</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-38.188843651568995</v>
      </c>
      <c r="E76" s="11">
        <f>A76-'Mastercurve bestimmen'!$B$2</f>
        <v>-59</v>
      </c>
      <c r="F76" s="11">
        <f t="shared" si="4"/>
        <v>-38.188843651568995</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-38.006703590414475</v>
      </c>
      <c r="E77" s="11">
        <f>A77-'Mastercurve bestimmen'!$B$2</f>
        <v>-58</v>
      </c>
      <c r="F77" s="11">
        <f t="shared" si="4"/>
        <v>-38.006703590414475</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-37.825595930367939</v>
      </c>
      <c r="E78" s="11">
        <f>A78-'Mastercurve bestimmen'!$B$2</f>
        <v>-57</v>
      </c>
      <c r="F78" s="11">
        <f t="shared" si="4"/>
        <v>-37.825595930367939</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-37.645834253342514</v>
      </c>
      <c r="E79" s="11">
        <f>A79-'Mastercurve bestimmen'!$B$2</f>
        <v>-56</v>
      </c>
      <c r="F79" s="11">
        <f t="shared" si="4"/>
        <v>-37.645834253342514</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-37.467732141251275</v>
      </c>
      <c r="E80" s="11">
        <f>A80-'Mastercurve bestimmen'!$B$2</f>
        <v>-55</v>
      </c>
      <c r="F80" s="11">
        <f t="shared" ref="F80:F143" si="10">B80</f>
        <v>-37.467732141251275</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-37.291414253640276</v>
      </c>
      <c r="E81" s="11">
        <f>A81-'Mastercurve bestimmen'!$B$2</f>
        <v>-54</v>
      </c>
      <c r="F81" s="11">
        <f t="shared" si="10"/>
        <v>-37.291414253640276</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-37.116249560587271</v>
      </c>
      <c r="E82" s="11">
        <f>A82-'Mastercurve bestimmen'!$B$2</f>
        <v>-53</v>
      </c>
      <c r="F82" s="11">
        <f t="shared" si="10"/>
        <v>-37.116249560587271</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-36.941418109802967</v>
      </c>
      <c r="E83" s="11">
        <f>A83-'Mastercurve bestimmen'!$B$2</f>
        <v>-52</v>
      </c>
      <c r="F83" s="11">
        <f t="shared" si="10"/>
        <v>-36.941418109802967</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-36.766099948998033</v>
      </c>
      <c r="E84" s="11">
        <f>A84-'Mastercurve bestimmen'!$B$2</f>
        <v>-51</v>
      </c>
      <c r="F84" s="11">
        <f t="shared" si="10"/>
        <v>-36.766099948998033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-36.589475125883204</v>
      </c>
      <c r="E85" s="11">
        <f>A85-'Mastercurve bestimmen'!$B$2</f>
        <v>-50</v>
      </c>
      <c r="F85" s="11">
        <f t="shared" si="10"/>
        <v>-36.589475125883204</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-36.410723688169142</v>
      </c>
      <c r="E86" s="11">
        <f>A86-'Mastercurve bestimmen'!$B$2</f>
        <v>-49</v>
      </c>
      <c r="F86" s="11">
        <f t="shared" si="10"/>
        <v>-36.410723688169142</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-36.229025683566562</v>
      </c>
      <c r="E87" s="11">
        <f>A87-'Mastercurve bestimmen'!$B$2</f>
        <v>-48</v>
      </c>
      <c r="F87" s="11">
        <f t="shared" si="10"/>
        <v>-36.229025683566562</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-36.043561159786151</v>
      </c>
      <c r="E88" s="11">
        <f>A88-'Mastercurve bestimmen'!$B$2</f>
        <v>-47</v>
      </c>
      <c r="F88" s="11">
        <f t="shared" si="10"/>
        <v>-36.043561159786151</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-35.853510164538605</v>
      </c>
      <c r="E89" s="11">
        <f>A89-'Mastercurve bestimmen'!$B$2</f>
        <v>-46</v>
      </c>
      <c r="F89" s="11">
        <f t="shared" si="10"/>
        <v>-35.853510164538605</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-35.658052745534626</v>
      </c>
      <c r="E90" s="11">
        <f>A90-'Mastercurve bestimmen'!$B$2</f>
        <v>-45</v>
      </c>
      <c r="F90" s="11">
        <f t="shared" si="10"/>
        <v>-35.658052745534626</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-35.456368950484901</v>
      </c>
      <c r="E91" s="11">
        <f>A91-'Mastercurve bestimmen'!$B$2</f>
        <v>-44</v>
      </c>
      <c r="F91" s="11">
        <f t="shared" si="10"/>
        <v>-35.456368950484901</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-35.247638827100133</v>
      </c>
      <c r="E92" s="11">
        <f>A92-'Mastercurve bestimmen'!$B$2</f>
        <v>-43</v>
      </c>
      <c r="F92" s="11">
        <f t="shared" si="10"/>
        <v>-35.247638827100133</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-35.031042423091009</v>
      </c>
      <c r="E93" s="11">
        <f>A93-'Mastercurve bestimmen'!$B$2</f>
        <v>-42</v>
      </c>
      <c r="F93" s="11">
        <f t="shared" si="10"/>
        <v>-35.031042423091009</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-34.805759786168238</v>
      </c>
      <c r="E94" s="11">
        <f>A94-'Mastercurve bestimmen'!$B$2</f>
        <v>-41</v>
      </c>
      <c r="F94" s="11">
        <f t="shared" si="10"/>
        <v>-34.805759786168238</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-34.570970964042495</v>
      </c>
      <c r="E95" s="11">
        <f>A95-'Mastercurve bestimmen'!$B$2</f>
        <v>-40</v>
      </c>
      <c r="F95" s="11">
        <f t="shared" si="10"/>
        <v>-34.570970964042495</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-34.325856004424494</v>
      </c>
      <c r="E96" s="11">
        <f>A96-'Mastercurve bestimmen'!$B$2</f>
        <v>-39</v>
      </c>
      <c r="F96" s="11">
        <f t="shared" si="10"/>
        <v>-34.325856004424494</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-34.069594955024925</v>
      </c>
      <c r="E97" s="11">
        <f>A97-'Mastercurve bestimmen'!$B$2</f>
        <v>-38</v>
      </c>
      <c r="F97" s="11">
        <f t="shared" si="10"/>
        <v>-34.069594955024925</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-33.801367863554489</v>
      </c>
      <c r="E98" s="11">
        <f>A98-'Mastercurve bestimmen'!$B$2</f>
        <v>-37</v>
      </c>
      <c r="F98" s="11">
        <f t="shared" si="10"/>
        <v>-33.801367863554489</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-33.520354777723867</v>
      </c>
      <c r="E99" s="11">
        <f>A99-'Mastercurve bestimmen'!$B$2</f>
        <v>-36</v>
      </c>
      <c r="F99" s="11">
        <f t="shared" si="10"/>
        <v>-33.520354777723867</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-33.225735745243767</v>
      </c>
      <c r="E100" s="11">
        <f>A100-'Mastercurve bestimmen'!$B$2</f>
        <v>-35</v>
      </c>
      <c r="F100" s="11">
        <f t="shared" si="10"/>
        <v>-33.225735745243767</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-32.916690813824886</v>
      </c>
      <c r="E101" s="11">
        <f>A101-'Mastercurve bestimmen'!$B$2</f>
        <v>-34</v>
      </c>
      <c r="F101" s="11">
        <f t="shared" si="10"/>
        <v>-32.916690813824886</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-32.592400031177917</v>
      </c>
      <c r="E102" s="11">
        <f>A102-'Mastercurve bestimmen'!$B$2</f>
        <v>-33</v>
      </c>
      <c r="F102" s="11">
        <f t="shared" si="10"/>
        <v>-32.592400031177917</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-32.252043445013541</v>
      </c>
      <c r="E103" s="11">
        <f>A103-'Mastercurve bestimmen'!$B$2</f>
        <v>-32</v>
      </c>
      <c r="F103" s="11">
        <f t="shared" si="10"/>
        <v>-32.252043445013541</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-31.894801103042475</v>
      </c>
      <c r="E104" s="11">
        <f>A104-'Mastercurve bestimmen'!$B$2</f>
        <v>-31</v>
      </c>
      <c r="F104" s="11">
        <f t="shared" si="10"/>
        <v>-31.894801103042475</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-31.519853052975407</v>
      </c>
      <c r="E105" s="11">
        <f>A105-'Mastercurve bestimmen'!$B$2</f>
        <v>-30</v>
      </c>
      <c r="F105" s="11">
        <f t="shared" si="10"/>
        <v>-31.519853052975407</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-31.126667810396924</v>
      </c>
      <c r="E106" s="11">
        <f>A106-'Mastercurve bestimmen'!$B$2</f>
        <v>-29</v>
      </c>
      <c r="F106" s="11">
        <f t="shared" si="10"/>
        <v>-31.126667810396924</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-30.715867762387184</v>
      </c>
      <c r="E107" s="11">
        <f>A107-'Mastercurve bestimmen'!$B$2</f>
        <v>-28</v>
      </c>
      <c r="F107" s="11">
        <f t="shared" si="10"/>
        <v>-30.715867762387184</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-30.288363763900247</v>
      </c>
      <c r="E108" s="11">
        <f>A108-'Mastercurve bestimmen'!$B$2</f>
        <v>-27</v>
      </c>
      <c r="F108" s="11">
        <f t="shared" si="10"/>
        <v>-30.288363763900247</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-29.845066669890162</v>
      </c>
      <c r="E109" s="11">
        <f>A109-'Mastercurve bestimmen'!$B$2</f>
        <v>-26</v>
      </c>
      <c r="F109" s="11">
        <f t="shared" si="10"/>
        <v>-29.845066669890162</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-29.386887335310995</v>
      </c>
      <c r="E110" s="11">
        <f>A110-'Mastercurve bestimmen'!$B$2</f>
        <v>-25</v>
      </c>
      <c r="F110" s="11">
        <f t="shared" si="10"/>
        <v>-29.386887335310995</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-28.914736615116791</v>
      </c>
      <c r="E111" s="11">
        <f>A111-'Mastercurve bestimmen'!$B$2</f>
        <v>-24</v>
      </c>
      <c r="F111" s="11">
        <f t="shared" si="10"/>
        <v>-28.914736615116791</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-28.429525364261607</v>
      </c>
      <c r="E112" s="11">
        <f>A112-'Mastercurve bestimmen'!$B$2</f>
        <v>-23</v>
      </c>
      <c r="F112" s="11">
        <f t="shared" si="10"/>
        <v>-28.429525364261607</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-27.932164437699502</v>
      </c>
      <c r="E113" s="11">
        <f>A113-'Mastercurve bestimmen'!$B$2</f>
        <v>-22</v>
      </c>
      <c r="F113" s="11">
        <f t="shared" si="10"/>
        <v>-27.932164437699502</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-27.42356469038452</v>
      </c>
      <c r="E114" s="11">
        <f>A114-'Mastercurve bestimmen'!$B$2</f>
        <v>-21</v>
      </c>
      <c r="F114" s="11">
        <f t="shared" si="10"/>
        <v>-27.42356469038452</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-26.904636977270727</v>
      </c>
      <c r="E115" s="11">
        <f>A115-'Mastercurve bestimmen'!$B$2</f>
        <v>-20</v>
      </c>
      <c r="F115" s="11">
        <f t="shared" si="10"/>
        <v>-26.904636977270727</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-26.376292153312171</v>
      </c>
      <c r="E116" s="11">
        <f>A116-'Mastercurve bestimmen'!$B$2</f>
        <v>-19</v>
      </c>
      <c r="F116" s="11">
        <f t="shared" si="10"/>
        <v>-26.376292153312171</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-25.839441073462908</v>
      </c>
      <c r="E117" s="11">
        <f>A117-'Mastercurve bestimmen'!$B$2</f>
        <v>-18</v>
      </c>
      <c r="F117" s="11">
        <f t="shared" si="10"/>
        <v>-25.839441073462908</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-25.294994592676993</v>
      </c>
      <c r="E118" s="11">
        <f>A118-'Mastercurve bestimmen'!$B$2</f>
        <v>-17</v>
      </c>
      <c r="F118" s="11">
        <f t="shared" si="10"/>
        <v>-25.294994592676993</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-24.743863565908484</v>
      </c>
      <c r="E119" s="11">
        <f>A119-'Mastercurve bestimmen'!$B$2</f>
        <v>-16</v>
      </c>
      <c r="F119" s="11">
        <f t="shared" si="10"/>
        <v>-24.743863565908484</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-24.186958848111431</v>
      </c>
      <c r="E120" s="11">
        <f>A120-'Mastercurve bestimmen'!$B$2</f>
        <v>-15</v>
      </c>
      <c r="F120" s="11">
        <f t="shared" si="10"/>
        <v>-24.186958848111431</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-23.62519129423989</v>
      </c>
      <c r="E121" s="11">
        <f>A121-'Mastercurve bestimmen'!$B$2</f>
        <v>-14</v>
      </c>
      <c r="F121" s="11">
        <f t="shared" si="10"/>
        <v>-23.62519129423989</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-23.059471759247913</v>
      </c>
      <c r="E122" s="11">
        <f>A122-'Mastercurve bestimmen'!$B$2</f>
        <v>-13</v>
      </c>
      <c r="F122" s="11">
        <f t="shared" si="10"/>
        <v>-23.059471759247913</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-22.490711098089562</v>
      </c>
      <c r="E123" s="11">
        <f>A123-'Mastercurve bestimmen'!$B$2</f>
        <v>-12</v>
      </c>
      <c r="F123" s="11">
        <f t="shared" si="10"/>
        <v>-22.490711098089562</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-21.919820165718889</v>
      </c>
      <c r="E124" s="11">
        <f>A124-'Mastercurve bestimmen'!$B$2</f>
        <v>-11</v>
      </c>
      <c r="F124" s="11">
        <f t="shared" si="10"/>
        <v>-21.919820165718889</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-21.347709817089942</v>
      </c>
      <c r="E125" s="11">
        <f>A125-'Mastercurve bestimmen'!$B$2</f>
        <v>-10</v>
      </c>
      <c r="F125" s="11">
        <f t="shared" si="10"/>
        <v>-21.347709817089942</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-20.77529090715678</v>
      </c>
      <c r="E126" s="11">
        <f>A126-'Mastercurve bestimmen'!$B$2</f>
        <v>-9</v>
      </c>
      <c r="F126" s="11">
        <f t="shared" si="10"/>
        <v>-20.77529090715678</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-20.203474290873459</v>
      </c>
      <c r="E127" s="11">
        <f>A127-'Mastercurve bestimmen'!$B$2</f>
        <v>-8</v>
      </c>
      <c r="F127" s="11">
        <f t="shared" si="10"/>
        <v>-20.203474290873459</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-19.633170823194035</v>
      </c>
      <c r="E128" s="11">
        <f>A128-'Mastercurve bestimmen'!$B$2</f>
        <v>-7</v>
      </c>
      <c r="F128" s="11">
        <f t="shared" si="10"/>
        <v>-19.633170823194035</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-19.06529135907256</v>
      </c>
      <c r="E129" s="11">
        <f>A129-'Mastercurve bestimmen'!$B$2</f>
        <v>-6</v>
      </c>
      <c r="F129" s="11">
        <f t="shared" si="10"/>
        <v>-19.06529135907256</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-18.500746753463087</v>
      </c>
      <c r="E130" s="11">
        <f>A130-'Mastercurve bestimmen'!$B$2</f>
        <v>-5</v>
      </c>
      <c r="F130" s="11">
        <f t="shared" si="10"/>
        <v>-18.500746753463087</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-17.940447861319676</v>
      </c>
      <c r="E131" s="11">
        <f>A131-'Mastercurve bestimmen'!$B$2</f>
        <v>-4</v>
      </c>
      <c r="F131" s="11">
        <f t="shared" si="10"/>
        <v>-17.940447861319676</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-17.385305537596373</v>
      </c>
      <c r="E132" s="11">
        <f>A132-'Mastercurve bestimmen'!$B$2</f>
        <v>-3</v>
      </c>
      <c r="F132" s="11">
        <f t="shared" si="10"/>
        <v>-17.385305537596373</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-16.836230637247244</v>
      </c>
      <c r="E133" s="11">
        <f>A133-'Mastercurve bestimmen'!$B$2</f>
        <v>-2</v>
      </c>
      <c r="F133" s="11">
        <f t="shared" si="10"/>
        <v>-16.836230637247244</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-16.294134015226334</v>
      </c>
      <c r="E134" s="11">
        <f>A134-'Mastercurve bestimmen'!$B$2</f>
        <v>-1</v>
      </c>
      <c r="F134" s="11">
        <f t="shared" si="10"/>
        <v>-16.294134015226334</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-15.759926526487703</v>
      </c>
      <c r="E135" s="11">
        <f>A135-'Mastercurve bestimmen'!$B$2</f>
        <v>0</v>
      </c>
      <c r="F135" s="11">
        <f t="shared" si="10"/>
        <v>-15.759926526487703</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-15.234358199038235</v>
      </c>
      <c r="E136" s="11">
        <f>A136-'Mastercurve bestimmen'!$B$2</f>
        <v>1</v>
      </c>
      <c r="F136" s="11">
        <f t="shared" si="10"/>
        <v>-15.234358199038235</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-14.717535753096168</v>
      </c>
      <c r="E137" s="11">
        <f>A137-'Mastercurve bestimmen'!$B$2</f>
        <v>2</v>
      </c>
      <c r="F137" s="11">
        <f t="shared" si="10"/>
        <v>-14.717535753096168</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-14.209405081932562</v>
      </c>
      <c r="E138" s="11">
        <f>A138-'Mastercurve bestimmen'!$B$2</f>
        <v>3</v>
      </c>
      <c r="F138" s="11">
        <f t="shared" si="10"/>
        <v>-14.209405081932562</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-13.709912078818485</v>
      </c>
      <c r="E139" s="11">
        <f>A139-'Mastercurve bestimmen'!$B$2</f>
        <v>4</v>
      </c>
      <c r="F139" s="11">
        <f t="shared" si="10"/>
        <v>-13.709912078818485</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-13.219002637025</v>
      </c>
      <c r="E140" s="11">
        <f>A140-'Mastercurve bestimmen'!$B$2</f>
        <v>5</v>
      </c>
      <c r="F140" s="11">
        <f t="shared" si="10"/>
        <v>-13.219002637025</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-12.736622649823172</v>
      </c>
      <c r="E141" s="11">
        <f>A141-'Mastercurve bestimmen'!$B$2</f>
        <v>6</v>
      </c>
      <c r="F141" s="11">
        <f t="shared" si="10"/>
        <v>-12.736622649823172</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-12.262718010484072</v>
      </c>
      <c r="E142" s="11">
        <f>A142-'Mastercurve bestimmen'!$B$2</f>
        <v>7</v>
      </c>
      <c r="F142" s="11">
        <f t="shared" si="10"/>
        <v>-12.262718010484072</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-11.797234612278755</v>
      </c>
      <c r="E143" s="11">
        <f>A143-'Mastercurve bestimmen'!$B$2</f>
        <v>8</v>
      </c>
      <c r="F143" s="11">
        <f t="shared" si="10"/>
        <v>-11.797234612278755</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-11.340118348478292</v>
      </c>
      <c r="E144" s="11">
        <f>A144-'Mastercurve bestimmen'!$B$2</f>
        <v>9</v>
      </c>
      <c r="F144" s="11">
        <f t="shared" ref="F144:F207" si="15">B144</f>
        <v>-11.340118348478292</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-10.891315112353752</v>
      </c>
      <c r="E145" s="11">
        <f>A145-'Mastercurve bestimmen'!$B$2</f>
        <v>10</v>
      </c>
      <c r="F145" s="11">
        <f t="shared" si="15"/>
        <v>-10.891315112353752</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-10.450770797176192</v>
      </c>
      <c r="E146" s="11">
        <f>A146-'Mastercurve bestimmen'!$B$2</f>
        <v>11</v>
      </c>
      <c r="F146" s="11">
        <f t="shared" si="15"/>
        <v>-10.450770797176192</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-10.018431296216681</v>
      </c>
      <c r="E147" s="11">
        <f>A147-'Mastercurve bestimmen'!$B$2</f>
        <v>12</v>
      </c>
      <c r="F147" s="11">
        <f t="shared" si="15"/>
        <v>-10.018431296216681</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-9.594242502746285</v>
      </c>
      <c r="E148" s="11">
        <f>A148-'Mastercurve bestimmen'!$B$2</f>
        <v>13</v>
      </c>
      <c r="F148" s="11">
        <f t="shared" si="15"/>
        <v>-9.594242502746285</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-9.1781503100360666</v>
      </c>
      <c r="E149" s="11">
        <f>A149-'Mastercurve bestimmen'!$B$2</f>
        <v>14</v>
      </c>
      <c r="F149" s="11">
        <f t="shared" si="15"/>
        <v>-9.1781503100360666</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-8.7701006113570976</v>
      </c>
      <c r="E150" s="11">
        <f>A150-'Mastercurve bestimmen'!$B$2</f>
        <v>15</v>
      </c>
      <c r="F150" s="11">
        <f t="shared" si="15"/>
        <v>-8.7701006113570976</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-8.3700392999804354</v>
      </c>
      <c r="E151" s="11">
        <f>A151-'Mastercurve bestimmen'!$B$2</f>
        <v>16</v>
      </c>
      <c r="F151" s="11">
        <f t="shared" si="15"/>
        <v>-8.3700392999804354</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-7.977912269177148</v>
      </c>
      <c r="E152" s="11">
        <f>A152-'Mastercurve bestimmen'!$B$2</f>
        <v>17</v>
      </c>
      <c r="F152" s="11">
        <f t="shared" si="15"/>
        <v>-7.977912269177148</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-7.5936654122183009</v>
      </c>
      <c r="E153" s="11">
        <f>A153-'Mastercurve bestimmen'!$B$2</f>
        <v>18</v>
      </c>
      <c r="F153" s="11">
        <f t="shared" si="15"/>
        <v>-7.5936654122183009</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-7.2172446223749596</v>
      </c>
      <c r="E154" s="11">
        <f>A154-'Mastercurve bestimmen'!$B$2</f>
        <v>19</v>
      </c>
      <c r="F154" s="11">
        <f t="shared" si="15"/>
        <v>-7.2172446223749596</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-6.8485957929181875</v>
      </c>
      <c r="E155" s="11">
        <f>A155-'Mastercurve bestimmen'!$B$2</f>
        <v>20</v>
      </c>
      <c r="F155" s="11">
        <f t="shared" si="15"/>
        <v>-6.8485957929181875</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-6.4876648171190521</v>
      </c>
      <c r="E156" s="11">
        <f>A156-'Mastercurve bestimmen'!$B$2</f>
        <v>21</v>
      </c>
      <c r="F156" s="11">
        <f t="shared" si="15"/>
        <v>-6.4876648171190521</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-6.1343975882486186</v>
      </c>
      <c r="E157" s="11">
        <f>A157-'Mastercurve bestimmen'!$B$2</f>
        <v>22</v>
      </c>
      <c r="F157" s="11">
        <f t="shared" si="15"/>
        <v>-6.1343975882486186</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-5.7887399995779507</v>
      </c>
      <c r="E158" s="11">
        <f>A158-'Mastercurve bestimmen'!$B$2</f>
        <v>23</v>
      </c>
      <c r="F158" s="11">
        <f t="shared" si="15"/>
        <v>-5.7887399995779507</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-5.4506379443781121</v>
      </c>
      <c r="E159" s="11">
        <f>A159-'Mastercurve bestimmen'!$B$2</f>
        <v>24</v>
      </c>
      <c r="F159" s="11">
        <f t="shared" si="15"/>
        <v>-5.4506379443781121</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-5.1200373159201717</v>
      </c>
      <c r="E160" s="11">
        <f>A160-'Mastercurve bestimmen'!$B$2</f>
        <v>25</v>
      </c>
      <c r="F160" s="11">
        <f t="shared" si="15"/>
        <v>-5.1200373159201717</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-4.7968840074751924</v>
      </c>
      <c r="E161" s="11">
        <f>A161-'Mastercurve bestimmen'!$B$2</f>
        <v>26</v>
      </c>
      <c r="F161" s="11">
        <f t="shared" si="15"/>
        <v>-4.7968840074751924</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-4.4811239123142403</v>
      </c>
      <c r="E162" s="11">
        <f>A162-'Mastercurve bestimmen'!$B$2</f>
        <v>27</v>
      </c>
      <c r="F162" s="11">
        <f t="shared" si="15"/>
        <v>-4.4811239123142403</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-4.1727029237083801</v>
      </c>
      <c r="E163" s="11">
        <f>A163-'Mastercurve bestimmen'!$B$2</f>
        <v>28</v>
      </c>
      <c r="F163" s="11">
        <f t="shared" si="15"/>
        <v>-4.1727029237083801</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-3.8715669349286768</v>
      </c>
      <c r="E164" s="11">
        <f>A164-'Mastercurve bestimmen'!$B$2</f>
        <v>29</v>
      </c>
      <c r="F164" s="11">
        <f t="shared" si="15"/>
        <v>-3.8715669349286768</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-3.577661839246197</v>
      </c>
      <c r="E165" s="11">
        <f>A165-'Mastercurve bestimmen'!$B$2</f>
        <v>30</v>
      </c>
      <c r="F165" s="11">
        <f t="shared" si="15"/>
        <v>-3.577661839246197</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-3.2909335299320035</v>
      </c>
      <c r="E166" s="11">
        <f>A166-'Mastercurve bestimmen'!$B$2</f>
        <v>31</v>
      </c>
      <c r="F166" s="11">
        <f t="shared" si="15"/>
        <v>-3.2909335299320035</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-3.0113279002571627</v>
      </c>
      <c r="E167" s="11">
        <f>A167-'Mastercurve bestimmen'!$B$2</f>
        <v>32</v>
      </c>
      <c r="F167" s="11">
        <f t="shared" si="15"/>
        <v>-3.0113279002571627</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-2.7387908434927408</v>
      </c>
      <c r="E168" s="11">
        <f>A168-'Mastercurve bestimmen'!$B$2</f>
        <v>33</v>
      </c>
      <c r="F168" s="11">
        <f t="shared" si="15"/>
        <v>-2.7387908434927408</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-2.4732682529098016</v>
      </c>
      <c r="E169" s="11">
        <f>A169-'Mastercurve bestimmen'!$B$2</f>
        <v>34</v>
      </c>
      <c r="F169" s="11">
        <f t="shared" si="15"/>
        <v>-2.4732682529098016</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-2.2147060217794103</v>
      </c>
      <c r="E170" s="11">
        <f>A170-'Mastercurve bestimmen'!$B$2</f>
        <v>35</v>
      </c>
      <c r="F170" s="11">
        <f t="shared" si="15"/>
        <v>-2.2147060217794103</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-1.963050043372633</v>
      </c>
      <c r="E171" s="11">
        <f>A171-'Mastercurve bestimmen'!$B$2</f>
        <v>36</v>
      </c>
      <c r="F171" s="11">
        <f t="shared" si="15"/>
        <v>-1.963050043372633</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-1.7182462109605345</v>
      </c>
      <c r="E172" s="11">
        <f>A172-'Mastercurve bestimmen'!$B$2</f>
        <v>37</v>
      </c>
      <c r="F172" s="11">
        <f t="shared" si="15"/>
        <v>-1.7182462109605345</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-1.4802404178141799</v>
      </c>
      <c r="E173" s="11">
        <f>A173-'Mastercurve bestimmen'!$B$2</f>
        <v>38</v>
      </c>
      <c r="F173" s="11">
        <f t="shared" si="15"/>
        <v>-1.4802404178141799</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-1.2489785572046341</v>
      </c>
      <c r="E174" s="11">
        <f>A174-'Mastercurve bestimmen'!$B$2</f>
        <v>39</v>
      </c>
      <c r="F174" s="11">
        <f t="shared" si="15"/>
        <v>-1.2489785572046341</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-1.0244065224029626</v>
      </c>
      <c r="E175" s="11">
        <f>A175-'Mastercurve bestimmen'!$B$2</f>
        <v>40</v>
      </c>
      <c r="F175" s="11">
        <f t="shared" si="15"/>
        <v>-1.0244065224029626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-0.80647020668023028</v>
      </c>
      <c r="E176" s="11">
        <f>A176-'Mastercurve bestimmen'!$B$2</f>
        <v>41</v>
      </c>
      <c r="F176" s="11">
        <f t="shared" si="15"/>
        <v>-0.80647020668023028</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-0.59511550330750262</v>
      </c>
      <c r="E177" s="11">
        <f>A177-'Mastercurve bestimmen'!$B$2</f>
        <v>42</v>
      </c>
      <c r="F177" s="11">
        <f t="shared" si="15"/>
        <v>-0.59511550330750262</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-0.39028830555584504</v>
      </c>
      <c r="E178" s="11">
        <f>A178-'Mastercurve bestimmen'!$B$2</f>
        <v>43</v>
      </c>
      <c r="F178" s="11">
        <f t="shared" si="15"/>
        <v>-0.39028830555584504</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-0.19193450669632295</v>
      </c>
      <c r="E179" s="11">
        <f>A179-'Mastercurve bestimmen'!$B$2</f>
        <v>44</v>
      </c>
      <c r="F179" s="11">
        <f t="shared" si="15"/>
        <v>-0.19193450669632295</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0</v>
      </c>
      <c r="E180" s="11">
        <f>A180-'Mastercurve bestimmen'!$B$2</f>
        <v>45</v>
      </c>
      <c r="F180" s="11">
        <f t="shared" si="15"/>
        <v>0</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0.1855906138807312</v>
      </c>
      <c r="E181" s="11">
        <f>A181-'Mastercurve bestimmen'!$B$2</f>
        <v>46</v>
      </c>
      <c r="F181" s="11">
        <f t="shared" si="15"/>
        <v>0.1855906138807312</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0.36499790476817601</v>
      </c>
      <c r="E182" s="11">
        <f>A182-'Mastercurve bestimmen'!$B$2</f>
        <v>47</v>
      </c>
      <c r="F182" s="11">
        <f t="shared" si="15"/>
        <v>0.36499790476817601</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0.53840373510331363</v>
      </c>
      <c r="E183" s="11">
        <f>A183-'Mastercurve bestimmen'!$B$2</f>
        <v>48</v>
      </c>
      <c r="F183" s="11">
        <f t="shared" si="15"/>
        <v>0.53840373510331363</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0.70598996732712282</v>
      </c>
      <c r="E184" s="11">
        <f>A184-'Mastercurve bestimmen'!$B$2</f>
        <v>49</v>
      </c>
      <c r="F184" s="11">
        <f t="shared" si="15"/>
        <v>0.70598996732712282</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0.8679384638805826</v>
      </c>
      <c r="E185" s="11">
        <f>A185-'Mastercurve bestimmen'!$B$2</f>
        <v>50</v>
      </c>
      <c r="F185" s="11">
        <f t="shared" si="15"/>
        <v>0.8679384638805826</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1.0244310872046722</v>
      </c>
      <c r="E186" s="11">
        <f>A186-'Mastercurve bestimmen'!$B$2</f>
        <v>51</v>
      </c>
      <c r="F186" s="11">
        <f t="shared" si="15"/>
        <v>1.0244310872046722</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1.1756496997403705</v>
      </c>
      <c r="E187" s="11">
        <f>A187-'Mastercurve bestimmen'!$B$2</f>
        <v>52</v>
      </c>
      <c r="F187" s="11">
        <f t="shared" si="15"/>
        <v>1.1756496997403705</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1.3217761639286563</v>
      </c>
      <c r="E188" s="11">
        <f>A188-'Mastercurve bestimmen'!$B$2</f>
        <v>53</v>
      </c>
      <c r="F188" s="11">
        <f t="shared" si="15"/>
        <v>1.3217761639286563</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1.4629923422105091</v>
      </c>
      <c r="E189" s="11">
        <f>A189-'Mastercurve bestimmen'!$B$2</f>
        <v>54</v>
      </c>
      <c r="F189" s="11">
        <f t="shared" si="15"/>
        <v>1.4629923422105091</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1.5994800970269076</v>
      </c>
      <c r="E190" s="11">
        <f>A190-'Mastercurve bestimmen'!$B$2</f>
        <v>55</v>
      </c>
      <c r="F190" s="11">
        <f t="shared" si="15"/>
        <v>1.5994800970269076</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1.7314212908188309</v>
      </c>
      <c r="E191" s="11">
        <f>A191-'Mastercurve bestimmen'!$B$2</f>
        <v>56</v>
      </c>
      <c r="F191" s="11">
        <f t="shared" si="15"/>
        <v>1.7314212908188309</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1.8589977860272577</v>
      </c>
      <c r="E192" s="11">
        <f>A192-'Mastercurve bestimmen'!$B$2</f>
        <v>57</v>
      </c>
      <c r="F192" s="11">
        <f t="shared" si="15"/>
        <v>1.8589977860272577</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1.9823914450931674</v>
      </c>
      <c r="E193" s="11">
        <f>A193-'Mastercurve bestimmen'!$B$2</f>
        <v>58</v>
      </c>
      <c r="F193" s="11">
        <f t="shared" si="15"/>
        <v>1.9823914450931674</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2.1017841304575389</v>
      </c>
      <c r="E194" s="11">
        <f>A194-'Mastercurve bestimmen'!$B$2</f>
        <v>59</v>
      </c>
      <c r="F194" s="11">
        <f t="shared" si="15"/>
        <v>2.1017841304575389</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2.2173577045613508</v>
      </c>
      <c r="E195" s="11">
        <f>A195-'Mastercurve bestimmen'!$B$2</f>
        <v>60</v>
      </c>
      <c r="F195" s="11">
        <f t="shared" si="15"/>
        <v>2.2173577045613508</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2.3292940298455829</v>
      </c>
      <c r="E196" s="11">
        <f>A196-'Mastercurve bestimmen'!$B$2</f>
        <v>61</v>
      </c>
      <c r="F196" s="11">
        <f t="shared" si="15"/>
        <v>2.3292940298455829</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2.437774968751214</v>
      </c>
      <c r="E197" s="11">
        <f>A197-'Mastercurve bestimmen'!$B$2</f>
        <v>62</v>
      </c>
      <c r="F197" s="11">
        <f t="shared" si="15"/>
        <v>2.437774968751214</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2.5429823837192229</v>
      </c>
      <c r="E198" s="11">
        <f>A198-'Mastercurve bestimmen'!$B$2</f>
        <v>63</v>
      </c>
      <c r="F198" s="11">
        <f t="shared" si="15"/>
        <v>2.5429823837192229</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2.6450981371905882</v>
      </c>
      <c r="E199" s="11">
        <f>A199-'Mastercurve bestimmen'!$B$2</f>
        <v>64</v>
      </c>
      <c r="F199" s="11">
        <f t="shared" si="15"/>
        <v>2.6450981371905882</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2.7443040916062893</v>
      </c>
      <c r="E200" s="11">
        <f>A200-'Mastercurve bestimmen'!$B$2</f>
        <v>65</v>
      </c>
      <c r="F200" s="11">
        <f t="shared" si="15"/>
        <v>2.7443040916062893</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2.8407821094073058</v>
      </c>
      <c r="E201" s="11">
        <f>A201-'Mastercurve bestimmen'!$B$2</f>
        <v>66</v>
      </c>
      <c r="F201" s="11">
        <f t="shared" si="15"/>
        <v>2.8407821094073058</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2.9347140530346154</v>
      </c>
      <c r="E202" s="11">
        <f>A202-'Mastercurve bestimmen'!$B$2</f>
        <v>67</v>
      </c>
      <c r="F202" s="11">
        <f t="shared" si="15"/>
        <v>2.9347140530346154</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3.0262817849291981</v>
      </c>
      <c r="E203" s="11">
        <f>A203-'Mastercurve bestimmen'!$B$2</f>
        <v>68</v>
      </c>
      <c r="F203" s="11">
        <f t="shared" si="15"/>
        <v>3.0262817849291981</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3.1156671675320333</v>
      </c>
      <c r="E204" s="11">
        <f>A204-'Mastercurve bestimmen'!$B$2</f>
        <v>69</v>
      </c>
      <c r="F204" s="11">
        <f t="shared" si="15"/>
        <v>3.1156671675320333</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3.2030520632840989</v>
      </c>
      <c r="E205" s="11">
        <f>A205-'Mastercurve bestimmen'!$B$2</f>
        <v>70</v>
      </c>
      <c r="F205" s="11">
        <f t="shared" si="15"/>
        <v>3.2030520632840989</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3.2886183346263742</v>
      </c>
      <c r="E206" s="11">
        <f>A206-'Mastercurve bestimmen'!$B$2</f>
        <v>71</v>
      </c>
      <c r="F206" s="11">
        <f t="shared" si="15"/>
        <v>3.2886183346263742</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3.3725478439998384</v>
      </c>
      <c r="E207" s="11">
        <f>A207-'Mastercurve bestimmen'!$B$2</f>
        <v>72</v>
      </c>
      <c r="F207" s="11">
        <f t="shared" si="15"/>
        <v>3.3725478439998384</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3.455022453845471</v>
      </c>
      <c r="E208" s="11">
        <f>A208-'Mastercurve bestimmen'!$B$2</f>
        <v>73</v>
      </c>
      <c r="F208" s="11">
        <f t="shared" ref="F208:F215" si="21">B208</f>
        <v>3.455022453845471</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3.5362240266042502</v>
      </c>
      <c r="E209" s="11">
        <f>A209-'Mastercurve bestimmen'!$B$2</f>
        <v>74</v>
      </c>
      <c r="F209" s="11">
        <f t="shared" si="21"/>
        <v>3.5362240266042502</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3.6163344247171554</v>
      </c>
      <c r="E210" s="11">
        <f>A210-'Mastercurve bestimmen'!$B$2</f>
        <v>75</v>
      </c>
      <c r="F210" s="11">
        <f t="shared" si="21"/>
        <v>3.6163344247171554</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3.6955355106251657</v>
      </c>
      <c r="E211" s="11">
        <f>A211-'Mastercurve bestimmen'!$B$2</f>
        <v>76</v>
      </c>
      <c r="F211" s="11">
        <f t="shared" si="21"/>
        <v>3.6955355106251657</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3.7740091467692598</v>
      </c>
      <c r="E212" s="11">
        <f>A212-'Mastercurve bestimmen'!$B$2</f>
        <v>77</v>
      </c>
      <c r="F212" s="11">
        <f t="shared" si="21"/>
        <v>3.7740091467692598</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3.8519371955904167</v>
      </c>
      <c r="E213" s="11">
        <f>A213-'Mastercurve bestimmen'!$B$2</f>
        <v>78</v>
      </c>
      <c r="F213" s="11">
        <f t="shared" si="21"/>
        <v>3.8519371955904167</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3.9295015195296163</v>
      </c>
      <c r="E214" s="11">
        <f>A214-'Mastercurve bestimmen'!$B$2</f>
        <v>79</v>
      </c>
      <c r="F214" s="11">
        <f t="shared" si="21"/>
        <v>3.9295015195296163</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4.0068839810278361</v>
      </c>
      <c r="E215" s="11">
        <f>A215-'Mastercurve bestimmen'!$B$2</f>
        <v>80</v>
      </c>
      <c r="F215" s="11">
        <f t="shared" si="21"/>
        <v>4.0068839810278361</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0.59739868758354531</v>
      </c>
      <c r="J217" s="98">
        <v>-2.0812024934506054E-2</v>
      </c>
      <c r="K217" s="98">
        <v>-2.1071982851047954E-4</v>
      </c>
      <c r="L217" s="98">
        <v>5.919587130831067E-6</v>
      </c>
      <c r="M217" s="98">
        <v>6.1042098919939253E-8</v>
      </c>
      <c r="N217" s="98">
        <v>-4.1178154162140483E-10</v>
      </c>
      <c r="O217" s="98">
        <v>-5.8258702284117547E-12</v>
      </c>
      <c r="P217" s="98">
        <v>-1.3979192011894637E-14</v>
      </c>
    </row>
    <row r="218" spans="1:16" x14ac:dyDescent="0.25">
      <c r="G218" s="11"/>
      <c r="H218" s="11">
        <v>0</v>
      </c>
      <c r="I218" s="11">
        <v>6.7852862953570431E-2</v>
      </c>
      <c r="J218" s="11">
        <v>1.2638644022739548E-3</v>
      </c>
      <c r="K218" s="3">
        <v>6.4216436894221359E-5</v>
      </c>
      <c r="L218" s="3">
        <v>5.8470975905745311E-7</v>
      </c>
      <c r="M218" s="3">
        <v>1.8359995919704224E-8</v>
      </c>
      <c r="N218" s="3">
        <v>1.0089010687788131E-10</v>
      </c>
      <c r="O218" s="11">
        <v>1.6223716745910069E-12</v>
      </c>
      <c r="P218" s="11">
        <v>9.8656203715031377E-15</v>
      </c>
    </row>
    <row r="219" spans="1:16" x14ac:dyDescent="0.25">
      <c r="G219" s="11"/>
      <c r="H219" s="11">
        <v>0.94437617422085429</v>
      </c>
      <c r="I219" s="11">
        <v>7.0196999920245897</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-41.832435497904271</v>
      </c>
      <c r="G222">
        <f>F15</f>
        <v>-45.801625734711926</v>
      </c>
    </row>
    <row r="223" spans="1:16" x14ac:dyDescent="0.25">
      <c r="E223" s="11">
        <f t="shared" ref="E223:E286" si="25">E16</f>
        <v>-119</v>
      </c>
      <c r="F223" s="11">
        <f t="shared" ref="F223:F286" si="26">$H$217*0+E223*$I$217+E223^2*$J$217+E223^3*$K$217+E223^4*$L$217+E223^5*$M$217+E223^6*$N$217+E223^7*$O$217+E223^8*$P$217</f>
        <v>-43.088430589755035</v>
      </c>
      <c r="G223" s="11">
        <f t="shared" ref="G223:G286" si="27">F16</f>
        <v>-45.738092888466561</v>
      </c>
    </row>
    <row r="224" spans="1:16" x14ac:dyDescent="0.25">
      <c r="E224" s="11">
        <f t="shared" si="25"/>
        <v>-118</v>
      </c>
      <c r="F224" s="11">
        <f t="shared" si="26"/>
        <v>-44.148184386803109</v>
      </c>
      <c r="G224" s="11">
        <f t="shared" si="27"/>
        <v>-45.67441338219669</v>
      </c>
    </row>
    <row r="225" spans="5:7" x14ac:dyDescent="0.25">
      <c r="E225" s="11">
        <f t="shared" si="25"/>
        <v>-117</v>
      </c>
      <c r="F225" s="11">
        <f t="shared" si="26"/>
        <v>-45.027632623472414</v>
      </c>
      <c r="G225" s="11">
        <f t="shared" si="27"/>
        <v>-45.610440555877801</v>
      </c>
    </row>
    <row r="226" spans="5:7" x14ac:dyDescent="0.25">
      <c r="E226" s="11">
        <f t="shared" si="25"/>
        <v>-116</v>
      </c>
      <c r="F226" s="11">
        <f t="shared" si="26"/>
        <v>-45.742010230020526</v>
      </c>
      <c r="G226" s="11">
        <f t="shared" si="27"/>
        <v>-45.54602774948539</v>
      </c>
    </row>
    <row r="227" spans="5:7" x14ac:dyDescent="0.25">
      <c r="E227" s="11">
        <f t="shared" si="25"/>
        <v>-115</v>
      </c>
      <c r="F227" s="11">
        <f t="shared" si="26"/>
        <v>-46.305859462334524</v>
      </c>
      <c r="G227" s="11">
        <f t="shared" si="27"/>
        <v>-45.481028302994957</v>
      </c>
    </row>
    <row r="228" spans="5:7" x14ac:dyDescent="0.25">
      <c r="E228" s="11">
        <f t="shared" si="25"/>
        <v>-114</v>
      </c>
      <c r="F228" s="11">
        <f t="shared" si="26"/>
        <v>-46.73303875079597</v>
      </c>
      <c r="G228" s="11">
        <f t="shared" si="27"/>
        <v>-45.415295556381992</v>
      </c>
    </row>
    <row r="229" spans="5:7" x14ac:dyDescent="0.25">
      <c r="E229" s="11">
        <f t="shared" si="25"/>
        <v>-113</v>
      </c>
      <c r="F229" s="11">
        <f t="shared" si="26"/>
        <v>-47.036732231901794</v>
      </c>
      <c r="G229" s="11">
        <f t="shared" si="27"/>
        <v>-45.34868284962198</v>
      </c>
    </row>
    <row r="230" spans="5:7" x14ac:dyDescent="0.25">
      <c r="E230" s="11">
        <f t="shared" si="25"/>
        <v>-112</v>
      </c>
      <c r="F230" s="11">
        <f t="shared" si="26"/>
        <v>-47.229459926919958</v>
      </c>
      <c r="G230" s="11">
        <f t="shared" si="27"/>
        <v>-45.281043522690418</v>
      </c>
    </row>
    <row r="231" spans="5:7" x14ac:dyDescent="0.25">
      <c r="E231" s="11">
        <f t="shared" si="25"/>
        <v>-111</v>
      </c>
      <c r="F231" s="11">
        <f t="shared" si="26"/>
        <v>-47.323088532388454</v>
      </c>
      <c r="G231" s="11">
        <f t="shared" si="27"/>
        <v>-45.212230915562813</v>
      </c>
    </row>
    <row r="232" spans="5:7" x14ac:dyDescent="0.25">
      <c r="E232" s="11">
        <f t="shared" si="25"/>
        <v>-110</v>
      </c>
      <c r="F232" s="11">
        <f t="shared" si="26"/>
        <v>-47.328842787857582</v>
      </c>
      <c r="G232" s="11">
        <f t="shared" si="27"/>
        <v>-45.14209836821464</v>
      </c>
    </row>
    <row r="233" spans="5:7" x14ac:dyDescent="0.25">
      <c r="E233" s="11">
        <f t="shared" si="25"/>
        <v>-109</v>
      </c>
      <c r="F233" s="11">
        <f t="shared" si="26"/>
        <v>-47.25731738682731</v>
      </c>
      <c r="G233" s="11">
        <f t="shared" si="27"/>
        <v>-45.0704992206214</v>
      </c>
    </row>
    <row r="234" spans="5:7" x14ac:dyDescent="0.25">
      <c r="E234" s="11">
        <f t="shared" si="25"/>
        <v>-108</v>
      </c>
      <c r="F234" s="11">
        <f t="shared" si="26"/>
        <v>-47.118489397388771</v>
      </c>
      <c r="G234" s="11">
        <f t="shared" si="27"/>
        <v>-44.997286812758588</v>
      </c>
    </row>
    <row r="235" spans="5:7" x14ac:dyDescent="0.25">
      <c r="E235" s="11">
        <f t="shared" si="25"/>
        <v>-107</v>
      </c>
      <c r="F235" s="11">
        <f t="shared" si="26"/>
        <v>-46.921731159658947</v>
      </c>
      <c r="G235" s="11">
        <f t="shared" si="27"/>
        <v>-44.922314484601692</v>
      </c>
    </row>
    <row r="236" spans="5:7" x14ac:dyDescent="0.25">
      <c r="E236" s="11">
        <f t="shared" si="25"/>
        <v>-106</v>
      </c>
      <c r="F236" s="11">
        <f t="shared" si="26"/>
        <v>-46.675823627648441</v>
      </c>
      <c r="G236" s="11">
        <f t="shared" si="27"/>
        <v>-44.845435576126206</v>
      </c>
    </row>
    <row r="237" spans="5:7" x14ac:dyDescent="0.25">
      <c r="E237" s="11">
        <f t="shared" si="25"/>
        <v>-105</v>
      </c>
      <c r="F237" s="11">
        <f t="shared" si="26"/>
        <v>-46.388970123766171</v>
      </c>
      <c r="G237" s="11">
        <f t="shared" si="27"/>
        <v>-44.766503427307626</v>
      </c>
    </row>
    <row r="238" spans="5:7" x14ac:dyDescent="0.25">
      <c r="E238" s="11">
        <f t="shared" si="25"/>
        <v>-104</v>
      </c>
      <c r="F238" s="11">
        <f t="shared" si="26"/>
        <v>-46.068810474740872</v>
      </c>
      <c r="G238" s="11">
        <f t="shared" si="27"/>
        <v>-44.685371378121459</v>
      </c>
    </row>
    <row r="239" spans="5:7" x14ac:dyDescent="0.25">
      <c r="E239" s="11">
        <f t="shared" si="25"/>
        <v>-103</v>
      </c>
      <c r="F239" s="11">
        <f t="shared" si="26"/>
        <v>-45.72243549828201</v>
      </c>
      <c r="G239" s="11">
        <f t="shared" si="27"/>
        <v>-44.601892768543166</v>
      </c>
    </row>
    <row r="240" spans="5:7" x14ac:dyDescent="0.25">
      <c r="E240" s="11">
        <f t="shared" si="25"/>
        <v>-102</v>
      </c>
      <c r="F240" s="11">
        <f t="shared" si="26"/>
        <v>-45.356401810391645</v>
      </c>
      <c r="G240" s="11">
        <f t="shared" si="27"/>
        <v>-44.515920938548263</v>
      </c>
    </row>
    <row r="241" spans="5:7" x14ac:dyDescent="0.25">
      <c r="E241" s="11">
        <f t="shared" si="25"/>
        <v>-101</v>
      </c>
      <c r="F241" s="11">
        <f t="shared" si="26"/>
        <v>-44.976746923776801</v>
      </c>
      <c r="G241" s="11">
        <f t="shared" si="27"/>
        <v>-44.427309228112236</v>
      </c>
    </row>
    <row r="242" spans="5:7" x14ac:dyDescent="0.25">
      <c r="E242" s="11">
        <f t="shared" si="25"/>
        <v>-100</v>
      </c>
      <c r="F242" s="11">
        <f t="shared" si="26"/>
        <v>-44.589004608397119</v>
      </c>
      <c r="G242" s="11">
        <f t="shared" si="27"/>
        <v>-44.335910977210588</v>
      </c>
    </row>
    <row r="243" spans="5:7" x14ac:dyDescent="0.25">
      <c r="E243" s="11">
        <f t="shared" si="25"/>
        <v>-99</v>
      </c>
      <c r="F243" s="11">
        <f t="shared" si="26"/>
        <v>-44.198220485731468</v>
      </c>
      <c r="G243" s="11">
        <f t="shared" si="27"/>
        <v>-44.2415795258188</v>
      </c>
    </row>
    <row r="244" spans="5:7" x14ac:dyDescent="0.25">
      <c r="E244" s="11">
        <f t="shared" si="25"/>
        <v>-98</v>
      </c>
      <c r="F244" s="11">
        <f t="shared" si="26"/>
        <v>-43.808967828919762</v>
      </c>
      <c r="G244" s="11">
        <f t="shared" si="27"/>
        <v>-44.144168213912366</v>
      </c>
    </row>
    <row r="245" spans="5:7" x14ac:dyDescent="0.25">
      <c r="E245" s="11">
        <f t="shared" si="25"/>
        <v>-97</v>
      </c>
      <c r="F245" s="11">
        <f t="shared" si="26"/>
        <v>-43.425363541492771</v>
      </c>
      <c r="G245" s="11">
        <f t="shared" si="27"/>
        <v>-44.043530381466795</v>
      </c>
    </row>
    <row r="246" spans="5:7" x14ac:dyDescent="0.25">
      <c r="E246" s="11">
        <f t="shared" si="25"/>
        <v>-96</v>
      </c>
      <c r="F246" s="11">
        <f t="shared" si="26"/>
        <v>-43.051084287974348</v>
      </c>
      <c r="G246" s="11">
        <f t="shared" si="27"/>
        <v>-43.939519368457553</v>
      </c>
    </row>
    <row r="247" spans="5:7" x14ac:dyDescent="0.25">
      <c r="E247" s="11">
        <f t="shared" si="25"/>
        <v>-95</v>
      </c>
      <c r="F247" s="11">
        <f t="shared" si="26"/>
        <v>-42.689382750196685</v>
      </c>
      <c r="G247" s="11">
        <f t="shared" si="27"/>
        <v>-43.831988514860157</v>
      </c>
    </row>
    <row r="248" spans="5:7" x14ac:dyDescent="0.25">
      <c r="E248" s="11">
        <f t="shared" si="25"/>
        <v>-94</v>
      </c>
      <c r="F248" s="11">
        <f t="shared" si="26"/>
        <v>-42.343103983736228</v>
      </c>
      <c r="G248" s="11">
        <f t="shared" si="27"/>
        <v>-43.720791160650094</v>
      </c>
    </row>
    <row r="249" spans="5:7" x14ac:dyDescent="0.25">
      <c r="E249" s="11">
        <f t="shared" si="25"/>
        <v>-93</v>
      </c>
      <c r="F249" s="11">
        <f t="shared" si="26"/>
        <v>-42.014701849443782</v>
      </c>
      <c r="G249" s="11">
        <f t="shared" si="27"/>
        <v>-43.605780645802852</v>
      </c>
    </row>
    <row r="250" spans="5:7" x14ac:dyDescent="0.25">
      <c r="E250" s="11">
        <f t="shared" si="25"/>
        <v>-92</v>
      </c>
      <c r="F250" s="11">
        <f t="shared" si="26"/>
        <v>-41.70625549559972</v>
      </c>
      <c r="G250" s="11">
        <f t="shared" si="27"/>
        <v>-43.486810310293926</v>
      </c>
    </row>
    <row r="251" spans="5:7" x14ac:dyDescent="0.25">
      <c r="E251" s="11">
        <f t="shared" si="25"/>
        <v>-91</v>
      </c>
      <c r="F251" s="11">
        <f t="shared" si="26"/>
        <v>-41.419485866795966</v>
      </c>
      <c r="G251" s="11">
        <f t="shared" si="27"/>
        <v>-43.36373349409881</v>
      </c>
    </row>
    <row r="252" spans="5:7" x14ac:dyDescent="0.25">
      <c r="E252" s="11">
        <f t="shared" si="25"/>
        <v>-90</v>
      </c>
      <c r="F252" s="11">
        <f t="shared" si="26"/>
        <v>-41.155772216204781</v>
      </c>
      <c r="G252" s="11">
        <f t="shared" si="27"/>
        <v>-43.236403537192999</v>
      </c>
    </row>
    <row r="253" spans="5:7" x14ac:dyDescent="0.25">
      <c r="E253" s="11">
        <f t="shared" si="25"/>
        <v>-89</v>
      </c>
      <c r="F253" s="11">
        <f t="shared" si="26"/>
        <v>-40.916168598460374</v>
      </c>
      <c r="G253" s="11">
        <f t="shared" si="27"/>
        <v>-43.104673779551987</v>
      </c>
    </row>
    <row r="254" spans="5:7" x14ac:dyDescent="0.25">
      <c r="E254" s="11">
        <f t="shared" si="25"/>
        <v>-88</v>
      </c>
      <c r="F254" s="11">
        <f t="shared" si="26"/>
        <v>-40.70142032094293</v>
      </c>
      <c r="G254" s="11">
        <f t="shared" si="27"/>
        <v>-42.968397561151264</v>
      </c>
    </row>
    <row r="255" spans="5:7" x14ac:dyDescent="0.25">
      <c r="E255" s="11">
        <f t="shared" si="25"/>
        <v>-87</v>
      </c>
      <c r="F255" s="11">
        <f t="shared" si="26"/>
        <v>-40.511980331817234</v>
      </c>
      <c r="G255" s="11">
        <f t="shared" si="27"/>
        <v>-42.827428221966329</v>
      </c>
    </row>
    <row r="256" spans="5:7" x14ac:dyDescent="0.25">
      <c r="E256" s="11">
        <f t="shared" si="25"/>
        <v>-86</v>
      </c>
      <c r="F256" s="11">
        <f t="shared" si="26"/>
        <v>-40.348025523743523</v>
      </c>
      <c r="G256" s="11">
        <f t="shared" si="27"/>
        <v>-42.681619101972665</v>
      </c>
    </row>
    <row r="257" spans="5:7" x14ac:dyDescent="0.25">
      <c r="E257" s="11">
        <f t="shared" si="25"/>
        <v>-85</v>
      </c>
      <c r="F257" s="11">
        <f t="shared" si="26"/>
        <v>-40.209472932739359</v>
      </c>
      <c r="G257" s="11">
        <f t="shared" si="27"/>
        <v>-42.530823541145764</v>
      </c>
    </row>
    <row r="258" spans="5:7" x14ac:dyDescent="0.25">
      <c r="E258" s="11">
        <f t="shared" si="25"/>
        <v>-84</v>
      </c>
      <c r="F258" s="11">
        <f t="shared" si="26"/>
        <v>-40.095995812237376</v>
      </c>
      <c r="G258" s="11">
        <f t="shared" si="27"/>
        <v>-42.374894879461138</v>
      </c>
    </row>
    <row r="259" spans="5:7" x14ac:dyDescent="0.25">
      <c r="E259" s="11">
        <f t="shared" si="25"/>
        <v>-83</v>
      </c>
      <c r="F259" s="11">
        <f t="shared" si="26"/>
        <v>-40.007039562945906</v>
      </c>
      <c r="G259" s="11">
        <f t="shared" si="27"/>
        <v>-42.213686456894266</v>
      </c>
    </row>
    <row r="260" spans="5:7" x14ac:dyDescent="0.25">
      <c r="E260" s="11">
        <f t="shared" si="25"/>
        <v>-82</v>
      </c>
      <c r="F260" s="11">
        <f t="shared" si="26"/>
        <v>-39.941837499683345</v>
      </c>
      <c r="G260" s="11">
        <f t="shared" si="27"/>
        <v>-42.047051613420642</v>
      </c>
    </row>
    <row r="261" spans="5:7" x14ac:dyDescent="0.25">
      <c r="E261" s="11">
        <f t="shared" si="25"/>
        <v>-81</v>
      </c>
      <c r="F261" s="11">
        <f t="shared" si="26"/>
        <v>-39.89942643692153</v>
      </c>
      <c r="G261" s="11">
        <f t="shared" si="27"/>
        <v>-41.874843689015755</v>
      </c>
    </row>
    <row r="262" spans="5:7" x14ac:dyDescent="0.25">
      <c r="E262" s="11">
        <f t="shared" si="25"/>
        <v>-80</v>
      </c>
      <c r="F262" s="11">
        <f t="shared" si="26"/>
        <v>-39.878662075336223</v>
      </c>
      <c r="G262" s="11">
        <f t="shared" si="27"/>
        <v>-41.696916023655113</v>
      </c>
    </row>
    <row r="263" spans="5:7" x14ac:dyDescent="0.25">
      <c r="E263" s="11">
        <f t="shared" si="25"/>
        <v>-79</v>
      </c>
      <c r="F263" s="11">
        <f t="shared" si="26"/>
        <v>-39.878234172226627</v>
      </c>
      <c r="G263" s="11">
        <f t="shared" si="27"/>
        <v>-41.565532961159505</v>
      </c>
    </row>
    <row r="264" spans="5:7" x14ac:dyDescent="0.25">
      <c r="E264" s="11">
        <f t="shared" si="25"/>
        <v>-78</v>
      </c>
      <c r="F264" s="11">
        <f t="shared" si="26"/>
        <v>-39.896681479229173</v>
      </c>
      <c r="G264" s="11">
        <f t="shared" si="27"/>
        <v>-41.428597079596727</v>
      </c>
    </row>
    <row r="265" spans="5:7" x14ac:dyDescent="0.25">
      <c r="E265" s="11">
        <f t="shared" si="25"/>
        <v>-77</v>
      </c>
      <c r="F265" s="11">
        <f t="shared" si="26"/>
        <v>-39.932406431316366</v>
      </c>
      <c r="G265" s="11">
        <f t="shared" si="27"/>
        <v>-41.286421960879899</v>
      </c>
    </row>
    <row r="266" spans="5:7" x14ac:dyDescent="0.25">
      <c r="E266" s="11">
        <f t="shared" si="25"/>
        <v>-76</v>
      </c>
      <c r="F266" s="11">
        <f t="shared" si="26"/>
        <v>-39.983689571631317</v>
      </c>
      <c r="G266" s="11">
        <f t="shared" si="27"/>
        <v>-41.139321186922089</v>
      </c>
    </row>
    <row r="267" spans="5:7" x14ac:dyDescent="0.25">
      <c r="E267" s="11">
        <f t="shared" si="25"/>
        <v>-75</v>
      </c>
      <c r="F267" s="11">
        <f t="shared" si="26"/>
        <v>-40.048703697276892</v>
      </c>
      <c r="G267" s="11">
        <f t="shared" si="27"/>
        <v>-40.987608339636431</v>
      </c>
    </row>
    <row r="268" spans="5:7" x14ac:dyDescent="0.25">
      <c r="E268" s="11">
        <f t="shared" si="25"/>
        <v>-74</v>
      </c>
      <c r="F268" s="11">
        <f t="shared" si="26"/>
        <v>-40.125527711737732</v>
      </c>
      <c r="G268" s="11">
        <f t="shared" si="27"/>
        <v>-40.831597000936014</v>
      </c>
    </row>
    <row r="269" spans="5:7" x14ac:dyDescent="0.25">
      <c r="E269" s="11">
        <f t="shared" si="25"/>
        <v>-73</v>
      </c>
      <c r="F269" s="11">
        <f t="shared" si="26"/>
        <v>-40.212160170180425</v>
      </c>
      <c r="G269" s="11">
        <f t="shared" si="27"/>
        <v>-40.671600752733944</v>
      </c>
    </row>
    <row r="270" spans="5:7" x14ac:dyDescent="0.25">
      <c r="E270" s="11">
        <f t="shared" si="25"/>
        <v>-72</v>
      </c>
      <c r="F270" s="11">
        <f t="shared" si="26"/>
        <v>-40.306532504438323</v>
      </c>
      <c r="G270" s="11">
        <f t="shared" si="27"/>
        <v>-40.507933176943325</v>
      </c>
    </row>
    <row r="271" spans="5:7" x14ac:dyDescent="0.25">
      <c r="E271" s="11">
        <f t="shared" si="25"/>
        <v>-71</v>
      </c>
      <c r="F271" s="11">
        <f t="shared" si="26"/>
        <v>-40.406521915052764</v>
      </c>
      <c r="G271" s="11">
        <f t="shared" si="27"/>
        <v>-40.340907855477255</v>
      </c>
    </row>
    <row r="272" spans="5:7" x14ac:dyDescent="0.25">
      <c r="E272" s="11">
        <f t="shared" si="25"/>
        <v>-70</v>
      </c>
      <c r="F272" s="11">
        <f t="shared" si="26"/>
        <v>-40.509963918305196</v>
      </c>
      <c r="G272" s="11">
        <f t="shared" si="27"/>
        <v>-40.170838370248845</v>
      </c>
    </row>
    <row r="273" spans="5:7" x14ac:dyDescent="0.25">
      <c r="E273" s="11">
        <f t="shared" si="25"/>
        <v>-69</v>
      </c>
      <c r="F273" s="11">
        <f t="shared" si="26"/>
        <v>-40.614664536738594</v>
      </c>
      <c r="G273" s="11">
        <f t="shared" si="27"/>
        <v>-39.998038303171192</v>
      </c>
    </row>
    <row r="274" spans="5:7" x14ac:dyDescent="0.25">
      <c r="E274" s="11">
        <f t="shared" si="25"/>
        <v>-68</v>
      </c>
      <c r="F274" s="11">
        <f t="shared" si="26"/>
        <v>-40.718412122230397</v>
      </c>
      <c r="G274" s="11">
        <f t="shared" si="27"/>
        <v>-39.822821236157395</v>
      </c>
    </row>
    <row r="275" spans="5:7" x14ac:dyDescent="0.25">
      <c r="E275" s="11">
        <f t="shared" si="25"/>
        <v>-67</v>
      </c>
      <c r="F275" s="11">
        <f t="shared" si="26"/>
        <v>-40.818988801242284</v>
      </c>
      <c r="G275" s="11">
        <f t="shared" si="27"/>
        <v>-39.645500751120565</v>
      </c>
    </row>
    <row r="276" spans="5:7" x14ac:dyDescent="0.25">
      <c r="E276" s="11">
        <f t="shared" si="25"/>
        <v>-66</v>
      </c>
      <c r="F276" s="11">
        <f t="shared" si="26"/>
        <v>-40.914181532437013</v>
      </c>
      <c r="G276" s="11">
        <f t="shared" si="27"/>
        <v>-39.466390429973806</v>
      </c>
    </row>
    <row r="277" spans="5:7" x14ac:dyDescent="0.25">
      <c r="E277" s="11">
        <f t="shared" si="25"/>
        <v>-65</v>
      </c>
      <c r="F277" s="11">
        <f t="shared" si="26"/>
        <v>-41.00179276741386</v>
      </c>
      <c r="G277" s="11">
        <f t="shared" si="27"/>
        <v>-39.285803854630217</v>
      </c>
    </row>
    <row r="278" spans="5:7" x14ac:dyDescent="0.25">
      <c r="E278" s="11">
        <f t="shared" si="25"/>
        <v>-64</v>
      </c>
      <c r="F278" s="11">
        <f t="shared" si="26"/>
        <v>-41.079650705880674</v>
      </c>
      <c r="G278" s="11">
        <f t="shared" si="27"/>
        <v>-39.104054607002894</v>
      </c>
    </row>
    <row r="279" spans="5:7" x14ac:dyDescent="0.25">
      <c r="E279" s="11">
        <f t="shared" si="25"/>
        <v>-63</v>
      </c>
      <c r="F279" s="11">
        <f t="shared" si="26"/>
        <v>-41.145619137142091</v>
      </c>
      <c r="G279" s="11">
        <f t="shared" si="27"/>
        <v>-38.921456269004949</v>
      </c>
    </row>
    <row r="280" spans="5:7" x14ac:dyDescent="0.25">
      <c r="E280" s="11">
        <f t="shared" si="25"/>
        <v>-62</v>
      </c>
      <c r="F280" s="11">
        <f t="shared" si="26"/>
        <v>-41.197606860347719</v>
      </c>
      <c r="G280" s="11">
        <f t="shared" si="27"/>
        <v>-38.738322422549487</v>
      </c>
    </row>
    <row r="281" spans="5:7" x14ac:dyDescent="0.25">
      <c r="E281" s="11">
        <f t="shared" si="25"/>
        <v>-61</v>
      </c>
      <c r="F281" s="11">
        <f t="shared" si="26"/>
        <v>-41.233576676508569</v>
      </c>
      <c r="G281" s="11">
        <f t="shared" si="27"/>
        <v>-38.554966649549606</v>
      </c>
    </row>
    <row r="282" spans="5:7" x14ac:dyDescent="0.25">
      <c r="E282" s="11">
        <f t="shared" si="25"/>
        <v>-60</v>
      </c>
      <c r="F282" s="11">
        <f t="shared" si="26"/>
        <v>-41.251553945851633</v>
      </c>
      <c r="G282" s="11">
        <f t="shared" si="27"/>
        <v>-38.371702531918402</v>
      </c>
    </row>
    <row r="283" spans="5:7" x14ac:dyDescent="0.25">
      <c r="E283" s="11">
        <f t="shared" si="25"/>
        <v>-59</v>
      </c>
      <c r="F283" s="11">
        <f t="shared" si="26"/>
        <v>-41.24963470464904</v>
      </c>
      <c r="G283" s="11">
        <f t="shared" si="27"/>
        <v>-38.188843651568995</v>
      </c>
    </row>
    <row r="284" spans="5:7" x14ac:dyDescent="0.25">
      <c r="E284" s="11">
        <f t="shared" si="25"/>
        <v>-58</v>
      </c>
      <c r="F284" s="11">
        <f t="shared" si="26"/>
        <v>-41.225993336218679</v>
      </c>
      <c r="G284" s="11">
        <f t="shared" si="27"/>
        <v>-38.006703590414475</v>
      </c>
    </row>
    <row r="285" spans="5:7" x14ac:dyDescent="0.25">
      <c r="E285" s="11">
        <f t="shared" si="25"/>
        <v>-57</v>
      </c>
      <c r="F285" s="11">
        <f t="shared" si="26"/>
        <v>-41.178889791359651</v>
      </c>
      <c r="G285" s="11">
        <f t="shared" si="27"/>
        <v>-37.825595930367939</v>
      </c>
    </row>
    <row r="286" spans="5:7" x14ac:dyDescent="0.25">
      <c r="E286" s="11">
        <f t="shared" si="25"/>
        <v>-56</v>
      </c>
      <c r="F286" s="11">
        <f t="shared" si="26"/>
        <v>-41.106676354047472</v>
      </c>
      <c r="G286" s="11">
        <f t="shared" si="27"/>
        <v>-37.645834253342514</v>
      </c>
    </row>
    <row r="287" spans="5:7" x14ac:dyDescent="0.25">
      <c r="E287" s="11">
        <f t="shared" ref="E287:E350" si="28">E80</f>
        <v>-55</v>
      </c>
      <c r="F287" s="11">
        <f t="shared" ref="F287:F350" si="29">$H$217*0+E287*$I$217+E287^2*$J$217+E287^3*$K$217+E287^4*$L$217+E287^5*$M$217+E287^6*$N$217+E287^7*$O$217+E287^8*$P$217</f>
        <v>-41.00780394877885</v>
      </c>
      <c r="G287" s="11">
        <f t="shared" ref="G287:G350" si="30">F80</f>
        <v>-37.467732141251275</v>
      </c>
    </row>
    <row r="288" spans="5:7" x14ac:dyDescent="0.25">
      <c r="E288" s="11">
        <f t="shared" si="28"/>
        <v>-54</v>
      </c>
      <c r="F288" s="11">
        <f t="shared" si="29"/>
        <v>-40.880827986518831</v>
      </c>
      <c r="G288" s="11">
        <f t="shared" si="30"/>
        <v>-37.291414253640276</v>
      </c>
    </row>
    <row r="289" spans="5:7" x14ac:dyDescent="0.25">
      <c r="E289" s="11">
        <f t="shared" si="28"/>
        <v>-53</v>
      </c>
      <c r="F289" s="11">
        <f t="shared" si="29"/>
        <v>-40.724413746767141</v>
      </c>
      <c r="G289" s="11">
        <f t="shared" si="30"/>
        <v>-37.116249560587271</v>
      </c>
    </row>
    <row r="290" spans="5:7" x14ac:dyDescent="0.25">
      <c r="E290" s="11">
        <f t="shared" si="28"/>
        <v>-52</v>
      </c>
      <c r="F290" s="11">
        <f t="shared" si="29"/>
        <v>-40.537341293823943</v>
      </c>
      <c r="G290" s="11">
        <f t="shared" si="30"/>
        <v>-36.941418109802967</v>
      </c>
    </row>
    <row r="291" spans="5:7" x14ac:dyDescent="0.25">
      <c r="E291" s="11">
        <f t="shared" si="28"/>
        <v>-51</v>
      </c>
      <c r="F291" s="11">
        <f t="shared" si="29"/>
        <v>-40.318509925898979</v>
      </c>
      <c r="G291" s="11">
        <f t="shared" si="30"/>
        <v>-36.766099948998033</v>
      </c>
    </row>
    <row r="292" spans="5:7" x14ac:dyDescent="0.25">
      <c r="E292" s="11">
        <f t="shared" si="28"/>
        <v>-50</v>
      </c>
      <c r="F292" s="11">
        <f t="shared" si="29"/>
        <v>-40.066942156271708</v>
      </c>
      <c r="G292" s="11">
        <f t="shared" si="30"/>
        <v>-36.589475125883204</v>
      </c>
    </row>
    <row r="293" spans="5:7" x14ac:dyDescent="0.25">
      <c r="E293" s="11">
        <f t="shared" si="28"/>
        <v>-49</v>
      </c>
      <c r="F293" s="11">
        <f t="shared" si="29"/>
        <v>-39.78178722627365</v>
      </c>
      <c r="G293" s="11">
        <f t="shared" si="30"/>
        <v>-36.410723688169142</v>
      </c>
    </row>
    <row r="294" spans="5:7" x14ac:dyDescent="0.25">
      <c r="E294" s="11">
        <f t="shared" si="28"/>
        <v>-48</v>
      </c>
      <c r="F294" s="11">
        <f t="shared" si="29"/>
        <v>-39.462324150427762</v>
      </c>
      <c r="G294" s="11">
        <f t="shared" si="30"/>
        <v>-36.229025683566562</v>
      </c>
    </row>
    <row r="295" spans="5:7" x14ac:dyDescent="0.25">
      <c r="E295" s="11">
        <f t="shared" si="28"/>
        <v>-47</v>
      </c>
      <c r="F295" s="11">
        <f t="shared" si="29"/>
        <v>-39.107964294643551</v>
      </c>
      <c r="G295" s="11">
        <f t="shared" si="30"/>
        <v>-36.043561159786151</v>
      </c>
    </row>
    <row r="296" spans="5:7" x14ac:dyDescent="0.25">
      <c r="E296" s="11">
        <f t="shared" si="28"/>
        <v>-46</v>
      </c>
      <c r="F296" s="11">
        <f t="shared" si="29"/>
        <v>-38.718253488929754</v>
      </c>
      <c r="G296" s="11">
        <f t="shared" si="30"/>
        <v>-35.853510164538605</v>
      </c>
    </row>
    <row r="297" spans="5:7" x14ac:dyDescent="0.25">
      <c r="E297" s="11">
        <f t="shared" si="28"/>
        <v>-45</v>
      </c>
      <c r="F297" s="11">
        <f t="shared" si="29"/>
        <v>-38.292873676650743</v>
      </c>
      <c r="G297" s="11">
        <f t="shared" si="30"/>
        <v>-35.658052745534626</v>
      </c>
    </row>
    <row r="298" spans="5:7" x14ac:dyDescent="0.25">
      <c r="E298" s="11">
        <f t="shared" si="28"/>
        <v>-44</v>
      </c>
      <c r="F298" s="11">
        <f t="shared" si="29"/>
        <v>-37.831644102915831</v>
      </c>
      <c r="G298" s="11">
        <f t="shared" si="30"/>
        <v>-35.456368950484901</v>
      </c>
    </row>
    <row r="299" spans="5:7" x14ac:dyDescent="0.25">
      <c r="E299" s="11">
        <f t="shared" si="28"/>
        <v>-43</v>
      </c>
      <c r="F299" s="11">
        <f t="shared" si="29"/>
        <v>-37.33452204525468</v>
      </c>
      <c r="G299" s="11">
        <f t="shared" si="30"/>
        <v>-35.247638827100133</v>
      </c>
    </row>
    <row r="300" spans="5:7" x14ac:dyDescent="0.25">
      <c r="E300" s="11">
        <f t="shared" si="28"/>
        <v>-42</v>
      </c>
      <c r="F300" s="11">
        <f t="shared" si="29"/>
        <v>-36.801603090295387</v>
      </c>
      <c r="G300" s="11">
        <f t="shared" si="30"/>
        <v>-35.031042423091009</v>
      </c>
    </row>
    <row r="301" spans="5:7" x14ac:dyDescent="0.25">
      <c r="E301" s="11">
        <f t="shared" si="28"/>
        <v>-41</v>
      </c>
      <c r="F301" s="11">
        <f t="shared" si="29"/>
        <v>-36.233120960725905</v>
      </c>
      <c r="G301" s="11">
        <f t="shared" si="30"/>
        <v>-34.805759786168238</v>
      </c>
    </row>
    <row r="302" spans="5:7" x14ac:dyDescent="0.25">
      <c r="E302" s="11">
        <f t="shared" si="28"/>
        <v>-40</v>
      </c>
      <c r="F302" s="11">
        <f t="shared" si="29"/>
        <v>-35.6294468973825</v>
      </c>
      <c r="G302" s="11">
        <f t="shared" si="30"/>
        <v>-34.570970964042495</v>
      </c>
    </row>
    <row r="303" spans="5:7" x14ac:dyDescent="0.25">
      <c r="E303" s="11">
        <f t="shared" si="28"/>
        <v>-39</v>
      </c>
      <c r="F303" s="11">
        <f t="shared" si="29"/>
        <v>-34.991088601872988</v>
      </c>
      <c r="G303" s="11">
        <f t="shared" si="30"/>
        <v>-34.325856004424494</v>
      </c>
    </row>
    <row r="304" spans="5:7" x14ac:dyDescent="0.25">
      <c r="E304" s="11">
        <f t="shared" si="28"/>
        <v>-38</v>
      </c>
      <c r="F304" s="11">
        <f t="shared" si="29"/>
        <v>-34.318688745706091</v>
      </c>
      <c r="G304" s="11">
        <f t="shared" si="30"/>
        <v>-34.069594955024925</v>
      </c>
    </row>
    <row r="305" spans="5:7" x14ac:dyDescent="0.25">
      <c r="E305" s="11">
        <f t="shared" si="28"/>
        <v>-37</v>
      </c>
      <c r="F305" s="11">
        <f t="shared" si="29"/>
        <v>-33.613023052461756</v>
      </c>
      <c r="G305" s="11">
        <f t="shared" si="30"/>
        <v>-33.801367863554489</v>
      </c>
    </row>
    <row r="306" spans="5:7" x14ac:dyDescent="0.25">
      <c r="E306" s="11">
        <f t="shared" si="28"/>
        <v>-36</v>
      </c>
      <c r="F306" s="11">
        <f t="shared" si="29"/>
        <v>-32.874997960101098</v>
      </c>
      <c r="G306" s="11">
        <f t="shared" si="30"/>
        <v>-33.520354777723867</v>
      </c>
    </row>
    <row r="307" spans="5:7" x14ac:dyDescent="0.25">
      <c r="E307" s="11">
        <f t="shared" si="28"/>
        <v>-35</v>
      </c>
      <c r="F307" s="11">
        <f t="shared" si="29"/>
        <v>-32.105647871078048</v>
      </c>
      <c r="G307" s="11">
        <f t="shared" si="30"/>
        <v>-33.225735745243767</v>
      </c>
    </row>
    <row r="308" spans="5:7" x14ac:dyDescent="0.25">
      <c r="E308" s="11">
        <f t="shared" si="28"/>
        <v>-34</v>
      </c>
      <c r="F308" s="11">
        <f t="shared" si="29"/>
        <v>-31.306131998478634</v>
      </c>
      <c r="G308" s="11">
        <f t="shared" si="30"/>
        <v>-32.916690813824886</v>
      </c>
    </row>
    <row r="309" spans="5:7" x14ac:dyDescent="0.25">
      <c r="E309" s="11">
        <f t="shared" si="28"/>
        <v>-33</v>
      </c>
      <c r="F309" s="11">
        <f t="shared" si="29"/>
        <v>-30.477730816977463</v>
      </c>
      <c r="G309" s="11">
        <f t="shared" si="30"/>
        <v>-32.592400031177917</v>
      </c>
    </row>
    <row r="310" spans="5:7" x14ac:dyDescent="0.25">
      <c r="E310" s="11">
        <f t="shared" si="28"/>
        <v>-32</v>
      </c>
      <c r="F310" s="11">
        <f t="shared" si="29"/>
        <v>-29.621842127964261</v>
      </c>
      <c r="G310" s="11">
        <f t="shared" si="30"/>
        <v>-32.252043445013541</v>
      </c>
    </row>
    <row r="311" spans="5:7" x14ac:dyDescent="0.25">
      <c r="E311" s="11">
        <f t="shared" si="28"/>
        <v>-31</v>
      </c>
      <c r="F311" s="11">
        <f t="shared" si="29"/>
        <v>-28.739976748757577</v>
      </c>
      <c r="G311" s="11">
        <f t="shared" si="30"/>
        <v>-31.894801103042475</v>
      </c>
    </row>
    <row r="312" spans="5:7" x14ac:dyDescent="0.25">
      <c r="E312" s="11">
        <f t="shared" si="28"/>
        <v>-30</v>
      </c>
      <c r="F312" s="11">
        <f t="shared" si="29"/>
        <v>-27.83375383638586</v>
      </c>
      <c r="G312" s="11">
        <f t="shared" si="30"/>
        <v>-31.519853052975407</v>
      </c>
    </row>
    <row r="313" spans="5:7" x14ac:dyDescent="0.25">
      <c r="E313" s="11">
        <f t="shared" si="28"/>
        <v>-29</v>
      </c>
      <c r="F313" s="11">
        <f t="shared" si="29"/>
        <v>-26.904895856980009</v>
      </c>
      <c r="G313" s="11">
        <f t="shared" si="30"/>
        <v>-31.126667810396924</v>
      </c>
    </row>
    <row r="314" spans="5:7" x14ac:dyDescent="0.25">
      <c r="E314" s="11">
        <f t="shared" si="28"/>
        <v>-28</v>
      </c>
      <c r="F314" s="11">
        <f t="shared" si="29"/>
        <v>-25.955223212385018</v>
      </c>
      <c r="G314" s="11">
        <f t="shared" si="30"/>
        <v>-30.715867762387184</v>
      </c>
    </row>
    <row r="315" spans="5:7" x14ac:dyDescent="0.25">
      <c r="E315" s="11">
        <f t="shared" si="28"/>
        <v>-27</v>
      </c>
      <c r="F315" s="11">
        <f t="shared" si="29"/>
        <v>-24.986648536162292</v>
      </c>
      <c r="G315" s="11">
        <f t="shared" si="30"/>
        <v>-30.288363763900247</v>
      </c>
    </row>
    <row r="316" spans="5:7" x14ac:dyDescent="0.25">
      <c r="E316" s="11">
        <f t="shared" si="28"/>
        <v>-26</v>
      </c>
      <c r="F316" s="11">
        <f t="shared" si="29"/>
        <v>-24.001170671717244</v>
      </c>
      <c r="G316" s="11">
        <f t="shared" si="30"/>
        <v>-29.845066669890162</v>
      </c>
    </row>
    <row r="317" spans="5:7" x14ac:dyDescent="0.25">
      <c r="E317" s="11">
        <f t="shared" si="28"/>
        <v>-25</v>
      </c>
      <c r="F317" s="11">
        <f t="shared" si="29"/>
        <v>-23.000868345851135</v>
      </c>
      <c r="G317" s="11">
        <f t="shared" si="30"/>
        <v>-29.386887335310995</v>
      </c>
    </row>
    <row r="318" spans="5:7" x14ac:dyDescent="0.25">
      <c r="E318" s="11">
        <f t="shared" si="28"/>
        <v>-24</v>
      </c>
      <c r="F318" s="11">
        <f t="shared" si="29"/>
        <v>-21.987893551599189</v>
      </c>
      <c r="G318" s="11">
        <f t="shared" si="30"/>
        <v>-28.914736615116791</v>
      </c>
    </row>
    <row r="319" spans="5:7" x14ac:dyDescent="0.25">
      <c r="E319" s="11">
        <f t="shared" si="28"/>
        <v>-23</v>
      </c>
      <c r="F319" s="11">
        <f t="shared" si="29"/>
        <v>-20.964464654780983</v>
      </c>
      <c r="G319" s="11">
        <f t="shared" si="30"/>
        <v>-28.429525364261607</v>
      </c>
    </row>
    <row r="320" spans="5:7" x14ac:dyDescent="0.25">
      <c r="E320" s="11">
        <f t="shared" si="28"/>
        <v>-22</v>
      </c>
      <c r="F320" s="11">
        <f t="shared" si="29"/>
        <v>-19.932859239252625</v>
      </c>
      <c r="G320" s="11">
        <f t="shared" si="30"/>
        <v>-27.932164437699502</v>
      </c>
    </row>
    <row r="321" spans="5:7" x14ac:dyDescent="0.25">
      <c r="E321" s="11">
        <f t="shared" si="28"/>
        <v>-21</v>
      </c>
      <c r="F321" s="11">
        <f t="shared" si="29"/>
        <v>-18.895406706413908</v>
      </c>
      <c r="G321" s="11">
        <f t="shared" si="30"/>
        <v>-27.42356469038452</v>
      </c>
    </row>
    <row r="322" spans="5:7" x14ac:dyDescent="0.25">
      <c r="E322" s="11">
        <f t="shared" si="28"/>
        <v>-20</v>
      </c>
      <c r="F322" s="11">
        <f t="shared" si="29"/>
        <v>-17.854480645087232</v>
      </c>
      <c r="G322" s="11">
        <f t="shared" si="30"/>
        <v>-26.904636977270727</v>
      </c>
    </row>
    <row r="323" spans="5:7" x14ac:dyDescent="0.25">
      <c r="E323" s="11">
        <f t="shared" si="28"/>
        <v>-19</v>
      </c>
      <c r="F323" s="11">
        <f t="shared" si="29"/>
        <v>-16.81249098844885</v>
      </c>
      <c r="G323" s="11">
        <f t="shared" si="30"/>
        <v>-26.376292153312171</v>
      </c>
    </row>
    <row r="324" spans="5:7" x14ac:dyDescent="0.25">
      <c r="E324" s="11">
        <f t="shared" si="28"/>
        <v>-18</v>
      </c>
      <c r="F324" s="11">
        <f t="shared" si="29"/>
        <v>-15.771875975256373</v>
      </c>
      <c r="G324" s="11">
        <f t="shared" si="30"/>
        <v>-25.839441073462908</v>
      </c>
    </row>
    <row r="325" spans="5:7" x14ac:dyDescent="0.25">
      <c r="E325" s="11">
        <f t="shared" si="28"/>
        <v>-17</v>
      </c>
      <c r="F325" s="11">
        <f t="shared" si="29"/>
        <v>-14.735093933180478</v>
      </c>
      <c r="G325" s="11">
        <f t="shared" si="30"/>
        <v>-25.294994592676993</v>
      </c>
    </row>
    <row r="326" spans="5:7" x14ac:dyDescent="0.25">
      <c r="E326" s="11">
        <f t="shared" si="28"/>
        <v>-16</v>
      </c>
      <c r="F326" s="11">
        <f t="shared" si="29"/>
        <v>-13.704614902612031</v>
      </c>
      <c r="G326" s="11">
        <f t="shared" si="30"/>
        <v>-24.743863565908484</v>
      </c>
    </row>
    <row r="327" spans="5:7" x14ac:dyDescent="0.25">
      <c r="E327" s="11">
        <f t="shared" si="28"/>
        <v>-15</v>
      </c>
      <c r="F327" s="11">
        <f t="shared" si="29"/>
        <v>-12.682912119879807</v>
      </c>
      <c r="G327" s="11">
        <f t="shared" si="30"/>
        <v>-24.186958848111431</v>
      </c>
    </row>
    <row r="328" spans="5:7" x14ac:dyDescent="0.25">
      <c r="E328" s="11">
        <f t="shared" si="28"/>
        <v>-14</v>
      </c>
      <c r="F328" s="11">
        <f t="shared" si="29"/>
        <v>-11.672453379377306</v>
      </c>
      <c r="G328" s="11">
        <f t="shared" si="30"/>
        <v>-23.62519129423989</v>
      </c>
    </row>
    <row r="329" spans="5:7" x14ac:dyDescent="0.25">
      <c r="E329" s="11">
        <f t="shared" si="28"/>
        <v>-13</v>
      </c>
      <c r="F329" s="11">
        <f t="shared" si="29"/>
        <v>-10.675692294661147</v>
      </c>
      <c r="G329" s="11">
        <f t="shared" si="30"/>
        <v>-23.059471759247913</v>
      </c>
    </row>
    <row r="330" spans="5:7" x14ac:dyDescent="0.25">
      <c r="E330" s="11">
        <f t="shared" si="28"/>
        <v>-12</v>
      </c>
      <c r="F330" s="11">
        <f t="shared" si="29"/>
        <v>-9.6950594791468507</v>
      </c>
      <c r="G330" s="11">
        <f t="shared" si="30"/>
        <v>-22.490711098089562</v>
      </c>
    </row>
    <row r="331" spans="5:7" x14ac:dyDescent="0.25">
      <c r="E331" s="11">
        <f t="shared" si="28"/>
        <v>-11</v>
      </c>
      <c r="F331" s="11">
        <f t="shared" si="29"/>
        <v>-8.7329536675916888</v>
      </c>
      <c r="G331" s="11">
        <f t="shared" si="30"/>
        <v>-21.919820165718889</v>
      </c>
    </row>
    <row r="332" spans="5:7" x14ac:dyDescent="0.25">
      <c r="E332" s="11">
        <f t="shared" si="28"/>
        <v>-10</v>
      </c>
      <c r="F332" s="11">
        <f t="shared" si="29"/>
        <v>-7.7917328001178001</v>
      </c>
      <c r="G332" s="11">
        <f t="shared" si="30"/>
        <v>-21.347709817089942</v>
      </c>
    </row>
    <row r="333" spans="5:7" x14ac:dyDescent="0.25">
      <c r="E333" s="11">
        <f t="shared" si="28"/>
        <v>-9</v>
      </c>
      <c r="F333" s="11">
        <f t="shared" si="29"/>
        <v>-6.8737050910924395</v>
      </c>
      <c r="G333" s="11">
        <f t="shared" si="30"/>
        <v>-20.77529090715678</v>
      </c>
    </row>
    <row r="334" spans="5:7" x14ac:dyDescent="0.25">
      <c r="E334" s="11">
        <f t="shared" si="28"/>
        <v>-8</v>
      </c>
      <c r="F334" s="11">
        <f t="shared" si="29"/>
        <v>-5.9811201057458785</v>
      </c>
      <c r="G334" s="11">
        <f t="shared" si="30"/>
        <v>-20.203474290873459</v>
      </c>
    </row>
    <row r="335" spans="5:7" x14ac:dyDescent="0.25">
      <c r="E335" s="11">
        <f t="shared" si="28"/>
        <v>-7</v>
      </c>
      <c r="F335" s="11">
        <f t="shared" si="29"/>
        <v>-5.1161598679711462</v>
      </c>
      <c r="G335" s="11">
        <f t="shared" si="30"/>
        <v>-19.633170823194035</v>
      </c>
    </row>
    <row r="336" spans="5:7" x14ac:dyDescent="0.25">
      <c r="E336" s="11">
        <f t="shared" si="28"/>
        <v>-6</v>
      </c>
      <c r="F336" s="11">
        <f t="shared" si="29"/>
        <v>-4.2809300233133429</v>
      </c>
      <c r="G336" s="11">
        <f t="shared" si="30"/>
        <v>-19.06529135907256</v>
      </c>
    </row>
    <row r="337" spans="5:7" x14ac:dyDescent="0.25">
      <c r="E337" s="11">
        <f t="shared" si="28"/>
        <v>-5</v>
      </c>
      <c r="F337" s="11">
        <f t="shared" si="29"/>
        <v>-3.4774510817200213</v>
      </c>
      <c r="G337" s="11">
        <f t="shared" si="30"/>
        <v>-18.500746753463087</v>
      </c>
    </row>
    <row r="338" spans="5:7" x14ac:dyDescent="0.25">
      <c r="E338" s="11">
        <f t="shared" si="28"/>
        <v>-4</v>
      </c>
      <c r="F338" s="11">
        <f t="shared" si="29"/>
        <v>-2.7076497651876856</v>
      </c>
      <c r="G338" s="11">
        <f t="shared" si="30"/>
        <v>-17.940447861319676</v>
      </c>
    </row>
    <row r="339" spans="5:7" x14ac:dyDescent="0.25">
      <c r="E339" s="11">
        <f t="shared" si="28"/>
        <v>-3</v>
      </c>
      <c r="F339" s="11">
        <f t="shared" si="29"/>
        <v>-1.973350486003131</v>
      </c>
      <c r="G339" s="11">
        <f t="shared" si="30"/>
        <v>-17.385305537596373</v>
      </c>
    </row>
    <row r="340" spans="5:7" x14ac:dyDescent="0.25">
      <c r="E340" s="11">
        <f t="shared" si="28"/>
        <v>-2</v>
      </c>
      <c r="F340" s="11">
        <f t="shared" si="29"/>
        <v>-1.2762669818419889</v>
      </c>
      <c r="G340" s="11">
        <f t="shared" si="30"/>
        <v>-16.836230637247244</v>
      </c>
    </row>
    <row r="341" spans="5:7" x14ac:dyDescent="0.25">
      <c r="E341" s="11">
        <f t="shared" si="28"/>
        <v>-1</v>
      </c>
      <c r="F341" s="11">
        <f t="shared" si="29"/>
        <v>-0.61799413455047858</v>
      </c>
      <c r="G341" s="11">
        <f t="shared" si="30"/>
        <v>-16.294134015226334</v>
      </c>
    </row>
    <row r="342" spans="5:7" x14ac:dyDescent="0.25">
      <c r="E342" s="11">
        <f t="shared" si="28"/>
        <v>0</v>
      </c>
      <c r="F342" s="11">
        <f t="shared" si="29"/>
        <v>0</v>
      </c>
      <c r="G342" s="11">
        <f t="shared" si="30"/>
        <v>-15.759926526487703</v>
      </c>
    </row>
    <row r="343" spans="5:7" x14ac:dyDescent="0.25">
      <c r="E343" s="11">
        <f t="shared" si="28"/>
        <v>1</v>
      </c>
      <c r="F343" s="11">
        <f t="shared" si="29"/>
        <v>0.57638192303213709</v>
      </c>
      <c r="G343" s="11">
        <f t="shared" si="30"/>
        <v>-15.234358199038235</v>
      </c>
    </row>
    <row r="344" spans="5:7" x14ac:dyDescent="0.25">
      <c r="E344" s="11">
        <f t="shared" si="28"/>
        <v>2</v>
      </c>
      <c r="F344" s="11">
        <f t="shared" si="29"/>
        <v>1.1099601564389323</v>
      </c>
      <c r="G344" s="11">
        <f t="shared" si="30"/>
        <v>-14.717535753096168</v>
      </c>
    </row>
    <row r="345" spans="5:7" x14ac:dyDescent="0.25">
      <c r="E345" s="11">
        <f t="shared" si="28"/>
        <v>3</v>
      </c>
      <c r="F345" s="11">
        <f t="shared" si="29"/>
        <v>1.5996924097362939</v>
      </c>
      <c r="G345" s="11">
        <f t="shared" si="30"/>
        <v>-14.209405081932562</v>
      </c>
    </row>
    <row r="346" spans="5:7" x14ac:dyDescent="0.25">
      <c r="E346" s="11">
        <f t="shared" si="28"/>
        <v>4</v>
      </c>
      <c r="F346" s="11">
        <f t="shared" si="29"/>
        <v>2.0446924207478077</v>
      </c>
      <c r="G346" s="11">
        <f t="shared" si="30"/>
        <v>-13.709912078818485</v>
      </c>
    </row>
    <row r="347" spans="5:7" x14ac:dyDescent="0.25">
      <c r="E347" s="11">
        <f t="shared" si="28"/>
        <v>5</v>
      </c>
      <c r="F347" s="11">
        <f t="shared" si="29"/>
        <v>2.4442364398138379</v>
      </c>
      <c r="G347" s="11">
        <f t="shared" si="30"/>
        <v>-13.219002637025</v>
      </c>
    </row>
    <row r="348" spans="5:7" x14ac:dyDescent="0.25">
      <c r="E348" s="11">
        <f t="shared" si="28"/>
        <v>6</v>
      </c>
      <c r="F348" s="11">
        <f t="shared" si="29"/>
        <v>2.79776932675346</v>
      </c>
      <c r="G348" s="11">
        <f t="shared" si="30"/>
        <v>-12.736622649823172</v>
      </c>
    </row>
    <row r="349" spans="5:7" x14ac:dyDescent="0.25">
      <c r="E349" s="11">
        <f t="shared" si="28"/>
        <v>7</v>
      </c>
      <c r="F349" s="11">
        <f t="shared" si="29"/>
        <v>3.1049102292441026</v>
      </c>
      <c r="G349" s="11">
        <f t="shared" si="30"/>
        <v>-12.262718010484072</v>
      </c>
    </row>
    <row r="350" spans="5:7" x14ac:dyDescent="0.25">
      <c r="E350" s="11">
        <f t="shared" si="28"/>
        <v>8</v>
      </c>
      <c r="F350" s="11">
        <f t="shared" si="29"/>
        <v>3.3654578107201303</v>
      </c>
      <c r="G350" s="11">
        <f t="shared" si="30"/>
        <v>-11.797234612278755</v>
      </c>
    </row>
    <row r="351" spans="5:7" x14ac:dyDescent="0.25">
      <c r="E351" s="11">
        <f t="shared" ref="E351:E414" si="31">E144</f>
        <v>9</v>
      </c>
      <c r="F351" s="11">
        <f t="shared" ref="F351:F414" si="32">$H$217*0+E351*$I$217+E351^2*$J$217+E351^3*$K$217+E351^4*$L$217+E351^5*$M$217+E351^6*$N$217+E351^7*$O$217+E351^8*$P$217</f>
        <v>3.5793949953279443</v>
      </c>
      <c r="G351" s="11">
        <f t="shared" ref="G351:G414" si="33">F144</f>
        <v>-11.340118348478292</v>
      </c>
    </row>
    <row r="352" spans="5:7" x14ac:dyDescent="0.25">
      <c r="E352" s="11">
        <f t="shared" si="31"/>
        <v>10</v>
      </c>
      <c r="F352" s="11">
        <f t="shared" si="32"/>
        <v>3.7468931969115662</v>
      </c>
      <c r="G352" s="11">
        <f t="shared" si="33"/>
        <v>-10.891315112353752</v>
      </c>
    </row>
    <row r="353" spans="5:7" x14ac:dyDescent="0.25">
      <c r="E353" s="11">
        <f t="shared" si="31"/>
        <v>11</v>
      </c>
      <c r="F353" s="11">
        <f t="shared" si="32"/>
        <v>3.8683159984389914</v>
      </c>
      <c r="G353" s="11">
        <f t="shared" si="33"/>
        <v>-10.450770797176192</v>
      </c>
    </row>
    <row r="354" spans="5:7" x14ac:dyDescent="0.25">
      <c r="E354" s="11">
        <f t="shared" si="31"/>
        <v>12</v>
      </c>
      <c r="F354" s="11">
        <f t="shared" si="32"/>
        <v>3.9442222477159978</v>
      </c>
      <c r="G354" s="11">
        <f t="shared" si="33"/>
        <v>-10.018431296216681</v>
      </c>
    </row>
    <row r="355" spans="5:7" x14ac:dyDescent="0.25">
      <c r="E355" s="11">
        <f t="shared" si="31"/>
        <v>13</v>
      </c>
      <c r="F355" s="11">
        <f t="shared" si="32"/>
        <v>3.975368534670412</v>
      </c>
      <c r="G355" s="11">
        <f t="shared" si="33"/>
        <v>-9.594242502746285</v>
      </c>
    </row>
    <row r="356" spans="5:7" x14ac:dyDescent="0.25">
      <c r="E356" s="11">
        <f t="shared" si="31"/>
        <v>14</v>
      </c>
      <c r="F356" s="11">
        <f t="shared" si="32"/>
        <v>3.9627110149262319</v>
      </c>
      <c r="G356" s="11">
        <f t="shared" si="33"/>
        <v>-9.1781503100360666</v>
      </c>
    </row>
    <row r="357" spans="5:7" x14ac:dyDescent="0.25">
      <c r="E357" s="11">
        <f t="shared" si="31"/>
        <v>15</v>
      </c>
      <c r="F357" s="11">
        <f t="shared" si="32"/>
        <v>3.9074065438233587</v>
      </c>
      <c r="G357" s="11">
        <f t="shared" si="33"/>
        <v>-8.7701006113570976</v>
      </c>
    </row>
    <row r="358" spans="5:7" x14ac:dyDescent="0.25">
      <c r="E358" s="11">
        <f t="shared" si="31"/>
        <v>16</v>
      </c>
      <c r="F358" s="11">
        <f t="shared" si="32"/>
        <v>3.8108130844749981</v>
      </c>
      <c r="G358" s="11">
        <f t="shared" si="33"/>
        <v>-8.3700392999804354</v>
      </c>
    </row>
    <row r="359" spans="5:7" x14ac:dyDescent="0.25">
      <c r="E359" s="11">
        <f t="shared" si="31"/>
        <v>17</v>
      </c>
      <c r="F359" s="11">
        <f t="shared" si="32"/>
        <v>3.6744893528912388</v>
      </c>
      <c r="G359" s="11">
        <f t="shared" si="33"/>
        <v>-7.977912269177148</v>
      </c>
    </row>
    <row r="360" spans="5:7" x14ac:dyDescent="0.25">
      <c r="E360" s="11">
        <f t="shared" si="31"/>
        <v>18</v>
      </c>
      <c r="F360" s="11">
        <f t="shared" si="32"/>
        <v>3.5001936626335977</v>
      </c>
      <c r="G360" s="11">
        <f t="shared" si="33"/>
        <v>-7.5936654122183009</v>
      </c>
    </row>
    <row r="361" spans="5:7" x14ac:dyDescent="0.25">
      <c r="E361" s="11">
        <f t="shared" si="31"/>
        <v>19</v>
      </c>
      <c r="F361" s="11">
        <f t="shared" si="32"/>
        <v>3.2898819309017222</v>
      </c>
      <c r="G361" s="11">
        <f t="shared" si="33"/>
        <v>-7.2172446223749596</v>
      </c>
    </row>
    <row r="362" spans="5:7" x14ac:dyDescent="0.25">
      <c r="E362" s="11">
        <f t="shared" si="31"/>
        <v>20</v>
      </c>
      <c r="F362" s="11">
        <f t="shared" si="32"/>
        <v>3.0457048073897823</v>
      </c>
      <c r="G362" s="11">
        <f t="shared" si="33"/>
        <v>-6.8485957929181875</v>
      </c>
    </row>
    <row r="363" spans="5:7" x14ac:dyDescent="0.25">
      <c r="E363" s="11">
        <f t="shared" si="31"/>
        <v>21</v>
      </c>
      <c r="F363" s="11">
        <f t="shared" si="32"/>
        <v>2.7700038866864505</v>
      </c>
      <c r="G363" s="11">
        <f t="shared" si="33"/>
        <v>-6.4876648171190521</v>
      </c>
    </row>
    <row r="364" spans="5:7" x14ac:dyDescent="0.25">
      <c r="E364" s="11">
        <f t="shared" si="31"/>
        <v>22</v>
      </c>
      <c r="F364" s="11">
        <f t="shared" si="32"/>
        <v>2.4653069644287156</v>
      </c>
      <c r="G364" s="11">
        <f t="shared" si="33"/>
        <v>-6.1343975882486186</v>
      </c>
    </row>
    <row r="365" spans="5:7" x14ac:dyDescent="0.25">
      <c r="E365" s="11">
        <f t="shared" si="31"/>
        <v>23</v>
      </c>
      <c r="F365" s="11">
        <f t="shared" si="32"/>
        <v>2.1343222968561748</v>
      </c>
      <c r="G365" s="11">
        <f t="shared" si="33"/>
        <v>-5.7887399995779507</v>
      </c>
    </row>
    <row r="366" spans="5:7" x14ac:dyDescent="0.25">
      <c r="E366" s="11">
        <f t="shared" si="31"/>
        <v>24</v>
      </c>
      <c r="F366" s="11">
        <f t="shared" si="32"/>
        <v>1.7799318228487233</v>
      </c>
      <c r="G366" s="11">
        <f t="shared" si="33"/>
        <v>-5.4506379443781121</v>
      </c>
    </row>
    <row r="367" spans="5:7" x14ac:dyDescent="0.25">
      <c r="E367" s="11">
        <f t="shared" si="31"/>
        <v>25</v>
      </c>
      <c r="F367" s="11">
        <f t="shared" si="32"/>
        <v>1.4051833069670407</v>
      </c>
      <c r="G367" s="11">
        <f t="shared" si="33"/>
        <v>-5.1200373159201717</v>
      </c>
    </row>
    <row r="368" spans="5:7" x14ac:dyDescent="0.25">
      <c r="E368" s="11">
        <f t="shared" si="31"/>
        <v>26</v>
      </c>
      <c r="F368" s="11">
        <f t="shared" si="32"/>
        <v>1.0132813614514939</v>
      </c>
      <c r="G368" s="11">
        <f t="shared" si="33"/>
        <v>-4.7968840074751924</v>
      </c>
    </row>
    <row r="369" spans="5:7" x14ac:dyDescent="0.25">
      <c r="E369" s="11">
        <f t="shared" si="31"/>
        <v>27</v>
      </c>
      <c r="F369" s="11">
        <f t="shared" si="32"/>
        <v>0.60757730457157788</v>
      </c>
      <c r="G369" s="11">
        <f t="shared" si="33"/>
        <v>-4.4811239123142403</v>
      </c>
    </row>
    <row r="370" spans="5:7" x14ac:dyDescent="0.25">
      <c r="E370" s="11">
        <f t="shared" si="31"/>
        <v>28</v>
      </c>
      <c r="F370" s="11">
        <f t="shared" si="32"/>
        <v>0.19155781215423798</v>
      </c>
      <c r="G370" s="11">
        <f t="shared" si="33"/>
        <v>-4.1727029237083801</v>
      </c>
    </row>
    <row r="371" spans="5:7" x14ac:dyDescent="0.25">
      <c r="E371" s="11">
        <f t="shared" si="31"/>
        <v>29</v>
      </c>
      <c r="F371" s="11">
        <f t="shared" si="32"/>
        <v>-0.2311676814441001</v>
      </c>
      <c r="G371" s="11">
        <f t="shared" si="33"/>
        <v>-3.8715669349286768</v>
      </c>
    </row>
    <row r="372" spans="5:7" x14ac:dyDescent="0.25">
      <c r="E372" s="11">
        <f t="shared" si="31"/>
        <v>30</v>
      </c>
      <c r="F372" s="11">
        <f t="shared" si="32"/>
        <v>-0.65688087722072308</v>
      </c>
      <c r="G372" s="11">
        <f t="shared" si="33"/>
        <v>-3.577661839246197</v>
      </c>
    </row>
    <row r="373" spans="5:7" x14ac:dyDescent="0.25">
      <c r="E373" s="11">
        <f t="shared" si="31"/>
        <v>31</v>
      </c>
      <c r="F373" s="11">
        <f t="shared" si="32"/>
        <v>-1.0817698451275144</v>
      </c>
      <c r="G373" s="11">
        <f t="shared" si="33"/>
        <v>-3.2909335299320035</v>
      </c>
    </row>
    <row r="374" spans="5:7" x14ac:dyDescent="0.25">
      <c r="E374" s="11">
        <f t="shared" si="31"/>
        <v>32</v>
      </c>
      <c r="F374" s="11">
        <f t="shared" si="32"/>
        <v>-1.5019456428156914</v>
      </c>
      <c r="G374" s="11">
        <f t="shared" si="33"/>
        <v>-3.0113279002571627</v>
      </c>
    </row>
    <row r="375" spans="5:7" x14ac:dyDescent="0.25">
      <c r="E375" s="11">
        <f t="shared" si="31"/>
        <v>33</v>
      </c>
      <c r="F375" s="11">
        <f t="shared" si="32"/>
        <v>-1.9134603655142188</v>
      </c>
      <c r="G375" s="11">
        <f t="shared" si="33"/>
        <v>-2.7387908434927408</v>
      </c>
    </row>
    <row r="376" spans="5:7" x14ac:dyDescent="0.25">
      <c r="E376" s="11">
        <f t="shared" si="31"/>
        <v>34</v>
      </c>
      <c r="F376" s="11">
        <f t="shared" si="32"/>
        <v>-2.3123266735953201</v>
      </c>
      <c r="G376" s="11">
        <f t="shared" si="33"/>
        <v>-2.4732682529098016</v>
      </c>
    </row>
    <row r="377" spans="5:7" x14ac:dyDescent="0.25">
      <c r="E377" s="11">
        <f t="shared" si="31"/>
        <v>35</v>
      </c>
      <c r="F377" s="11">
        <f t="shared" si="32"/>
        <v>-2.6945388449441339</v>
      </c>
      <c r="G377" s="11">
        <f t="shared" si="33"/>
        <v>-2.2147060217794103</v>
      </c>
    </row>
    <row r="378" spans="5:7" x14ac:dyDescent="0.25">
      <c r="E378" s="11">
        <f t="shared" si="31"/>
        <v>36</v>
      </c>
      <c r="F378" s="11">
        <f t="shared" si="32"/>
        <v>-3.0560953998133069</v>
      </c>
      <c r="G378" s="11">
        <f t="shared" si="33"/>
        <v>-1.963050043372633</v>
      </c>
    </row>
    <row r="379" spans="5:7" x14ac:dyDescent="0.25">
      <c r="E379" s="11">
        <f t="shared" si="31"/>
        <v>37</v>
      </c>
      <c r="F379" s="11">
        <f t="shared" si="32"/>
        <v>-3.3930233464067894</v>
      </c>
      <c r="G379" s="11">
        <f t="shared" si="33"/>
        <v>-1.7182462109605345</v>
      </c>
    </row>
    <row r="380" spans="5:7" x14ac:dyDescent="0.25">
      <c r="E380" s="11">
        <f t="shared" si="31"/>
        <v>38</v>
      </c>
      <c r="F380" s="11">
        <f t="shared" si="32"/>
        <v>-3.7014040960009402</v>
      </c>
      <c r="G380" s="11">
        <f t="shared" si="33"/>
        <v>-1.4802404178141799</v>
      </c>
    </row>
    <row r="381" spans="5:7" x14ac:dyDescent="0.25">
      <c r="E381" s="11">
        <f t="shared" si="31"/>
        <v>39</v>
      </c>
      <c r="F381" s="11">
        <f t="shared" si="32"/>
        <v>-3.9774010969744817</v>
      </c>
      <c r="G381" s="11">
        <f t="shared" si="33"/>
        <v>-1.2489785572046341</v>
      </c>
    </row>
    <row r="382" spans="5:7" x14ac:dyDescent="0.25">
      <c r="E382" s="11">
        <f t="shared" si="31"/>
        <v>40</v>
      </c>
      <c r="F382" s="11">
        <f t="shared" si="32"/>
        <v>-4.2172892376826638</v>
      </c>
      <c r="G382" s="11">
        <f t="shared" si="33"/>
        <v>-1.0244065224029626</v>
      </c>
    </row>
    <row r="383" spans="5:7" x14ac:dyDescent="0.25">
      <c r="E383" s="11">
        <f t="shared" si="31"/>
        <v>41</v>
      </c>
      <c r="F383" s="11">
        <f t="shared" si="32"/>
        <v>-4.4174860686745134</v>
      </c>
      <c r="G383" s="11">
        <f t="shared" si="33"/>
        <v>-0.80647020668023028</v>
      </c>
    </row>
    <row r="384" spans="5:7" x14ac:dyDescent="0.25">
      <c r="E384" s="11">
        <f t="shared" si="31"/>
        <v>42</v>
      </c>
      <c r="F384" s="11">
        <f t="shared" si="32"/>
        <v>-4.5745848953157697</v>
      </c>
      <c r="G384" s="11">
        <f t="shared" si="33"/>
        <v>-0.59511550330750262</v>
      </c>
    </row>
    <row r="385" spans="5:7" x14ac:dyDescent="0.25">
      <c r="E385" s="11">
        <f t="shared" si="31"/>
        <v>43</v>
      </c>
      <c r="F385" s="11">
        <f t="shared" si="32"/>
        <v>-4.6853897924436776</v>
      </c>
      <c r="G385" s="11">
        <f t="shared" si="33"/>
        <v>-0.39028830555584504</v>
      </c>
    </row>
    <row r="386" spans="5:7" x14ac:dyDescent="0.25">
      <c r="E386" s="11">
        <f t="shared" si="31"/>
        <v>44</v>
      </c>
      <c r="F386" s="11">
        <f t="shared" si="32"/>
        <v>-4.7469525932435417</v>
      </c>
      <c r="G386" s="11">
        <f t="shared" si="33"/>
        <v>-0.19193450669632295</v>
      </c>
    </row>
    <row r="387" spans="5:7" x14ac:dyDescent="0.25">
      <c r="E387" s="11">
        <f t="shared" si="31"/>
        <v>45</v>
      </c>
      <c r="F387" s="11">
        <f t="shared" si="32"/>
        <v>-4.756611905100411</v>
      </c>
      <c r="G387" s="11">
        <f t="shared" si="33"/>
        <v>0</v>
      </c>
    </row>
    <row r="388" spans="5:7" x14ac:dyDescent="0.25">
      <c r="E388" s="11">
        <f t="shared" si="31"/>
        <v>46</v>
      </c>
      <c r="F388" s="11">
        <f t="shared" si="32"/>
        <v>-4.7120342057432083</v>
      </c>
      <c r="G388" s="11">
        <f t="shared" si="33"/>
        <v>0.1855906138807312</v>
      </c>
    </row>
    <row r="389" spans="5:7" x14ac:dyDescent="0.25">
      <c r="E389" s="11">
        <f t="shared" si="31"/>
        <v>47</v>
      </c>
      <c r="F389" s="11">
        <f t="shared" si="32"/>
        <v>-4.6112570735619105</v>
      </c>
      <c r="G389" s="11">
        <f t="shared" si="33"/>
        <v>0.36499790476817601</v>
      </c>
    </row>
    <row r="390" spans="5:7" x14ac:dyDescent="0.25">
      <c r="E390" s="11">
        <f t="shared" si="31"/>
        <v>48</v>
      </c>
      <c r="F390" s="11">
        <f t="shared" si="32"/>
        <v>-4.4527346065422311</v>
      </c>
      <c r="G390" s="11">
        <f t="shared" si="33"/>
        <v>0.53840373510331363</v>
      </c>
    </row>
    <row r="391" spans="5:7" x14ac:dyDescent="0.25">
      <c r="E391" s="11">
        <f t="shared" si="31"/>
        <v>49</v>
      </c>
      <c r="F391" s="11">
        <f t="shared" si="32"/>
        <v>-4.2353850848259329</v>
      </c>
      <c r="G391" s="11">
        <f t="shared" si="33"/>
        <v>0.70598996732712282</v>
      </c>
    </row>
    <row r="392" spans="5:7" x14ac:dyDescent="0.25">
      <c r="E392" s="11">
        <f t="shared" si="31"/>
        <v>50</v>
      </c>
      <c r="F392" s="11">
        <f t="shared" si="32"/>
        <v>-3.9586409324683922</v>
      </c>
      <c r="G392" s="11">
        <f t="shared" si="33"/>
        <v>0.8679384638805826</v>
      </c>
    </row>
    <row r="393" spans="5:7" x14ac:dyDescent="0.25">
      <c r="E393" s="11">
        <f t="shared" si="31"/>
        <v>51</v>
      </c>
      <c r="F393" s="11">
        <f t="shared" si="32"/>
        <v>-3.622501034528756</v>
      </c>
      <c r="G393" s="11">
        <f t="shared" si="33"/>
        <v>1.0244310872046722</v>
      </c>
    </row>
    <row r="394" spans="5:7" x14ac:dyDescent="0.25">
      <c r="E394" s="11">
        <f t="shared" si="31"/>
        <v>52</v>
      </c>
      <c r="F394" s="11">
        <f t="shared" si="32"/>
        <v>-3.2275854661916643</v>
      </c>
      <c r="G394" s="11">
        <f t="shared" si="33"/>
        <v>1.1756496997403705</v>
      </c>
    </row>
    <row r="395" spans="5:7" x14ac:dyDescent="0.25">
      <c r="E395" s="11">
        <f t="shared" si="31"/>
        <v>53</v>
      </c>
      <c r="F395" s="11">
        <f t="shared" si="32"/>
        <v>-2.7751926911831659</v>
      </c>
      <c r="G395" s="11">
        <f t="shared" si="33"/>
        <v>1.3217761639286563</v>
      </c>
    </row>
    <row r="396" spans="5:7" x14ac:dyDescent="0.25">
      <c r="E396" s="11">
        <f t="shared" si="31"/>
        <v>54</v>
      </c>
      <c r="F396" s="11">
        <f t="shared" si="32"/>
        <v>-2.2673592873071571</v>
      </c>
      <c r="G396" s="11">
        <f t="shared" si="33"/>
        <v>1.4629923422105091</v>
      </c>
    </row>
    <row r="397" spans="5:7" x14ac:dyDescent="0.25">
      <c r="E397" s="11">
        <f t="shared" si="31"/>
        <v>55</v>
      </c>
      <c r="F397" s="11">
        <f t="shared" si="32"/>
        <v>-1.7069222574921044</v>
      </c>
      <c r="G397" s="11">
        <f t="shared" si="33"/>
        <v>1.5994800970269076</v>
      </c>
    </row>
    <row r="398" spans="5:7" x14ac:dyDescent="0.25">
      <c r="E398" s="11">
        <f t="shared" si="31"/>
        <v>56</v>
      </c>
      <c r="F398" s="11">
        <f t="shared" si="32"/>
        <v>-1.0975839853016121</v>
      </c>
      <c r="G398" s="11">
        <f t="shared" si="33"/>
        <v>1.7314212908188309</v>
      </c>
    </row>
    <row r="399" spans="5:7" x14ac:dyDescent="0.25">
      <c r="E399" s="11">
        <f t="shared" si="31"/>
        <v>57</v>
      </c>
      <c r="F399" s="11">
        <f t="shared" si="32"/>
        <v>-0.44397989442623254</v>
      </c>
      <c r="G399" s="11">
        <f t="shared" si="33"/>
        <v>1.8589977860272577</v>
      </c>
    </row>
    <row r="400" spans="5:7" x14ac:dyDescent="0.25">
      <c r="E400" s="11">
        <f t="shared" si="31"/>
        <v>58</v>
      </c>
      <c r="F400" s="11">
        <f t="shared" si="32"/>
        <v>0.24825112776302904</v>
      </c>
      <c r="G400" s="11">
        <f t="shared" si="33"/>
        <v>1.9823914450931674</v>
      </c>
    </row>
    <row r="401" spans="5:7" x14ac:dyDescent="0.25">
      <c r="E401" s="11">
        <f t="shared" si="31"/>
        <v>59</v>
      </c>
      <c r="F401" s="11">
        <f t="shared" si="32"/>
        <v>0.97239348195478348</v>
      </c>
      <c r="G401" s="11">
        <f t="shared" si="33"/>
        <v>2.1017841304575389</v>
      </c>
    </row>
    <row r="402" spans="5:7" x14ac:dyDescent="0.25">
      <c r="E402" s="11">
        <f t="shared" si="31"/>
        <v>60</v>
      </c>
      <c r="F402" s="11">
        <f t="shared" si="32"/>
        <v>1.7205787227226814</v>
      </c>
      <c r="G402" s="11">
        <f t="shared" si="33"/>
        <v>2.2173577045613508</v>
      </c>
    </row>
    <row r="403" spans="5:7" x14ac:dyDescent="0.25">
      <c r="E403" s="11">
        <f t="shared" si="31"/>
        <v>61</v>
      </c>
      <c r="F403" s="11">
        <f t="shared" si="32"/>
        <v>2.4837064766650956</v>
      </c>
      <c r="G403" s="11">
        <f t="shared" si="33"/>
        <v>2.3292940298455829</v>
      </c>
    </row>
    <row r="404" spans="5:7" x14ac:dyDescent="0.25">
      <c r="E404" s="11">
        <f t="shared" si="31"/>
        <v>62</v>
      </c>
      <c r="F404" s="11">
        <f t="shared" si="32"/>
        <v>3.2513623505225877</v>
      </c>
      <c r="G404" s="11">
        <f t="shared" si="33"/>
        <v>2.437774968751214</v>
      </c>
    </row>
    <row r="405" spans="5:7" x14ac:dyDescent="0.25">
      <c r="E405" s="11">
        <f t="shared" si="31"/>
        <v>63</v>
      </c>
      <c r="F405" s="11">
        <f t="shared" si="32"/>
        <v>4.0117327663753031</v>
      </c>
      <c r="G405" s="11">
        <f t="shared" si="33"/>
        <v>2.5429823837192229</v>
      </c>
    </row>
    <row r="406" spans="5:7" x14ac:dyDescent="0.25">
      <c r="E406" s="11">
        <f t="shared" si="31"/>
        <v>64</v>
      </c>
      <c r="F406" s="11">
        <f t="shared" si="32"/>
        <v>4.7515166604568613</v>
      </c>
      <c r="G406" s="11">
        <f t="shared" si="33"/>
        <v>2.6450981371905882</v>
      </c>
    </row>
    <row r="407" spans="5:7" x14ac:dyDescent="0.25">
      <c r="E407" s="11">
        <f t="shared" si="31"/>
        <v>65</v>
      </c>
      <c r="F407" s="11">
        <f t="shared" si="32"/>
        <v>5.4558339815585297</v>
      </c>
      <c r="G407" s="11">
        <f t="shared" si="33"/>
        <v>2.7443040916062893</v>
      </c>
    </row>
    <row r="408" spans="5:7" x14ac:dyDescent="0.25">
      <c r="E408" s="11">
        <f t="shared" si="31"/>
        <v>66</v>
      </c>
      <c r="F408" s="11">
        <f t="shared" si="32"/>
        <v>6.1081309244340982</v>
      </c>
      <c r="G408" s="11">
        <f t="shared" si="33"/>
        <v>2.8407821094073058</v>
      </c>
    </row>
    <row r="409" spans="5:7" x14ac:dyDescent="0.25">
      <c r="E409" s="11">
        <f t="shared" si="31"/>
        <v>67</v>
      </c>
      <c r="F409" s="11">
        <f t="shared" si="32"/>
        <v>6.6900818330514289</v>
      </c>
      <c r="G409" s="11">
        <f t="shared" si="33"/>
        <v>2.9347140530346154</v>
      </c>
    </row>
    <row r="410" spans="5:7" x14ac:dyDescent="0.25">
      <c r="E410" s="11">
        <f t="shared" si="31"/>
        <v>68</v>
      </c>
      <c r="F410" s="11">
        <f t="shared" si="32"/>
        <v>7.1814877079738109</v>
      </c>
      <c r="G410" s="11">
        <f t="shared" si="33"/>
        <v>3.0262817849291981</v>
      </c>
    </row>
    <row r="411" spans="5:7" x14ac:dyDescent="0.25">
      <c r="E411" s="11">
        <f t="shared" si="31"/>
        <v>69</v>
      </c>
      <c r="F411" s="11">
        <f t="shared" si="32"/>
        <v>7.56017125158988</v>
      </c>
      <c r="G411" s="11">
        <f t="shared" si="33"/>
        <v>3.1156671675320333</v>
      </c>
    </row>
    <row r="412" spans="5:7" x14ac:dyDescent="0.25">
      <c r="E412" s="11">
        <f t="shared" si="31"/>
        <v>70</v>
      </c>
      <c r="F412" s="11">
        <f t="shared" si="32"/>
        <v>7.8018683843479675</v>
      </c>
      <c r="G412" s="11">
        <f t="shared" si="33"/>
        <v>3.2030520632840989</v>
      </c>
    </row>
    <row r="413" spans="5:7" x14ac:dyDescent="0.25">
      <c r="E413" s="11">
        <f t="shared" si="31"/>
        <v>71</v>
      </c>
      <c r="F413" s="11">
        <f t="shared" si="32"/>
        <v>7.8801161645863544</v>
      </c>
      <c r="G413" s="11">
        <f t="shared" si="33"/>
        <v>3.2886183346263742</v>
      </c>
    </row>
    <row r="414" spans="5:7" x14ac:dyDescent="0.25">
      <c r="E414" s="11">
        <f t="shared" si="31"/>
        <v>72</v>
      </c>
      <c r="F414" s="11">
        <f t="shared" si="32"/>
        <v>7.7661370439879676</v>
      </c>
      <c r="G414" s="11">
        <f t="shared" si="33"/>
        <v>3.3725478439998384</v>
      </c>
    </row>
    <row r="415" spans="5:7" x14ac:dyDescent="0.25">
      <c r="E415" s="11">
        <f t="shared" ref="E415:E422" si="34">E208</f>
        <v>73</v>
      </c>
      <c r="F415" s="11">
        <f t="shared" ref="F415:F422" si="35">$H$217*0+E415*$I$217+E415^2*$J$217+E415^3*$K$217+E415^4*$L$217+E415^5*$M$217+E415^6*$N$217+E415^7*$O$217+E415^8*$P$217</f>
        <v>7.4287193901242325</v>
      </c>
      <c r="G415" s="11">
        <f t="shared" ref="G415:G422" si="36">F208</f>
        <v>3.455022453845471</v>
      </c>
    </row>
    <row r="416" spans="5:7" x14ac:dyDescent="0.25">
      <c r="E416" s="11">
        <f t="shared" si="34"/>
        <v>74</v>
      </c>
      <c r="F416" s="11">
        <f t="shared" si="35"/>
        <v>6.8340942069875901</v>
      </c>
      <c r="G416" s="11">
        <f t="shared" si="36"/>
        <v>3.5362240266042502</v>
      </c>
    </row>
    <row r="417" spans="5:7" x14ac:dyDescent="0.25">
      <c r="E417" s="11">
        <f t="shared" si="34"/>
        <v>75</v>
      </c>
      <c r="F417" s="11">
        <f t="shared" si="35"/>
        <v>5.9458079838526707</v>
      </c>
      <c r="G417" s="11">
        <f t="shared" si="36"/>
        <v>3.6163344247171554</v>
      </c>
    </row>
    <row r="418" spans="5:7" x14ac:dyDescent="0.25">
      <c r="E418" s="11">
        <f t="shared" si="34"/>
        <v>76</v>
      </c>
      <c r="F418" s="11">
        <f t="shared" si="35"/>
        <v>4.7245916022368952</v>
      </c>
      <c r="G418" s="11">
        <f t="shared" si="36"/>
        <v>3.6955355106251657</v>
      </c>
    </row>
    <row r="419" spans="5:7" x14ac:dyDescent="0.25">
      <c r="E419" s="11">
        <f t="shared" si="34"/>
        <v>77</v>
      </c>
      <c r="F419" s="11">
        <f t="shared" si="35"/>
        <v>3.1282252301723723</v>
      </c>
      <c r="G419" s="11">
        <f t="shared" si="36"/>
        <v>3.7740091467692598</v>
      </c>
    </row>
    <row r="420" spans="5:7" x14ac:dyDescent="0.25">
      <c r="E420" s="11">
        <f t="shared" si="34"/>
        <v>78</v>
      </c>
      <c r="F420" s="11">
        <f t="shared" si="35"/>
        <v>1.1113991324347232</v>
      </c>
      <c r="G420" s="11">
        <f t="shared" si="36"/>
        <v>3.8519371955904167</v>
      </c>
    </row>
    <row r="421" spans="5:7" x14ac:dyDescent="0.25">
      <c r="E421" s="11">
        <f t="shared" si="34"/>
        <v>79</v>
      </c>
      <c r="F421" s="11">
        <f t="shared" si="35"/>
        <v>-1.3744296751883418</v>
      </c>
      <c r="G421" s="11">
        <f t="shared" si="36"/>
        <v>3.9295015195296163</v>
      </c>
    </row>
    <row r="422" spans="5:7" x14ac:dyDescent="0.25">
      <c r="E422" s="11">
        <f t="shared" si="34"/>
        <v>80</v>
      </c>
      <c r="F422" s="11">
        <f t="shared" si="35"/>
        <v>-4.3811850000695074</v>
      </c>
      <c r="G422" s="11">
        <f t="shared" si="36"/>
        <v>4.0068839810278361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-1.508E-5</v>
      </c>
      <c r="C3" s="2">
        <v>1.3990000000000001E-4</v>
      </c>
      <c r="D3" s="2">
        <v>-4.2339999999999999E-4</v>
      </c>
      <c r="E3" s="2">
        <v>0</v>
      </c>
      <c r="F3" s="2">
        <v>0</v>
      </c>
      <c r="G3" s="2">
        <v>0</v>
      </c>
      <c r="H3" s="2">
        <v>3.2312172000000002E-5</v>
      </c>
      <c r="I3" s="2">
        <v>1.2647863999999999E-5</v>
      </c>
      <c r="J3" s="2">
        <v>-9.1046880999999999E-5</v>
      </c>
      <c r="K3" s="3"/>
      <c r="L3" s="3">
        <f>-B3/D3</f>
        <v>-3.5616438356164383E-2</v>
      </c>
      <c r="M3" s="3"/>
      <c r="N3" s="2">
        <f>IF('Modell einstellen'!$B$1="Voll",H3/0.35,H3/0.35*2)</f>
        <v>1.8464098285714289E-4</v>
      </c>
      <c r="O3" s="2">
        <f>IF('Modell einstellen'!$B$1="Voll",J3/0.35,J3/0.35*2)</f>
        <v>-5.2026789142857141E-4</v>
      </c>
      <c r="P3" s="3">
        <f>-N3/O3</f>
        <v>0.35489597935815076</v>
      </c>
      <c r="Q3" s="3"/>
      <c r="R3" s="3"/>
      <c r="S3" s="3"/>
      <c r="T3" s="3"/>
      <c r="U3" s="3"/>
      <c r="V3" s="3"/>
      <c r="W3" s="3"/>
    </row>
    <row r="4" spans="1:23" x14ac:dyDescent="0.25">
      <c r="A4" s="2">
        <v>1E-14</v>
      </c>
      <c r="B4" s="2">
        <v>-1.509E-5</v>
      </c>
      <c r="C4" s="2">
        <v>1.3990000000000001E-4</v>
      </c>
      <c r="D4" s="2">
        <v>-4.2339999999999999E-4</v>
      </c>
      <c r="E4" s="2">
        <v>0</v>
      </c>
      <c r="F4" s="2">
        <v>0</v>
      </c>
      <c r="G4" s="2">
        <v>0</v>
      </c>
      <c r="H4" s="2">
        <v>3.2312252999999997E-5</v>
      </c>
      <c r="I4" s="2">
        <v>1.2648872E-5</v>
      </c>
      <c r="J4" s="2">
        <v>-9.1045558999999996E-5</v>
      </c>
      <c r="K4" s="3"/>
      <c r="L4" s="3">
        <f t="shared" ref="L4:L33" si="0">-B4/D4</f>
        <v>-3.5640056683986773E-2</v>
      </c>
      <c r="M4" s="3"/>
      <c r="N4" s="2">
        <f>IF('Modell einstellen'!$B$1="Voll",H4/0.35,H4/0.35*2)</f>
        <v>1.8464144571428572E-4</v>
      </c>
      <c r="O4" s="2">
        <f>IF('Modell einstellen'!$B$1="Voll",J4/0.35,J4/0.35*2)</f>
        <v>-5.2026033714285718E-4</v>
      </c>
      <c r="P4" s="3">
        <f t="shared" ref="P4:P33" si="1">-N4/O4</f>
        <v>0.35490202218430006</v>
      </c>
      <c r="Q4" s="3"/>
      <c r="R4" s="3"/>
      <c r="S4" s="3"/>
      <c r="T4" s="3"/>
      <c r="U4" s="3"/>
      <c r="V4" s="3"/>
      <c r="W4" s="3"/>
    </row>
    <row r="5" spans="1:23" x14ac:dyDescent="0.25">
      <c r="A5" s="2">
        <v>1E-13</v>
      </c>
      <c r="B5" s="2">
        <v>-1.508E-5</v>
      </c>
      <c r="C5" s="2">
        <v>1.3990000000000001E-4</v>
      </c>
      <c r="D5" s="2">
        <v>-4.2339999999999999E-4</v>
      </c>
      <c r="E5" s="2">
        <v>0</v>
      </c>
      <c r="F5" s="2">
        <v>0</v>
      </c>
      <c r="G5" s="2">
        <v>0</v>
      </c>
      <c r="H5" s="2">
        <v>3.2312425000000001E-5</v>
      </c>
      <c r="I5" s="2">
        <v>1.2649034999999999E-5</v>
      </c>
      <c r="J5" s="2">
        <v>-9.1046032999999999E-5</v>
      </c>
      <c r="K5" s="3"/>
      <c r="L5" s="3">
        <f t="shared" si="0"/>
        <v>-3.5616438356164383E-2</v>
      </c>
      <c r="M5" s="3"/>
      <c r="N5" s="2">
        <f>IF('Modell einstellen'!$B$1="Voll",H5/0.35,H5/0.35*2)</f>
        <v>1.8464242857142859E-4</v>
      </c>
      <c r="O5" s="2">
        <f>IF('Modell einstellen'!$B$1="Voll",J5/0.35,J5/0.35*2)</f>
        <v>-5.2026304571428574E-4</v>
      </c>
      <c r="P5" s="3">
        <f t="shared" si="1"/>
        <v>0.3549020636626749</v>
      </c>
      <c r="Q5" s="3"/>
      <c r="R5" s="3"/>
      <c r="S5" s="3"/>
      <c r="T5" s="3"/>
      <c r="U5" s="3"/>
      <c r="V5" s="3"/>
      <c r="W5" s="3"/>
    </row>
    <row r="6" spans="1:23" x14ac:dyDescent="0.25">
      <c r="A6" s="2">
        <v>9.9999999999999998E-13</v>
      </c>
      <c r="B6" s="2">
        <v>-1.508E-5</v>
      </c>
      <c r="C6" s="2">
        <v>1.3990000000000001E-4</v>
      </c>
      <c r="D6" s="2">
        <v>-4.2339999999999999E-4</v>
      </c>
      <c r="E6" s="2">
        <v>0</v>
      </c>
      <c r="F6" s="2">
        <v>0</v>
      </c>
      <c r="G6" s="2">
        <v>0</v>
      </c>
      <c r="H6" s="2">
        <v>3.2312469000000001E-5</v>
      </c>
      <c r="I6" s="2">
        <v>1.2649079999999999E-5</v>
      </c>
      <c r="J6" s="2">
        <v>-9.1046158999999997E-5</v>
      </c>
      <c r="K6" s="3"/>
      <c r="L6" s="3">
        <f t="shared" si="0"/>
        <v>-3.5616438356164383E-2</v>
      </c>
      <c r="M6" s="3"/>
      <c r="N6" s="2">
        <f>IF('Modell einstellen'!$B$1="Voll",H6/0.35,H6/0.35*2)</f>
        <v>1.8464268000000002E-4</v>
      </c>
      <c r="O6" s="2">
        <f>IF('Modell einstellen'!$B$1="Voll",J6/0.35,J6/0.35*2)</f>
        <v>-5.2026376571428568E-4</v>
      </c>
      <c r="P6" s="3">
        <f t="shared" si="1"/>
        <v>0.35490205578029937</v>
      </c>
      <c r="Q6" s="3"/>
      <c r="R6" s="3"/>
      <c r="S6" s="3"/>
      <c r="T6" s="3"/>
      <c r="U6" s="3"/>
      <c r="V6" s="3"/>
      <c r="W6" s="3"/>
    </row>
    <row r="7" spans="1:23" x14ac:dyDescent="0.25">
      <c r="A7" s="2">
        <v>9.9999999999999994E-12</v>
      </c>
      <c r="B7" s="2">
        <v>-1.508E-5</v>
      </c>
      <c r="C7" s="2">
        <v>1.3990000000000001E-4</v>
      </c>
      <c r="D7" s="2">
        <v>-4.2339999999999999E-4</v>
      </c>
      <c r="E7" s="2">
        <v>0</v>
      </c>
      <c r="F7" s="2">
        <v>0</v>
      </c>
      <c r="G7" s="2">
        <v>0</v>
      </c>
      <c r="H7" s="2">
        <v>3.2312481000000001E-5</v>
      </c>
      <c r="I7" s="2">
        <v>1.2649094000000001E-5</v>
      </c>
      <c r="J7" s="2">
        <v>-9.1046195999999998E-5</v>
      </c>
      <c r="K7" s="3"/>
      <c r="L7" s="3">
        <f t="shared" si="0"/>
        <v>-3.5616438356164383E-2</v>
      </c>
      <c r="M7" s="3"/>
      <c r="N7" s="2">
        <f>IF('Modell einstellen'!$B$1="Voll",H7/0.35,H7/0.35*2)</f>
        <v>1.8464274857142858E-4</v>
      </c>
      <c r="O7" s="2">
        <f>IF('Modell einstellen'!$B$1="Voll",J7/0.35,J7/0.35*2)</f>
        <v>-5.2026397714285716E-4</v>
      </c>
      <c r="P7" s="3">
        <f t="shared" si="1"/>
        <v>0.35490204335390357</v>
      </c>
      <c r="Q7" s="3"/>
      <c r="R7" s="3"/>
      <c r="S7" s="3"/>
      <c r="T7" s="3"/>
      <c r="U7" s="3"/>
      <c r="V7" s="3"/>
      <c r="W7" s="3"/>
    </row>
    <row r="8" spans="1:23" x14ac:dyDescent="0.25">
      <c r="A8" s="2">
        <v>1E-10</v>
      </c>
      <c r="B8" s="2">
        <v>-1.508E-5</v>
      </c>
      <c r="C8" s="2">
        <v>1.3990000000000001E-4</v>
      </c>
      <c r="D8" s="2">
        <v>-4.2339999999999999E-4</v>
      </c>
      <c r="E8" s="2">
        <v>0</v>
      </c>
      <c r="F8" s="2">
        <v>0</v>
      </c>
      <c r="G8" s="2">
        <v>0</v>
      </c>
      <c r="H8" s="2">
        <v>3.2312484999999998E-5</v>
      </c>
      <c r="I8" s="2">
        <v>1.2649098E-5</v>
      </c>
      <c r="J8" s="2">
        <v>-9.1046206999999995E-5</v>
      </c>
      <c r="K8" s="3"/>
      <c r="L8" s="3">
        <f t="shared" si="0"/>
        <v>-3.5616438356164383E-2</v>
      </c>
      <c r="M8" s="3"/>
      <c r="N8" s="2">
        <f>IF('Modell einstellen'!$B$1="Voll",H8/0.35,H8/0.35*2)</f>
        <v>1.8464277142857144E-4</v>
      </c>
      <c r="O8" s="2">
        <f>IF('Modell einstellen'!$B$1="Voll",J8/0.35,J8/0.35*2)</f>
        <v>-5.2026404000000005E-4</v>
      </c>
      <c r="P8" s="3">
        <f t="shared" si="1"/>
        <v>0.35490204440916467</v>
      </c>
      <c r="Q8" s="3"/>
      <c r="R8" s="3"/>
      <c r="S8" s="3"/>
      <c r="T8" s="3"/>
      <c r="U8" s="3"/>
      <c r="V8" s="3"/>
      <c r="W8" s="3"/>
    </row>
    <row r="9" spans="1:23" x14ac:dyDescent="0.25">
      <c r="A9" s="2">
        <v>1.0000000000000001E-9</v>
      </c>
      <c r="B9" s="2">
        <v>-1.508E-5</v>
      </c>
      <c r="C9" s="2">
        <v>1.3990000000000001E-4</v>
      </c>
      <c r="D9" s="2">
        <v>-4.2339999999999999E-4</v>
      </c>
      <c r="E9" s="2">
        <v>0</v>
      </c>
      <c r="F9" s="2">
        <v>0</v>
      </c>
      <c r="G9" s="2">
        <v>0</v>
      </c>
      <c r="H9" s="2">
        <v>3.2312486000000001E-5</v>
      </c>
      <c r="I9" s="2">
        <v>1.2649098999999999E-5</v>
      </c>
      <c r="J9" s="2">
        <v>-9.1046211000000006E-5</v>
      </c>
      <c r="K9" s="3"/>
      <c r="L9" s="3">
        <f t="shared" si="0"/>
        <v>-3.5616438356164383E-2</v>
      </c>
      <c r="M9" s="3"/>
      <c r="N9" s="2">
        <f>IF('Modell einstellen'!$B$1="Voll",H9/0.35,H9/0.35*2)</f>
        <v>1.8464277714285717E-4</v>
      </c>
      <c r="O9" s="2">
        <f>IF('Modell einstellen'!$B$1="Voll",J9/0.35,J9/0.35*2)</f>
        <v>-5.2026406285714288E-4</v>
      </c>
      <c r="P9" s="3">
        <f t="shared" si="1"/>
        <v>0.35490203980042623</v>
      </c>
      <c r="Q9" s="3"/>
      <c r="R9" s="3"/>
      <c r="S9" s="3"/>
      <c r="T9" s="3"/>
      <c r="U9" s="3"/>
      <c r="V9" s="3"/>
      <c r="W9" s="3"/>
    </row>
    <row r="10" spans="1:23" x14ac:dyDescent="0.25">
      <c r="A10" s="2">
        <v>1E-8</v>
      </c>
      <c r="B10" s="2">
        <v>-1.508E-5</v>
      </c>
      <c r="C10" s="2">
        <v>1.3990000000000001E-4</v>
      </c>
      <c r="D10" s="2">
        <v>-4.2339999999999999E-4</v>
      </c>
      <c r="E10" s="2">
        <v>0</v>
      </c>
      <c r="F10" s="2">
        <v>0</v>
      </c>
      <c r="G10" s="2">
        <v>0</v>
      </c>
      <c r="H10" s="2">
        <v>3.2312486999999997E-5</v>
      </c>
      <c r="I10" s="2">
        <v>1.2649100000000001E-5</v>
      </c>
      <c r="J10" s="2">
        <v>-9.1046212999999998E-5</v>
      </c>
      <c r="K10" s="3"/>
      <c r="L10" s="3">
        <f t="shared" si="0"/>
        <v>-3.5616438356164383E-2</v>
      </c>
      <c r="M10" s="3"/>
      <c r="N10" s="2">
        <f>IF('Modell einstellen'!$B$1="Voll",H10/0.35,H10/0.35*2)</f>
        <v>1.8464278285714285E-4</v>
      </c>
      <c r="O10" s="2">
        <f>IF('Modell einstellen'!$B$1="Voll",J10/0.35,J10/0.35*2)</f>
        <v>-5.2026407428571429E-4</v>
      </c>
      <c r="P10" s="3">
        <f t="shared" si="1"/>
        <v>0.35490204298777367</v>
      </c>
      <c r="Q10" s="3"/>
      <c r="R10" s="3"/>
      <c r="S10" s="3"/>
      <c r="T10" s="3"/>
      <c r="U10" s="3"/>
      <c r="V10" s="3"/>
      <c r="W10" s="3"/>
    </row>
    <row r="11" spans="1:23" x14ac:dyDescent="0.25">
      <c r="A11" s="2">
        <v>9.9999999999999995E-8</v>
      </c>
      <c r="B11" s="2">
        <v>-1.508E-5</v>
      </c>
      <c r="C11" s="2">
        <v>1.3990000000000001E-4</v>
      </c>
      <c r="D11" s="2">
        <v>-4.2339999999999999E-4</v>
      </c>
      <c r="E11" s="2">
        <v>0</v>
      </c>
      <c r="F11" s="2">
        <v>0</v>
      </c>
      <c r="G11" s="2">
        <v>0</v>
      </c>
      <c r="H11" s="2">
        <v>3.2312488E-5</v>
      </c>
      <c r="I11" s="2">
        <v>1.2649100000000001E-5</v>
      </c>
      <c r="J11" s="2">
        <v>-9.1046215000000004E-5</v>
      </c>
      <c r="K11" s="3"/>
      <c r="L11" s="3">
        <f t="shared" si="0"/>
        <v>-3.5616438356164383E-2</v>
      </c>
      <c r="M11" s="3"/>
      <c r="N11" s="2">
        <f>IF('Modell einstellen'!$B$1="Voll",H11/0.35,H11/0.35*2)</f>
        <v>1.8464278857142859E-4</v>
      </c>
      <c r="O11" s="2">
        <f>IF('Modell einstellen'!$B$1="Voll",J11/0.35,J11/0.35*2)</f>
        <v>-5.2026408571428581E-4</v>
      </c>
      <c r="P11" s="3">
        <f t="shared" si="1"/>
        <v>0.354902046175121</v>
      </c>
      <c r="Q11" s="3"/>
      <c r="R11" s="3"/>
      <c r="S11" s="3"/>
      <c r="T11" s="3"/>
      <c r="U11" s="3"/>
      <c r="V11" s="3"/>
      <c r="W11" s="3"/>
    </row>
    <row r="12" spans="1:23" x14ac:dyDescent="0.25">
      <c r="A12" s="2">
        <v>9.9999999999999995E-7</v>
      </c>
      <c r="B12" s="2">
        <v>-1.508E-5</v>
      </c>
      <c r="C12" s="2">
        <v>1.3990000000000001E-4</v>
      </c>
      <c r="D12" s="2">
        <v>-4.2339999999999999E-4</v>
      </c>
      <c r="E12" s="2">
        <v>0</v>
      </c>
      <c r="F12" s="2">
        <v>0</v>
      </c>
      <c r="G12" s="2">
        <v>0</v>
      </c>
      <c r="H12" s="2">
        <v>3.2312498000000001E-5</v>
      </c>
      <c r="I12" s="2">
        <v>1.2649101999999999E-5</v>
      </c>
      <c r="J12" s="2">
        <v>-9.1046229999999998E-5</v>
      </c>
      <c r="K12" s="3"/>
      <c r="L12" s="3">
        <f t="shared" si="0"/>
        <v>-3.5616438356164383E-2</v>
      </c>
      <c r="M12" s="3"/>
      <c r="N12" s="2">
        <f>IF('Modell einstellen'!$B$1="Voll",H12/0.35,H12/0.35*2)</f>
        <v>1.8464284571428574E-4</v>
      </c>
      <c r="O12" s="2">
        <f>IF('Modell einstellen'!$B$1="Voll",J12/0.35,J12/0.35*2)</f>
        <v>-5.2026417142857142E-4</v>
      </c>
      <c r="P12" s="3">
        <f t="shared" si="1"/>
        <v>0.35490209753879987</v>
      </c>
      <c r="Q12" s="3"/>
      <c r="R12" s="3"/>
      <c r="S12" s="3"/>
      <c r="T12" s="3"/>
      <c r="U12" s="3"/>
      <c r="V12" s="3"/>
      <c r="W12" s="3"/>
    </row>
    <row r="13" spans="1:23" x14ac:dyDescent="0.25">
      <c r="A13" s="2">
        <v>1.0000000000000001E-5</v>
      </c>
      <c r="B13" s="2">
        <v>-1.508E-5</v>
      </c>
      <c r="C13" s="2">
        <v>1.3990000000000001E-4</v>
      </c>
      <c r="D13" s="2">
        <v>-4.2339999999999999E-4</v>
      </c>
      <c r="E13" s="2">
        <v>0</v>
      </c>
      <c r="F13" s="2">
        <v>0</v>
      </c>
      <c r="G13" s="2">
        <v>0</v>
      </c>
      <c r="H13" s="2">
        <v>3.2312596000000002E-5</v>
      </c>
      <c r="I13" s="2">
        <v>1.2649117E-5</v>
      </c>
      <c r="J13" s="2">
        <v>-9.1046379999999995E-5</v>
      </c>
      <c r="K13" s="3"/>
      <c r="L13" s="3">
        <f t="shared" si="0"/>
        <v>-3.5616438356164383E-2</v>
      </c>
      <c r="M13" s="3"/>
      <c r="N13" s="2">
        <f>IF('Modell einstellen'!$B$1="Voll",H13/0.35,H13/0.35*2)</f>
        <v>1.8464340571428575E-4</v>
      </c>
      <c r="O13" s="2">
        <f>IF('Modell einstellen'!$B$1="Voll",J13/0.35,J13/0.35*2)</f>
        <v>-5.2026502857142854E-4</v>
      </c>
      <c r="P13" s="3">
        <f t="shared" si="1"/>
        <v>0.35490258920783019</v>
      </c>
      <c r="Q13" s="3"/>
      <c r="R13" s="3"/>
      <c r="S13" s="3"/>
      <c r="T13" s="3"/>
      <c r="U13" s="3"/>
      <c r="V13" s="3"/>
      <c r="W13" s="3"/>
    </row>
    <row r="14" spans="1:23" x14ac:dyDescent="0.25">
      <c r="A14" s="2">
        <v>1E-4</v>
      </c>
      <c r="B14" s="2">
        <v>-1.509E-5</v>
      </c>
      <c r="C14" s="2">
        <v>1.3990000000000001E-4</v>
      </c>
      <c r="D14" s="2">
        <v>-4.2339999999999999E-4</v>
      </c>
      <c r="E14" s="2">
        <v>0</v>
      </c>
      <c r="F14" s="2">
        <v>0</v>
      </c>
      <c r="G14" s="2">
        <v>0</v>
      </c>
      <c r="H14" s="2">
        <v>3.231358E-5</v>
      </c>
      <c r="I14" s="2">
        <v>1.2649271E-5</v>
      </c>
      <c r="J14" s="2">
        <v>-9.1047877999999999E-5</v>
      </c>
      <c r="K14" s="3"/>
      <c r="L14" s="3">
        <f t="shared" si="0"/>
        <v>-3.5640056683986773E-2</v>
      </c>
      <c r="M14" s="3"/>
      <c r="N14" s="2">
        <f>IF('Modell einstellen'!$B$1="Voll",H14/0.35,H14/0.35*2)</f>
        <v>1.8464902857142859E-4</v>
      </c>
      <c r="O14" s="2">
        <f>IF('Modell einstellen'!$B$1="Voll",J14/0.35,J14/0.35*2)</f>
        <v>-5.202735885714286E-4</v>
      </c>
      <c r="P14" s="3">
        <f t="shared" si="1"/>
        <v>0.35490755753802411</v>
      </c>
      <c r="Q14" s="3"/>
      <c r="R14" s="3"/>
      <c r="S14" s="3"/>
      <c r="T14" s="3"/>
      <c r="U14" s="3"/>
      <c r="V14" s="3"/>
      <c r="W14" s="3"/>
    </row>
    <row r="15" spans="1:23" x14ac:dyDescent="0.25">
      <c r="A15" s="2">
        <v>1E-3</v>
      </c>
      <c r="B15" s="2">
        <v>-1.5140000000000001E-5</v>
      </c>
      <c r="C15" s="2">
        <v>1.3990000000000001E-4</v>
      </c>
      <c r="D15" s="2">
        <v>-4.2329999999999999E-4</v>
      </c>
      <c r="E15" s="2">
        <v>0</v>
      </c>
      <c r="F15" s="2">
        <v>0</v>
      </c>
      <c r="G15" s="2">
        <v>0</v>
      </c>
      <c r="H15" s="2">
        <v>3.2323336999999997E-5</v>
      </c>
      <c r="I15" s="2">
        <v>1.2650798E-5</v>
      </c>
      <c r="J15" s="2">
        <v>-9.1062729000000004E-5</v>
      </c>
      <c r="K15" s="3"/>
      <c r="L15" s="3">
        <f t="shared" si="0"/>
        <v>-3.5766595794944483E-2</v>
      </c>
      <c r="M15" s="3"/>
      <c r="N15" s="2">
        <f>IF('Modell einstellen'!$B$1="Voll",H15/0.35,H15/0.35*2)</f>
        <v>1.8470478285714285E-4</v>
      </c>
      <c r="O15" s="2">
        <f>IF('Modell einstellen'!$B$1="Voll",J15/0.35,J15/0.35*2)</f>
        <v>-5.2035845142857145E-4</v>
      </c>
      <c r="P15" s="3">
        <f t="shared" si="1"/>
        <v>0.35495682322457078</v>
      </c>
      <c r="Q15" s="3"/>
      <c r="R15" s="3"/>
      <c r="S15" s="3"/>
      <c r="T15" s="3"/>
      <c r="U15" s="3"/>
      <c r="V15" s="3"/>
      <c r="W15" s="3"/>
    </row>
    <row r="16" spans="1:23" x14ac:dyDescent="0.25">
      <c r="A16" s="2">
        <v>0.01</v>
      </c>
      <c r="B16" s="2">
        <v>-1.5639999999999999E-5</v>
      </c>
      <c r="C16" s="2">
        <v>1.3999999999999999E-4</v>
      </c>
      <c r="D16" s="2">
        <v>-4.2319999999999999E-4</v>
      </c>
      <c r="E16" s="2">
        <v>0</v>
      </c>
      <c r="F16" s="2">
        <v>0</v>
      </c>
      <c r="G16" s="2">
        <v>0</v>
      </c>
      <c r="H16" s="2">
        <v>3.2416689999999997E-5</v>
      </c>
      <c r="I16" s="2">
        <v>1.2665400000000001E-5</v>
      </c>
      <c r="J16" s="2">
        <v>-9.1204778999999994E-5</v>
      </c>
      <c r="K16" s="3"/>
      <c r="L16" s="3">
        <f t="shared" si="0"/>
        <v>-3.6956521739130437E-2</v>
      </c>
      <c r="M16" s="3"/>
      <c r="N16" s="2">
        <f>IF('Modell einstellen'!$B$1="Voll",H16/0.35,H16/0.35*2)</f>
        <v>1.8523822857142855E-4</v>
      </c>
      <c r="O16" s="2">
        <f>IF('Modell einstellen'!$B$1="Voll",J16/0.35,J16/0.35*2)</f>
        <v>-5.2117016571428566E-4</v>
      </c>
      <c r="P16" s="3">
        <f t="shared" si="1"/>
        <v>0.35542753741007366</v>
      </c>
      <c r="Q16" s="3"/>
      <c r="R16" s="3"/>
      <c r="S16" s="3"/>
      <c r="T16" s="3"/>
      <c r="U16" s="3"/>
      <c r="V16" s="3"/>
      <c r="W16" s="3"/>
    </row>
    <row r="17" spans="1:23" x14ac:dyDescent="0.25">
      <c r="A17" s="2">
        <v>0.1</v>
      </c>
      <c r="B17" s="2">
        <v>-1.9320000000000001E-5</v>
      </c>
      <c r="C17" s="2">
        <v>1.4119999999999999E-4</v>
      </c>
      <c r="D17" s="2">
        <v>-4.2240000000000002E-4</v>
      </c>
      <c r="E17" s="2">
        <v>0</v>
      </c>
      <c r="F17" s="2">
        <v>0</v>
      </c>
      <c r="G17" s="2">
        <v>0</v>
      </c>
      <c r="H17" s="2">
        <v>3.3105370000000001E-5</v>
      </c>
      <c r="I17" s="2">
        <v>1.2772326000000001E-5</v>
      </c>
      <c r="J17" s="2">
        <v>-9.2249615E-5</v>
      </c>
      <c r="K17" s="3"/>
      <c r="L17" s="3">
        <f t="shared" si="0"/>
        <v>-4.5738636363636363E-2</v>
      </c>
      <c r="M17" s="3"/>
      <c r="N17" s="2">
        <f>IF('Modell einstellen'!$B$1="Voll",H17/0.35,H17/0.35*2)</f>
        <v>1.8917354285714286E-4</v>
      </c>
      <c r="O17" s="2">
        <f>IF('Modell einstellen'!$B$1="Voll",J17/0.35,J17/0.35*2)</f>
        <v>-5.2714065714285722E-4</v>
      </c>
      <c r="P17" s="3">
        <f t="shared" si="1"/>
        <v>0.35886729716974969</v>
      </c>
      <c r="Q17" s="3"/>
      <c r="R17" s="3"/>
      <c r="S17" s="3"/>
      <c r="T17" s="3"/>
      <c r="U17" s="3"/>
      <c r="V17" s="3"/>
      <c r="W17" s="3"/>
    </row>
    <row r="18" spans="1:23" x14ac:dyDescent="0.25">
      <c r="A18" s="2">
        <v>1</v>
      </c>
      <c r="B18" s="2">
        <v>-2.588E-5</v>
      </c>
      <c r="C18" s="2">
        <v>1.4310000000000001E-4</v>
      </c>
      <c r="D18" s="2">
        <v>-4.2059999999999998E-4</v>
      </c>
      <c r="E18" s="2">
        <v>0</v>
      </c>
      <c r="F18" s="2">
        <v>0</v>
      </c>
      <c r="G18" s="2">
        <v>0</v>
      </c>
      <c r="H18" s="2">
        <v>3.4298772000000001E-5</v>
      </c>
      <c r="I18" s="2">
        <v>1.2955475E-5</v>
      </c>
      <c r="J18" s="2">
        <v>-9.4042767999999999E-5</v>
      </c>
      <c r="K18" s="3"/>
      <c r="L18" s="3">
        <f t="shared" si="0"/>
        <v>-6.1531145981930581E-2</v>
      </c>
      <c r="M18" s="3"/>
      <c r="N18" s="2">
        <f>IF('Modell einstellen'!$B$1="Voll",H18/0.35,H18/0.35*2)</f>
        <v>1.9599298285714287E-4</v>
      </c>
      <c r="O18" s="2">
        <f>IF('Modell einstellen'!$B$1="Voll",J18/0.35,J18/0.35*2)</f>
        <v>-5.3738724571428579E-4</v>
      </c>
      <c r="P18" s="3">
        <f t="shared" si="1"/>
        <v>0.36471461580118525</v>
      </c>
      <c r="Q18" s="3"/>
      <c r="R18" s="3"/>
      <c r="S18" s="3"/>
      <c r="T18" s="3"/>
      <c r="U18" s="3"/>
      <c r="V18" s="3"/>
      <c r="W18" s="3"/>
    </row>
    <row r="19" spans="1:23" x14ac:dyDescent="0.25">
      <c r="A19" s="2">
        <v>10</v>
      </c>
      <c r="B19" s="2">
        <v>-3.0910000000000001E-5</v>
      </c>
      <c r="C19" s="2">
        <v>1.4469999999999999E-4</v>
      </c>
      <c r="D19" s="2">
        <v>-4.191E-4</v>
      </c>
      <c r="E19" s="2">
        <v>0</v>
      </c>
      <c r="F19" s="2">
        <v>0</v>
      </c>
      <c r="G19" s="2">
        <v>0</v>
      </c>
      <c r="H19" s="2">
        <v>3.5199886999999999E-5</v>
      </c>
      <c r="I19" s="2">
        <v>1.3097889E-5</v>
      </c>
      <c r="J19" s="2">
        <v>-9.5393229000000006E-5</v>
      </c>
      <c r="K19" s="3"/>
      <c r="L19" s="3">
        <f t="shared" si="0"/>
        <v>-7.3753280839895019E-2</v>
      </c>
      <c r="M19" s="3"/>
      <c r="N19" s="2">
        <f>IF('Modell einstellen'!$B$1="Voll",H19/0.35,H19/0.35*2)</f>
        <v>2.0114221142857145E-4</v>
      </c>
      <c r="O19" s="2">
        <f>IF('Modell einstellen'!$B$1="Voll",J19/0.35,J19/0.35*2)</f>
        <v>-5.4510416571428575E-4</v>
      </c>
      <c r="P19" s="3">
        <f t="shared" si="1"/>
        <v>0.368997751402251</v>
      </c>
      <c r="Q19" s="3"/>
      <c r="R19" s="3"/>
      <c r="S19" s="3"/>
      <c r="T19" s="3"/>
      <c r="U19" s="3"/>
      <c r="V19" s="3"/>
      <c r="W19" s="3"/>
    </row>
    <row r="20" spans="1:23" x14ac:dyDescent="0.25">
      <c r="A20" s="2">
        <v>100</v>
      </c>
      <c r="B20" s="2">
        <v>-3.6380000000000001E-5</v>
      </c>
      <c r="C20" s="2">
        <v>1.4630000000000001E-4</v>
      </c>
      <c r="D20" s="2">
        <v>-4.1730000000000001E-4</v>
      </c>
      <c r="E20" s="2">
        <v>0</v>
      </c>
      <c r="F20" s="2">
        <v>0</v>
      </c>
      <c r="G20" s="2">
        <v>0</v>
      </c>
      <c r="H20" s="2">
        <v>3.6148359999999998E-5</v>
      </c>
      <c r="I20" s="2">
        <v>1.3243187999999999E-5</v>
      </c>
      <c r="J20" s="2">
        <v>-9.6800307000000001E-5</v>
      </c>
      <c r="K20" s="3"/>
      <c r="L20" s="3">
        <f t="shared" si="0"/>
        <v>-8.7179487179487175E-2</v>
      </c>
      <c r="M20" s="3"/>
      <c r="N20" s="2">
        <f>IF('Modell einstellen'!$B$1="Voll",H20/0.35,H20/0.35*2)</f>
        <v>2.0656205714285716E-4</v>
      </c>
      <c r="O20" s="2">
        <f>IF('Modell einstellen'!$B$1="Voll",J20/0.35,J20/0.35*2)</f>
        <v>-5.531446114285715E-4</v>
      </c>
      <c r="P20" s="3">
        <f t="shared" si="1"/>
        <v>0.37343228673851209</v>
      </c>
      <c r="Q20" s="3"/>
      <c r="R20" s="3"/>
      <c r="S20" s="3"/>
      <c r="T20" s="3"/>
      <c r="U20" s="3"/>
      <c r="V20" s="3"/>
      <c r="W20" s="3"/>
    </row>
    <row r="21" spans="1:23" x14ac:dyDescent="0.25">
      <c r="A21" s="2">
        <v>1000</v>
      </c>
      <c r="B21" s="2">
        <v>-4.2840000000000003E-5</v>
      </c>
      <c r="C21" s="2">
        <v>1.482E-4</v>
      </c>
      <c r="D21" s="2">
        <v>-4.149E-4</v>
      </c>
      <c r="E21" s="2">
        <v>0</v>
      </c>
      <c r="F21" s="2">
        <v>0</v>
      </c>
      <c r="G21" s="2">
        <v>0</v>
      </c>
      <c r="H21" s="2">
        <v>3.7250158999999999E-5</v>
      </c>
      <c r="I21" s="2">
        <v>1.3410285E-5</v>
      </c>
      <c r="J21" s="2">
        <v>-9.8421907000000006E-5</v>
      </c>
      <c r="K21" s="3"/>
      <c r="L21" s="3">
        <f t="shared" si="0"/>
        <v>-0.10325379609544469</v>
      </c>
      <c r="M21" s="3"/>
      <c r="N21" s="2">
        <f>IF('Modell einstellen'!$B$1="Voll",H21/0.35,H21/0.35*2)</f>
        <v>2.1285805142857143E-4</v>
      </c>
      <c r="O21" s="2">
        <f>IF('Modell einstellen'!$B$1="Voll",J21/0.35,J21/0.35*2)</f>
        <v>-5.6241089714285724E-4</v>
      </c>
      <c r="P21" s="3">
        <f t="shared" si="1"/>
        <v>0.37847426589692063</v>
      </c>
      <c r="Q21" s="3"/>
      <c r="R21" s="3"/>
      <c r="S21" s="3"/>
      <c r="T21" s="3"/>
      <c r="U21" s="3"/>
      <c r="V21" s="3"/>
      <c r="W21" s="3"/>
    </row>
    <row r="22" spans="1:23" x14ac:dyDescent="0.25">
      <c r="A22" s="2">
        <v>10000</v>
      </c>
      <c r="B22" s="2">
        <v>-4.8989999999999997E-5</v>
      </c>
      <c r="C22" s="2">
        <v>1.5139999999999999E-4</v>
      </c>
      <c r="D22" s="2">
        <v>-4.1429999999999999E-4</v>
      </c>
      <c r="E22" s="2">
        <v>0</v>
      </c>
      <c r="F22" s="2">
        <v>0</v>
      </c>
      <c r="G22" s="2">
        <v>0</v>
      </c>
      <c r="H22" s="2">
        <v>3.8592371999999997E-5</v>
      </c>
      <c r="I22" s="2">
        <v>1.3708186E-5</v>
      </c>
      <c r="J22" s="2">
        <v>-1.0053147E-4</v>
      </c>
      <c r="K22" s="3"/>
      <c r="L22" s="3">
        <f t="shared" si="0"/>
        <v>-0.11824764663287472</v>
      </c>
      <c r="M22" s="3"/>
      <c r="N22" s="2">
        <f>IF('Modell einstellen'!$B$1="Voll",H22/0.35,H22/0.35*2)</f>
        <v>2.2052783999999999E-4</v>
      </c>
      <c r="O22" s="2">
        <f>IF('Modell einstellen'!$B$1="Voll",J22/0.35,J22/0.35*2)</f>
        <v>-5.7446554285714283E-4</v>
      </c>
      <c r="P22" s="3">
        <f t="shared" si="1"/>
        <v>0.38388349439235298</v>
      </c>
      <c r="Q22" s="3"/>
      <c r="R22" s="3"/>
      <c r="S22" s="3"/>
      <c r="T22" s="3"/>
      <c r="U22" s="3"/>
      <c r="V22" s="3"/>
      <c r="W22" s="3"/>
    </row>
    <row r="23" spans="1:23" x14ac:dyDescent="0.25">
      <c r="A23" s="2">
        <v>100000</v>
      </c>
      <c r="B23" s="2">
        <v>-4.6050000000000001E-5</v>
      </c>
      <c r="C23" s="2">
        <v>1.595E-4</v>
      </c>
      <c r="D23" s="2">
        <v>-4.2539999999999999E-4</v>
      </c>
      <c r="E23" s="2">
        <v>0</v>
      </c>
      <c r="F23" s="2">
        <v>0</v>
      </c>
      <c r="G23" s="2">
        <v>0</v>
      </c>
      <c r="H23" s="2">
        <v>4.0776355999999998E-5</v>
      </c>
      <c r="I23" s="2">
        <v>1.4682882E-5</v>
      </c>
      <c r="J23" s="2">
        <v>-1.0467393E-4</v>
      </c>
      <c r="K23" s="3"/>
      <c r="L23" s="3">
        <f t="shared" si="0"/>
        <v>-0.10825105782792667</v>
      </c>
      <c r="M23" s="3"/>
      <c r="N23" s="2">
        <f>IF('Modell einstellen'!$B$1="Voll",H23/0.35,H23/0.35*2)</f>
        <v>2.3300774857142859E-4</v>
      </c>
      <c r="O23" s="2">
        <f>IF('Modell einstellen'!$B$1="Voll",J23/0.35,J23/0.35*2)</f>
        <v>-5.9813674285714286E-4</v>
      </c>
      <c r="P23" s="3">
        <f t="shared" si="1"/>
        <v>0.38955598590785695</v>
      </c>
      <c r="Q23" s="3"/>
      <c r="R23" s="3"/>
      <c r="S23" s="3"/>
      <c r="T23" s="3"/>
      <c r="U23" s="3"/>
      <c r="V23" s="3"/>
      <c r="W23" s="3"/>
    </row>
    <row r="24" spans="1:23" x14ac:dyDescent="0.25">
      <c r="A24" s="2">
        <v>1000000</v>
      </c>
      <c r="B24" s="2">
        <v>-2.1939999999999999E-7</v>
      </c>
      <c r="C24" s="2">
        <v>1.8589999999999999E-4</v>
      </c>
      <c r="D24" s="2">
        <v>-4.8769999999999998E-4</v>
      </c>
      <c r="E24" s="2">
        <v>0</v>
      </c>
      <c r="F24" s="2">
        <v>0</v>
      </c>
      <c r="G24" s="2">
        <v>0</v>
      </c>
      <c r="H24" s="2">
        <v>4.5791726000000002E-5</v>
      </c>
      <c r="I24" s="2">
        <v>1.8423627000000001E-5</v>
      </c>
      <c r="J24" s="2">
        <v>-1.1644216000000001E-4</v>
      </c>
      <c r="K24" s="3"/>
      <c r="L24" s="3">
        <f t="shared" si="0"/>
        <v>-4.4986672134508918E-4</v>
      </c>
      <c r="M24" s="3"/>
      <c r="N24" s="2">
        <f>IF('Modell einstellen'!$B$1="Voll",H24/0.35,H24/0.35*2)</f>
        <v>2.6166700571428575E-4</v>
      </c>
      <c r="O24" s="2">
        <f>IF('Modell einstellen'!$B$1="Voll",J24/0.35,J24/0.35*2)</f>
        <v>-6.6538377142857149E-4</v>
      </c>
      <c r="P24" s="3">
        <f t="shared" si="1"/>
        <v>0.3932572703907245</v>
      </c>
      <c r="Q24" s="3"/>
      <c r="R24" s="3"/>
      <c r="S24" s="3"/>
      <c r="T24" s="3"/>
      <c r="U24" s="3"/>
      <c r="V24" s="3"/>
      <c r="W24" s="3"/>
    </row>
    <row r="25" spans="1:23" x14ac:dyDescent="0.25">
      <c r="A25" s="2">
        <v>10000000</v>
      </c>
      <c r="B25" s="2">
        <v>9.5439999999999994E-5</v>
      </c>
      <c r="C25" s="2">
        <v>2.351E-4</v>
      </c>
      <c r="D25" s="2">
        <v>-6.1079999999999999E-4</v>
      </c>
      <c r="E25" s="2">
        <v>0</v>
      </c>
      <c r="F25" s="2">
        <v>0</v>
      </c>
      <c r="G25" s="2">
        <v>0</v>
      </c>
      <c r="H25" s="2">
        <v>5.3864538999999999E-5</v>
      </c>
      <c r="I25" s="2">
        <v>2.5600403000000001E-5</v>
      </c>
      <c r="J25" s="2">
        <v>-1.3729097000000001E-4</v>
      </c>
      <c r="K25" s="3"/>
      <c r="L25" s="3">
        <f t="shared" si="0"/>
        <v>0.15625409299279633</v>
      </c>
      <c r="M25" s="3"/>
      <c r="N25" s="2">
        <f>IF('Modell einstellen'!$B$1="Voll",H25/0.35,H25/0.35*2)</f>
        <v>3.0779736571428574E-4</v>
      </c>
      <c r="O25" s="2">
        <f>IF('Modell einstellen'!$B$1="Voll",J25/0.35,J25/0.35*2)</f>
        <v>-7.8451982857142871E-4</v>
      </c>
      <c r="P25" s="3">
        <f t="shared" si="1"/>
        <v>0.39233854200316304</v>
      </c>
      <c r="Q25" s="3"/>
      <c r="R25" s="3"/>
      <c r="S25" s="3"/>
      <c r="T25" s="3"/>
      <c r="U25" s="3"/>
      <c r="V25" s="3"/>
      <c r="W25" s="3"/>
    </row>
    <row r="26" spans="1:23" x14ac:dyDescent="0.25">
      <c r="A26" s="2">
        <v>100000000</v>
      </c>
      <c r="B26" s="2">
        <v>2.041E-4</v>
      </c>
      <c r="C26" s="2">
        <v>2.943E-4</v>
      </c>
      <c r="D26" s="2">
        <v>-7.5489999999999997E-4</v>
      </c>
      <c r="E26" s="2">
        <v>0</v>
      </c>
      <c r="F26" s="2">
        <v>0</v>
      </c>
      <c r="G26" s="2">
        <v>0</v>
      </c>
      <c r="H26" s="2">
        <v>6.2573227E-5</v>
      </c>
      <c r="I26" s="2">
        <v>3.3945188000000002E-5</v>
      </c>
      <c r="J26" s="2">
        <v>-1.6094762000000001E-4</v>
      </c>
      <c r="K26" s="3"/>
      <c r="L26" s="3">
        <f t="shared" si="0"/>
        <v>0.27036693601801565</v>
      </c>
      <c r="M26" s="3"/>
      <c r="N26" s="2">
        <f>IF('Modell einstellen'!$B$1="Voll",H26/0.35,H26/0.35*2)</f>
        <v>3.5756129714285714E-4</v>
      </c>
      <c r="O26" s="2">
        <f>IF('Modell einstellen'!$B$1="Voll",J26/0.35,J26/0.35*2)</f>
        <v>-9.1970068571428578E-4</v>
      </c>
      <c r="P26" s="3">
        <f t="shared" si="1"/>
        <v>0.38878007018680982</v>
      </c>
      <c r="Q26" s="3"/>
      <c r="R26" s="3"/>
      <c r="S26" s="3"/>
      <c r="T26" s="3"/>
      <c r="U26" s="3"/>
      <c r="V26" s="3"/>
      <c r="W26" s="3"/>
    </row>
    <row r="27" spans="1:23" x14ac:dyDescent="0.25">
      <c r="A27" s="2">
        <v>1000000000</v>
      </c>
      <c r="B27" s="2">
        <v>3.0039999999999998E-4</v>
      </c>
      <c r="C27" s="2">
        <v>3.5359999999999998E-4</v>
      </c>
      <c r="D27" s="2">
        <v>-8.9110000000000003E-4</v>
      </c>
      <c r="E27" s="2">
        <v>0</v>
      </c>
      <c r="F27" s="2">
        <v>0</v>
      </c>
      <c r="G27" s="2">
        <v>0</v>
      </c>
      <c r="H27" s="2">
        <v>7.0746065999999997E-5</v>
      </c>
      <c r="I27" s="2">
        <v>4.1939605999999997E-5</v>
      </c>
      <c r="J27" s="2">
        <v>-1.8367239E-4</v>
      </c>
      <c r="K27" s="3"/>
      <c r="L27" s="3">
        <f t="shared" si="0"/>
        <v>0.33711143530467957</v>
      </c>
      <c r="M27" s="3"/>
      <c r="N27" s="2">
        <f>IF('Modell einstellen'!$B$1="Voll",H27/0.35,H27/0.35*2)</f>
        <v>4.0426323428571428E-4</v>
      </c>
      <c r="O27" s="2">
        <f>IF('Modell einstellen'!$B$1="Voll",J27/0.35,J27/0.35*2)</f>
        <v>-1.0495565142857144E-3</v>
      </c>
      <c r="P27" s="3">
        <f t="shared" si="1"/>
        <v>0.38517528954678487</v>
      </c>
      <c r="Q27" s="3"/>
      <c r="R27" s="3"/>
      <c r="S27" s="3"/>
      <c r="T27" s="3"/>
      <c r="U27" s="3"/>
      <c r="V27" s="3"/>
      <c r="W27" s="3"/>
    </row>
    <row r="28" spans="1:23" x14ac:dyDescent="0.25">
      <c r="A28" s="2">
        <v>10000000000</v>
      </c>
      <c r="B28" s="2">
        <v>3.8069999999999998E-4</v>
      </c>
      <c r="C28" s="2">
        <v>4.1140000000000003E-4</v>
      </c>
      <c r="D28" s="2">
        <v>-1.0150000000000001E-3</v>
      </c>
      <c r="E28" s="2">
        <v>0</v>
      </c>
      <c r="F28" s="2">
        <v>0</v>
      </c>
      <c r="G28" s="2">
        <v>0</v>
      </c>
      <c r="H28" s="2">
        <v>7.8550654999999997E-5</v>
      </c>
      <c r="I28" s="2">
        <v>4.9546007999999998E-5</v>
      </c>
      <c r="J28" s="2">
        <v>-2.0563472999999999E-4</v>
      </c>
      <c r="K28" s="3"/>
      <c r="L28" s="3">
        <f t="shared" si="0"/>
        <v>0.37507389162561572</v>
      </c>
      <c r="M28" s="3"/>
      <c r="N28" s="2">
        <f>IF('Modell einstellen'!$B$1="Voll",H28/0.35,H28/0.35*2)</f>
        <v>4.4886088571428575E-4</v>
      </c>
      <c r="O28" s="2">
        <f>IF('Modell einstellen'!$B$1="Voll",J28/0.35,J28/0.35*2)</f>
        <v>-1.1750555999999999E-3</v>
      </c>
      <c r="P28" s="3">
        <f t="shared" si="1"/>
        <v>0.38199118893972828</v>
      </c>
      <c r="Q28" s="3"/>
      <c r="R28" s="3"/>
      <c r="S28" s="3"/>
      <c r="T28" s="3"/>
      <c r="U28" s="3"/>
      <c r="V28" s="3"/>
      <c r="W28" s="3"/>
    </row>
    <row r="29" spans="1:23" x14ac:dyDescent="0.25">
      <c r="A29" s="2">
        <v>100000000000</v>
      </c>
      <c r="B29" s="2">
        <v>4.4729999999999998E-4</v>
      </c>
      <c r="C29" s="2">
        <v>4.6729999999999997E-4</v>
      </c>
      <c r="D29" s="2">
        <v>-1.1280000000000001E-3</v>
      </c>
      <c r="E29" s="2">
        <v>0</v>
      </c>
      <c r="F29" s="2">
        <v>0</v>
      </c>
      <c r="G29" s="2">
        <v>0</v>
      </c>
      <c r="H29" s="2">
        <v>8.5870352000000006E-5</v>
      </c>
      <c r="I29" s="2">
        <v>5.6855928000000002E-5</v>
      </c>
      <c r="J29" s="2">
        <v>-2.2678891999999999E-4</v>
      </c>
      <c r="K29" s="3"/>
      <c r="L29" s="3">
        <f t="shared" si="0"/>
        <v>0.39654255319148929</v>
      </c>
      <c r="M29" s="3"/>
      <c r="N29" s="2">
        <f>IF('Modell einstellen'!$B$1="Voll",H29/0.35,H29/0.35*2)</f>
        <v>4.9068772571428582E-4</v>
      </c>
      <c r="O29" s="2">
        <f>IF('Modell einstellen'!$B$1="Voll",J29/0.35,J29/0.35*2)</f>
        <v>-1.2959366857142858E-3</v>
      </c>
      <c r="P29" s="3">
        <f t="shared" si="1"/>
        <v>0.37863557002696607</v>
      </c>
      <c r="Q29" s="3"/>
      <c r="R29" s="3"/>
      <c r="S29" s="3"/>
      <c r="T29" s="3"/>
      <c r="U29" s="3"/>
      <c r="V29" s="3"/>
      <c r="W29" s="3"/>
    </row>
    <row r="30" spans="1:23" x14ac:dyDescent="0.25">
      <c r="A30" s="2">
        <v>1000000000000</v>
      </c>
      <c r="B30" s="2">
        <v>5.0120000000000004E-4</v>
      </c>
      <c r="C30" s="2">
        <v>5.1800000000000001E-4</v>
      </c>
      <c r="D30" s="2">
        <v>-1.225E-3</v>
      </c>
      <c r="E30" s="2">
        <v>0</v>
      </c>
      <c r="F30" s="2">
        <v>0</v>
      </c>
      <c r="G30" s="2">
        <v>0</v>
      </c>
      <c r="H30" s="2">
        <v>9.2135755000000003E-5</v>
      </c>
      <c r="I30" s="2">
        <v>6.3455172999999995E-5</v>
      </c>
      <c r="J30" s="2">
        <v>-2.4563800000000001E-4</v>
      </c>
      <c r="K30" s="3"/>
      <c r="L30" s="3">
        <f t="shared" si="0"/>
        <v>0.4091428571428572</v>
      </c>
      <c r="M30" s="3"/>
      <c r="N30" s="2">
        <f>IF('Modell einstellen'!$B$1="Voll",H30/0.35,H30/0.35*2)</f>
        <v>5.2649002857142865E-4</v>
      </c>
      <c r="O30" s="2">
        <f>IF('Modell einstellen'!$B$1="Voll",J30/0.35,J30/0.35*2)</f>
        <v>-1.4036457142857144E-3</v>
      </c>
      <c r="P30" s="3">
        <f t="shared" si="1"/>
        <v>0.37508754752929113</v>
      </c>
      <c r="Q30" s="3"/>
      <c r="R30" s="3"/>
      <c r="S30" s="3"/>
      <c r="T30" s="3"/>
      <c r="U30" s="3"/>
      <c r="V30" s="3"/>
      <c r="W30" s="3"/>
    </row>
    <row r="31" spans="1:23" x14ac:dyDescent="0.25">
      <c r="A31" s="2">
        <v>10000000000000</v>
      </c>
      <c r="B31" s="2">
        <v>5.4480000000000002E-4</v>
      </c>
      <c r="C31" s="2">
        <v>5.6340000000000003E-4</v>
      </c>
      <c r="D31" s="2">
        <v>-1.3079999999999999E-3</v>
      </c>
      <c r="E31" s="2">
        <v>0</v>
      </c>
      <c r="F31" s="2">
        <v>0</v>
      </c>
      <c r="G31" s="2">
        <v>0</v>
      </c>
      <c r="H31" s="2">
        <v>9.7724777999999996E-5</v>
      </c>
      <c r="I31" s="2">
        <v>6.9386441999999998E-5</v>
      </c>
      <c r="J31" s="2">
        <v>-2.6262189999999997E-4</v>
      </c>
      <c r="K31" s="3"/>
      <c r="L31" s="3">
        <f t="shared" si="0"/>
        <v>0.41651376146788993</v>
      </c>
      <c r="M31" s="3"/>
      <c r="N31" s="2">
        <f>IF('Modell einstellen'!$B$1="Voll",H31/0.35,H31/0.35*2)</f>
        <v>5.5842730285714291E-4</v>
      </c>
      <c r="O31" s="2">
        <f>IF('Modell einstellen'!$B$1="Voll",J31/0.35,J31/0.35*2)</f>
        <v>-1.5006965714285713E-3</v>
      </c>
      <c r="P31" s="3">
        <f t="shared" si="1"/>
        <v>0.37211206681544845</v>
      </c>
      <c r="Q31" s="3"/>
      <c r="R31" s="3"/>
      <c r="S31" s="3"/>
      <c r="T31" s="3"/>
      <c r="U31" s="3"/>
      <c r="V31" s="3"/>
      <c r="W31" s="3"/>
    </row>
    <row r="32" spans="1:23" x14ac:dyDescent="0.25">
      <c r="A32" s="2">
        <v>100000000000000</v>
      </c>
      <c r="B32" s="2">
        <v>5.8290000000000002E-4</v>
      </c>
      <c r="C32" s="2">
        <v>6.0650000000000005E-4</v>
      </c>
      <c r="D32" s="2">
        <v>-1.3860000000000001E-3</v>
      </c>
      <c r="E32" s="2">
        <v>0</v>
      </c>
      <c r="F32" s="2">
        <v>0</v>
      </c>
      <c r="G32" s="2">
        <v>0</v>
      </c>
      <c r="H32" s="2">
        <v>1.0342105E-4</v>
      </c>
      <c r="I32" s="2">
        <v>7.5170012000000007E-5</v>
      </c>
      <c r="J32" s="2">
        <v>-2.7952749E-4</v>
      </c>
      <c r="K32" s="3"/>
      <c r="L32" s="3">
        <f t="shared" si="0"/>
        <v>0.42056277056277053</v>
      </c>
      <c r="M32" s="3"/>
      <c r="N32" s="2">
        <f>IF('Modell einstellen'!$B$1="Voll",H32/0.35,H32/0.35*2)</f>
        <v>5.9097742857142858E-4</v>
      </c>
      <c r="O32" s="2">
        <f>IF('Modell einstellen'!$B$1="Voll",J32/0.35,J32/0.35*2)</f>
        <v>-1.597299942857143E-3</v>
      </c>
      <c r="P32" s="3">
        <f t="shared" si="1"/>
        <v>0.36998525619072381</v>
      </c>
      <c r="Q32" s="3"/>
      <c r="R32" s="3"/>
      <c r="S32" s="3"/>
      <c r="T32" s="3"/>
      <c r="U32" s="3"/>
      <c r="V32" s="3"/>
      <c r="W32" s="3"/>
    </row>
    <row r="33" spans="1:23" x14ac:dyDescent="0.25">
      <c r="A33" s="2">
        <v>1000000000000000</v>
      </c>
      <c r="B33" s="2">
        <v>6.133E-4</v>
      </c>
      <c r="C33" s="2">
        <v>6.4309999999999997E-4</v>
      </c>
      <c r="D33" s="2">
        <v>-1.4519999999999999E-3</v>
      </c>
      <c r="E33" s="2">
        <v>0</v>
      </c>
      <c r="F33" s="2">
        <v>0</v>
      </c>
      <c r="G33" s="2">
        <v>0</v>
      </c>
      <c r="H33" s="2">
        <v>1.0913917E-4</v>
      </c>
      <c r="I33" s="2">
        <v>8.0418006000000005E-5</v>
      </c>
      <c r="J33" s="2">
        <v>-2.9551284E-4</v>
      </c>
      <c r="K33" s="3"/>
      <c r="L33" s="3">
        <f t="shared" si="0"/>
        <v>0.42238292011019285</v>
      </c>
      <c r="M33" s="3"/>
      <c r="N33" s="2">
        <f>IF('Modell einstellen'!$B$1="Voll",H33/0.35,H33/0.35*2)</f>
        <v>6.2365240000000007E-4</v>
      </c>
      <c r="O33" s="2">
        <f>IF('Modell einstellen'!$B$1="Voll",J33/0.35,J33/0.35*2)</f>
        <v>-1.6886448000000001E-3</v>
      </c>
      <c r="P33" s="3">
        <f t="shared" si="1"/>
        <v>0.36932124505994396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-1.04E-5</v>
      </c>
      <c r="C3" s="3">
        <v>1.415E-4</v>
      </c>
      <c r="D3" s="3">
        <v>-4.2870000000000001E-4</v>
      </c>
      <c r="E3" s="3">
        <v>0</v>
      </c>
      <c r="F3" s="3">
        <v>0</v>
      </c>
      <c r="G3" s="3">
        <v>0</v>
      </c>
      <c r="H3" s="3">
        <v>3.2588293999999998E-5</v>
      </c>
      <c r="I3" s="3">
        <v>1.2895905E-5</v>
      </c>
      <c r="J3" s="3">
        <v>-9.1844273000000004E-5</v>
      </c>
      <c r="L3" s="3">
        <f>-B3/D3</f>
        <v>-2.4259388850011665E-2</v>
      </c>
      <c r="M3" s="3"/>
      <c r="N3" s="2">
        <f>IF('Modell einstellen'!$B$1="Voll",H3/0.35,H3/0.35*2)</f>
        <v>1.8621882285714287E-4</v>
      </c>
      <c r="O3" s="2">
        <f>IF('Modell einstellen'!$B$1="Voll",J3/0.35,J3/0.35*2)</f>
        <v>-5.2482441714285716E-4</v>
      </c>
      <c r="P3" s="3">
        <f>-N3/O3</f>
        <v>0.35482118738094864</v>
      </c>
    </row>
    <row r="4" spans="1:16" x14ac:dyDescent="0.25">
      <c r="A4" s="3">
        <v>1E-14</v>
      </c>
      <c r="B4" s="3">
        <v>-1.041E-5</v>
      </c>
      <c r="C4" s="3">
        <v>1.415E-4</v>
      </c>
      <c r="D4" s="3">
        <v>-4.2870000000000001E-4</v>
      </c>
      <c r="E4" s="3">
        <v>0</v>
      </c>
      <c r="F4" s="3">
        <v>0</v>
      </c>
      <c r="G4" s="3">
        <v>0</v>
      </c>
      <c r="H4" s="3">
        <v>3.2588422000000001E-5</v>
      </c>
      <c r="I4" s="3">
        <v>1.2896878E-5</v>
      </c>
      <c r="J4" s="3">
        <v>-9.1842913000000003E-5</v>
      </c>
      <c r="L4" s="3">
        <f t="shared" ref="L4:L33" si="0">-B4/D4</f>
        <v>-2.4282715185444368E-2</v>
      </c>
      <c r="M4" s="3"/>
      <c r="N4" s="2">
        <f>IF('Modell einstellen'!$B$1="Voll",H4/0.35,H4/0.35*2)</f>
        <v>1.8621955428571431E-4</v>
      </c>
      <c r="O4" s="2">
        <f>IF('Modell einstellen'!$B$1="Voll",J4/0.35,J4/0.35*2)</f>
        <v>-5.2481664571428575E-4</v>
      </c>
      <c r="P4" s="3">
        <f t="shared" ref="P4:P33" si="1">-N4/O4</f>
        <v>0.35482783521903322</v>
      </c>
    </row>
    <row r="5" spans="1:16" x14ac:dyDescent="0.25">
      <c r="A5" s="3">
        <v>1E-13</v>
      </c>
      <c r="B5" s="3">
        <v>-1.041E-5</v>
      </c>
      <c r="C5" s="3">
        <v>1.415E-4</v>
      </c>
      <c r="D5" s="3">
        <v>-4.2870000000000001E-4</v>
      </c>
      <c r="E5" s="3">
        <v>0</v>
      </c>
      <c r="F5" s="3">
        <v>0</v>
      </c>
      <c r="G5" s="3">
        <v>0</v>
      </c>
      <c r="H5" s="3">
        <v>3.2588597E-5</v>
      </c>
      <c r="I5" s="3">
        <v>1.289704E-5</v>
      </c>
      <c r="J5" s="3">
        <v>-9.1843389999999995E-5</v>
      </c>
      <c r="L5" s="3">
        <f t="shared" si="0"/>
        <v>-2.4282715185444368E-2</v>
      </c>
      <c r="M5" s="3"/>
      <c r="N5" s="2">
        <f>IF('Modell einstellen'!$B$1="Voll",H5/0.35,H5/0.35*2)</f>
        <v>1.8622055428571429E-4</v>
      </c>
      <c r="O5" s="2">
        <f>IF('Modell einstellen'!$B$1="Voll",J5/0.35,J5/0.35*2)</f>
        <v>-5.2481937142857143E-4</v>
      </c>
      <c r="P5" s="3">
        <f t="shared" si="1"/>
        <v>0.35482789779427787</v>
      </c>
    </row>
    <row r="6" spans="1:16" x14ac:dyDescent="0.25">
      <c r="A6" s="3">
        <v>9.9999999999999998E-13</v>
      </c>
      <c r="B6" s="3">
        <v>-1.041E-5</v>
      </c>
      <c r="C6" s="3">
        <v>1.415E-4</v>
      </c>
      <c r="D6" s="3">
        <v>-4.2870000000000001E-4</v>
      </c>
      <c r="E6" s="3">
        <v>0</v>
      </c>
      <c r="F6" s="3">
        <v>0</v>
      </c>
      <c r="G6" s="3">
        <v>0</v>
      </c>
      <c r="H6" s="3">
        <v>3.2588648E-5</v>
      </c>
      <c r="I6" s="3">
        <v>1.2897085E-5</v>
      </c>
      <c r="J6" s="3">
        <v>-9.1843525999999993E-5</v>
      </c>
      <c r="L6" s="3">
        <f t="shared" si="0"/>
        <v>-2.4282715185444368E-2</v>
      </c>
      <c r="M6" s="3"/>
      <c r="N6" s="2">
        <f>IF('Modell einstellen'!$B$1="Voll",H6/0.35,H6/0.35*2)</f>
        <v>1.8622084571428573E-4</v>
      </c>
      <c r="O6" s="2">
        <f>IF('Modell einstellen'!$B$1="Voll",J6/0.35,J6/0.35*2)</f>
        <v>-5.2482014857142855E-4</v>
      </c>
      <c r="P6" s="3">
        <f t="shared" si="1"/>
        <v>0.354827927664711</v>
      </c>
    </row>
    <row r="7" spans="1:16" x14ac:dyDescent="0.25">
      <c r="A7" s="3">
        <v>9.9999999999999994E-12</v>
      </c>
      <c r="B7" s="3">
        <v>-1.041E-5</v>
      </c>
      <c r="C7" s="3">
        <v>1.415E-4</v>
      </c>
      <c r="D7" s="3">
        <v>-4.2870000000000001E-4</v>
      </c>
      <c r="E7" s="3">
        <v>0</v>
      </c>
      <c r="F7" s="3">
        <v>0</v>
      </c>
      <c r="G7" s="3">
        <v>0</v>
      </c>
      <c r="H7" s="3">
        <v>3.2588729999999997E-5</v>
      </c>
      <c r="I7" s="3">
        <v>1.289711E-5</v>
      </c>
      <c r="J7" s="3">
        <v>-9.1843669000000005E-5</v>
      </c>
      <c r="L7" s="3">
        <f t="shared" si="0"/>
        <v>-2.4282715185444368E-2</v>
      </c>
      <c r="M7" s="3"/>
      <c r="N7" s="2">
        <f>IF('Modell einstellen'!$B$1="Voll",H7/0.35,H7/0.35*2)</f>
        <v>1.8622131428571429E-4</v>
      </c>
      <c r="O7" s="2">
        <f>IF('Modell einstellen'!$B$1="Voll",J7/0.35,J7/0.35*2)</f>
        <v>-5.2482096571428573E-4</v>
      </c>
      <c r="P7" s="3">
        <f t="shared" si="1"/>
        <v>0.35482826802139189</v>
      </c>
    </row>
    <row r="8" spans="1:16" x14ac:dyDescent="0.25">
      <c r="A8" s="3">
        <v>1E-10</v>
      </c>
      <c r="B8" s="3">
        <v>-1.041E-5</v>
      </c>
      <c r="C8" s="3">
        <v>1.415E-4</v>
      </c>
      <c r="D8" s="3">
        <v>-4.2870000000000001E-4</v>
      </c>
      <c r="E8" s="3">
        <v>0</v>
      </c>
      <c r="F8" s="3">
        <v>0</v>
      </c>
      <c r="G8" s="3">
        <v>0</v>
      </c>
      <c r="H8" s="3">
        <v>3.2589428E-5</v>
      </c>
      <c r="I8" s="3">
        <v>1.2897226E-5</v>
      </c>
      <c r="J8" s="3">
        <v>-9.1844742999999996E-5</v>
      </c>
      <c r="L8" s="3">
        <f t="shared" si="0"/>
        <v>-2.4282715185444368E-2</v>
      </c>
      <c r="M8" s="3"/>
      <c r="N8" s="2">
        <f>IF('Modell einstellen'!$B$1="Voll",H8/0.35,H8/0.35*2)</f>
        <v>1.8622530285714286E-4</v>
      </c>
      <c r="O8" s="2">
        <f>IF('Modell einstellen'!$B$1="Voll",J8/0.35,J8/0.35*2)</f>
        <v>-5.248271028571429E-4</v>
      </c>
      <c r="P8" s="3">
        <f t="shared" si="1"/>
        <v>0.35483171856662499</v>
      </c>
    </row>
    <row r="9" spans="1:16" x14ac:dyDescent="0.25">
      <c r="A9" s="3">
        <v>1.0000000000000001E-9</v>
      </c>
      <c r="B9" s="3">
        <v>-1.045E-5</v>
      </c>
      <c r="C9" s="3">
        <v>1.415E-4</v>
      </c>
      <c r="D9" s="3">
        <v>-4.2870000000000001E-4</v>
      </c>
      <c r="E9" s="3">
        <v>0</v>
      </c>
      <c r="F9" s="3">
        <v>0</v>
      </c>
      <c r="G9" s="3">
        <v>0</v>
      </c>
      <c r="H9" s="3">
        <v>3.2596331000000003E-5</v>
      </c>
      <c r="I9" s="3">
        <v>1.2898343000000001E-5</v>
      </c>
      <c r="J9" s="3">
        <v>-9.1855304999999995E-5</v>
      </c>
      <c r="L9" s="3">
        <f t="shared" si="0"/>
        <v>-2.437602052717518E-2</v>
      </c>
      <c r="M9" s="3"/>
      <c r="N9" s="2">
        <f>IF('Modell einstellen'!$B$1="Voll",H9/0.35,H9/0.35*2)</f>
        <v>1.8626474857142859E-4</v>
      </c>
      <c r="O9" s="2">
        <f>IF('Modell einstellen'!$B$1="Voll",J9/0.35,J9/0.35*2)</f>
        <v>-5.2488745714285713E-4</v>
      </c>
      <c r="P9" s="3">
        <f t="shared" si="1"/>
        <v>0.35486606897663669</v>
      </c>
    </row>
    <row r="10" spans="1:16" x14ac:dyDescent="0.25">
      <c r="A10" s="3">
        <v>1E-8</v>
      </c>
      <c r="B10" s="3">
        <v>-1.08E-5</v>
      </c>
      <c r="C10" s="3">
        <v>1.416E-4</v>
      </c>
      <c r="D10" s="3">
        <v>-4.2860000000000001E-4</v>
      </c>
      <c r="E10" s="3">
        <v>0</v>
      </c>
      <c r="F10" s="3">
        <v>0</v>
      </c>
      <c r="G10" s="3">
        <v>0</v>
      </c>
      <c r="H10" s="3">
        <v>3.2662965E-5</v>
      </c>
      <c r="I10" s="3">
        <v>1.2909107000000001E-5</v>
      </c>
      <c r="J10" s="3">
        <v>-9.1957214999999995E-5</v>
      </c>
      <c r="L10" s="3">
        <f t="shared" si="0"/>
        <v>-2.5198320111992533E-2</v>
      </c>
      <c r="M10" s="3"/>
      <c r="N10" s="2">
        <f>IF('Modell einstellen'!$B$1="Voll",H10/0.35,H10/0.35*2)</f>
        <v>1.8664551428571429E-4</v>
      </c>
      <c r="O10" s="2">
        <f>IF('Modell einstellen'!$B$1="Voll",J10/0.35,J10/0.35*2)</f>
        <v>-5.2546980000000004E-4</v>
      </c>
      <c r="P10" s="3">
        <f t="shared" si="1"/>
        <v>0.35519741436275554</v>
      </c>
    </row>
    <row r="11" spans="1:16" x14ac:dyDescent="0.25">
      <c r="A11" s="3">
        <v>9.9999999999999995E-8</v>
      </c>
      <c r="B11" s="3">
        <v>-1.359E-5</v>
      </c>
      <c r="C11" s="3">
        <v>1.4249999999999999E-4</v>
      </c>
      <c r="D11" s="3">
        <v>-4.28E-4</v>
      </c>
      <c r="E11" s="3">
        <v>0</v>
      </c>
      <c r="F11" s="3">
        <v>0</v>
      </c>
      <c r="G11" s="3">
        <v>0</v>
      </c>
      <c r="H11" s="3">
        <v>3.3197827999999999E-5</v>
      </c>
      <c r="I11" s="3">
        <v>1.2995042999999999E-5</v>
      </c>
      <c r="J11" s="3">
        <v>-9.2773458E-5</v>
      </c>
      <c r="L11" s="3">
        <f t="shared" si="0"/>
        <v>-3.175233644859813E-2</v>
      </c>
      <c r="M11" s="3"/>
      <c r="N11" s="2">
        <f>IF('Modell einstellen'!$B$1="Voll",H11/0.35,H11/0.35*2)</f>
        <v>1.8970187428571429E-4</v>
      </c>
      <c r="O11" s="2">
        <f>IF('Modell einstellen'!$B$1="Voll",J11/0.35,J11/0.35*2)</f>
        <v>-5.3013404571428579E-4</v>
      </c>
      <c r="P11" s="3">
        <f t="shared" si="1"/>
        <v>0.35783756168709369</v>
      </c>
    </row>
    <row r="12" spans="1:16" x14ac:dyDescent="0.25">
      <c r="A12" s="3">
        <v>9.9999999999999995E-7</v>
      </c>
      <c r="B12" s="3">
        <v>-2.0270000000000001E-5</v>
      </c>
      <c r="C12" s="3">
        <v>1.4459999999999999E-4</v>
      </c>
      <c r="D12" s="3">
        <v>-4.2630000000000001E-4</v>
      </c>
      <c r="E12" s="3">
        <v>0</v>
      </c>
      <c r="F12" s="3">
        <v>0</v>
      </c>
      <c r="G12" s="3">
        <v>0</v>
      </c>
      <c r="H12" s="3">
        <v>3.4442802E-5</v>
      </c>
      <c r="I12" s="3">
        <v>1.3191765000000001E-5</v>
      </c>
      <c r="J12" s="3">
        <v>-9.4655550000000006E-5</v>
      </c>
      <c r="L12" s="3">
        <f t="shared" si="0"/>
        <v>-4.7548674642270701E-2</v>
      </c>
      <c r="M12" s="3"/>
      <c r="N12" s="2">
        <f>IF('Modell einstellen'!$B$1="Voll",H12/0.35,H12/0.35*2)</f>
        <v>1.9681601142857143E-4</v>
      </c>
      <c r="O12" s="2">
        <f>IF('Modell einstellen'!$B$1="Voll",J12/0.35,J12/0.35*2)</f>
        <v>-5.4088885714285724E-4</v>
      </c>
      <c r="P12" s="3">
        <f t="shared" si="1"/>
        <v>0.36387514519750819</v>
      </c>
    </row>
    <row r="13" spans="1:16" x14ac:dyDescent="0.25">
      <c r="A13" s="3">
        <v>1.0000000000000001E-5</v>
      </c>
      <c r="B13" s="3">
        <v>-2.5259999999999999E-5</v>
      </c>
      <c r="C13" s="3">
        <v>1.462E-4</v>
      </c>
      <c r="D13" s="3">
        <v>-4.2499999999999998E-4</v>
      </c>
      <c r="E13" s="3">
        <v>0</v>
      </c>
      <c r="F13" s="3">
        <v>0</v>
      </c>
      <c r="G13" s="3">
        <v>0</v>
      </c>
      <c r="H13" s="3">
        <v>3.5357953999999997E-5</v>
      </c>
      <c r="I13" s="3">
        <v>1.334078E-5</v>
      </c>
      <c r="J13" s="3">
        <v>-9.603465E-5</v>
      </c>
      <c r="L13" s="3">
        <f t="shared" si="0"/>
        <v>-5.9435294117647058E-2</v>
      </c>
      <c r="M13" s="3"/>
      <c r="N13" s="2">
        <f>IF('Modell einstellen'!$B$1="Voll",H13/0.35,H13/0.35*2)</f>
        <v>2.0204545142857143E-4</v>
      </c>
      <c r="O13" s="2">
        <f>IF('Modell einstellen'!$B$1="Voll",J13/0.35,J13/0.35*2)</f>
        <v>-5.4876942857142862E-4</v>
      </c>
      <c r="P13" s="3">
        <f t="shared" si="1"/>
        <v>0.36817913117817369</v>
      </c>
    </row>
    <row r="14" spans="1:16" x14ac:dyDescent="0.25">
      <c r="A14" s="3">
        <v>1E-4</v>
      </c>
      <c r="B14" s="3">
        <v>-3.048E-5</v>
      </c>
      <c r="C14" s="3">
        <v>1.4779999999999999E-4</v>
      </c>
      <c r="D14" s="3">
        <v>-4.2339999999999999E-4</v>
      </c>
      <c r="E14" s="3">
        <v>0</v>
      </c>
      <c r="F14" s="3">
        <v>0</v>
      </c>
      <c r="G14" s="3">
        <v>0</v>
      </c>
      <c r="H14" s="3">
        <v>3.6282470000000002E-5</v>
      </c>
      <c r="I14" s="3">
        <v>1.3487111999999999E-5</v>
      </c>
      <c r="J14" s="3">
        <v>-9.7414611999999993E-5</v>
      </c>
      <c r="L14" s="3">
        <f t="shared" si="0"/>
        <v>-7.1988663202645256E-2</v>
      </c>
      <c r="M14" s="3"/>
      <c r="N14" s="2">
        <f>IF('Modell einstellen'!$B$1="Voll",H14/0.35,H14/0.35*2)</f>
        <v>2.0732840000000003E-4</v>
      </c>
      <c r="O14" s="2">
        <f>IF('Modell einstellen'!$B$1="Voll",J14/0.35,J14/0.35*2)</f>
        <v>-5.5665492571428568E-4</v>
      </c>
      <c r="P14" s="3">
        <f t="shared" si="1"/>
        <v>0.3724540831718347</v>
      </c>
    </row>
    <row r="15" spans="1:16" x14ac:dyDescent="0.25">
      <c r="A15" s="3">
        <v>1E-3</v>
      </c>
      <c r="B15" s="3">
        <v>-3.6850000000000001E-5</v>
      </c>
      <c r="C15" s="3">
        <v>1.496E-4</v>
      </c>
      <c r="D15" s="3">
        <v>-4.2099999999999999E-4</v>
      </c>
      <c r="E15" s="3">
        <v>0</v>
      </c>
      <c r="F15" s="3">
        <v>0</v>
      </c>
      <c r="G15" s="3">
        <v>0</v>
      </c>
      <c r="H15" s="3">
        <v>3.7368018999999997E-5</v>
      </c>
      <c r="I15" s="3">
        <v>1.3651009E-5</v>
      </c>
      <c r="J15" s="3">
        <v>-9.901326E-5</v>
      </c>
      <c r="L15" s="3">
        <f t="shared" si="0"/>
        <v>-8.7529691211401431E-2</v>
      </c>
      <c r="M15" s="3"/>
      <c r="N15" s="2">
        <f>IF('Modell einstellen'!$B$1="Voll",H15/0.35,H15/0.35*2)</f>
        <v>2.1353153714285714E-4</v>
      </c>
      <c r="O15" s="2">
        <f>IF('Modell einstellen'!$B$1="Voll",J15/0.35,J15/0.35*2)</f>
        <v>-5.6579005714285722E-4</v>
      </c>
      <c r="P15" s="3">
        <f t="shared" si="1"/>
        <v>0.37740418808551496</v>
      </c>
    </row>
    <row r="16" spans="1:16" x14ac:dyDescent="0.25">
      <c r="A16" s="3">
        <v>0.01</v>
      </c>
      <c r="B16" s="3">
        <v>-4.4209999999999999E-5</v>
      </c>
      <c r="C16" s="3">
        <v>1.515E-4</v>
      </c>
      <c r="D16" s="3">
        <v>-4.1800000000000002E-4</v>
      </c>
      <c r="E16" s="3">
        <v>0</v>
      </c>
      <c r="F16" s="3">
        <v>0</v>
      </c>
      <c r="G16" s="3">
        <v>0</v>
      </c>
      <c r="H16" s="3">
        <v>3.8577101000000003E-5</v>
      </c>
      <c r="I16" s="3">
        <v>1.3826991E-5</v>
      </c>
      <c r="J16" s="3">
        <v>-1.0077231E-4</v>
      </c>
      <c r="L16" s="3">
        <f t="shared" si="0"/>
        <v>-0.10576555023923444</v>
      </c>
      <c r="M16" s="3"/>
      <c r="N16" s="2">
        <f>IF('Modell einstellen'!$B$1="Voll",H16/0.35,H16/0.35*2)</f>
        <v>2.2044057714285718E-4</v>
      </c>
      <c r="O16" s="2">
        <f>IF('Modell einstellen'!$B$1="Voll",J16/0.35,J16/0.35*2)</f>
        <v>-5.7584177142857142E-4</v>
      </c>
      <c r="P16" s="3">
        <f t="shared" si="1"/>
        <v>0.38281449537080187</v>
      </c>
    </row>
    <row r="17" spans="1:16" x14ac:dyDescent="0.25">
      <c r="A17" s="3">
        <v>0.1</v>
      </c>
      <c r="B17" s="3">
        <v>-5.3359999999999997E-5</v>
      </c>
      <c r="C17" s="3">
        <v>1.537E-4</v>
      </c>
      <c r="D17" s="3">
        <v>-4.1379999999999998E-4</v>
      </c>
      <c r="E17" s="3">
        <v>0</v>
      </c>
      <c r="F17" s="3">
        <v>0</v>
      </c>
      <c r="G17" s="3">
        <v>0</v>
      </c>
      <c r="H17" s="3">
        <v>4.0022248999999998E-5</v>
      </c>
      <c r="I17" s="3">
        <v>1.4027217E-5</v>
      </c>
      <c r="J17" s="3">
        <v>-1.0284418000000001E-4</v>
      </c>
      <c r="L17" s="3">
        <f t="shared" si="0"/>
        <v>-0.12895118414693088</v>
      </c>
      <c r="M17" s="3"/>
      <c r="N17" s="2">
        <f>IF('Modell einstellen'!$B$1="Voll",H17/0.35,H17/0.35*2)</f>
        <v>2.2869856571428572E-4</v>
      </c>
      <c r="O17" s="2">
        <f>IF('Modell einstellen'!$B$1="Voll",J17/0.35,J17/0.35*2)</f>
        <v>-5.8768102857142859E-4</v>
      </c>
      <c r="P17" s="3">
        <f t="shared" si="1"/>
        <v>0.389154242855551</v>
      </c>
    </row>
    <row r="18" spans="1:16" x14ac:dyDescent="0.25">
      <c r="A18" s="3">
        <v>1</v>
      </c>
      <c r="B18" s="3">
        <v>-6.4350000000000006E-5</v>
      </c>
      <c r="C18" s="3">
        <v>1.561E-4</v>
      </c>
      <c r="D18" s="3">
        <v>-4.083E-4</v>
      </c>
      <c r="E18" s="3">
        <v>0</v>
      </c>
      <c r="F18" s="3">
        <v>0</v>
      </c>
      <c r="G18" s="3">
        <v>0</v>
      </c>
      <c r="H18" s="3">
        <v>4.1690188000000003E-5</v>
      </c>
      <c r="I18" s="3">
        <v>1.4247700000000001E-5</v>
      </c>
      <c r="J18" s="3">
        <v>-1.0520005E-4</v>
      </c>
      <c r="L18" s="3">
        <f t="shared" si="0"/>
        <v>-0.15760470242468774</v>
      </c>
      <c r="M18" s="3"/>
      <c r="N18" s="2">
        <f>IF('Modell einstellen'!$B$1="Voll",H18/0.35,H18/0.35*2)</f>
        <v>2.3822964571428574E-4</v>
      </c>
      <c r="O18" s="2">
        <f>IF('Modell einstellen'!$B$1="Voll",J18/0.35,J18/0.35*2)</f>
        <v>-6.0114314285714284E-4</v>
      </c>
      <c r="P18" s="3">
        <f t="shared" si="1"/>
        <v>0.39629437438480308</v>
      </c>
    </row>
    <row r="19" spans="1:16" x14ac:dyDescent="0.25">
      <c r="A19" s="3">
        <v>10</v>
      </c>
      <c r="B19" s="3">
        <v>-7.6779999999999993E-5</v>
      </c>
      <c r="C19" s="3">
        <v>1.595E-4</v>
      </c>
      <c r="D19" s="3">
        <v>-4.0250000000000003E-4</v>
      </c>
      <c r="E19" s="3">
        <v>0</v>
      </c>
      <c r="F19" s="3">
        <v>0</v>
      </c>
      <c r="G19" s="3">
        <v>0</v>
      </c>
      <c r="H19" s="3">
        <v>4.3560341000000003E-5</v>
      </c>
      <c r="I19" s="3">
        <v>1.4533074E-5</v>
      </c>
      <c r="J19" s="3">
        <v>-1.0788757E-4</v>
      </c>
      <c r="L19" s="3">
        <f t="shared" si="0"/>
        <v>-0.19075776397515526</v>
      </c>
      <c r="M19" s="3"/>
      <c r="N19" s="2">
        <f>IF('Modell einstellen'!$B$1="Voll",H19/0.35,H19/0.35*2)</f>
        <v>2.4891623428571432E-4</v>
      </c>
      <c r="O19" s="2">
        <f>IF('Modell einstellen'!$B$1="Voll",J19/0.35,J19/0.35*2)</f>
        <v>-6.1650040000000011E-4</v>
      </c>
      <c r="P19" s="3">
        <f t="shared" si="1"/>
        <v>0.40375680905594591</v>
      </c>
    </row>
    <row r="20" spans="1:16" x14ac:dyDescent="0.25">
      <c r="A20" s="3">
        <v>100</v>
      </c>
      <c r="B20" s="3">
        <v>-8.933E-5</v>
      </c>
      <c r="C20" s="3">
        <v>1.6259999999999999E-4</v>
      </c>
      <c r="D20" s="3">
        <v>-3.9589999999999997E-4</v>
      </c>
      <c r="E20" s="3">
        <v>0</v>
      </c>
      <c r="F20" s="3">
        <v>0</v>
      </c>
      <c r="G20" s="3">
        <v>0</v>
      </c>
      <c r="H20" s="3">
        <v>4.5518973999999998E-5</v>
      </c>
      <c r="I20" s="3">
        <v>1.4830310999999999E-5</v>
      </c>
      <c r="J20" s="3">
        <v>-1.1067088E-4</v>
      </c>
      <c r="L20" s="3">
        <f t="shared" si="0"/>
        <v>-0.22563778732003031</v>
      </c>
      <c r="M20" s="3"/>
      <c r="N20" s="2">
        <f>IF('Modell einstellen'!$B$1="Voll",H20/0.35,H20/0.35*2)</f>
        <v>2.6010842285714285E-4</v>
      </c>
      <c r="O20" s="2">
        <f>IF('Modell einstellen'!$B$1="Voll",J20/0.35,J20/0.35*2)</f>
        <v>-6.3240502857142859E-4</v>
      </c>
      <c r="P20" s="3">
        <f t="shared" si="1"/>
        <v>0.41130037097382799</v>
      </c>
    </row>
    <row r="21" spans="1:16" x14ac:dyDescent="0.25">
      <c r="A21" s="3">
        <v>1000</v>
      </c>
      <c r="B21" s="3">
        <v>-9.5390000000000007E-5</v>
      </c>
      <c r="C21" s="3">
        <v>1.6980000000000001E-4</v>
      </c>
      <c r="D21" s="3">
        <v>-3.9859999999999999E-4</v>
      </c>
      <c r="E21" s="3">
        <v>0</v>
      </c>
      <c r="F21" s="3">
        <v>0</v>
      </c>
      <c r="G21" s="3">
        <v>0</v>
      </c>
      <c r="H21" s="3">
        <v>4.8280681999999997E-5</v>
      </c>
      <c r="I21" s="3">
        <v>1.5713322000000001E-5</v>
      </c>
      <c r="J21" s="3">
        <v>-1.1530705E-4</v>
      </c>
      <c r="L21" s="3">
        <f t="shared" si="0"/>
        <v>-0.23931259407927749</v>
      </c>
      <c r="M21" s="3"/>
      <c r="N21" s="2">
        <f>IF('Modell einstellen'!$B$1="Voll",H21/0.35,H21/0.35*2)</f>
        <v>2.7588961142857143E-4</v>
      </c>
      <c r="O21" s="2">
        <f>IF('Modell einstellen'!$B$1="Voll",J21/0.35,J21/0.35*2)</f>
        <v>-6.5889742857142865E-4</v>
      </c>
      <c r="P21" s="3">
        <f t="shared" si="1"/>
        <v>0.41871405087546681</v>
      </c>
    </row>
    <row r="22" spans="1:16" x14ac:dyDescent="0.25">
      <c r="A22" s="3">
        <v>10000</v>
      </c>
      <c r="B22" s="3">
        <v>-6.1249999999999998E-5</v>
      </c>
      <c r="C22" s="3">
        <v>1.951E-4</v>
      </c>
      <c r="D22" s="3">
        <v>-4.5120000000000002E-4</v>
      </c>
      <c r="E22" s="3">
        <v>0</v>
      </c>
      <c r="F22" s="3">
        <v>0</v>
      </c>
      <c r="G22" s="3">
        <v>0</v>
      </c>
      <c r="H22" s="3">
        <v>5.4273661000000002E-5</v>
      </c>
      <c r="I22" s="3">
        <v>1.9456917999999999E-5</v>
      </c>
      <c r="J22" s="3">
        <v>-1.2827110000000001E-4</v>
      </c>
      <c r="L22" s="3">
        <f t="shared" si="0"/>
        <v>-0.13574911347517729</v>
      </c>
      <c r="M22" s="3"/>
      <c r="N22" s="2">
        <f>IF('Modell einstellen'!$B$1="Voll",H22/0.35,H22/0.35*2)</f>
        <v>3.1013520571428573E-4</v>
      </c>
      <c r="O22" s="2">
        <f>IF('Modell einstellen'!$B$1="Voll",J22/0.35,J22/0.35*2)</f>
        <v>-7.3297771428571445E-4</v>
      </c>
      <c r="P22" s="3">
        <f t="shared" si="1"/>
        <v>0.42311682834247144</v>
      </c>
    </row>
    <row r="23" spans="1:16" x14ac:dyDescent="0.25">
      <c r="A23" s="3">
        <v>100000</v>
      </c>
      <c r="B23" s="3">
        <v>3.8649999999999998E-5</v>
      </c>
      <c r="C23" s="3">
        <v>2.4899999999999998E-4</v>
      </c>
      <c r="D23" s="3">
        <v>-5.8489999999999996E-4</v>
      </c>
      <c r="E23" s="3">
        <v>0</v>
      </c>
      <c r="F23" s="3">
        <v>0</v>
      </c>
      <c r="G23" s="3">
        <v>0</v>
      </c>
      <c r="H23" s="3">
        <v>6.4522359000000005E-5</v>
      </c>
      <c r="I23" s="3">
        <v>2.7900635000000001E-5</v>
      </c>
      <c r="J23" s="3">
        <v>-1.5390639E-4</v>
      </c>
      <c r="L23" s="3">
        <f t="shared" si="0"/>
        <v>6.6079671738758769E-2</v>
      </c>
      <c r="M23" s="3"/>
      <c r="N23" s="2">
        <f>IF('Modell einstellen'!$B$1="Voll",H23/0.35,H23/0.35*2)</f>
        <v>3.6869919428571436E-4</v>
      </c>
      <c r="O23" s="2">
        <f>IF('Modell einstellen'!$B$1="Voll",J23/0.35,J23/0.35*2)</f>
        <v>-8.7946508571428578E-4</v>
      </c>
      <c r="P23" s="3">
        <f t="shared" si="1"/>
        <v>0.41923118981609542</v>
      </c>
    </row>
    <row r="24" spans="1:16" x14ac:dyDescent="0.25">
      <c r="A24" s="3">
        <v>1000000</v>
      </c>
      <c r="B24" s="3">
        <v>1.7129999999999999E-4</v>
      </c>
      <c r="C24" s="3">
        <v>3.21E-4</v>
      </c>
      <c r="D24" s="3">
        <v>-7.6460000000000005E-4</v>
      </c>
      <c r="E24" s="3">
        <v>0</v>
      </c>
      <c r="F24" s="3">
        <v>0</v>
      </c>
      <c r="G24" s="3">
        <v>0</v>
      </c>
      <c r="H24" s="3">
        <v>7.6028430000000001E-5</v>
      </c>
      <c r="I24" s="3">
        <v>3.8869419000000003E-5</v>
      </c>
      <c r="J24" s="3">
        <v>-1.8544052E-4</v>
      </c>
      <c r="L24" s="3">
        <f t="shared" si="0"/>
        <v>0.22403871305257647</v>
      </c>
      <c r="M24" s="3"/>
      <c r="N24" s="2">
        <f>IF('Modell einstellen'!$B$1="Voll",H24/0.35,H24/0.35*2)</f>
        <v>4.3444817142857146E-4</v>
      </c>
      <c r="O24" s="2">
        <f>IF('Modell einstellen'!$B$1="Voll",J24/0.35,J24/0.35*2)</f>
        <v>-1.0596601142857144E-3</v>
      </c>
      <c r="P24" s="3">
        <f t="shared" si="1"/>
        <v>0.40998822695277171</v>
      </c>
    </row>
    <row r="25" spans="1:16" x14ac:dyDescent="0.25">
      <c r="A25" s="3">
        <v>10000000</v>
      </c>
      <c r="B25" s="3">
        <v>2.9770000000000003E-4</v>
      </c>
      <c r="C25" s="3">
        <v>3.971E-4</v>
      </c>
      <c r="D25" s="3">
        <v>-9.4479999999999998E-4</v>
      </c>
      <c r="E25" s="3">
        <v>0</v>
      </c>
      <c r="F25" s="3">
        <v>0</v>
      </c>
      <c r="G25" s="3">
        <v>0</v>
      </c>
      <c r="H25" s="3">
        <v>8.6503969999999995E-5</v>
      </c>
      <c r="I25" s="3">
        <v>4.9802470999999997E-5</v>
      </c>
      <c r="J25" s="3">
        <v>-2.1603494E-4</v>
      </c>
      <c r="L25" s="3">
        <f t="shared" si="0"/>
        <v>0.31509314140558853</v>
      </c>
      <c r="M25" s="3"/>
      <c r="N25" s="2">
        <f>IF('Modell einstellen'!$B$1="Voll",H25/0.35,H25/0.35*2)</f>
        <v>4.9430839999999997E-4</v>
      </c>
      <c r="O25" s="2">
        <f>IF('Modell einstellen'!$B$1="Voll",J25/0.35,J25/0.35*2)</f>
        <v>-1.2344853714285715E-3</v>
      </c>
      <c r="P25" s="3">
        <f t="shared" si="1"/>
        <v>0.40041657150459081</v>
      </c>
    </row>
    <row r="26" spans="1:16" x14ac:dyDescent="0.25">
      <c r="A26" s="3">
        <v>100000000</v>
      </c>
      <c r="B26" s="3">
        <v>4.0279999999999998E-4</v>
      </c>
      <c r="C26" s="3">
        <v>4.7169999999999997E-4</v>
      </c>
      <c r="D26" s="3">
        <v>-1.1069999999999999E-3</v>
      </c>
      <c r="E26" s="3">
        <v>0</v>
      </c>
      <c r="F26" s="3">
        <v>0</v>
      </c>
      <c r="G26" s="3">
        <v>0</v>
      </c>
      <c r="H26" s="3">
        <v>9.5946405E-5</v>
      </c>
      <c r="I26" s="3">
        <v>6.0043061999999997E-5</v>
      </c>
      <c r="J26" s="3">
        <v>-2.4457055000000002E-4</v>
      </c>
      <c r="L26" s="3">
        <f t="shared" si="0"/>
        <v>0.36386630532971997</v>
      </c>
      <c r="M26" s="3"/>
      <c r="N26" s="2">
        <f>IF('Modell einstellen'!$B$1="Voll",H26/0.35,H26/0.35*2)</f>
        <v>5.4826517142857146E-4</v>
      </c>
      <c r="O26" s="2">
        <f>IF('Modell einstellen'!$B$1="Voll",J26/0.35,J26/0.35*2)</f>
        <v>-1.3975460000000002E-3</v>
      </c>
      <c r="P26" s="3">
        <f t="shared" si="1"/>
        <v>0.3923056353269026</v>
      </c>
    </row>
    <row r="27" spans="1:16" x14ac:dyDescent="0.25">
      <c r="A27" s="3">
        <v>1000000000</v>
      </c>
      <c r="B27" s="3">
        <v>4.8589999999999999E-4</v>
      </c>
      <c r="C27" s="3">
        <v>5.4129999999999998E-4</v>
      </c>
      <c r="D27" s="3">
        <v>-1.2470000000000001E-3</v>
      </c>
      <c r="E27" s="3">
        <v>0</v>
      </c>
      <c r="F27" s="3">
        <v>0</v>
      </c>
      <c r="G27" s="3">
        <v>0</v>
      </c>
      <c r="H27" s="3">
        <v>1.0412501E-4</v>
      </c>
      <c r="I27" s="3">
        <v>6.9347552000000002E-5</v>
      </c>
      <c r="J27" s="3">
        <v>-2.7027855999999997E-4</v>
      </c>
      <c r="L27" s="3">
        <f t="shared" si="0"/>
        <v>0.3896551724137931</v>
      </c>
      <c r="M27" s="3"/>
      <c r="N27" s="2">
        <f>IF('Modell einstellen'!$B$1="Voll",H27/0.35,H27/0.35*2)</f>
        <v>5.9500005714285711E-4</v>
      </c>
      <c r="O27" s="2">
        <f>IF('Modell einstellen'!$B$1="Voll",J27/0.35,J27/0.35*2)</f>
        <v>-1.5444489142857143E-3</v>
      </c>
      <c r="P27" s="3">
        <f t="shared" si="1"/>
        <v>0.38525072058989801</v>
      </c>
    </row>
    <row r="28" spans="1:16" x14ac:dyDescent="0.25">
      <c r="A28" s="3">
        <v>10000000000</v>
      </c>
      <c r="B28" s="3">
        <v>5.5219999999999998E-4</v>
      </c>
      <c r="C28" s="3">
        <v>6.0709999999999996E-4</v>
      </c>
      <c r="D28" s="3">
        <v>-1.3699999999999999E-3</v>
      </c>
      <c r="E28" s="3">
        <v>0</v>
      </c>
      <c r="F28" s="3">
        <v>0</v>
      </c>
      <c r="G28" s="3">
        <v>0</v>
      </c>
      <c r="H28" s="3">
        <v>1.1193224E-4</v>
      </c>
      <c r="I28" s="3">
        <v>7.8123596000000001E-5</v>
      </c>
      <c r="J28" s="3">
        <v>-2.9480791000000001E-4</v>
      </c>
      <c r="L28" s="3">
        <f t="shared" si="0"/>
        <v>0.40306569343065696</v>
      </c>
      <c r="M28" s="3"/>
      <c r="N28" s="2">
        <f>IF('Modell einstellen'!$B$1="Voll",H28/0.35,H28/0.35*2)</f>
        <v>6.3961280000000007E-4</v>
      </c>
      <c r="O28" s="2">
        <f>IF('Modell einstellen'!$B$1="Voll",J28/0.35,J28/0.35*2)</f>
        <v>-1.6846166285714287E-3</v>
      </c>
      <c r="P28" s="3">
        <f t="shared" si="1"/>
        <v>0.37967855068746292</v>
      </c>
    </row>
    <row r="29" spans="1:16" x14ac:dyDescent="0.25">
      <c r="A29" s="3">
        <v>100000000000</v>
      </c>
      <c r="B29" s="3">
        <v>6.0809999999999998E-4</v>
      </c>
      <c r="C29" s="3">
        <v>6.711E-4</v>
      </c>
      <c r="D29" s="3">
        <v>-1.4829999999999999E-3</v>
      </c>
      <c r="E29" s="3">
        <v>0</v>
      </c>
      <c r="F29" s="3">
        <v>0</v>
      </c>
      <c r="G29" s="3">
        <v>0</v>
      </c>
      <c r="H29" s="3">
        <v>1.2002808E-4</v>
      </c>
      <c r="I29" s="3">
        <v>8.6809512000000002E-5</v>
      </c>
      <c r="J29" s="3">
        <v>-3.1960978999999998E-4</v>
      </c>
      <c r="L29" s="3">
        <f t="shared" si="0"/>
        <v>0.41004720161834118</v>
      </c>
      <c r="M29" s="3"/>
      <c r="N29" s="2">
        <f>IF('Modell einstellen'!$B$1="Voll",H29/0.35,H29/0.35*2)</f>
        <v>6.8587474285714293E-4</v>
      </c>
      <c r="O29" s="2">
        <f>IF('Modell einstellen'!$B$1="Voll",J29/0.35,J29/0.35*2)</f>
        <v>-1.8263416571428573E-3</v>
      </c>
      <c r="P29" s="3">
        <f t="shared" si="1"/>
        <v>0.37554569276491812</v>
      </c>
    </row>
    <row r="30" spans="1:16" x14ac:dyDescent="0.25">
      <c r="A30" s="3">
        <v>1000000000000</v>
      </c>
      <c r="B30" s="3">
        <v>6.6149999999999998E-4</v>
      </c>
      <c r="C30" s="3">
        <v>7.404E-4</v>
      </c>
      <c r="D30" s="3">
        <v>-1.6019999999999999E-3</v>
      </c>
      <c r="E30" s="3">
        <v>0</v>
      </c>
      <c r="F30" s="3">
        <v>0</v>
      </c>
      <c r="G30" s="3">
        <v>0</v>
      </c>
      <c r="H30" s="3">
        <v>1.2996850999999999E-4</v>
      </c>
      <c r="I30" s="3">
        <v>9.6636105000000002E-5</v>
      </c>
      <c r="J30" s="3">
        <v>-3.4861008000000002E-4</v>
      </c>
      <c r="L30" s="3">
        <f t="shared" si="0"/>
        <v>0.41292134831460675</v>
      </c>
      <c r="M30" s="3"/>
      <c r="N30" s="2">
        <f>IF('Modell einstellen'!$B$1="Voll",H30/0.35,H30/0.35*2)</f>
        <v>7.4267720000000003E-4</v>
      </c>
      <c r="O30" s="2">
        <f>IF('Modell einstellen'!$B$1="Voll",J30/0.35,J30/0.35*2)</f>
        <v>-1.9920576000000004E-3</v>
      </c>
      <c r="P30" s="3">
        <f t="shared" si="1"/>
        <v>0.37281913936625122</v>
      </c>
    </row>
    <row r="31" spans="1:16" x14ac:dyDescent="0.25">
      <c r="A31" s="3">
        <v>10000000000000</v>
      </c>
      <c r="B31" s="3">
        <v>7.1650000000000001E-4</v>
      </c>
      <c r="C31" s="3">
        <v>8.1859999999999995E-4</v>
      </c>
      <c r="D31" s="3">
        <v>-1.732E-3</v>
      </c>
      <c r="E31" s="3">
        <v>0</v>
      </c>
      <c r="F31" s="3">
        <v>0</v>
      </c>
      <c r="G31" s="3">
        <v>0</v>
      </c>
      <c r="H31" s="3">
        <v>1.4220962000000001E-4</v>
      </c>
      <c r="I31" s="3">
        <v>1.0814982E-4</v>
      </c>
      <c r="J31" s="3">
        <v>-3.8326019999999997E-4</v>
      </c>
      <c r="L31" s="3">
        <f t="shared" si="0"/>
        <v>0.41368360277136257</v>
      </c>
      <c r="M31" s="3"/>
      <c r="N31" s="2">
        <f>IF('Modell einstellen'!$B$1="Voll",H31/0.35,H31/0.35*2)</f>
        <v>8.1262640000000013E-4</v>
      </c>
      <c r="O31" s="2">
        <f>IF('Modell einstellen'!$B$1="Voll",J31/0.35,J31/0.35*2)</f>
        <v>-2.1900582857142855E-3</v>
      </c>
      <c r="P31" s="3">
        <f t="shared" si="1"/>
        <v>0.37105240773761544</v>
      </c>
    </row>
    <row r="32" spans="1:16" x14ac:dyDescent="0.25">
      <c r="A32" s="3">
        <v>100000000000000</v>
      </c>
      <c r="B32" s="3">
        <v>7.7800000000000005E-4</v>
      </c>
      <c r="C32" s="3">
        <v>9.1569999999999998E-4</v>
      </c>
      <c r="D32" s="3">
        <v>-1.8879999999999999E-3</v>
      </c>
      <c r="E32" s="3">
        <v>0</v>
      </c>
      <c r="F32" s="3">
        <v>0</v>
      </c>
      <c r="G32" s="3">
        <v>0</v>
      </c>
      <c r="H32" s="3">
        <v>1.5868775999999999E-4</v>
      </c>
      <c r="I32" s="3">
        <v>1.2307596000000001E-4</v>
      </c>
      <c r="J32" s="3">
        <v>-4.2882416000000002E-4</v>
      </c>
      <c r="L32" s="3">
        <f t="shared" si="0"/>
        <v>0.41207627118644075</v>
      </c>
      <c r="M32" s="3"/>
      <c r="N32" s="2">
        <f>IF('Modell einstellen'!$B$1="Voll",H32/0.35,H32/0.35*2)</f>
        <v>9.067872E-4</v>
      </c>
      <c r="O32" s="2">
        <f>IF('Modell einstellen'!$B$1="Voll",J32/0.35,J32/0.35*2)</f>
        <v>-2.4504237714285718E-3</v>
      </c>
      <c r="P32" s="3">
        <f t="shared" si="1"/>
        <v>0.37005321715082468</v>
      </c>
    </row>
    <row r="33" spans="1:16" x14ac:dyDescent="0.25">
      <c r="A33" s="3">
        <v>1000000000000000</v>
      </c>
      <c r="B33" s="3">
        <v>8.5110000000000003E-4</v>
      </c>
      <c r="C33" s="3">
        <v>1.0460000000000001E-3</v>
      </c>
      <c r="D33" s="3">
        <v>-2.0890000000000001E-3</v>
      </c>
      <c r="E33" s="3">
        <v>0</v>
      </c>
      <c r="F33" s="3">
        <v>0</v>
      </c>
      <c r="G33" s="3">
        <v>0</v>
      </c>
      <c r="H33" s="3">
        <v>1.8204081E-4</v>
      </c>
      <c r="I33" s="3">
        <v>1.4381556E-4</v>
      </c>
      <c r="J33" s="3">
        <v>-4.9255475000000001E-4</v>
      </c>
      <c r="L33" s="3">
        <f t="shared" si="0"/>
        <v>0.40741981809478217</v>
      </c>
      <c r="M33" s="3"/>
      <c r="N33" s="2">
        <f>IF('Modell einstellen'!$B$1="Voll",H33/0.35,H33/0.35*2)</f>
        <v>1.0402332000000001E-3</v>
      </c>
      <c r="O33" s="2">
        <f>IF('Modell einstellen'!$B$1="Voll",J33/0.35,J33/0.35*2)</f>
        <v>-2.8145985714285717E-3</v>
      </c>
      <c r="P33" s="3">
        <f t="shared" si="1"/>
        <v>0.36958492431552026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-7.3390000000000004E-6</v>
      </c>
      <c r="C3" s="3">
        <v>1.4249999999999999E-4</v>
      </c>
      <c r="D3" s="3">
        <v>-4.3219999999999999E-4</v>
      </c>
      <c r="E3" s="3">
        <v>0</v>
      </c>
      <c r="F3" s="3">
        <v>0</v>
      </c>
      <c r="G3" s="3">
        <v>0</v>
      </c>
      <c r="H3" s="3">
        <v>3.2769050000000001E-5</v>
      </c>
      <c r="I3" s="3">
        <v>1.3058299000000001E-5</v>
      </c>
      <c r="J3" s="3">
        <v>-9.2366875000000003E-5</v>
      </c>
      <c r="K3" s="3"/>
      <c r="L3" s="3">
        <f>-B3/D3</f>
        <v>-1.6980564553447479E-2</v>
      </c>
      <c r="M3" s="3"/>
      <c r="N3" s="2">
        <f>IF('Modell einstellen'!$B$1="Voll",H3/0.35,H3/0.35*2)</f>
        <v>1.872517142857143E-4</v>
      </c>
      <c r="O3" s="2">
        <f>IF('Modell einstellen'!$B$1="Voll",J3/0.35,J3/0.35*2)</f>
        <v>-5.2781071428571432E-4</v>
      </c>
      <c r="P3" s="3">
        <f>-N3/O3</f>
        <v>0.35477058198623695</v>
      </c>
      <c r="Q3" s="3"/>
      <c r="R3" s="3"/>
      <c r="S3" s="3"/>
      <c r="T3" s="3"/>
      <c r="U3" s="3"/>
    </row>
    <row r="4" spans="1:21" x14ac:dyDescent="0.25">
      <c r="A4" s="3">
        <v>1E-14</v>
      </c>
      <c r="B4" s="3">
        <v>-7.3490000000000003E-6</v>
      </c>
      <c r="C4" s="3">
        <v>1.426E-4</v>
      </c>
      <c r="D4" s="3">
        <v>-4.3219999999999999E-4</v>
      </c>
      <c r="E4" s="3">
        <v>0</v>
      </c>
      <c r="F4" s="3">
        <v>0</v>
      </c>
      <c r="G4" s="3">
        <v>0</v>
      </c>
      <c r="H4" s="3">
        <v>3.2769250000000001E-5</v>
      </c>
      <c r="I4" s="3">
        <v>1.3059255000000001E-5</v>
      </c>
      <c r="J4" s="3">
        <v>-9.2365555000000006E-5</v>
      </c>
      <c r="K4" s="3"/>
      <c r="L4" s="3">
        <f t="shared" ref="L4:L33" si="0">-B4/D4</f>
        <v>-1.7003701989819528E-2</v>
      </c>
      <c r="M4" s="3"/>
      <c r="N4" s="2">
        <f>IF('Modell einstellen'!$B$1="Voll",H4/0.35,H4/0.35*2)</f>
        <v>1.8725285714285715E-4</v>
      </c>
      <c r="O4" s="2">
        <f>IF('Modell einstellen'!$B$1="Voll",J4/0.35,J4/0.35*2)</f>
        <v>-5.2780317142857151E-4</v>
      </c>
      <c r="P4" s="3">
        <f t="shared" ref="P4:P33" si="1">-N4/O4</f>
        <v>0.35477781733677666</v>
      </c>
      <c r="Q4" s="3"/>
      <c r="R4" s="3"/>
      <c r="S4" s="3"/>
      <c r="T4" s="3"/>
      <c r="U4" s="3"/>
    </row>
    <row r="5" spans="1:21" x14ac:dyDescent="0.25">
      <c r="A5" s="3">
        <v>1E-13</v>
      </c>
      <c r="B5" s="3">
        <v>-7.3490000000000003E-6</v>
      </c>
      <c r="C5" s="3">
        <v>1.426E-4</v>
      </c>
      <c r="D5" s="3">
        <v>-4.3219999999999999E-4</v>
      </c>
      <c r="E5" s="3">
        <v>0</v>
      </c>
      <c r="F5" s="3">
        <v>0</v>
      </c>
      <c r="G5" s="3">
        <v>0</v>
      </c>
      <c r="H5" s="3">
        <v>3.2769847000000001E-5</v>
      </c>
      <c r="I5" s="3">
        <v>1.3059485999999999E-5</v>
      </c>
      <c r="J5" s="3">
        <v>-9.2366679E-5</v>
      </c>
      <c r="K5" s="3"/>
      <c r="L5" s="3">
        <f t="shared" si="0"/>
        <v>-1.7003701989819528E-2</v>
      </c>
      <c r="M5" s="3"/>
      <c r="N5" s="2">
        <f>IF('Modell einstellen'!$B$1="Voll",H5/0.35,H5/0.35*2)</f>
        <v>1.8725626857142859E-4</v>
      </c>
      <c r="O5" s="2">
        <f>IF('Modell einstellen'!$B$1="Voll",J5/0.35,J5/0.35*2)</f>
        <v>-5.2780959428571435E-4</v>
      </c>
      <c r="P5" s="3">
        <f t="shared" si="1"/>
        <v>0.35477996345413693</v>
      </c>
      <c r="Q5" s="3"/>
      <c r="R5" s="3"/>
      <c r="S5" s="3"/>
      <c r="T5" s="3"/>
      <c r="U5" s="3"/>
    </row>
    <row r="6" spans="1:21" x14ac:dyDescent="0.25">
      <c r="A6" s="3">
        <v>9.9999999999999998E-13</v>
      </c>
      <c r="B6" s="3">
        <v>-7.3699999999999997E-6</v>
      </c>
      <c r="C6" s="3">
        <v>1.426E-4</v>
      </c>
      <c r="D6" s="3">
        <v>-4.3219999999999999E-4</v>
      </c>
      <c r="E6" s="3">
        <v>0</v>
      </c>
      <c r="F6" s="3">
        <v>0</v>
      </c>
      <c r="G6" s="3">
        <v>0</v>
      </c>
      <c r="H6" s="3">
        <v>3.2774088999999998E-5</v>
      </c>
      <c r="I6" s="3">
        <v>1.3060223E-5</v>
      </c>
      <c r="J6" s="3">
        <v>-9.2373245000000002E-5</v>
      </c>
      <c r="K6" s="3"/>
      <c r="L6" s="3">
        <f t="shared" si="0"/>
        <v>-1.7052290606200834E-2</v>
      </c>
      <c r="M6" s="3"/>
      <c r="N6" s="2">
        <f>IF('Modell einstellen'!$B$1="Voll",H6/0.35,H6/0.35*2)</f>
        <v>1.8728050857142858E-4</v>
      </c>
      <c r="O6" s="2">
        <f>IF('Modell einstellen'!$B$1="Voll",J6/0.35,J6/0.35*2)</f>
        <v>-5.2784711428571437E-4</v>
      </c>
      <c r="P6" s="3">
        <f t="shared" si="1"/>
        <v>0.35480066766085783</v>
      </c>
      <c r="Q6" s="3"/>
      <c r="R6" s="3"/>
      <c r="S6" s="3"/>
      <c r="T6" s="3"/>
      <c r="U6" s="3"/>
    </row>
    <row r="7" spans="1:21" x14ac:dyDescent="0.25">
      <c r="A7" s="3">
        <v>9.9999999999999994E-12</v>
      </c>
      <c r="B7" s="3">
        <v>-7.5789999999999998E-6</v>
      </c>
      <c r="C7" s="3">
        <v>1.426E-4</v>
      </c>
      <c r="D7" s="3">
        <v>-4.3209999999999999E-4</v>
      </c>
      <c r="E7" s="3">
        <v>0</v>
      </c>
      <c r="F7" s="3">
        <v>0</v>
      </c>
      <c r="G7" s="3">
        <v>0</v>
      </c>
      <c r="H7" s="3">
        <v>3.2815014999999998E-5</v>
      </c>
      <c r="I7" s="3">
        <v>1.3066984999999999E-5</v>
      </c>
      <c r="J7" s="3">
        <v>-9.2436068000000007E-5</v>
      </c>
      <c r="K7" s="3"/>
      <c r="L7" s="3">
        <f t="shared" si="0"/>
        <v>-1.7539921314510529E-2</v>
      </c>
      <c r="M7" s="3"/>
      <c r="N7" s="2">
        <f>IF('Modell einstellen'!$B$1="Voll",H7/0.35,H7/0.35*2)</f>
        <v>1.8751437142857142E-4</v>
      </c>
      <c r="O7" s="2">
        <f>IF('Modell einstellen'!$B$1="Voll",J7/0.35,J7/0.35*2)</f>
        <v>-5.2820610285714297E-4</v>
      </c>
      <c r="P7" s="3">
        <f t="shared" si="1"/>
        <v>0.35500228114419569</v>
      </c>
      <c r="Q7" s="3"/>
      <c r="R7" s="3"/>
      <c r="S7" s="3"/>
      <c r="T7" s="3"/>
      <c r="U7" s="3"/>
    </row>
    <row r="8" spans="1:21" x14ac:dyDescent="0.25">
      <c r="A8" s="3">
        <v>1E-10</v>
      </c>
      <c r="B8" s="3">
        <v>-9.4110000000000002E-6</v>
      </c>
      <c r="C8" s="3">
        <v>1.4320000000000001E-4</v>
      </c>
      <c r="D8" s="3">
        <v>-4.3179999999999998E-4</v>
      </c>
      <c r="E8" s="3">
        <v>0</v>
      </c>
      <c r="F8" s="3">
        <v>0</v>
      </c>
      <c r="G8" s="3">
        <v>0</v>
      </c>
      <c r="H8" s="3">
        <v>3.3171082000000002E-5</v>
      </c>
      <c r="I8" s="3">
        <v>1.3125528999999999E-5</v>
      </c>
      <c r="J8" s="3">
        <v>-9.2981745000000001E-5</v>
      </c>
      <c r="K8" s="3"/>
      <c r="L8" s="3">
        <f t="shared" si="0"/>
        <v>-2.179481241315424E-2</v>
      </c>
      <c r="M8" s="3"/>
      <c r="N8" s="2">
        <f>IF('Modell einstellen'!$B$1="Voll",H8/0.35,H8/0.35*2)</f>
        <v>1.8954904000000001E-4</v>
      </c>
      <c r="O8" s="2">
        <f>IF('Modell einstellen'!$B$1="Voll",J8/0.35,J8/0.35*2)</f>
        <v>-5.3132425714285715E-4</v>
      </c>
      <c r="P8" s="3">
        <f t="shared" si="1"/>
        <v>0.3567483273195185</v>
      </c>
      <c r="Q8" s="3"/>
      <c r="R8" s="3"/>
      <c r="S8" s="3"/>
      <c r="T8" s="3"/>
      <c r="U8" s="3"/>
    </row>
    <row r="9" spans="1:21" x14ac:dyDescent="0.25">
      <c r="A9" s="3">
        <v>1.0000000000000001E-9</v>
      </c>
      <c r="B9" s="3">
        <v>-1.5979999999999999E-5</v>
      </c>
      <c r="C9" s="3">
        <v>1.4530000000000001E-4</v>
      </c>
      <c r="D9" s="3">
        <v>-4.3019999999999999E-4</v>
      </c>
      <c r="E9" s="3">
        <v>0</v>
      </c>
      <c r="F9" s="3">
        <v>0</v>
      </c>
      <c r="G9" s="3">
        <v>0</v>
      </c>
      <c r="H9" s="3">
        <v>3.4418804000000001E-5</v>
      </c>
      <c r="I9" s="3">
        <v>1.3327081E-5</v>
      </c>
      <c r="J9" s="3">
        <v>-9.4878489000000006E-5</v>
      </c>
      <c r="K9" s="3"/>
      <c r="L9" s="3">
        <f t="shared" si="0"/>
        <v>-3.7145513714551368E-2</v>
      </c>
      <c r="M9" s="3"/>
      <c r="N9" s="2">
        <f>IF('Modell einstellen'!$B$1="Voll",H9/0.35,H9/0.35*2)</f>
        <v>1.9667888000000002E-4</v>
      </c>
      <c r="O9" s="2">
        <f>IF('Modell einstellen'!$B$1="Voll",J9/0.35,J9/0.35*2)</f>
        <v>-5.4216279428571435E-4</v>
      </c>
      <c r="P9" s="3">
        <f t="shared" si="1"/>
        <v>0.36276720216317948</v>
      </c>
      <c r="Q9" s="3"/>
      <c r="R9" s="3"/>
      <c r="S9" s="3"/>
      <c r="T9" s="3"/>
      <c r="U9" s="3"/>
    </row>
    <row r="10" spans="1:21" x14ac:dyDescent="0.25">
      <c r="A10" s="3">
        <v>1E-8</v>
      </c>
      <c r="B10" s="3">
        <v>-2.1080000000000001E-5</v>
      </c>
      <c r="C10" s="3">
        <v>1.47E-4</v>
      </c>
      <c r="D10" s="3">
        <v>-4.2890000000000002E-4</v>
      </c>
      <c r="E10" s="3">
        <v>0</v>
      </c>
      <c r="F10" s="3">
        <v>0</v>
      </c>
      <c r="G10" s="3">
        <v>0</v>
      </c>
      <c r="H10" s="3">
        <v>3.5370158999999997E-5</v>
      </c>
      <c r="I10" s="3">
        <v>1.348441E-5</v>
      </c>
      <c r="J10" s="3">
        <v>-9.6317089999999999E-5</v>
      </c>
      <c r="K10" s="3"/>
      <c r="L10" s="3">
        <f t="shared" si="0"/>
        <v>-4.9148985777570528E-2</v>
      </c>
      <c r="M10" s="3"/>
      <c r="N10" s="2">
        <f>IF('Modell einstellen'!$B$1="Voll",H10/0.35,H10/0.35*2)</f>
        <v>2.0211519428571428E-4</v>
      </c>
      <c r="O10" s="2">
        <f>IF('Modell einstellen'!$B$1="Voll",J10/0.35,J10/0.35*2)</f>
        <v>-5.5038337142857149E-4</v>
      </c>
      <c r="P10" s="3">
        <f t="shared" si="1"/>
        <v>0.3672262004593369</v>
      </c>
      <c r="Q10" s="3"/>
      <c r="R10" s="3"/>
      <c r="S10" s="3"/>
      <c r="T10" s="3"/>
      <c r="U10" s="3"/>
    </row>
    <row r="11" spans="1:21" x14ac:dyDescent="0.25">
      <c r="A11" s="3">
        <v>9.9999999999999995E-8</v>
      </c>
      <c r="B11" s="3">
        <v>-2.6060000000000001E-5</v>
      </c>
      <c r="C11" s="3">
        <v>1.4860000000000001E-4</v>
      </c>
      <c r="D11" s="3">
        <v>-4.2749999999999998E-4</v>
      </c>
      <c r="E11" s="3">
        <v>0</v>
      </c>
      <c r="F11" s="3">
        <v>0</v>
      </c>
      <c r="G11" s="3">
        <v>0</v>
      </c>
      <c r="H11" s="3">
        <v>3.627111E-5</v>
      </c>
      <c r="I11" s="3">
        <v>1.3631026E-5</v>
      </c>
      <c r="J11" s="3">
        <v>-9.7669411E-5</v>
      </c>
      <c r="K11" s="3"/>
      <c r="L11" s="3">
        <f t="shared" si="0"/>
        <v>-6.0959064327485386E-2</v>
      </c>
      <c r="M11" s="3"/>
      <c r="N11" s="2">
        <f>IF('Modell einstellen'!$B$1="Voll",H11/0.35,H11/0.35*2)</f>
        <v>2.0726348571428572E-4</v>
      </c>
      <c r="O11" s="2">
        <f>IF('Modell einstellen'!$B$1="Voll",J11/0.35,J11/0.35*2)</f>
        <v>-5.5811092000000002E-4</v>
      </c>
      <c r="P11" s="3">
        <f t="shared" si="1"/>
        <v>0.37136611789334945</v>
      </c>
      <c r="Q11" s="3"/>
      <c r="R11" s="3"/>
      <c r="S11" s="3"/>
      <c r="T11" s="3"/>
      <c r="U11" s="3"/>
    </row>
    <row r="12" spans="1:21" x14ac:dyDescent="0.25">
      <c r="A12" s="3">
        <v>9.9999999999999995E-7</v>
      </c>
      <c r="B12" s="3">
        <v>-3.2190000000000002E-5</v>
      </c>
      <c r="C12" s="3">
        <v>1.5029999999999999E-4</v>
      </c>
      <c r="D12" s="3">
        <v>-4.2539999999999999E-4</v>
      </c>
      <c r="E12" s="3">
        <v>0</v>
      </c>
      <c r="F12" s="3">
        <v>0</v>
      </c>
      <c r="G12" s="3">
        <v>0</v>
      </c>
      <c r="H12" s="3">
        <v>3.7337081E-5</v>
      </c>
      <c r="I12" s="3">
        <v>1.3796369000000001E-5</v>
      </c>
      <c r="J12" s="3">
        <v>-9.9248094E-5</v>
      </c>
      <c r="K12" s="3"/>
      <c r="L12" s="3">
        <f t="shared" si="0"/>
        <v>-7.5669957686882935E-2</v>
      </c>
      <c r="M12" s="3"/>
      <c r="N12" s="2">
        <f>IF('Modell einstellen'!$B$1="Voll",H12/0.35,H12/0.35*2)</f>
        <v>2.1335474857142858E-4</v>
      </c>
      <c r="O12" s="2">
        <f>IF('Modell einstellen'!$B$1="Voll",J12/0.35,J12/0.35*2)</f>
        <v>-5.6713196571428579E-4</v>
      </c>
      <c r="P12" s="3">
        <f t="shared" si="1"/>
        <v>0.37619947643528545</v>
      </c>
      <c r="Q12" s="3"/>
      <c r="R12" s="3"/>
      <c r="S12" s="3"/>
      <c r="T12" s="3"/>
      <c r="U12" s="3"/>
    </row>
    <row r="13" spans="1:21" x14ac:dyDescent="0.25">
      <c r="A13" s="3">
        <v>1.0000000000000001E-5</v>
      </c>
      <c r="B13" s="3">
        <v>-3.9190000000000003E-5</v>
      </c>
      <c r="C13" s="3">
        <v>1.5220000000000001E-4</v>
      </c>
      <c r="D13" s="3">
        <v>-4.2260000000000003E-4</v>
      </c>
      <c r="E13" s="3">
        <v>0</v>
      </c>
      <c r="F13" s="3">
        <v>0</v>
      </c>
      <c r="G13" s="3">
        <v>0</v>
      </c>
      <c r="H13" s="3">
        <v>3.8509366999999997E-5</v>
      </c>
      <c r="I13" s="3">
        <v>1.3971934000000001E-5</v>
      </c>
      <c r="J13" s="3">
        <v>-1.0096359E-4</v>
      </c>
      <c r="K13" s="3"/>
      <c r="L13" s="3">
        <f t="shared" si="0"/>
        <v>-9.2735447231424517E-2</v>
      </c>
      <c r="M13" s="3"/>
      <c r="N13" s="2">
        <f>IF('Modell einstellen'!$B$1="Voll",H13/0.35,H13/0.35*2)</f>
        <v>2.2005352571428572E-4</v>
      </c>
      <c r="O13" s="2">
        <f>IF('Modell einstellen'!$B$1="Voll",J13/0.35,J13/0.35*2)</f>
        <v>-5.7693480000000003E-4</v>
      </c>
      <c r="P13" s="3">
        <f t="shared" si="1"/>
        <v>0.38141836081700342</v>
      </c>
      <c r="Q13" s="3"/>
      <c r="R13" s="3"/>
      <c r="S13" s="3"/>
      <c r="T13" s="3"/>
      <c r="U13" s="3"/>
    </row>
    <row r="14" spans="1:21" x14ac:dyDescent="0.25">
      <c r="A14" s="3">
        <v>1E-4</v>
      </c>
      <c r="B14" s="3">
        <v>-4.791E-5</v>
      </c>
      <c r="C14" s="3">
        <v>1.5440000000000001E-4</v>
      </c>
      <c r="D14" s="3">
        <v>-4.1879999999999999E-4</v>
      </c>
      <c r="E14" s="3">
        <v>0</v>
      </c>
      <c r="F14" s="3">
        <v>0</v>
      </c>
      <c r="G14" s="3">
        <v>0</v>
      </c>
      <c r="H14" s="3">
        <v>3.9912240999999999E-5</v>
      </c>
      <c r="I14" s="3">
        <v>1.4172108E-5</v>
      </c>
      <c r="J14" s="3">
        <v>-1.0298714E-4</v>
      </c>
      <c r="K14" s="3"/>
      <c r="L14" s="3">
        <f t="shared" si="0"/>
        <v>-0.11439828080229227</v>
      </c>
      <c r="M14" s="3"/>
      <c r="N14" s="2">
        <f>IF('Modell einstellen'!$B$1="Voll",H14/0.35,H14/0.35*2)</f>
        <v>2.2806994857142859E-4</v>
      </c>
      <c r="O14" s="2">
        <f>IF('Modell einstellen'!$B$1="Voll",J14/0.35,J14/0.35*2)</f>
        <v>-5.8849794285714295E-4</v>
      </c>
      <c r="P14" s="3">
        <f t="shared" si="1"/>
        <v>0.38754587223220294</v>
      </c>
      <c r="Q14" s="3"/>
      <c r="R14" s="3"/>
      <c r="S14" s="3"/>
      <c r="T14" s="3"/>
      <c r="U14" s="3"/>
    </row>
    <row r="15" spans="1:21" x14ac:dyDescent="0.25">
      <c r="A15" s="3">
        <v>1E-3</v>
      </c>
      <c r="B15" s="3">
        <v>-5.8430000000000001E-5</v>
      </c>
      <c r="C15" s="3">
        <v>1.5669999999999999E-4</v>
      </c>
      <c r="D15" s="3">
        <v>-4.1360000000000002E-4</v>
      </c>
      <c r="E15" s="3">
        <v>0</v>
      </c>
      <c r="F15" s="3">
        <v>0</v>
      </c>
      <c r="G15" s="3">
        <v>0</v>
      </c>
      <c r="H15" s="3">
        <v>4.1537749999999997E-5</v>
      </c>
      <c r="I15" s="3">
        <v>1.4393183999999999E-5</v>
      </c>
      <c r="J15" s="3">
        <v>-1.0529681000000001E-4</v>
      </c>
      <c r="K15" s="3"/>
      <c r="L15" s="3">
        <f t="shared" si="0"/>
        <v>-0.14127176015473888</v>
      </c>
      <c r="M15" s="3"/>
      <c r="N15" s="2">
        <f>IF('Modell einstellen'!$B$1="Voll",H15/0.35,H15/0.35*2)</f>
        <v>2.3735857142857144E-4</v>
      </c>
      <c r="O15" s="2">
        <f>IF('Modell einstellen'!$B$1="Voll",J15/0.35,J15/0.35*2)</f>
        <v>-6.0169605714285716E-4</v>
      </c>
      <c r="P15" s="3">
        <f t="shared" si="1"/>
        <v>0.39448251091367348</v>
      </c>
      <c r="Q15" s="3"/>
      <c r="R15" s="3"/>
      <c r="S15" s="3"/>
      <c r="T15" s="3"/>
      <c r="U15" s="3"/>
    </row>
    <row r="16" spans="1:21" x14ac:dyDescent="0.25">
      <c r="A16" s="3">
        <v>0.01</v>
      </c>
      <c r="B16" s="3">
        <v>-7.0630000000000006E-5</v>
      </c>
      <c r="C16" s="3">
        <v>1.6019999999999999E-4</v>
      </c>
      <c r="D16" s="3">
        <v>-4.081E-4</v>
      </c>
      <c r="E16" s="3">
        <v>0</v>
      </c>
      <c r="F16" s="3">
        <v>0</v>
      </c>
      <c r="G16" s="3">
        <v>0</v>
      </c>
      <c r="H16" s="3">
        <v>4.3388632000000001E-5</v>
      </c>
      <c r="I16" s="3">
        <v>1.4677146E-5</v>
      </c>
      <c r="J16" s="3">
        <v>-1.0796381E-4</v>
      </c>
      <c r="K16" s="3"/>
      <c r="L16" s="3">
        <f t="shared" si="0"/>
        <v>-0.1730703259005146</v>
      </c>
      <c r="M16" s="3"/>
      <c r="N16" s="2">
        <f>IF('Modell einstellen'!$B$1="Voll",H16/0.35,H16/0.35*2)</f>
        <v>2.4793504000000002E-4</v>
      </c>
      <c r="O16" s="2">
        <f>IF('Modell einstellen'!$B$1="Voll",J16/0.35,J16/0.35*2)</f>
        <v>-6.1693605714285718E-4</v>
      </c>
      <c r="P16" s="3">
        <f t="shared" si="1"/>
        <v>0.40188126002592905</v>
      </c>
      <c r="Q16" s="3"/>
      <c r="R16" s="3"/>
      <c r="S16" s="3"/>
      <c r="T16" s="3"/>
      <c r="U16" s="3"/>
    </row>
    <row r="17" spans="1:25" x14ac:dyDescent="0.25">
      <c r="A17" s="3">
        <v>0.1</v>
      </c>
      <c r="B17" s="3">
        <v>-8.4010000000000004E-5</v>
      </c>
      <c r="C17" s="3">
        <v>1.6220000000000001E-4</v>
      </c>
      <c r="D17" s="3">
        <v>-3.9980000000000001E-4</v>
      </c>
      <c r="E17" s="3">
        <v>0</v>
      </c>
      <c r="F17" s="3">
        <v>0</v>
      </c>
      <c r="G17" s="3">
        <v>0</v>
      </c>
      <c r="H17" s="3">
        <v>4.5253846999999999E-5</v>
      </c>
      <c r="I17" s="3">
        <v>1.4880042E-5</v>
      </c>
      <c r="J17" s="3">
        <v>-1.1048596E-4</v>
      </c>
      <c r="K17" s="3"/>
      <c r="L17" s="3">
        <f t="shared" si="0"/>
        <v>-0.21013006503251627</v>
      </c>
      <c r="M17" s="3"/>
      <c r="N17" s="2">
        <f>IF('Modell einstellen'!$B$1="Voll",H17/0.35,H17/0.35*2)</f>
        <v>2.5859341142857144E-4</v>
      </c>
      <c r="O17" s="2">
        <f>IF('Modell einstellen'!$B$1="Voll",J17/0.35,J17/0.35*2)</f>
        <v>-6.3134834285714285E-4</v>
      </c>
      <c r="P17" s="3">
        <f t="shared" si="1"/>
        <v>0.40958911883464649</v>
      </c>
      <c r="Q17" s="3"/>
      <c r="R17" s="3"/>
      <c r="S17" s="3"/>
      <c r="T17" s="3"/>
      <c r="U17" s="3"/>
      <c r="V17" s="3"/>
      <c r="W17" s="3"/>
      <c r="X17" s="3"/>
      <c r="Y17" s="3"/>
    </row>
    <row r="18" spans="1:25" x14ac:dyDescent="0.25">
      <c r="A18" s="3">
        <v>1</v>
      </c>
      <c r="B18" s="3">
        <v>-9.9270000000000003E-5</v>
      </c>
      <c r="C18" s="3">
        <v>1.6550000000000001E-4</v>
      </c>
      <c r="D18" s="3">
        <v>-3.9110000000000002E-4</v>
      </c>
      <c r="E18" s="3">
        <v>0</v>
      </c>
      <c r="F18" s="3">
        <v>0</v>
      </c>
      <c r="G18" s="3">
        <v>0</v>
      </c>
      <c r="H18" s="3">
        <v>4.7381927000000002E-5</v>
      </c>
      <c r="I18" s="3">
        <v>1.5162995999999999E-5</v>
      </c>
      <c r="J18" s="3">
        <v>-1.1343432999999999E-4</v>
      </c>
      <c r="K18" s="3"/>
      <c r="L18" s="3">
        <f t="shared" si="0"/>
        <v>-0.25382255177703911</v>
      </c>
      <c r="M18" s="3"/>
      <c r="N18" s="2">
        <f>IF('Modell einstellen'!$B$1="Voll",H18/0.35,H18/0.35*2)</f>
        <v>2.7075386857142858E-4</v>
      </c>
      <c r="O18" s="2">
        <f>IF('Modell einstellen'!$B$1="Voll",J18/0.35,J18/0.35*2)</f>
        <v>-6.481961714285714E-4</v>
      </c>
      <c r="P18" s="3">
        <f t="shared" si="1"/>
        <v>0.41770359114388039</v>
      </c>
      <c r="Q18" s="3"/>
      <c r="R18" s="3"/>
      <c r="S18" s="3"/>
      <c r="T18" s="3"/>
      <c r="U18" s="3"/>
      <c r="V18" s="3"/>
      <c r="W18" s="3"/>
      <c r="X18" s="3"/>
      <c r="Y18" s="3"/>
    </row>
    <row r="19" spans="1:25" x14ac:dyDescent="0.25">
      <c r="A19" s="3">
        <v>10</v>
      </c>
      <c r="B19" s="3">
        <v>-1.199E-4</v>
      </c>
      <c r="C19" s="3">
        <v>1.693E-4</v>
      </c>
      <c r="D19" s="3">
        <v>-3.7809999999999997E-4</v>
      </c>
      <c r="E19" s="3">
        <v>0</v>
      </c>
      <c r="F19" s="3">
        <v>0</v>
      </c>
      <c r="G19" s="3">
        <v>0</v>
      </c>
      <c r="H19" s="3">
        <v>5.0243990000000001E-5</v>
      </c>
      <c r="I19" s="3">
        <v>1.5526826999999999E-5</v>
      </c>
      <c r="J19" s="3">
        <v>-1.1733277999999999E-4</v>
      </c>
      <c r="K19" s="3"/>
      <c r="L19" s="3">
        <f t="shared" si="0"/>
        <v>-0.31711187516530021</v>
      </c>
      <c r="M19" s="3"/>
      <c r="N19" s="2">
        <f>IF('Modell einstellen'!$B$1="Voll",H19/0.35,H19/0.35*2)</f>
        <v>2.8710851428571433E-4</v>
      </c>
      <c r="O19" s="2">
        <f>IF('Modell einstellen'!$B$1="Voll",J19/0.35,J19/0.35*2)</f>
        <v>-6.7047302857142863E-4</v>
      </c>
      <c r="P19" s="3">
        <f t="shared" si="1"/>
        <v>0.42821784330005652</v>
      </c>
      <c r="Q19" s="3"/>
      <c r="R19" s="3"/>
      <c r="S19" s="3"/>
      <c r="T19" s="3"/>
      <c r="U19" s="3"/>
      <c r="V19" s="3"/>
      <c r="W19" s="3"/>
      <c r="X19" s="3"/>
      <c r="Y19" s="3"/>
    </row>
    <row r="20" spans="1:25" x14ac:dyDescent="0.25">
      <c r="A20" s="3">
        <v>100</v>
      </c>
      <c r="B20" s="3">
        <v>-1.3870000000000001E-4</v>
      </c>
      <c r="C20" s="3">
        <v>1.7689999999999999E-4</v>
      </c>
      <c r="D20" s="3">
        <v>-3.6989999999999999E-4</v>
      </c>
      <c r="E20" s="3">
        <v>0</v>
      </c>
      <c r="F20" s="3">
        <v>0</v>
      </c>
      <c r="G20" s="3">
        <v>0</v>
      </c>
      <c r="H20" s="3">
        <v>5.4240144000000003E-5</v>
      </c>
      <c r="I20" s="3">
        <v>1.6437774999999999E-5</v>
      </c>
      <c r="J20" s="3">
        <v>-1.2338229000000001E-4</v>
      </c>
      <c r="K20" s="3"/>
      <c r="L20" s="3">
        <f t="shared" si="0"/>
        <v>-0.37496620708299544</v>
      </c>
      <c r="M20" s="3"/>
      <c r="N20" s="2">
        <f>IF('Modell einstellen'!$B$1="Voll",H20/0.35,H20/0.35*2)</f>
        <v>3.0994368000000002E-4</v>
      </c>
      <c r="O20" s="2">
        <f>IF('Modell einstellen'!$B$1="Voll",J20/0.35,J20/0.35*2)</f>
        <v>-7.0504165714285728E-4</v>
      </c>
      <c r="P20" s="3">
        <f t="shared" si="1"/>
        <v>0.43961044976552138</v>
      </c>
      <c r="Q20" s="3"/>
      <c r="R20" s="3"/>
      <c r="S20" s="3"/>
      <c r="T20" s="3"/>
      <c r="U20" s="3"/>
      <c r="V20" s="3"/>
      <c r="W20" s="3"/>
      <c r="X20" s="3"/>
      <c r="Y20" s="3"/>
    </row>
    <row r="21" spans="1:25" x14ac:dyDescent="0.25">
      <c r="A21" s="3">
        <v>1000</v>
      </c>
      <c r="B21" s="3">
        <v>-1.149E-4</v>
      </c>
      <c r="C21" s="3">
        <v>2.0049999999999999E-4</v>
      </c>
      <c r="D21" s="3">
        <v>-4.1229999999999999E-4</v>
      </c>
      <c r="E21" s="3">
        <v>0</v>
      </c>
      <c r="F21" s="3">
        <v>0</v>
      </c>
      <c r="G21" s="3">
        <v>0</v>
      </c>
      <c r="H21" s="3">
        <v>6.0545165999999998E-5</v>
      </c>
      <c r="I21" s="3">
        <v>2.0000756999999999E-5</v>
      </c>
      <c r="J21" s="3">
        <v>-1.3639463E-4</v>
      </c>
      <c r="K21" s="3"/>
      <c r="L21" s="3">
        <f t="shared" si="0"/>
        <v>-0.27868057239873878</v>
      </c>
      <c r="M21" s="3"/>
      <c r="N21" s="2">
        <f>IF('Modell einstellen'!$B$1="Voll",H21/0.35,H21/0.35*2)</f>
        <v>3.4597237714285715E-4</v>
      </c>
      <c r="O21" s="2">
        <f>IF('Modell einstellen'!$B$1="Voll",J21/0.35,J21/0.35*2)</f>
        <v>-7.793978857142858E-4</v>
      </c>
      <c r="P21" s="3">
        <f t="shared" si="1"/>
        <v>0.44389699213231482</v>
      </c>
      <c r="Q21" s="3"/>
      <c r="R21" s="3"/>
      <c r="S21" s="3"/>
      <c r="T21" s="3"/>
      <c r="U21" s="3"/>
      <c r="V21" s="3"/>
      <c r="W21" s="3"/>
      <c r="X21" s="3"/>
      <c r="Y21" s="3"/>
    </row>
    <row r="22" spans="1:25" x14ac:dyDescent="0.25">
      <c r="A22" s="3">
        <v>10000</v>
      </c>
      <c r="B22" s="3">
        <v>-6.2430000000000002E-6</v>
      </c>
      <c r="C22" s="3">
        <v>2.5339999999999998E-4</v>
      </c>
      <c r="D22" s="3">
        <v>-5.5349999999999996E-4</v>
      </c>
      <c r="E22" s="3">
        <v>0</v>
      </c>
      <c r="F22" s="3">
        <v>0</v>
      </c>
      <c r="G22" s="3">
        <v>0</v>
      </c>
      <c r="H22" s="3">
        <v>7.0662260999999996E-5</v>
      </c>
      <c r="I22" s="3">
        <v>2.8776218E-5</v>
      </c>
      <c r="J22" s="3">
        <v>-1.6249856999999999E-4</v>
      </c>
      <c r="K22" s="3"/>
      <c r="L22" s="3">
        <f t="shared" si="0"/>
        <v>-1.1279132791327915E-2</v>
      </c>
      <c r="M22" s="3"/>
      <c r="N22" s="2">
        <f>IF('Modell einstellen'!$B$1="Voll",H22/0.35,H22/0.35*2)</f>
        <v>4.0378434857142858E-4</v>
      </c>
      <c r="O22" s="2">
        <f>IF('Modell einstellen'!$B$1="Voll",J22/0.35,J22/0.35*2)</f>
        <v>-9.2856325714285712E-4</v>
      </c>
      <c r="P22" s="3">
        <f t="shared" si="1"/>
        <v>0.43484850974380884</v>
      </c>
      <c r="Q22" s="3"/>
      <c r="R22" s="3"/>
      <c r="S22" s="3"/>
      <c r="T22" s="3"/>
      <c r="U22" s="3"/>
      <c r="V22" s="3"/>
      <c r="W22" s="3"/>
      <c r="X22" s="3"/>
      <c r="Y22" s="3"/>
    </row>
    <row r="23" spans="1:25" x14ac:dyDescent="0.25">
      <c r="A23" s="3">
        <v>100000</v>
      </c>
      <c r="B23" s="3">
        <v>1.3960000000000001E-4</v>
      </c>
      <c r="C23" s="3">
        <v>3.2929999999999998E-4</v>
      </c>
      <c r="D23" s="3">
        <v>-7.4930000000000005E-4</v>
      </c>
      <c r="E23" s="3">
        <v>0</v>
      </c>
      <c r="F23" s="3">
        <v>0</v>
      </c>
      <c r="G23" s="3">
        <v>0</v>
      </c>
      <c r="H23" s="3">
        <v>8.2848773000000005E-5</v>
      </c>
      <c r="I23" s="3">
        <v>4.0775180999999997E-5</v>
      </c>
      <c r="J23" s="3">
        <v>-1.9664699E-4</v>
      </c>
      <c r="K23" s="3"/>
      <c r="L23" s="3">
        <f t="shared" si="0"/>
        <v>0.18630722007206726</v>
      </c>
      <c r="M23" s="3"/>
      <c r="N23" s="2">
        <f>IF('Modell einstellen'!$B$1="Voll",H23/0.35,H23/0.35*2)</f>
        <v>4.7342156000000006E-4</v>
      </c>
      <c r="O23" s="2">
        <f>IF('Modell einstellen'!$B$1="Voll",J23/0.35,J23/0.35*2)</f>
        <v>-1.1236970857142858E-3</v>
      </c>
      <c r="P23" s="3">
        <f t="shared" si="1"/>
        <v>0.42130709958998103</v>
      </c>
      <c r="Q23" s="3"/>
      <c r="R23" s="3"/>
      <c r="S23" s="3"/>
      <c r="T23" s="3"/>
      <c r="U23" s="3"/>
      <c r="V23" s="3"/>
      <c r="W23" s="3"/>
      <c r="X23" s="3"/>
      <c r="Y23" s="3"/>
    </row>
    <row r="24" spans="1:25" x14ac:dyDescent="0.25">
      <c r="A24" s="3">
        <v>1000000</v>
      </c>
      <c r="B24" s="3">
        <v>2.8219999999999997E-4</v>
      </c>
      <c r="C24" s="3">
        <v>4.1330000000000002E-4</v>
      </c>
      <c r="D24" s="3">
        <v>-9.5209999999999999E-4</v>
      </c>
      <c r="E24" s="3">
        <v>0</v>
      </c>
      <c r="F24" s="3">
        <v>0</v>
      </c>
      <c r="G24" s="3">
        <v>0</v>
      </c>
      <c r="H24" s="3">
        <v>9.4502392000000003E-5</v>
      </c>
      <c r="I24" s="3">
        <v>5.3221654E-5</v>
      </c>
      <c r="J24" s="3">
        <v>-2.3128535E-4</v>
      </c>
      <c r="K24" s="3"/>
      <c r="L24" s="3">
        <f t="shared" si="0"/>
        <v>0.29639743724398693</v>
      </c>
      <c r="M24" s="3"/>
      <c r="N24" s="2">
        <f>IF('Modell einstellen'!$B$1="Voll",H24/0.35,H24/0.35*2)</f>
        <v>5.4001366857142857E-4</v>
      </c>
      <c r="O24" s="2">
        <f>IF('Modell einstellen'!$B$1="Voll",J24/0.35,J24/0.35*2)</f>
        <v>-1.3216305714285716E-3</v>
      </c>
      <c r="P24" s="3">
        <f t="shared" si="1"/>
        <v>0.40859653237872606</v>
      </c>
      <c r="Q24" s="3"/>
      <c r="R24" s="3"/>
      <c r="S24" s="3"/>
      <c r="T24" s="3"/>
      <c r="U24" s="3"/>
      <c r="V24" s="3"/>
      <c r="W24" s="3"/>
      <c r="X24" s="3"/>
      <c r="Y24" s="3"/>
    </row>
    <row r="25" spans="1:25" x14ac:dyDescent="0.25">
      <c r="A25" s="3">
        <v>10000000</v>
      </c>
      <c r="B25" s="3">
        <v>4.0200000000000001E-4</v>
      </c>
      <c r="C25" s="3">
        <v>4.9790000000000001E-4</v>
      </c>
      <c r="D25" s="3">
        <v>-1.1379999999999999E-3</v>
      </c>
      <c r="E25" s="3">
        <v>0</v>
      </c>
      <c r="F25" s="3">
        <v>0</v>
      </c>
      <c r="G25" s="3">
        <v>0</v>
      </c>
      <c r="H25" s="3">
        <v>1.0521433E-4</v>
      </c>
      <c r="I25" s="3">
        <v>6.5123126000000004E-5</v>
      </c>
      <c r="J25" s="3">
        <v>-2.6424172000000002E-4</v>
      </c>
      <c r="K25" s="3"/>
      <c r="L25" s="3">
        <f t="shared" si="0"/>
        <v>0.35325131810193328</v>
      </c>
      <c r="M25" s="3"/>
      <c r="N25" s="2">
        <f>IF('Modell einstellen'!$B$1="Voll",H25/0.35,H25/0.35*2)</f>
        <v>6.0122474285714291E-4</v>
      </c>
      <c r="O25" s="2">
        <f>IF('Modell einstellen'!$B$1="Voll",J25/0.35,J25/0.35*2)</f>
        <v>-1.5099526857142859E-3</v>
      </c>
      <c r="P25" s="3">
        <f t="shared" si="1"/>
        <v>0.39817455774962407</v>
      </c>
      <c r="Q25" s="3"/>
      <c r="R25" s="3"/>
      <c r="S25" s="3"/>
      <c r="T25" s="3"/>
      <c r="U25" s="3"/>
      <c r="V25" s="3"/>
      <c r="W25" s="3"/>
      <c r="X25" s="3"/>
      <c r="Y25" s="3"/>
    </row>
    <row r="26" spans="1:25" x14ac:dyDescent="0.25">
      <c r="A26" s="3">
        <v>100000000</v>
      </c>
      <c r="B26" s="3">
        <v>4.9739999999999995E-4</v>
      </c>
      <c r="C26" s="3">
        <v>5.798E-4</v>
      </c>
      <c r="D26" s="3">
        <v>-1.3010000000000001E-3</v>
      </c>
      <c r="E26" s="3">
        <v>0</v>
      </c>
      <c r="F26" s="3">
        <v>0</v>
      </c>
      <c r="G26" s="3">
        <v>0</v>
      </c>
      <c r="H26" s="3">
        <v>1.1504285000000001E-4</v>
      </c>
      <c r="I26" s="3">
        <v>7.6350006000000002E-5</v>
      </c>
      <c r="J26" s="3">
        <v>-2.9528821000000002E-4</v>
      </c>
      <c r="K26" s="3"/>
      <c r="L26" s="3">
        <f t="shared" si="0"/>
        <v>0.38232129131437348</v>
      </c>
      <c r="M26" s="3"/>
      <c r="N26" s="2">
        <f>IF('Modell einstellen'!$B$1="Voll",H26/0.35,H26/0.35*2)</f>
        <v>6.573877142857144E-4</v>
      </c>
      <c r="O26" s="2">
        <f>IF('Modell einstellen'!$B$1="Voll",J26/0.35,J26/0.35*2)</f>
        <v>-1.6873612000000001E-3</v>
      </c>
      <c r="P26" s="3">
        <f t="shared" si="1"/>
        <v>0.38959513486840536</v>
      </c>
      <c r="Q26" s="3"/>
      <c r="R26" s="3"/>
      <c r="S26" s="3"/>
      <c r="T26" s="3"/>
      <c r="U26" s="3"/>
      <c r="V26" s="3"/>
      <c r="W26" s="3"/>
      <c r="X26" s="3"/>
      <c r="Y26" s="3"/>
    </row>
    <row r="27" spans="1:25" x14ac:dyDescent="0.25">
      <c r="A27" s="3">
        <v>1000000000</v>
      </c>
      <c r="B27" s="3">
        <v>5.754E-4</v>
      </c>
      <c r="C27" s="3">
        <v>6.6350000000000003E-4</v>
      </c>
      <c r="D27" s="3">
        <v>-1.4530000000000001E-3</v>
      </c>
      <c r="E27" s="3">
        <v>0</v>
      </c>
      <c r="F27" s="3">
        <v>0</v>
      </c>
      <c r="G27" s="3">
        <v>0</v>
      </c>
      <c r="H27" s="3">
        <v>1.2579250000000001E-4</v>
      </c>
      <c r="I27" s="3">
        <v>8.7948489000000003E-5</v>
      </c>
      <c r="J27" s="3">
        <v>-3.2824138E-4</v>
      </c>
      <c r="K27" s="3"/>
      <c r="L27" s="3">
        <f t="shared" si="0"/>
        <v>0.39600825877494839</v>
      </c>
      <c r="M27" s="3"/>
      <c r="N27" s="2">
        <f>IF('Modell einstellen'!$B$1="Voll",H27/0.35,H27/0.35*2)</f>
        <v>7.188142857142858E-4</v>
      </c>
      <c r="O27" s="2">
        <f>IF('Modell einstellen'!$B$1="Voll",J27/0.35,J27/0.35*2)</f>
        <v>-1.8756650285714287E-3</v>
      </c>
      <c r="P27" s="3">
        <f t="shared" si="1"/>
        <v>0.38323169370053223</v>
      </c>
      <c r="Q27" s="3"/>
      <c r="R27" s="3"/>
      <c r="S27" s="3"/>
      <c r="T27" s="3"/>
      <c r="U27" s="3"/>
      <c r="V27" s="3"/>
      <c r="W27" s="3"/>
      <c r="X27" s="3"/>
      <c r="Y27" s="3"/>
    </row>
    <row r="28" spans="1:25" x14ac:dyDescent="0.25">
      <c r="A28" s="3">
        <v>10000000000</v>
      </c>
      <c r="B28" s="3">
        <v>6.4479999999999995E-4</v>
      </c>
      <c r="C28" s="3">
        <v>7.5179999999999995E-4</v>
      </c>
      <c r="D28" s="3">
        <v>-1.603E-3</v>
      </c>
      <c r="E28" s="3">
        <v>0</v>
      </c>
      <c r="F28" s="3">
        <v>0</v>
      </c>
      <c r="G28" s="3">
        <v>0</v>
      </c>
      <c r="H28" s="3">
        <v>1.3802271E-4</v>
      </c>
      <c r="I28" s="3">
        <v>1.0049838E-4</v>
      </c>
      <c r="J28" s="3">
        <v>-3.6468332E-4</v>
      </c>
      <c r="K28" s="3"/>
      <c r="L28" s="3">
        <f t="shared" si="0"/>
        <v>0.40224578914535242</v>
      </c>
      <c r="M28" s="3"/>
      <c r="N28" s="2">
        <f>IF('Modell einstellen'!$B$1="Voll",H28/0.35,H28/0.35*2)</f>
        <v>7.8870120000000001E-4</v>
      </c>
      <c r="O28" s="2">
        <f>IF('Modell einstellen'!$B$1="Voll",J28/0.35,J28/0.35*2)</f>
        <v>-2.0839046857142858E-3</v>
      </c>
      <c r="P28" s="3">
        <f t="shared" si="1"/>
        <v>0.37847278016444513</v>
      </c>
      <c r="Q28" s="3"/>
      <c r="R28" s="3"/>
      <c r="S28" s="3"/>
      <c r="T28" s="3"/>
      <c r="U28" s="3"/>
      <c r="V28" s="3"/>
      <c r="W28" s="3"/>
      <c r="X28" s="3"/>
      <c r="Y28" s="3"/>
    </row>
    <row r="29" spans="1:25" x14ac:dyDescent="0.25">
      <c r="A29" s="3">
        <v>100000000000</v>
      </c>
      <c r="B29" s="3">
        <v>7.1409999999999996E-4</v>
      </c>
      <c r="C29" s="3">
        <v>8.5389999999999999E-4</v>
      </c>
      <c r="D29" s="3">
        <v>-1.7700000000000001E-3</v>
      </c>
      <c r="E29" s="3">
        <v>0</v>
      </c>
      <c r="F29" s="3">
        <v>0</v>
      </c>
      <c r="G29" s="3">
        <v>0</v>
      </c>
      <c r="H29" s="3">
        <v>1.5381117000000001E-4</v>
      </c>
      <c r="I29" s="3">
        <v>1.1563799000000001E-4</v>
      </c>
      <c r="J29" s="3">
        <v>-4.0983506000000003E-4</v>
      </c>
      <c r="K29" s="3"/>
      <c r="L29" s="3">
        <f t="shared" si="0"/>
        <v>0.40344632768361577</v>
      </c>
      <c r="M29" s="3"/>
      <c r="N29" s="2">
        <f>IF('Modell einstellen'!$B$1="Voll",H29/0.35,H29/0.35*2)</f>
        <v>8.7892097142857153E-4</v>
      </c>
      <c r="O29" s="2">
        <f>IF('Modell einstellen'!$B$1="Voll",J29/0.35,J29/0.35*2)</f>
        <v>-2.3419146285714289E-3</v>
      </c>
      <c r="P29" s="3">
        <f t="shared" si="1"/>
        <v>0.37530017563651091</v>
      </c>
      <c r="Q29" s="3"/>
      <c r="R29" s="3"/>
      <c r="S29" s="3"/>
      <c r="T29" s="3"/>
      <c r="U29" s="3"/>
      <c r="V29" s="3"/>
      <c r="W29" s="3"/>
      <c r="X29" s="3"/>
      <c r="Y29" s="3"/>
    </row>
    <row r="30" spans="1:25" x14ac:dyDescent="0.25">
      <c r="A30" s="3">
        <v>1000000000000</v>
      </c>
      <c r="B30" s="3">
        <v>7.9080000000000003E-4</v>
      </c>
      <c r="C30" s="3">
        <v>9.8170000000000006E-4</v>
      </c>
      <c r="D30" s="3">
        <v>-1.97E-3</v>
      </c>
      <c r="E30" s="3">
        <v>0</v>
      </c>
      <c r="F30" s="3">
        <v>0</v>
      </c>
      <c r="G30" s="3">
        <v>0</v>
      </c>
      <c r="H30" s="3">
        <v>1.7552192E-4</v>
      </c>
      <c r="I30" s="3">
        <v>1.3546154000000001E-4</v>
      </c>
      <c r="J30" s="3">
        <v>-4.7005971999999999E-4</v>
      </c>
      <c r="K30" s="3"/>
      <c r="L30" s="3">
        <f t="shared" si="0"/>
        <v>0.40142131979695433</v>
      </c>
      <c r="M30" s="3"/>
      <c r="N30" s="2">
        <f>IF('Modell einstellen'!$B$1="Voll",H30/0.35,H30/0.35*2)</f>
        <v>1.0029824000000001E-3</v>
      </c>
      <c r="O30" s="2">
        <f>IF('Modell einstellen'!$B$1="Voll",J30/0.35,J30/0.35*2)</f>
        <v>-2.686055542857143E-3</v>
      </c>
      <c r="P30" s="3">
        <f t="shared" si="1"/>
        <v>0.37340344754492044</v>
      </c>
      <c r="Q30" s="3"/>
      <c r="R30" s="3"/>
      <c r="S30" s="3"/>
      <c r="T30" s="3"/>
      <c r="U30" s="3"/>
      <c r="V30" s="3"/>
      <c r="W30" s="3"/>
      <c r="X30" s="3"/>
      <c r="Y30" s="3"/>
    </row>
    <row r="31" spans="1:25" x14ac:dyDescent="0.25">
      <c r="A31" s="3">
        <v>10000000000000</v>
      </c>
      <c r="B31" s="3">
        <v>8.8599999999999996E-4</v>
      </c>
      <c r="C31" s="3">
        <v>1.1670000000000001E-3</v>
      </c>
      <c r="D31" s="3">
        <v>-2.2460000000000002E-3</v>
      </c>
      <c r="E31" s="3">
        <v>0</v>
      </c>
      <c r="F31" s="3">
        <v>0</v>
      </c>
      <c r="G31" s="3">
        <v>0</v>
      </c>
      <c r="H31" s="3">
        <v>2.0924048E-4</v>
      </c>
      <c r="I31" s="3">
        <v>1.6531790000000001E-4</v>
      </c>
      <c r="J31" s="3">
        <v>-5.6174166999999997E-4</v>
      </c>
      <c r="K31" s="3"/>
      <c r="L31" s="3">
        <f t="shared" si="0"/>
        <v>0.39447907390917181</v>
      </c>
      <c r="M31" s="3"/>
      <c r="N31" s="2">
        <f>IF('Modell einstellen'!$B$1="Voll",H31/0.35,H31/0.35*2)</f>
        <v>1.1956598857142857E-3</v>
      </c>
      <c r="O31" s="2">
        <f>IF('Modell einstellen'!$B$1="Voll",J31/0.35,J31/0.35*2)</f>
        <v>-3.2099524E-3</v>
      </c>
      <c r="P31" s="3">
        <f t="shared" si="1"/>
        <v>0.37248523863291111</v>
      </c>
      <c r="Q31" s="3"/>
      <c r="R31" s="3"/>
      <c r="S31" s="3"/>
      <c r="T31" s="3"/>
      <c r="U31" s="3"/>
      <c r="V31" s="3"/>
      <c r="W31" s="3"/>
      <c r="X31" s="3"/>
      <c r="Y31" s="3"/>
    </row>
    <row r="32" spans="1:25" x14ac:dyDescent="0.25">
      <c r="A32" s="3">
        <v>100000000000000</v>
      </c>
      <c r="B32" s="3">
        <v>1.0150000000000001E-3</v>
      </c>
      <c r="C32" s="3">
        <v>1.4630000000000001E-3</v>
      </c>
      <c r="D32" s="3">
        <v>-2.666E-3</v>
      </c>
      <c r="E32" s="3">
        <v>0</v>
      </c>
      <c r="F32" s="3">
        <v>0</v>
      </c>
      <c r="G32" s="3">
        <v>0</v>
      </c>
      <c r="H32" s="3">
        <v>2.6606988999999998E-4</v>
      </c>
      <c r="I32" s="3">
        <v>2.1478352E-4</v>
      </c>
      <c r="J32" s="3">
        <v>-7.1432565000000003E-4</v>
      </c>
      <c r="K32" s="3"/>
      <c r="L32" s="3">
        <f t="shared" si="0"/>
        <v>0.38072018004501129</v>
      </c>
      <c r="M32" s="3"/>
      <c r="N32" s="2">
        <f>IF('Modell einstellen'!$B$1="Voll",H32/0.35,H32/0.35*2)</f>
        <v>1.5203993714285715E-3</v>
      </c>
      <c r="O32" s="2">
        <f>IF('Modell einstellen'!$B$1="Voll",J32/0.35,J32/0.35*2)</f>
        <v>-4.0818608571428572E-3</v>
      </c>
      <c r="P32" s="3">
        <f t="shared" si="1"/>
        <v>0.37247702080976652</v>
      </c>
      <c r="Q32" s="3"/>
      <c r="R32" s="3"/>
      <c r="S32" s="3"/>
      <c r="T32" s="3"/>
      <c r="U32" s="3"/>
      <c r="V32" s="3"/>
      <c r="W32" s="3"/>
      <c r="X32" s="3"/>
      <c r="Y32" s="3"/>
    </row>
    <row r="33" spans="1:25" x14ac:dyDescent="0.25">
      <c r="A33" s="2">
        <v>1000000000000000</v>
      </c>
      <c r="B33" s="3">
        <v>1.2030000000000001E-3</v>
      </c>
      <c r="C33" s="3">
        <v>1.9620000000000002E-3</v>
      </c>
      <c r="D33" s="3">
        <v>-3.3449999999999999E-3</v>
      </c>
      <c r="E33" s="3">
        <v>0</v>
      </c>
      <c r="F33" s="3">
        <v>0</v>
      </c>
      <c r="G33" s="3">
        <v>0</v>
      </c>
      <c r="H33" s="3">
        <v>3.6519463999999999E-4</v>
      </c>
      <c r="I33" s="3">
        <v>3.0033668E-4</v>
      </c>
      <c r="J33" s="3">
        <v>-9.7829253999999997E-4</v>
      </c>
      <c r="K33" s="3"/>
      <c r="L33" s="3">
        <f t="shared" si="0"/>
        <v>0.35964125560538118</v>
      </c>
      <c r="M33" s="3"/>
      <c r="N33" s="2">
        <f>IF('Modell einstellen'!$B$1="Voll",H33/0.35,H33/0.35*2)</f>
        <v>2.0868265142857142E-3</v>
      </c>
      <c r="O33" s="2">
        <f>IF('Modell einstellen'!$B$1="Voll",J33/0.35,J33/0.35*2)</f>
        <v>-5.5902430857142863E-3</v>
      </c>
      <c r="P33" s="3">
        <f t="shared" si="1"/>
        <v>0.37329799121232177</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-4.1620000000000001E-6</v>
      </c>
      <c r="C3" s="3">
        <v>1.4359999999999999E-4</v>
      </c>
      <c r="D3" s="3">
        <v>-4.3580000000000002E-4</v>
      </c>
      <c r="E3" s="3">
        <v>0</v>
      </c>
      <c r="F3" s="3">
        <v>0</v>
      </c>
      <c r="G3" s="3">
        <v>0</v>
      </c>
      <c r="H3" s="3">
        <v>3.2956966999999999E-5</v>
      </c>
      <c r="I3" s="3">
        <v>1.3226836E-5</v>
      </c>
      <c r="J3" s="3">
        <v>-9.2910133E-5</v>
      </c>
      <c r="K3" s="3"/>
      <c r="L3" s="3">
        <f>-B3/D3</f>
        <v>-9.5502524093620932E-3</v>
      </c>
      <c r="M3" s="3"/>
      <c r="N3" s="2">
        <f>IF('Modell einstellen'!$B$1="Voll",H3/0.35,H3/0.35*2)</f>
        <v>1.8832552571428573E-4</v>
      </c>
      <c r="O3" s="2">
        <f>IF('Modell einstellen'!$B$1="Voll",J3/0.35,J3/0.35*2)</f>
        <v>-5.3091504571428573E-4</v>
      </c>
      <c r="P3" s="3">
        <f>-N3/O3</f>
        <v>0.35471875817893839</v>
      </c>
      <c r="Q3" s="3"/>
      <c r="R3" s="3"/>
      <c r="S3" s="3"/>
      <c r="T3" s="3"/>
      <c r="U3" s="3"/>
    </row>
    <row r="4" spans="1:21" x14ac:dyDescent="0.25">
      <c r="A4" s="3">
        <v>1E-14</v>
      </c>
      <c r="B4" s="3">
        <v>-4.2100000000000003E-6</v>
      </c>
      <c r="C4" s="3">
        <v>1.437E-4</v>
      </c>
      <c r="D4" s="3">
        <v>-4.3580000000000002E-4</v>
      </c>
      <c r="E4" s="3">
        <v>0</v>
      </c>
      <c r="F4" s="3">
        <v>0</v>
      </c>
      <c r="G4" s="3">
        <v>0</v>
      </c>
      <c r="H4" s="3">
        <v>3.2964949999999997E-5</v>
      </c>
      <c r="I4" s="3">
        <v>1.3229067E-5</v>
      </c>
      <c r="J4" s="3">
        <v>-9.2920715999999997E-5</v>
      </c>
      <c r="K4" s="3"/>
      <c r="L4" s="3">
        <f t="shared" ref="L4:L33" si="0">-B4/D4</f>
        <v>-9.660394676457091E-3</v>
      </c>
      <c r="M4" s="3"/>
      <c r="N4" s="2">
        <f>IF('Modell einstellen'!$B$1="Voll",H4/0.35,H4/0.35*2)</f>
        <v>1.8837114285714284E-4</v>
      </c>
      <c r="O4" s="2">
        <f>IF('Modell einstellen'!$B$1="Voll",J4/0.35,J4/0.35*2)</f>
        <v>-5.3097552000000003E-4</v>
      </c>
      <c r="P4" s="3">
        <f t="shared" ref="P4:P33" si="1">-N4/O4</f>
        <v>0.35476427021935553</v>
      </c>
      <c r="Q4" s="3"/>
      <c r="R4" s="3"/>
      <c r="S4" s="3"/>
      <c r="T4" s="3"/>
      <c r="U4" s="3"/>
    </row>
    <row r="5" spans="1:21" x14ac:dyDescent="0.25">
      <c r="A5" s="3">
        <v>1E-13</v>
      </c>
      <c r="B5" s="3">
        <v>-4.5879999999999999E-6</v>
      </c>
      <c r="C5" s="3">
        <v>1.438E-4</v>
      </c>
      <c r="D5" s="3">
        <v>-4.3570000000000002E-4</v>
      </c>
      <c r="E5" s="3">
        <v>0</v>
      </c>
      <c r="F5" s="3">
        <v>0</v>
      </c>
      <c r="G5" s="3">
        <v>0</v>
      </c>
      <c r="H5" s="3">
        <v>3.3040244000000003E-5</v>
      </c>
      <c r="I5" s="3">
        <v>1.3241877E-5</v>
      </c>
      <c r="J5" s="3">
        <v>-9.3036840999999995E-5</v>
      </c>
      <c r="K5" s="3"/>
      <c r="L5" s="3">
        <f t="shared" si="0"/>
        <v>-1.0530181317420242E-2</v>
      </c>
      <c r="M5" s="3"/>
      <c r="N5" s="2">
        <f>IF('Modell einstellen'!$B$1="Voll",H5/0.35,H5/0.35*2)</f>
        <v>1.8880139428571432E-4</v>
      </c>
      <c r="O5" s="2">
        <f>IF('Modell einstellen'!$B$1="Voll",J5/0.35,J5/0.35*2)</f>
        <v>-5.316390914285714E-4</v>
      </c>
      <c r="P5" s="3">
        <f t="shared" si="1"/>
        <v>0.35513075943754374</v>
      </c>
      <c r="Q5" s="3"/>
      <c r="R5" s="3"/>
      <c r="S5" s="3"/>
      <c r="T5" s="3"/>
      <c r="U5" s="3"/>
    </row>
    <row r="6" spans="1:21" x14ac:dyDescent="0.25">
      <c r="A6" s="3">
        <v>9.9999999999999998E-13</v>
      </c>
      <c r="B6" s="3">
        <v>-7.576E-6</v>
      </c>
      <c r="C6" s="3">
        <v>1.448E-4</v>
      </c>
      <c r="D6" s="3">
        <v>-4.351E-4</v>
      </c>
      <c r="E6" s="3">
        <v>0</v>
      </c>
      <c r="F6" s="3">
        <v>0</v>
      </c>
      <c r="G6" s="3">
        <v>0</v>
      </c>
      <c r="H6" s="3">
        <v>3.3627834999999999E-5</v>
      </c>
      <c r="I6" s="3">
        <v>1.3340300999999999E-5</v>
      </c>
      <c r="J6" s="3">
        <v>-9.3939382999999997E-5</v>
      </c>
      <c r="K6" s="3"/>
      <c r="L6" s="3">
        <f t="shared" si="0"/>
        <v>-1.741208917490232E-2</v>
      </c>
      <c r="M6" s="3"/>
      <c r="N6" s="2">
        <f>IF('Modell einstellen'!$B$1="Voll",H6/0.35,H6/0.35*2)</f>
        <v>1.9215905714285714E-4</v>
      </c>
      <c r="O6" s="2">
        <f>IF('Modell einstellen'!$B$1="Voll",J6/0.35,J6/0.35*2)</f>
        <v>-5.367964742857143E-4</v>
      </c>
      <c r="P6" s="3">
        <f t="shared" si="1"/>
        <v>0.35797376910597761</v>
      </c>
      <c r="Q6" s="3"/>
      <c r="R6" s="3"/>
      <c r="S6" s="3"/>
      <c r="T6" s="3"/>
      <c r="U6" s="3"/>
    </row>
    <row r="7" spans="1:21" x14ac:dyDescent="0.25">
      <c r="A7" s="3">
        <v>9.9999999999999994E-12</v>
      </c>
      <c r="B7" s="3">
        <v>-1.403E-5</v>
      </c>
      <c r="C7" s="3">
        <v>1.4689999999999999E-4</v>
      </c>
      <c r="D7" s="3">
        <v>-4.3360000000000002E-4</v>
      </c>
      <c r="E7" s="3">
        <v>0</v>
      </c>
      <c r="F7" s="3">
        <v>0</v>
      </c>
      <c r="G7" s="3">
        <v>0</v>
      </c>
      <c r="H7" s="3">
        <v>3.4863171000000003E-5</v>
      </c>
      <c r="I7" s="3">
        <v>1.3543798E-5</v>
      </c>
      <c r="J7" s="3">
        <v>-9.5818463000000003E-5</v>
      </c>
      <c r="K7" s="3"/>
      <c r="L7" s="3">
        <f t="shared" si="0"/>
        <v>-3.23570110701107E-2</v>
      </c>
      <c r="M7" s="3"/>
      <c r="N7" s="2">
        <f>IF('Modell einstellen'!$B$1="Voll",H7/0.35,H7/0.35*2)</f>
        <v>1.9921812000000004E-4</v>
      </c>
      <c r="O7" s="2">
        <f>IF('Modell einstellen'!$B$1="Voll",J7/0.35,J7/0.35*2)</f>
        <v>-5.4753407428571432E-4</v>
      </c>
      <c r="P7" s="3">
        <f t="shared" si="1"/>
        <v>0.36384606795456531</v>
      </c>
      <c r="Q7" s="3"/>
      <c r="R7" s="3"/>
      <c r="S7" s="3"/>
      <c r="T7" s="3"/>
      <c r="U7" s="3"/>
    </row>
    <row r="8" spans="1:21" x14ac:dyDescent="0.25">
      <c r="A8" s="3">
        <v>1E-10</v>
      </c>
      <c r="B8" s="3">
        <v>-1.8879999999999999E-5</v>
      </c>
      <c r="C8" s="3">
        <v>1.485E-4</v>
      </c>
      <c r="D8" s="3">
        <v>-4.3239999999999999E-4</v>
      </c>
      <c r="E8" s="3">
        <v>0</v>
      </c>
      <c r="F8" s="3">
        <v>0</v>
      </c>
      <c r="G8" s="3">
        <v>0</v>
      </c>
      <c r="H8" s="3">
        <v>3.5776884000000003E-5</v>
      </c>
      <c r="I8" s="3">
        <v>1.3698364000000001E-5</v>
      </c>
      <c r="J8" s="3">
        <v>-9.7204037000000001E-5</v>
      </c>
      <c r="K8" s="3"/>
      <c r="L8" s="3">
        <f t="shared" si="0"/>
        <v>-4.3663274745605919E-2</v>
      </c>
      <c r="M8" s="3"/>
      <c r="N8" s="2">
        <f>IF('Modell einstellen'!$B$1="Voll",H8/0.35,H8/0.35*2)</f>
        <v>2.0443933714285717E-4</v>
      </c>
      <c r="O8" s="2">
        <f>IF('Modell einstellen'!$B$1="Voll",J8/0.35,J8/0.35*2)</f>
        <v>-5.5545164000000004E-4</v>
      </c>
      <c r="P8" s="3">
        <f t="shared" si="1"/>
        <v>0.36805965167887011</v>
      </c>
      <c r="Q8" s="3"/>
      <c r="R8" s="3"/>
      <c r="S8" s="3"/>
      <c r="T8" s="3"/>
      <c r="U8" s="3"/>
    </row>
    <row r="9" spans="1:21" x14ac:dyDescent="0.25">
      <c r="A9" s="3">
        <v>1.0000000000000001E-9</v>
      </c>
      <c r="B9" s="3">
        <v>-2.404E-5</v>
      </c>
      <c r="C9" s="3">
        <v>1.5009999999999999E-4</v>
      </c>
      <c r="D9" s="3">
        <v>-4.3090000000000001E-4</v>
      </c>
      <c r="E9" s="3">
        <v>0</v>
      </c>
      <c r="F9" s="3">
        <v>0</v>
      </c>
      <c r="G9" s="3">
        <v>0</v>
      </c>
      <c r="H9" s="3">
        <v>3.6712765999999999E-5</v>
      </c>
      <c r="I9" s="3">
        <v>1.3851983000000001E-5</v>
      </c>
      <c r="J9" s="3">
        <v>-9.860914E-5</v>
      </c>
      <c r="K9" s="3"/>
      <c r="L9" s="3">
        <f t="shared" si="0"/>
        <v>-5.5790206544441862E-2</v>
      </c>
      <c r="M9" s="3"/>
      <c r="N9" s="2">
        <f>IF('Modell einstellen'!$B$1="Voll",H9/0.35,H9/0.35*2)</f>
        <v>2.097872342857143E-4</v>
      </c>
      <c r="O9" s="2">
        <f>IF('Modell einstellen'!$B$1="Voll",J9/0.35,J9/0.35*2)</f>
        <v>-5.6348080000000005E-4</v>
      </c>
      <c r="P9" s="3">
        <f t="shared" si="1"/>
        <v>0.37230591403596053</v>
      </c>
      <c r="Q9" s="3"/>
      <c r="R9" s="3"/>
      <c r="S9" s="3"/>
      <c r="T9" s="3"/>
      <c r="U9" s="3"/>
    </row>
    <row r="10" spans="1:21" x14ac:dyDescent="0.25">
      <c r="A10" s="3">
        <v>1E-8</v>
      </c>
      <c r="B10" s="3">
        <v>-3.0309999999999999E-5</v>
      </c>
      <c r="C10" s="3">
        <v>1.5200000000000001E-4</v>
      </c>
      <c r="D10" s="3">
        <v>-4.2880000000000001E-4</v>
      </c>
      <c r="E10" s="3">
        <v>0</v>
      </c>
      <c r="F10" s="3">
        <v>0</v>
      </c>
      <c r="G10" s="3">
        <v>0</v>
      </c>
      <c r="H10" s="3">
        <v>3.7805992000000002E-5</v>
      </c>
      <c r="I10" s="3">
        <v>1.4023448E-5</v>
      </c>
      <c r="J10" s="3">
        <v>-1.0022864999999999E-4</v>
      </c>
      <c r="K10" s="3"/>
      <c r="L10" s="3">
        <f t="shared" si="0"/>
        <v>-7.0685634328358199E-2</v>
      </c>
      <c r="M10" s="3"/>
      <c r="N10" s="2">
        <f>IF('Modell einstellen'!$B$1="Voll",H10/0.35,H10/0.35*2)</f>
        <v>2.1603424000000003E-4</v>
      </c>
      <c r="O10" s="2">
        <f>IF('Modell einstellen'!$B$1="Voll",J10/0.35,J10/0.35*2)</f>
        <v>-5.7273514285714289E-4</v>
      </c>
      <c r="P10" s="3">
        <f t="shared" si="1"/>
        <v>0.37719745801225502</v>
      </c>
      <c r="Q10" s="3"/>
      <c r="R10" s="3"/>
      <c r="S10" s="3"/>
      <c r="T10" s="3"/>
      <c r="U10" s="3"/>
    </row>
    <row r="11" spans="1:21" x14ac:dyDescent="0.25">
      <c r="A11" s="3">
        <v>9.9999999999999995E-8</v>
      </c>
      <c r="B11" s="3">
        <v>-3.7589999999999998E-5</v>
      </c>
      <c r="C11" s="3">
        <v>1.539E-4</v>
      </c>
      <c r="D11" s="3">
        <v>-4.259E-4</v>
      </c>
      <c r="E11" s="3">
        <v>0</v>
      </c>
      <c r="F11" s="3">
        <v>0</v>
      </c>
      <c r="G11" s="3">
        <v>0</v>
      </c>
      <c r="H11" s="3">
        <v>3.9029590999999999E-5</v>
      </c>
      <c r="I11" s="3">
        <v>1.4208395000000001E-5</v>
      </c>
      <c r="J11" s="3">
        <v>-1.0201913E-4</v>
      </c>
      <c r="K11" s="3"/>
      <c r="L11" s="3">
        <f t="shared" si="0"/>
        <v>-8.8260154965954449E-2</v>
      </c>
      <c r="M11" s="3"/>
      <c r="N11" s="2">
        <f>IF('Modell einstellen'!$B$1="Voll",H11/0.35,H11/0.35*2)</f>
        <v>2.2302623428571428E-4</v>
      </c>
      <c r="O11" s="2">
        <f>IF('Modell einstellen'!$B$1="Voll",J11/0.35,J11/0.35*2)</f>
        <v>-5.8296645714285718E-4</v>
      </c>
      <c r="P11" s="3">
        <f t="shared" si="1"/>
        <v>0.38257129814771013</v>
      </c>
      <c r="Q11" s="3"/>
      <c r="R11" s="3"/>
      <c r="S11" s="3"/>
      <c r="T11" s="3"/>
      <c r="U11" s="3"/>
    </row>
    <row r="12" spans="1:21" x14ac:dyDescent="0.25">
      <c r="A12" s="3">
        <v>9.9999999999999995E-7</v>
      </c>
      <c r="B12" s="3">
        <v>-4.6650000000000002E-5</v>
      </c>
      <c r="C12" s="3">
        <v>1.561E-4</v>
      </c>
      <c r="D12" s="3">
        <v>-4.2180000000000001E-4</v>
      </c>
      <c r="E12" s="3">
        <v>0</v>
      </c>
      <c r="F12" s="3">
        <v>0</v>
      </c>
      <c r="G12" s="3">
        <v>0</v>
      </c>
      <c r="H12" s="3">
        <v>4.0489423999999998E-5</v>
      </c>
      <c r="I12" s="3">
        <v>1.4418542000000001E-5</v>
      </c>
      <c r="J12" s="3">
        <v>-1.0412394E-4</v>
      </c>
      <c r="K12" s="3"/>
      <c r="L12" s="3">
        <f t="shared" si="0"/>
        <v>-0.11059743954480797</v>
      </c>
      <c r="M12" s="3"/>
      <c r="N12" s="2">
        <f>IF('Modell einstellen'!$B$1="Voll",H12/0.35,H12/0.35*2)</f>
        <v>2.3136813714285715E-4</v>
      </c>
      <c r="O12" s="2">
        <f>IF('Modell einstellen'!$B$1="Voll",J12/0.35,J12/0.35*2)</f>
        <v>-5.9499394285714288E-4</v>
      </c>
      <c r="P12" s="3">
        <f t="shared" si="1"/>
        <v>0.38885797060695171</v>
      </c>
      <c r="Q12" s="3"/>
      <c r="R12" s="3"/>
      <c r="S12" s="3"/>
      <c r="T12" s="3"/>
      <c r="U12" s="3"/>
    </row>
    <row r="13" spans="1:21" x14ac:dyDescent="0.25">
      <c r="A13" s="3">
        <v>1.0000000000000001E-5</v>
      </c>
      <c r="B13" s="3">
        <v>-5.7550000000000003E-5</v>
      </c>
      <c r="C13" s="3">
        <v>1.5860000000000001E-4</v>
      </c>
      <c r="D13" s="3">
        <v>-4.1639999999999998E-4</v>
      </c>
      <c r="E13" s="3">
        <v>0</v>
      </c>
      <c r="F13" s="3">
        <v>0</v>
      </c>
      <c r="G13" s="3">
        <v>0</v>
      </c>
      <c r="H13" s="3">
        <v>4.2172275000000001E-5</v>
      </c>
      <c r="I13" s="3">
        <v>1.464929E-5</v>
      </c>
      <c r="J13" s="3">
        <v>-1.0651346999999999E-4</v>
      </c>
      <c r="K13" s="3"/>
      <c r="L13" s="3">
        <f t="shared" si="0"/>
        <v>-0.13820845341018254</v>
      </c>
      <c r="M13" s="3"/>
      <c r="N13" s="2">
        <f>IF('Modell einstellen'!$B$1="Voll",H13/0.35,H13/0.35*2)</f>
        <v>2.4098442857142859E-4</v>
      </c>
      <c r="O13" s="2">
        <f>IF('Modell einstellen'!$B$1="Voll",J13/0.35,J13/0.35*2)</f>
        <v>-6.0864839999999996E-4</v>
      </c>
      <c r="P13" s="3">
        <f t="shared" si="1"/>
        <v>0.39593372556541445</v>
      </c>
      <c r="Q13" s="3"/>
      <c r="R13" s="3"/>
      <c r="S13" s="3"/>
      <c r="T13" s="3"/>
      <c r="U13" s="3"/>
    </row>
    <row r="14" spans="1:21" x14ac:dyDescent="0.25">
      <c r="A14" s="3">
        <v>1E-4</v>
      </c>
      <c r="B14" s="3">
        <v>-6.9889999999999997E-5</v>
      </c>
      <c r="C14" s="3">
        <v>1.6200000000000001E-4</v>
      </c>
      <c r="D14" s="3">
        <v>-4.1070000000000001E-4</v>
      </c>
      <c r="E14" s="3">
        <v>0</v>
      </c>
      <c r="F14" s="3">
        <v>0</v>
      </c>
      <c r="G14" s="3">
        <v>0</v>
      </c>
      <c r="H14" s="3">
        <v>4.4045563999999999E-5</v>
      </c>
      <c r="I14" s="3">
        <v>1.4939048E-5</v>
      </c>
      <c r="J14" s="3">
        <v>-1.0921175999999999E-4</v>
      </c>
      <c r="K14" s="3"/>
      <c r="L14" s="3">
        <f t="shared" si="0"/>
        <v>-0.17017287557828098</v>
      </c>
      <c r="M14" s="3"/>
      <c r="N14" s="2">
        <f>IF('Modell einstellen'!$B$1="Voll",H14/0.35,H14/0.35*2)</f>
        <v>2.5168893714285715E-4</v>
      </c>
      <c r="O14" s="2">
        <f>IF('Modell einstellen'!$B$1="Voll",J14/0.35,J14/0.35*2)</f>
        <v>-6.2406720000000003E-4</v>
      </c>
      <c r="P14" s="3">
        <f t="shared" si="1"/>
        <v>0.40330422291518786</v>
      </c>
      <c r="Q14" s="3"/>
      <c r="R14" s="3"/>
      <c r="S14" s="3"/>
      <c r="T14" s="3"/>
      <c r="U14" s="3"/>
    </row>
    <row r="15" spans="1:21" x14ac:dyDescent="0.25">
      <c r="A15" s="3">
        <v>1E-3</v>
      </c>
      <c r="B15" s="3">
        <v>-8.352E-5</v>
      </c>
      <c r="C15" s="3">
        <v>1.641E-4</v>
      </c>
      <c r="D15" s="3">
        <v>-4.0220000000000002E-4</v>
      </c>
      <c r="E15" s="3">
        <v>0</v>
      </c>
      <c r="F15" s="3">
        <v>0</v>
      </c>
      <c r="G15" s="3">
        <v>0</v>
      </c>
      <c r="H15" s="3">
        <v>4.5942597999999997E-5</v>
      </c>
      <c r="I15" s="3">
        <v>1.5146828E-5</v>
      </c>
      <c r="J15" s="3">
        <v>-1.1177436E-4</v>
      </c>
      <c r="K15" s="3"/>
      <c r="L15" s="3">
        <f t="shared" si="0"/>
        <v>-0.20765788165091992</v>
      </c>
      <c r="M15" s="3"/>
      <c r="N15" s="2">
        <f>IF('Modell einstellen'!$B$1="Voll",H15/0.35,H15/0.35*2)</f>
        <v>2.6252913142857143E-4</v>
      </c>
      <c r="O15" s="2">
        <f>IF('Modell einstellen'!$B$1="Voll",J15/0.35,J15/0.35*2)</f>
        <v>-6.3871062857142865E-4</v>
      </c>
      <c r="P15" s="3">
        <f t="shared" si="1"/>
        <v>0.41102984620086391</v>
      </c>
      <c r="Q15" s="3"/>
      <c r="R15" s="3"/>
      <c r="S15" s="3"/>
      <c r="T15" s="3"/>
      <c r="U15" s="3"/>
    </row>
    <row r="16" spans="1:21" x14ac:dyDescent="0.25">
      <c r="A16" s="3">
        <v>0.01</v>
      </c>
      <c r="B16" s="3">
        <v>-9.9939999999999995E-5</v>
      </c>
      <c r="C16" s="3">
        <v>1.6750000000000001E-4</v>
      </c>
      <c r="D16" s="3">
        <v>-3.927E-4</v>
      </c>
      <c r="E16" s="3">
        <v>0</v>
      </c>
      <c r="F16" s="3">
        <v>0</v>
      </c>
      <c r="G16" s="3">
        <v>0</v>
      </c>
      <c r="H16" s="3">
        <v>4.8212226999999999E-5</v>
      </c>
      <c r="I16" s="3">
        <v>1.5443635000000001E-5</v>
      </c>
      <c r="J16" s="3">
        <v>-1.1490513999999999E-4</v>
      </c>
      <c r="K16" s="3"/>
      <c r="L16" s="3">
        <f t="shared" si="0"/>
        <v>-0.25449452508276038</v>
      </c>
      <c r="M16" s="3"/>
      <c r="N16" s="2">
        <f>IF('Modell einstellen'!$B$1="Voll",H16/0.35,H16/0.35*2)</f>
        <v>2.7549844000000003E-4</v>
      </c>
      <c r="O16" s="2">
        <f>IF('Modell einstellen'!$B$1="Voll",J16/0.35,J16/0.35*2)</f>
        <v>-6.5660079999999997E-4</v>
      </c>
      <c r="P16" s="3">
        <f t="shared" si="1"/>
        <v>0.41958285765110254</v>
      </c>
      <c r="Q16" s="3"/>
      <c r="R16" s="3"/>
      <c r="S16" s="3"/>
      <c r="T16" s="3"/>
      <c r="U16" s="3"/>
    </row>
    <row r="17" spans="1:21" x14ac:dyDescent="0.25">
      <c r="A17" s="3">
        <v>0.1</v>
      </c>
      <c r="B17" s="3">
        <v>-1.2300000000000001E-4</v>
      </c>
      <c r="C17" s="3">
        <v>1.7110000000000001E-4</v>
      </c>
      <c r="D17" s="3">
        <v>-3.7740000000000001E-4</v>
      </c>
      <c r="E17" s="3">
        <v>0</v>
      </c>
      <c r="F17" s="3">
        <v>0</v>
      </c>
      <c r="G17" s="3">
        <v>0</v>
      </c>
      <c r="H17" s="3">
        <v>5.1223230999999999E-5</v>
      </c>
      <c r="I17" s="3">
        <v>1.5774790999999999E-5</v>
      </c>
      <c r="J17" s="3">
        <v>-1.1891298E-4</v>
      </c>
      <c r="K17" s="3"/>
      <c r="L17" s="3">
        <f t="shared" si="0"/>
        <v>-0.32591414944356123</v>
      </c>
      <c r="M17" s="3"/>
      <c r="N17" s="2">
        <f>IF('Modell einstellen'!$B$1="Voll",H17/0.35,H17/0.35*2)</f>
        <v>2.9270417714285715E-4</v>
      </c>
      <c r="O17" s="2">
        <f>IF('Modell einstellen'!$B$1="Voll",J17/0.35,J17/0.35*2)</f>
        <v>-6.7950274285714289E-4</v>
      </c>
      <c r="P17" s="3">
        <f t="shared" si="1"/>
        <v>0.43076231879816651</v>
      </c>
      <c r="Q17" s="3"/>
      <c r="R17" s="3"/>
      <c r="S17" s="3"/>
      <c r="T17" s="3"/>
      <c r="U17" s="3"/>
    </row>
    <row r="18" spans="1:21" x14ac:dyDescent="0.25">
      <c r="A18" s="3">
        <v>1</v>
      </c>
      <c r="B18" s="3">
        <v>-1.516E-4</v>
      </c>
      <c r="C18" s="3">
        <v>1.751E-4</v>
      </c>
      <c r="D18" s="3">
        <v>-3.5740000000000001E-4</v>
      </c>
      <c r="E18" s="3">
        <v>0</v>
      </c>
      <c r="F18" s="3">
        <v>0</v>
      </c>
      <c r="G18" s="3">
        <v>0</v>
      </c>
      <c r="H18" s="3">
        <v>5.4851632000000003E-5</v>
      </c>
      <c r="I18" s="3">
        <v>1.6164018999999998E-5</v>
      </c>
      <c r="J18" s="3">
        <v>-1.2367412E-4</v>
      </c>
      <c r="K18" s="3"/>
      <c r="L18" s="3">
        <f t="shared" si="0"/>
        <v>-0.42417459429210969</v>
      </c>
      <c r="M18" s="3"/>
      <c r="N18" s="2">
        <f>IF('Modell einstellen'!$B$1="Voll",H18/0.35,H18/0.35*2)</f>
        <v>3.134378971428572E-4</v>
      </c>
      <c r="O18" s="2">
        <f>IF('Modell einstellen'!$B$1="Voll",J18/0.35,J18/0.35*2)</f>
        <v>-7.0670925714285716E-4</v>
      </c>
      <c r="P18" s="3">
        <f t="shared" si="1"/>
        <v>0.44351746347578624</v>
      </c>
      <c r="Q18" s="3"/>
      <c r="R18" s="3"/>
      <c r="S18" s="3"/>
      <c r="T18" s="3"/>
      <c r="U18" s="3"/>
    </row>
    <row r="19" spans="1:21" x14ac:dyDescent="0.25">
      <c r="A19" s="3">
        <v>10</v>
      </c>
      <c r="B19" s="3">
        <v>-1.7560000000000001E-4</v>
      </c>
      <c r="C19" s="3">
        <v>1.808E-4</v>
      </c>
      <c r="D19" s="3">
        <v>-3.4220000000000002E-4</v>
      </c>
      <c r="E19" s="3">
        <v>0</v>
      </c>
      <c r="F19" s="3">
        <v>0</v>
      </c>
      <c r="G19" s="3">
        <v>0</v>
      </c>
      <c r="H19" s="3">
        <v>5.8662034999999997E-5</v>
      </c>
      <c r="I19" s="3">
        <v>1.682846E-5</v>
      </c>
      <c r="J19" s="3">
        <v>-1.2905155000000001E-4</v>
      </c>
      <c r="K19" s="3"/>
      <c r="L19" s="3">
        <f t="shared" si="0"/>
        <v>-0.51315020455873761</v>
      </c>
      <c r="M19" s="3"/>
      <c r="N19" s="2">
        <f>IF('Modell einstellen'!$B$1="Voll",H19/0.35,H19/0.35*2)</f>
        <v>3.352116285714286E-4</v>
      </c>
      <c r="O19" s="2">
        <f>IF('Modell einstellen'!$B$1="Voll",J19/0.35,J19/0.35*2)</f>
        <v>-7.3743742857142864E-4</v>
      </c>
      <c r="P19" s="3">
        <f t="shared" si="1"/>
        <v>0.45456280842810487</v>
      </c>
      <c r="Q19" s="3"/>
      <c r="R19" s="3"/>
      <c r="S19" s="3"/>
      <c r="T19" s="3"/>
      <c r="U19" s="3"/>
    </row>
    <row r="20" spans="1:21" x14ac:dyDescent="0.25">
      <c r="A20" s="3">
        <v>100</v>
      </c>
      <c r="B20" s="3">
        <v>-1.6449999999999999E-4</v>
      </c>
      <c r="C20" s="3">
        <v>1.985E-4</v>
      </c>
      <c r="D20" s="3">
        <v>-3.68E-4</v>
      </c>
      <c r="E20" s="3">
        <v>0</v>
      </c>
      <c r="F20" s="3">
        <v>0</v>
      </c>
      <c r="G20" s="3">
        <v>0</v>
      </c>
      <c r="H20" s="3">
        <v>6.4023818000000004E-5</v>
      </c>
      <c r="I20" s="3">
        <v>1.9514535E-5</v>
      </c>
      <c r="J20" s="3">
        <v>-1.3952716000000001E-4</v>
      </c>
      <c r="K20" s="3"/>
      <c r="L20" s="3">
        <f t="shared" si="0"/>
        <v>-0.44701086956521735</v>
      </c>
      <c r="M20" s="3"/>
      <c r="N20" s="2">
        <f>IF('Modell einstellen'!$B$1="Voll",H20/0.35,H20/0.35*2)</f>
        <v>3.6585038857142864E-4</v>
      </c>
      <c r="O20" s="2">
        <f>IF('Modell einstellen'!$B$1="Voll",J20/0.35,J20/0.35*2)</f>
        <v>-7.9729805714285717E-4</v>
      </c>
      <c r="P20" s="3">
        <f t="shared" si="1"/>
        <v>0.45886276191674802</v>
      </c>
      <c r="Q20" s="3"/>
      <c r="R20" s="3"/>
      <c r="S20" s="3"/>
      <c r="T20" s="3"/>
      <c r="U20" s="3"/>
    </row>
    <row r="21" spans="1:21" x14ac:dyDescent="0.25">
      <c r="A21" s="3">
        <v>1000</v>
      </c>
      <c r="B21" s="3">
        <v>-7.0889999999999994E-5</v>
      </c>
      <c r="C21" s="3">
        <v>2.454E-4</v>
      </c>
      <c r="D21" s="3">
        <v>-4.9149999999999997E-4</v>
      </c>
      <c r="E21" s="3">
        <v>0</v>
      </c>
      <c r="F21" s="3">
        <v>0</v>
      </c>
      <c r="G21" s="3">
        <v>0</v>
      </c>
      <c r="H21" s="3">
        <v>7.3961116999999999E-5</v>
      </c>
      <c r="I21" s="3">
        <v>2.7561268999999998E-5</v>
      </c>
      <c r="J21" s="3">
        <v>-1.6421683999999999E-4</v>
      </c>
      <c r="K21" s="3"/>
      <c r="L21" s="3">
        <f t="shared" si="0"/>
        <v>-0.14423194303153611</v>
      </c>
      <c r="M21" s="3"/>
      <c r="N21" s="2">
        <f>IF('Modell einstellen'!$B$1="Voll",H21/0.35,H21/0.35*2)</f>
        <v>4.2263495428571433E-4</v>
      </c>
      <c r="O21" s="2">
        <f>IF('Modell einstellen'!$B$1="Voll",J21/0.35,J21/0.35*2)</f>
        <v>-9.3838194285714291E-4</v>
      </c>
      <c r="P21" s="3">
        <f t="shared" si="1"/>
        <v>0.45038692134131919</v>
      </c>
      <c r="Q21" s="3"/>
      <c r="R21" s="3"/>
      <c r="S21" s="3"/>
      <c r="T21" s="3"/>
      <c r="U21" s="3"/>
    </row>
    <row r="22" spans="1:21" x14ac:dyDescent="0.25">
      <c r="A22" s="3">
        <v>10000</v>
      </c>
      <c r="B22" s="3">
        <v>8.1080000000000003E-5</v>
      </c>
      <c r="C22" s="3">
        <v>3.2089999999999999E-4</v>
      </c>
      <c r="D22" s="3">
        <v>-6.9300000000000004E-4</v>
      </c>
      <c r="E22" s="3">
        <v>0</v>
      </c>
      <c r="F22" s="3">
        <v>0</v>
      </c>
      <c r="G22" s="3">
        <v>0</v>
      </c>
      <c r="H22" s="3">
        <v>8.6623203000000003E-5</v>
      </c>
      <c r="I22" s="3">
        <v>4.0012667E-5</v>
      </c>
      <c r="J22" s="3">
        <v>-1.9970270999999999E-4</v>
      </c>
      <c r="K22" s="3"/>
      <c r="L22" s="3">
        <f t="shared" si="0"/>
        <v>0.11699855699855699</v>
      </c>
      <c r="M22" s="3"/>
      <c r="N22" s="2">
        <f>IF('Modell einstellen'!$B$1="Voll",H22/0.35,H22/0.35*2)</f>
        <v>4.9498973142857151E-4</v>
      </c>
      <c r="O22" s="2">
        <f>IF('Modell einstellen'!$B$1="Voll",J22/0.35,J22/0.35*2)</f>
        <v>-1.1411583428571428E-3</v>
      </c>
      <c r="P22" s="3">
        <f t="shared" si="1"/>
        <v>0.43376077870951285</v>
      </c>
      <c r="Q22" s="3"/>
      <c r="R22" s="3"/>
      <c r="S22" s="3"/>
      <c r="T22" s="3"/>
      <c r="U22" s="3"/>
    </row>
    <row r="23" spans="1:21" x14ac:dyDescent="0.25">
      <c r="A23" s="3">
        <v>100000</v>
      </c>
      <c r="B23" s="3">
        <v>2.3910000000000001E-4</v>
      </c>
      <c r="C23" s="3">
        <v>4.1100000000000002E-4</v>
      </c>
      <c r="D23" s="3">
        <v>-9.1589999999999998E-4</v>
      </c>
      <c r="E23" s="3">
        <v>0</v>
      </c>
      <c r="F23" s="3">
        <v>0</v>
      </c>
      <c r="G23" s="3">
        <v>0</v>
      </c>
      <c r="H23" s="3">
        <v>9.9765410000000006E-5</v>
      </c>
      <c r="I23" s="3">
        <v>5.3899266999999997E-5</v>
      </c>
      <c r="J23" s="3">
        <v>-2.3854255999999999E-4</v>
      </c>
      <c r="K23" s="3"/>
      <c r="L23" s="3">
        <f t="shared" si="0"/>
        <v>0.26105470029479205</v>
      </c>
      <c r="M23" s="3"/>
      <c r="N23" s="2">
        <f>IF('Modell einstellen'!$B$1="Voll",H23/0.35,H23/0.35*2)</f>
        <v>5.7008805714285724E-4</v>
      </c>
      <c r="O23" s="2">
        <f>IF('Modell einstellen'!$B$1="Voll",J23/0.35,J23/0.35*2)</f>
        <v>-1.363100342857143E-3</v>
      </c>
      <c r="P23" s="3">
        <f t="shared" si="1"/>
        <v>0.41822897347961724</v>
      </c>
      <c r="Q23" s="3"/>
      <c r="R23" s="3"/>
      <c r="S23" s="3"/>
      <c r="T23" s="3"/>
      <c r="U23" s="3"/>
    </row>
    <row r="24" spans="1:21" x14ac:dyDescent="0.25">
      <c r="A24" s="3">
        <v>1000000</v>
      </c>
      <c r="B24" s="3">
        <v>3.7639999999999999E-4</v>
      </c>
      <c r="C24" s="3">
        <v>5.0600000000000005E-4</v>
      </c>
      <c r="D24" s="3">
        <v>-1.127E-3</v>
      </c>
      <c r="E24" s="3">
        <v>0</v>
      </c>
      <c r="F24" s="3">
        <v>0</v>
      </c>
      <c r="G24" s="3">
        <v>0</v>
      </c>
      <c r="H24" s="3">
        <v>1.1235329999999999E-4</v>
      </c>
      <c r="I24" s="3">
        <v>6.7715039000000005E-5</v>
      </c>
      <c r="J24" s="3">
        <v>-2.7699687E-4</v>
      </c>
      <c r="K24" s="3"/>
      <c r="L24" s="3">
        <f t="shared" si="0"/>
        <v>0.33398402839396629</v>
      </c>
      <c r="M24" s="3"/>
      <c r="N24" s="2">
        <f>IF('Modell einstellen'!$B$1="Voll",H24/0.35,H24/0.35*2)</f>
        <v>6.4201885714285718E-4</v>
      </c>
      <c r="O24" s="2">
        <f>IF('Modell einstellen'!$B$1="Voll",J24/0.35,J24/0.35*2)</f>
        <v>-1.5828392571428573E-3</v>
      </c>
      <c r="P24" s="3">
        <f t="shared" si="1"/>
        <v>0.40561216449846527</v>
      </c>
      <c r="Q24" s="3"/>
      <c r="R24" s="3"/>
      <c r="S24" s="3"/>
      <c r="T24" s="3"/>
      <c r="U24" s="3"/>
    </row>
    <row r="25" spans="1:21" x14ac:dyDescent="0.25">
      <c r="A25" s="3">
        <v>10000000</v>
      </c>
      <c r="B25" s="3">
        <v>4.8819999999999999E-4</v>
      </c>
      <c r="C25" s="3">
        <v>6.0479999999999996E-4</v>
      </c>
      <c r="D25" s="3">
        <v>-1.323E-3</v>
      </c>
      <c r="E25" s="3">
        <v>0</v>
      </c>
      <c r="F25" s="3">
        <v>0</v>
      </c>
      <c r="G25" s="3">
        <v>0</v>
      </c>
      <c r="H25" s="3">
        <v>1.2534328E-4</v>
      </c>
      <c r="I25" s="3">
        <v>8.1808748000000006E-5</v>
      </c>
      <c r="J25" s="3">
        <v>-3.1673060000000003E-4</v>
      </c>
      <c r="K25" s="3"/>
      <c r="L25" s="3">
        <f t="shared" si="0"/>
        <v>0.3690098261526833</v>
      </c>
      <c r="M25" s="3"/>
      <c r="N25" s="2">
        <f>IF('Modell einstellen'!$B$1="Voll",H25/0.35,H25/0.35*2)</f>
        <v>7.1624731428571436E-4</v>
      </c>
      <c r="O25" s="2">
        <f>IF('Modell einstellen'!$B$1="Voll",J25/0.35,J25/0.35*2)</f>
        <v>-1.8098891428571431E-3</v>
      </c>
      <c r="P25" s="3">
        <f t="shared" si="1"/>
        <v>0.3957409861882622</v>
      </c>
      <c r="Q25" s="3"/>
      <c r="R25" s="3"/>
      <c r="S25" s="3"/>
      <c r="T25" s="3"/>
      <c r="U25" s="3"/>
    </row>
    <row r="26" spans="1:21" x14ac:dyDescent="0.25">
      <c r="A26" s="3">
        <v>100000000</v>
      </c>
      <c r="B26" s="3">
        <v>5.8109999999999998E-4</v>
      </c>
      <c r="C26" s="3">
        <v>7.0910000000000005E-4</v>
      </c>
      <c r="D26" s="3">
        <v>-1.508E-3</v>
      </c>
      <c r="E26" s="3">
        <v>0</v>
      </c>
      <c r="F26" s="3">
        <v>0</v>
      </c>
      <c r="G26" s="3">
        <v>0</v>
      </c>
      <c r="H26" s="3">
        <v>1.3945011E-4</v>
      </c>
      <c r="I26" s="3">
        <v>9.6726439000000003E-5</v>
      </c>
      <c r="J26" s="3">
        <v>-3.5942511000000002E-4</v>
      </c>
      <c r="K26" s="3"/>
      <c r="L26" s="3">
        <f t="shared" si="0"/>
        <v>0.38534482758620686</v>
      </c>
      <c r="M26" s="3"/>
      <c r="N26" s="2">
        <f>IF('Modell einstellen'!$B$1="Voll",H26/0.35,H26/0.35*2)</f>
        <v>7.968577714285714E-4</v>
      </c>
      <c r="O26" s="2">
        <f>IF('Modell einstellen'!$B$1="Voll",J26/0.35,J26/0.35*2)</f>
        <v>-2.0538577714285717E-3</v>
      </c>
      <c r="P26" s="3">
        <f t="shared" si="1"/>
        <v>0.38798098997590896</v>
      </c>
      <c r="Q26" s="3"/>
      <c r="R26" s="3"/>
      <c r="S26" s="3"/>
      <c r="T26" s="3"/>
      <c r="U26" s="3"/>
    </row>
    <row r="27" spans="1:21" x14ac:dyDescent="0.25">
      <c r="A27" s="3">
        <v>1000000000</v>
      </c>
      <c r="B27" s="3">
        <v>6.6540000000000002E-4</v>
      </c>
      <c r="C27" s="3">
        <v>8.2720000000000005E-4</v>
      </c>
      <c r="D27" s="3">
        <v>-1.702E-3</v>
      </c>
      <c r="E27" s="3">
        <v>0</v>
      </c>
      <c r="F27" s="3">
        <v>0</v>
      </c>
      <c r="G27" s="3">
        <v>0</v>
      </c>
      <c r="H27" s="3">
        <v>1.5702814000000001E-4</v>
      </c>
      <c r="I27" s="3">
        <v>1.1417061E-4</v>
      </c>
      <c r="J27" s="3">
        <v>-4.1068061000000002E-4</v>
      </c>
      <c r="K27" s="3"/>
      <c r="L27" s="3">
        <f t="shared" si="0"/>
        <v>0.390951821386604</v>
      </c>
      <c r="M27" s="3"/>
      <c r="N27" s="2">
        <f>IF('Modell einstellen'!$B$1="Voll",H27/0.35,H27/0.35*2)</f>
        <v>8.9730365714285729E-4</v>
      </c>
      <c r="O27" s="2">
        <f>IF('Modell einstellen'!$B$1="Voll",J27/0.35,J27/0.35*2)</f>
        <v>-2.3467463428571431E-3</v>
      </c>
      <c r="P27" s="3">
        <f t="shared" si="1"/>
        <v>0.38236073526821734</v>
      </c>
      <c r="Q27" s="3"/>
      <c r="R27" s="3"/>
      <c r="S27" s="3"/>
      <c r="T27" s="3"/>
      <c r="U27" s="3"/>
    </row>
    <row r="28" spans="1:21" x14ac:dyDescent="0.25">
      <c r="A28" s="3">
        <v>10000000000</v>
      </c>
      <c r="B28" s="3">
        <v>7.5259999999999997E-4</v>
      </c>
      <c r="C28" s="3">
        <v>9.7380000000000003E-4</v>
      </c>
      <c r="D28" s="3">
        <v>-1.9300000000000001E-3</v>
      </c>
      <c r="E28" s="3">
        <v>0</v>
      </c>
      <c r="F28" s="3">
        <v>0</v>
      </c>
      <c r="G28" s="3">
        <v>0</v>
      </c>
      <c r="H28" s="3">
        <v>1.8125912E-4</v>
      </c>
      <c r="I28" s="3">
        <v>1.3680001000000001E-4</v>
      </c>
      <c r="J28" s="3">
        <v>-4.7875359999999999E-4</v>
      </c>
      <c r="K28" s="3"/>
      <c r="L28" s="3">
        <f t="shared" si="0"/>
        <v>0.38994818652849739</v>
      </c>
      <c r="M28" s="3"/>
      <c r="N28" s="2">
        <f>IF('Modell einstellen'!$B$1="Voll",H28/0.35,H28/0.35*2)</f>
        <v>1.0357664000000002E-3</v>
      </c>
      <c r="O28" s="2">
        <f>IF('Modell einstellen'!$B$1="Voll",J28/0.35,J28/0.35*2)</f>
        <v>-2.7357348571428572E-3</v>
      </c>
      <c r="P28" s="3">
        <f t="shared" si="1"/>
        <v>0.37860628097626842</v>
      </c>
      <c r="Q28" s="3"/>
      <c r="R28" s="3"/>
      <c r="S28" s="3"/>
      <c r="T28" s="3"/>
      <c r="U28" s="3"/>
    </row>
    <row r="29" spans="1:21" x14ac:dyDescent="0.25">
      <c r="A29" s="3">
        <v>100000000000</v>
      </c>
      <c r="B29" s="3">
        <v>8.5669999999999995E-4</v>
      </c>
      <c r="C29" s="3">
        <v>1.1839999999999999E-3</v>
      </c>
      <c r="D29" s="3">
        <v>-2.238E-3</v>
      </c>
      <c r="E29" s="3">
        <v>0</v>
      </c>
      <c r="F29" s="3">
        <v>0</v>
      </c>
      <c r="G29" s="3">
        <v>0</v>
      </c>
      <c r="H29" s="3">
        <v>2.1952656000000001E-4</v>
      </c>
      <c r="I29" s="3">
        <v>1.7082775999999999E-4</v>
      </c>
      <c r="J29" s="3">
        <v>-5.8296944E-4</v>
      </c>
      <c r="K29" s="3"/>
      <c r="L29" s="3">
        <f t="shared" si="0"/>
        <v>0.38279714030384271</v>
      </c>
      <c r="M29" s="3"/>
      <c r="N29" s="2">
        <f>IF('Modell einstellen'!$B$1="Voll",H29/0.35,H29/0.35*2)</f>
        <v>1.2544374857142858E-3</v>
      </c>
      <c r="O29" s="2">
        <f>IF('Modell einstellen'!$B$1="Voll",J29/0.35,J29/0.35*2)</f>
        <v>-3.3312539428571432E-3</v>
      </c>
      <c r="P29" s="3">
        <f t="shared" si="1"/>
        <v>0.37656615413665595</v>
      </c>
      <c r="Q29" s="3"/>
      <c r="R29" s="3"/>
      <c r="S29" s="3"/>
      <c r="T29" s="3"/>
      <c r="U29" s="3"/>
    </row>
    <row r="30" spans="1:21" x14ac:dyDescent="0.25">
      <c r="A30" s="3">
        <v>1000000000000</v>
      </c>
      <c r="B30" s="3">
        <v>9.9850000000000004E-4</v>
      </c>
      <c r="C30" s="3">
        <v>1.523E-3</v>
      </c>
      <c r="D30" s="3">
        <v>-2.712E-3</v>
      </c>
      <c r="E30" s="3">
        <v>0</v>
      </c>
      <c r="F30" s="3">
        <v>0</v>
      </c>
      <c r="G30" s="3">
        <v>0</v>
      </c>
      <c r="H30" s="3">
        <v>2.8503902999999999E-4</v>
      </c>
      <c r="I30" s="3">
        <v>2.2764726999999999E-4</v>
      </c>
      <c r="J30" s="3">
        <v>-7.583135E-4</v>
      </c>
      <c r="K30" s="3"/>
      <c r="L30" s="3">
        <f t="shared" si="0"/>
        <v>0.36817846607669619</v>
      </c>
      <c r="M30" s="3"/>
      <c r="N30" s="2">
        <f>IF('Modell einstellen'!$B$1="Voll",H30/0.35,H30/0.35*2)</f>
        <v>1.6287944571428572E-3</v>
      </c>
      <c r="O30" s="2">
        <f>IF('Modell einstellen'!$B$1="Voll",J30/0.35,J30/0.35*2)</f>
        <v>-4.3332200000000005E-3</v>
      </c>
      <c r="P30" s="3">
        <f t="shared" si="1"/>
        <v>0.37588547480692353</v>
      </c>
      <c r="Q30" s="3"/>
      <c r="R30" s="3"/>
      <c r="S30" s="3"/>
      <c r="T30" s="3"/>
      <c r="U30" s="3"/>
    </row>
    <row r="31" spans="1:21" x14ac:dyDescent="0.25">
      <c r="A31" s="3">
        <v>10000000000000</v>
      </c>
      <c r="B31" s="3">
        <v>1.1980000000000001E-3</v>
      </c>
      <c r="C31" s="3">
        <v>2.0839999999999999E-3</v>
      </c>
      <c r="D31" s="3">
        <v>-3.4629999999999999E-3</v>
      </c>
      <c r="E31" s="3">
        <v>0</v>
      </c>
      <c r="F31" s="3">
        <v>0</v>
      </c>
      <c r="G31" s="3">
        <v>0</v>
      </c>
      <c r="H31" s="3">
        <v>3.9836654E-4</v>
      </c>
      <c r="I31" s="3">
        <v>3.2485199999999999E-4</v>
      </c>
      <c r="J31" s="3">
        <v>-1.0586393E-3</v>
      </c>
      <c r="K31" s="3"/>
      <c r="L31" s="3">
        <f t="shared" si="0"/>
        <v>0.34594282414091831</v>
      </c>
      <c r="M31" s="3"/>
      <c r="N31" s="2">
        <f>IF('Modell einstellen'!$B$1="Voll",H31/0.35,H31/0.35*2)</f>
        <v>2.2763802285714289E-3</v>
      </c>
      <c r="O31" s="2">
        <f>IF('Modell einstellen'!$B$1="Voll",J31/0.35,J31/0.35*2)</f>
        <v>-6.0493674285714292E-3</v>
      </c>
      <c r="P31" s="3">
        <f t="shared" si="1"/>
        <v>0.37630053975891509</v>
      </c>
      <c r="Q31" s="3"/>
      <c r="R31" s="3"/>
      <c r="S31" s="3"/>
      <c r="T31" s="3"/>
      <c r="U31" s="3"/>
    </row>
    <row r="32" spans="1:21" x14ac:dyDescent="0.25">
      <c r="A32" s="3">
        <v>100000000000000</v>
      </c>
      <c r="B32" s="3">
        <v>1.482E-3</v>
      </c>
      <c r="C32" s="3">
        <v>2.9359999999999998E-3</v>
      </c>
      <c r="D32" s="3">
        <v>-4.5890000000000002E-3</v>
      </c>
      <c r="E32" s="3">
        <v>0</v>
      </c>
      <c r="F32" s="3">
        <v>0</v>
      </c>
      <c r="G32" s="3">
        <v>0</v>
      </c>
      <c r="H32" s="3">
        <v>5.7651095000000002E-4</v>
      </c>
      <c r="I32" s="3">
        <v>4.7669881000000002E-4</v>
      </c>
      <c r="J32" s="3">
        <v>-1.526973E-3</v>
      </c>
      <c r="K32" s="3"/>
      <c r="L32" s="3">
        <f t="shared" si="0"/>
        <v>0.32294617563739375</v>
      </c>
      <c r="M32" s="3"/>
      <c r="N32" s="2">
        <f>IF('Modell einstellen'!$B$1="Voll",H32/0.35,H32/0.35*2)</f>
        <v>3.2943482857142859E-3</v>
      </c>
      <c r="O32" s="2">
        <f>IF('Modell einstellen'!$B$1="Voll",J32/0.35,J32/0.35*2)</f>
        <v>-8.7255600000000003E-3</v>
      </c>
      <c r="P32" s="3">
        <f t="shared" si="1"/>
        <v>0.37755150222040601</v>
      </c>
      <c r="Q32" s="3"/>
      <c r="R32" s="3"/>
      <c r="S32" s="3"/>
      <c r="T32" s="3"/>
      <c r="U32" s="3"/>
    </row>
    <row r="33" spans="1:21" x14ac:dyDescent="0.25">
      <c r="A33" s="2">
        <v>1000000000000000</v>
      </c>
      <c r="B33" s="3">
        <v>1.8569999999999999E-3</v>
      </c>
      <c r="C33" s="3">
        <v>4.006E-3</v>
      </c>
      <c r="D33" s="3">
        <v>-6.0260000000000001E-3</v>
      </c>
      <c r="E33" s="3">
        <v>0</v>
      </c>
      <c r="F33" s="3">
        <v>0</v>
      </c>
      <c r="G33" s="3">
        <v>0</v>
      </c>
      <c r="H33" s="3">
        <v>8.0825131999999998E-4</v>
      </c>
      <c r="I33" s="3">
        <v>6.7314513000000002E-4</v>
      </c>
      <c r="J33" s="3">
        <v>-2.1310242000000001E-3</v>
      </c>
      <c r="K33" s="3"/>
      <c r="L33" s="3">
        <f t="shared" si="0"/>
        <v>0.30816461998008626</v>
      </c>
      <c r="M33" s="3"/>
      <c r="N33" s="2">
        <f>IF('Modell einstellen'!$B$1="Voll",H33/0.35,H33/0.35*2)</f>
        <v>4.6185789714285712E-3</v>
      </c>
      <c r="O33" s="2">
        <f>IF('Modell einstellen'!$B$1="Voll",J33/0.35,J33/0.35*2)</f>
        <v>-1.2177281142857144E-2</v>
      </c>
      <c r="P33" s="3">
        <f t="shared" si="1"/>
        <v>0.3792783394951591</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-2.339E-6</v>
      </c>
      <c r="C3" s="3">
        <v>1.459E-4</v>
      </c>
      <c r="D3" s="3">
        <v>-4.4010000000000002E-4</v>
      </c>
      <c r="E3" s="3">
        <v>0</v>
      </c>
      <c r="F3" s="3">
        <v>0</v>
      </c>
      <c r="G3" s="3">
        <v>0</v>
      </c>
      <c r="H3" s="3">
        <v>3.3630153E-5</v>
      </c>
      <c r="I3" s="3">
        <v>1.3522585000000001E-5</v>
      </c>
      <c r="J3" s="3">
        <v>-9.4282858999999999E-5</v>
      </c>
      <c r="K3" s="2"/>
      <c r="L3" s="3"/>
      <c r="M3" s="3"/>
      <c r="N3" s="2">
        <f>IF('Modell einstellen'!$B$1="Voll",H3/0.35,H3/0.35*2)</f>
        <v>1.9217230285714288E-4</v>
      </c>
      <c r="O3" s="2">
        <f>IF('Modell einstellen'!$B$1="Voll",J3/0.35,J3/0.35*2)</f>
        <v>-5.3875919428571434E-4</v>
      </c>
      <c r="P3" s="3">
        <f>-N3/O3</f>
        <v>0.35669424279974371</v>
      </c>
      <c r="Q3" s="3"/>
      <c r="R3" s="3"/>
      <c r="S3" s="3"/>
      <c r="T3" s="3"/>
      <c r="U3" s="3"/>
    </row>
    <row r="4" spans="1:21" x14ac:dyDescent="0.25">
      <c r="A4" s="3">
        <v>1E-14</v>
      </c>
      <c r="B4" s="3">
        <v>-1.0159999999999999E-5</v>
      </c>
      <c r="C4" s="3">
        <v>1.484E-4</v>
      </c>
      <c r="D4" s="3">
        <v>-4.3829999999999997E-4</v>
      </c>
      <c r="E4" s="3">
        <v>0</v>
      </c>
      <c r="F4" s="3">
        <v>0</v>
      </c>
      <c r="G4" s="3">
        <v>0</v>
      </c>
      <c r="H4" s="3">
        <v>3.5134037999999997E-5</v>
      </c>
      <c r="I4" s="3">
        <v>1.3771753000000001E-5</v>
      </c>
      <c r="J4" s="3">
        <v>-9.6571731999999997E-5</v>
      </c>
      <c r="K4" s="2"/>
      <c r="L4" s="3"/>
      <c r="M4" s="3"/>
      <c r="N4" s="2">
        <f>IF('Modell einstellen'!$B$1="Voll",H4/0.35,H4/0.35*2)</f>
        <v>2.0076593142857142E-4</v>
      </c>
      <c r="O4" s="2">
        <f>IF('Modell einstellen'!$B$1="Voll",J4/0.35,J4/0.35*2)</f>
        <v>-5.5183846857142854E-4</v>
      </c>
      <c r="P4" s="3">
        <f t="shared" ref="P4:P33" si="0">-N4/O4</f>
        <v>0.36381285985426876</v>
      </c>
      <c r="Q4" s="3"/>
      <c r="R4" s="3"/>
      <c r="S4" s="3"/>
      <c r="T4" s="3"/>
      <c r="U4" s="3"/>
    </row>
    <row r="5" spans="1:21" x14ac:dyDescent="0.25">
      <c r="A5" s="3">
        <v>1E-13</v>
      </c>
      <c r="B5" s="3">
        <v>-1.5E-5</v>
      </c>
      <c r="C5" s="3">
        <v>1.5009999999999999E-4</v>
      </c>
      <c r="D5" s="3">
        <v>-4.371E-4</v>
      </c>
      <c r="E5" s="3">
        <v>0</v>
      </c>
      <c r="F5" s="3">
        <v>0</v>
      </c>
      <c r="G5" s="3">
        <v>0</v>
      </c>
      <c r="H5" s="3">
        <v>3.6065746999999998E-5</v>
      </c>
      <c r="I5" s="3">
        <v>1.3932944E-5</v>
      </c>
      <c r="J5" s="3">
        <v>-9.7989539000000001E-5</v>
      </c>
      <c r="K5" s="2"/>
      <c r="L5" s="3"/>
      <c r="M5" s="3"/>
      <c r="N5" s="2">
        <f>IF('Modell einstellen'!$B$1="Voll",H5/0.35,H5/0.35*2)</f>
        <v>2.0608998285714285E-4</v>
      </c>
      <c r="O5" s="2">
        <f>IF('Modell einstellen'!$B$1="Voll",J5/0.35,J5/0.35*2)</f>
        <v>-5.5994022285714288E-4</v>
      </c>
      <c r="P5" s="3">
        <f t="shared" si="0"/>
        <v>0.36805711474976932</v>
      </c>
      <c r="Q5" s="3"/>
      <c r="R5" s="3"/>
      <c r="S5" s="3"/>
      <c r="T5" s="3"/>
      <c r="U5" s="3"/>
    </row>
    <row r="6" spans="1:21" x14ac:dyDescent="0.25">
      <c r="A6" s="3">
        <v>9.9999999999999998E-13</v>
      </c>
      <c r="B6" s="3">
        <v>-2.0149999999999999E-5</v>
      </c>
      <c r="C6" s="3">
        <v>1.517E-4</v>
      </c>
      <c r="D6" s="3">
        <v>-4.3570000000000002E-4</v>
      </c>
      <c r="E6" s="3">
        <v>0</v>
      </c>
      <c r="F6" s="3">
        <v>0</v>
      </c>
      <c r="G6" s="3">
        <v>0</v>
      </c>
      <c r="H6" s="3">
        <v>3.7017956000000003E-5</v>
      </c>
      <c r="I6" s="3">
        <v>1.4092569E-5</v>
      </c>
      <c r="J6" s="3">
        <v>-9.9423657000000004E-5</v>
      </c>
      <c r="K6" s="2"/>
      <c r="L6" s="3"/>
      <c r="M6" s="3"/>
      <c r="N6" s="2">
        <f>IF('Modell einstellen'!$B$1="Voll",H6/0.35,H6/0.35*2)</f>
        <v>2.1153117714285718E-4</v>
      </c>
      <c r="O6" s="2">
        <f>IF('Modell einstellen'!$B$1="Voll",J6/0.35,J6/0.35*2)</f>
        <v>-5.6813518285714294E-4</v>
      </c>
      <c r="P6" s="3">
        <f t="shared" si="0"/>
        <v>0.37232543156202752</v>
      </c>
      <c r="Q6" s="3"/>
      <c r="R6" s="3"/>
      <c r="S6" s="3"/>
      <c r="T6" s="3"/>
      <c r="U6" s="3"/>
    </row>
    <row r="7" spans="1:21" x14ac:dyDescent="0.25">
      <c r="A7" s="3">
        <v>9.9999999999999994E-12</v>
      </c>
      <c r="B7" s="3">
        <v>-2.637E-5</v>
      </c>
      <c r="C7" s="3">
        <v>1.5359999999999999E-4</v>
      </c>
      <c r="D7" s="3">
        <v>-4.3360000000000002E-4</v>
      </c>
      <c r="E7" s="3">
        <v>0</v>
      </c>
      <c r="F7" s="3">
        <v>0</v>
      </c>
      <c r="G7" s="3">
        <v>0</v>
      </c>
      <c r="H7" s="3">
        <v>3.8119620999999997E-5</v>
      </c>
      <c r="I7" s="3">
        <v>1.4269164E-5</v>
      </c>
      <c r="J7" s="3">
        <v>-1.0106082E-4</v>
      </c>
      <c r="K7" s="2"/>
      <c r="L7" s="3"/>
      <c r="M7" s="3"/>
      <c r="N7" s="2">
        <f>IF('Modell einstellen'!$B$1="Voll",H7/0.35,H7/0.35*2)</f>
        <v>2.1782640571428572E-4</v>
      </c>
      <c r="O7" s="2">
        <f>IF('Modell einstellen'!$B$1="Voll",J7/0.35,J7/0.35*2)</f>
        <v>-5.7749040000000008E-4</v>
      </c>
      <c r="P7" s="3">
        <f t="shared" si="0"/>
        <v>0.37719485157551658</v>
      </c>
      <c r="Q7" s="3"/>
      <c r="R7" s="3"/>
      <c r="S7" s="3"/>
      <c r="T7" s="3"/>
      <c r="U7" s="3"/>
    </row>
    <row r="8" spans="1:21" x14ac:dyDescent="0.25">
      <c r="A8" s="3">
        <v>1E-10</v>
      </c>
      <c r="B8" s="3">
        <v>-3.3670000000000001E-5</v>
      </c>
      <c r="C8" s="3">
        <v>1.5559999999999999E-4</v>
      </c>
      <c r="D8" s="3">
        <v>-4.3080000000000001E-4</v>
      </c>
      <c r="E8" s="3">
        <v>0</v>
      </c>
      <c r="F8" s="3">
        <v>0</v>
      </c>
      <c r="G8" s="3">
        <v>0</v>
      </c>
      <c r="H8" s="3">
        <v>3.9360999000000002E-5</v>
      </c>
      <c r="I8" s="3">
        <v>1.4460734999999999E-5</v>
      </c>
      <c r="J8" s="3">
        <v>-1.0288266E-4</v>
      </c>
      <c r="K8" s="2"/>
      <c r="L8" s="3"/>
      <c r="M8" s="3"/>
      <c r="N8" s="2">
        <f>IF('Modell einstellen'!$B$1="Voll",H8/0.35,H8/0.35*2)</f>
        <v>2.249199942857143E-4</v>
      </c>
      <c r="O8" s="2">
        <f>IF('Modell einstellen'!$B$1="Voll",J8/0.35,J8/0.35*2)</f>
        <v>-5.8790091428571434E-4</v>
      </c>
      <c r="P8" s="3">
        <f t="shared" si="0"/>
        <v>0.38258146708104163</v>
      </c>
      <c r="Q8" s="3"/>
      <c r="R8" s="3"/>
      <c r="S8" s="3"/>
      <c r="T8" s="3"/>
      <c r="U8" s="3"/>
    </row>
    <row r="9" spans="1:21" x14ac:dyDescent="0.25">
      <c r="A9" s="3">
        <v>1.0000000000000001E-9</v>
      </c>
      <c r="B9" s="3">
        <v>-4.2719999999999998E-5</v>
      </c>
      <c r="C9" s="3">
        <v>1.5779999999999999E-4</v>
      </c>
      <c r="D9" s="3">
        <v>-4.2680000000000002E-4</v>
      </c>
      <c r="E9" s="3">
        <v>0</v>
      </c>
      <c r="F9" s="3">
        <v>0</v>
      </c>
      <c r="G9" s="3">
        <v>0</v>
      </c>
      <c r="H9" s="3">
        <v>4.0837921000000002E-5</v>
      </c>
      <c r="I9" s="3">
        <v>1.4677939000000001E-5</v>
      </c>
      <c r="J9" s="3">
        <v>-1.0501833E-4</v>
      </c>
      <c r="K9" s="2"/>
      <c r="L9" s="3"/>
      <c r="M9" s="3"/>
      <c r="N9" s="2">
        <f>IF('Modell einstellen'!$B$1="Voll",H9/0.35,H9/0.35*2)</f>
        <v>2.3335954857142858E-4</v>
      </c>
      <c r="O9" s="2">
        <f>IF('Modell einstellen'!$B$1="Voll",J9/0.35,J9/0.35*2)</f>
        <v>-6.0010474285714284E-4</v>
      </c>
      <c r="P9" s="3">
        <f t="shared" si="0"/>
        <v>0.38886469628682918</v>
      </c>
      <c r="Q9" s="3"/>
      <c r="R9" s="3"/>
      <c r="S9" s="3"/>
      <c r="T9" s="3"/>
      <c r="U9" s="3"/>
    </row>
    <row r="10" spans="1:21" x14ac:dyDescent="0.25">
      <c r="A10" s="3">
        <v>1E-8</v>
      </c>
      <c r="B10" s="3">
        <v>-5.3609999999999997E-5</v>
      </c>
      <c r="C10" s="3">
        <v>1.6029999999999999E-4</v>
      </c>
      <c r="D10" s="3">
        <v>-4.214E-4</v>
      </c>
      <c r="E10" s="3">
        <v>0</v>
      </c>
      <c r="F10" s="3">
        <v>0</v>
      </c>
      <c r="G10" s="3">
        <v>0</v>
      </c>
      <c r="H10" s="3">
        <v>4.2538306999999998E-5</v>
      </c>
      <c r="I10" s="3">
        <v>1.4916149999999999E-5</v>
      </c>
      <c r="J10" s="3">
        <v>-1.0743962E-4</v>
      </c>
      <c r="K10" s="2"/>
      <c r="L10" s="3"/>
      <c r="M10" s="3"/>
      <c r="N10" s="2">
        <f>IF('Modell einstellen'!$B$1="Voll",H10/0.35,H10/0.35*2)</f>
        <v>2.4307604E-4</v>
      </c>
      <c r="O10" s="2">
        <f>IF('Modell einstellen'!$B$1="Voll",J10/0.35,J10/0.35*2)</f>
        <v>-6.139406857142858E-4</v>
      </c>
      <c r="P10" s="3">
        <f t="shared" si="0"/>
        <v>0.39592756377954424</v>
      </c>
      <c r="Q10" s="3"/>
      <c r="R10" s="3"/>
      <c r="S10" s="3"/>
      <c r="T10" s="3"/>
      <c r="U10" s="3"/>
    </row>
    <row r="11" spans="1:21" x14ac:dyDescent="0.25">
      <c r="A11" s="3">
        <v>9.9999999999999995E-8</v>
      </c>
      <c r="B11" s="3">
        <v>-6.5840000000000007E-5</v>
      </c>
      <c r="C11" s="3">
        <v>1.638E-4</v>
      </c>
      <c r="D11" s="3">
        <v>-4.1590000000000003E-4</v>
      </c>
      <c r="E11" s="3">
        <v>0</v>
      </c>
      <c r="F11" s="3">
        <v>0</v>
      </c>
      <c r="G11" s="3">
        <v>0</v>
      </c>
      <c r="H11" s="3">
        <v>4.4419258000000002E-5</v>
      </c>
      <c r="I11" s="3">
        <v>1.521228E-5</v>
      </c>
      <c r="J11" s="3">
        <v>-1.1015614E-4</v>
      </c>
      <c r="K11" s="2"/>
      <c r="L11" s="3"/>
      <c r="M11" s="3"/>
      <c r="N11" s="2">
        <f>IF('Modell einstellen'!$B$1="Voll",H11/0.35,H11/0.35*2)</f>
        <v>2.5382433142857148E-4</v>
      </c>
      <c r="O11" s="2">
        <f>IF('Modell einstellen'!$B$1="Voll",J11/0.35,J11/0.35*2)</f>
        <v>-6.2946365714285719E-4</v>
      </c>
      <c r="P11" s="3">
        <f t="shared" si="0"/>
        <v>0.40323905685148376</v>
      </c>
      <c r="Q11" s="3"/>
      <c r="R11" s="3"/>
      <c r="S11" s="3"/>
      <c r="T11" s="3"/>
      <c r="U11" s="3"/>
    </row>
    <row r="12" spans="1:21" x14ac:dyDescent="0.25">
      <c r="A12" s="3">
        <v>9.9999999999999995E-7</v>
      </c>
      <c r="B12" s="3">
        <v>-7.9450000000000007E-5</v>
      </c>
      <c r="C12" s="3">
        <v>1.6579999999999999E-4</v>
      </c>
      <c r="D12" s="3">
        <v>-4.0739999999999998E-4</v>
      </c>
      <c r="E12" s="3">
        <v>0</v>
      </c>
      <c r="F12" s="3">
        <v>0</v>
      </c>
      <c r="G12" s="3">
        <v>0</v>
      </c>
      <c r="H12" s="3">
        <v>4.6329068000000002E-5</v>
      </c>
      <c r="I12" s="3">
        <v>1.5426820000000001E-5</v>
      </c>
      <c r="J12" s="3">
        <v>-1.1274351E-4</v>
      </c>
      <c r="K12" s="2"/>
      <c r="L12" s="3"/>
      <c r="M12" s="3"/>
      <c r="N12" s="2">
        <f>IF('Modell einstellen'!$B$1="Voll",H12/0.35,H12/0.35*2)</f>
        <v>2.6473753142857147E-4</v>
      </c>
      <c r="O12" s="2">
        <f>IF('Modell einstellen'!$B$1="Voll",J12/0.35,J12/0.35*2)</f>
        <v>-6.4424862857142857E-4</v>
      </c>
      <c r="P12" s="3">
        <f t="shared" si="0"/>
        <v>0.41092447804756133</v>
      </c>
      <c r="Q12" s="3"/>
      <c r="R12" s="3"/>
      <c r="S12" s="3"/>
      <c r="T12" s="3"/>
      <c r="U12" s="3"/>
    </row>
    <row r="13" spans="1:21" x14ac:dyDescent="0.25">
      <c r="A13" s="3">
        <v>1.0000000000000001E-5</v>
      </c>
      <c r="B13" s="3">
        <v>-9.6069999999999993E-5</v>
      </c>
      <c r="C13" s="3">
        <v>1.693E-4</v>
      </c>
      <c r="D13" s="3">
        <v>-3.9780000000000002E-4</v>
      </c>
      <c r="E13" s="3">
        <v>0</v>
      </c>
      <c r="F13" s="3">
        <v>0</v>
      </c>
      <c r="G13" s="3">
        <v>0</v>
      </c>
      <c r="H13" s="3">
        <v>4.8647309999999998E-5</v>
      </c>
      <c r="I13" s="3">
        <v>1.5735118E-5</v>
      </c>
      <c r="J13" s="3">
        <v>-1.1594845E-4</v>
      </c>
      <c r="K13" s="2"/>
      <c r="L13" s="3"/>
      <c r="M13" s="3"/>
      <c r="N13" s="2">
        <f>IF('Modell einstellen'!$B$1="Voll",H13/0.35,H13/0.35*2)</f>
        <v>2.7798462857142858E-4</v>
      </c>
      <c r="O13" s="2">
        <f>IF('Modell einstellen'!$B$1="Voll",J13/0.35,J13/0.35*2)</f>
        <v>-6.6256257142857146E-4</v>
      </c>
      <c r="P13" s="3">
        <f t="shared" si="0"/>
        <v>0.41955981300310613</v>
      </c>
      <c r="Q13" s="3"/>
      <c r="R13" s="3"/>
      <c r="S13" s="3"/>
      <c r="T13" s="3"/>
      <c r="U13" s="3"/>
    </row>
    <row r="14" spans="1:21" x14ac:dyDescent="0.25">
      <c r="A14" s="3">
        <v>1E-4</v>
      </c>
      <c r="B14" s="3">
        <v>-1.194E-4</v>
      </c>
      <c r="C14" s="3">
        <v>1.729E-4</v>
      </c>
      <c r="D14" s="3">
        <v>-3.8230000000000002E-4</v>
      </c>
      <c r="E14" s="3">
        <v>0</v>
      </c>
      <c r="F14" s="3">
        <v>0</v>
      </c>
      <c r="G14" s="3">
        <v>0</v>
      </c>
      <c r="H14" s="3">
        <v>5.1709384E-5</v>
      </c>
      <c r="I14" s="3">
        <v>1.6076037000000001E-5</v>
      </c>
      <c r="J14" s="3">
        <v>-1.2002890000000001E-4</v>
      </c>
      <c r="K14" s="2"/>
      <c r="L14" s="3"/>
      <c r="M14" s="3"/>
      <c r="N14" s="2">
        <f>IF('Modell einstellen'!$B$1="Voll",H14/0.35,H14/0.35*2)</f>
        <v>2.9548219428571432E-4</v>
      </c>
      <c r="O14" s="2">
        <f>IF('Modell einstellen'!$B$1="Voll",J14/0.35,J14/0.35*2)</f>
        <v>-6.858794285714287E-4</v>
      </c>
      <c r="P14" s="3">
        <f t="shared" si="0"/>
        <v>0.43080778045953932</v>
      </c>
      <c r="Q14" s="3"/>
      <c r="R14" s="3"/>
      <c r="S14" s="3"/>
      <c r="T14" s="3"/>
      <c r="U14" s="3"/>
    </row>
    <row r="15" spans="1:21" x14ac:dyDescent="0.25">
      <c r="A15" s="3">
        <v>1E-3</v>
      </c>
      <c r="B15" s="3">
        <v>-1.485E-4</v>
      </c>
      <c r="C15" s="3">
        <v>1.7670000000000001E-4</v>
      </c>
      <c r="D15" s="3">
        <v>-3.6160000000000001E-4</v>
      </c>
      <c r="E15" s="3">
        <v>0</v>
      </c>
      <c r="F15" s="3">
        <v>0</v>
      </c>
      <c r="G15" s="3">
        <v>0</v>
      </c>
      <c r="H15" s="3">
        <v>5.5323639E-5</v>
      </c>
      <c r="I15" s="3">
        <v>1.6440010999999999E-5</v>
      </c>
      <c r="J15" s="3">
        <v>-1.2472954E-4</v>
      </c>
      <c r="K15" s="2"/>
      <c r="L15" s="3"/>
      <c r="M15" s="3"/>
      <c r="N15" s="2">
        <f>IF('Modell einstellen'!$B$1="Voll",H15/0.35,H15/0.35*2)</f>
        <v>3.1613508E-4</v>
      </c>
      <c r="O15" s="2">
        <f>IF('Modell einstellen'!$B$1="Voll",J15/0.35,J15/0.35*2)</f>
        <v>-7.1274022857142861E-4</v>
      </c>
      <c r="P15" s="3">
        <f t="shared" si="0"/>
        <v>0.44354880968854687</v>
      </c>
      <c r="Q15" s="3"/>
      <c r="R15" s="3"/>
      <c r="S15" s="3"/>
      <c r="T15" s="3"/>
      <c r="U15" s="3"/>
    </row>
    <row r="16" spans="1:21" x14ac:dyDescent="0.25">
      <c r="A16" s="3">
        <v>0.01</v>
      </c>
      <c r="B16" s="3">
        <v>-1.7809999999999999E-4</v>
      </c>
      <c r="C16" s="3">
        <v>1.8009999999999999E-4</v>
      </c>
      <c r="D16" s="3">
        <v>-3.3940000000000001E-4</v>
      </c>
      <c r="E16" s="3">
        <v>0</v>
      </c>
      <c r="F16" s="3">
        <v>0</v>
      </c>
      <c r="G16" s="3">
        <v>0</v>
      </c>
      <c r="H16" s="3">
        <v>5.8829692999999998E-5</v>
      </c>
      <c r="I16" s="3">
        <v>1.6760305999999999E-5</v>
      </c>
      <c r="J16" s="3">
        <v>-1.2918799000000001E-4</v>
      </c>
      <c r="K16" s="2"/>
      <c r="L16" s="3"/>
      <c r="M16" s="3"/>
      <c r="N16" s="2">
        <f>IF('Modell einstellen'!$B$1="Voll",H16/0.35,H16/0.35*2)</f>
        <v>3.3616967428571427E-4</v>
      </c>
      <c r="O16" s="2">
        <f>IF('Modell einstellen'!$B$1="Voll",J16/0.35,J16/0.35*2)</f>
        <v>-7.3821708571428582E-4</v>
      </c>
      <c r="P16" s="3">
        <f t="shared" si="0"/>
        <v>0.45538051176429006</v>
      </c>
      <c r="Q16" s="3"/>
      <c r="R16" s="3"/>
      <c r="S16" s="3"/>
      <c r="T16" s="3"/>
      <c r="U16" s="3"/>
    </row>
    <row r="17" spans="1:21" x14ac:dyDescent="0.25">
      <c r="A17" s="3">
        <v>0.1</v>
      </c>
      <c r="B17" s="3">
        <v>-2.0790000000000001E-4</v>
      </c>
      <c r="C17" s="3">
        <v>1.8330000000000001E-4</v>
      </c>
      <c r="D17" s="3">
        <v>-3.1629999999999999E-4</v>
      </c>
      <c r="E17" s="3">
        <v>0</v>
      </c>
      <c r="F17" s="3">
        <v>0</v>
      </c>
      <c r="G17" s="3">
        <v>0</v>
      </c>
      <c r="H17" s="3">
        <v>6.2270471E-5</v>
      </c>
      <c r="I17" s="3">
        <v>1.7066645E-5</v>
      </c>
      <c r="J17" s="3">
        <v>-1.3351509E-4</v>
      </c>
      <c r="K17" s="2"/>
      <c r="L17" s="3"/>
      <c r="M17" s="3"/>
      <c r="N17" s="2">
        <f>IF('Modell einstellen'!$B$1="Voll",H17/0.35,H17/0.35*2)</f>
        <v>3.5583126285714287E-4</v>
      </c>
      <c r="O17" s="2">
        <f>IF('Modell einstellen'!$B$1="Voll",J17/0.35,J17/0.35*2)</f>
        <v>-7.6294337142857147E-4</v>
      </c>
      <c r="P17" s="3">
        <f t="shared" si="0"/>
        <v>0.46639275755272308</v>
      </c>
      <c r="Q17" s="3"/>
      <c r="R17" s="3"/>
      <c r="S17" s="3"/>
      <c r="T17" s="3"/>
      <c r="U17" s="3"/>
    </row>
    <row r="18" spans="1:21" x14ac:dyDescent="0.25">
      <c r="A18" s="3">
        <v>1</v>
      </c>
      <c r="B18" s="3">
        <v>-2.385E-4</v>
      </c>
      <c r="C18" s="3">
        <v>1.8770000000000001E-4</v>
      </c>
      <c r="D18" s="3">
        <v>-2.9329999999999997E-4</v>
      </c>
      <c r="E18" s="3">
        <v>0</v>
      </c>
      <c r="F18" s="3">
        <v>0</v>
      </c>
      <c r="G18" s="3">
        <v>0</v>
      </c>
      <c r="H18" s="3">
        <v>6.6252336999999997E-5</v>
      </c>
      <c r="I18" s="3">
        <v>1.758357E-5</v>
      </c>
      <c r="J18" s="3">
        <v>-1.3876339000000001E-4</v>
      </c>
      <c r="K18" s="2"/>
      <c r="L18" s="3"/>
      <c r="M18" s="3"/>
      <c r="N18" s="2">
        <f>IF('Modell einstellen'!$B$1="Voll",H18/0.35,H18/0.35*2)</f>
        <v>3.7858478285714289E-4</v>
      </c>
      <c r="O18" s="2">
        <f>IF('Modell einstellen'!$B$1="Voll",J18/0.35,J18/0.35*2)</f>
        <v>-7.9293365714285728E-4</v>
      </c>
      <c r="P18" s="3">
        <f t="shared" si="0"/>
        <v>0.47744824481442832</v>
      </c>
      <c r="Q18" s="3"/>
      <c r="R18" s="3"/>
      <c r="S18" s="3"/>
      <c r="T18" s="3"/>
      <c r="U18" s="3"/>
    </row>
    <row r="19" spans="1:21" x14ac:dyDescent="0.25">
      <c r="A19" s="3">
        <v>10</v>
      </c>
      <c r="B19" s="3">
        <v>-2.4489999999999999E-4</v>
      </c>
      <c r="C19" s="3">
        <v>2.0120000000000001E-4</v>
      </c>
      <c r="D19" s="3">
        <v>-2.9950000000000002E-4</v>
      </c>
      <c r="E19" s="3">
        <v>0</v>
      </c>
      <c r="F19" s="3">
        <v>0</v>
      </c>
      <c r="G19" s="3">
        <v>0</v>
      </c>
      <c r="H19" s="3">
        <v>7.1722228999999995E-5</v>
      </c>
      <c r="I19" s="3">
        <v>1.9672084E-5</v>
      </c>
      <c r="J19" s="3">
        <v>-1.4830510999999999E-4</v>
      </c>
      <c r="K19" s="2"/>
      <c r="L19" s="3"/>
      <c r="M19" s="3"/>
      <c r="N19" s="2">
        <f>IF('Modell einstellen'!$B$1="Voll",H19/0.35,H19/0.35*2)</f>
        <v>4.0984130857142859E-4</v>
      </c>
      <c r="O19" s="2">
        <f>IF('Modell einstellen'!$B$1="Voll",J19/0.35,J19/0.35*2)</f>
        <v>-8.4745777142857144E-4</v>
      </c>
      <c r="P19" s="3">
        <f t="shared" si="0"/>
        <v>0.48361266176195816</v>
      </c>
      <c r="Q19" s="3"/>
      <c r="R19" s="3"/>
      <c r="S19" s="3"/>
      <c r="T19" s="3"/>
      <c r="U19" s="3"/>
    </row>
    <row r="20" spans="1:21" x14ac:dyDescent="0.25">
      <c r="A20" s="3">
        <v>100</v>
      </c>
      <c r="B20" s="3">
        <v>-1.6860000000000001E-4</v>
      </c>
      <c r="C20" s="3">
        <v>2.4220000000000001E-4</v>
      </c>
      <c r="D20" s="3">
        <v>-4.0319999999999999E-4</v>
      </c>
      <c r="E20" s="3">
        <v>0</v>
      </c>
      <c r="F20" s="3">
        <v>0</v>
      </c>
      <c r="G20" s="3">
        <v>0</v>
      </c>
      <c r="H20" s="3">
        <v>8.1818194000000006E-5</v>
      </c>
      <c r="I20" s="3">
        <v>2.7095451000000001E-5</v>
      </c>
      <c r="J20" s="3">
        <v>-1.7212451E-4</v>
      </c>
      <c r="K20" s="2"/>
      <c r="L20" s="3"/>
      <c r="M20" s="3"/>
      <c r="N20" s="2">
        <f>IF('Modell einstellen'!$B$1="Voll",H20/0.35,H20/0.35*2)</f>
        <v>4.6753253714285721E-4</v>
      </c>
      <c r="O20" s="2">
        <f>IF('Modell einstellen'!$B$1="Voll",J20/0.35,J20/0.35*2)</f>
        <v>-9.8356862857142862E-4</v>
      </c>
      <c r="P20" s="3">
        <f t="shared" si="0"/>
        <v>0.47534307577694779</v>
      </c>
      <c r="Q20" s="3"/>
      <c r="R20" s="3"/>
      <c r="S20" s="3"/>
      <c r="T20" s="3"/>
      <c r="U20" s="3"/>
    </row>
    <row r="21" spans="1:21" x14ac:dyDescent="0.25">
      <c r="A21" s="3">
        <v>1000</v>
      </c>
      <c r="B21" s="3">
        <v>-1.327E-5</v>
      </c>
      <c r="C21" s="3">
        <v>3.19E-4</v>
      </c>
      <c r="D21" s="3">
        <v>-6.1039999999999998E-4</v>
      </c>
      <c r="E21" s="3">
        <v>0</v>
      </c>
      <c r="F21" s="3">
        <v>0</v>
      </c>
      <c r="G21" s="3">
        <v>0</v>
      </c>
      <c r="H21" s="3">
        <v>9.6433594999999997E-5</v>
      </c>
      <c r="I21" s="3">
        <v>4.0630665999999997E-5</v>
      </c>
      <c r="J21" s="3">
        <v>-2.1173382E-4</v>
      </c>
      <c r="K21" s="2"/>
      <c r="L21" s="3"/>
      <c r="M21" s="3"/>
      <c r="N21" s="2">
        <f>IF('Modell einstellen'!$B$1="Voll",H21/0.35,H21/0.35*2)</f>
        <v>5.5104911428571432E-4</v>
      </c>
      <c r="O21" s="2">
        <f>IF('Modell einstellen'!$B$1="Voll",J21/0.35,J21/0.35*2)</f>
        <v>-1.209907542857143E-3</v>
      </c>
      <c r="P21" s="3">
        <f t="shared" si="0"/>
        <v>0.45544729226535463</v>
      </c>
      <c r="Q21" s="3"/>
      <c r="R21" s="3"/>
      <c r="S21" s="3"/>
      <c r="T21" s="3"/>
      <c r="U21" s="3"/>
    </row>
    <row r="22" spans="1:21" x14ac:dyDescent="0.25">
      <c r="A22" s="3">
        <v>10000</v>
      </c>
      <c r="B22" s="3">
        <v>1.6320000000000001E-4</v>
      </c>
      <c r="C22" s="3">
        <v>4.2180000000000001E-4</v>
      </c>
      <c r="D22" s="3">
        <v>-8.6350000000000001E-4</v>
      </c>
      <c r="E22" s="3">
        <v>0</v>
      </c>
      <c r="F22" s="3">
        <v>0</v>
      </c>
      <c r="G22" s="3">
        <v>0</v>
      </c>
      <c r="H22" s="3">
        <v>1.1363693000000001E-4</v>
      </c>
      <c r="I22" s="3">
        <v>5.7565536999999998E-5</v>
      </c>
      <c r="J22" s="3">
        <v>-2.6052300999999999E-4</v>
      </c>
      <c r="K22" s="2"/>
      <c r="L22" s="3"/>
      <c r="M22" s="3"/>
      <c r="N22" s="2">
        <f>IF('Modell einstellen'!$B$1="Voll",H22/0.35,H22/0.35*2)</f>
        <v>6.4935388571428574E-4</v>
      </c>
      <c r="O22" s="2">
        <f>IF('Modell einstellen'!$B$1="Voll",J22/0.35,J22/0.35*2)</f>
        <v>-1.4887029142857144E-3</v>
      </c>
      <c r="P22" s="3">
        <f t="shared" si="0"/>
        <v>0.43618769029269239</v>
      </c>
      <c r="Q22" s="3"/>
      <c r="R22" s="3"/>
      <c r="S22" s="3"/>
      <c r="T22" s="3"/>
      <c r="U22" s="3"/>
    </row>
    <row r="23" spans="1:21" x14ac:dyDescent="0.25">
      <c r="A23" s="3">
        <v>100000</v>
      </c>
      <c r="B23" s="3">
        <v>3.2739999999999999E-4</v>
      </c>
      <c r="C23" s="3">
        <v>5.4160000000000005E-4</v>
      </c>
      <c r="D23" s="3">
        <v>-1.1249999999999999E-3</v>
      </c>
      <c r="E23" s="3">
        <v>0</v>
      </c>
      <c r="F23" s="3">
        <v>0</v>
      </c>
      <c r="G23" s="3">
        <v>0</v>
      </c>
      <c r="H23" s="3">
        <v>1.3208501000000001E-4</v>
      </c>
      <c r="I23" s="3">
        <v>7.6267184999999999E-5</v>
      </c>
      <c r="J23" s="3">
        <v>-3.1426904E-4</v>
      </c>
      <c r="K23" s="2"/>
      <c r="L23" s="3"/>
      <c r="M23" s="3"/>
      <c r="N23" s="2">
        <f>IF('Modell einstellen'!$B$1="Voll",H23/0.35,H23/0.35*2)</f>
        <v>7.5477148571428585E-4</v>
      </c>
      <c r="O23" s="2">
        <f>IF('Modell einstellen'!$B$1="Voll",J23/0.35,J23/0.35*2)</f>
        <v>-1.7958230857142859E-3</v>
      </c>
      <c r="P23" s="3">
        <f t="shared" si="0"/>
        <v>0.42029278480629212</v>
      </c>
      <c r="Q23" s="3"/>
      <c r="R23" s="3"/>
      <c r="S23" s="3"/>
      <c r="T23" s="3"/>
      <c r="U23" s="3"/>
    </row>
    <row r="24" spans="1:21" x14ac:dyDescent="0.25">
      <c r="A24" s="3">
        <v>1000000</v>
      </c>
      <c r="B24" s="3">
        <v>4.6640000000000001E-4</v>
      </c>
      <c r="C24" s="3">
        <v>6.7909999999999997E-4</v>
      </c>
      <c r="D24" s="3">
        <v>-1.384E-3</v>
      </c>
      <c r="E24" s="3">
        <v>0</v>
      </c>
      <c r="F24" s="3">
        <v>0</v>
      </c>
      <c r="G24" s="3">
        <v>0</v>
      </c>
      <c r="H24" s="3">
        <v>1.5297606000000001E-4</v>
      </c>
      <c r="I24" s="3">
        <v>9.7299723999999998E-5</v>
      </c>
      <c r="J24" s="3">
        <v>-3.7530395000000001E-4</v>
      </c>
      <c r="K24" s="2"/>
      <c r="L24" s="3"/>
      <c r="M24" s="3"/>
      <c r="N24" s="2">
        <f>IF('Modell einstellen'!$B$1="Voll",H24/0.35,H24/0.35*2)</f>
        <v>8.7414891428571446E-4</v>
      </c>
      <c r="O24" s="2">
        <f>IF('Modell einstellen'!$B$1="Voll",J24/0.35,J24/0.35*2)</f>
        <v>-2.1445940000000001E-3</v>
      </c>
      <c r="P24" s="3">
        <f t="shared" si="0"/>
        <v>0.4076057819268889</v>
      </c>
      <c r="Q24" s="3"/>
      <c r="R24" s="3"/>
      <c r="S24" s="3"/>
      <c r="T24" s="3"/>
      <c r="U24" s="3"/>
    </row>
    <row r="25" spans="1:21" x14ac:dyDescent="0.25">
      <c r="A25" s="3">
        <v>10000000</v>
      </c>
      <c r="B25" s="3">
        <v>5.8500000000000002E-4</v>
      </c>
      <c r="C25" s="3">
        <v>8.4460000000000004E-4</v>
      </c>
      <c r="D25" s="3">
        <v>-1.6540000000000001E-3</v>
      </c>
      <c r="E25" s="3">
        <v>0</v>
      </c>
      <c r="F25" s="3">
        <v>0</v>
      </c>
      <c r="G25" s="3">
        <v>0</v>
      </c>
      <c r="H25" s="3">
        <v>1.7953859E-4</v>
      </c>
      <c r="I25" s="3">
        <v>1.2295540999999999E-4</v>
      </c>
      <c r="J25" s="3">
        <v>-4.5122348999999999E-4</v>
      </c>
      <c r="K25" s="2"/>
      <c r="L25" s="3"/>
      <c r="M25" s="3"/>
      <c r="N25" s="2">
        <f>IF('Modell einstellen'!$B$1="Voll",H25/0.35,H25/0.35*2)</f>
        <v>1.0259348000000001E-3</v>
      </c>
      <c r="O25" s="2">
        <f>IF('Modell einstellen'!$B$1="Voll",J25/0.35,J25/0.35*2)</f>
        <v>-2.5784199428571428E-3</v>
      </c>
      <c r="P25" s="3">
        <f t="shared" si="0"/>
        <v>0.397892826900479</v>
      </c>
      <c r="Q25" s="3"/>
      <c r="R25" s="3"/>
      <c r="S25" s="3"/>
      <c r="T25" s="3"/>
      <c r="U25" s="3"/>
    </row>
    <row r="26" spans="1:21" x14ac:dyDescent="0.25">
      <c r="A26" s="3">
        <v>100000000</v>
      </c>
      <c r="B26" s="3">
        <v>6.9819999999999995E-4</v>
      </c>
      <c r="C26" s="3">
        <v>1.0690000000000001E-3</v>
      </c>
      <c r="D26" s="3">
        <v>-1.9810000000000001E-3</v>
      </c>
      <c r="E26" s="3">
        <v>0</v>
      </c>
      <c r="F26" s="3">
        <v>0</v>
      </c>
      <c r="G26" s="3">
        <v>0</v>
      </c>
      <c r="H26" s="3">
        <v>2.1964441E-4</v>
      </c>
      <c r="I26" s="3">
        <v>1.5930299E-4</v>
      </c>
      <c r="J26" s="3">
        <v>-5.6153240999999999E-4</v>
      </c>
      <c r="K26" s="2"/>
      <c r="L26" s="3"/>
      <c r="M26" s="3"/>
      <c r="N26" s="2">
        <f>IF('Modell einstellen'!$B$1="Voll",H26/0.35,H26/0.35*2)</f>
        <v>1.2551109142857144E-3</v>
      </c>
      <c r="O26" s="2">
        <f>IF('Modell einstellen'!$B$1="Voll",J26/0.35,J26/0.35*2)</f>
        <v>-3.2087566285714285E-3</v>
      </c>
      <c r="P26" s="3">
        <f t="shared" si="0"/>
        <v>0.39115179478242412</v>
      </c>
      <c r="Q26" s="3"/>
      <c r="R26" s="3"/>
      <c r="S26" s="3"/>
      <c r="T26" s="3"/>
      <c r="U26" s="3"/>
    </row>
    <row r="27" spans="1:21" x14ac:dyDescent="0.25">
      <c r="A27" s="3">
        <v>1000000000</v>
      </c>
      <c r="B27" s="3">
        <v>8.3290000000000002E-4</v>
      </c>
      <c r="C27" s="3">
        <v>1.4220000000000001E-3</v>
      </c>
      <c r="D27" s="3">
        <v>-2.457E-3</v>
      </c>
      <c r="E27" s="3">
        <v>0</v>
      </c>
      <c r="F27" s="3">
        <v>0</v>
      </c>
      <c r="G27" s="3">
        <v>0</v>
      </c>
      <c r="H27" s="3">
        <v>2.8732140999999998E-4</v>
      </c>
      <c r="I27" s="3">
        <v>2.1822770999999999E-4</v>
      </c>
      <c r="J27" s="3">
        <v>-7.4294148000000003E-4</v>
      </c>
      <c r="K27" s="2"/>
      <c r="L27" s="3"/>
      <c r="M27" s="3"/>
      <c r="N27" s="2">
        <f>IF('Modell einstellen'!$B$1="Voll",H27/0.35,H27/0.35*2)</f>
        <v>1.6418366285714287E-3</v>
      </c>
      <c r="O27" s="2">
        <f>IF('Modell einstellen'!$B$1="Voll",J27/0.35,J27/0.35*2)</f>
        <v>-4.2453798857142863E-3</v>
      </c>
      <c r="P27" s="3">
        <f t="shared" si="0"/>
        <v>0.38673491484147576</v>
      </c>
      <c r="Q27" s="3"/>
      <c r="R27" s="3"/>
      <c r="S27" s="3"/>
      <c r="T27" s="3"/>
      <c r="U27" s="3"/>
    </row>
    <row r="28" spans="1:21" x14ac:dyDescent="0.25">
      <c r="A28" s="3">
        <v>10000000000</v>
      </c>
      <c r="B28" s="3">
        <v>1.0120000000000001E-3</v>
      </c>
      <c r="C28" s="3">
        <v>1.9889999999999999E-3</v>
      </c>
      <c r="D28" s="3">
        <v>-3.192E-3</v>
      </c>
      <c r="E28" s="3">
        <v>0</v>
      </c>
      <c r="F28" s="3">
        <v>0</v>
      </c>
      <c r="G28" s="3">
        <v>0</v>
      </c>
      <c r="H28" s="3">
        <v>4.0381200999999999E-4</v>
      </c>
      <c r="I28" s="3">
        <v>3.1715372999999999E-4</v>
      </c>
      <c r="J28" s="3">
        <v>-1.0496266999999999E-3</v>
      </c>
      <c r="K28" s="2"/>
      <c r="L28" s="3"/>
      <c r="M28" s="3"/>
      <c r="N28" s="2">
        <f>IF('Modell einstellen'!$B$1="Voll",H28/0.35,H28/0.35*2)</f>
        <v>2.3074972E-3</v>
      </c>
      <c r="O28" s="2">
        <f>IF('Modell einstellen'!$B$1="Voll",J28/0.35,J28/0.35*2)</f>
        <v>-5.9978668571428568E-3</v>
      </c>
      <c r="P28" s="3">
        <f t="shared" si="0"/>
        <v>0.38471964365997935</v>
      </c>
      <c r="Q28" s="3"/>
      <c r="R28" s="3"/>
      <c r="S28" s="3"/>
      <c r="T28" s="3"/>
      <c r="U28" s="3"/>
    </row>
    <row r="29" spans="1:21" x14ac:dyDescent="0.25">
      <c r="A29" s="3">
        <v>100000000000</v>
      </c>
      <c r="B29" s="3">
        <v>1.273E-3</v>
      </c>
      <c r="C29" s="3">
        <v>2.8440000000000002E-3</v>
      </c>
      <c r="D29" s="3">
        <v>-4.2960000000000003E-3</v>
      </c>
      <c r="E29" s="3">
        <v>0</v>
      </c>
      <c r="F29" s="3">
        <v>0</v>
      </c>
      <c r="G29" s="3">
        <v>0</v>
      </c>
      <c r="H29" s="3">
        <v>5.8575778000000004E-4</v>
      </c>
      <c r="I29" s="3">
        <v>4.7072450000000001E-4</v>
      </c>
      <c r="J29" s="3">
        <v>-1.5249568999999999E-3</v>
      </c>
      <c r="K29" s="2"/>
      <c r="L29" s="3"/>
      <c r="M29" s="3"/>
      <c r="N29" s="2">
        <f>IF('Modell einstellen'!$B$1="Voll",H29/0.35,H29/0.35*2)</f>
        <v>3.3471873142857148E-3</v>
      </c>
      <c r="O29" s="2">
        <f>IF('Modell einstellen'!$B$1="Voll",J29/0.35,J29/0.35*2)</f>
        <v>-8.7140394285714282E-3</v>
      </c>
      <c r="P29" s="3">
        <f t="shared" si="0"/>
        <v>0.38411431824728953</v>
      </c>
      <c r="Q29" s="3"/>
      <c r="R29" s="3"/>
      <c r="S29" s="3"/>
      <c r="T29" s="3"/>
      <c r="U29" s="3"/>
    </row>
    <row r="30" spans="1:21" x14ac:dyDescent="0.25">
      <c r="A30" s="3">
        <v>1000000000000</v>
      </c>
      <c r="B30" s="3">
        <v>1.64E-3</v>
      </c>
      <c r="C30" s="3">
        <v>3.9129999999999998E-3</v>
      </c>
      <c r="D30" s="3">
        <v>-5.7219999999999997E-3</v>
      </c>
      <c r="E30" s="3">
        <v>0</v>
      </c>
      <c r="F30" s="3">
        <v>0</v>
      </c>
      <c r="G30" s="3">
        <v>0</v>
      </c>
      <c r="H30" s="3">
        <v>8.1835497000000001E-4</v>
      </c>
      <c r="I30" s="3">
        <v>6.6734442E-4</v>
      </c>
      <c r="J30" s="3">
        <v>-2.1301134E-3</v>
      </c>
      <c r="K30" s="2"/>
      <c r="L30" s="3"/>
      <c r="M30" s="3"/>
      <c r="N30" s="2">
        <f>IF('Modell einstellen'!$B$1="Voll",H30/0.35,H30/0.35*2)</f>
        <v>4.6763141142857146E-3</v>
      </c>
      <c r="O30" s="2">
        <f>IF('Modell einstellen'!$B$1="Voll",J30/0.35,J30/0.35*2)</f>
        <v>-1.2172076571428572E-2</v>
      </c>
      <c r="P30" s="3">
        <f t="shared" si="0"/>
        <v>0.38418375754079576</v>
      </c>
      <c r="Q30" s="3"/>
      <c r="R30" s="3"/>
      <c r="S30" s="3"/>
      <c r="T30" s="3"/>
      <c r="U30" s="3"/>
    </row>
    <row r="31" spans="1:21" x14ac:dyDescent="0.25">
      <c r="A31" s="3">
        <v>10000000000000</v>
      </c>
      <c r="B31" s="3">
        <v>2.042E-3</v>
      </c>
      <c r="C31" s="3">
        <v>4.8690000000000001E-3</v>
      </c>
      <c r="D31" s="3">
        <v>-7.0740000000000004E-3</v>
      </c>
      <c r="E31" s="3">
        <v>0</v>
      </c>
      <c r="F31" s="3">
        <v>0</v>
      </c>
      <c r="G31" s="3">
        <v>0</v>
      </c>
      <c r="H31" s="3">
        <v>1.0265922000000001E-3</v>
      </c>
      <c r="I31" s="3">
        <v>8.4551804999999998E-4</v>
      </c>
      <c r="J31" s="3">
        <v>-2.6731347E-3</v>
      </c>
      <c r="K31" s="2"/>
      <c r="L31" s="3"/>
      <c r="M31" s="3"/>
      <c r="N31" s="2">
        <f>IF('Modell einstellen'!$B$1="Voll",H31/0.35,H31/0.35*2)</f>
        <v>5.866241142857144E-3</v>
      </c>
      <c r="O31" s="2">
        <f>IF('Modell einstellen'!$B$1="Voll",J31/0.35,J31/0.35*2)</f>
        <v>-1.5275055428571429E-2</v>
      </c>
      <c r="P31" s="3">
        <f t="shared" si="0"/>
        <v>0.38404057977325279</v>
      </c>
      <c r="Q31" s="3"/>
      <c r="R31" s="3"/>
      <c r="S31" s="3"/>
      <c r="T31" s="3"/>
      <c r="U31" s="3"/>
    </row>
    <row r="32" spans="1:21" x14ac:dyDescent="0.25">
      <c r="A32" s="3">
        <v>100000000000000</v>
      </c>
      <c r="B32" s="3">
        <v>2.385E-3</v>
      </c>
      <c r="C32" s="3">
        <v>5.555E-3</v>
      </c>
      <c r="D32" s="3">
        <v>-8.0990000000000003E-3</v>
      </c>
      <c r="E32" s="3">
        <v>0</v>
      </c>
      <c r="F32" s="3">
        <v>0</v>
      </c>
      <c r="G32" s="3">
        <v>0</v>
      </c>
      <c r="H32" s="3">
        <v>1.1741570999999999E-3</v>
      </c>
      <c r="I32" s="3">
        <v>9.7377570999999995E-4</v>
      </c>
      <c r="J32" s="3">
        <v>-3.0600998E-3</v>
      </c>
      <c r="K32" s="2"/>
      <c r="L32" s="3"/>
      <c r="M32" s="3"/>
      <c r="N32" s="2">
        <f>IF('Modell einstellen'!$B$1="Voll",H32/0.35,H32/0.35*2)</f>
        <v>6.7094691428571428E-3</v>
      </c>
      <c r="O32" s="2">
        <f>IF('Modell einstellen'!$B$1="Voll",J32/0.35,J32/0.35*2)</f>
        <v>-1.7486284571428572E-2</v>
      </c>
      <c r="P32" s="3">
        <f t="shared" si="0"/>
        <v>0.38369895648501395</v>
      </c>
      <c r="Q32" s="3"/>
      <c r="R32" s="3"/>
      <c r="S32" s="3"/>
      <c r="T32" s="3"/>
      <c r="U32" s="3"/>
    </row>
    <row r="33" spans="1:21" x14ac:dyDescent="0.25">
      <c r="A33" s="2">
        <v>1000000000000000</v>
      </c>
      <c r="B33" s="3">
        <v>2.6289999999999998E-3</v>
      </c>
      <c r="C33" s="3">
        <v>5.9829999999999996E-3</v>
      </c>
      <c r="D33" s="3">
        <v>-8.7679999999999998E-3</v>
      </c>
      <c r="E33" s="3">
        <v>0</v>
      </c>
      <c r="F33" s="3">
        <v>0</v>
      </c>
      <c r="G33" s="3">
        <v>0</v>
      </c>
      <c r="H33" s="3">
        <v>1.2640703000000001E-3</v>
      </c>
      <c r="I33" s="3">
        <v>1.0533038000000001E-3</v>
      </c>
      <c r="J33" s="3">
        <v>-3.297814E-3</v>
      </c>
      <c r="K33" s="2"/>
      <c r="L33" s="3"/>
      <c r="M33" s="3"/>
      <c r="N33" s="2">
        <f>IF('Modell einstellen'!$B$1="Voll",H33/0.35,H33/0.35*2)</f>
        <v>7.2232588571428582E-3</v>
      </c>
      <c r="O33" s="2">
        <f>IF('Modell einstellen'!$B$1="Voll",J33/0.35,J33/0.35*2)</f>
        <v>-1.8844651428571429E-2</v>
      </c>
      <c r="P33" s="3">
        <f t="shared" si="0"/>
        <v>0.38330551692727372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-4.5890000000000003E-5</v>
      </c>
      <c r="C3" s="3">
        <v>1.639E-4</v>
      </c>
      <c r="D3" s="3">
        <v>-4.3120000000000002E-4</v>
      </c>
      <c r="E3" s="3">
        <v>0</v>
      </c>
      <c r="F3" s="3">
        <v>0</v>
      </c>
      <c r="G3" s="3">
        <v>0</v>
      </c>
      <c r="H3" s="3">
        <v>4.2833917000000003E-5</v>
      </c>
      <c r="I3" s="3">
        <v>1.5370814E-5</v>
      </c>
      <c r="J3" s="3">
        <v>-1.0863953E-4</v>
      </c>
      <c r="L3" s="3">
        <f>-B3/D3</f>
        <v>-0.10642393320964749</v>
      </c>
      <c r="M3" s="3"/>
      <c r="N3" s="2">
        <f>IF('Modell einstellen'!$B$1="Voll",H3/0.35,H3/0.35*2)</f>
        <v>2.4476524000000005E-4</v>
      </c>
      <c r="O3" s="2">
        <f>IF('Modell einstellen'!$B$1="Voll",J3/0.35,J3/0.35*2)</f>
        <v>-6.2079731428571429E-4</v>
      </c>
      <c r="P3" s="3">
        <f>-N3/O3</f>
        <v>0.39427561036024372</v>
      </c>
    </row>
    <row r="4" spans="1:16" x14ac:dyDescent="0.25">
      <c r="A4" s="3">
        <v>1E-14</v>
      </c>
      <c r="B4" s="3">
        <v>-6.1500000000000004E-5</v>
      </c>
      <c r="C4" s="3">
        <v>1.6660000000000001E-4</v>
      </c>
      <c r="D4" s="3">
        <v>-4.2230000000000002E-4</v>
      </c>
      <c r="E4" s="3">
        <v>0</v>
      </c>
      <c r="F4" s="3">
        <v>0</v>
      </c>
      <c r="G4" s="3">
        <v>0</v>
      </c>
      <c r="H4" s="3">
        <v>4.5168784000000003E-5</v>
      </c>
      <c r="I4" s="3">
        <v>1.5662824000000001E-5</v>
      </c>
      <c r="J4" s="3">
        <v>-1.1187507E-4</v>
      </c>
      <c r="L4" s="3">
        <f t="shared" ref="L4:L33" si="0">-B4/D4</f>
        <v>-0.14563106796116504</v>
      </c>
      <c r="M4" s="3"/>
      <c r="N4" s="2">
        <f>IF('Modell einstellen'!$B$1="Voll",H4/0.35,H4/0.35*2)</f>
        <v>2.5810733714285718E-4</v>
      </c>
      <c r="O4" s="2">
        <f>IF('Modell einstellen'!$B$1="Voll",J4/0.35,J4/0.35*2)</f>
        <v>-6.3928611428571433E-4</v>
      </c>
      <c r="P4" s="3">
        <f t="shared" ref="P4:P33" si="1">-N4/O4</f>
        <v>0.4037430680490301</v>
      </c>
    </row>
    <row r="5" spans="1:16" x14ac:dyDescent="0.25">
      <c r="A5" s="3">
        <v>1E-13</v>
      </c>
      <c r="B5" s="3">
        <v>-7.5149999999999997E-5</v>
      </c>
      <c r="C5" s="3">
        <v>1.6980000000000001E-4</v>
      </c>
      <c r="D5" s="3">
        <v>-4.1520000000000001E-4</v>
      </c>
      <c r="E5" s="3">
        <v>0</v>
      </c>
      <c r="F5" s="3">
        <v>0</v>
      </c>
      <c r="G5" s="3">
        <v>0</v>
      </c>
      <c r="H5" s="3">
        <v>4.7234387000000001E-5</v>
      </c>
      <c r="I5" s="3">
        <v>1.5959162000000001E-5</v>
      </c>
      <c r="J5" s="3">
        <v>-1.1477971E-4</v>
      </c>
      <c r="L5" s="3">
        <f t="shared" si="0"/>
        <v>-0.18099710982658959</v>
      </c>
      <c r="M5" s="3"/>
      <c r="N5" s="2">
        <f>IF('Modell einstellen'!$B$1="Voll",H5/0.35,H5/0.35*2)</f>
        <v>2.6991078285714288E-4</v>
      </c>
      <c r="O5" s="2">
        <f>IF('Modell einstellen'!$B$1="Voll",J5/0.35,J5/0.35*2)</f>
        <v>-6.558840571428572E-4</v>
      </c>
      <c r="P5" s="3">
        <f t="shared" si="1"/>
        <v>0.41152209741599799</v>
      </c>
    </row>
    <row r="6" spans="1:16" x14ac:dyDescent="0.25">
      <c r="A6" s="3">
        <v>9.9999999999999998E-13</v>
      </c>
      <c r="B6" s="3">
        <v>-9.3309999999999999E-5</v>
      </c>
      <c r="C6" s="3">
        <v>1.7220000000000001E-4</v>
      </c>
      <c r="D6" s="3">
        <v>-4.0309999999999999E-4</v>
      </c>
      <c r="E6" s="3">
        <v>0</v>
      </c>
      <c r="F6" s="3">
        <v>0</v>
      </c>
      <c r="G6" s="3">
        <v>0</v>
      </c>
      <c r="H6" s="3">
        <v>4.9705391000000002E-5</v>
      </c>
      <c r="I6" s="3">
        <v>1.6226525E-5</v>
      </c>
      <c r="J6" s="3">
        <v>-1.1807765999999999E-4</v>
      </c>
      <c r="L6" s="3">
        <f t="shared" si="0"/>
        <v>-0.23148102207888863</v>
      </c>
      <c r="M6" s="3"/>
      <c r="N6" s="2">
        <f>IF('Modell einstellen'!$B$1="Voll",H6/0.35,H6/0.35*2)</f>
        <v>2.8403080571428577E-4</v>
      </c>
      <c r="O6" s="2">
        <f>IF('Modell einstellen'!$B$1="Voll",J6/0.35,J6/0.35*2)</f>
        <v>-6.7472948571428574E-4</v>
      </c>
      <c r="P6" s="3">
        <f t="shared" si="1"/>
        <v>0.42095508159629863</v>
      </c>
    </row>
    <row r="7" spans="1:16" x14ac:dyDescent="0.25">
      <c r="A7" s="3">
        <v>9.9999999999999994E-12</v>
      </c>
      <c r="B7" s="3">
        <v>-1.178E-4</v>
      </c>
      <c r="C7" s="3">
        <v>1.7660000000000001E-4</v>
      </c>
      <c r="D7" s="3">
        <v>-3.8749999999999999E-4</v>
      </c>
      <c r="E7" s="3">
        <v>0</v>
      </c>
      <c r="F7" s="3">
        <v>0</v>
      </c>
      <c r="G7" s="3">
        <v>0</v>
      </c>
      <c r="H7" s="3">
        <v>5.2997103000000003E-5</v>
      </c>
      <c r="I7" s="3">
        <v>1.6627928E-5</v>
      </c>
      <c r="J7" s="3">
        <v>-1.2251450999999999E-4</v>
      </c>
      <c r="L7" s="3">
        <f t="shared" si="0"/>
        <v>-0.30400000000000005</v>
      </c>
      <c r="M7" s="3"/>
      <c r="N7" s="2">
        <f>IF('Modell einstellen'!$B$1="Voll",H7/0.35,H7/0.35*2)</f>
        <v>3.0284058857142859E-4</v>
      </c>
      <c r="O7" s="2">
        <f>IF('Modell einstellen'!$B$1="Voll",J7/0.35,J7/0.35*2)</f>
        <v>-7.0008291428571429E-4</v>
      </c>
      <c r="P7" s="3">
        <f t="shared" si="1"/>
        <v>0.4325781738016175</v>
      </c>
    </row>
    <row r="8" spans="1:16" x14ac:dyDescent="0.25">
      <c r="A8" s="3">
        <v>1E-10</v>
      </c>
      <c r="B8" s="3">
        <v>-1.47E-4</v>
      </c>
      <c r="C8" s="3">
        <v>1.8029999999999999E-4</v>
      </c>
      <c r="D8" s="3">
        <v>-3.6650000000000002E-4</v>
      </c>
      <c r="E8" s="3">
        <v>0</v>
      </c>
      <c r="F8" s="3">
        <v>0</v>
      </c>
      <c r="G8" s="3">
        <v>0</v>
      </c>
      <c r="H8" s="3">
        <v>5.6640937999999999E-5</v>
      </c>
      <c r="I8" s="3">
        <v>1.6998509000000001E-5</v>
      </c>
      <c r="J8" s="3">
        <v>-1.2724690999999999E-4</v>
      </c>
      <c r="L8" s="3">
        <f t="shared" si="0"/>
        <v>-0.40109140518417458</v>
      </c>
      <c r="M8" s="3"/>
      <c r="N8" s="2">
        <f>IF('Modell einstellen'!$B$1="Voll",H8/0.35,H8/0.35*2)</f>
        <v>3.2366250285714287E-4</v>
      </c>
      <c r="O8" s="2">
        <f>IF('Modell einstellen'!$B$1="Voll",J8/0.35,J8/0.35*2)</f>
        <v>-7.2712519999999998E-4</v>
      </c>
      <c r="P8" s="3">
        <f t="shared" si="1"/>
        <v>0.44512623528539907</v>
      </c>
    </row>
    <row r="9" spans="1:16" x14ac:dyDescent="0.25">
      <c r="A9" s="3">
        <v>1.0000000000000001E-9</v>
      </c>
      <c r="B9" s="3">
        <v>-1.7579999999999999E-4</v>
      </c>
      <c r="C9" s="3">
        <v>1.8349999999999999E-4</v>
      </c>
      <c r="D9" s="3">
        <v>-3.4469999999999998E-4</v>
      </c>
      <c r="E9" s="3">
        <v>0</v>
      </c>
      <c r="F9" s="3">
        <v>0</v>
      </c>
      <c r="G9" s="3">
        <v>0</v>
      </c>
      <c r="H9" s="3">
        <v>6.0062192E-5</v>
      </c>
      <c r="I9" s="3">
        <v>1.7313502000000002E-5</v>
      </c>
      <c r="J9" s="3">
        <v>-1.3159213000000001E-4</v>
      </c>
      <c r="L9" s="3">
        <f t="shared" si="0"/>
        <v>-0.51000870322019143</v>
      </c>
      <c r="M9" s="3"/>
      <c r="N9" s="2">
        <f>IF('Modell einstellen'!$B$1="Voll",H9/0.35,H9/0.35*2)</f>
        <v>3.4321252571428576E-4</v>
      </c>
      <c r="O9" s="2">
        <f>IF('Modell einstellen'!$B$1="Voll",J9/0.35,J9/0.35*2)</f>
        <v>-7.5195502857142865E-4</v>
      </c>
      <c r="P9" s="3">
        <f t="shared" si="1"/>
        <v>0.45642693069866719</v>
      </c>
    </row>
    <row r="10" spans="1:16" x14ac:dyDescent="0.25">
      <c r="A10" s="3">
        <v>1E-8</v>
      </c>
      <c r="B10" s="3">
        <v>-2.0709999999999999E-4</v>
      </c>
      <c r="C10" s="3">
        <v>1.8579999999999999E-4</v>
      </c>
      <c r="D10" s="3">
        <v>-3.1930000000000001E-4</v>
      </c>
      <c r="E10" s="3">
        <v>0</v>
      </c>
      <c r="F10" s="3">
        <v>0</v>
      </c>
      <c r="G10" s="3">
        <v>0</v>
      </c>
      <c r="H10" s="3">
        <v>6.3606271999999998E-5</v>
      </c>
      <c r="I10" s="3">
        <v>1.7575066000000001E-5</v>
      </c>
      <c r="J10" s="3">
        <v>-1.3594333999999999E-4</v>
      </c>
      <c r="L10" s="3">
        <f t="shared" si="0"/>
        <v>-0.64860632633886628</v>
      </c>
      <c r="M10" s="3"/>
      <c r="N10" s="2">
        <f>IF('Modell einstellen'!$B$1="Voll",H10/0.35,H10/0.35*2)</f>
        <v>3.6346441142857142E-4</v>
      </c>
      <c r="O10" s="2">
        <f>IF('Modell einstellen'!$B$1="Voll",J10/0.35,J10/0.35*2)</f>
        <v>-7.768190857142857E-4</v>
      </c>
      <c r="P10" s="3">
        <f t="shared" si="1"/>
        <v>0.46788810691277705</v>
      </c>
    </row>
    <row r="11" spans="1:16" x14ac:dyDescent="0.25">
      <c r="A11" s="3">
        <v>9.9999999999999995E-8</v>
      </c>
      <c r="B11" s="3">
        <v>-2.4159999999999999E-4</v>
      </c>
      <c r="C11" s="3">
        <v>1.895E-4</v>
      </c>
      <c r="D11" s="3">
        <v>-2.921E-4</v>
      </c>
      <c r="E11" s="3">
        <v>0</v>
      </c>
      <c r="F11" s="3">
        <v>0</v>
      </c>
      <c r="G11" s="3">
        <v>0</v>
      </c>
      <c r="H11" s="3">
        <v>6.7450925999999999E-5</v>
      </c>
      <c r="I11" s="3">
        <v>1.7908910000000001E-5</v>
      </c>
      <c r="J11" s="3">
        <v>-1.4072550999999999E-4</v>
      </c>
      <c r="L11" s="3">
        <f t="shared" si="0"/>
        <v>-0.82711400205409102</v>
      </c>
      <c r="M11" s="3"/>
      <c r="N11" s="2">
        <f>IF('Modell einstellen'!$B$1="Voll",H11/0.35,H11/0.35*2)</f>
        <v>3.8543386285714285E-4</v>
      </c>
      <c r="O11" s="2">
        <f>IF('Modell einstellen'!$B$1="Voll",J11/0.35,J11/0.35*2)</f>
        <v>-8.0414577142857145E-4</v>
      </c>
      <c r="P11" s="3">
        <f t="shared" si="1"/>
        <v>0.47930844947728379</v>
      </c>
    </row>
    <row r="12" spans="1:16" x14ac:dyDescent="0.25">
      <c r="A12" s="3">
        <v>9.9999999999999995E-7</v>
      </c>
      <c r="B12" s="3">
        <v>-2.811E-4</v>
      </c>
      <c r="C12" s="3">
        <v>1.916E-4</v>
      </c>
      <c r="D12" s="3">
        <v>-2.5839999999999999E-4</v>
      </c>
      <c r="E12" s="3">
        <v>0</v>
      </c>
      <c r="F12" s="3">
        <v>0</v>
      </c>
      <c r="G12" s="3">
        <v>0</v>
      </c>
      <c r="H12" s="3">
        <v>7.1618204000000002E-5</v>
      </c>
      <c r="I12" s="3">
        <v>1.8163082E-5</v>
      </c>
      <c r="J12" s="3">
        <v>-1.45675E-4</v>
      </c>
      <c r="L12" s="3">
        <f t="shared" si="0"/>
        <v>-1.0878482972136223</v>
      </c>
      <c r="M12" s="3"/>
      <c r="N12" s="2">
        <f>IF('Modell einstellen'!$B$1="Voll",H12/0.35,H12/0.35*2)</f>
        <v>4.0924688000000005E-4</v>
      </c>
      <c r="O12" s="2">
        <f>IF('Modell einstellen'!$B$1="Voll",J12/0.35,J12/0.35*2)</f>
        <v>-8.3242857142857153E-4</v>
      </c>
      <c r="P12" s="3">
        <f t="shared" si="1"/>
        <v>0.49163002574223441</v>
      </c>
    </row>
    <row r="13" spans="1:16" x14ac:dyDescent="0.25">
      <c r="A13" s="3">
        <v>1.0000000000000001E-5</v>
      </c>
      <c r="B13" s="3">
        <v>-3.2650000000000002E-4</v>
      </c>
      <c r="C13" s="3">
        <v>1.9540000000000001E-4</v>
      </c>
      <c r="D13" s="3">
        <v>-2.2029999999999999E-4</v>
      </c>
      <c r="E13" s="3">
        <v>0</v>
      </c>
      <c r="F13" s="3">
        <v>0</v>
      </c>
      <c r="G13" s="3">
        <v>0</v>
      </c>
      <c r="H13" s="3">
        <v>7.6346906999999998E-5</v>
      </c>
      <c r="I13" s="3">
        <v>1.8500663999999999E-5</v>
      </c>
      <c r="J13" s="3">
        <v>-1.5135018000000001E-4</v>
      </c>
      <c r="L13" s="3">
        <f t="shared" si="0"/>
        <v>-1.4820699046754429</v>
      </c>
      <c r="M13" s="3"/>
      <c r="N13" s="2">
        <f>IF('Modell einstellen'!$B$1="Voll",H13/0.35,H13/0.35*2)</f>
        <v>4.3626804000000002E-4</v>
      </c>
      <c r="O13" s="2">
        <f>IF('Modell einstellen'!$B$1="Voll",J13/0.35,J13/0.35*2)</f>
        <v>-8.6485817142857157E-4</v>
      </c>
      <c r="P13" s="3">
        <f t="shared" si="1"/>
        <v>0.50443882524619388</v>
      </c>
    </row>
    <row r="14" spans="1:16" x14ac:dyDescent="0.25">
      <c r="A14" s="3">
        <v>1E-4</v>
      </c>
      <c r="B14" s="3">
        <v>-3.859E-4</v>
      </c>
      <c r="C14" s="3">
        <v>1.9870000000000001E-4</v>
      </c>
      <c r="D14" s="3">
        <v>-1.684E-4</v>
      </c>
      <c r="E14" s="3">
        <v>0</v>
      </c>
      <c r="F14" s="3">
        <v>0</v>
      </c>
      <c r="G14" s="3">
        <v>0</v>
      </c>
      <c r="H14" s="3">
        <v>8.2269932999999993E-5</v>
      </c>
      <c r="I14" s="3">
        <v>1.8837128999999999E-5</v>
      </c>
      <c r="J14" s="3">
        <v>-1.5825284999999999E-4</v>
      </c>
      <c r="L14" s="3">
        <f t="shared" si="0"/>
        <v>-2.2915676959619953</v>
      </c>
      <c r="M14" s="3"/>
      <c r="N14" s="2">
        <f>IF('Modell einstellen'!$B$1="Voll",H14/0.35,H14/0.35*2)</f>
        <v>4.7011390285714287E-4</v>
      </c>
      <c r="O14" s="2">
        <f>IF('Modell einstellen'!$B$1="Voll",J14/0.35,J14/0.35*2)</f>
        <v>-9.0430200000000006E-4</v>
      </c>
      <c r="P14" s="3">
        <f t="shared" si="1"/>
        <v>0.51986383183620388</v>
      </c>
    </row>
    <row r="15" spans="1:16" x14ac:dyDescent="0.25">
      <c r="A15" s="3">
        <v>1E-3</v>
      </c>
      <c r="B15" s="3">
        <v>-4.6470000000000002E-4</v>
      </c>
      <c r="C15" s="3">
        <v>2.0239999999999999E-4</v>
      </c>
      <c r="D15" s="3">
        <v>-9.7800000000000006E-5</v>
      </c>
      <c r="E15" s="3">
        <v>0</v>
      </c>
      <c r="F15" s="3">
        <v>0</v>
      </c>
      <c r="G15" s="3">
        <v>0</v>
      </c>
      <c r="H15" s="3">
        <v>8.9873304000000003E-5</v>
      </c>
      <c r="I15" s="3">
        <v>1.9213389000000001E-5</v>
      </c>
      <c r="J15" s="3">
        <v>-1.6694729999999999E-4</v>
      </c>
      <c r="L15" s="3">
        <f t="shared" si="0"/>
        <v>-4.7515337423312882</v>
      </c>
      <c r="M15" s="3"/>
      <c r="N15" s="2">
        <f>IF('Modell einstellen'!$B$1="Voll",H15/0.35,H15/0.35*2)</f>
        <v>5.1356173714285722E-4</v>
      </c>
      <c r="O15" s="2">
        <f>IF('Modell einstellen'!$B$1="Voll",J15/0.35,J15/0.35*2)</f>
        <v>-9.539845714285714E-4</v>
      </c>
      <c r="P15" s="3">
        <f t="shared" si="1"/>
        <v>0.53833337825768979</v>
      </c>
    </row>
    <row r="16" spans="1:16" x14ac:dyDescent="0.25">
      <c r="A16" s="3">
        <v>0.01</v>
      </c>
      <c r="B16" s="3">
        <v>-5.7189999999999997E-4</v>
      </c>
      <c r="C16" s="3">
        <v>2.0660000000000001E-4</v>
      </c>
      <c r="D16" s="3">
        <v>1.5909999999999999E-7</v>
      </c>
      <c r="E16" s="3">
        <v>0</v>
      </c>
      <c r="F16" s="3">
        <v>0</v>
      </c>
      <c r="G16" s="3">
        <v>0</v>
      </c>
      <c r="H16" s="3">
        <v>9.9910210999999994E-5</v>
      </c>
      <c r="I16" s="3">
        <v>1.9659774E-5</v>
      </c>
      <c r="J16" s="3">
        <v>-1.7824557E-4</v>
      </c>
      <c r="L16" s="3">
        <f t="shared" si="0"/>
        <v>3594.5945945945946</v>
      </c>
      <c r="M16" s="3"/>
      <c r="N16" s="2">
        <f>IF('Modell einstellen'!$B$1="Voll",H16/0.35,H16/0.35*2)</f>
        <v>5.7091549142857141E-4</v>
      </c>
      <c r="O16" s="2">
        <f>IF('Modell einstellen'!$B$1="Voll",J16/0.35,J16/0.35*2)</f>
        <v>-1.0185461142857143E-3</v>
      </c>
      <c r="P16" s="3">
        <f t="shared" si="1"/>
        <v>0.56052002302217097</v>
      </c>
    </row>
    <row r="17" spans="1:16" x14ac:dyDescent="0.25">
      <c r="A17" s="3">
        <v>0.1</v>
      </c>
      <c r="B17" s="3">
        <v>-7.205E-4</v>
      </c>
      <c r="C17" s="3">
        <v>2.128E-4</v>
      </c>
      <c r="D17" s="3">
        <v>1.3740000000000001E-4</v>
      </c>
      <c r="E17" s="3">
        <v>0</v>
      </c>
      <c r="F17" s="3">
        <v>0</v>
      </c>
      <c r="G17" s="3">
        <v>0</v>
      </c>
      <c r="H17" s="3">
        <v>1.1401495E-4</v>
      </c>
      <c r="I17" s="3">
        <v>2.0457041E-5</v>
      </c>
      <c r="J17" s="3">
        <v>-1.9430339000000001E-4</v>
      </c>
      <c r="L17" s="3">
        <f t="shared" si="0"/>
        <v>5.2438136826783115</v>
      </c>
      <c r="M17" s="3"/>
      <c r="N17" s="2">
        <f>IF('Modell einstellen'!$B$1="Voll",H17/0.35,H17/0.35*2)</f>
        <v>6.5151400000000006E-4</v>
      </c>
      <c r="O17" s="2">
        <f>IF('Modell einstellen'!$B$1="Voll",J17/0.35,J17/0.35*2)</f>
        <v>-1.1103050857142859E-3</v>
      </c>
      <c r="P17" s="3">
        <f t="shared" si="1"/>
        <v>0.58678826962308783</v>
      </c>
    </row>
    <row r="18" spans="1:16" x14ac:dyDescent="0.25">
      <c r="A18" s="3">
        <v>1</v>
      </c>
      <c r="B18" s="3">
        <v>-9.0959999999999999E-4</v>
      </c>
      <c r="C18" s="3">
        <v>2.296E-4</v>
      </c>
      <c r="D18" s="3">
        <v>3.0709999999999998E-4</v>
      </c>
      <c r="E18" s="3">
        <v>0</v>
      </c>
      <c r="F18" s="3">
        <v>0</v>
      </c>
      <c r="G18" s="3">
        <v>0</v>
      </c>
      <c r="H18" s="3">
        <v>1.3686218E-4</v>
      </c>
      <c r="I18" s="3">
        <v>2.3754163999999999E-5</v>
      </c>
      <c r="J18" s="3">
        <v>-2.2378911E-4</v>
      </c>
      <c r="L18" s="3">
        <f t="shared" si="0"/>
        <v>2.9619016606968414</v>
      </c>
      <c r="M18" s="3"/>
      <c r="N18" s="2">
        <f>IF('Modell einstellen'!$B$1="Voll",H18/0.35,H18/0.35*2)</f>
        <v>7.8206960000000002E-4</v>
      </c>
      <c r="O18" s="2">
        <f>IF('Modell einstellen'!$B$1="Voll",J18/0.35,J18/0.35*2)</f>
        <v>-1.2787949142857144E-3</v>
      </c>
      <c r="P18" s="3">
        <f t="shared" si="1"/>
        <v>0.61156764956078513</v>
      </c>
    </row>
    <row r="19" spans="1:16" x14ac:dyDescent="0.25">
      <c r="A19" s="3">
        <v>10</v>
      </c>
      <c r="B19" s="3">
        <v>-1.093E-3</v>
      </c>
      <c r="C19" s="3">
        <v>2.809E-4</v>
      </c>
      <c r="D19" s="3">
        <v>4.4700000000000002E-4</v>
      </c>
      <c r="E19" s="3">
        <v>0</v>
      </c>
      <c r="F19" s="3">
        <v>0</v>
      </c>
      <c r="G19" s="3">
        <v>0</v>
      </c>
      <c r="H19" s="3">
        <v>1.7965989999999999E-4</v>
      </c>
      <c r="I19" s="3">
        <v>3.7091405000000002E-5</v>
      </c>
      <c r="J19" s="3">
        <v>-2.9208697000000002E-4</v>
      </c>
      <c r="L19" s="3">
        <f t="shared" si="0"/>
        <v>2.4451901565995526</v>
      </c>
      <c r="M19" s="3"/>
      <c r="N19" s="2">
        <f>IF('Modell einstellen'!$B$1="Voll",H19/0.35,H19/0.35*2)</f>
        <v>1.0266279999999999E-3</v>
      </c>
      <c r="O19" s="2">
        <f>IF('Modell einstellen'!$B$1="Voll",J19/0.35,J19/0.35*2)</f>
        <v>-1.6690684000000003E-3</v>
      </c>
      <c r="P19" s="3">
        <f t="shared" si="1"/>
        <v>0.61509043008662778</v>
      </c>
    </row>
    <row r="20" spans="1:16" x14ac:dyDescent="0.25">
      <c r="A20" s="3">
        <v>100</v>
      </c>
      <c r="B20" s="3">
        <v>-1.292E-3</v>
      </c>
      <c r="C20" s="3">
        <v>4.0690000000000002E-4</v>
      </c>
      <c r="D20" s="3">
        <v>5.3859999999999997E-4</v>
      </c>
      <c r="E20" s="3">
        <v>0</v>
      </c>
      <c r="F20" s="3">
        <v>0</v>
      </c>
      <c r="G20" s="3">
        <v>0</v>
      </c>
      <c r="H20" s="3">
        <v>2.5707049000000002E-4</v>
      </c>
      <c r="I20" s="3">
        <v>7.0043755999999995E-5</v>
      </c>
      <c r="J20" s="3">
        <v>-4.3235437000000001E-4</v>
      </c>
      <c r="L20" s="3">
        <f t="shared" si="0"/>
        <v>2.3988117341255109</v>
      </c>
      <c r="M20" s="3"/>
      <c r="N20" s="2">
        <f>IF('Modell einstellen'!$B$1="Voll",H20/0.35,H20/0.35*2)</f>
        <v>1.4689742285714288E-3</v>
      </c>
      <c r="O20" s="2">
        <f>IF('Modell einstellen'!$B$1="Voll",J20/0.35,J20/0.35*2)</f>
        <v>-2.4705964000000004E-3</v>
      </c>
      <c r="P20" s="3">
        <f t="shared" si="1"/>
        <v>0.59458284184799615</v>
      </c>
    </row>
    <row r="21" spans="1:16" x14ac:dyDescent="0.25">
      <c r="A21" s="3">
        <v>1000</v>
      </c>
      <c r="B21" s="3">
        <v>-1.5269999999999999E-3</v>
      </c>
      <c r="C21" s="3">
        <v>6.8670000000000005E-4</v>
      </c>
      <c r="D21" s="3">
        <v>5.2159999999999999E-4</v>
      </c>
      <c r="E21" s="3">
        <v>0</v>
      </c>
      <c r="F21" s="3">
        <v>0</v>
      </c>
      <c r="G21" s="3">
        <v>0</v>
      </c>
      <c r="H21" s="3">
        <v>3.8844321000000001E-4</v>
      </c>
      <c r="I21" s="3">
        <v>1.3825803000000001E-4</v>
      </c>
      <c r="J21" s="3">
        <v>-6.9419884000000004E-4</v>
      </c>
      <c r="L21" s="3">
        <f t="shared" si="0"/>
        <v>2.9275306748466257</v>
      </c>
      <c r="M21" s="3"/>
      <c r="N21" s="2">
        <f>IF('Modell einstellen'!$B$1="Voll",H21/0.35,H21/0.35*2)</f>
        <v>2.219675485714286E-3</v>
      </c>
      <c r="O21" s="2">
        <f>IF('Modell einstellen'!$B$1="Voll",J21/0.35,J21/0.35*2)</f>
        <v>-3.9668505142857148E-3</v>
      </c>
      <c r="P21" s="3">
        <f t="shared" si="1"/>
        <v>0.55955612083707895</v>
      </c>
    </row>
    <row r="22" spans="1:16" x14ac:dyDescent="0.25">
      <c r="A22" s="3">
        <v>10000</v>
      </c>
      <c r="B22" s="3">
        <v>-1.7099999999999999E-3</v>
      </c>
      <c r="C22" s="3">
        <v>1.2509999999999999E-3</v>
      </c>
      <c r="D22" s="3">
        <v>1.75E-4</v>
      </c>
      <c r="E22" s="3">
        <v>0</v>
      </c>
      <c r="F22" s="3">
        <v>0</v>
      </c>
      <c r="G22" s="3">
        <v>0</v>
      </c>
      <c r="H22" s="3">
        <v>5.856921E-4</v>
      </c>
      <c r="I22" s="3">
        <v>2.6486323E-4</v>
      </c>
      <c r="J22" s="3">
        <v>-1.1332676000000001E-3</v>
      </c>
      <c r="L22" s="3">
        <f t="shared" si="0"/>
        <v>9.7714285714285705</v>
      </c>
      <c r="M22" s="3"/>
      <c r="N22" s="2">
        <f>IF('Modell einstellen'!$B$1="Voll",H22/0.35,H22/0.35*2)</f>
        <v>3.3468120000000002E-3</v>
      </c>
      <c r="O22" s="2">
        <f>IF('Modell einstellen'!$B$1="Voll",J22/0.35,J22/0.35*2)</f>
        <v>-6.4758148571428583E-3</v>
      </c>
      <c r="P22" s="3">
        <f t="shared" si="1"/>
        <v>0.51681712245192568</v>
      </c>
    </row>
    <row r="23" spans="1:16" x14ac:dyDescent="0.25">
      <c r="A23" s="3">
        <v>100000</v>
      </c>
      <c r="B23" s="3">
        <v>-1.547E-3</v>
      </c>
      <c r="C23" s="3">
        <v>2.1459999999999999E-3</v>
      </c>
      <c r="D23" s="3">
        <v>-8.497E-4</v>
      </c>
      <c r="E23" s="3">
        <v>0</v>
      </c>
      <c r="F23" s="3">
        <v>0</v>
      </c>
      <c r="G23" s="3">
        <v>0</v>
      </c>
      <c r="H23" s="3">
        <v>8.2062254000000003E-4</v>
      </c>
      <c r="I23" s="3">
        <v>4.5134781000000002E-4</v>
      </c>
      <c r="J23" s="3">
        <v>-1.7225838E-3</v>
      </c>
      <c r="L23" s="3">
        <f t="shared" si="0"/>
        <v>-1.8206425797340238</v>
      </c>
      <c r="M23" s="3"/>
      <c r="N23" s="2">
        <f>IF('Modell einstellen'!$B$1="Voll",H23/0.35,H23/0.35*2)</f>
        <v>4.6892716571428576E-3</v>
      </c>
      <c r="O23" s="2">
        <f>IF('Modell einstellen'!$B$1="Voll",J23/0.35,J23/0.35*2)</f>
        <v>-9.8433360000000011E-3</v>
      </c>
      <c r="P23" s="3">
        <f t="shared" si="1"/>
        <v>0.47639048968183723</v>
      </c>
    </row>
    <row r="24" spans="1:16" x14ac:dyDescent="0.25">
      <c r="A24" s="3">
        <v>1000000</v>
      </c>
      <c r="B24" s="3">
        <v>-8.8000000000000003E-4</v>
      </c>
      <c r="C24" s="3">
        <v>3.199E-3</v>
      </c>
      <c r="D24" s="3">
        <v>-2.5409999999999999E-3</v>
      </c>
      <c r="E24" s="3">
        <v>0</v>
      </c>
      <c r="F24" s="3">
        <v>0</v>
      </c>
      <c r="G24" s="3">
        <v>0</v>
      </c>
      <c r="H24" s="3">
        <v>1.0243811E-3</v>
      </c>
      <c r="I24" s="3">
        <v>6.5236745999999995E-4</v>
      </c>
      <c r="J24" s="3">
        <v>-2.3060034000000002E-3</v>
      </c>
      <c r="L24" s="3">
        <f t="shared" si="0"/>
        <v>-0.34632034632034636</v>
      </c>
      <c r="M24" s="3"/>
      <c r="N24" s="2">
        <f>IF('Modell einstellen'!$B$1="Voll",H24/0.35,H24/0.35*2)</f>
        <v>5.8536062857142863E-3</v>
      </c>
      <c r="O24" s="2">
        <f>IF('Modell einstellen'!$B$1="Voll",J24/0.35,J24/0.35*2)</f>
        <v>-1.3177162285714288E-2</v>
      </c>
      <c r="P24" s="3">
        <f t="shared" si="1"/>
        <v>0.44422358614041935</v>
      </c>
    </row>
    <row r="25" spans="1:16" x14ac:dyDescent="0.25">
      <c r="A25" s="3">
        <v>10000000</v>
      </c>
      <c r="B25" s="3">
        <v>2.9200000000000002E-5</v>
      </c>
      <c r="C25" s="3">
        <v>4.1660000000000004E-3</v>
      </c>
      <c r="D25" s="3">
        <v>-4.3949999999999996E-3</v>
      </c>
      <c r="E25" s="3">
        <v>0</v>
      </c>
      <c r="F25" s="3">
        <v>0</v>
      </c>
      <c r="G25" s="3">
        <v>0</v>
      </c>
      <c r="H25" s="3">
        <v>1.1634709999999999E-3</v>
      </c>
      <c r="I25" s="3">
        <v>8.2068449999999997E-4</v>
      </c>
      <c r="J25" s="3">
        <v>-2.7613538000000001E-3</v>
      </c>
      <c r="L25" s="3">
        <f t="shared" si="0"/>
        <v>6.6439135381114916E-3</v>
      </c>
      <c r="M25" s="3"/>
      <c r="N25" s="2">
        <f>IF('Modell einstellen'!$B$1="Voll",H25/0.35,H25/0.35*2)</f>
        <v>6.6484057142857144E-3</v>
      </c>
      <c r="O25" s="2">
        <f>IF('Modell einstellen'!$B$1="Voll",J25/0.35,J25/0.35*2)</f>
        <v>-1.5779164571428573E-2</v>
      </c>
      <c r="P25" s="3">
        <f t="shared" si="1"/>
        <v>0.42134079305592781</v>
      </c>
    </row>
    <row r="26" spans="1:16" x14ac:dyDescent="0.25">
      <c r="A26" s="3">
        <v>100000000</v>
      </c>
      <c r="B26" s="3">
        <v>8.5249999999999996E-4</v>
      </c>
      <c r="C26" s="3">
        <v>4.9430000000000003E-3</v>
      </c>
      <c r="D26" s="3">
        <v>-5.9789999999999999E-3</v>
      </c>
      <c r="E26" s="3">
        <v>0</v>
      </c>
      <c r="F26" s="3">
        <v>0</v>
      </c>
      <c r="G26" s="3">
        <v>0</v>
      </c>
      <c r="H26" s="3">
        <v>1.2568989999999999E-3</v>
      </c>
      <c r="I26" s="3">
        <v>9.4605508999999997E-4</v>
      </c>
      <c r="J26" s="3">
        <v>-3.0893690999999998E-3</v>
      </c>
      <c r="L26" s="3">
        <f t="shared" si="0"/>
        <v>0.14258237163405252</v>
      </c>
      <c r="M26" s="3"/>
      <c r="N26" s="2">
        <f>IF('Modell einstellen'!$B$1="Voll",H26/0.35,H26/0.35*2)</f>
        <v>7.1822800000000001E-3</v>
      </c>
      <c r="O26" s="2">
        <f>IF('Modell einstellen'!$B$1="Voll",J26/0.35,J26/0.35*2)</f>
        <v>-1.7653537714285714E-2</v>
      </c>
      <c r="P26" s="3">
        <f t="shared" si="1"/>
        <v>0.40684649820573399</v>
      </c>
    </row>
    <row r="27" spans="1:16" x14ac:dyDescent="0.25">
      <c r="A27" s="3">
        <v>1000000000</v>
      </c>
      <c r="B27" s="3">
        <v>1.5169999999999999E-3</v>
      </c>
      <c r="C27" s="3">
        <v>5.5449999999999996E-3</v>
      </c>
      <c r="D27" s="3">
        <v>-7.234E-3</v>
      </c>
      <c r="E27" s="3">
        <v>0</v>
      </c>
      <c r="F27" s="3">
        <v>0</v>
      </c>
      <c r="G27" s="3">
        <v>0</v>
      </c>
      <c r="H27" s="3">
        <v>1.324673E-3</v>
      </c>
      <c r="I27" s="3">
        <v>1.0381870000000001E-3</v>
      </c>
      <c r="J27" s="3">
        <v>-3.3289462999999998E-3</v>
      </c>
      <c r="L27" s="3">
        <f t="shared" si="0"/>
        <v>0.20970417473043959</v>
      </c>
      <c r="M27" s="3"/>
      <c r="N27" s="2">
        <f>IF('Modell einstellen'!$B$1="Voll",H27/0.35,H27/0.35*2)</f>
        <v>7.5695600000000004E-3</v>
      </c>
      <c r="O27" s="2">
        <f>IF('Modell einstellen'!$B$1="Voll",J27/0.35,J27/0.35*2)</f>
        <v>-1.9022550285714285E-2</v>
      </c>
      <c r="P27" s="3">
        <f t="shared" si="1"/>
        <v>0.39792561387968323</v>
      </c>
    </row>
    <row r="28" spans="1:16" x14ac:dyDescent="0.25">
      <c r="A28" s="3">
        <v>10000000000</v>
      </c>
      <c r="B28" s="3">
        <v>2.0330000000000001E-3</v>
      </c>
      <c r="C28" s="3">
        <v>5.9449999999999998E-3</v>
      </c>
      <c r="D28" s="3">
        <v>-8.1429999999999992E-3</v>
      </c>
      <c r="E28" s="3">
        <v>0</v>
      </c>
      <c r="F28" s="3">
        <v>0</v>
      </c>
      <c r="G28" s="3">
        <v>0</v>
      </c>
      <c r="H28" s="3">
        <v>1.3604512E-3</v>
      </c>
      <c r="I28" s="3">
        <v>1.0946673E-3</v>
      </c>
      <c r="J28" s="3">
        <v>-3.4699018999999999E-3</v>
      </c>
      <c r="L28" s="3">
        <f t="shared" si="0"/>
        <v>0.24966228662655043</v>
      </c>
      <c r="M28" s="3"/>
      <c r="N28" s="2">
        <f>IF('Modell einstellen'!$B$1="Voll",H28/0.35,H28/0.35*2)</f>
        <v>7.7740068571428575E-3</v>
      </c>
      <c r="O28" s="2">
        <f>IF('Modell einstellen'!$B$1="Voll",J28/0.35,J28/0.35*2)</f>
        <v>-1.9828010857142857E-2</v>
      </c>
      <c r="P28" s="3">
        <f t="shared" si="1"/>
        <v>0.39207194877757212</v>
      </c>
    </row>
    <row r="29" spans="1:16" x14ac:dyDescent="0.25">
      <c r="A29" s="3">
        <v>100000000000</v>
      </c>
      <c r="B29" s="3">
        <v>2.3969999999999998E-3</v>
      </c>
      <c r="C29" s="3">
        <v>6.3790000000000001E-3</v>
      </c>
      <c r="D29" s="3">
        <v>-8.9370000000000005E-3</v>
      </c>
      <c r="E29" s="3">
        <v>0</v>
      </c>
      <c r="F29" s="3">
        <v>0</v>
      </c>
      <c r="G29" s="3">
        <v>0</v>
      </c>
      <c r="H29" s="3">
        <v>1.4291937000000001E-3</v>
      </c>
      <c r="I29" s="3">
        <v>1.1634442000000001E-3</v>
      </c>
      <c r="J29" s="3">
        <v>-3.6659287E-3</v>
      </c>
      <c r="L29" s="3">
        <f t="shared" si="0"/>
        <v>0.26821080899630745</v>
      </c>
      <c r="M29" s="3"/>
      <c r="N29" s="2">
        <f>IF('Modell einstellen'!$B$1="Voll",H29/0.35,H29/0.35*2)</f>
        <v>8.166821142857144E-3</v>
      </c>
      <c r="O29" s="2">
        <f>IF('Modell einstellen'!$B$1="Voll",J29/0.35,J29/0.35*2)</f>
        <v>-2.0948164000000002E-2</v>
      </c>
      <c r="P29" s="3">
        <f t="shared" si="1"/>
        <v>0.38985856435232907</v>
      </c>
    </row>
    <row r="30" spans="1:16" x14ac:dyDescent="0.25">
      <c r="A30" s="3">
        <v>1000000000000</v>
      </c>
      <c r="B30" s="3">
        <v>2.728E-3</v>
      </c>
      <c r="C30" s="3">
        <v>6.7270000000000003E-3</v>
      </c>
      <c r="D30" s="3">
        <v>-9.613E-3</v>
      </c>
      <c r="E30" s="3">
        <v>0</v>
      </c>
      <c r="F30" s="3">
        <v>0</v>
      </c>
      <c r="G30" s="3">
        <v>0</v>
      </c>
      <c r="H30" s="3">
        <v>1.4834322999999999E-3</v>
      </c>
      <c r="I30" s="3">
        <v>1.2193433E-3</v>
      </c>
      <c r="J30" s="3">
        <v>-3.8234045E-3</v>
      </c>
      <c r="L30" s="3">
        <f t="shared" si="0"/>
        <v>0.28378237802975137</v>
      </c>
      <c r="M30" s="3"/>
      <c r="N30" s="2">
        <f>IF('Modell einstellen'!$B$1="Voll",H30/0.35,H30/0.35*2)</f>
        <v>8.4767560000000002E-3</v>
      </c>
      <c r="O30" s="2">
        <f>IF('Modell einstellen'!$B$1="Voll",J30/0.35,J30/0.35*2)</f>
        <v>-2.1848025714285717E-2</v>
      </c>
      <c r="P30" s="3">
        <f t="shared" si="1"/>
        <v>0.38798727678434231</v>
      </c>
    </row>
    <row r="31" spans="1:16" x14ac:dyDescent="0.25">
      <c r="A31" s="3">
        <v>10000000000000</v>
      </c>
      <c r="B31" s="3">
        <v>2.6770000000000001E-3</v>
      </c>
      <c r="C31" s="3">
        <v>6.7299999999999999E-3</v>
      </c>
      <c r="D31" s="3">
        <v>-9.5659999999999999E-3</v>
      </c>
      <c r="E31" s="3">
        <v>0</v>
      </c>
      <c r="F31" s="3">
        <v>0</v>
      </c>
      <c r="G31" s="3">
        <v>0</v>
      </c>
      <c r="H31" s="3">
        <v>1.4887771E-3</v>
      </c>
      <c r="I31" s="3">
        <v>1.2202576E-3</v>
      </c>
      <c r="J31" s="3">
        <v>-3.8303245000000001E-3</v>
      </c>
      <c r="L31" s="3">
        <f t="shared" si="0"/>
        <v>0.27984528538574116</v>
      </c>
      <c r="M31" s="3"/>
      <c r="N31" s="2">
        <f>IF('Modell einstellen'!$B$1="Voll",H31/0.35,H31/0.35*2)</f>
        <v>8.5072977142857144E-3</v>
      </c>
      <c r="O31" s="2">
        <f>IF('Modell einstellen'!$B$1="Voll",J31/0.35,J31/0.35*2)</f>
        <v>-2.1887568571428574E-2</v>
      </c>
      <c r="P31" s="3">
        <f t="shared" si="1"/>
        <v>0.38868171613136165</v>
      </c>
    </row>
    <row r="32" spans="1:16" x14ac:dyDescent="0.25">
      <c r="A32" s="3">
        <v>100000000000000</v>
      </c>
      <c r="B32" s="3">
        <v>2.9740000000000001E-3</v>
      </c>
      <c r="C32" s="3">
        <v>6.8719999999999996E-3</v>
      </c>
      <c r="D32" s="3">
        <v>-0.01</v>
      </c>
      <c r="E32" s="3">
        <v>0</v>
      </c>
      <c r="F32" s="3">
        <v>0</v>
      </c>
      <c r="G32" s="3">
        <v>0</v>
      </c>
      <c r="H32" s="3">
        <v>1.4946005E-3</v>
      </c>
      <c r="I32" s="3">
        <v>1.2402101999999999E-3</v>
      </c>
      <c r="J32" s="3">
        <v>-3.8732580000000001E-3</v>
      </c>
      <c r="L32" s="3">
        <f t="shared" si="0"/>
        <v>0.2974</v>
      </c>
      <c r="M32" s="3"/>
      <c r="N32" s="2">
        <f>IF('Modell einstellen'!$B$1="Voll",H32/0.35,H32/0.35*2)</f>
        <v>8.540574285714286E-3</v>
      </c>
      <c r="O32" s="2">
        <f>IF('Modell einstellen'!$B$1="Voll",J32/0.35,J32/0.35*2)</f>
        <v>-2.213290285714286E-2</v>
      </c>
      <c r="P32" s="3">
        <f t="shared" si="1"/>
        <v>0.38587682514307076</v>
      </c>
    </row>
    <row r="33" spans="1:16" x14ac:dyDescent="0.25">
      <c r="A33" s="3">
        <v>1000000000000000</v>
      </c>
      <c r="B33" s="3">
        <v>2.9780000000000002E-3</v>
      </c>
      <c r="C33" s="3">
        <v>6.8780000000000004E-3</v>
      </c>
      <c r="D33" s="3">
        <v>-1.001E-2</v>
      </c>
      <c r="E33" s="3">
        <v>0</v>
      </c>
      <c r="F33" s="3">
        <v>0</v>
      </c>
      <c r="G33" s="3">
        <v>0</v>
      </c>
      <c r="H33" s="3">
        <v>1.4953294E-3</v>
      </c>
      <c r="I33" s="3">
        <v>1.2409329E-3</v>
      </c>
      <c r="J33" s="3">
        <v>-3.8753148000000002E-3</v>
      </c>
      <c r="L33" s="3">
        <f t="shared" si="0"/>
        <v>0.29750249750249752</v>
      </c>
      <c r="M33" s="3"/>
      <c r="N33" s="2">
        <f>IF('Modell einstellen'!$B$1="Voll",H33/0.35,H33/0.35*2)</f>
        <v>8.5447394285714292E-3</v>
      </c>
      <c r="O33" s="2">
        <f>IF('Modell einstellen'!$B$1="Voll",J33/0.35,J33/0.35*2)</f>
        <v>-2.2144656000000002E-2</v>
      </c>
      <c r="P33" s="3">
        <f t="shared" si="1"/>
        <v>0.38586011128695918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-1.6780000000000001E-4</v>
      </c>
      <c r="C3" s="3">
        <v>1.861E-4</v>
      </c>
      <c r="D3" s="3">
        <v>-3.5409999999999999E-4</v>
      </c>
      <c r="E3" s="3">
        <v>0</v>
      </c>
      <c r="F3" s="3">
        <v>0</v>
      </c>
      <c r="G3" s="3">
        <v>0</v>
      </c>
      <c r="H3" s="3">
        <v>6.0274876999999998E-5</v>
      </c>
      <c r="I3" s="3">
        <v>1.7727301000000002E-5</v>
      </c>
      <c r="J3" s="3">
        <v>-1.3261655999999999E-4</v>
      </c>
      <c r="L3" s="3">
        <f>-B3/D3</f>
        <v>-0.47387743575261232</v>
      </c>
      <c r="M3" s="3"/>
      <c r="N3" s="2">
        <f>IF('Modell einstellen'!$B$1="Voll",H3/0.35,H3/0.35*2)</f>
        <v>3.4442786857142861E-4</v>
      </c>
      <c r="O3" s="2">
        <f>IF('Modell einstellen'!$B$1="Voll",J3/0.35,J3/0.35*2)</f>
        <v>-7.5780891428571431E-4</v>
      </c>
      <c r="P3" s="3">
        <f>-N3/O3</f>
        <v>0.45450490496812768</v>
      </c>
    </row>
    <row r="4" spans="1:16" x14ac:dyDescent="0.25">
      <c r="A4" s="3">
        <v>1E-14</v>
      </c>
      <c r="B4" s="3">
        <v>-2.076E-4</v>
      </c>
      <c r="C4" s="3">
        <v>1.8990000000000001E-4</v>
      </c>
      <c r="D4" s="3">
        <v>-3.2279999999999999E-4</v>
      </c>
      <c r="E4" s="3">
        <v>0</v>
      </c>
      <c r="F4" s="3">
        <v>0</v>
      </c>
      <c r="G4" s="3">
        <v>0</v>
      </c>
      <c r="H4" s="3">
        <v>6.4918317999999994E-5</v>
      </c>
      <c r="I4" s="3">
        <v>1.8128159000000002E-5</v>
      </c>
      <c r="J4" s="3">
        <v>-1.3842248999999999E-4</v>
      </c>
      <c r="L4" s="3">
        <f t="shared" ref="L4:L33" si="0">-B4/D4</f>
        <v>-0.64312267657992572</v>
      </c>
      <c r="M4" s="3"/>
      <c r="N4" s="2">
        <f>IF('Modell einstellen'!$B$1="Voll",H4/0.35,H4/0.35*2)</f>
        <v>3.7096181714285712E-4</v>
      </c>
      <c r="O4" s="2">
        <f>IF('Modell einstellen'!$B$1="Voll",J4/0.35,J4/0.35*2)</f>
        <v>-7.9098565714285718E-4</v>
      </c>
      <c r="P4" s="3">
        <f t="shared" ref="P4:P33" si="1">-N4/O4</f>
        <v>0.46898678097757085</v>
      </c>
    </row>
    <row r="5" spans="1:16" x14ac:dyDescent="0.25">
      <c r="A5" s="3">
        <v>1E-13</v>
      </c>
      <c r="B5" s="3">
        <v>-2.4360000000000001E-4</v>
      </c>
      <c r="C5" s="3">
        <v>1.9210000000000001E-4</v>
      </c>
      <c r="D5" s="3">
        <v>-2.9270000000000001E-4</v>
      </c>
      <c r="E5" s="3">
        <v>0</v>
      </c>
      <c r="F5" s="3">
        <v>0</v>
      </c>
      <c r="G5" s="3">
        <v>0</v>
      </c>
      <c r="H5" s="3">
        <v>6.8838053999999995E-5</v>
      </c>
      <c r="I5" s="3">
        <v>1.8394623000000001E-5</v>
      </c>
      <c r="J5" s="3">
        <v>-1.4314921E-4</v>
      </c>
      <c r="L5" s="3">
        <f t="shared" si="0"/>
        <v>-0.83225145199863337</v>
      </c>
      <c r="M5" s="3"/>
      <c r="N5" s="2">
        <f>IF('Modell einstellen'!$B$1="Voll",H5/0.35,H5/0.35*2)</f>
        <v>3.9336030857142854E-4</v>
      </c>
      <c r="O5" s="2">
        <f>IF('Modell einstellen'!$B$1="Voll",J5/0.35,J5/0.35*2)</f>
        <v>-8.179954857142857E-4</v>
      </c>
      <c r="P5" s="3">
        <f t="shared" si="1"/>
        <v>0.48088322666957084</v>
      </c>
    </row>
    <row r="6" spans="1:16" x14ac:dyDescent="0.25">
      <c r="A6" s="3">
        <v>9.9999999999999998E-13</v>
      </c>
      <c r="B6" s="3">
        <v>-2.8430000000000003E-4</v>
      </c>
      <c r="C6" s="3">
        <v>1.9570000000000001E-4</v>
      </c>
      <c r="D6" s="3">
        <v>-2.5920000000000001E-4</v>
      </c>
      <c r="E6" s="3">
        <v>0</v>
      </c>
      <c r="F6" s="3">
        <v>0</v>
      </c>
      <c r="G6" s="3">
        <v>0</v>
      </c>
      <c r="H6" s="3">
        <v>7.3248542999999999E-5</v>
      </c>
      <c r="I6" s="3">
        <v>1.8737453999999999E-5</v>
      </c>
      <c r="J6" s="3">
        <v>-1.4851723E-4</v>
      </c>
      <c r="L6" s="3">
        <f t="shared" si="0"/>
        <v>-1.0968364197530864</v>
      </c>
      <c r="M6" s="3"/>
      <c r="N6" s="2">
        <f>IF('Modell einstellen'!$B$1="Voll",H6/0.35,H6/0.35*2)</f>
        <v>4.1856310285714288E-4</v>
      </c>
      <c r="O6" s="2">
        <f>IF('Modell einstellen'!$B$1="Voll",J6/0.35,J6/0.35*2)</f>
        <v>-8.486698857142858E-4</v>
      </c>
      <c r="P6" s="3">
        <f t="shared" si="1"/>
        <v>0.4931989574542967</v>
      </c>
    </row>
    <row r="7" spans="1:16" x14ac:dyDescent="0.25">
      <c r="A7" s="3">
        <v>9.9999999999999994E-12</v>
      </c>
      <c r="B7" s="3">
        <v>-3.3189999999999999E-4</v>
      </c>
      <c r="C7" s="3">
        <v>1.9790000000000001E-4</v>
      </c>
      <c r="D7" s="3">
        <v>-2.174E-4</v>
      </c>
      <c r="E7" s="3">
        <v>0</v>
      </c>
      <c r="F7" s="3">
        <v>0</v>
      </c>
      <c r="G7" s="3">
        <v>0</v>
      </c>
      <c r="H7" s="3">
        <v>7.8109506000000005E-5</v>
      </c>
      <c r="I7" s="3">
        <v>1.9007636999999999E-5</v>
      </c>
      <c r="J7" s="3">
        <v>-1.5419401000000001E-4</v>
      </c>
      <c r="L7" s="3">
        <f t="shared" si="0"/>
        <v>-1.5266789328426862</v>
      </c>
      <c r="M7" s="3"/>
      <c r="N7" s="2">
        <f>IF('Modell einstellen'!$B$1="Voll",H7/0.35,H7/0.35*2)</f>
        <v>4.4634003428571434E-4</v>
      </c>
      <c r="O7" s="2">
        <f>IF('Modell einstellen'!$B$1="Voll",J7/0.35,J7/0.35*2)</f>
        <v>-8.8110862857142865E-4</v>
      </c>
      <c r="P7" s="3">
        <f t="shared" si="1"/>
        <v>0.50656640942148146</v>
      </c>
    </row>
    <row r="8" spans="1:16" x14ac:dyDescent="0.25">
      <c r="A8" s="3">
        <v>1E-10</v>
      </c>
      <c r="B8" s="3">
        <v>-3.9609999999999998E-4</v>
      </c>
      <c r="C8" s="3">
        <v>2.02E-4</v>
      </c>
      <c r="D8" s="3">
        <v>-1.618E-4</v>
      </c>
      <c r="E8" s="3">
        <v>0</v>
      </c>
      <c r="F8" s="3">
        <v>0</v>
      </c>
      <c r="G8" s="3">
        <v>0</v>
      </c>
      <c r="H8" s="3">
        <v>8.4568752999999994E-5</v>
      </c>
      <c r="I8" s="3">
        <v>1.9409931999999999E-5</v>
      </c>
      <c r="J8" s="3">
        <v>-1.6177535999999999E-4</v>
      </c>
      <c r="L8" s="3">
        <f t="shared" si="0"/>
        <v>-2.4480840543881333</v>
      </c>
      <c r="M8" s="3"/>
      <c r="N8" s="2">
        <f>IF('Modell einstellen'!$B$1="Voll",H8/0.35,H8/0.35*2)</f>
        <v>4.8325001714285713E-4</v>
      </c>
      <c r="O8" s="2">
        <f>IF('Modell einstellen'!$B$1="Voll",J8/0.35,J8/0.35*2)</f>
        <v>-9.2443062857142859E-4</v>
      </c>
      <c r="P8" s="3">
        <f t="shared" si="1"/>
        <v>0.5227542253653461</v>
      </c>
    </row>
    <row r="9" spans="1:16" x14ac:dyDescent="0.25">
      <c r="A9" s="3">
        <v>1.0000000000000001E-9</v>
      </c>
      <c r="B9" s="3">
        <v>-4.8040000000000002E-4</v>
      </c>
      <c r="C9" s="3">
        <v>2.0570000000000001E-4</v>
      </c>
      <c r="D9" s="3">
        <v>-8.5829999999999996E-5</v>
      </c>
      <c r="E9" s="3">
        <v>0</v>
      </c>
      <c r="F9" s="3">
        <v>0</v>
      </c>
      <c r="G9" s="3">
        <v>0</v>
      </c>
      <c r="H9" s="3">
        <v>9.2668203999999999E-5</v>
      </c>
      <c r="I9" s="3">
        <v>1.9805566999999999E-5</v>
      </c>
      <c r="J9" s="3">
        <v>-1.7100911000000001E-4</v>
      </c>
      <c r="L9" s="3">
        <f t="shared" si="0"/>
        <v>-5.5971105674006765</v>
      </c>
      <c r="M9" s="3"/>
      <c r="N9" s="2">
        <f>IF('Modell einstellen'!$B$1="Voll",H9/0.35,H9/0.35*2)</f>
        <v>5.2953259428571427E-4</v>
      </c>
      <c r="O9" s="2">
        <f>IF('Modell einstellen'!$B$1="Voll",J9/0.35,J9/0.35*2)</f>
        <v>-9.7719491428571443E-4</v>
      </c>
      <c r="P9" s="3">
        <f t="shared" si="1"/>
        <v>0.54189045250279344</v>
      </c>
    </row>
    <row r="10" spans="1:16" x14ac:dyDescent="0.25">
      <c r="A10" s="3">
        <v>1E-8</v>
      </c>
      <c r="B10" s="3">
        <v>-5.9849999999999997E-4</v>
      </c>
      <c r="C10" s="3">
        <v>2.0990000000000001E-4</v>
      </c>
      <c r="D10" s="3">
        <v>2.285E-5</v>
      </c>
      <c r="E10" s="3">
        <v>0</v>
      </c>
      <c r="F10" s="3">
        <v>0</v>
      </c>
      <c r="G10" s="3">
        <v>0</v>
      </c>
      <c r="H10" s="3">
        <v>1.0360039E-4</v>
      </c>
      <c r="I10" s="3">
        <v>2.0253624000000001E-5</v>
      </c>
      <c r="J10" s="3">
        <v>-1.8322133E-4</v>
      </c>
      <c r="L10" s="3">
        <f t="shared" si="0"/>
        <v>26.192560175054702</v>
      </c>
      <c r="M10" s="3"/>
      <c r="N10" s="2">
        <f>IF('Modell einstellen'!$B$1="Voll",H10/0.35,H10/0.35*2)</f>
        <v>5.920022285714286E-4</v>
      </c>
      <c r="O10" s="2">
        <f>IF('Modell einstellen'!$B$1="Voll",J10/0.35,J10/0.35*2)</f>
        <v>-1.0469790285714286E-3</v>
      </c>
      <c r="P10" s="3">
        <f t="shared" si="1"/>
        <v>0.56543847815098824</v>
      </c>
    </row>
    <row r="11" spans="1:16" x14ac:dyDescent="0.25">
      <c r="A11" s="3">
        <v>9.9999999999999995E-8</v>
      </c>
      <c r="B11" s="3">
        <v>-7.6999999999999996E-4</v>
      </c>
      <c r="C11" s="3">
        <v>2.1440000000000001E-4</v>
      </c>
      <c r="D11" s="3">
        <v>1.838E-4</v>
      </c>
      <c r="E11" s="3">
        <v>0</v>
      </c>
      <c r="F11" s="3">
        <v>0</v>
      </c>
      <c r="G11" s="3">
        <v>0</v>
      </c>
      <c r="H11" s="3">
        <v>1.1885212E-4</v>
      </c>
      <c r="I11" s="3">
        <v>2.0754103E-5</v>
      </c>
      <c r="J11" s="3">
        <v>-1.9989363000000001E-4</v>
      </c>
      <c r="L11" s="3">
        <f t="shared" si="0"/>
        <v>4.1893362350380849</v>
      </c>
      <c r="M11" s="3"/>
      <c r="N11" s="2">
        <f>IF('Modell einstellen'!$B$1="Voll",H11/0.35,H11/0.35*2)</f>
        <v>6.7915497142857144E-4</v>
      </c>
      <c r="O11" s="2">
        <f>IF('Modell einstellen'!$B$1="Voll",J11/0.35,J11/0.35*2)</f>
        <v>-1.1422493142857143E-3</v>
      </c>
      <c r="P11" s="3">
        <f t="shared" si="1"/>
        <v>0.59457682568474046</v>
      </c>
    </row>
    <row r="12" spans="1:16" x14ac:dyDescent="0.25">
      <c r="A12" s="3">
        <v>9.9999999999999995E-7</v>
      </c>
      <c r="B12" s="3">
        <v>-1.0460000000000001E-3</v>
      </c>
      <c r="C12" s="3">
        <v>2.196E-4</v>
      </c>
      <c r="D12" s="3">
        <v>4.482E-4</v>
      </c>
      <c r="E12" s="3">
        <v>0</v>
      </c>
      <c r="F12" s="3">
        <v>0</v>
      </c>
      <c r="G12" s="3">
        <v>0</v>
      </c>
      <c r="H12" s="3">
        <v>1.4248821E-4</v>
      </c>
      <c r="I12" s="3">
        <v>2.1336318E-5</v>
      </c>
      <c r="J12" s="3">
        <v>-2.2516360999999999E-4</v>
      </c>
      <c r="L12" s="3">
        <f t="shared" si="0"/>
        <v>2.3337795626952254</v>
      </c>
      <c r="M12" s="3"/>
      <c r="N12" s="2">
        <f>IF('Modell einstellen'!$B$1="Voll",H12/0.35,H12/0.35*2)</f>
        <v>8.1421834285714287E-4</v>
      </c>
      <c r="O12" s="2">
        <f>IF('Modell einstellen'!$B$1="Voll",J12/0.35,J12/0.35*2)</f>
        <v>-1.2866492E-3</v>
      </c>
      <c r="P12" s="3">
        <f t="shared" si="1"/>
        <v>0.6328207741917089</v>
      </c>
    </row>
    <row r="13" spans="1:16" x14ac:dyDescent="0.25">
      <c r="A13" s="3">
        <v>1.0000000000000001E-5</v>
      </c>
      <c r="B13" s="3">
        <v>-1.531E-3</v>
      </c>
      <c r="C13" s="3">
        <v>2.252E-4</v>
      </c>
      <c r="D13" s="3">
        <v>9.1929999999999996E-4</v>
      </c>
      <c r="E13" s="3">
        <v>0</v>
      </c>
      <c r="F13" s="3">
        <v>0</v>
      </c>
      <c r="G13" s="3">
        <v>0</v>
      </c>
      <c r="H13" s="3">
        <v>1.8227251E-4</v>
      </c>
      <c r="I13" s="3">
        <v>2.1992198E-5</v>
      </c>
      <c r="J13" s="3">
        <v>-2.6674148000000001E-4</v>
      </c>
      <c r="L13" s="3">
        <f t="shared" si="0"/>
        <v>1.6653975851191125</v>
      </c>
      <c r="M13" s="3"/>
      <c r="N13" s="2">
        <f>IF('Modell einstellen'!$B$1="Voll",H13/0.35,H13/0.35*2)</f>
        <v>1.0415572000000001E-3</v>
      </c>
      <c r="O13" s="2">
        <f>IF('Modell einstellen'!$B$1="Voll",J13/0.35,J13/0.35*2)</f>
        <v>-1.5242370285714288E-3</v>
      </c>
      <c r="P13" s="3">
        <f t="shared" si="1"/>
        <v>0.68333020421120849</v>
      </c>
    </row>
    <row r="14" spans="1:16" x14ac:dyDescent="0.25">
      <c r="A14" s="3">
        <v>1E-4</v>
      </c>
      <c r="B14" s="3">
        <v>-2.4109999999999999E-3</v>
      </c>
      <c r="C14" s="3">
        <v>2.3059999999999999E-4</v>
      </c>
      <c r="D14" s="3">
        <v>1.787E-3</v>
      </c>
      <c r="E14" s="3">
        <v>0</v>
      </c>
      <c r="F14" s="3">
        <v>0</v>
      </c>
      <c r="G14" s="3">
        <v>0</v>
      </c>
      <c r="H14" s="3">
        <v>2.5196988000000001E-4</v>
      </c>
      <c r="I14" s="3">
        <v>2.2649053000000001E-5</v>
      </c>
      <c r="J14" s="3">
        <v>-3.3810558999999998E-4</v>
      </c>
      <c r="L14" s="3">
        <f t="shared" si="0"/>
        <v>1.3491885842193621</v>
      </c>
      <c r="M14" s="3"/>
      <c r="N14" s="2">
        <f>IF('Modell einstellen'!$B$1="Voll",H14/0.35,H14/0.35*2)</f>
        <v>1.4398278857142858E-3</v>
      </c>
      <c r="O14" s="2">
        <f>IF('Modell einstellen'!$B$1="Voll",J14/0.35,J14/0.35*2)</f>
        <v>-1.9320319428571429E-3</v>
      </c>
      <c r="P14" s="3">
        <f t="shared" si="1"/>
        <v>0.74524020735652441</v>
      </c>
    </row>
    <row r="15" spans="1:16" x14ac:dyDescent="0.25">
      <c r="A15" s="3">
        <v>1E-3</v>
      </c>
      <c r="B15" s="3">
        <v>-3.9090000000000001E-3</v>
      </c>
      <c r="C15" s="3">
        <v>2.3450000000000001E-4</v>
      </c>
      <c r="D15" s="3">
        <v>3.2750000000000001E-3</v>
      </c>
      <c r="E15" s="3">
        <v>0</v>
      </c>
      <c r="F15" s="3">
        <v>0</v>
      </c>
      <c r="G15" s="3">
        <v>0</v>
      </c>
      <c r="H15" s="3">
        <v>3.6729499E-4</v>
      </c>
      <c r="I15" s="3">
        <v>2.3196563999999999E-5</v>
      </c>
      <c r="J15" s="3">
        <v>-4.5447880999999998E-4</v>
      </c>
      <c r="L15" s="3">
        <f t="shared" si="0"/>
        <v>1.1935877862595419</v>
      </c>
      <c r="M15" s="3"/>
      <c r="N15" s="2">
        <f>IF('Modell einstellen'!$B$1="Voll",H15/0.35,H15/0.35*2)</f>
        <v>2.0988285142857143E-3</v>
      </c>
      <c r="O15" s="2">
        <f>IF('Modell einstellen'!$B$1="Voll",J15/0.35,J15/0.35*2)</f>
        <v>-2.5970217714285713E-3</v>
      </c>
      <c r="P15" s="3">
        <f t="shared" si="1"/>
        <v>0.80816746989810162</v>
      </c>
    </row>
    <row r="16" spans="1:16" x14ac:dyDescent="0.25">
      <c r="A16" s="3">
        <v>0.01</v>
      </c>
      <c r="B16" s="3">
        <v>-6.117E-3</v>
      </c>
      <c r="C16" s="3">
        <v>2.374E-4</v>
      </c>
      <c r="D16" s="3">
        <v>5.4770000000000001E-3</v>
      </c>
      <c r="E16" s="3">
        <v>0</v>
      </c>
      <c r="F16" s="3">
        <v>0</v>
      </c>
      <c r="G16" s="3">
        <v>0</v>
      </c>
      <c r="H16" s="3">
        <v>5.3482764000000003E-4</v>
      </c>
      <c r="I16" s="3">
        <v>2.3813631E-5</v>
      </c>
      <c r="J16" s="3">
        <v>-6.2250825999999996E-4</v>
      </c>
      <c r="L16" s="3">
        <f t="shared" si="0"/>
        <v>1.1168522914004018</v>
      </c>
      <c r="M16" s="3"/>
      <c r="N16" s="2">
        <f>IF('Modell einstellen'!$B$1="Voll",H16/0.35,H16/0.35*2)</f>
        <v>3.0561579428571434E-3</v>
      </c>
      <c r="O16" s="2">
        <f>IF('Modell einstellen'!$B$1="Voll",J16/0.35,J16/0.35*2)</f>
        <v>-3.5571900571428573E-3</v>
      </c>
      <c r="P16" s="3">
        <f t="shared" si="1"/>
        <v>0.85914946735003972</v>
      </c>
    </row>
    <row r="17" spans="1:16" x14ac:dyDescent="0.25">
      <c r="A17" s="3">
        <v>0.1</v>
      </c>
      <c r="B17" s="3">
        <v>-8.4670000000000006E-3</v>
      </c>
      <c r="C17" s="3">
        <v>2.4379999999999999E-4</v>
      </c>
      <c r="D17" s="3">
        <v>7.8209999999999998E-3</v>
      </c>
      <c r="E17" s="3">
        <v>0</v>
      </c>
      <c r="F17" s="3">
        <v>0</v>
      </c>
      <c r="G17" s="3">
        <v>0</v>
      </c>
      <c r="H17" s="3">
        <v>7.1617109999999996E-4</v>
      </c>
      <c r="I17" s="3">
        <v>2.6397638E-5</v>
      </c>
      <c r="J17" s="3">
        <v>-8.0748215000000004E-4</v>
      </c>
      <c r="L17" s="3">
        <f t="shared" si="0"/>
        <v>1.0825981332310448</v>
      </c>
      <c r="M17" s="3"/>
      <c r="N17" s="2">
        <f>IF('Modell einstellen'!$B$1="Voll",H17/0.35,H17/0.35*2)</f>
        <v>4.0924062857142854E-3</v>
      </c>
      <c r="O17" s="2">
        <f>IF('Modell einstellen'!$B$1="Voll",J17/0.35,J17/0.35*2)</f>
        <v>-4.6141837142857148E-3</v>
      </c>
      <c r="P17" s="3">
        <f t="shared" si="1"/>
        <v>0.88691880061992689</v>
      </c>
    </row>
    <row r="18" spans="1:16" x14ac:dyDescent="0.25">
      <c r="A18" s="3">
        <v>1</v>
      </c>
      <c r="B18" s="3">
        <v>-1.0120000000000001E-2</v>
      </c>
      <c r="C18" s="3">
        <v>2.6600000000000001E-4</v>
      </c>
      <c r="D18" s="3">
        <v>9.4590000000000004E-3</v>
      </c>
      <c r="E18" s="3">
        <v>0</v>
      </c>
      <c r="F18" s="3">
        <v>0</v>
      </c>
      <c r="G18" s="3">
        <v>0</v>
      </c>
      <c r="H18" s="3">
        <v>8.6830193999999996E-4</v>
      </c>
      <c r="I18" s="3">
        <v>3.999986E-5</v>
      </c>
      <c r="J18" s="3">
        <v>-9.840974499999999E-4</v>
      </c>
      <c r="L18" s="3">
        <f t="shared" si="0"/>
        <v>1.0698805370546569</v>
      </c>
      <c r="M18" s="3"/>
      <c r="N18" s="2">
        <f>IF('Modell einstellen'!$B$1="Voll",H18/0.35,H18/0.35*2)</f>
        <v>4.9617253714285712E-3</v>
      </c>
      <c r="O18" s="2">
        <f>IF('Modell einstellen'!$B$1="Voll",J18/0.35,J18/0.35*2)</f>
        <v>-5.6234140000000002E-3</v>
      </c>
      <c r="P18" s="3">
        <f t="shared" si="1"/>
        <v>0.88233328924894572</v>
      </c>
    </row>
    <row r="19" spans="1:16" x14ac:dyDescent="0.25">
      <c r="A19" s="3">
        <v>10</v>
      </c>
      <c r="B19" s="3">
        <v>-1.0449999999999999E-2</v>
      </c>
      <c r="C19" s="3">
        <v>3.634E-4</v>
      </c>
      <c r="D19" s="3">
        <v>9.6959999999999998E-3</v>
      </c>
      <c r="E19" s="3">
        <v>0</v>
      </c>
      <c r="F19" s="3">
        <v>0</v>
      </c>
      <c r="G19" s="3">
        <v>0</v>
      </c>
      <c r="H19" s="3">
        <v>9.7939724000000003E-4</v>
      </c>
      <c r="I19" s="3">
        <v>8.6248950000000004E-5</v>
      </c>
      <c r="J19" s="3">
        <v>-1.1823451E-3</v>
      </c>
      <c r="L19" s="3">
        <f t="shared" si="0"/>
        <v>1.0777640264026402</v>
      </c>
      <c r="M19" s="3"/>
      <c r="N19" s="2">
        <f>IF('Modell einstellen'!$B$1="Voll",H19/0.35,H19/0.35*2)</f>
        <v>5.5965556571428579E-3</v>
      </c>
      <c r="O19" s="2">
        <f>IF('Modell einstellen'!$B$1="Voll",J19/0.35,J19/0.35*2)</f>
        <v>-6.7562577142857147E-3</v>
      </c>
      <c r="P19" s="3">
        <f t="shared" si="1"/>
        <v>0.82835141787283606</v>
      </c>
    </row>
    <row r="20" spans="1:16" x14ac:dyDescent="0.25">
      <c r="A20" s="3">
        <v>100</v>
      </c>
      <c r="B20" s="3">
        <v>-9.2110000000000004E-3</v>
      </c>
      <c r="C20" s="3">
        <v>7.1869999999999996E-4</v>
      </c>
      <c r="D20" s="3">
        <v>8.1370000000000001E-3</v>
      </c>
      <c r="E20" s="3">
        <v>0</v>
      </c>
      <c r="F20" s="3">
        <v>0</v>
      </c>
      <c r="G20" s="3">
        <v>0</v>
      </c>
      <c r="H20" s="3">
        <v>1.0963253000000001E-3</v>
      </c>
      <c r="I20" s="3">
        <v>2.0975084000000001E-4</v>
      </c>
      <c r="J20" s="3">
        <v>-1.534274E-3</v>
      </c>
      <c r="L20" s="3">
        <f t="shared" si="0"/>
        <v>1.1319896767850559</v>
      </c>
      <c r="M20" s="3"/>
      <c r="N20" s="2">
        <f>IF('Modell einstellen'!$B$1="Voll",H20/0.35,H20/0.35*2)</f>
        <v>6.2647160000000009E-3</v>
      </c>
      <c r="O20" s="2">
        <f>IF('Modell einstellen'!$B$1="Voll",J20/0.35,J20/0.35*2)</f>
        <v>-8.7672800000000006E-3</v>
      </c>
      <c r="P20" s="3">
        <f t="shared" si="1"/>
        <v>0.71455639605442056</v>
      </c>
    </row>
    <row r="21" spans="1:16" x14ac:dyDescent="0.25">
      <c r="A21" s="3">
        <v>1000</v>
      </c>
      <c r="B21" s="3">
        <v>-6.6889999999999996E-3</v>
      </c>
      <c r="C21" s="3">
        <v>1.4920000000000001E-3</v>
      </c>
      <c r="D21" s="3">
        <v>4.8869999999999999E-3</v>
      </c>
      <c r="E21" s="3">
        <v>0</v>
      </c>
      <c r="F21" s="3">
        <v>0</v>
      </c>
      <c r="G21" s="3">
        <v>0</v>
      </c>
      <c r="H21" s="3">
        <v>1.2083096000000001E-3</v>
      </c>
      <c r="I21" s="3">
        <v>4.1216990999999999E-4</v>
      </c>
      <c r="J21" s="3">
        <v>-2.0310861000000001E-3</v>
      </c>
      <c r="L21" s="3">
        <f t="shared" si="0"/>
        <v>1.3687333742582362</v>
      </c>
      <c r="M21" s="3"/>
      <c r="N21" s="2">
        <f>IF('Modell einstellen'!$B$1="Voll",H21/0.35,H21/0.35*2)</f>
        <v>6.9046262857142869E-3</v>
      </c>
      <c r="O21" s="2">
        <f>IF('Modell einstellen'!$B$1="Voll",J21/0.35,J21/0.35*2)</f>
        <v>-1.1606206285714286E-2</v>
      </c>
      <c r="P21" s="3">
        <f t="shared" si="1"/>
        <v>0.59490811344728323</v>
      </c>
    </row>
    <row r="22" spans="1:16" x14ac:dyDescent="0.25">
      <c r="A22" s="3">
        <v>10000</v>
      </c>
      <c r="B22" s="3">
        <v>-4.0289999999999996E-3</v>
      </c>
      <c r="C22" s="3">
        <v>2.5230000000000001E-3</v>
      </c>
      <c r="D22" s="3">
        <v>1.242E-3</v>
      </c>
      <c r="E22" s="3">
        <v>0</v>
      </c>
      <c r="F22" s="3">
        <v>0</v>
      </c>
      <c r="G22" s="3">
        <v>0</v>
      </c>
      <c r="H22" s="3">
        <v>1.287765E-3</v>
      </c>
      <c r="I22" s="3">
        <v>6.2456394E-4</v>
      </c>
      <c r="J22" s="3">
        <v>-2.5127003000000002E-3</v>
      </c>
      <c r="L22" s="3">
        <f t="shared" si="0"/>
        <v>3.2439613526570046</v>
      </c>
      <c r="M22" s="3"/>
      <c r="N22" s="2">
        <f>IF('Modell einstellen'!$B$1="Voll",H22/0.35,H22/0.35*2)</f>
        <v>7.358657142857143E-3</v>
      </c>
      <c r="O22" s="2">
        <f>IF('Modell einstellen'!$B$1="Voll",J22/0.35,J22/0.35*2)</f>
        <v>-1.4358287428571431E-2</v>
      </c>
      <c r="P22" s="3">
        <f t="shared" si="1"/>
        <v>0.51250242617474107</v>
      </c>
    </row>
    <row r="23" spans="1:16" x14ac:dyDescent="0.25">
      <c r="A23" s="3">
        <v>100000</v>
      </c>
      <c r="B23" s="3">
        <v>-2.225E-3</v>
      </c>
      <c r="C23" s="3">
        <v>3.6440000000000001E-3</v>
      </c>
      <c r="D23" s="3">
        <v>-1.6479999999999999E-3</v>
      </c>
      <c r="E23" s="3">
        <v>0</v>
      </c>
      <c r="F23" s="3">
        <v>0</v>
      </c>
      <c r="G23" s="3">
        <v>0</v>
      </c>
      <c r="H23" s="3">
        <v>1.3966364000000001E-3</v>
      </c>
      <c r="I23" s="3">
        <v>8.2631632000000003E-4</v>
      </c>
      <c r="J23" s="3">
        <v>-3.0008460000000002E-3</v>
      </c>
      <c r="L23" s="3">
        <f t="shared" si="0"/>
        <v>-1.350121359223301</v>
      </c>
      <c r="M23" s="3"/>
      <c r="N23" s="2">
        <f>IF('Modell einstellen'!$B$1="Voll",H23/0.35,H23/0.35*2)</f>
        <v>7.9807794285714287E-3</v>
      </c>
      <c r="O23" s="2">
        <f>IF('Modell einstellen'!$B$1="Voll",J23/0.35,J23/0.35*2)</f>
        <v>-1.7147691428571431E-2</v>
      </c>
      <c r="P23" s="3">
        <f t="shared" si="1"/>
        <v>0.46541421985666703</v>
      </c>
    </row>
    <row r="24" spans="1:16" x14ac:dyDescent="0.25">
      <c r="A24" s="3">
        <v>1000000</v>
      </c>
      <c r="B24" s="3">
        <v>-5.9429999999999997E-4</v>
      </c>
      <c r="C24" s="3">
        <v>4.6220000000000002E-3</v>
      </c>
      <c r="D24" s="3">
        <v>-4.2319999999999997E-3</v>
      </c>
      <c r="E24" s="3">
        <v>0</v>
      </c>
      <c r="F24" s="3">
        <v>0</v>
      </c>
      <c r="G24" s="3">
        <v>0</v>
      </c>
      <c r="H24" s="3">
        <v>1.4488960000000001E-3</v>
      </c>
      <c r="I24" s="3">
        <v>9.7982032999999994E-4</v>
      </c>
      <c r="J24" s="3">
        <v>-3.3409365999999999E-3</v>
      </c>
      <c r="L24" s="3">
        <f t="shared" si="0"/>
        <v>-0.14043005671077505</v>
      </c>
      <c r="M24" s="3"/>
      <c r="N24" s="2">
        <f>IF('Modell einstellen'!$B$1="Voll",H24/0.35,H24/0.35*2)</f>
        <v>8.2794057142857157E-3</v>
      </c>
      <c r="O24" s="2">
        <f>IF('Modell einstellen'!$B$1="Voll",J24/0.35,J24/0.35*2)</f>
        <v>-1.9091066285714286E-2</v>
      </c>
      <c r="P24" s="3">
        <f t="shared" si="1"/>
        <v>0.4336795855389774</v>
      </c>
    </row>
    <row r="25" spans="1:16" x14ac:dyDescent="0.25">
      <c r="A25" s="3">
        <v>10000000</v>
      </c>
      <c r="B25" s="3">
        <v>6.0590000000000004E-4</v>
      </c>
      <c r="C25" s="3">
        <v>5.3489999999999996E-3</v>
      </c>
      <c r="D25" s="3">
        <v>-6.1409999999999998E-3</v>
      </c>
      <c r="E25" s="3">
        <v>0</v>
      </c>
      <c r="F25" s="3">
        <v>0</v>
      </c>
      <c r="G25" s="3">
        <v>0</v>
      </c>
      <c r="H25" s="3">
        <v>1.4670028999999999E-3</v>
      </c>
      <c r="I25" s="3">
        <v>1.0784218E-3</v>
      </c>
      <c r="J25" s="3">
        <v>-3.5436636000000001E-3</v>
      </c>
      <c r="L25" s="3">
        <f t="shared" si="0"/>
        <v>9.8664712587526474E-2</v>
      </c>
      <c r="M25" s="3"/>
      <c r="N25" s="2">
        <f>IF('Modell einstellen'!$B$1="Voll",H25/0.35,H25/0.35*2)</f>
        <v>8.3828737142857147E-3</v>
      </c>
      <c r="O25" s="2">
        <f>IF('Modell einstellen'!$B$1="Voll",J25/0.35,J25/0.35*2)</f>
        <v>-2.0249506285714286E-2</v>
      </c>
      <c r="P25" s="3">
        <f t="shared" si="1"/>
        <v>0.41397916551672681</v>
      </c>
    </row>
    <row r="26" spans="1:16" x14ac:dyDescent="0.25">
      <c r="A26" s="3">
        <v>100000000</v>
      </c>
      <c r="B26" s="3">
        <v>1.418E-3</v>
      </c>
      <c r="C26" s="3">
        <v>5.8809999999999999E-3</v>
      </c>
      <c r="D26" s="3">
        <v>-7.4720000000000003E-3</v>
      </c>
      <c r="E26" s="3">
        <v>0</v>
      </c>
      <c r="F26" s="3">
        <v>0</v>
      </c>
      <c r="G26" s="3">
        <v>0</v>
      </c>
      <c r="H26" s="3">
        <v>1.4774314000000001E-3</v>
      </c>
      <c r="I26" s="3">
        <v>1.1423606E-3</v>
      </c>
      <c r="J26" s="3">
        <v>-3.6735983999999998E-3</v>
      </c>
      <c r="L26" s="3">
        <f t="shared" si="0"/>
        <v>0.18977516059957172</v>
      </c>
      <c r="M26" s="3"/>
      <c r="N26" s="2">
        <f>IF('Modell einstellen'!$B$1="Voll",H26/0.35,H26/0.35*2)</f>
        <v>8.4424651428571442E-3</v>
      </c>
      <c r="O26" s="2">
        <f>IF('Modell einstellen'!$B$1="Voll",J26/0.35,J26/0.35*2)</f>
        <v>-2.0991990857142859E-2</v>
      </c>
      <c r="P26" s="3">
        <f t="shared" si="1"/>
        <v>0.40217553448411786</v>
      </c>
    </row>
    <row r="27" spans="1:16" x14ac:dyDescent="0.25">
      <c r="A27" s="3">
        <v>1000000000</v>
      </c>
      <c r="B27" s="3">
        <v>1.9859999999999999E-3</v>
      </c>
      <c r="C27" s="3">
        <v>6.2639999999999996E-3</v>
      </c>
      <c r="D27" s="3">
        <v>-8.4159999999999999E-3</v>
      </c>
      <c r="E27" s="3">
        <v>0</v>
      </c>
      <c r="F27" s="3">
        <v>0</v>
      </c>
      <c r="G27" s="3">
        <v>0</v>
      </c>
      <c r="H27" s="3">
        <v>1.4850436999999999E-3</v>
      </c>
      <c r="I27" s="3">
        <v>1.184287E-3</v>
      </c>
      <c r="J27" s="3">
        <v>-3.7594483E-3</v>
      </c>
      <c r="L27" s="3">
        <f t="shared" si="0"/>
        <v>0.23597908745247148</v>
      </c>
      <c r="M27" s="3"/>
      <c r="N27" s="2">
        <f>IF('Modell einstellen'!$B$1="Voll",H27/0.35,H27/0.35*2)</f>
        <v>8.4859640000000004E-3</v>
      </c>
      <c r="O27" s="2">
        <f>IF('Modell einstellen'!$B$1="Voll",J27/0.35,J27/0.35*2)</f>
        <v>-2.1482561714285715E-2</v>
      </c>
      <c r="P27" s="3">
        <f t="shared" si="1"/>
        <v>0.39501639110185399</v>
      </c>
    </row>
    <row r="28" spans="1:16" x14ac:dyDescent="0.25">
      <c r="A28" s="3">
        <v>10000000000</v>
      </c>
      <c r="B28" s="3">
        <v>2.1159999999999998E-3</v>
      </c>
      <c r="C28" s="3">
        <v>6.3540000000000003E-3</v>
      </c>
      <c r="D28" s="3">
        <v>-8.633E-3</v>
      </c>
      <c r="E28" s="3">
        <v>0</v>
      </c>
      <c r="F28" s="3">
        <v>0</v>
      </c>
      <c r="G28" s="3">
        <v>0</v>
      </c>
      <c r="H28" s="3">
        <v>1.4872793999999999E-3</v>
      </c>
      <c r="I28" s="3">
        <v>1.1940289000000001E-3</v>
      </c>
      <c r="J28" s="3">
        <v>-3.7798259E-3</v>
      </c>
      <c r="L28" s="3">
        <f t="shared" si="0"/>
        <v>0.24510598864821034</v>
      </c>
      <c r="M28" s="3"/>
      <c r="N28" s="2">
        <f>IF('Modell einstellen'!$B$1="Voll",H28/0.35,H28/0.35*2)</f>
        <v>8.4987394285714283E-3</v>
      </c>
      <c r="O28" s="2">
        <f>IF('Modell einstellen'!$B$1="Voll",J28/0.35,J28/0.35*2)</f>
        <v>-2.1599005142857144E-2</v>
      </c>
      <c r="P28" s="3">
        <f t="shared" si="1"/>
        <v>0.39347828163196613</v>
      </c>
    </row>
    <row r="29" spans="1:16" x14ac:dyDescent="0.25">
      <c r="A29" s="3">
        <v>100000000000</v>
      </c>
      <c r="B29" s="3">
        <v>2.2790000000000002E-3</v>
      </c>
      <c r="C29" s="3">
        <v>6.4679999999999998E-3</v>
      </c>
      <c r="D29" s="3">
        <v>-8.9090000000000003E-3</v>
      </c>
      <c r="E29" s="3">
        <v>0</v>
      </c>
      <c r="F29" s="3">
        <v>0</v>
      </c>
      <c r="G29" s="3">
        <v>0</v>
      </c>
      <c r="H29" s="3">
        <v>1.4899183999999999E-3</v>
      </c>
      <c r="I29" s="3">
        <v>1.2060299E-3</v>
      </c>
      <c r="J29" s="3">
        <v>-3.8048327E-3</v>
      </c>
      <c r="L29" s="3">
        <f t="shared" si="0"/>
        <v>0.25580873274217086</v>
      </c>
      <c r="M29" s="3"/>
      <c r="N29" s="2">
        <f>IF('Modell einstellen'!$B$1="Voll",H29/0.35,H29/0.35*2)</f>
        <v>8.5138194285714289E-3</v>
      </c>
      <c r="O29" s="2">
        <f>IF('Modell einstellen'!$B$1="Voll",J29/0.35,J29/0.35*2)</f>
        <v>-2.1741901142857144E-2</v>
      </c>
      <c r="P29" s="3">
        <f t="shared" si="1"/>
        <v>0.39158578509903996</v>
      </c>
    </row>
    <row r="30" spans="1:16" x14ac:dyDescent="0.25">
      <c r="A30" s="3">
        <v>1000000000000</v>
      </c>
      <c r="B30" s="3">
        <v>2.826E-3</v>
      </c>
      <c r="C30" s="3">
        <v>6.8079999999999998E-3</v>
      </c>
      <c r="D30" s="3">
        <v>-9.7890000000000008E-3</v>
      </c>
      <c r="E30" s="3">
        <v>0</v>
      </c>
      <c r="F30" s="3">
        <v>0</v>
      </c>
      <c r="G30" s="3">
        <v>0</v>
      </c>
      <c r="H30" s="3">
        <v>1.4978439000000001E-3</v>
      </c>
      <c r="I30" s="3">
        <v>1.237358E-3</v>
      </c>
      <c r="J30" s="3">
        <v>-3.8710681000000001E-3</v>
      </c>
      <c r="L30" s="3">
        <f t="shared" si="0"/>
        <v>0.28869138829298191</v>
      </c>
      <c r="M30" s="3"/>
      <c r="N30" s="2">
        <f>IF('Modell einstellen'!$B$1="Voll",H30/0.35,H30/0.35*2)</f>
        <v>8.559108000000001E-3</v>
      </c>
      <c r="O30" s="2">
        <f>IF('Modell einstellen'!$B$1="Voll",J30/0.35,J30/0.35*2)</f>
        <v>-2.2120389142857143E-2</v>
      </c>
      <c r="P30" s="3">
        <f t="shared" si="1"/>
        <v>0.38693297594015463</v>
      </c>
    </row>
    <row r="31" spans="1:16" x14ac:dyDescent="0.25">
      <c r="A31" s="3">
        <v>10000000000000</v>
      </c>
      <c r="B31" s="3">
        <v>2.8300000000000001E-3</v>
      </c>
      <c r="C31" s="3">
        <v>6.8129999999999996E-3</v>
      </c>
      <c r="D31" s="3">
        <v>-9.7990000000000004E-3</v>
      </c>
      <c r="E31" s="3">
        <v>0</v>
      </c>
      <c r="F31" s="3">
        <v>0</v>
      </c>
      <c r="G31" s="3">
        <v>0</v>
      </c>
      <c r="H31" s="3">
        <v>1.4983258000000001E-3</v>
      </c>
      <c r="I31" s="3">
        <v>1.2379768000000001E-3</v>
      </c>
      <c r="J31" s="3">
        <v>-3.8726876999999999E-3</v>
      </c>
      <c r="L31" s="3">
        <f t="shared" si="0"/>
        <v>0.28880498010001021</v>
      </c>
      <c r="M31" s="3"/>
      <c r="N31" s="2">
        <f>IF('Modell einstellen'!$B$1="Voll",H31/0.35,H31/0.35*2)</f>
        <v>8.5618617142857144E-3</v>
      </c>
      <c r="O31" s="2">
        <f>IF('Modell einstellen'!$B$1="Voll",J31/0.35,J31/0.35*2)</f>
        <v>-2.2129644E-2</v>
      </c>
      <c r="P31" s="3">
        <f t="shared" si="1"/>
        <v>0.38689559191669393</v>
      </c>
    </row>
    <row r="32" spans="1:16" x14ac:dyDescent="0.25">
      <c r="A32" s="3">
        <v>100000000000000</v>
      </c>
      <c r="B32" s="3">
        <v>3.1059999999999998E-3</v>
      </c>
      <c r="C32" s="3">
        <v>6.973E-3</v>
      </c>
      <c r="D32" s="3">
        <v>-1.023E-2</v>
      </c>
      <c r="E32" s="3">
        <v>0</v>
      </c>
      <c r="F32" s="3">
        <v>0</v>
      </c>
      <c r="G32" s="3">
        <v>0</v>
      </c>
      <c r="H32" s="3">
        <v>1.5017183000000001E-3</v>
      </c>
      <c r="I32" s="3">
        <v>1.2518473E-3</v>
      </c>
      <c r="J32" s="3">
        <v>-3.9018899999999999E-3</v>
      </c>
      <c r="L32" s="3">
        <f t="shared" si="0"/>
        <v>0.30361681329423262</v>
      </c>
      <c r="M32" s="3"/>
      <c r="N32" s="2">
        <f>IF('Modell einstellen'!$B$1="Voll",H32/0.35,H32/0.35*2)</f>
        <v>8.5812474285714303E-3</v>
      </c>
      <c r="O32" s="2">
        <f>IF('Modell einstellen'!$B$1="Voll",J32/0.35,J32/0.35*2)</f>
        <v>-2.2296514285714285E-2</v>
      </c>
      <c r="P32" s="3">
        <f t="shared" si="1"/>
        <v>0.38486946069725192</v>
      </c>
    </row>
    <row r="33" spans="1:16" x14ac:dyDescent="0.25">
      <c r="A33" s="3">
        <v>1000000000000000</v>
      </c>
      <c r="B33" s="3">
        <v>3.2130000000000001E-3</v>
      </c>
      <c r="C33" s="3">
        <v>7.0590000000000002E-3</v>
      </c>
      <c r="D33" s="3">
        <v>-1.042E-2</v>
      </c>
      <c r="E33" s="3">
        <v>0</v>
      </c>
      <c r="F33" s="3">
        <v>0</v>
      </c>
      <c r="G33" s="3">
        <v>0</v>
      </c>
      <c r="H33" s="3">
        <v>1.5019628E-3</v>
      </c>
      <c r="I33" s="3">
        <v>1.258129E-3</v>
      </c>
      <c r="J33" s="3">
        <v>-3.9138471999999999E-3</v>
      </c>
      <c r="L33" s="3">
        <f t="shared" si="0"/>
        <v>0.30834932821497119</v>
      </c>
      <c r="M33" s="3"/>
      <c r="N33" s="2">
        <f>IF('Modell einstellen'!$B$1="Voll",H33/0.35,H33/0.35*2)</f>
        <v>8.5826445714285715E-3</v>
      </c>
      <c r="O33" s="2">
        <f>IF('Modell einstellen'!$B$1="Voll",J33/0.35,J33/0.35*2)</f>
        <v>-2.2364841142857143E-2</v>
      </c>
      <c r="P33" s="3">
        <f t="shared" si="1"/>
        <v>0.38375611597713882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2022-01-12T10:17:09Z</dcterms:modified>
</cp:coreProperties>
</file>