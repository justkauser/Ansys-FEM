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<sst xmlns="http://schemas.openxmlformats.org/spreadsheetml/2006/main" count="311" uniqueCount="164">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</sst>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6796480"/>
        <c:axId val="4367988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6796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6798832"/>
        <c:crossesAt val="-8.0000000000000019E-3"/>
        <c:crossBetween val="midCat"/>
      </c:valAx>
      <c:valAx>
        <c:axId val="436798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6796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6398696"/>
        <c:axId val="4418128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63986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2816"/>
        <c:crosses val="autoZero"/>
        <c:crossBetween val="midCat"/>
      </c:valAx>
      <c:valAx>
        <c:axId val="44181281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63986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1813600"/>
        <c:axId val="4418163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18136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6344"/>
        <c:crosses val="autoZero"/>
        <c:crossBetween val="midCat"/>
        <c:majorUnit val="10000"/>
      </c:valAx>
      <c:valAx>
        <c:axId val="44181634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360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1815168"/>
        <c:axId val="4418171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815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817128"/>
        <c:crosses val="autoZero"/>
        <c:crossBetween val="midCat"/>
        <c:majorUnit val="10000"/>
      </c:valAx>
      <c:valAx>
        <c:axId val="4418171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81516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1817520"/>
        <c:axId val="4418167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8175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6736"/>
        <c:crosses val="autoZero"/>
        <c:crossBetween val="midCat"/>
        <c:majorUnit val="10000"/>
      </c:valAx>
      <c:valAx>
        <c:axId val="44181673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75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1.4951216008788067E-2</c:v>
                </c:pt>
                <c:pt idx="1">
                  <c:v>2.0386475928074743E-2</c:v>
                </c:pt>
                <c:pt idx="2">
                  <c:v>5.6230890394433986E-3</c:v>
                </c:pt>
                <c:pt idx="3">
                  <c:v>9.4993167766202046E-4</c:v>
                </c:pt>
                <c:pt idx="4">
                  <c:v>1.3474461489562602E-4</c:v>
                </c:pt>
                <c:pt idx="5">
                  <c:v>2.6617260075802016E-5</c:v>
                </c:pt>
                <c:pt idx="6">
                  <c:v>1.5532850943639835E-5</c:v>
                </c:pt>
                <c:pt idx="7">
                  <c:v>2.6099253905621187E-5</c:v>
                </c:pt>
                <c:pt idx="8">
                  <c:v>7.3382234812306843E-5</c:v>
                </c:pt>
                <c:pt idx="9">
                  <c:v>1.5223890415586489E-4</c:v>
                </c:pt>
                <c:pt idx="10">
                  <c:v>2.7197904340979458E-4</c:v>
                </c:pt>
                <c:pt idx="11">
                  <c:v>5.0891775507734289E-4</c:v>
                </c:pt>
                <c:pt idx="12">
                  <c:v>9.4095813469514239E-4</c:v>
                </c:pt>
                <c:pt idx="13">
                  <c:v>1.4703044661009777E-3</c:v>
                </c:pt>
                <c:pt idx="14">
                  <c:v>1.756301754988959E-3</c:v>
                </c:pt>
                <c:pt idx="15">
                  <c:v>1.6191424680709753E-3</c:v>
                </c:pt>
                <c:pt idx="16">
                  <c:v>1.2196252170982235E-3</c:v>
                </c:pt>
                <c:pt idx="17">
                  <c:v>7.5554551289952173E-4</c:v>
                </c:pt>
                <c:pt idx="18">
                  <c:v>2.2887914075377824E-4</c:v>
                </c:pt>
                <c:pt idx="19">
                  <c:v>3.1484569595076226E-4</c:v>
                </c:pt>
                <c:pt idx="20">
                  <c:v>6.8333596642884947E-4</c:v>
                </c:pt>
                <c:pt idx="21">
                  <c:v>5.8136028846757747E-4</c:v>
                </c:pt>
                <c:pt idx="22">
                  <c:v>1.5135493441789427E-4</c:v>
                </c:pt>
                <c:pt idx="23">
                  <c:v>9.4858055920505143E-5</c:v>
                </c:pt>
                <c:pt idx="24">
                  <c:v>2.6524536529737209E-5</c:v>
                </c:pt>
                <c:pt idx="25">
                  <c:v>4.1563337468124263E-4</c:v>
                </c:pt>
                <c:pt idx="26">
                  <c:v>1.4915555889958023E-3</c:v>
                </c:pt>
                <c:pt idx="27">
                  <c:v>2.4224247607456469E-3</c:v>
                </c:pt>
                <c:pt idx="28">
                  <c:v>1.6904570156415972E-3</c:v>
                </c:pt>
                <c:pt idx="29">
                  <c:v>3.6640209039104349E-4</c:v>
                </c:pt>
                <c:pt idx="30">
                  <c:v>1.2174705057497343E-4</c:v>
                </c:pt>
              </c:numCache>
            </c:numRef>
          </c:yVal>
          <c:smooth val="1"/>
        </c:ser>
        <c:dLbls>
          <c:showLegendKey val="0"/>
          <c:showVal val="0"/>
          <c:showCatName val="0"/>
          <c:showSerName val="0"/>
          <c:showPercent val="0"/>
          <c:showBubbleSize val="0"/>
        </c:dLbls>
        <c:axId val="441819480"/>
        <c:axId val="441819872"/>
      </c:scatterChart>
      <c:valAx>
        <c:axId val="441819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9872"/>
        <c:crossesAt val="-1.5000000000000005E-3"/>
        <c:crossBetween val="midCat"/>
      </c:valAx>
      <c:valAx>
        <c:axId val="44181987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948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4468.4082372838066</c:v>
                </c:pt>
                <c:pt idx="1">
                  <c:v>4390.845965543057</c:v>
                </c:pt>
                <c:pt idx="2">
                  <c:v>4104.3965598352506</c:v>
                </c:pt>
                <c:pt idx="3">
                  <c:v>3949.3524107435378</c:v>
                </c:pt>
                <c:pt idx="4">
                  <c:v>3766.1164735103116</c:v>
                </c:pt>
                <c:pt idx="5">
                  <c:v>3552.0365372099081</c:v>
                </c:pt>
                <c:pt idx="6">
                  <c:v>3318.3985208352974</c:v>
                </c:pt>
                <c:pt idx="7">
                  <c:v>3050.7551410233764</c:v>
                </c:pt>
                <c:pt idx="8">
                  <c:v>2744.9331968960814</c:v>
                </c:pt>
                <c:pt idx="9">
                  <c:v>2380.3315023468026</c:v>
                </c:pt>
                <c:pt idx="10">
                  <c:v>1948.1843279248744</c:v>
                </c:pt>
                <c:pt idx="11">
                  <c:v>1483.6158212706125</c:v>
                </c:pt>
                <c:pt idx="12">
                  <c:v>1063.7679877749106</c:v>
                </c:pt>
                <c:pt idx="13">
                  <c:v>757.15832923513244</c:v>
                </c:pt>
                <c:pt idx="14">
                  <c:v>573.26904002888102</c:v>
                </c:pt>
                <c:pt idx="15">
                  <c:v>473.12515561752701</c:v>
                </c:pt>
                <c:pt idx="16">
                  <c:v>404.2724295879957</c:v>
                </c:pt>
                <c:pt idx="17">
                  <c:v>332.8751369787816</c:v>
                </c:pt>
                <c:pt idx="18">
                  <c:v>270.05028461075017</c:v>
                </c:pt>
                <c:pt idx="19">
                  <c:v>230.16247774082899</c:v>
                </c:pt>
                <c:pt idx="20">
                  <c:v>199.113456138136</c:v>
                </c:pt>
                <c:pt idx="21">
                  <c:v>182.57241594363668</c:v>
                </c:pt>
                <c:pt idx="22">
                  <c:v>174.65389795301994</c:v>
                </c:pt>
                <c:pt idx="23">
                  <c:v>169.8850588670503</c:v>
                </c:pt>
                <c:pt idx="24">
                  <c:v>166.84613285127776</c:v>
                </c:pt>
                <c:pt idx="25">
                  <c:v>166.19445204614499</c:v>
                </c:pt>
                <c:pt idx="26">
                  <c:v>165.01151279039888</c:v>
                </c:pt>
                <c:pt idx="27">
                  <c:v>163.3700872105284</c:v>
                </c:pt>
                <c:pt idx="28">
                  <c:v>162.63613005465609</c:v>
                </c:pt>
                <c:pt idx="29">
                  <c:v>161.98816665321431</c:v>
                </c:pt>
                <c:pt idx="30">
                  <c:v>161.54434356647425</c:v>
                </c:pt>
              </c:numCache>
            </c:numRef>
          </c:yVal>
          <c:smooth val="1"/>
        </c:ser>
        <c:dLbls>
          <c:showLegendKey val="0"/>
          <c:showVal val="0"/>
          <c:showCatName val="0"/>
          <c:showSerName val="0"/>
          <c:showPercent val="0"/>
          <c:showBubbleSize val="0"/>
        </c:dLbls>
        <c:axId val="441813992"/>
        <c:axId val="441814384"/>
      </c:scatterChart>
      <c:valAx>
        <c:axId val="4418139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4384"/>
        <c:crosses val="autoZero"/>
        <c:crossBetween val="midCat"/>
      </c:valAx>
      <c:valAx>
        <c:axId val="4418143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39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1.4197810947473279E-2</c:v>
                </c:pt>
                <c:pt idx="1">
                  <c:v>1.4207728180840973E-2</c:v>
                </c:pt>
                <c:pt idx="2">
                  <c:v>1.4202565785389917E-2</c:v>
                </c:pt>
                <c:pt idx="3">
                  <c:v>1.4201207260277352E-2</c:v>
                </c:pt>
                <c:pt idx="4">
                  <c:v>1.4200815685451434E-2</c:v>
                </c:pt>
                <c:pt idx="5">
                  <c:v>1.4200695816203422E-2</c:v>
                </c:pt>
                <c:pt idx="6">
                  <c:v>1.4200655865735295E-2</c:v>
                </c:pt>
                <c:pt idx="7">
                  <c:v>1.4200631953293318E-2</c:v>
                </c:pt>
                <c:pt idx="8">
                  <c:v>1.4200608594627479E-2</c:v>
                </c:pt>
                <c:pt idx="9">
                  <c:v>1.420041496459285E-2</c:v>
                </c:pt>
                <c:pt idx="10">
                  <c:v>1.4198494647022469E-2</c:v>
                </c:pt>
                <c:pt idx="11">
                  <c:v>1.4179275501701727E-2</c:v>
                </c:pt>
                <c:pt idx="12">
                  <c:v>1.3988779500532815E-2</c:v>
                </c:pt>
                <c:pt idx="13">
                  <c:v>1.2169266070071308E-2</c:v>
                </c:pt>
                <c:pt idx="14">
                  <c:v>1.0582602453494824E-3</c:v>
                </c:pt>
                <c:pt idx="15">
                  <c:v>1.8574113295471251E-2</c:v>
                </c:pt>
                <c:pt idx="16">
                  <c:v>2.2213011303280666E-2</c:v>
                </c:pt>
                <c:pt idx="17">
                  <c:v>0.26406636064495959</c:v>
                </c:pt>
                <c:pt idx="18">
                  <c:v>0.30564767822467237</c:v>
                </c:pt>
                <c:pt idx="19">
                  <c:v>0.2879846501927053</c:v>
                </c:pt>
                <c:pt idx="20">
                  <c:v>0.25563526470976849</c:v>
                </c:pt>
                <c:pt idx="21">
                  <c:v>0.1700588380001137</c:v>
                </c:pt>
                <c:pt idx="22">
                  <c:v>2.5744151184395842E-2</c:v>
                </c:pt>
                <c:pt idx="23">
                  <c:v>0.10531912376725919</c:v>
                </c:pt>
                <c:pt idx="24">
                  <c:v>0.17889668869040998</c:v>
                </c:pt>
                <c:pt idx="25">
                  <c:v>0.26871184443108265</c:v>
                </c:pt>
                <c:pt idx="26">
                  <c:v>0.32625582187451801</c:v>
                </c:pt>
                <c:pt idx="27">
                  <c:v>0.34710110041614411</c:v>
                </c:pt>
                <c:pt idx="28">
                  <c:v>0.33706343834850466</c:v>
                </c:pt>
                <c:pt idx="29">
                  <c:v>0.29795937961534125</c:v>
                </c:pt>
                <c:pt idx="30">
                  <c:v>0.2225325232968775</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5.8448057563933384E-3</c:v>
                </c:pt>
                <c:pt idx="1">
                  <c:v>5.993172199279629E-3</c:v>
                </c:pt>
                <c:pt idx="2">
                  <c:v>7.5228586562947255E-3</c:v>
                </c:pt>
                <c:pt idx="3">
                  <c:v>1.9430945621300332E-2</c:v>
                </c:pt>
                <c:pt idx="4">
                  <c:v>4.4318751208514626E-2</c:v>
                </c:pt>
                <c:pt idx="5">
                  <c:v>6.2687989945525296E-2</c:v>
                </c:pt>
                <c:pt idx="6">
                  <c:v>8.1343572691876226E-2</c:v>
                </c:pt>
                <c:pt idx="7">
                  <c:v>0.10249187989258624</c:v>
                </c:pt>
                <c:pt idx="8">
                  <c:v>0.12120062629335872</c:v>
                </c:pt>
                <c:pt idx="9">
                  <c:v>9.8386349197831374E-2</c:v>
                </c:pt>
                <c:pt idx="10">
                  <c:v>0.14206170718906075</c:v>
                </c:pt>
                <c:pt idx="11">
                  <c:v>0.21564833660417729</c:v>
                </c:pt>
                <c:pt idx="12">
                  <c:v>0.19282702672106522</c:v>
                </c:pt>
                <c:pt idx="13">
                  <c:v>0.16521300891538862</c:v>
                </c:pt>
                <c:pt idx="14">
                  <c:v>0.12954777698932413</c:v>
                </c:pt>
                <c:pt idx="15">
                  <c:v>8.925441615643373E-2</c:v>
                </c:pt>
                <c:pt idx="16">
                  <c:v>6.5551133646862894E-2</c:v>
                </c:pt>
                <c:pt idx="17">
                  <c:v>5.2943839100214919E-2</c:v>
                </c:pt>
                <c:pt idx="18">
                  <c:v>6.8010807398427991E-2</c:v>
                </c:pt>
                <c:pt idx="19">
                  <c:v>0.2214195688386805</c:v>
                </c:pt>
                <c:pt idx="20">
                  <c:v>0.35835907297551883</c:v>
                </c:pt>
                <c:pt idx="21">
                  <c:v>0.45686469237248317</c:v>
                </c:pt>
                <c:pt idx="22">
                  <c:v>0.51474869308168425</c:v>
                </c:pt>
                <c:pt idx="23">
                  <c:v>0.5295582920466112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2.2194112374038441E-2</c:v>
                </c:pt>
                <c:pt idx="1">
                  <c:v>5.2501044104393366E-2</c:v>
                </c:pt>
                <c:pt idx="2">
                  <c:v>7.1254148278906804E-2</c:v>
                </c:pt>
                <c:pt idx="3">
                  <c:v>9.0093706418392719E-2</c:v>
                </c:pt>
                <c:pt idx="4">
                  <c:v>0.10963776517467463</c:v>
                </c:pt>
                <c:pt idx="5">
                  <c:v>0.11092373819153536</c:v>
                </c:pt>
                <c:pt idx="6">
                  <c:v>3.5125194578973888E-2</c:v>
                </c:pt>
                <c:pt idx="7">
                  <c:v>0.23179555623721801</c:v>
                </c:pt>
                <c:pt idx="8">
                  <c:v>0.20890363782958549</c:v>
                </c:pt>
                <c:pt idx="9">
                  <c:v>0.18589817477465168</c:v>
                </c:pt>
                <c:pt idx="10">
                  <c:v>0.15774025915878695</c:v>
                </c:pt>
                <c:pt idx="11">
                  <c:v>0.12231539355649158</c:v>
                </c:pt>
                <c:pt idx="12">
                  <c:v>9.0714998720222456E-2</c:v>
                </c:pt>
                <c:pt idx="13">
                  <c:v>0.10701129130222303</c:v>
                </c:pt>
                <c:pt idx="14">
                  <c:v>0.10977225785161177</c:v>
                </c:pt>
                <c:pt idx="15">
                  <c:v>0.10829550033357134</c:v>
                </c:pt>
                <c:pt idx="16">
                  <c:v>9.5284844959910298E-2</c:v>
                </c:pt>
                <c:pt idx="17">
                  <c:v>2.2268466757342828E-2</c:v>
                </c:pt>
                <c:pt idx="18">
                  <c:v>9.5148535340653775E-2</c:v>
                </c:pt>
                <c:pt idx="19">
                  <c:v>0.20242998201563855</c:v>
                </c:pt>
                <c:pt idx="20">
                  <c:v>0.25525976474824097</c:v>
                </c:pt>
                <c:pt idx="21">
                  <c:v>0.23196751006818617</c:v>
                </c:pt>
                <c:pt idx="22">
                  <c:v>0.13541104418177663</c:v>
                </c:pt>
                <c:pt idx="23">
                  <c:v>1.3596841505421993E-2</c:v>
                </c:pt>
                <c:pt idx="24">
                  <c:v>5.7493347367037366E-2</c:v>
                </c:pt>
                <c:pt idx="25">
                  <c:v>1.0497076481860787E-2</c:v>
                </c:pt>
                <c:pt idx="26">
                  <c:v>0.17043154122906962</c:v>
                </c:pt>
                <c:pt idx="27">
                  <c:v>0.40174454904370693</c:v>
                </c:pt>
                <c:pt idx="28">
                  <c:v>0.45715634857767068</c:v>
                </c:pt>
                <c:pt idx="29">
                  <c:v>0.34349186466775244</c:v>
                </c:pt>
                <c:pt idx="30">
                  <c:v>0.23074379234553516</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1.4981493906849925E-2</c:v>
                </c:pt>
                <c:pt idx="1">
                  <c:v>2.0131272799442702E-2</c:v>
                </c:pt>
                <c:pt idx="2">
                  <c:v>5.9700215400969679E-3</c:v>
                </c:pt>
                <c:pt idx="3">
                  <c:v>7.0990655607609896E-4</c:v>
                </c:pt>
                <c:pt idx="4">
                  <c:v>4.7078438148221753E-4</c:v>
                </c:pt>
                <c:pt idx="5">
                  <c:v>3.8769029193731552E-4</c:v>
                </c:pt>
                <c:pt idx="6">
                  <c:v>5.1505809231495374E-4</c:v>
                </c:pt>
                <c:pt idx="7">
                  <c:v>6.1414922963294236E-4</c:v>
                </c:pt>
                <c:pt idx="8">
                  <c:v>9.0063181125492548E-4</c:v>
                </c:pt>
                <c:pt idx="9">
                  <c:v>1.0069925138510944E-3</c:v>
                </c:pt>
                <c:pt idx="10">
                  <c:v>1.9117609606654749E-3</c:v>
                </c:pt>
                <c:pt idx="11">
                  <c:v>1.6375204013284635E-3</c:v>
                </c:pt>
                <c:pt idx="12">
                  <c:v>3.2906464293133136E-3</c:v>
                </c:pt>
                <c:pt idx="13">
                  <c:v>5.3125294604111661E-4</c:v>
                </c:pt>
                <c:pt idx="14">
                  <c:v>3.1091612527901135E-3</c:v>
                </c:pt>
                <c:pt idx="15">
                  <c:v>7.3678022746656059E-4</c:v>
                </c:pt>
                <c:pt idx="16">
                  <c:v>2.2440341041238764E-3</c:v>
                </c:pt>
                <c:pt idx="17">
                  <c:v>4.6807022996393403E-4</c:v>
                </c:pt>
                <c:pt idx="18">
                  <c:v>1.1136571586177662E-3</c:v>
                </c:pt>
                <c:pt idx="19">
                  <c:v>1.1435298914306386E-3</c:v>
                </c:pt>
                <c:pt idx="20">
                  <c:v>1.184472562884302E-4</c:v>
                </c:pt>
                <c:pt idx="21">
                  <c:v>8.8255996310306387E-4</c:v>
                </c:pt>
                <c:pt idx="22">
                  <c:v>4.4104545953701874E-5</c:v>
                </c:pt>
                <c:pt idx="23">
                  <c:v>1.0996587090494912E-4</c:v>
                </c:pt>
                <c:pt idx="24">
                  <c:v>1.5602484836375231E-5</c:v>
                </c:pt>
                <c:pt idx="25">
                  <c:v>3.9911262445648557E-4</c:v>
                </c:pt>
                <c:pt idx="26">
                  <c:v>1.5659985920671998E-3</c:v>
                </c:pt>
                <c:pt idx="27">
                  <c:v>2.366353453486591E-3</c:v>
                </c:pt>
                <c:pt idx="28">
                  <c:v>1.7000916068984286E-3</c:v>
                </c:pt>
                <c:pt idx="29">
                  <c:v>3.2750412693286461E-4</c:v>
                </c:pt>
                <c:pt idx="30">
                  <c:v>1.21792204041085E-4</c:v>
                </c:pt>
              </c:numCache>
            </c:numRef>
          </c:yVal>
          <c:smooth val="1"/>
        </c:ser>
        <c:dLbls>
          <c:showLegendKey val="0"/>
          <c:showVal val="0"/>
          <c:showCatName val="0"/>
          <c:showSerName val="0"/>
          <c:showPercent val="0"/>
          <c:showBubbleSize val="0"/>
        </c:dLbls>
        <c:axId val="441815560"/>
        <c:axId val="441815952"/>
      </c:scatterChart>
      <c:valAx>
        <c:axId val="4418155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5952"/>
        <c:crossesAt val="1.0000000000000005E-9"/>
        <c:crossBetween val="midCat"/>
      </c:valAx>
      <c:valAx>
        <c:axId val="441815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556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-50</c:v>
                </c:pt>
                <c:pt idx="1">
                  <c:v>-41.485547632440884</c:v>
                </c:pt>
                <c:pt idx="2">
                  <c:v>-36.73997630133357</c:v>
                </c:pt>
                <c:pt idx="3">
                  <c:v>-34.144837998227821</c:v>
                </c:pt>
                <c:pt idx="4">
                  <c:v>-25.756449178696286</c:v>
                </c:pt>
                <c:pt idx="5">
                  <c:v>-13.644493931225382</c:v>
                </c:pt>
                <c:pt idx="6">
                  <c:v>0</c:v>
                </c:pt>
              </c:numCache>
            </c:numRef>
          </c:yVal>
          <c:smooth val="0"/>
        </c:ser>
        <c:dLbls>
          <c:showLegendKey val="0"/>
          <c:showVal val="0"/>
          <c:showCatName val="0"/>
          <c:showSerName val="0"/>
          <c:showPercent val="0"/>
          <c:showBubbleSize val="0"/>
        </c:dLbls>
        <c:axId val="442267288"/>
        <c:axId val="442272776"/>
      </c:scatterChart>
      <c:valAx>
        <c:axId val="44226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2776"/>
        <c:crossesAt val="-100"/>
        <c:crossBetween val="midCat"/>
      </c:valAx>
      <c:valAx>
        <c:axId val="442272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728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442268072"/>
        <c:axId val="442269640"/>
      </c:scatterChart>
      <c:valAx>
        <c:axId val="44226807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9640"/>
        <c:crosses val="autoZero"/>
        <c:crossBetween val="midCat"/>
      </c:valAx>
      <c:valAx>
        <c:axId val="44226964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807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1.9287498479639179E-37</c:v>
                </c:pt>
                <c:pt idx="1">
                  <c:v>1.9287498479639179E-36</c:v>
                </c:pt>
                <c:pt idx="2">
                  <c:v>1.9287498479639179E-35</c:v>
                </c:pt>
                <c:pt idx="3">
                  <c:v>1.928749847963918E-34</c:v>
                </c:pt>
                <c:pt idx="4">
                  <c:v>1.9287498479639178E-33</c:v>
                </c:pt>
                <c:pt idx="5">
                  <c:v>1.9287498479639181E-32</c:v>
                </c:pt>
                <c:pt idx="6">
                  <c:v>1.928749847963918E-31</c:v>
                </c:pt>
                <c:pt idx="7">
                  <c:v>1.9287498479639181E-30</c:v>
                </c:pt>
                <c:pt idx="8">
                  <c:v>1.9287498479639179E-29</c:v>
                </c:pt>
                <c:pt idx="9">
                  <c:v>1.9287498479639178E-28</c:v>
                </c:pt>
                <c:pt idx="10">
                  <c:v>1.9287498479639181E-27</c:v>
                </c:pt>
                <c:pt idx="11">
                  <c:v>1.928749847963918E-26</c:v>
                </c:pt>
                <c:pt idx="12">
                  <c:v>1.9287498479639179E-25</c:v>
                </c:pt>
                <c:pt idx="13">
                  <c:v>1.9287498479639181E-24</c:v>
                </c:pt>
                <c:pt idx="14">
                  <c:v>1.9287498479639179E-23</c:v>
                </c:pt>
                <c:pt idx="15">
                  <c:v>1.9287498479639181E-22</c:v>
                </c:pt>
                <c:pt idx="16">
                  <c:v>1.9287498479639181E-21</c:v>
                </c:pt>
                <c:pt idx="17">
                  <c:v>1.9287498479639181E-20</c:v>
                </c:pt>
                <c:pt idx="18">
                  <c:v>1.9287498479639179E-19</c:v>
                </c:pt>
                <c:pt idx="19">
                  <c:v>1.928749847963918E-18</c:v>
                </c:pt>
                <c:pt idx="20">
                  <c:v>1.928749847963918E-17</c:v>
                </c:pt>
                <c:pt idx="21">
                  <c:v>1.928749847963918E-16</c:v>
                </c:pt>
                <c:pt idx="22">
                  <c:v>1.9287498479639181E-15</c:v>
                </c:pt>
                <c:pt idx="23">
                  <c:v>1.928749847963918E-14</c:v>
                </c:pt>
                <c:pt idx="24">
                  <c:v>1.9287498479639179E-13</c:v>
                </c:pt>
                <c:pt idx="25">
                  <c:v>1.9287498479639181E-12</c:v>
                </c:pt>
                <c:pt idx="26">
                  <c:v>1.9287498479639181E-11</c:v>
                </c:pt>
                <c:pt idx="27">
                  <c:v>1.928749847963918E-10</c:v>
                </c:pt>
                <c:pt idx="28">
                  <c:v>1.928749847963918E-9</c:v>
                </c:pt>
                <c:pt idx="29">
                  <c:v>1.9287498479639179E-8</c:v>
                </c:pt>
                <c:pt idx="30">
                  <c:v>1.9287498479639179E-7</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9.6173536112391776E-34</c:v>
                </c:pt>
                <c:pt idx="1">
                  <c:v>9.6173536112391776E-33</c:v>
                </c:pt>
                <c:pt idx="2">
                  <c:v>9.6173536112391784E-32</c:v>
                </c:pt>
                <c:pt idx="3">
                  <c:v>9.6173536112391777E-31</c:v>
                </c:pt>
                <c:pt idx="4">
                  <c:v>9.6173536112391767E-30</c:v>
                </c:pt>
                <c:pt idx="5">
                  <c:v>9.6173536112391781E-29</c:v>
                </c:pt>
                <c:pt idx="6">
                  <c:v>9.6173536112391776E-28</c:v>
                </c:pt>
                <c:pt idx="7">
                  <c:v>9.617353611239178E-27</c:v>
                </c:pt>
                <c:pt idx="8">
                  <c:v>9.6173536112391774E-26</c:v>
                </c:pt>
                <c:pt idx="9">
                  <c:v>9.6173536112391779E-25</c:v>
                </c:pt>
                <c:pt idx="10">
                  <c:v>9.6173536112391779E-24</c:v>
                </c:pt>
                <c:pt idx="11">
                  <c:v>9.6173536112391776E-23</c:v>
                </c:pt>
                <c:pt idx="12">
                  <c:v>9.6173536112391776E-22</c:v>
                </c:pt>
                <c:pt idx="13">
                  <c:v>9.6173536112391783E-21</c:v>
                </c:pt>
                <c:pt idx="14">
                  <c:v>9.6173536112391777E-20</c:v>
                </c:pt>
                <c:pt idx="15">
                  <c:v>9.6173536112391773E-19</c:v>
                </c:pt>
                <c:pt idx="16">
                  <c:v>9.6173536112391773E-18</c:v>
                </c:pt>
                <c:pt idx="17">
                  <c:v>9.6173536112391779E-17</c:v>
                </c:pt>
                <c:pt idx="18">
                  <c:v>9.6173536112391771E-16</c:v>
                </c:pt>
                <c:pt idx="19">
                  <c:v>9.6173536112391783E-15</c:v>
                </c:pt>
                <c:pt idx="20">
                  <c:v>9.617353611239178E-14</c:v>
                </c:pt>
                <c:pt idx="21">
                  <c:v>9.6173536112391785E-13</c:v>
                </c:pt>
                <c:pt idx="22">
                  <c:v>9.6173536112391781E-12</c:v>
                </c:pt>
                <c:pt idx="23">
                  <c:v>9.6173536112391771E-11</c:v>
                </c:pt>
                <c:pt idx="24">
                  <c:v>9.6173536112391784E-10</c:v>
                </c:pt>
                <c:pt idx="25">
                  <c:v>9.6173536112391772E-9</c:v>
                </c:pt>
                <c:pt idx="26">
                  <c:v>9.6173536112391778E-8</c:v>
                </c:pt>
                <c:pt idx="27">
                  <c:v>9.6173536112391784E-7</c:v>
                </c:pt>
                <c:pt idx="28">
                  <c:v>9.6173536112391784E-6</c:v>
                </c:pt>
                <c:pt idx="29">
                  <c:v>9.6173536112391774E-5</c:v>
                </c:pt>
                <c:pt idx="30">
                  <c:v>9.6173536112391779E-4</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1.1067028467487688E-31</c:v>
                </c:pt>
                <c:pt idx="1">
                  <c:v>1.1067028467487688E-30</c:v>
                </c:pt>
                <c:pt idx="2">
                  <c:v>1.1067028467487687E-29</c:v>
                </c:pt>
                <c:pt idx="3">
                  <c:v>1.1067028467487687E-28</c:v>
                </c:pt>
                <c:pt idx="4">
                  <c:v>1.1067028467487687E-27</c:v>
                </c:pt>
                <c:pt idx="5">
                  <c:v>1.1067028467487688E-26</c:v>
                </c:pt>
                <c:pt idx="6">
                  <c:v>1.1067028467487687E-25</c:v>
                </c:pt>
                <c:pt idx="7">
                  <c:v>1.1067028467487687E-24</c:v>
                </c:pt>
                <c:pt idx="8">
                  <c:v>1.1067028467487686E-23</c:v>
                </c:pt>
                <c:pt idx="9">
                  <c:v>1.1067028467487686E-22</c:v>
                </c:pt>
                <c:pt idx="10">
                  <c:v>1.1067028467487687E-21</c:v>
                </c:pt>
                <c:pt idx="11">
                  <c:v>1.1067028467487688E-20</c:v>
                </c:pt>
                <c:pt idx="12">
                  <c:v>1.1067028467487687E-19</c:v>
                </c:pt>
                <c:pt idx="13">
                  <c:v>1.1067028467487688E-18</c:v>
                </c:pt>
                <c:pt idx="14">
                  <c:v>1.1067028467487688E-17</c:v>
                </c:pt>
                <c:pt idx="15">
                  <c:v>1.1067028467487687E-16</c:v>
                </c:pt>
                <c:pt idx="16">
                  <c:v>1.1067028467487686E-15</c:v>
                </c:pt>
                <c:pt idx="17">
                  <c:v>1.1067028467487687E-14</c:v>
                </c:pt>
                <c:pt idx="18">
                  <c:v>1.1067028467487687E-13</c:v>
                </c:pt>
                <c:pt idx="19">
                  <c:v>1.1067028467487688E-12</c:v>
                </c:pt>
                <c:pt idx="20">
                  <c:v>1.1067028467487688E-11</c:v>
                </c:pt>
                <c:pt idx="21">
                  <c:v>1.1067028467487687E-10</c:v>
                </c:pt>
                <c:pt idx="22">
                  <c:v>1.1067028467487687E-9</c:v>
                </c:pt>
                <c:pt idx="23">
                  <c:v>1.1067028467487687E-8</c:v>
                </c:pt>
                <c:pt idx="24">
                  <c:v>1.1067028467487687E-7</c:v>
                </c:pt>
                <c:pt idx="25">
                  <c:v>1.1067028467487687E-6</c:v>
                </c:pt>
                <c:pt idx="26">
                  <c:v>1.1067028467487688E-5</c:v>
                </c:pt>
                <c:pt idx="27">
                  <c:v>1.1067028467487687E-4</c:v>
                </c:pt>
                <c:pt idx="28">
                  <c:v>1.1067028467487687E-3</c:v>
                </c:pt>
                <c:pt idx="29">
                  <c:v>1.1067028467487687E-2</c:v>
                </c:pt>
                <c:pt idx="30">
                  <c:v>0.11067028467487687</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1.4828091998956949E-30</c:v>
                </c:pt>
                <c:pt idx="1">
                  <c:v>1.4828091998956948E-29</c:v>
                </c:pt>
                <c:pt idx="2">
                  <c:v>1.4828091998956948E-28</c:v>
                </c:pt>
                <c:pt idx="3">
                  <c:v>1.4828091998956947E-27</c:v>
                </c:pt>
                <c:pt idx="4">
                  <c:v>1.4828091998956948E-26</c:v>
                </c:pt>
                <c:pt idx="5">
                  <c:v>1.4828091998956948E-25</c:v>
                </c:pt>
                <c:pt idx="6">
                  <c:v>1.4828091998956948E-24</c:v>
                </c:pt>
                <c:pt idx="7">
                  <c:v>1.4828091998956948E-23</c:v>
                </c:pt>
                <c:pt idx="8">
                  <c:v>1.4828091998956948E-22</c:v>
                </c:pt>
                <c:pt idx="9">
                  <c:v>1.4828091998956947E-21</c:v>
                </c:pt>
                <c:pt idx="10">
                  <c:v>1.4828091998956949E-20</c:v>
                </c:pt>
                <c:pt idx="11">
                  <c:v>1.4828091998956948E-19</c:v>
                </c:pt>
                <c:pt idx="12">
                  <c:v>1.4828091998956947E-18</c:v>
                </c:pt>
                <c:pt idx="13">
                  <c:v>1.4828091998956947E-17</c:v>
                </c:pt>
                <c:pt idx="14">
                  <c:v>1.4828091998956948E-16</c:v>
                </c:pt>
                <c:pt idx="15">
                  <c:v>1.4828091998956947E-15</c:v>
                </c:pt>
                <c:pt idx="16">
                  <c:v>1.4828091998956947E-14</c:v>
                </c:pt>
                <c:pt idx="17">
                  <c:v>1.4828091998956948E-13</c:v>
                </c:pt>
                <c:pt idx="18">
                  <c:v>1.4828091998956948E-12</c:v>
                </c:pt>
                <c:pt idx="19">
                  <c:v>1.4828091998956947E-11</c:v>
                </c:pt>
                <c:pt idx="20">
                  <c:v>1.4828091998956948E-10</c:v>
                </c:pt>
                <c:pt idx="21">
                  <c:v>1.4828091998956947E-9</c:v>
                </c:pt>
                <c:pt idx="22">
                  <c:v>1.4828091998956947E-8</c:v>
                </c:pt>
                <c:pt idx="23">
                  <c:v>1.4828091998956948E-7</c:v>
                </c:pt>
                <c:pt idx="24">
                  <c:v>1.4828091998956948E-6</c:v>
                </c:pt>
                <c:pt idx="25">
                  <c:v>1.4828091998956948E-5</c:v>
                </c:pt>
                <c:pt idx="26">
                  <c:v>1.4828091998956948E-4</c:v>
                </c:pt>
                <c:pt idx="27">
                  <c:v>1.4828091998956947E-3</c:v>
                </c:pt>
                <c:pt idx="28">
                  <c:v>1.4828091998956948E-2</c:v>
                </c:pt>
                <c:pt idx="29">
                  <c:v>0.14828091998956947</c:v>
                </c:pt>
                <c:pt idx="30">
                  <c:v>1.4828091998956947</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6.5180283977943668E-27</c:v>
                </c:pt>
                <c:pt idx="1">
                  <c:v>6.5180283977943657E-26</c:v>
                </c:pt>
                <c:pt idx="2">
                  <c:v>6.5180283977943659E-25</c:v>
                </c:pt>
                <c:pt idx="3">
                  <c:v>6.5180283977943657E-24</c:v>
                </c:pt>
                <c:pt idx="4">
                  <c:v>6.5180283977943651E-23</c:v>
                </c:pt>
                <c:pt idx="5">
                  <c:v>6.5180283977943658E-22</c:v>
                </c:pt>
                <c:pt idx="6">
                  <c:v>6.5180283977943664E-21</c:v>
                </c:pt>
                <c:pt idx="7">
                  <c:v>6.5180283977943658E-20</c:v>
                </c:pt>
                <c:pt idx="8">
                  <c:v>6.5180283977943655E-19</c:v>
                </c:pt>
                <c:pt idx="9">
                  <c:v>6.5180283977943655E-18</c:v>
                </c:pt>
                <c:pt idx="10">
                  <c:v>6.5180283977943668E-17</c:v>
                </c:pt>
                <c:pt idx="11">
                  <c:v>6.518028397794366E-16</c:v>
                </c:pt>
                <c:pt idx="12">
                  <c:v>6.5180283977943656E-15</c:v>
                </c:pt>
                <c:pt idx="13">
                  <c:v>6.5180283977943656E-14</c:v>
                </c:pt>
                <c:pt idx="14">
                  <c:v>6.5180283977943666E-13</c:v>
                </c:pt>
                <c:pt idx="15">
                  <c:v>6.5180283977943654E-12</c:v>
                </c:pt>
                <c:pt idx="16">
                  <c:v>6.5180283977943653E-11</c:v>
                </c:pt>
                <c:pt idx="17">
                  <c:v>6.5180283977943663E-10</c:v>
                </c:pt>
                <c:pt idx="18">
                  <c:v>6.5180283977943659E-9</c:v>
                </c:pt>
                <c:pt idx="19">
                  <c:v>6.5180283977943662E-8</c:v>
                </c:pt>
                <c:pt idx="20">
                  <c:v>6.5180283977943662E-7</c:v>
                </c:pt>
                <c:pt idx="21">
                  <c:v>6.5180283977943658E-6</c:v>
                </c:pt>
                <c:pt idx="22">
                  <c:v>6.5180283977943655E-5</c:v>
                </c:pt>
                <c:pt idx="23">
                  <c:v>6.5180283977943657E-4</c:v>
                </c:pt>
                <c:pt idx="24">
                  <c:v>6.5180283977943655E-3</c:v>
                </c:pt>
                <c:pt idx="25">
                  <c:v>6.5180283977943662E-2</c:v>
                </c:pt>
                <c:pt idx="26">
                  <c:v>0.65180283977943654</c:v>
                </c:pt>
                <c:pt idx="27">
                  <c:v>6.5180283977943656</c:v>
                </c:pt>
                <c:pt idx="28">
                  <c:v>65.18028397794366</c:v>
                </c:pt>
                <c:pt idx="29">
                  <c:v>651.80283977943657</c:v>
                </c:pt>
                <c:pt idx="30">
                  <c:v>6518.0283977943654</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1.1865104766575965E-21</c:v>
                </c:pt>
                <c:pt idx="1">
                  <c:v>1.1865104766575963E-20</c:v>
                </c:pt>
                <c:pt idx="2">
                  <c:v>1.1865104766575964E-19</c:v>
                </c:pt>
                <c:pt idx="3">
                  <c:v>1.1865104766575965E-18</c:v>
                </c:pt>
                <c:pt idx="4">
                  <c:v>1.1865104766575963E-17</c:v>
                </c:pt>
                <c:pt idx="5">
                  <c:v>1.1865104766575964E-16</c:v>
                </c:pt>
                <c:pt idx="6">
                  <c:v>1.1865104766575965E-15</c:v>
                </c:pt>
                <c:pt idx="7">
                  <c:v>1.1865104766575964E-14</c:v>
                </c:pt>
                <c:pt idx="8">
                  <c:v>1.1865104766575963E-13</c:v>
                </c:pt>
                <c:pt idx="9">
                  <c:v>1.1865104766575963E-12</c:v>
                </c:pt>
                <c:pt idx="10">
                  <c:v>1.1865104766575964E-11</c:v>
                </c:pt>
                <c:pt idx="11">
                  <c:v>1.1865104766575964E-10</c:v>
                </c:pt>
                <c:pt idx="12">
                  <c:v>1.1865104766575963E-9</c:v>
                </c:pt>
                <c:pt idx="13">
                  <c:v>1.1865104766575965E-8</c:v>
                </c:pt>
                <c:pt idx="14">
                  <c:v>1.1865104766575964E-7</c:v>
                </c:pt>
                <c:pt idx="15">
                  <c:v>1.1865104766575964E-6</c:v>
                </c:pt>
                <c:pt idx="16">
                  <c:v>1.1865104766575964E-5</c:v>
                </c:pt>
                <c:pt idx="17">
                  <c:v>1.1865104766575964E-4</c:v>
                </c:pt>
                <c:pt idx="18">
                  <c:v>1.1865104766575964E-3</c:v>
                </c:pt>
                <c:pt idx="19">
                  <c:v>1.1865104766575964E-2</c:v>
                </c:pt>
                <c:pt idx="20">
                  <c:v>0.11865104766575964</c:v>
                </c:pt>
                <c:pt idx="21">
                  <c:v>1.1865104766575965</c:v>
                </c:pt>
                <c:pt idx="22">
                  <c:v>11.865104766575964</c:v>
                </c:pt>
                <c:pt idx="23">
                  <c:v>118.65104766575963</c:v>
                </c:pt>
                <c:pt idx="24">
                  <c:v>1186.5104766575964</c:v>
                </c:pt>
                <c:pt idx="25">
                  <c:v>11865.104766575963</c:v>
                </c:pt>
                <c:pt idx="26">
                  <c:v>118651.04766575964</c:v>
                </c:pt>
                <c:pt idx="27">
                  <c:v>1186510.4766575964</c:v>
                </c:pt>
                <c:pt idx="28">
                  <c:v>11865104.766575964</c:v>
                </c:pt>
                <c:pt idx="29">
                  <c:v>118651047.66575964</c:v>
                </c:pt>
                <c:pt idx="30">
                  <c:v>1186510476.6575963</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42270032"/>
        <c:axId val="442271600"/>
      </c:scatterChart>
      <c:valAx>
        <c:axId val="44227003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1600"/>
        <c:crosses val="autoZero"/>
        <c:crossBetween val="midCat"/>
      </c:valAx>
      <c:valAx>
        <c:axId val="442271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003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1.9287498479639179E-37</c:v>
                </c:pt>
                <c:pt idx="1">
                  <c:v>1.9287498479639179E-36</c:v>
                </c:pt>
                <c:pt idx="2">
                  <c:v>1.9287498479639179E-35</c:v>
                </c:pt>
                <c:pt idx="3">
                  <c:v>1.928749847963918E-34</c:v>
                </c:pt>
                <c:pt idx="4">
                  <c:v>1.9287498479639178E-33</c:v>
                </c:pt>
                <c:pt idx="5">
                  <c:v>1.9287498479639181E-32</c:v>
                </c:pt>
                <c:pt idx="6">
                  <c:v>1.928749847963918E-31</c:v>
                </c:pt>
                <c:pt idx="7">
                  <c:v>1.9287498479639181E-30</c:v>
                </c:pt>
                <c:pt idx="8">
                  <c:v>1.9287498479639179E-29</c:v>
                </c:pt>
                <c:pt idx="9">
                  <c:v>1.9287498479639178E-28</c:v>
                </c:pt>
                <c:pt idx="10">
                  <c:v>1.9287498479639181E-27</c:v>
                </c:pt>
                <c:pt idx="11">
                  <c:v>1.928749847963918E-26</c:v>
                </c:pt>
                <c:pt idx="12">
                  <c:v>1.9287498479639179E-25</c:v>
                </c:pt>
                <c:pt idx="13">
                  <c:v>1.9287498479639181E-24</c:v>
                </c:pt>
                <c:pt idx="14">
                  <c:v>1.9287498479639179E-23</c:v>
                </c:pt>
                <c:pt idx="15">
                  <c:v>1.9287498479639181E-22</c:v>
                </c:pt>
                <c:pt idx="16">
                  <c:v>1.9287498479639181E-21</c:v>
                </c:pt>
                <c:pt idx="17">
                  <c:v>1.9287498479639181E-20</c:v>
                </c:pt>
                <c:pt idx="18">
                  <c:v>1.9287498479639179E-19</c:v>
                </c:pt>
                <c:pt idx="19">
                  <c:v>1.928749847963918E-18</c:v>
                </c:pt>
                <c:pt idx="20">
                  <c:v>1.928749847963918E-17</c:v>
                </c:pt>
                <c:pt idx="21">
                  <c:v>1.928749847963918E-16</c:v>
                </c:pt>
                <c:pt idx="22">
                  <c:v>1.9287498479639181E-15</c:v>
                </c:pt>
                <c:pt idx="23">
                  <c:v>1.928749847963918E-14</c:v>
                </c:pt>
                <c:pt idx="24">
                  <c:v>1.9287498479639179E-13</c:v>
                </c:pt>
                <c:pt idx="25">
                  <c:v>1.9287498479639181E-12</c:v>
                </c:pt>
                <c:pt idx="26">
                  <c:v>1.9287498479639181E-11</c:v>
                </c:pt>
                <c:pt idx="27">
                  <c:v>1.928749847963918E-10</c:v>
                </c:pt>
                <c:pt idx="28">
                  <c:v>1.928749847963918E-9</c:v>
                </c:pt>
                <c:pt idx="29">
                  <c:v>1.9287498479639179E-8</c:v>
                </c:pt>
                <c:pt idx="30">
                  <c:v>1.9287498479639179E-7</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9.6173536112391776E-34</c:v>
                </c:pt>
                <c:pt idx="1">
                  <c:v>9.6173536112391776E-33</c:v>
                </c:pt>
                <c:pt idx="2">
                  <c:v>9.6173536112391784E-32</c:v>
                </c:pt>
                <c:pt idx="3">
                  <c:v>9.6173536112391777E-31</c:v>
                </c:pt>
                <c:pt idx="4">
                  <c:v>9.6173536112391767E-30</c:v>
                </c:pt>
                <c:pt idx="5">
                  <c:v>9.6173536112391781E-29</c:v>
                </c:pt>
                <c:pt idx="6">
                  <c:v>9.6173536112391776E-28</c:v>
                </c:pt>
                <c:pt idx="7">
                  <c:v>9.617353611239178E-27</c:v>
                </c:pt>
                <c:pt idx="8">
                  <c:v>9.6173536112391774E-26</c:v>
                </c:pt>
                <c:pt idx="9">
                  <c:v>9.6173536112391779E-25</c:v>
                </c:pt>
                <c:pt idx="10">
                  <c:v>9.6173536112391779E-24</c:v>
                </c:pt>
                <c:pt idx="11">
                  <c:v>9.6173536112391776E-23</c:v>
                </c:pt>
                <c:pt idx="12">
                  <c:v>9.6173536112391776E-22</c:v>
                </c:pt>
                <c:pt idx="13">
                  <c:v>9.6173536112391783E-21</c:v>
                </c:pt>
                <c:pt idx="14">
                  <c:v>9.6173536112391777E-20</c:v>
                </c:pt>
                <c:pt idx="15">
                  <c:v>9.6173536112391773E-19</c:v>
                </c:pt>
                <c:pt idx="16">
                  <c:v>9.6173536112391773E-18</c:v>
                </c:pt>
                <c:pt idx="17">
                  <c:v>9.6173536112391779E-17</c:v>
                </c:pt>
                <c:pt idx="18">
                  <c:v>9.6173536112391771E-16</c:v>
                </c:pt>
                <c:pt idx="19">
                  <c:v>9.6173536112391783E-15</c:v>
                </c:pt>
                <c:pt idx="20">
                  <c:v>9.617353611239178E-14</c:v>
                </c:pt>
                <c:pt idx="21">
                  <c:v>9.6173536112391785E-13</c:v>
                </c:pt>
                <c:pt idx="22">
                  <c:v>9.6173536112391781E-12</c:v>
                </c:pt>
                <c:pt idx="23">
                  <c:v>9.6173536112391771E-11</c:v>
                </c:pt>
                <c:pt idx="24">
                  <c:v>9.6173536112391784E-10</c:v>
                </c:pt>
                <c:pt idx="25">
                  <c:v>9.6173536112391772E-9</c:v>
                </c:pt>
                <c:pt idx="26">
                  <c:v>9.6173536112391778E-8</c:v>
                </c:pt>
                <c:pt idx="27">
                  <c:v>9.6173536112391784E-7</c:v>
                </c:pt>
                <c:pt idx="28">
                  <c:v>9.6173536112391784E-6</c:v>
                </c:pt>
                <c:pt idx="29">
                  <c:v>9.6173536112391774E-5</c:v>
                </c:pt>
                <c:pt idx="30">
                  <c:v>9.6173536112391779E-4</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1.1067028467487688E-31</c:v>
                </c:pt>
                <c:pt idx="1">
                  <c:v>1.1067028467487688E-30</c:v>
                </c:pt>
                <c:pt idx="2">
                  <c:v>1.1067028467487687E-29</c:v>
                </c:pt>
                <c:pt idx="3">
                  <c:v>1.1067028467487687E-28</c:v>
                </c:pt>
                <c:pt idx="4">
                  <c:v>1.1067028467487687E-27</c:v>
                </c:pt>
                <c:pt idx="5">
                  <c:v>1.1067028467487688E-26</c:v>
                </c:pt>
                <c:pt idx="6">
                  <c:v>1.1067028467487687E-25</c:v>
                </c:pt>
                <c:pt idx="7">
                  <c:v>1.1067028467487687E-24</c:v>
                </c:pt>
                <c:pt idx="8">
                  <c:v>1.1067028467487686E-23</c:v>
                </c:pt>
                <c:pt idx="9">
                  <c:v>1.1067028467487686E-22</c:v>
                </c:pt>
                <c:pt idx="10">
                  <c:v>1.1067028467487687E-21</c:v>
                </c:pt>
                <c:pt idx="11">
                  <c:v>1.1067028467487688E-20</c:v>
                </c:pt>
                <c:pt idx="12">
                  <c:v>1.1067028467487687E-19</c:v>
                </c:pt>
                <c:pt idx="13">
                  <c:v>1.1067028467487688E-18</c:v>
                </c:pt>
                <c:pt idx="14">
                  <c:v>1.1067028467487688E-17</c:v>
                </c:pt>
                <c:pt idx="15">
                  <c:v>1.1067028467487687E-16</c:v>
                </c:pt>
                <c:pt idx="16">
                  <c:v>1.1067028467487686E-15</c:v>
                </c:pt>
                <c:pt idx="17">
                  <c:v>1.1067028467487687E-14</c:v>
                </c:pt>
                <c:pt idx="18">
                  <c:v>1.1067028467487687E-13</c:v>
                </c:pt>
                <c:pt idx="19">
                  <c:v>1.1067028467487688E-12</c:v>
                </c:pt>
                <c:pt idx="20">
                  <c:v>1.1067028467487688E-11</c:v>
                </c:pt>
                <c:pt idx="21">
                  <c:v>1.1067028467487687E-10</c:v>
                </c:pt>
                <c:pt idx="22">
                  <c:v>1.1067028467487687E-9</c:v>
                </c:pt>
                <c:pt idx="23">
                  <c:v>1.1067028467487687E-8</c:v>
                </c:pt>
                <c:pt idx="24">
                  <c:v>1.1067028467487687E-7</c:v>
                </c:pt>
                <c:pt idx="25">
                  <c:v>1.1067028467487687E-6</c:v>
                </c:pt>
                <c:pt idx="26">
                  <c:v>1.1067028467487688E-5</c:v>
                </c:pt>
                <c:pt idx="27">
                  <c:v>1.1067028467487687E-4</c:v>
                </c:pt>
                <c:pt idx="28">
                  <c:v>1.1067028467487687E-3</c:v>
                </c:pt>
                <c:pt idx="29">
                  <c:v>1.1067028467487687E-2</c:v>
                </c:pt>
                <c:pt idx="30">
                  <c:v>0.11067028467487687</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1.4828091998956949E-30</c:v>
                </c:pt>
                <c:pt idx="1">
                  <c:v>1.4828091998956948E-29</c:v>
                </c:pt>
                <c:pt idx="2">
                  <c:v>1.4828091998956948E-28</c:v>
                </c:pt>
                <c:pt idx="3">
                  <c:v>1.4828091998956947E-27</c:v>
                </c:pt>
                <c:pt idx="4">
                  <c:v>1.4828091998956948E-26</c:v>
                </c:pt>
                <c:pt idx="5">
                  <c:v>1.4828091998956948E-25</c:v>
                </c:pt>
                <c:pt idx="6">
                  <c:v>1.4828091998956948E-24</c:v>
                </c:pt>
                <c:pt idx="7">
                  <c:v>1.4828091998956948E-23</c:v>
                </c:pt>
                <c:pt idx="8">
                  <c:v>1.4828091998956948E-22</c:v>
                </c:pt>
                <c:pt idx="9">
                  <c:v>1.4828091998956947E-21</c:v>
                </c:pt>
                <c:pt idx="10">
                  <c:v>1.4828091998956949E-20</c:v>
                </c:pt>
                <c:pt idx="11">
                  <c:v>1.4828091998956948E-19</c:v>
                </c:pt>
                <c:pt idx="12">
                  <c:v>1.4828091998956947E-18</c:v>
                </c:pt>
                <c:pt idx="13">
                  <c:v>1.4828091998956947E-17</c:v>
                </c:pt>
                <c:pt idx="14">
                  <c:v>1.4828091998956948E-16</c:v>
                </c:pt>
                <c:pt idx="15">
                  <c:v>1.4828091998956947E-15</c:v>
                </c:pt>
                <c:pt idx="16">
                  <c:v>1.4828091998956947E-14</c:v>
                </c:pt>
                <c:pt idx="17">
                  <c:v>1.4828091998956948E-13</c:v>
                </c:pt>
                <c:pt idx="18">
                  <c:v>1.4828091998956948E-12</c:v>
                </c:pt>
                <c:pt idx="19">
                  <c:v>1.4828091998956947E-11</c:v>
                </c:pt>
                <c:pt idx="20">
                  <c:v>1.4828091998956948E-10</c:v>
                </c:pt>
                <c:pt idx="21">
                  <c:v>1.4828091998956947E-9</c:v>
                </c:pt>
                <c:pt idx="22">
                  <c:v>1.4828091998956947E-8</c:v>
                </c:pt>
                <c:pt idx="23">
                  <c:v>1.4828091998956948E-7</c:v>
                </c:pt>
                <c:pt idx="24">
                  <c:v>1.4828091998956948E-6</c:v>
                </c:pt>
                <c:pt idx="25">
                  <c:v>1.4828091998956948E-5</c:v>
                </c:pt>
                <c:pt idx="26">
                  <c:v>1.4828091998956948E-4</c:v>
                </c:pt>
                <c:pt idx="27">
                  <c:v>1.4828091998956947E-3</c:v>
                </c:pt>
                <c:pt idx="28">
                  <c:v>1.4828091998956948E-2</c:v>
                </c:pt>
                <c:pt idx="29">
                  <c:v>0.14828091998956947</c:v>
                </c:pt>
                <c:pt idx="30">
                  <c:v>1.4828091998956947</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6.5180283977943668E-27</c:v>
                </c:pt>
                <c:pt idx="1">
                  <c:v>6.5180283977943657E-26</c:v>
                </c:pt>
                <c:pt idx="2">
                  <c:v>6.5180283977943659E-25</c:v>
                </c:pt>
                <c:pt idx="3">
                  <c:v>6.5180283977943657E-24</c:v>
                </c:pt>
                <c:pt idx="4">
                  <c:v>6.5180283977943651E-23</c:v>
                </c:pt>
                <c:pt idx="5">
                  <c:v>6.5180283977943658E-22</c:v>
                </c:pt>
                <c:pt idx="6">
                  <c:v>6.5180283977943664E-21</c:v>
                </c:pt>
                <c:pt idx="7">
                  <c:v>6.5180283977943658E-20</c:v>
                </c:pt>
                <c:pt idx="8">
                  <c:v>6.5180283977943655E-19</c:v>
                </c:pt>
                <c:pt idx="9">
                  <c:v>6.5180283977943655E-18</c:v>
                </c:pt>
                <c:pt idx="10">
                  <c:v>6.5180283977943668E-17</c:v>
                </c:pt>
                <c:pt idx="11">
                  <c:v>6.518028397794366E-16</c:v>
                </c:pt>
                <c:pt idx="12">
                  <c:v>6.5180283977943656E-15</c:v>
                </c:pt>
                <c:pt idx="13">
                  <c:v>6.5180283977943656E-14</c:v>
                </c:pt>
                <c:pt idx="14">
                  <c:v>6.5180283977943666E-13</c:v>
                </c:pt>
                <c:pt idx="15">
                  <c:v>6.5180283977943654E-12</c:v>
                </c:pt>
                <c:pt idx="16">
                  <c:v>6.5180283977943653E-11</c:v>
                </c:pt>
                <c:pt idx="17">
                  <c:v>6.5180283977943663E-10</c:v>
                </c:pt>
                <c:pt idx="18">
                  <c:v>6.5180283977943659E-9</c:v>
                </c:pt>
                <c:pt idx="19">
                  <c:v>6.5180283977943662E-8</c:v>
                </c:pt>
                <c:pt idx="20">
                  <c:v>6.5180283977943662E-7</c:v>
                </c:pt>
                <c:pt idx="21">
                  <c:v>6.5180283977943658E-6</c:v>
                </c:pt>
                <c:pt idx="22">
                  <c:v>6.5180283977943655E-5</c:v>
                </c:pt>
                <c:pt idx="23">
                  <c:v>6.5180283977943657E-4</c:v>
                </c:pt>
                <c:pt idx="24">
                  <c:v>6.5180283977943655E-3</c:v>
                </c:pt>
                <c:pt idx="25">
                  <c:v>6.5180283977943662E-2</c:v>
                </c:pt>
                <c:pt idx="26">
                  <c:v>0.65180283977943654</c:v>
                </c:pt>
                <c:pt idx="27">
                  <c:v>6.5180283977943656</c:v>
                </c:pt>
                <c:pt idx="28">
                  <c:v>65.18028397794366</c:v>
                </c:pt>
                <c:pt idx="29">
                  <c:v>651.80283977943657</c:v>
                </c:pt>
                <c:pt idx="30">
                  <c:v>6518.0283977943654</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1.1865104766575965E-21</c:v>
                </c:pt>
                <c:pt idx="1">
                  <c:v>1.1865104766575963E-20</c:v>
                </c:pt>
                <c:pt idx="2">
                  <c:v>1.1865104766575964E-19</c:v>
                </c:pt>
                <c:pt idx="3">
                  <c:v>1.1865104766575965E-18</c:v>
                </c:pt>
                <c:pt idx="4">
                  <c:v>1.1865104766575963E-17</c:v>
                </c:pt>
                <c:pt idx="5">
                  <c:v>1.1865104766575964E-16</c:v>
                </c:pt>
                <c:pt idx="6">
                  <c:v>1.1865104766575965E-15</c:v>
                </c:pt>
                <c:pt idx="7">
                  <c:v>1.1865104766575964E-14</c:v>
                </c:pt>
                <c:pt idx="8">
                  <c:v>1.1865104766575963E-13</c:v>
                </c:pt>
                <c:pt idx="9">
                  <c:v>1.1865104766575963E-12</c:v>
                </c:pt>
                <c:pt idx="10">
                  <c:v>1.1865104766575964E-11</c:v>
                </c:pt>
                <c:pt idx="11">
                  <c:v>1.1865104766575964E-10</c:v>
                </c:pt>
                <c:pt idx="12">
                  <c:v>1.1865104766575963E-9</c:v>
                </c:pt>
                <c:pt idx="13">
                  <c:v>1.1865104766575965E-8</c:v>
                </c:pt>
                <c:pt idx="14">
                  <c:v>1.1865104766575964E-7</c:v>
                </c:pt>
                <c:pt idx="15">
                  <c:v>1.1865104766575964E-6</c:v>
                </c:pt>
                <c:pt idx="16">
                  <c:v>1.1865104766575964E-5</c:v>
                </c:pt>
                <c:pt idx="17">
                  <c:v>1.1865104766575964E-4</c:v>
                </c:pt>
                <c:pt idx="18">
                  <c:v>1.1865104766575964E-3</c:v>
                </c:pt>
                <c:pt idx="19">
                  <c:v>1.1865104766575964E-2</c:v>
                </c:pt>
                <c:pt idx="20">
                  <c:v>0.11865104766575964</c:v>
                </c:pt>
                <c:pt idx="21">
                  <c:v>1.1865104766575965</c:v>
                </c:pt>
                <c:pt idx="22">
                  <c:v>11.865104766575964</c:v>
                </c:pt>
                <c:pt idx="23">
                  <c:v>118.65104766575963</c:v>
                </c:pt>
                <c:pt idx="24">
                  <c:v>1186.5104766575964</c:v>
                </c:pt>
                <c:pt idx="25">
                  <c:v>11865.104766575963</c:v>
                </c:pt>
                <c:pt idx="26">
                  <c:v>118651.04766575964</c:v>
                </c:pt>
                <c:pt idx="27">
                  <c:v>1186510.4766575964</c:v>
                </c:pt>
                <c:pt idx="28">
                  <c:v>11865104.766575964</c:v>
                </c:pt>
                <c:pt idx="29">
                  <c:v>118651047.66575964</c:v>
                </c:pt>
                <c:pt idx="30">
                  <c:v>1186510476.6575963</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42266112"/>
        <c:axId val="442269248"/>
      </c:scatterChart>
      <c:valAx>
        <c:axId val="4422661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9248"/>
        <c:crosses val="autoZero"/>
        <c:crossBetween val="midCat"/>
      </c:valAx>
      <c:valAx>
        <c:axId val="442269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611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-50</c:v>
                </c:pt>
                <c:pt idx="1">
                  <c:v>-49.861324901236465</c:v>
                </c:pt>
                <c:pt idx="2">
                  <c:v>-49.72237143020115</c:v>
                </c:pt>
                <c:pt idx="3">
                  <c:v>-49.582861214622319</c:v>
                </c:pt>
                <c:pt idx="4">
                  <c:v>-49.442515882228186</c:v>
                </c:pt>
                <c:pt idx="5">
                  <c:v>-49.301057060746992</c:v>
                </c:pt>
                <c:pt idx="6">
                  <c:v>-49.158206377906971</c:v>
                </c:pt>
                <c:pt idx="7">
                  <c:v>-49.01368546143636</c:v>
                </c:pt>
                <c:pt idx="8">
                  <c:v>-48.867215939063392</c:v>
                </c:pt>
                <c:pt idx="9">
                  <c:v>-48.718519438516303</c:v>
                </c:pt>
                <c:pt idx="10">
                  <c:v>-48.567317587523327</c:v>
                </c:pt>
                <c:pt idx="11">
                  <c:v>-48.413332013812699</c:v>
                </c:pt>
                <c:pt idx="12">
                  <c:v>-48.256284345112647</c:v>
                </c:pt>
                <c:pt idx="13">
                  <c:v>-48.095896209151419</c:v>
                </c:pt>
                <c:pt idx="14">
                  <c:v>-47.931889233657245</c:v>
                </c:pt>
                <c:pt idx="15">
                  <c:v>-47.76398504635835</c:v>
                </c:pt>
                <c:pt idx="16">
                  <c:v>-47.591905274982977</c:v>
                </c:pt>
                <c:pt idx="17">
                  <c:v>-47.415371547259369</c:v>
                </c:pt>
                <c:pt idx="18">
                  <c:v>-47.234105490915738</c:v>
                </c:pt>
                <c:pt idx="19">
                  <c:v>-47.047828733680348</c:v>
                </c:pt>
                <c:pt idx="20">
                  <c:v>-46.856262903281404</c:v>
                </c:pt>
                <c:pt idx="21">
                  <c:v>-46.659129627447172</c:v>
                </c:pt>
                <c:pt idx="22">
                  <c:v>-46.456150533905856</c:v>
                </c:pt>
                <c:pt idx="23">
                  <c:v>-46.247047250385705</c:v>
                </c:pt>
                <c:pt idx="24">
                  <c:v>-46.031541404614963</c:v>
                </c:pt>
                <c:pt idx="25">
                  <c:v>-45.809354624321848</c:v>
                </c:pt>
                <c:pt idx="26">
                  <c:v>-45.580208537234604</c:v>
                </c:pt>
                <c:pt idx="27">
                  <c:v>-45.343824771081465</c:v>
                </c:pt>
                <c:pt idx="28">
                  <c:v>-45.099924953590659</c:v>
                </c:pt>
                <c:pt idx="29">
                  <c:v>-44.848230712490427</c:v>
                </c:pt>
                <c:pt idx="30">
                  <c:v>-44.588463675509011</c:v>
                </c:pt>
                <c:pt idx="31">
                  <c:v>-44.320345470374626</c:v>
                </c:pt>
                <c:pt idx="32">
                  <c:v>-44.043597724815527</c:v>
                </c:pt>
                <c:pt idx="33">
                  <c:v>-43.757942066559941</c:v>
                </c:pt>
                <c:pt idx="34">
                  <c:v>-43.463100123336098</c:v>
                </c:pt>
                <c:pt idx="35">
                  <c:v>-43.158793522872244</c:v>
                </c:pt>
                <c:pt idx="36">
                  <c:v>-42.844743892896595</c:v>
                </c:pt>
                <c:pt idx="37">
                  <c:v>-42.520672861137406</c:v>
                </c:pt>
                <c:pt idx="38">
                  <c:v>-42.186302055322898</c:v>
                </c:pt>
                <c:pt idx="39">
                  <c:v>-41.841353103181312</c:v>
                </c:pt>
                <c:pt idx="40">
                  <c:v>-41.485547632440884</c:v>
                </c:pt>
                <c:pt idx="41">
                  <c:v>-41.335937516357326</c:v>
                </c:pt>
                <c:pt idx="42">
                  <c:v>-41.176090643569381</c:v>
                </c:pt>
                <c:pt idx="43">
                  <c:v>-41.006905148243256</c:v>
                </c:pt>
                <c:pt idx="44">
                  <c:v>-40.829279164545177</c:v>
                </c:pt>
                <c:pt idx="45">
                  <c:v>-40.644110826641352</c:v>
                </c:pt>
                <c:pt idx="46">
                  <c:v>-40.452298268698001</c:v>
                </c:pt>
                <c:pt idx="47">
                  <c:v>-40.254739624881353</c:v>
                </c:pt>
                <c:pt idx="48">
                  <c:v>-40.052333029357612</c:v>
                </c:pt>
                <c:pt idx="49">
                  <c:v>-39.845976616292994</c:v>
                </c:pt>
                <c:pt idx="50">
                  <c:v>-39.636568519853725</c:v>
                </c:pt>
                <c:pt idx="51">
                  <c:v>-39.425006874206005</c:v>
                </c:pt>
                <c:pt idx="52">
                  <c:v>-39.212189813516076</c:v>
                </c:pt>
                <c:pt idx="53">
                  <c:v>-38.999015471950138</c:v>
                </c:pt>
                <c:pt idx="54">
                  <c:v>-38.786381983674417</c:v>
                </c:pt>
                <c:pt idx="55">
                  <c:v>-38.575187482855114</c:v>
                </c:pt>
                <c:pt idx="56">
                  <c:v>-38.36633010365847</c:v>
                </c:pt>
                <c:pt idx="57">
                  <c:v>-38.160707980250692</c:v>
                </c:pt>
                <c:pt idx="58">
                  <c:v>-37.959219246797986</c:v>
                </c:pt>
                <c:pt idx="59">
                  <c:v>-37.76276203746658</c:v>
                </c:pt>
                <c:pt idx="60">
                  <c:v>-37.572234486422687</c:v>
                </c:pt>
                <c:pt idx="61">
                  <c:v>-37.388534727832536</c:v>
                </c:pt>
                <c:pt idx="62">
                  <c:v>-37.212560895862325</c:v>
                </c:pt>
                <c:pt idx="63">
                  <c:v>-37.045211124678282</c:v>
                </c:pt>
                <c:pt idx="64">
                  <c:v>-36.887383548446621</c:v>
                </c:pt>
                <c:pt idx="65">
                  <c:v>-36.73997630133357</c:v>
                </c:pt>
                <c:pt idx="66">
                  <c:v>-36.603572406687732</c:v>
                </c:pt>
                <c:pt idx="67">
                  <c:v>-36.477494444587322</c:v>
                </c:pt>
                <c:pt idx="68">
                  <c:v>-36.360749884292957</c:v>
                </c:pt>
                <c:pt idx="69">
                  <c:v>-36.25234619506525</c:v>
                </c:pt>
                <c:pt idx="70">
                  <c:v>-36.151290846164819</c:v>
                </c:pt>
                <c:pt idx="71">
                  <c:v>-36.056591306852269</c:v>
                </c:pt>
                <c:pt idx="72">
                  <c:v>-35.967255046388217</c:v>
                </c:pt>
                <c:pt idx="73">
                  <c:v>-35.882289534033283</c:v>
                </c:pt>
                <c:pt idx="74">
                  <c:v>-35.800702239048064</c:v>
                </c:pt>
                <c:pt idx="75">
                  <c:v>-35.721500630693193</c:v>
                </c:pt>
                <c:pt idx="76">
                  <c:v>-35.643692178229266</c:v>
                </c:pt>
                <c:pt idx="77">
                  <c:v>-35.566284350916909</c:v>
                </c:pt>
                <c:pt idx="78">
                  <c:v>-35.488284618016735</c:v>
                </c:pt>
                <c:pt idx="79">
                  <c:v>-35.408700448789347</c:v>
                </c:pt>
                <c:pt idx="80">
                  <c:v>-35.326539312495363</c:v>
                </c:pt>
                <c:pt idx="81">
                  <c:v>-35.240808678395403</c:v>
                </c:pt>
                <c:pt idx="82">
                  <c:v>-35.150516015750071</c:v>
                </c:pt>
                <c:pt idx="83">
                  <c:v>-35.054668793819985</c:v>
                </c:pt>
                <c:pt idx="84">
                  <c:v>-34.952274481865764</c:v>
                </c:pt>
                <c:pt idx="85">
                  <c:v>-34.84234054914802</c:v>
                </c:pt>
                <c:pt idx="86">
                  <c:v>-34.723874464927349</c:v>
                </c:pt>
                <c:pt idx="87">
                  <c:v>-34.595883698464384</c:v>
                </c:pt>
                <c:pt idx="88">
                  <c:v>-34.45737571901973</c:v>
                </c:pt>
                <c:pt idx="89">
                  <c:v>-34.307357995854005</c:v>
                </c:pt>
                <c:pt idx="90">
                  <c:v>-34.144837998227821</c:v>
                </c:pt>
                <c:pt idx="91">
                  <c:v>-33.969090740631437</c:v>
                </c:pt>
                <c:pt idx="92">
                  <c:v>-33.78046141847377</c:v>
                </c:pt>
                <c:pt idx="93">
                  <c:v>-33.579562772393359</c:v>
                </c:pt>
                <c:pt idx="94">
                  <c:v>-33.367007543028755</c:v>
                </c:pt>
                <c:pt idx="95">
                  <c:v>-33.143408471018518</c:v>
                </c:pt>
                <c:pt idx="96">
                  <c:v>-32.909378297001197</c:v>
                </c:pt>
                <c:pt idx="97">
                  <c:v>-32.665529761615332</c:v>
                </c:pt>
                <c:pt idx="98">
                  <c:v>-32.412475605499502</c:v>
                </c:pt>
                <c:pt idx="99">
                  <c:v>-32.150828569292237</c:v>
                </c:pt>
                <c:pt idx="100">
                  <c:v>-31.881201393632097</c:v>
                </c:pt>
                <c:pt idx="101">
                  <c:v>-31.604206819157636</c:v>
                </c:pt>
                <c:pt idx="102">
                  <c:v>-31.320457586507409</c:v>
                </c:pt>
                <c:pt idx="103">
                  <c:v>-31.030566436319958</c:v>
                </c:pt>
                <c:pt idx="104">
                  <c:v>-30.735146109233842</c:v>
                </c:pt>
                <c:pt idx="105">
                  <c:v>-30.434809345887615</c:v>
                </c:pt>
                <c:pt idx="106">
                  <c:v>-30.130168886919826</c:v>
                </c:pt>
                <c:pt idx="107">
                  <c:v>-29.82183747296903</c:v>
                </c:pt>
                <c:pt idx="108">
                  <c:v>-29.510427844673778</c:v>
                </c:pt>
                <c:pt idx="109">
                  <c:v>-29.196552742672623</c:v>
                </c:pt>
                <c:pt idx="110">
                  <c:v>-28.880824907604115</c:v>
                </c:pt>
                <c:pt idx="111">
                  <c:v>-28.563857080106814</c:v>
                </c:pt>
                <c:pt idx="112">
                  <c:v>-28.246262000819257</c:v>
                </c:pt>
                <c:pt idx="113">
                  <c:v>-27.928652410380018</c:v>
                </c:pt>
                <c:pt idx="114">
                  <c:v>-27.611641049427632</c:v>
                </c:pt>
                <c:pt idx="115">
                  <c:v>-27.295840658600653</c:v>
                </c:pt>
                <c:pt idx="116">
                  <c:v>-26.981863978537646</c:v>
                </c:pt>
                <c:pt idx="117">
                  <c:v>-26.670323749877152</c:v>
                </c:pt>
                <c:pt idx="118">
                  <c:v>-26.361832713257723</c:v>
                </c:pt>
                <c:pt idx="119">
                  <c:v>-26.057003609317917</c:v>
                </c:pt>
                <c:pt idx="120">
                  <c:v>-25.756449178696286</c:v>
                </c:pt>
                <c:pt idx="121">
                  <c:v>-25.460640083762978</c:v>
                </c:pt>
                <c:pt idx="122">
                  <c:v>-25.169478673814549</c:v>
                </c:pt>
                <c:pt idx="123">
                  <c:v>-24.882725219879159</c:v>
                </c:pt>
                <c:pt idx="124">
                  <c:v>-24.60013999298495</c:v>
                </c:pt>
                <c:pt idx="125">
                  <c:v>-24.321483264160076</c:v>
                </c:pt>
                <c:pt idx="126">
                  <c:v>-24.046515304432702</c:v>
                </c:pt>
                <c:pt idx="127">
                  <c:v>-23.774996384830974</c:v>
                </c:pt>
                <c:pt idx="128">
                  <c:v>-23.506686776383038</c:v>
                </c:pt>
                <c:pt idx="129">
                  <c:v>-23.24134675011706</c:v>
                </c:pt>
                <c:pt idx="130">
                  <c:v>-22.978736577061191</c:v>
                </c:pt>
                <c:pt idx="131">
                  <c:v>-22.718616528243583</c:v>
                </c:pt>
                <c:pt idx="132">
                  <c:v>-22.460746874692383</c:v>
                </c:pt>
                <c:pt idx="133">
                  <c:v>-22.204887887435753</c:v>
                </c:pt>
                <c:pt idx="134">
                  <c:v>-21.950799837501847</c:v>
                </c:pt>
                <c:pt idx="135">
                  <c:v>-21.698242995918811</c:v>
                </c:pt>
                <c:pt idx="136">
                  <c:v>-21.446977633714802</c:v>
                </c:pt>
                <c:pt idx="137">
                  <c:v>-21.196764021917978</c:v>
                </c:pt>
                <c:pt idx="138">
                  <c:v>-20.947362431556485</c:v>
                </c:pt>
                <c:pt idx="139">
                  <c:v>-20.698533133658483</c:v>
                </c:pt>
                <c:pt idx="140">
                  <c:v>-20.45003639925212</c:v>
                </c:pt>
                <c:pt idx="141">
                  <c:v>-20.201632499365552</c:v>
                </c:pt>
                <c:pt idx="142">
                  <c:v>-19.953081705026932</c:v>
                </c:pt>
                <c:pt idx="143">
                  <c:v>-19.704144287264413</c:v>
                </c:pt>
                <c:pt idx="144">
                  <c:v>-19.454580517106152</c:v>
                </c:pt>
                <c:pt idx="145">
                  <c:v>-19.2041506655803</c:v>
                </c:pt>
                <c:pt idx="146">
                  <c:v>-18.952615003715007</c:v>
                </c:pt>
                <c:pt idx="147">
                  <c:v>-18.699733802538432</c:v>
                </c:pt>
                <c:pt idx="148">
                  <c:v>-18.445267333078725</c:v>
                </c:pt>
                <c:pt idx="149">
                  <c:v>-18.188975866364039</c:v>
                </c:pt>
                <c:pt idx="150">
                  <c:v>-17.93061967342253</c:v>
                </c:pt>
                <c:pt idx="151">
                  <c:v>-17.669959025282353</c:v>
                </c:pt>
                <c:pt idx="152">
                  <c:v>-17.406754192971658</c:v>
                </c:pt>
                <c:pt idx="153">
                  <c:v>-17.140765447518596</c:v>
                </c:pt>
                <c:pt idx="154">
                  <c:v>-16.871753059951327</c:v>
                </c:pt>
                <c:pt idx="155">
                  <c:v>-16.599477301298002</c:v>
                </c:pt>
                <c:pt idx="156">
                  <c:v>-16.323698442586771</c:v>
                </c:pt>
                <c:pt idx="157">
                  <c:v>-16.044176754845793</c:v>
                </c:pt>
                <c:pt idx="158">
                  <c:v>-15.760672509103218</c:v>
                </c:pt>
                <c:pt idx="159">
                  <c:v>-15.472945976387198</c:v>
                </c:pt>
                <c:pt idx="160">
                  <c:v>-15.18075742772589</c:v>
                </c:pt>
                <c:pt idx="161">
                  <c:v>-14.883867134147447</c:v>
                </c:pt>
                <c:pt idx="162">
                  <c:v>-14.582035366680021</c:v>
                </c:pt>
                <c:pt idx="163">
                  <c:v>-14.275022396351766</c:v>
                </c:pt>
                <c:pt idx="164">
                  <c:v>-13.962588494190836</c:v>
                </c:pt>
                <c:pt idx="165">
                  <c:v>-13.644493931225382</c:v>
                </c:pt>
                <c:pt idx="166">
                  <c:v>-13.320567030406375</c:v>
                </c:pt>
                <c:pt idx="167">
                  <c:v>-12.990908322376038</c:v>
                </c:pt>
                <c:pt idx="168">
                  <c:v>-12.655686389699412</c:v>
                </c:pt>
                <c:pt idx="169">
                  <c:v>-12.315069814941534</c:v>
                </c:pt>
                <c:pt idx="170">
                  <c:v>-11.969227180667444</c:v>
                </c:pt>
                <c:pt idx="171">
                  <c:v>-11.618327069442177</c:v>
                </c:pt>
                <c:pt idx="172">
                  <c:v>-11.26253806383078</c:v>
                </c:pt>
                <c:pt idx="173">
                  <c:v>-10.902028746398289</c:v>
                </c:pt>
                <c:pt idx="174">
                  <c:v>-10.53696769970974</c:v>
                </c:pt>
                <c:pt idx="175">
                  <c:v>-10.167523506330173</c:v>
                </c:pt>
                <c:pt idx="176">
                  <c:v>-9.7938647488246318</c:v>
                </c:pt>
                <c:pt idx="177">
                  <c:v>-9.4161600097581513</c:v>
                </c:pt>
                <c:pt idx="178">
                  <c:v>-9.0345778716957703</c:v>
                </c:pt>
                <c:pt idx="179">
                  <c:v>-8.6492869172025291</c:v>
                </c:pt>
                <c:pt idx="180">
                  <c:v>-8.2604557288434659</c:v>
                </c:pt>
                <c:pt idx="181">
                  <c:v>-7.8682528891836228</c:v>
                </c:pt>
                <c:pt idx="182">
                  <c:v>-7.4728469807880362</c:v>
                </c:pt>
                <c:pt idx="183">
                  <c:v>-7.0744065862217447</c:v>
                </c:pt>
                <c:pt idx="184">
                  <c:v>-6.6731002880497892</c:v>
                </c:pt>
                <c:pt idx="185">
                  <c:v>-6.2690966688372081</c:v>
                </c:pt>
                <c:pt idx="186">
                  <c:v>-5.8625643111490398</c:v>
                </c:pt>
                <c:pt idx="187">
                  <c:v>-5.4536717975503253</c:v>
                </c:pt>
                <c:pt idx="188">
                  <c:v>-5.0425877106061012</c:v>
                </c:pt>
                <c:pt idx="189">
                  <c:v>-4.6294806328814087</c:v>
                </c:pt>
                <c:pt idx="190">
                  <c:v>-4.214519146941285</c:v>
                </c:pt>
                <c:pt idx="191">
                  <c:v>-3.797871835350771</c:v>
                </c:pt>
                <c:pt idx="192">
                  <c:v>-3.3797072806749053</c:v>
                </c:pt>
                <c:pt idx="193">
                  <c:v>-2.9601940654787264</c:v>
                </c:pt>
                <c:pt idx="194">
                  <c:v>-2.5395007723272736</c:v>
                </c:pt>
                <c:pt idx="195">
                  <c:v>-2.1177959837855864</c:v>
                </c:pt>
                <c:pt idx="196">
                  <c:v>-1.6952482824187038</c:v>
                </c:pt>
                <c:pt idx="197">
                  <c:v>-1.2720262507916646</c:v>
                </c:pt>
                <c:pt idx="198">
                  <c:v>-0.84829847146950832</c:v>
                </c:pt>
                <c:pt idx="199">
                  <c:v>-0.42423352701727374</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-50</c:v>
                </c:pt>
                <c:pt idx="1">
                  <c:v>-41.485547632440884</c:v>
                </c:pt>
                <c:pt idx="2">
                  <c:v>-36.73997630133357</c:v>
                </c:pt>
                <c:pt idx="3">
                  <c:v>-34.144837998227821</c:v>
                </c:pt>
                <c:pt idx="4">
                  <c:v>-25.756449178696286</c:v>
                </c:pt>
                <c:pt idx="5">
                  <c:v>-13.644493931225382</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-49.803616838100425</c:v>
                </c:pt>
                <c:pt idx="1">
                  <c:v>-49.708393993061691</c:v>
                </c:pt>
                <c:pt idx="2">
                  <c:v>-49.614444536760857</c:v>
                </c:pt>
                <c:pt idx="3">
                  <c:v>-49.519770879074713</c:v>
                </c:pt>
                <c:pt idx="4">
                  <c:v>-49.422634747470511</c:v>
                </c:pt>
                <c:pt idx="5">
                  <c:v>-49.321539374792337</c:v>
                </c:pt>
                <c:pt idx="6">
                  <c:v>-49.215212426490325</c:v>
                </c:pt>
                <c:pt idx="7">
                  <c:v>-49.102589649099173</c:v>
                </c:pt>
                <c:pt idx="8">
                  <c:v>-48.982799222727408</c:v>
                </c:pt>
                <c:pt idx="9">
                  <c:v>-48.855146799860449</c:v>
                </c:pt>
                <c:pt idx="10">
                  <c:v>-48.719101213482645</c:v>
                </c:pt>
                <c:pt idx="11">
                  <c:v>-48.574280837106926</c:v>
                </c:pt>
                <c:pt idx="12">
                  <c:v>-48.420440580338436</c:v>
                </c:pt>
                <c:pt idx="13">
                  <c:v>-48.257459502990969</c:v>
                </c:pt>
                <c:pt idx="14">
                  <c:v>-48.085329031368929</c:v>
                </c:pt>
                <c:pt idx="15">
                  <c:v>-47.904141760541279</c:v>
                </c:pt>
                <c:pt idx="16">
                  <c:v>-47.714080826478494</c:v>
                </c:pt>
                <c:pt idx="17">
                  <c:v>-47.515409832161822</c:v>
                </c:pt>
                <c:pt idx="18">
                  <c:v>-47.308463312084314</c:v>
                </c:pt>
                <c:pt idx="19">
                  <c:v>-47.093637719519393</c:v>
                </c:pt>
                <c:pt idx="20">
                  <c:v>-46.871382921433906</c:v>
                </c:pt>
                <c:pt idx="21">
                  <c:v>-46.6421941858016</c:v>
                </c:pt>
                <c:pt idx="22">
                  <c:v>-46.40660464654411</c:v>
                </c:pt>
                <c:pt idx="23">
                  <c:v>-46.165178231290156</c:v>
                </c:pt>
                <c:pt idx="24">
                  <c:v>-45.91850303758838</c:v>
                </c:pt>
                <c:pt idx="25">
                  <c:v>-45.667185143110146</c:v>
                </c:pt>
                <c:pt idx="26">
                  <c:v>-45.411842835732386</c:v>
                </c:pt>
                <c:pt idx="27">
                  <c:v>-45.153101249817155</c:v>
                </c:pt>
                <c:pt idx="28">
                  <c:v>-44.891587394559792</c:v>
                </c:pt>
                <c:pt idx="29">
                  <c:v>-44.627925561255324</c:v>
                </c:pt>
                <c:pt idx="30">
                  <c:v>-44.362733095892963</c:v>
                </c:pt>
                <c:pt idx="31">
                  <c:v>-44.096616524037472</c:v>
                </c:pt>
                <c:pt idx="32">
                  <c:v>-43.830168015079835</c:v>
                </c:pt>
                <c:pt idx="33">
                  <c:v>-43.563962172935589</c:v>
                </c:pt>
                <c:pt idx="34">
                  <c:v>-43.298553140879449</c:v>
                </c:pt>
                <c:pt idx="35">
                  <c:v>-43.034472007946079</c:v>
                </c:pt>
                <c:pt idx="36">
                  <c:v>-42.772224504821679</c:v>
                </c:pt>
                <c:pt idx="37">
                  <c:v>-42.512288977229218</c:v>
                </c:pt>
                <c:pt idx="38">
                  <c:v>-42.255114625012084</c:v>
                </c:pt>
                <c:pt idx="39">
                  <c:v>-42.001119995365116</c:v>
                </c:pt>
                <c:pt idx="40">
                  <c:v>-41.750691718782036</c:v>
                </c:pt>
                <c:pt idx="41">
                  <c:v>-41.504183476549997</c:v>
                </c:pt>
                <c:pt idx="42">
                  <c:v>-41.261915188790908</c:v>
                </c:pt>
                <c:pt idx="43">
                  <c:v>-41.024172412192229</c:v>
                </c:pt>
                <c:pt idx="44">
                  <c:v>-40.791205936895949</c:v>
                </c:pt>
                <c:pt idx="45">
                  <c:v>-40.563231572051791</c:v>
                </c:pt>
                <c:pt idx="46">
                  <c:v>-40.340430109859881</c:v>
                </c:pt>
                <c:pt idx="47">
                  <c:v>-40.122947458054568</c:v>
                </c:pt>
                <c:pt idx="48">
                  <c:v>-39.910894930978429</c:v>
                </c:pt>
                <c:pt idx="49">
                  <c:v>-39.704349689655828</c:v>
                </c:pt>
                <c:pt idx="50">
                  <c:v>-39.503355321377967</c:v>
                </c:pt>
                <c:pt idx="51">
                  <c:v>-39.307922549556451</c:v>
                </c:pt>
                <c:pt idx="52">
                  <c:v>-39.118030064794311</c:v>
                </c:pt>
                <c:pt idx="53">
                  <c:v>-38.933625468342598</c:v>
                </c:pt>
                <c:pt idx="54">
                  <c:v>-38.754626319207318</c:v>
                </c:pt>
                <c:pt idx="55">
                  <c:v>-38.580921276521053</c:v>
                </c:pt>
                <c:pt idx="56">
                  <c:v>-38.412371328823951</c:v>
                </c:pt>
                <c:pt idx="57">
                  <c:v>-38.248811102217701</c:v>
                </c:pt>
                <c:pt idx="58">
                  <c:v>-38.090050239519883</c:v>
                </c:pt>
                <c:pt idx="59">
                  <c:v>-37.935874842655153</c:v>
                </c:pt>
                <c:pt idx="60">
                  <c:v>-37.786048970881325</c:v>
                </c:pt>
                <c:pt idx="61">
                  <c:v>-37.64031618744616</c:v>
                </c:pt>
                <c:pt idx="62">
                  <c:v>-37.498401147667323</c:v>
                </c:pt>
                <c:pt idx="63">
                  <c:v>-37.360011221435343</c:v>
                </c:pt>
                <c:pt idx="64">
                  <c:v>-37.224838143470834</c:v>
                </c:pt>
                <c:pt idx="65">
                  <c:v>-37.092559684802723</c:v>
                </c:pt>
                <c:pt idx="66">
                  <c:v>-36.962841339130307</c:v>
                </c:pt>
                <c:pt idx="67">
                  <c:v>-36.83533801792646</c:v>
                </c:pt>
                <c:pt idx="68">
                  <c:v>-36.709695748362776</c:v>
                </c:pt>
                <c:pt idx="69">
                  <c:v>-36.585553368309832</c:v>
                </c:pt>
                <c:pt idx="70">
                  <c:v>-36.462544212816397</c:v>
                </c:pt>
                <c:pt idx="71">
                  <c:v>-36.340297786799795</c:v>
                </c:pt>
                <c:pt idx="72">
                  <c:v>-36.218441418686155</c:v>
                </c:pt>
                <c:pt idx="73">
                  <c:v>-36.096601890107593</c:v>
                </c:pt>
                <c:pt idx="74">
                  <c:v>-35.97440703685379</c:v>
                </c:pt>
                <c:pt idx="75">
                  <c:v>-35.851487316494854</c:v>
                </c:pt>
                <c:pt idx="76">
                  <c:v>-35.727477338314543</c:v>
                </c:pt>
                <c:pt idx="77">
                  <c:v>-35.60201735134558</c:v>
                </c:pt>
                <c:pt idx="78">
                  <c:v>-35.474754686532009</c:v>
                </c:pt>
                <c:pt idx="79">
                  <c:v>-35.345345149191189</c:v>
                </c:pt>
                <c:pt idx="80">
                  <c:v>-35.213454358216325</c:v>
                </c:pt>
                <c:pt idx="81">
                  <c:v>-35.078759028557272</c:v>
                </c:pt>
                <c:pt idx="82">
                  <c:v>-34.940948193817235</c:v>
                </c:pt>
                <c:pt idx="83">
                  <c:v>-34.799724365901056</c:v>
                </c:pt>
                <c:pt idx="84">
                  <c:v>-34.654804628917617</c:v>
                </c:pt>
                <c:pt idx="85">
                  <c:v>-34.505921664703635</c:v>
                </c:pt>
                <c:pt idx="86">
                  <c:v>-34.352824707511445</c:v>
                </c:pt>
                <c:pt idx="87">
                  <c:v>-34.195280425654829</c:v>
                </c:pt>
                <c:pt idx="88">
                  <c:v>-34.033073728028825</c:v>
                </c:pt>
                <c:pt idx="89">
                  <c:v>-33.866008493685669</c:v>
                </c:pt>
                <c:pt idx="90">
                  <c:v>-33.693908222785524</c:v>
                </c:pt>
                <c:pt idx="91">
                  <c:v>-33.516616607471704</c:v>
                </c:pt>
                <c:pt idx="92">
                  <c:v>-33.333998021400305</c:v>
                </c:pt>
                <c:pt idx="93">
                  <c:v>-33.145937926848077</c:v>
                </c:pt>
                <c:pt idx="94">
                  <c:v>-32.952343198532162</c:v>
                </c:pt>
                <c:pt idx="95">
                  <c:v>-32.753142363437348</c:v>
                </c:pt>
                <c:pt idx="96">
                  <c:v>-32.548285756184541</c:v>
                </c:pt>
                <c:pt idx="97">
                  <c:v>-32.337745589631353</c:v>
                </c:pt>
                <c:pt idx="98">
                  <c:v>-32.121515940607964</c:v>
                </c:pt>
                <c:pt idx="99">
                  <c:v>-31.899612650895214</c:v>
                </c:pt>
                <c:pt idx="100">
                  <c:v>-31.672073143716148</c:v>
                </c:pt>
                <c:pt idx="101">
                  <c:v>-31.438956156235207</c:v>
                </c:pt>
                <c:pt idx="102">
                  <c:v>-31.200341388756677</c:v>
                </c:pt>
                <c:pt idx="103">
                  <c:v>-30.956329071466712</c:v>
                </c:pt>
                <c:pt idx="104">
                  <c:v>-30.707039449823263</c:v>
                </c:pt>
                <c:pt idx="105">
                  <c:v>-30.452612189823569</c:v>
                </c:pt>
                <c:pt idx="106">
                  <c:v>-30.193205704636679</c:v>
                </c:pt>
                <c:pt idx="107">
                  <c:v>-29.928996404231885</c:v>
                </c:pt>
                <c:pt idx="108">
                  <c:v>-29.660177869864359</c:v>
                </c:pt>
                <c:pt idx="109">
                  <c:v>-29.386959955453829</c:v>
                </c:pt>
                <c:pt idx="110">
                  <c:v>-29.109567818095321</c:v>
                </c:pt>
                <c:pt idx="111">
                  <c:v>-28.828240880134199</c:v>
                </c:pt>
                <c:pt idx="112">
                  <c:v>-28.543231725427489</c:v>
                </c:pt>
                <c:pt idx="113">
                  <c:v>-28.254804932623486</c:v>
                </c:pt>
                <c:pt idx="114">
                  <c:v>-27.963235848459892</c:v>
                </c:pt>
                <c:pt idx="115">
                  <c:v>-27.66880930430478</c:v>
                </c:pt>
                <c:pt idx="116">
                  <c:v>-27.371818279337944</c:v>
                </c:pt>
                <c:pt idx="117">
                  <c:v>-27.072562513975441</c:v>
                </c:pt>
                <c:pt idx="118">
                  <c:v>-26.771347077330727</c:v>
                </c:pt>
                <c:pt idx="119">
                  <c:v>-26.468480892701834</c:v>
                </c:pt>
                <c:pt idx="120">
                  <c:v>-26.164275225269591</c:v>
                </c:pt>
                <c:pt idx="121">
                  <c:v>-25.859042136383575</c:v>
                </c:pt>
                <c:pt idx="122">
                  <c:v>-25.553092909012328</c:v>
                </c:pt>
                <c:pt idx="123">
                  <c:v>-25.246736449121933</c:v>
                </c:pt>
                <c:pt idx="124">
                  <c:v>-24.940277667949317</c:v>
                </c:pt>
                <c:pt idx="125">
                  <c:v>-24.634015850325113</c:v>
                </c:pt>
                <c:pt idx="126">
                  <c:v>-24.328243014400563</c:v>
                </c:pt>
                <c:pt idx="127">
                  <c:v>-24.023242268322505</c:v>
                </c:pt>
                <c:pt idx="128">
                  <c:v>-23.719286169601837</c:v>
                </c:pt>
                <c:pt idx="129">
                  <c:v>-23.416635093107082</c:v>
                </c:pt>
                <c:pt idx="130">
                  <c:v>-23.115535613818388</c:v>
                </c:pt>
                <c:pt idx="131">
                  <c:v>-22.816218910664993</c:v>
                </c:pt>
                <c:pt idx="132">
                  <c:v>-22.518899197966846</c:v>
                </c:pt>
                <c:pt idx="133">
                  <c:v>-22.223772191195842</c:v>
                </c:pt>
                <c:pt idx="134">
                  <c:v>-21.931013613967433</c:v>
                </c:pt>
                <c:pt idx="135">
                  <c:v>-21.640777753364564</c:v>
                </c:pt>
                <c:pt idx="136">
                  <c:v>-21.353196070895216</c:v>
                </c:pt>
                <c:pt idx="137">
                  <c:v>-21.068375876576912</c:v>
                </c:pt>
                <c:pt idx="138">
                  <c:v>-20.786399073835803</c:v>
                </c:pt>
                <c:pt idx="139">
                  <c:v>-20.507320983104858</c:v>
                </c:pt>
                <c:pt idx="140">
                  <c:v>-20.23116925219832</c:v>
                </c:pt>
                <c:pt idx="141">
                  <c:v>-19.957942861735042</c:v>
                </c:pt>
                <c:pt idx="142">
                  <c:v>-19.68761123407851</c:v>
                </c:pt>
                <c:pt idx="143">
                  <c:v>-19.420113454454977</c:v>
                </c:pt>
                <c:pt idx="144">
                  <c:v>-19.155357613107014</c:v>
                </c:pt>
                <c:pt idx="145">
                  <c:v>-18.893220277533405</c:v>
                </c:pt>
                <c:pt idx="146">
                  <c:v>-18.633546104062034</c:v>
                </c:pt>
                <c:pt idx="147">
                  <c:v>-18.376147598195555</c:v>
                </c:pt>
                <c:pt idx="148">
                  <c:v>-18.120805033367002</c:v>
                </c:pt>
                <c:pt idx="149">
                  <c:v>-17.867266537933741</c:v>
                </c:pt>
                <c:pt idx="150">
                  <c:v>-17.615248360436095</c:v>
                </c:pt>
                <c:pt idx="151">
                  <c:v>-17.364435323339237</c:v>
                </c:pt>
                <c:pt idx="152">
                  <c:v>-17.11448147567344</c:v>
                </c:pt>
                <c:pt idx="153">
                  <c:v>-16.865010955181187</c:v>
                </c:pt>
                <c:pt idx="154">
                  <c:v>-16.61561907077478</c:v>
                </c:pt>
                <c:pt idx="155">
                  <c:v>-16.365873616303237</c:v>
                </c:pt>
                <c:pt idx="156">
                  <c:v>-16.115316426821323</c:v>
                </c:pt>
                <c:pt idx="157">
                  <c:v>-15.863465188748419</c:v>
                </c:pt>
                <c:pt idx="158">
                  <c:v>-15.609815515499893</c:v>
                </c:pt>
                <c:pt idx="159">
                  <c:v>-15.353843300367965</c:v>
                </c:pt>
                <c:pt idx="160">
                  <c:v>-15.095007358624244</c:v>
                </c:pt>
                <c:pt idx="161">
                  <c:v>-14.832752371010058</c:v>
                </c:pt>
                <c:pt idx="162">
                  <c:v>-14.566512140976281</c:v>
                </c:pt>
                <c:pt idx="163">
                  <c:v>-14.295713178228381</c:v>
                </c:pt>
                <c:pt idx="164">
                  <c:v>-14.019778621327356</c:v>
                </c:pt>
                <c:pt idx="165">
                  <c:v>-13.738132512292049</c:v>
                </c:pt>
                <c:pt idx="166">
                  <c:v>-13.450204436342839</c:v>
                </c:pt>
                <c:pt idx="167">
                  <c:v>-13.155434540121339</c:v>
                </c:pt>
                <c:pt idx="168">
                  <c:v>-12.853278941915757</c:v>
                </c:pt>
                <c:pt idx="169">
                  <c:v>-12.54321554761597</c:v>
                </c:pt>
                <c:pt idx="170">
                  <c:v>-12.22475028631712</c:v>
                </c:pt>
                <c:pt idx="171">
                  <c:v>-11.897423779685338</c:v>
                </c:pt>
                <c:pt idx="172">
                  <c:v>-11.560818459393833</c:v>
                </c:pt>
                <c:pt idx="173">
                  <c:v>-11.214566147132244</c:v>
                </c:pt>
                <c:pt idx="174">
                  <c:v>-10.85835611188695</c:v>
                </c:pt>
                <c:pt idx="175">
                  <c:v>-10.491943619384578</c:v>
                </c:pt>
                <c:pt idx="176">
                  <c:v>-10.115158988785861</c:v>
                </c:pt>
                <c:pt idx="177">
                  <c:v>-9.727917171911475</c:v>
                </c:pt>
                <c:pt idx="178">
                  <c:v>-9.3302278704763175</c:v>
                </c:pt>
                <c:pt idx="179">
                  <c:v>-8.9222062070033346</c:v>
                </c:pt>
                <c:pt idx="180">
                  <c:v>-8.5040839652827493</c:v>
                </c:pt>
                <c:pt idx="181">
                  <c:v>-8.076221416437166</c:v>
                </c:pt>
                <c:pt idx="182">
                  <c:v>-7.6391197468477845</c:v>
                </c:pt>
                <c:pt idx="183">
                  <c:v>-7.1934341043916143</c:v>
                </c:pt>
                <c:pt idx="184">
                  <c:v>-6.739987279634347</c:v>
                </c:pt>
                <c:pt idx="185">
                  <c:v>-6.279784038818125</c:v>
                </c:pt>
                <c:pt idx="186">
                  <c:v>-5.8140261256782395</c:v>
                </c:pt>
                <c:pt idx="187">
                  <c:v>-5.3441279493174845</c:v>
                </c:pt>
                <c:pt idx="188">
                  <c:v>-4.871732975561498</c:v>
                </c:pt>
                <c:pt idx="189">
                  <c:v>-4.3987308394132505</c:v>
                </c:pt>
                <c:pt idx="190">
                  <c:v>-3.9272751964194184</c:v>
                </c:pt>
                <c:pt idx="191">
                  <c:v>-3.4598023309561663</c:v>
                </c:pt>
                <c:pt idx="192">
                  <c:v>-2.9990505396365039</c:v>
                </c:pt>
                <c:pt idx="193">
                  <c:v>-2.548080308236107</c:v>
                </c:pt>
                <c:pt idx="194">
                  <c:v>-2.110295300729168</c:v>
                </c:pt>
                <c:pt idx="195">
                  <c:v>-1.6894641792205813</c:v>
                </c:pt>
                <c:pt idx="196">
                  <c:v>-1.2897432737554033</c:v>
                </c:pt>
                <c:pt idx="197">
                  <c:v>-0.91570012118128274</c:v>
                </c:pt>
                <c:pt idx="198">
                  <c:v>-0.57233789243421374</c:v>
                </c:pt>
                <c:pt idx="199">
                  <c:v>-0.26512072781268847</c:v>
                </c:pt>
                <c:pt idx="200">
                  <c:v>0</c:v>
                </c:pt>
              </c:numCache>
            </c:numRef>
          </c:yVal>
          <c:smooth val="1"/>
        </c:ser>
        <c:dLbls>
          <c:showLegendKey val="0"/>
          <c:showVal val="0"/>
          <c:showCatName val="0"/>
          <c:showSerName val="0"/>
          <c:showPercent val="0"/>
          <c:showBubbleSize val="0"/>
        </c:dLbls>
        <c:axId val="442268464"/>
        <c:axId val="442272384"/>
      </c:scatterChart>
      <c:valAx>
        <c:axId val="44226846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2384"/>
        <c:crossesAt val="-1000"/>
        <c:crossBetween val="midCat"/>
      </c:valAx>
      <c:valAx>
        <c:axId val="44227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846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0.24196150034132446</v>
      </c>
      <c r="D59" s="55">
        <v>1</v>
      </c>
    </row>
    <row r="60" spans="1:4" s="11" customFormat="1" x14ac:dyDescent="0.25">
      <c r="A60" s="54">
        <v>2</v>
      </c>
      <c r="B60" s="56">
        <f>'Shiftfunktion bestimmen'!N2</f>
        <v>-2.4258522553794244E-2</v>
      </c>
      <c r="D60" s="55">
        <v>2</v>
      </c>
    </row>
    <row r="61" spans="1:4" s="11" customFormat="1" x14ac:dyDescent="0.25">
      <c r="A61" s="54">
        <v>3</v>
      </c>
      <c r="B61" s="56">
        <f>'Shiftfunktion bestimmen'!N3</f>
        <v>-1.1216599433334481E-3</v>
      </c>
      <c r="D61" s="55">
        <v>3</v>
      </c>
    </row>
    <row r="62" spans="1:4" s="11" customFormat="1" x14ac:dyDescent="0.25">
      <c r="A62" s="54">
        <v>4</v>
      </c>
      <c r="B62" s="56">
        <f>'Shiftfunktion bestimmen'!N4</f>
        <v>-2.2602374700962184E-5</v>
      </c>
      <c r="D62" s="55">
        <v>4</v>
      </c>
    </row>
    <row r="63" spans="1:4" s="11" customFormat="1" x14ac:dyDescent="0.25">
      <c r="A63" s="54">
        <v>5</v>
      </c>
      <c r="B63" s="56">
        <f>'Shiftfunktion bestimmen'!N5</f>
        <v>-2.3888217309517148E-7</v>
      </c>
      <c r="D63" s="55">
        <v>5</v>
      </c>
    </row>
    <row r="64" spans="1:4" s="11" customFormat="1" x14ac:dyDescent="0.25">
      <c r="A64" s="54">
        <v>6</v>
      </c>
      <c r="B64" s="56">
        <f>'Shiftfunktion bestimmen'!N6</f>
        <v>-1.3724263213237474E-9</v>
      </c>
      <c r="D64" s="55">
        <v>6</v>
      </c>
    </row>
    <row r="65" spans="1:5" s="11" customFormat="1" x14ac:dyDescent="0.25">
      <c r="A65" s="54">
        <v>7</v>
      </c>
      <c r="B65" s="56">
        <f>'Shiftfunktion bestimmen'!N7</f>
        <v>-4.0557941151289553E-12</v>
      </c>
      <c r="D65" s="55">
        <v>7</v>
      </c>
    </row>
    <row r="66" spans="1:5" x14ac:dyDescent="0.25">
      <c r="A66" s="54">
        <v>8</v>
      </c>
      <c r="B66" s="56">
        <f>'Shiftfunktion bestimmen'!N8</f>
        <v>-4.8287991949733681E-15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0.35957115347282304</v>
      </c>
      <c r="D74" s="51">
        <v>1</v>
      </c>
      <c r="E74" s="56">
        <f>'Mastercurve bestimmen'!A18</f>
        <v>1.0000000000000001E-20</v>
      </c>
    </row>
    <row r="75" spans="1:5" x14ac:dyDescent="0.25">
      <c r="A75" s="50">
        <f>A74+1</f>
        <v>2</v>
      </c>
      <c r="B75" s="56">
        <f>'Mastercurve bestimmen'!C19</f>
        <v>5.3087681466497318E-2</v>
      </c>
      <c r="D75" s="51">
        <v>2</v>
      </c>
      <c r="E75" s="56">
        <f>'Mastercurve bestimmen'!A19</f>
        <v>3.9038946506297401E-14</v>
      </c>
    </row>
    <row r="76" spans="1:5" x14ac:dyDescent="0.25">
      <c r="A76" s="50">
        <f t="shared" ref="A76:A104" si="0">A75+1</f>
        <v>3</v>
      </c>
      <c r="B76" s="56">
        <f>'Mastercurve bestimmen'!C20</f>
        <v>1.8548614905856641E-2</v>
      </c>
      <c r="D76" s="51">
        <v>3</v>
      </c>
      <c r="E76" s="56">
        <f>'Mastercurve bestimmen'!A20</f>
        <v>4.3276437088188502E-13</v>
      </c>
    </row>
    <row r="77" spans="1:5" x14ac:dyDescent="0.25">
      <c r="A77" s="50">
        <f t="shared" si="0"/>
        <v>4</v>
      </c>
      <c r="B77" s="56">
        <f>'Mastercurve bestimmen'!C21</f>
        <v>2.7428318800719304E-2</v>
      </c>
      <c r="D77" s="51">
        <v>4</v>
      </c>
      <c r="E77" s="56">
        <f>'Mastercurve bestimmen'!A21</f>
        <v>4.7973886968128502E-12</v>
      </c>
    </row>
    <row r="78" spans="1:5" x14ac:dyDescent="0.25">
      <c r="A78" s="50">
        <f t="shared" si="0"/>
        <v>5</v>
      </c>
      <c r="B78" s="56">
        <f>'Mastercurve bestimmen'!C22</f>
        <v>3.2244311763005913E-2</v>
      </c>
      <c r="D78" s="51">
        <v>5</v>
      </c>
      <c r="E78" s="56">
        <f>'Mastercurve bestimmen'!A22</f>
        <v>5.31812225239524E-11</v>
      </c>
    </row>
    <row r="79" spans="1:5" x14ac:dyDescent="0.25">
      <c r="A79" s="50">
        <f t="shared" si="0"/>
        <v>6</v>
      </c>
      <c r="B79" s="56">
        <f>'Mastercurve bestimmen'!C23</f>
        <v>3.4402319244329078E-2</v>
      </c>
      <c r="D79" s="51">
        <v>6</v>
      </c>
      <c r="E79" s="56">
        <f>'Mastercurve bestimmen'!A23</f>
        <v>5.8953789402578301E-10</v>
      </c>
    </row>
    <row r="80" spans="1:5" x14ac:dyDescent="0.25">
      <c r="A80" s="50">
        <f t="shared" si="0"/>
        <v>7</v>
      </c>
      <c r="B80" s="56">
        <f>'Mastercurve bestimmen'!C24</f>
        <v>4.0521812648841492E-2</v>
      </c>
      <c r="D80" s="51">
        <v>7</v>
      </c>
      <c r="E80" s="56">
        <f>'Mastercurve bestimmen'!A24</f>
        <v>6.5352940755699598E-9</v>
      </c>
    </row>
    <row r="81" spans="1:5" x14ac:dyDescent="0.25">
      <c r="A81" s="50">
        <f t="shared" si="0"/>
        <v>8</v>
      </c>
      <c r="B81" s="56">
        <f>'Mastercurve bestimmen'!C25</f>
        <v>4.571082615945813E-2</v>
      </c>
      <c r="D81" s="51">
        <v>8</v>
      </c>
      <c r="E81" s="56">
        <f>'Mastercurve bestimmen'!A25</f>
        <v>7.2446689325643296E-8</v>
      </c>
    </row>
    <row r="82" spans="1:5" x14ac:dyDescent="0.25">
      <c r="A82" s="50">
        <f t="shared" si="0"/>
        <v>9</v>
      </c>
      <c r="B82" s="56">
        <f>'Mastercurve bestimmen'!C26</f>
        <v>5.619956404185248E-2</v>
      </c>
      <c r="D82" s="51">
        <f>A82</f>
        <v>9</v>
      </c>
      <c r="E82" s="56">
        <f>'Mastercurve bestimmen'!A26</f>
        <v>8.03104303120212E-7</v>
      </c>
    </row>
    <row r="83" spans="1:5" x14ac:dyDescent="0.25">
      <c r="A83" s="50">
        <f t="shared" si="0"/>
        <v>10</v>
      </c>
      <c r="B83" s="56">
        <f>'Mastercurve bestimmen'!C27</f>
        <v>6.8321253158217701E-2</v>
      </c>
      <c r="C83" s="11"/>
      <c r="D83" s="51">
        <f t="shared" ref="D83:D104" si="1">A83</f>
        <v>10</v>
      </c>
      <c r="E83" s="56">
        <f>'Mastercurve bestimmen'!A27</f>
        <v>8.9027742702096099E-6</v>
      </c>
    </row>
    <row r="84" spans="1:5" x14ac:dyDescent="0.25">
      <c r="A84" s="50">
        <f t="shared" si="0"/>
        <v>11</v>
      </c>
      <c r="B84" s="56">
        <f>'Mastercurve bestimmen'!C28</f>
        <v>7.2516023247876399E-2</v>
      </c>
      <c r="C84" s="11"/>
      <c r="D84" s="51">
        <f t="shared" si="1"/>
        <v>11</v>
      </c>
      <c r="E84" s="56">
        <f>'Mastercurve bestimmen'!A28</f>
        <v>9.86912775817142E-5</v>
      </c>
    </row>
    <row r="85" spans="1:5" x14ac:dyDescent="0.25">
      <c r="A85" s="50">
        <f t="shared" si="0"/>
        <v>12</v>
      </c>
      <c r="B85" s="56">
        <f>'Mastercurve bestimmen'!C29</f>
        <v>6.0357732330784487E-2</v>
      </c>
      <c r="C85" s="11"/>
      <c r="D85" s="51">
        <f t="shared" si="1"/>
        <v>12</v>
      </c>
      <c r="E85" s="56">
        <f>'Mastercurve bestimmen'!A29</f>
        <v>1.0940374286813801E-3</v>
      </c>
    </row>
    <row r="86" spans="1:5" x14ac:dyDescent="0.25">
      <c r="A86" s="50">
        <f t="shared" si="0"/>
        <v>13</v>
      </c>
      <c r="B86" s="56">
        <f>'Mastercurve bestimmen'!C30</f>
        <v>3.7953571045142992E-2</v>
      </c>
      <c r="C86" s="11"/>
      <c r="D86" s="51">
        <f t="shared" si="1"/>
        <v>13</v>
      </c>
      <c r="E86" s="56">
        <f>'Mastercurve bestimmen'!A30</f>
        <v>1.2127899493091E-2</v>
      </c>
    </row>
    <row r="87" spans="1:5" x14ac:dyDescent="0.25">
      <c r="A87" s="50">
        <f t="shared" si="0"/>
        <v>14</v>
      </c>
      <c r="B87" s="56">
        <f>'Mastercurve bestimmen'!C31</f>
        <v>1.9899360219970862E-2</v>
      </c>
      <c r="C87" s="11"/>
      <c r="D87" s="51">
        <f t="shared" si="1"/>
        <v>14</v>
      </c>
      <c r="E87" s="56">
        <f>'Mastercurve bestimmen'!A31</f>
        <v>0.13444324870292301</v>
      </c>
    </row>
    <row r="88" spans="1:5" x14ac:dyDescent="0.25">
      <c r="A88" s="50">
        <f t="shared" si="0"/>
        <v>15</v>
      </c>
      <c r="B88" s="56">
        <f>'Mastercurve bestimmen'!C32</f>
        <v>1.0036367698219981E-2</v>
      </c>
      <c r="C88" s="11"/>
      <c r="D88" s="51">
        <f t="shared" si="1"/>
        <v>15</v>
      </c>
      <c r="E88" s="56">
        <f>'Mastercurve bestimmen'!A32</f>
        <v>1.49036419143257</v>
      </c>
    </row>
    <row r="89" spans="1:5" x14ac:dyDescent="0.25">
      <c r="A89" s="50">
        <f t="shared" si="0"/>
        <v>16</v>
      </c>
      <c r="B89" s="56">
        <f>'Mastercurve bestimmen'!C33</f>
        <v>1.0472179826501766E-2</v>
      </c>
      <c r="C89" s="11"/>
      <c r="D89" s="51">
        <f t="shared" si="1"/>
        <v>16</v>
      </c>
      <c r="E89" s="56">
        <f>'Mastercurve bestimmen'!A33</f>
        <v>16.521360830937301</v>
      </c>
    </row>
    <row r="90" spans="1:5" x14ac:dyDescent="0.25">
      <c r="A90" s="50">
        <f t="shared" si="0"/>
        <v>17</v>
      </c>
      <c r="B90" s="56">
        <f>'Mastercurve bestimmen'!C34</f>
        <v>1.1455889373470318E-2</v>
      </c>
      <c r="C90" s="11"/>
      <c r="D90" s="51">
        <f t="shared" si="1"/>
        <v>17</v>
      </c>
      <c r="E90" s="56">
        <f>'Mastercurve bestimmen'!A34</f>
        <v>183.146753843879</v>
      </c>
    </row>
    <row r="91" spans="1:5" x14ac:dyDescent="0.25">
      <c r="A91" s="50">
        <f t="shared" si="0"/>
        <v>18</v>
      </c>
      <c r="B91" s="56">
        <f>'Mastercurve bestimmen'!C35</f>
        <v>6.2948394662532018E-3</v>
      </c>
      <c r="C91" s="11"/>
      <c r="D91" s="51">
        <f t="shared" si="1"/>
        <v>18</v>
      </c>
      <c r="E91" s="56">
        <f>'Mastercurve bestimmen'!A35</f>
        <v>2030.26456396616</v>
      </c>
    </row>
    <row r="92" spans="1:5" x14ac:dyDescent="0.25">
      <c r="A92" s="50">
        <f t="shared" si="0"/>
        <v>19</v>
      </c>
      <c r="B92" s="56">
        <f>'Mastercurve bestimmen'!C36</f>
        <v>5.5356903730511449E-3</v>
      </c>
      <c r="C92" s="11"/>
      <c r="D92" s="51">
        <f t="shared" si="1"/>
        <v>19</v>
      </c>
      <c r="E92" s="56">
        <f>'Mastercurve bestimmen'!A36</f>
        <v>22506.400540467101</v>
      </c>
    </row>
    <row r="93" spans="1:5" x14ac:dyDescent="0.25">
      <c r="A93" s="50">
        <f t="shared" si="0"/>
        <v>20</v>
      </c>
      <c r="B93" s="56">
        <f>'Mastercurve bestimmen'!C37</f>
        <v>2.9841994807754844E-3</v>
      </c>
      <c r="C93" s="11"/>
      <c r="D93" s="51">
        <f t="shared" si="1"/>
        <v>20</v>
      </c>
      <c r="E93" s="56">
        <f>'Mastercurve bestimmen'!A37</f>
        <v>249493.62476110301</v>
      </c>
    </row>
    <row r="94" spans="1:5" x14ac:dyDescent="0.25">
      <c r="A94" s="50">
        <f t="shared" si="0"/>
        <v>21</v>
      </c>
      <c r="B94" s="56">
        <f>'Mastercurve bestimmen'!C38</f>
        <v>1.1698557197945001E-3</v>
      </c>
      <c r="C94" s="11"/>
      <c r="D94" s="51">
        <f t="shared" si="1"/>
        <v>21</v>
      </c>
      <c r="E94" s="56">
        <f>'Mastercurve bestimmen'!A38</f>
        <v>2765749.6224023802</v>
      </c>
    </row>
    <row r="95" spans="1:5" x14ac:dyDescent="0.25">
      <c r="A95" s="50">
        <f t="shared" si="0"/>
        <v>22</v>
      </c>
      <c r="B95" s="56">
        <f>'Mastercurve bestimmen'!C39</f>
        <v>4.0204305624187052E-4</v>
      </c>
      <c r="C95" s="11"/>
      <c r="D95" s="51">
        <f t="shared" si="1"/>
        <v>22</v>
      </c>
      <c r="E95" s="56">
        <f>'Mastercurve bestimmen'!A39</f>
        <v>10000000</v>
      </c>
    </row>
    <row r="96" spans="1:5" x14ac:dyDescent="0.25">
      <c r="A96" s="50">
        <f t="shared" si="0"/>
        <v>23</v>
      </c>
      <c r="B96" s="56">
        <f>'Mastercurve bestimmen'!C40</f>
        <v>9.0650475367586036E-4</v>
      </c>
      <c r="C96" s="11"/>
      <c r="D96" s="51">
        <f t="shared" si="1"/>
        <v>23</v>
      </c>
      <c r="E96" s="56">
        <f>'Mastercurve bestimmen'!A40</f>
        <v>100000000</v>
      </c>
    </row>
    <row r="97" spans="1:5" x14ac:dyDescent="0.25">
      <c r="A97" s="50">
        <f t="shared" si="0"/>
        <v>24</v>
      </c>
      <c r="B97" s="56">
        <f>'Mastercurve bestimmen'!C41</f>
        <v>1.833495697796037E-4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2.7582104941075727E-4</v>
      </c>
      <c r="C99" s="11"/>
      <c r="D99" s="51">
        <f t="shared" si="1"/>
        <v>26</v>
      </c>
      <c r="E99" s="56">
        <f>'Mastercurve bestimmen'!A43</f>
        <v>100000000000</v>
      </c>
    </row>
    <row r="100" spans="1:5" x14ac:dyDescent="0.25">
      <c r="A100" s="50">
        <f t="shared" si="0"/>
        <v>27</v>
      </c>
      <c r="B100" s="56">
        <f>'Mastercurve bestimmen'!C44</f>
        <v>2.4535081143819124E-4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1.7255643769382848E-4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B127" sqref="B12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110</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4536.230397827354</v>
      </c>
      <c r="G16" s="26">
        <f>INDEX(Comparison!$AM$3:$AS$33,G14,$B$3)</f>
        <v>4303.1205029931816</v>
      </c>
      <c r="H16" s="26">
        <f>INDEX(Comparison!$AM$3:$AS$33,H14,$B$3)</f>
        <v>4127.6064584710148</v>
      </c>
      <c r="I16" s="26">
        <f>INDEX(Comparison!$AM$3:$AS$33,I14,$B$3)</f>
        <v>3945.604356178083</v>
      </c>
      <c r="J16" s="26">
        <f>INDEX(Comparison!$AM$3:$AS$33,J14,$B$3)</f>
        <v>3766.6240058114313</v>
      </c>
      <c r="K16" s="26">
        <f>INDEX(Comparison!$AM$3:$AS$33,K14,$B$3)</f>
        <v>3551.9419942460731</v>
      </c>
      <c r="L16" s="26">
        <f>INDEX(Comparison!$AM$3:$AS$33,L14,$B$3)</f>
        <v>3318.4500658255338</v>
      </c>
      <c r="M16" s="26">
        <f>INDEX(Comparison!$AM$3:$AS$33,M14,$B$3)</f>
        <v>3050.6755206683788</v>
      </c>
      <c r="N16" s="26">
        <f>INDEX(Comparison!$AM$3:$AS$33,N14,$B$3)</f>
        <v>2745.1346410108995</v>
      </c>
      <c r="O16" s="26">
        <f>INDEX(Comparison!$AM$3:$AS$33,O14,$B$3)</f>
        <v>2379.9691784471511</v>
      </c>
      <c r="P16" s="26">
        <f>INDEX(Comparison!$AM$3:$AS$33,P14,$B$3)</f>
        <v>1948.7143373862357</v>
      </c>
      <c r="Q16" s="26">
        <f>INDEX(Comparison!$AM$3:$AS$33,Q14,$B$3)</f>
        <v>1482.8611668944652</v>
      </c>
      <c r="R16" s="26">
        <f>INDEX(Comparison!$AM$3:$AS$33,R14,$B$3)</f>
        <v>1064.7698916660522</v>
      </c>
      <c r="S16" s="26">
        <f>INDEX(Comparison!$AM$3:$AS$33,S14,$B$3)</f>
        <v>756.04671038027936</v>
      </c>
      <c r="T16" s="26">
        <f>INDEX(Comparison!$AM$3:$AS$33,T14,$B$3)</f>
        <v>574.27764486440731</v>
      </c>
      <c r="U16" s="26">
        <f>INDEX(Comparison!$AM$3:$AS$33,U14,$B$3)</f>
        <v>472.36033693576201</v>
      </c>
      <c r="V16" s="26">
        <f>INDEX(Comparison!$AM$3:$AS$33,V14,$B$3)</f>
        <v>404.76609252146119</v>
      </c>
      <c r="W16" s="26">
        <f>INDEX(Comparison!$AM$3:$AS$33,W14,$B$3)</f>
        <v>332.62382454066642</v>
      </c>
      <c r="X16" s="26">
        <f>INDEX(Comparison!$AM$3:$AS$33,X14,$B$3)</f>
        <v>270.11210763785351</v>
      </c>
      <c r="Y16" s="26">
        <f>INDEX(Comparison!$AM$3:$AS$33,Y14,$B$3)</f>
        <v>230.23496622900356</v>
      </c>
      <c r="Z16" s="26">
        <f>INDEX(Comparison!$AM$3:$AS$33,Z14,$B$3)</f>
        <v>198.97748766430533</v>
      </c>
      <c r="AA16" s="26">
        <f>INDEX(Comparison!$AM$3:$AS$33,AA14,$B$3)</f>
        <v>182.67861803771595</v>
      </c>
      <c r="AB16" s="26">
        <f>INDEX(Comparison!$AM$3:$AS$33,AB14,$B$3)</f>
        <v>174.62746722417066</v>
      </c>
      <c r="AC16" s="26">
        <f>INDEX(Comparison!$AM$3:$AS$33,AC14,$B$3)</f>
        <v>169.86894542912563</v>
      </c>
      <c r="AD16" s="26">
        <f>INDEX(Comparison!$AM$3:$AS$33,AD14,$B$3)</f>
        <v>166.84170745231376</v>
      </c>
      <c r="AE16" s="26">
        <f>INDEX(Comparison!$AM$3:$AS$33,AE14,$B$3)</f>
        <v>166.12540478353452</v>
      </c>
      <c r="AF16" s="26">
        <f>INDEX(Comparison!$AM$3:$AS$33,AF14,$B$3)</f>
        <v>165.25800429032441</v>
      </c>
      <c r="AG16" s="26">
        <f>INDEX(Comparison!$AM$3:$AS$33,AG14,$B$3)</f>
        <v>162.97529182821398</v>
      </c>
      <c r="AH16" s="26">
        <f>INDEX(Comparison!$AM$3:$AS$33,AH14,$B$3)</f>
        <v>162.91152498499585</v>
      </c>
      <c r="AI16" s="26">
        <f>INDEX(Comparison!$AM$3:$AS$33,AI14,$B$3)</f>
        <v>161.92883558935978</v>
      </c>
      <c r="AJ16" s="26">
        <f>INDEX(Comparison!$AM$3:$AS$33,AJ14,$B$3)</f>
        <v>161.56401350859798</v>
      </c>
    </row>
    <row r="17" spans="1:36" x14ac:dyDescent="0.25">
      <c r="A17" s="14" t="s">
        <v>20</v>
      </c>
      <c r="B17" s="105">
        <v>1.1630387954501433E-2</v>
      </c>
      <c r="C17" s="18">
        <f t="shared" ref="C17:C48" si="3">ABS(B17/$B$49)</f>
        <v>2.3102809878317584E-2</v>
      </c>
      <c r="D17" s="66"/>
      <c r="E17" s="65" t="s">
        <v>22</v>
      </c>
      <c r="F17" s="27">
        <f>($C$17+SUM(F18:F48))*$B$51</f>
        <v>4468.4082372838066</v>
      </c>
      <c r="G17" s="27">
        <f t="shared" ref="G17:M17" si="4">($C$17+SUM(G18:G48))*$B$51</f>
        <v>4390.845965543057</v>
      </c>
      <c r="H17" s="27">
        <f t="shared" si="4"/>
        <v>4104.3965598352506</v>
      </c>
      <c r="I17" s="27">
        <f t="shared" si="4"/>
        <v>3949.3524107435378</v>
      </c>
      <c r="J17" s="27">
        <f t="shared" si="4"/>
        <v>3766.1164735103116</v>
      </c>
      <c r="K17" s="27">
        <f t="shared" si="4"/>
        <v>3552.0365372099081</v>
      </c>
      <c r="L17" s="27">
        <f t="shared" si="4"/>
        <v>3318.3985208352974</v>
      </c>
      <c r="M17" s="27">
        <f t="shared" si="4"/>
        <v>3050.7551410233764</v>
      </c>
      <c r="N17" s="27">
        <f t="shared" ref="N17" si="5">($C$17+SUM(N18:N48))*$B$51</f>
        <v>2744.9331968960814</v>
      </c>
      <c r="O17" s="27">
        <f t="shared" ref="O17" si="6">($C$17+SUM(O18:O48))*$B$51</f>
        <v>2380.3315023468026</v>
      </c>
      <c r="P17" s="27">
        <f t="shared" ref="P17" si="7">($C$17+SUM(P18:P48))*$B$51</f>
        <v>1948.1843279248744</v>
      </c>
      <c r="Q17" s="27">
        <f t="shared" ref="Q17" si="8">($C$17+SUM(Q18:Q48))*$B$51</f>
        <v>1483.6158212706125</v>
      </c>
      <c r="R17" s="27">
        <f t="shared" ref="R17" si="9">($C$17+SUM(R18:R48))*$B$51</f>
        <v>1063.7679877749106</v>
      </c>
      <c r="S17" s="27">
        <f t="shared" ref="S17:T17" si="10">($C$17+SUM(S18:S48))*$B$51</f>
        <v>757.15832923513244</v>
      </c>
      <c r="T17" s="27">
        <f t="shared" si="10"/>
        <v>573.26904002888102</v>
      </c>
      <c r="U17" s="27">
        <f t="shared" ref="U17" si="11">($C$17+SUM(U18:U48))*$B$51</f>
        <v>473.12515561752701</v>
      </c>
      <c r="V17" s="27">
        <f t="shared" ref="V17" si="12">($C$17+SUM(V18:V48))*$B$51</f>
        <v>404.2724295879957</v>
      </c>
      <c r="W17" s="27">
        <f t="shared" ref="W17" si="13">($C$17+SUM(W18:W48))*$B$51</f>
        <v>332.8751369787816</v>
      </c>
      <c r="X17" s="27">
        <f t="shared" ref="X17" si="14">($C$17+SUM(X18:X48))*$B$51</f>
        <v>270.05028461075017</v>
      </c>
      <c r="Y17" s="27">
        <f t="shared" ref="Y17" si="15">($C$17+SUM(Y18:Y48))*$B$51</f>
        <v>230.16247774082899</v>
      </c>
      <c r="Z17" s="27">
        <f t="shared" ref="Z17:AA17" si="16">($C$17+SUM(Z18:Z48))*$B$51</f>
        <v>199.113456138136</v>
      </c>
      <c r="AA17" s="27">
        <f t="shared" si="16"/>
        <v>182.57241594363668</v>
      </c>
      <c r="AB17" s="27">
        <f t="shared" ref="AB17" si="17">($C$17+SUM(AB18:AB48))*$B$51</f>
        <v>174.65389795301994</v>
      </c>
      <c r="AC17" s="27">
        <f t="shared" ref="AC17" si="18">($C$17+SUM(AC18:AC48))*$B$51</f>
        <v>169.8850588670503</v>
      </c>
      <c r="AD17" s="27">
        <f t="shared" ref="AD17" si="19">($C$17+SUM(AD18:AD48))*$B$51</f>
        <v>166.84613285127776</v>
      </c>
      <c r="AE17" s="27">
        <f t="shared" ref="AE17" si="20">($C$17+SUM(AE18:AE48))*$B$51</f>
        <v>166.19445204614499</v>
      </c>
      <c r="AF17" s="27">
        <f t="shared" ref="AF17" si="21">($C$17+SUM(AF18:AF48))*$B$51</f>
        <v>165.01151279039888</v>
      </c>
      <c r="AG17" s="27">
        <f t="shared" ref="AG17:AH17" si="22">($C$17+SUM(AG18:AG48))*$B$51</f>
        <v>163.3700872105284</v>
      </c>
      <c r="AH17" s="27">
        <f t="shared" si="22"/>
        <v>162.63613005465609</v>
      </c>
      <c r="AI17" s="27">
        <f t="shared" ref="AI17" si="23">($C$17+SUM(AI18:AI48))*$B$51</f>
        <v>161.98816665321431</v>
      </c>
      <c r="AJ17" s="27">
        <f t="shared" ref="AJ17" si="24">($C$17+SUM(AJ18:AJ48))*$B$51</f>
        <v>161.54434356647425</v>
      </c>
    </row>
    <row r="18" spans="1:36" x14ac:dyDescent="0.25">
      <c r="A18" s="3">
        <f>0.000000000000001/10^5</f>
        <v>1.0000000000000001E-20</v>
      </c>
      <c r="B18" s="106">
        <v>0.18101486503861797</v>
      </c>
      <c r="C18" s="18">
        <f t="shared" si="3"/>
        <v>0.35957115347282304</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2.6725334897026061E-2</v>
      </c>
      <c r="C19" s="18">
        <f t="shared" si="3"/>
        <v>5.3087681466497318E-2</v>
      </c>
      <c r="D19" s="17"/>
      <c r="F19" s="3">
        <f t="shared" si="25"/>
        <v>5.1745085867563753E-2</v>
      </c>
      <c r="G19" s="3">
        <f t="shared" si="25"/>
        <v>4.109105510958639E-2</v>
      </c>
      <c r="H19" s="3">
        <f t="shared" si="25"/>
        <v>4.0975956743861102E-3</v>
      </c>
      <c r="I19" s="3">
        <f t="shared" si="25"/>
        <v>3.9842556750658176E-13</v>
      </c>
      <c r="J19" s="3">
        <f t="shared" si="25"/>
        <v>3.0097344018463021E-113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9.3377207582106773E-3</v>
      </c>
      <c r="C20" s="18">
        <f t="shared" si="3"/>
        <v>1.8548614905856641E-2</v>
      </c>
      <c r="D20" s="17"/>
      <c r="F20" s="3">
        <f t="shared" si="25"/>
        <v>1.8505803615779089E-2</v>
      </c>
      <c r="G20" s="3">
        <f t="shared" si="25"/>
        <v>1.8124921241408378E-2</v>
      </c>
      <c r="H20" s="3">
        <f t="shared" si="25"/>
        <v>1.472169846120493E-2</v>
      </c>
      <c r="I20" s="3">
        <f t="shared" si="25"/>
        <v>1.839822039558E-3</v>
      </c>
      <c r="J20" s="3">
        <f t="shared" si="25"/>
        <v>1.7098373807330897E-12</v>
      </c>
      <c r="K20" s="3">
        <f t="shared" si="25"/>
        <v>8.2175945871183639E-103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1.3807930302517023E-2</v>
      </c>
      <c r="C21" s="18">
        <f t="shared" si="3"/>
        <v>2.7428318800719304E-2</v>
      </c>
      <c r="D21" s="17"/>
      <c r="F21" s="3">
        <f t="shared" si="25"/>
        <v>2.7422602053117459E-2</v>
      </c>
      <c r="G21" s="3">
        <f t="shared" si="25"/>
        <v>2.7371204913003551E-2</v>
      </c>
      <c r="H21" s="3">
        <f t="shared" si="25"/>
        <v>2.6862502076129561E-2</v>
      </c>
      <c r="I21" s="3">
        <f t="shared" si="25"/>
        <v>2.2267523678797332E-2</v>
      </c>
      <c r="J21" s="3">
        <f t="shared" si="25"/>
        <v>3.4113519676369562E-3</v>
      </c>
      <c r="K21" s="3">
        <f t="shared" si="25"/>
        <v>2.4292521985942475E-11</v>
      </c>
      <c r="L21" s="3">
        <f t="shared" si="25"/>
        <v>8.1457925707309092E-93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1.6232391518817384E-2</v>
      </c>
      <c r="C22" s="18">
        <f t="shared" si="3"/>
        <v>3.2244311763005913E-2</v>
      </c>
      <c r="D22" s="17"/>
      <c r="F22" s="3">
        <f t="shared" si="25"/>
        <v>3.2243705458617267E-2</v>
      </c>
      <c r="G22" s="3">
        <f t="shared" si="25"/>
        <v>3.2238249232121437E-2</v>
      </c>
      <c r="H22" s="3">
        <f t="shared" si="25"/>
        <v>3.2183737722541725E-2</v>
      </c>
      <c r="I22" s="3">
        <f t="shared" si="25"/>
        <v>3.16436665269249E-2</v>
      </c>
      <c r="J22" s="3">
        <f t="shared" si="25"/>
        <v>2.6717141258782516E-2</v>
      </c>
      <c r="K22" s="3">
        <f t="shared" si="25"/>
        <v>4.9183775363128368E-3</v>
      </c>
      <c r="L22" s="3">
        <f t="shared" si="25"/>
        <v>2.1985716236627349E-10</v>
      </c>
      <c r="M22" s="3">
        <f t="shared" si="25"/>
        <v>7.0037103879941033E-84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1.7318772974090506E-2</v>
      </c>
      <c r="C23" s="18">
        <f t="shared" si="3"/>
        <v>3.4402319244329078E-2</v>
      </c>
      <c r="D23" s="17"/>
      <c r="F23" s="3">
        <f t="shared" si="25"/>
        <v>3.4402260889657706E-2</v>
      </c>
      <c r="G23" s="3">
        <f t="shared" si="25"/>
        <v>3.4401735702069607E-2</v>
      </c>
      <c r="H23" s="3">
        <f t="shared" si="25"/>
        <v>3.4396484267133917E-2</v>
      </c>
      <c r="I23" s="3">
        <f t="shared" si="25"/>
        <v>3.434401398741084E-2</v>
      </c>
      <c r="J23" s="3">
        <f t="shared" si="25"/>
        <v>3.3823693362192229E-2</v>
      </c>
      <c r="K23" s="3">
        <f t="shared" si="25"/>
        <v>2.9034930396509697E-2</v>
      </c>
      <c r="L23" s="3">
        <f t="shared" si="25"/>
        <v>6.3083880096887705E-3</v>
      </c>
      <c r="M23" s="3">
        <f t="shared" si="25"/>
        <v>1.4787490581115279E-9</v>
      </c>
      <c r="N23" s="3">
        <f t="shared" si="25"/>
        <v>7.4072212170832164E-76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2.0399440769668414E-2</v>
      </c>
      <c r="C24" s="18">
        <f t="shared" si="3"/>
        <v>4.0521812648841492E-2</v>
      </c>
      <c r="D24" s="17"/>
      <c r="F24" s="3">
        <f t="shared" si="25"/>
        <v>4.0521806448384545E-2</v>
      </c>
      <c r="G24" s="3">
        <f t="shared" si="25"/>
        <v>4.0521750644314722E-2</v>
      </c>
      <c r="H24" s="3">
        <f t="shared" si="25"/>
        <v>4.0521192607843197E-2</v>
      </c>
      <c r="I24" s="3">
        <f t="shared" si="25"/>
        <v>4.05156126657788E-2</v>
      </c>
      <c r="J24" s="3">
        <f t="shared" si="25"/>
        <v>4.0459855488688898E-2</v>
      </c>
      <c r="K24" s="3">
        <f t="shared" si="25"/>
        <v>3.9906486627440514E-2</v>
      </c>
      <c r="L24" s="3">
        <f t="shared" si="25"/>
        <v>3.4772439705780714E-2</v>
      </c>
      <c r="M24" s="3">
        <f t="shared" si="25"/>
        <v>8.7730751388793542E-3</v>
      </c>
      <c r="N24" s="3">
        <f t="shared" si="25"/>
        <v>9.1689311448596065E-9</v>
      </c>
      <c r="O24" s="3">
        <f t="shared" si="25"/>
        <v>1.4255660206529484E-68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2.3011687528720036E-2</v>
      </c>
      <c r="C25" s="18">
        <f t="shared" si="3"/>
        <v>4.571082615945813E-2</v>
      </c>
      <c r="D25" s="17"/>
      <c r="F25" s="3">
        <f t="shared" si="25"/>
        <v>4.5710825528500025E-2</v>
      </c>
      <c r="G25" s="3">
        <f t="shared" si="25"/>
        <v>4.5710819849877467E-2</v>
      </c>
      <c r="H25" s="3">
        <f t="shared" si="25"/>
        <v>4.57107630636907E-2</v>
      </c>
      <c r="I25" s="3">
        <f t="shared" si="25"/>
        <v>4.5710195205702929E-2</v>
      </c>
      <c r="J25" s="3">
        <f t="shared" si="25"/>
        <v>4.5704517013803646E-2</v>
      </c>
      <c r="K25" s="3">
        <f t="shared" si="25"/>
        <v>4.5647773874820122E-2</v>
      </c>
      <c r="L25" s="3">
        <f t="shared" si="25"/>
        <v>4.5084202719827368E-2</v>
      </c>
      <c r="M25" s="3">
        <f t="shared" si="25"/>
        <v>3.981734548663373E-2</v>
      </c>
      <c r="N25" s="3">
        <f t="shared" si="25"/>
        <v>1.1496122917943654E-2</v>
      </c>
      <c r="O25" s="3">
        <f t="shared" si="25"/>
        <v>4.627456566687915E-8</v>
      </c>
      <c r="P25" s="3">
        <f t="shared" si="25"/>
        <v>5.1671595992656592E-62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2.8291914971521712E-2</v>
      </c>
      <c r="C26" s="18">
        <f t="shared" si="3"/>
        <v>5.619956404185248E-2</v>
      </c>
      <c r="D26" s="17"/>
      <c r="F26" s="3">
        <f t="shared" si="25"/>
        <v>5.6199563971874568E-2</v>
      </c>
      <c r="G26" s="3">
        <f t="shared" si="25"/>
        <v>5.6199563342073343E-2</v>
      </c>
      <c r="H26" s="3">
        <f t="shared" si="25"/>
        <v>5.6199557044061495E-2</v>
      </c>
      <c r="I26" s="3">
        <f t="shared" si="25"/>
        <v>5.6199494063981816E-2</v>
      </c>
      <c r="J26" s="3">
        <f t="shared" si="25"/>
        <v>5.619886426706687E-2</v>
      </c>
      <c r="K26" s="3">
        <f t="shared" si="25"/>
        <v>5.6192566686082746E-2</v>
      </c>
      <c r="L26" s="3">
        <f t="shared" si="25"/>
        <v>5.6129629676684237E-2</v>
      </c>
      <c r="M26" s="3">
        <f t="shared" si="25"/>
        <v>5.5504123586830378E-2</v>
      </c>
      <c r="N26" s="3">
        <f t="shared" si="25"/>
        <v>4.9619910377119991E-2</v>
      </c>
      <c r="O26" s="3">
        <f t="shared" si="25"/>
        <v>1.6179430679171509E-2</v>
      </c>
      <c r="P26" s="3">
        <f t="shared" si="25"/>
        <v>2.1980412406461493E-7</v>
      </c>
      <c r="Q26" s="3">
        <f t="shared" si="25"/>
        <v>4.7071912782295806E-56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3.4394200703418656E-2</v>
      </c>
      <c r="C27" s="18">
        <f t="shared" si="3"/>
        <v>6.8321253158217701E-2</v>
      </c>
      <c r="D27" s="17"/>
      <c r="F27" s="3">
        <f t="shared" si="25"/>
        <v>6.8321253150543548E-2</v>
      </c>
      <c r="G27" s="3">
        <f t="shared" si="25"/>
        <v>6.8321253081476171E-2</v>
      </c>
      <c r="H27" s="3">
        <f t="shared" si="25"/>
        <v>6.8321252390802389E-2</v>
      </c>
      <c r="I27" s="3">
        <f t="shared" si="25"/>
        <v>6.8321245484064985E-2</v>
      </c>
      <c r="J27" s="3">
        <f t="shared" si="25"/>
        <v>6.8321176416729357E-2</v>
      </c>
      <c r="K27" s="3">
        <f t="shared" si="25"/>
        <v>6.8320485747213236E-2</v>
      </c>
      <c r="L27" s="3">
        <f t="shared" si="25"/>
        <v>6.8313579436055177E-2</v>
      </c>
      <c r="M27" s="3">
        <f t="shared" si="25"/>
        <v>6.8244554710427618E-2</v>
      </c>
      <c r="N27" s="3">
        <f t="shared" si="25"/>
        <v>6.7558131730298468E-2</v>
      </c>
      <c r="O27" s="3">
        <f t="shared" si="25"/>
        <v>6.1062403811669726E-2</v>
      </c>
      <c r="P27" s="3">
        <f t="shared" si="25"/>
        <v>2.2219616380354135E-2</v>
      </c>
      <c r="Q27" s="3">
        <f t="shared" si="25"/>
        <v>9.0440541371205393E-7</v>
      </c>
      <c r="R27" s="3">
        <f t="shared" si="25"/>
        <v>1.1288315018181374E-50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3.6505926670070736E-2</v>
      </c>
      <c r="C28" s="18">
        <f t="shared" si="3"/>
        <v>7.2516023247876399E-2</v>
      </c>
      <c r="D28" s="17"/>
      <c r="F28" s="3">
        <f t="shared" si="25"/>
        <v>7.2516023247141626E-2</v>
      </c>
      <c r="G28" s="3">
        <f t="shared" si="25"/>
        <v>7.2516023240528638E-2</v>
      </c>
      <c r="H28" s="3">
        <f t="shared" si="25"/>
        <v>7.2516023174398758E-2</v>
      </c>
      <c r="I28" s="3">
        <f t="shared" si="25"/>
        <v>7.2516022513099992E-2</v>
      </c>
      <c r="J28" s="3">
        <f t="shared" si="25"/>
        <v>7.2516015900112613E-2</v>
      </c>
      <c r="K28" s="3">
        <f t="shared" si="25"/>
        <v>7.2515949770272009E-2</v>
      </c>
      <c r="L28" s="3">
        <f t="shared" si="25"/>
        <v>7.2515288475182821E-2</v>
      </c>
      <c r="M28" s="3">
        <f t="shared" si="25"/>
        <v>7.2508675855962268E-2</v>
      </c>
      <c r="N28" s="3">
        <f t="shared" si="25"/>
        <v>7.2442582819696122E-2</v>
      </c>
      <c r="O28" s="3">
        <f t="shared" si="25"/>
        <v>7.1784956890872609E-2</v>
      </c>
      <c r="P28" s="3">
        <f t="shared" si="25"/>
        <v>6.5528258079737098E-2</v>
      </c>
      <c r="Q28" s="3">
        <f t="shared" si="25"/>
        <v>2.632572970944377E-2</v>
      </c>
      <c r="R28" s="3">
        <f t="shared" si="25"/>
        <v>2.8833566475520641E-6</v>
      </c>
      <c r="S28" s="3">
        <f t="shared" si="25"/>
        <v>7.162717586165558E-46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3.0385214904954157E-2</v>
      </c>
      <c r="C29" s="18">
        <f t="shared" si="3"/>
        <v>6.0357732330784487E-2</v>
      </c>
      <c r="D29" s="17"/>
      <c r="F29" s="3">
        <f t="shared" si="25"/>
        <v>6.0357732330729316E-2</v>
      </c>
      <c r="G29" s="3">
        <f t="shared" si="25"/>
        <v>6.035773233023279E-2</v>
      </c>
      <c r="H29" s="3">
        <f t="shared" si="25"/>
        <v>6.0357732325267519E-2</v>
      </c>
      <c r="I29" s="3">
        <f t="shared" si="25"/>
        <v>6.0357732275614771E-2</v>
      </c>
      <c r="J29" s="3">
        <f t="shared" si="25"/>
        <v>6.0357731779087348E-2</v>
      </c>
      <c r="K29" s="3">
        <f t="shared" si="25"/>
        <v>6.0357726813813316E-2</v>
      </c>
      <c r="L29" s="3">
        <f t="shared" si="25"/>
        <v>6.0357677161095441E-2</v>
      </c>
      <c r="M29" s="3">
        <f t="shared" si="25"/>
        <v>6.0357180636163257E-2</v>
      </c>
      <c r="N29" s="3">
        <f t="shared" si="25"/>
        <v>6.0352215611488888E-2</v>
      </c>
      <c r="O29" s="3">
        <f t="shared" si="25"/>
        <v>6.0302587822658245E-2</v>
      </c>
      <c r="P29" s="3">
        <f t="shared" si="25"/>
        <v>5.9808548904991189E-2</v>
      </c>
      <c r="Q29" s="3">
        <f t="shared" si="25"/>
        <v>5.5085389247401778E-2</v>
      </c>
      <c r="R29" s="3">
        <f t="shared" si="25"/>
        <v>2.4197360419181833E-2</v>
      </c>
      <c r="S29" s="3">
        <f t="shared" si="25"/>
        <v>6.4726735009716805E-6</v>
      </c>
      <c r="T29" s="3">
        <f t="shared" si="25"/>
        <v>1.2140617404276679E-41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1.9106539760257533E-2</v>
      </c>
      <c r="C30" s="18">
        <f t="shared" si="3"/>
        <v>3.7953571045142992E-2</v>
      </c>
      <c r="D30" s="17"/>
      <c r="F30" s="3">
        <f t="shared" si="25"/>
        <v>3.7953571045139863E-2</v>
      </c>
      <c r="G30" s="3">
        <f t="shared" si="25"/>
        <v>3.7953571045111698E-2</v>
      </c>
      <c r="H30" s="3">
        <f t="shared" si="25"/>
        <v>3.7953571044830048E-2</v>
      </c>
      <c r="I30" s="3">
        <f t="shared" si="25"/>
        <v>3.7953571042013551E-2</v>
      </c>
      <c r="J30" s="3">
        <f t="shared" si="25"/>
        <v>3.795357101384856E-2</v>
      </c>
      <c r="K30" s="3">
        <f t="shared" si="25"/>
        <v>3.795357073219869E-2</v>
      </c>
      <c r="L30" s="3">
        <f t="shared" si="25"/>
        <v>3.7953567915700051E-2</v>
      </c>
      <c r="M30" s="3">
        <f t="shared" si="25"/>
        <v>3.7953539750725171E-2</v>
      </c>
      <c r="N30" s="3">
        <f t="shared" si="25"/>
        <v>3.7953258102125985E-2</v>
      </c>
      <c r="O30" s="3">
        <f t="shared" si="25"/>
        <v>3.7950441731085909E-2</v>
      </c>
      <c r="P30" s="3">
        <f t="shared" si="25"/>
        <v>3.7922289512713474E-2</v>
      </c>
      <c r="Q30" s="3">
        <f t="shared" si="25"/>
        <v>3.764191338266662E-2</v>
      </c>
      <c r="R30" s="3">
        <f t="shared" si="25"/>
        <v>3.4949672179213784E-2</v>
      </c>
      <c r="S30" s="3">
        <f t="shared" si="25"/>
        <v>1.6640150941786953E-2</v>
      </c>
      <c r="T30" s="3">
        <f t="shared" si="25"/>
        <v>9.9609052876653825E-6</v>
      </c>
      <c r="U30" s="3">
        <f t="shared" si="25"/>
        <v>5.8845641693279482E-38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1.0017711292419122E-2</v>
      </c>
      <c r="C31" s="18">
        <f t="shared" si="3"/>
        <v>1.9899360219970862E-2</v>
      </c>
      <c r="D31" s="17"/>
      <c r="F31" s="3">
        <f t="shared" si="25"/>
        <v>1.9899360219970713E-2</v>
      </c>
      <c r="G31" s="3">
        <f t="shared" si="25"/>
        <v>1.9899360219969381E-2</v>
      </c>
      <c r="H31" s="3">
        <f t="shared" si="25"/>
        <v>1.9899360219956062E-2</v>
      </c>
      <c r="I31" s="3">
        <f t="shared" si="25"/>
        <v>1.9899360219822849E-2</v>
      </c>
      <c r="J31" s="3">
        <f t="shared" si="25"/>
        <v>1.989936021849073E-2</v>
      </c>
      <c r="K31" s="3">
        <f t="shared" si="25"/>
        <v>1.9899360205169553E-2</v>
      </c>
      <c r="L31" s="3">
        <f t="shared" si="25"/>
        <v>1.9899360071957774E-2</v>
      </c>
      <c r="M31" s="3">
        <f t="shared" si="25"/>
        <v>1.9899358739840049E-2</v>
      </c>
      <c r="N31" s="3">
        <f t="shared" si="25"/>
        <v>1.9899345418667704E-2</v>
      </c>
      <c r="O31" s="3">
        <f t="shared" si="25"/>
        <v>1.9899212207434677E-2</v>
      </c>
      <c r="P31" s="3">
        <f t="shared" si="25"/>
        <v>1.9897880144149661E-2</v>
      </c>
      <c r="Q31" s="3">
        <f t="shared" si="25"/>
        <v>1.9884564414609045E-2</v>
      </c>
      <c r="R31" s="3">
        <f t="shared" si="25"/>
        <v>1.9751896237836006E-2</v>
      </c>
      <c r="S31" s="3">
        <f t="shared" si="25"/>
        <v>1.8472936232397878E-2</v>
      </c>
      <c r="T31" s="3">
        <f t="shared" si="25"/>
        <v>9.4581737352117806E-3</v>
      </c>
      <c r="U31" s="3">
        <f t="shared" si="25"/>
        <v>1.1709028110457348E-5</v>
      </c>
      <c r="V31" s="3">
        <f t="shared" si="26"/>
        <v>9.9004848334672213E-35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5.0524958045850199E-3</v>
      </c>
      <c r="C32" s="18">
        <f t="shared" si="3"/>
        <v>1.0036367698219981E-2</v>
      </c>
      <c r="D32" s="17"/>
      <c r="F32" s="3">
        <f t="shared" si="25"/>
        <v>1.0036367698219974E-2</v>
      </c>
      <c r="G32" s="3">
        <f t="shared" si="25"/>
        <v>1.0036367698219913E-2</v>
      </c>
      <c r="H32" s="3">
        <f t="shared" si="25"/>
        <v>1.0036367698219308E-2</v>
      </c>
      <c r="I32" s="3">
        <f t="shared" si="25"/>
        <v>1.0036367698213247E-2</v>
      </c>
      <c r="J32" s="3">
        <f t="shared" si="25"/>
        <v>1.0036367698152639E-2</v>
      </c>
      <c r="K32" s="3">
        <f t="shared" si="25"/>
        <v>1.0036367697546565E-2</v>
      </c>
      <c r="L32" s="3">
        <f t="shared" si="25"/>
        <v>1.003636769148581E-2</v>
      </c>
      <c r="M32" s="3">
        <f t="shared" si="25"/>
        <v>1.0036367630878269E-2</v>
      </c>
      <c r="N32" s="3">
        <f t="shared" si="25"/>
        <v>1.0036367024802878E-2</v>
      </c>
      <c r="O32" s="3">
        <f t="shared" si="25"/>
        <v>1.0036360964050984E-2</v>
      </c>
      <c r="P32" s="3">
        <f t="shared" si="25"/>
        <v>1.0036300356733349E-2</v>
      </c>
      <c r="Q32" s="3">
        <f t="shared" si="25"/>
        <v>1.0035694303686291E-2</v>
      </c>
      <c r="R32" s="3">
        <f t="shared" si="25"/>
        <v>1.0029635785696036E-2</v>
      </c>
      <c r="S32" s="3">
        <f t="shared" si="25"/>
        <v>9.9692514048926074E-3</v>
      </c>
      <c r="T32" s="3">
        <f t="shared" si="25"/>
        <v>9.3850460056851756E-3</v>
      </c>
      <c r="U32" s="3">
        <f t="shared" si="25"/>
        <v>5.1306806406992604E-3</v>
      </c>
      <c r="V32" s="3">
        <f t="shared" si="26"/>
        <v>1.2233782421967481E-5</v>
      </c>
      <c r="W32" s="3">
        <f t="shared" si="26"/>
        <v>7.2680590473430579E-32</v>
      </c>
      <c r="X32" s="3">
        <f t="shared" si="26"/>
        <v>3.9810294796663993E-294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5.2718918067982028E-3</v>
      </c>
      <c r="C33" s="18">
        <f t="shared" si="3"/>
        <v>1.0472179826501766E-2</v>
      </c>
      <c r="D33" s="17"/>
      <c r="F33" s="3">
        <f t="shared" si="25"/>
        <v>1.0472179826501764E-2</v>
      </c>
      <c r="G33" s="3">
        <f t="shared" si="25"/>
        <v>1.0472179826501761E-2</v>
      </c>
      <c r="H33" s="3">
        <f t="shared" si="25"/>
        <v>1.0472179826501702E-2</v>
      </c>
      <c r="I33" s="3">
        <f t="shared" si="25"/>
        <v>1.0472179826501133E-2</v>
      </c>
      <c r="J33" s="3">
        <f t="shared" si="25"/>
        <v>1.0472179826495428E-2</v>
      </c>
      <c r="K33" s="3">
        <f t="shared" si="25"/>
        <v>1.0472179826438379E-2</v>
      </c>
      <c r="L33" s="3">
        <f t="shared" si="25"/>
        <v>1.0472179825867909E-2</v>
      </c>
      <c r="M33" s="3">
        <f t="shared" si="25"/>
        <v>1.0472179820163196E-2</v>
      </c>
      <c r="N33" s="3">
        <f t="shared" si="25"/>
        <v>1.0472179763116068E-2</v>
      </c>
      <c r="O33" s="3">
        <f t="shared" si="25"/>
        <v>1.047217919264481E-2</v>
      </c>
      <c r="P33" s="3">
        <f t="shared" si="25"/>
        <v>1.0472173487933919E-2</v>
      </c>
      <c r="Q33" s="3">
        <f t="shared" si="25"/>
        <v>1.0472116440995929E-2</v>
      </c>
      <c r="R33" s="3">
        <f t="shared" si="25"/>
        <v>1.0471545988707679E-2</v>
      </c>
      <c r="S33" s="3">
        <f t="shared" si="25"/>
        <v>1.0465843174643556E-2</v>
      </c>
      <c r="T33" s="3">
        <f t="shared" si="25"/>
        <v>1.0408985571918003E-2</v>
      </c>
      <c r="U33" s="3">
        <f t="shared" ref="P33:AE48" si="27">$C33*EXP(-U$15/$A33)</f>
        <v>9.8571245558685613E-3</v>
      </c>
      <c r="V33" s="3">
        <f t="shared" si="27"/>
        <v>5.7170056674722336E-3</v>
      </c>
      <c r="W33" s="3">
        <f t="shared" si="27"/>
        <v>2.4623648686791888E-5</v>
      </c>
      <c r="X33" s="3">
        <f t="shared" si="27"/>
        <v>5.409912514423425E-29</v>
      </c>
      <c r="Y33" s="3">
        <f t="shared" si="27"/>
        <v>1.4176486192110195E-265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5.7671096493918262E-3</v>
      </c>
      <c r="C34" s="18">
        <f t="shared" si="3"/>
        <v>1.1455889373470318E-2</v>
      </c>
      <c r="D34" s="17"/>
      <c r="F34" s="3">
        <f t="shared" ref="F34:O48" si="28">$C34*EXP(-F$15/$A34)</f>
        <v>1.1455889373470318E-2</v>
      </c>
      <c r="G34" s="3">
        <f t="shared" si="28"/>
        <v>1.1455889373470318E-2</v>
      </c>
      <c r="H34" s="3">
        <f t="shared" si="28"/>
        <v>1.1455889373470311E-2</v>
      </c>
      <c r="I34" s="3">
        <f t="shared" si="28"/>
        <v>1.1455889373470255E-2</v>
      </c>
      <c r="J34" s="3">
        <f t="shared" si="28"/>
        <v>1.1455889373469691E-2</v>
      </c>
      <c r="K34" s="3">
        <f t="shared" si="28"/>
        <v>1.1455889373464062E-2</v>
      </c>
      <c r="L34" s="3">
        <f t="shared" si="28"/>
        <v>1.1455889373407767E-2</v>
      </c>
      <c r="M34" s="3">
        <f t="shared" si="28"/>
        <v>1.1455889372844814E-2</v>
      </c>
      <c r="N34" s="3">
        <f t="shared" si="28"/>
        <v>1.1455889367215285E-2</v>
      </c>
      <c r="O34" s="3">
        <f t="shared" si="28"/>
        <v>1.145588931091999E-2</v>
      </c>
      <c r="P34" s="3">
        <f t="shared" si="27"/>
        <v>1.1455888747967064E-2</v>
      </c>
      <c r="Q34" s="3">
        <f t="shared" si="27"/>
        <v>1.1455883118439307E-2</v>
      </c>
      <c r="R34" s="3">
        <f t="shared" si="27"/>
        <v>1.1455826823313911E-2</v>
      </c>
      <c r="S34" s="3">
        <f t="shared" si="27"/>
        <v>1.1455263887274842E-2</v>
      </c>
      <c r="T34" s="3">
        <f t="shared" si="27"/>
        <v>1.1449636048098242E-2</v>
      </c>
      <c r="U34" s="3">
        <f t="shared" si="27"/>
        <v>1.1393509501513256E-2</v>
      </c>
      <c r="V34" s="3">
        <f t="shared" si="27"/>
        <v>1.0847156058191174E-2</v>
      </c>
      <c r="W34" s="3">
        <f t="shared" si="27"/>
        <v>6.635896198481585E-3</v>
      </c>
      <c r="X34" s="3">
        <f t="shared" si="27"/>
        <v>4.8723282575985351E-5</v>
      </c>
      <c r="Y34" s="3">
        <f t="shared" si="27"/>
        <v>2.2187383913685345E-26</v>
      </c>
      <c r="Z34" s="3">
        <f t="shared" si="27"/>
        <v>8.5074945851094627E-240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3.1689402929529257E-3</v>
      </c>
      <c r="C35" s="18">
        <f t="shared" si="3"/>
        <v>6.2948394662532018E-3</v>
      </c>
      <c r="D35" s="17"/>
      <c r="F35" s="3">
        <f t="shared" si="28"/>
        <v>6.2948394662532018E-3</v>
      </c>
      <c r="G35" s="3">
        <f t="shared" si="28"/>
        <v>6.2948394662532018E-3</v>
      </c>
      <c r="H35" s="3">
        <f t="shared" si="28"/>
        <v>6.2948394662532018E-3</v>
      </c>
      <c r="I35" s="3">
        <f t="shared" si="28"/>
        <v>6.2948394662531992E-3</v>
      </c>
      <c r="J35" s="3">
        <f t="shared" si="28"/>
        <v>6.2948394662531715E-3</v>
      </c>
      <c r="K35" s="3">
        <f t="shared" si="28"/>
        <v>6.2948394662528913E-3</v>
      </c>
      <c r="L35" s="3">
        <f t="shared" si="28"/>
        <v>6.2948394662501019E-3</v>
      </c>
      <c r="M35" s="3">
        <f t="shared" si="28"/>
        <v>6.2948394662221963E-3</v>
      </c>
      <c r="N35" s="3">
        <f t="shared" si="28"/>
        <v>6.2948394659431512E-3</v>
      </c>
      <c r="O35" s="3">
        <f t="shared" si="28"/>
        <v>6.2948394631526993E-3</v>
      </c>
      <c r="P35" s="3">
        <f t="shared" si="27"/>
        <v>6.2948394352481812E-3</v>
      </c>
      <c r="Q35" s="3">
        <f t="shared" si="27"/>
        <v>6.2948391562030028E-3</v>
      </c>
      <c r="R35" s="3">
        <f t="shared" si="27"/>
        <v>6.2948363657519034E-3</v>
      </c>
      <c r="S35" s="3">
        <f t="shared" si="27"/>
        <v>6.2948084613089423E-3</v>
      </c>
      <c r="T35" s="3">
        <f t="shared" si="27"/>
        <v>6.2945294236826221E-3</v>
      </c>
      <c r="U35" s="3">
        <f t="shared" si="27"/>
        <v>6.2917397276371564E-3</v>
      </c>
      <c r="V35" s="3">
        <f t="shared" si="27"/>
        <v>6.2639106775207003E-3</v>
      </c>
      <c r="W35" s="3">
        <f t="shared" si="27"/>
        <v>5.9923011333826897E-3</v>
      </c>
      <c r="X35" s="3">
        <f t="shared" si="27"/>
        <v>3.846576454539119E-3</v>
      </c>
      <c r="Y35" s="3">
        <f t="shared" si="27"/>
        <v>4.5696375847059297E-5</v>
      </c>
      <c r="Z35" s="3">
        <f t="shared" si="27"/>
        <v>2.5583245993639944E-24</v>
      </c>
      <c r="AA35" s="3">
        <f t="shared" si="27"/>
        <v>7.7391726739267327E-217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2.7867703960550486E-3</v>
      </c>
      <c r="C36" s="18">
        <f t="shared" si="3"/>
        <v>5.5356903730511449E-3</v>
      </c>
      <c r="D36" s="17"/>
      <c r="F36" s="3">
        <f t="shared" si="28"/>
        <v>5.5356903730511449E-3</v>
      </c>
      <c r="G36" s="3">
        <f t="shared" si="28"/>
        <v>5.5356903730511449E-3</v>
      </c>
      <c r="H36" s="3">
        <f t="shared" si="28"/>
        <v>5.5356903730511449E-3</v>
      </c>
      <c r="I36" s="3">
        <f t="shared" si="28"/>
        <v>5.5356903730511449E-3</v>
      </c>
      <c r="J36" s="3">
        <f t="shared" si="28"/>
        <v>5.5356903730511423E-3</v>
      </c>
      <c r="K36" s="3">
        <f t="shared" si="28"/>
        <v>5.5356903730511206E-3</v>
      </c>
      <c r="L36" s="3">
        <f t="shared" si="28"/>
        <v>5.5356903730508994E-3</v>
      </c>
      <c r="M36" s="3">
        <f t="shared" si="28"/>
        <v>5.5356903730486851E-3</v>
      </c>
      <c r="N36" s="3">
        <f t="shared" si="28"/>
        <v>5.5356903730265482E-3</v>
      </c>
      <c r="O36" s="3">
        <f t="shared" si="28"/>
        <v>5.5356903728051845E-3</v>
      </c>
      <c r="P36" s="3">
        <f t="shared" si="27"/>
        <v>5.5356903705915377E-3</v>
      </c>
      <c r="Q36" s="3">
        <f t="shared" si="27"/>
        <v>5.5356903484550732E-3</v>
      </c>
      <c r="R36" s="3">
        <f t="shared" si="27"/>
        <v>5.5356901270904348E-3</v>
      </c>
      <c r="S36" s="3">
        <f t="shared" si="27"/>
        <v>5.5356879134445397E-3</v>
      </c>
      <c r="T36" s="3">
        <f t="shared" si="27"/>
        <v>5.5356657770342698E-3</v>
      </c>
      <c r="U36" s="3">
        <f t="shared" si="27"/>
        <v>5.535444417800124E-3</v>
      </c>
      <c r="V36" s="3">
        <f t="shared" si="27"/>
        <v>5.5332313122423557E-3</v>
      </c>
      <c r="W36" s="3">
        <f t="shared" si="27"/>
        <v>5.5111488630870007E-3</v>
      </c>
      <c r="X36" s="3">
        <f t="shared" si="27"/>
        <v>5.2951138594893943E-3</v>
      </c>
      <c r="Y36" s="3">
        <f t="shared" si="27"/>
        <v>3.5498247534984434E-3</v>
      </c>
      <c r="Z36" s="3">
        <f t="shared" si="27"/>
        <v>6.5091310842392791E-5</v>
      </c>
      <c r="AA36" s="3">
        <f t="shared" si="27"/>
        <v>2.7969458579439247E-22</v>
      </c>
      <c r="AB36" s="3">
        <f t="shared" si="27"/>
        <v>6.0019790959937489E-196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1.50230200905623E-3</v>
      </c>
      <c r="C37" s="18">
        <f t="shared" si="3"/>
        <v>2.9841994807754844E-3</v>
      </c>
      <c r="D37" s="17"/>
      <c r="F37" s="3">
        <f t="shared" si="28"/>
        <v>2.9841994807754844E-3</v>
      </c>
      <c r="G37" s="3">
        <f t="shared" si="28"/>
        <v>2.9841994807754844E-3</v>
      </c>
      <c r="H37" s="3">
        <f t="shared" si="28"/>
        <v>2.9841994807754844E-3</v>
      </c>
      <c r="I37" s="3">
        <f t="shared" si="28"/>
        <v>2.9841994807754844E-3</v>
      </c>
      <c r="J37" s="3">
        <f t="shared" si="28"/>
        <v>2.9841994807754844E-3</v>
      </c>
      <c r="K37" s="3">
        <f t="shared" si="28"/>
        <v>2.9841994807754831E-3</v>
      </c>
      <c r="L37" s="3">
        <f t="shared" si="28"/>
        <v>2.9841994807754723E-3</v>
      </c>
      <c r="M37" s="3">
        <f t="shared" si="28"/>
        <v>2.9841994807753647E-3</v>
      </c>
      <c r="N37" s="3">
        <f t="shared" si="28"/>
        <v>2.9841994807742883E-3</v>
      </c>
      <c r="O37" s="3">
        <f t="shared" si="28"/>
        <v>2.9841994807635235E-3</v>
      </c>
      <c r="P37" s="3">
        <f t="shared" si="27"/>
        <v>2.9841994806558744E-3</v>
      </c>
      <c r="Q37" s="3">
        <f t="shared" si="27"/>
        <v>2.9841994795793822E-3</v>
      </c>
      <c r="R37" s="3">
        <f t="shared" si="27"/>
        <v>2.9841994688144598E-3</v>
      </c>
      <c r="S37" s="3">
        <f t="shared" si="27"/>
        <v>2.9841993611652369E-3</v>
      </c>
      <c r="T37" s="3">
        <f t="shared" si="27"/>
        <v>2.9841982846732251E-3</v>
      </c>
      <c r="U37" s="3">
        <f t="shared" si="27"/>
        <v>2.9841875197744645E-3</v>
      </c>
      <c r="V37" s="3">
        <f t="shared" si="27"/>
        <v>2.9840798729226063E-3</v>
      </c>
      <c r="W37" s="3">
        <f t="shared" si="27"/>
        <v>2.9830036179504214E-3</v>
      </c>
      <c r="X37" s="3">
        <f t="shared" si="27"/>
        <v>2.9722623943936872E-3</v>
      </c>
      <c r="Y37" s="3">
        <f t="shared" si="27"/>
        <v>2.8669545837949556E-3</v>
      </c>
      <c r="Z37" s="3">
        <f t="shared" si="27"/>
        <v>1.998745403464616E-3</v>
      </c>
      <c r="AA37" s="3">
        <f t="shared" si="27"/>
        <v>5.4215582193340373E-5</v>
      </c>
      <c r="AB37" s="3">
        <f t="shared" si="27"/>
        <v>1.1689356497025471E-20</v>
      </c>
      <c r="AC37" s="3">
        <f t="shared" si="27"/>
        <v>2.5377882566478069E-177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5.8892731852379235E-4</v>
      </c>
      <c r="C38" s="18">
        <f t="shared" si="3"/>
        <v>1.1698557197945001E-3</v>
      </c>
      <c r="D38" s="17"/>
      <c r="F38" s="3">
        <f t="shared" si="28"/>
        <v>1.1698557197945001E-3</v>
      </c>
      <c r="G38" s="3">
        <f t="shared" si="28"/>
        <v>1.1698557197945001E-3</v>
      </c>
      <c r="H38" s="3">
        <f t="shared" si="28"/>
        <v>1.1698557197945001E-3</v>
      </c>
      <c r="I38" s="3">
        <f t="shared" si="28"/>
        <v>1.1698557197945001E-3</v>
      </c>
      <c r="J38" s="3">
        <f t="shared" si="28"/>
        <v>1.1698557197945001E-3</v>
      </c>
      <c r="K38" s="3">
        <f t="shared" si="28"/>
        <v>1.1698557197945001E-3</v>
      </c>
      <c r="L38" s="3">
        <f t="shared" si="28"/>
        <v>1.1698557197944996E-3</v>
      </c>
      <c r="M38" s="3">
        <f t="shared" si="28"/>
        <v>1.1698557197944957E-3</v>
      </c>
      <c r="N38" s="3">
        <f t="shared" si="28"/>
        <v>1.1698557197944578E-3</v>
      </c>
      <c r="O38" s="3">
        <f t="shared" si="28"/>
        <v>1.169855719794077E-3</v>
      </c>
      <c r="P38" s="3">
        <f t="shared" si="27"/>
        <v>1.1698557197902702E-3</v>
      </c>
      <c r="Q38" s="3">
        <f t="shared" si="27"/>
        <v>1.1698557197522021E-3</v>
      </c>
      <c r="R38" s="3">
        <f t="shared" si="27"/>
        <v>1.1698557193715205E-3</v>
      </c>
      <c r="S38" s="3">
        <f t="shared" si="27"/>
        <v>1.1698557155647039E-3</v>
      </c>
      <c r="T38" s="3">
        <f t="shared" si="27"/>
        <v>1.1698556774965389E-3</v>
      </c>
      <c r="U38" s="3">
        <f t="shared" si="27"/>
        <v>1.1698552968149583E-3</v>
      </c>
      <c r="V38" s="3">
        <f t="shared" si="27"/>
        <v>1.1698514900059631E-3</v>
      </c>
      <c r="W38" s="3">
        <f t="shared" si="27"/>
        <v>1.1698134225973282E-3</v>
      </c>
      <c r="X38" s="3">
        <f t="shared" si="27"/>
        <v>1.1694328166343593E-3</v>
      </c>
      <c r="Y38" s="3">
        <f t="shared" si="27"/>
        <v>1.1656335611476851E-3</v>
      </c>
      <c r="Z38" s="3">
        <f t="shared" si="27"/>
        <v>1.1283132991206869E-3</v>
      </c>
      <c r="AA38" s="3">
        <f t="shared" si="27"/>
        <v>8.1490380488004701E-4</v>
      </c>
      <c r="AB38" s="3">
        <f t="shared" si="27"/>
        <v>3.1468260055922513E-5</v>
      </c>
      <c r="AC38" s="3">
        <f t="shared" si="27"/>
        <v>2.3202596109405078E-19</v>
      </c>
      <c r="AD38" s="3">
        <f t="shared" si="27"/>
        <v>1.1019834635380443E-160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2.0239601776296604E-4</v>
      </c>
      <c r="C39" s="18">
        <f t="shared" si="3"/>
        <v>4.0204305624187052E-4</v>
      </c>
      <c r="D39" s="17"/>
      <c r="F39" s="3">
        <f t="shared" si="28"/>
        <v>4.0204305624187052E-4</v>
      </c>
      <c r="G39" s="3">
        <f t="shared" si="28"/>
        <v>4.0204305624187052E-4</v>
      </c>
      <c r="H39" s="3">
        <f t="shared" si="28"/>
        <v>4.0204305624187052E-4</v>
      </c>
      <c r="I39" s="3">
        <f t="shared" si="28"/>
        <v>4.0204305624187052E-4</v>
      </c>
      <c r="J39" s="3">
        <f t="shared" si="28"/>
        <v>4.0204305624187052E-4</v>
      </c>
      <c r="K39" s="3">
        <f t="shared" si="28"/>
        <v>4.0204305624187052E-4</v>
      </c>
      <c r="L39" s="3">
        <f t="shared" si="28"/>
        <v>4.0204305624187047E-4</v>
      </c>
      <c r="M39" s="3">
        <f t="shared" si="28"/>
        <v>4.0204305624187014E-4</v>
      </c>
      <c r="N39" s="3">
        <f t="shared" si="28"/>
        <v>4.0204305624186651E-4</v>
      </c>
      <c r="O39" s="3">
        <f t="shared" si="28"/>
        <v>4.020430562418303E-4</v>
      </c>
      <c r="P39" s="3">
        <f t="shared" si="27"/>
        <v>4.020430562414685E-4</v>
      </c>
      <c r="Q39" s="3">
        <f t="shared" si="27"/>
        <v>4.0204305623785008E-4</v>
      </c>
      <c r="R39" s="3">
        <f t="shared" si="27"/>
        <v>4.0204305620166619E-4</v>
      </c>
      <c r="S39" s="3">
        <f t="shared" si="27"/>
        <v>4.0204305583982749E-4</v>
      </c>
      <c r="T39" s="3">
        <f t="shared" si="27"/>
        <v>4.0204305222143999E-4</v>
      </c>
      <c r="U39" s="3">
        <f t="shared" si="27"/>
        <v>4.0204301603756693E-4</v>
      </c>
      <c r="V39" s="3">
        <f t="shared" si="27"/>
        <v>4.020426541990153E-4</v>
      </c>
      <c r="W39" s="3">
        <f t="shared" si="27"/>
        <v>4.0203903583141019E-4</v>
      </c>
      <c r="X39" s="3">
        <f t="shared" si="27"/>
        <v>4.020028539463946E-4</v>
      </c>
      <c r="Y39" s="3">
        <f t="shared" si="27"/>
        <v>4.0164121414016637E-4</v>
      </c>
      <c r="Z39" s="3">
        <f t="shared" si="27"/>
        <v>3.9804266099227137E-4</v>
      </c>
      <c r="AA39" s="3">
        <f t="shared" si="27"/>
        <v>3.6378360094918019E-4</v>
      </c>
      <c r="AB39" s="3">
        <f t="shared" si="27"/>
        <v>1.4790337485711809E-4</v>
      </c>
      <c r="AC39" s="3">
        <f t="shared" si="27"/>
        <v>1.8252726514875671E-8</v>
      </c>
      <c r="AD39" s="3">
        <f t="shared" si="27"/>
        <v>1.4956307148513765E-47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4.5635150111090247E-4</v>
      </c>
      <c r="C40" s="18">
        <f t="shared" si="3"/>
        <v>9.0650475367586036E-4</v>
      </c>
      <c r="D40" s="17"/>
      <c r="F40" s="3">
        <f t="shared" si="28"/>
        <v>9.0650475367586036E-4</v>
      </c>
      <c r="G40" s="3">
        <f t="shared" si="28"/>
        <v>9.0650475367586036E-4</v>
      </c>
      <c r="H40" s="3">
        <f t="shared" si="28"/>
        <v>9.0650475367586036E-4</v>
      </c>
      <c r="I40" s="3">
        <f t="shared" si="28"/>
        <v>9.0650475367586036E-4</v>
      </c>
      <c r="J40" s="3">
        <f t="shared" si="28"/>
        <v>9.0650475367586036E-4</v>
      </c>
      <c r="K40" s="3">
        <f t="shared" si="28"/>
        <v>9.0650475367586036E-4</v>
      </c>
      <c r="L40" s="3">
        <f t="shared" si="28"/>
        <v>9.0650475367586036E-4</v>
      </c>
      <c r="M40" s="3">
        <f t="shared" si="28"/>
        <v>9.0650475367586025E-4</v>
      </c>
      <c r="N40" s="3">
        <f t="shared" si="28"/>
        <v>9.0650475367585949E-4</v>
      </c>
      <c r="O40" s="3">
        <f t="shared" si="28"/>
        <v>9.0650475367585125E-4</v>
      </c>
      <c r="P40" s="3">
        <f t="shared" si="27"/>
        <v>9.0650475367576972E-4</v>
      </c>
      <c r="Q40" s="3">
        <f t="shared" si="27"/>
        <v>9.0650475367495386E-4</v>
      </c>
      <c r="R40" s="3">
        <f t="shared" si="27"/>
        <v>9.0650475366679535E-4</v>
      </c>
      <c r="S40" s="3">
        <f t="shared" si="27"/>
        <v>9.0650475358520989E-4</v>
      </c>
      <c r="T40" s="3">
        <f t="shared" si="27"/>
        <v>9.0650475276935567E-4</v>
      </c>
      <c r="U40" s="3">
        <f t="shared" si="27"/>
        <v>9.0650474461081293E-4</v>
      </c>
      <c r="V40" s="3">
        <f t="shared" si="27"/>
        <v>9.0650466302538962E-4</v>
      </c>
      <c r="W40" s="3">
        <f t="shared" si="27"/>
        <v>9.0650384717155992E-4</v>
      </c>
      <c r="X40" s="3">
        <f t="shared" si="27"/>
        <v>9.0649568867364871E-4</v>
      </c>
      <c r="Y40" s="3">
        <f t="shared" si="27"/>
        <v>9.0641410773286551E-4</v>
      </c>
      <c r="Z40" s="3">
        <f t="shared" si="27"/>
        <v>9.0559870202351503E-4</v>
      </c>
      <c r="AA40" s="3">
        <f t="shared" si="27"/>
        <v>8.9748488066961616E-4</v>
      </c>
      <c r="AB40" s="3">
        <f t="shared" si="27"/>
        <v>8.20239420753389E-4</v>
      </c>
      <c r="AC40" s="3">
        <f t="shared" si="27"/>
        <v>3.3348446220153149E-4</v>
      </c>
      <c r="AD40" s="3">
        <f t="shared" si="27"/>
        <v>4.1155252146242695E-8</v>
      </c>
      <c r="AE40" s="3">
        <f t="shared" si="27"/>
        <v>3.372266556298254E-47</v>
      </c>
      <c r="AF40" s="3">
        <f t="shared" si="29"/>
        <v>0</v>
      </c>
      <c r="AG40" s="3">
        <f t="shared" si="29"/>
        <v>0</v>
      </c>
      <c r="AH40" s="3">
        <f t="shared" si="29"/>
        <v>0</v>
      </c>
      <c r="AI40" s="3">
        <f t="shared" si="29"/>
        <v>0</v>
      </c>
      <c r="AJ40" s="3">
        <f t="shared" si="29"/>
        <v>0</v>
      </c>
    </row>
    <row r="41" spans="1:36" x14ac:dyDescent="0.25">
      <c r="A41" s="3">
        <f t="shared" si="30"/>
        <v>1000000000</v>
      </c>
      <c r="B41" s="106">
        <v>9.2301613485944184E-5</v>
      </c>
      <c r="C41" s="18">
        <f t="shared" si="3"/>
        <v>1.833495697796037E-4</v>
      </c>
      <c r="D41" s="17"/>
      <c r="F41" s="3">
        <f t="shared" si="28"/>
        <v>1.833495697796037E-4</v>
      </c>
      <c r="G41" s="3">
        <f t="shared" si="28"/>
        <v>1.833495697796037E-4</v>
      </c>
      <c r="H41" s="3">
        <f t="shared" si="28"/>
        <v>1.833495697796037E-4</v>
      </c>
      <c r="I41" s="3">
        <f t="shared" si="28"/>
        <v>1.833495697796037E-4</v>
      </c>
      <c r="J41" s="3">
        <f t="shared" si="28"/>
        <v>1.833495697796037E-4</v>
      </c>
      <c r="K41" s="3">
        <f t="shared" si="28"/>
        <v>1.833495697796037E-4</v>
      </c>
      <c r="L41" s="3">
        <f t="shared" si="28"/>
        <v>1.833495697796037E-4</v>
      </c>
      <c r="M41" s="3">
        <f t="shared" si="28"/>
        <v>1.833495697796037E-4</v>
      </c>
      <c r="N41" s="3">
        <f t="shared" si="28"/>
        <v>1.8334956977960368E-4</v>
      </c>
      <c r="O41" s="3">
        <f t="shared" si="28"/>
        <v>1.8334956977960351E-4</v>
      </c>
      <c r="P41" s="3">
        <f t="shared" si="27"/>
        <v>1.8334956977960186E-4</v>
      </c>
      <c r="Q41" s="3">
        <f t="shared" si="27"/>
        <v>1.8334956977958535E-4</v>
      </c>
      <c r="R41" s="3">
        <f t="shared" si="27"/>
        <v>1.8334956977942036E-4</v>
      </c>
      <c r="S41" s="3">
        <f t="shared" si="27"/>
        <v>1.8334956977777021E-4</v>
      </c>
      <c r="T41" s="3">
        <f t="shared" si="27"/>
        <v>1.8334956976126873E-4</v>
      </c>
      <c r="U41" s="3">
        <f t="shared" si="27"/>
        <v>1.8334956959625414E-4</v>
      </c>
      <c r="V41" s="3">
        <f t="shared" si="27"/>
        <v>1.8334956794610803E-4</v>
      </c>
      <c r="W41" s="3">
        <f t="shared" si="27"/>
        <v>1.8334955144464764E-4</v>
      </c>
      <c r="X41" s="3">
        <f t="shared" si="27"/>
        <v>1.8334938643012561E-4</v>
      </c>
      <c r="Y41" s="3">
        <f t="shared" si="27"/>
        <v>1.8334773629307335E-4</v>
      </c>
      <c r="Z41" s="3">
        <f t="shared" si="27"/>
        <v>1.8333123573934304E-4</v>
      </c>
      <c r="AA41" s="3">
        <f t="shared" si="27"/>
        <v>1.8316631185405838E-4</v>
      </c>
      <c r="AB41" s="3">
        <f t="shared" si="27"/>
        <v>1.8152521107827815E-4</v>
      </c>
      <c r="AC41" s="3">
        <f t="shared" si="27"/>
        <v>1.6590155131738059E-4</v>
      </c>
      <c r="AD41" s="3">
        <f t="shared" si="27"/>
        <v>6.7450537269544988E-5</v>
      </c>
      <c r="AE41" s="3">
        <f t="shared" si="27"/>
        <v>8.3240575899758241E-9</v>
      </c>
      <c r="AF41" s="3">
        <f t="shared" si="29"/>
        <v>6.8207432975085964E-48</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1.3885349130953524E-4</v>
      </c>
      <c r="C43" s="18">
        <f t="shared" si="3"/>
        <v>2.7582104941075727E-4</v>
      </c>
      <c r="D43" s="17"/>
      <c r="F43" s="3">
        <f t="shared" si="28"/>
        <v>2.7582104941075727E-4</v>
      </c>
      <c r="G43" s="3">
        <f t="shared" si="28"/>
        <v>2.7582104941075727E-4</v>
      </c>
      <c r="H43" s="3">
        <f t="shared" si="28"/>
        <v>2.7582104941075727E-4</v>
      </c>
      <c r="I43" s="3">
        <f t="shared" si="28"/>
        <v>2.7582104941075727E-4</v>
      </c>
      <c r="J43" s="3">
        <f t="shared" si="28"/>
        <v>2.7582104941075727E-4</v>
      </c>
      <c r="K43" s="3">
        <f t="shared" si="28"/>
        <v>2.7582104941075727E-4</v>
      </c>
      <c r="L43" s="3">
        <f t="shared" si="28"/>
        <v>2.7582104941075727E-4</v>
      </c>
      <c r="M43" s="3">
        <f t="shared" si="28"/>
        <v>2.7582104941075727E-4</v>
      </c>
      <c r="N43" s="3">
        <f t="shared" si="28"/>
        <v>2.7582104941075727E-4</v>
      </c>
      <c r="O43" s="3">
        <f t="shared" si="28"/>
        <v>2.7582104941075727E-4</v>
      </c>
      <c r="P43" s="3">
        <f t="shared" si="27"/>
        <v>2.7582104941075721E-4</v>
      </c>
      <c r="Q43" s="3">
        <f t="shared" si="27"/>
        <v>2.7582104941075699E-4</v>
      </c>
      <c r="R43" s="3">
        <f t="shared" si="27"/>
        <v>2.758210494107545E-4</v>
      </c>
      <c r="S43" s="3">
        <f t="shared" si="27"/>
        <v>2.7582104941072967E-4</v>
      </c>
      <c r="T43" s="3">
        <f t="shared" si="27"/>
        <v>2.7582104941048144E-4</v>
      </c>
      <c r="U43" s="3">
        <f t="shared" si="27"/>
        <v>2.7582104940799906E-4</v>
      </c>
      <c r="V43" s="3">
        <f t="shared" si="27"/>
        <v>2.7582104938317516E-4</v>
      </c>
      <c r="W43" s="3">
        <f t="shared" si="27"/>
        <v>2.7582104913493623E-4</v>
      </c>
      <c r="X43" s="3">
        <f t="shared" si="27"/>
        <v>2.7582104665254678E-4</v>
      </c>
      <c r="Y43" s="3">
        <f t="shared" si="27"/>
        <v>2.7582102182865373E-4</v>
      </c>
      <c r="Z43" s="3">
        <f t="shared" si="27"/>
        <v>2.7582077358984574E-4</v>
      </c>
      <c r="AA43" s="3">
        <f t="shared" si="27"/>
        <v>2.7581829121405417E-4</v>
      </c>
      <c r="AB43" s="3">
        <f t="shared" si="27"/>
        <v>2.7579346868487545E-4</v>
      </c>
      <c r="AC43" s="3">
        <f t="shared" si="27"/>
        <v>2.7554536622591253E-4</v>
      </c>
      <c r="AD43" s="3">
        <f t="shared" si="27"/>
        <v>2.7307658411364132E-4</v>
      </c>
      <c r="AE43" s="3">
        <f t="shared" si="27"/>
        <v>2.4957320618879841E-4</v>
      </c>
      <c r="AF43" s="3">
        <f t="shared" si="29"/>
        <v>1.0146889352055016E-4</v>
      </c>
      <c r="AG43" s="3">
        <f t="shared" si="29"/>
        <v>1.2522256270263244E-8</v>
      </c>
      <c r="AH43" s="3">
        <f t="shared" si="29"/>
        <v>1.0260752595938141E-47</v>
      </c>
      <c r="AI43" s="3">
        <f t="shared" si="29"/>
        <v>0</v>
      </c>
      <c r="AJ43" s="3">
        <f t="shared" si="29"/>
        <v>0</v>
      </c>
    </row>
    <row r="44" spans="1:36" x14ac:dyDescent="0.25">
      <c r="A44" s="3">
        <f t="shared" si="30"/>
        <v>1000000000000</v>
      </c>
      <c r="B44" s="106">
        <v>1.2351420182252283E-4</v>
      </c>
      <c r="C44" s="18">
        <f t="shared" si="3"/>
        <v>2.4535081143819124E-4</v>
      </c>
      <c r="D44" s="17"/>
      <c r="F44" s="3">
        <f t="shared" si="28"/>
        <v>2.4535081143819124E-4</v>
      </c>
      <c r="G44" s="3">
        <f t="shared" si="28"/>
        <v>2.4535081143819124E-4</v>
      </c>
      <c r="H44" s="3">
        <f t="shared" si="28"/>
        <v>2.4535081143819124E-4</v>
      </c>
      <c r="I44" s="3">
        <f t="shared" si="28"/>
        <v>2.4535081143819124E-4</v>
      </c>
      <c r="J44" s="3">
        <f t="shared" si="28"/>
        <v>2.4535081143819124E-4</v>
      </c>
      <c r="K44" s="3">
        <f t="shared" si="28"/>
        <v>2.4535081143819124E-4</v>
      </c>
      <c r="L44" s="3">
        <f t="shared" si="28"/>
        <v>2.4535081143819124E-4</v>
      </c>
      <c r="M44" s="3">
        <f t="shared" si="28"/>
        <v>2.4535081143819124E-4</v>
      </c>
      <c r="N44" s="3">
        <f t="shared" si="28"/>
        <v>2.4535081143819124E-4</v>
      </c>
      <c r="O44" s="3">
        <f t="shared" si="28"/>
        <v>2.4535081143819124E-4</v>
      </c>
      <c r="P44" s="3">
        <f t="shared" si="27"/>
        <v>2.4535081143819124E-4</v>
      </c>
      <c r="Q44" s="3">
        <f t="shared" si="27"/>
        <v>2.4535081143819119E-4</v>
      </c>
      <c r="R44" s="3">
        <f t="shared" si="27"/>
        <v>2.4535081143819097E-4</v>
      </c>
      <c r="S44" s="3">
        <f t="shared" si="27"/>
        <v>2.453508114381888E-4</v>
      </c>
      <c r="T44" s="3">
        <f t="shared" si="27"/>
        <v>2.4535081143816669E-4</v>
      </c>
      <c r="U44" s="3">
        <f t="shared" si="27"/>
        <v>2.4535081143794589E-4</v>
      </c>
      <c r="V44" s="3">
        <f t="shared" si="27"/>
        <v>2.4535081143573775E-4</v>
      </c>
      <c r="W44" s="3">
        <f t="shared" si="27"/>
        <v>2.4535081141365618E-4</v>
      </c>
      <c r="X44" s="3">
        <f t="shared" si="27"/>
        <v>2.4535081119284047E-4</v>
      </c>
      <c r="Y44" s="3">
        <f t="shared" si="27"/>
        <v>2.4535080898468314E-4</v>
      </c>
      <c r="Z44" s="3">
        <f t="shared" si="27"/>
        <v>2.4535078690311133E-4</v>
      </c>
      <c r="AA44" s="3">
        <f t="shared" si="27"/>
        <v>2.4535056608750248E-4</v>
      </c>
      <c r="AB44" s="3">
        <f t="shared" si="27"/>
        <v>2.4534835794234438E-4</v>
      </c>
      <c r="AC44" s="3">
        <f t="shared" si="27"/>
        <v>2.4532627758376059E-4</v>
      </c>
      <c r="AD44" s="3">
        <f t="shared" si="27"/>
        <v>2.4510558326127719E-4</v>
      </c>
      <c r="AE44" s="3">
        <f t="shared" si="27"/>
        <v>2.4290953007460474E-4</v>
      </c>
      <c r="AF44" s="3">
        <f t="shared" si="29"/>
        <v>2.2200259473476052E-4</v>
      </c>
      <c r="AG44" s="3">
        <f t="shared" si="29"/>
        <v>9.0259519402841718E-5</v>
      </c>
      <c r="AH44" s="3">
        <f t="shared" si="29"/>
        <v>1.1138909606462548E-8</v>
      </c>
      <c r="AI44" s="3">
        <f t="shared" si="29"/>
        <v>9.1272365932843336E-48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8.6868148290026453E-5</v>
      </c>
      <c r="C46" s="18">
        <f t="shared" si="3"/>
        <v>1.7255643769382848E-4</v>
      </c>
      <c r="D46" s="17"/>
      <c r="F46" s="3">
        <f t="shared" si="28"/>
        <v>1.7255643769382848E-4</v>
      </c>
      <c r="G46" s="3">
        <f t="shared" si="28"/>
        <v>1.7255643769382848E-4</v>
      </c>
      <c r="H46" s="3">
        <f t="shared" si="28"/>
        <v>1.7255643769382848E-4</v>
      </c>
      <c r="I46" s="3">
        <f t="shared" si="28"/>
        <v>1.7255643769382848E-4</v>
      </c>
      <c r="J46" s="3">
        <f t="shared" si="28"/>
        <v>1.7255643769382848E-4</v>
      </c>
      <c r="K46" s="3">
        <f t="shared" si="28"/>
        <v>1.7255643769382848E-4</v>
      </c>
      <c r="L46" s="3">
        <f t="shared" si="28"/>
        <v>1.7255643769382848E-4</v>
      </c>
      <c r="M46" s="3">
        <f t="shared" si="28"/>
        <v>1.7255643769382848E-4</v>
      </c>
      <c r="N46" s="3">
        <f t="shared" si="28"/>
        <v>1.7255643769382848E-4</v>
      </c>
      <c r="O46" s="3">
        <f t="shared" si="28"/>
        <v>1.7255643769382848E-4</v>
      </c>
      <c r="P46" s="3">
        <f t="shared" si="27"/>
        <v>1.7255643769382848E-4</v>
      </c>
      <c r="Q46" s="3">
        <f t="shared" si="27"/>
        <v>1.7255643769382848E-4</v>
      </c>
      <c r="R46" s="3">
        <f t="shared" si="27"/>
        <v>1.7255643769382848E-4</v>
      </c>
      <c r="S46" s="3">
        <f t="shared" si="27"/>
        <v>1.7255643769382845E-4</v>
      </c>
      <c r="T46" s="3">
        <f t="shared" si="27"/>
        <v>1.7255643769382832E-4</v>
      </c>
      <c r="U46" s="3">
        <f t="shared" si="27"/>
        <v>1.7255643769382675E-4</v>
      </c>
      <c r="V46" s="3">
        <f t="shared" si="27"/>
        <v>1.7255643769381121E-4</v>
      </c>
      <c r="W46" s="3">
        <f t="shared" si="27"/>
        <v>1.7255643769365593E-4</v>
      </c>
      <c r="X46" s="3">
        <f t="shared" si="27"/>
        <v>1.7255643769210292E-4</v>
      </c>
      <c r="Y46" s="3">
        <f t="shared" si="27"/>
        <v>1.7255643767657283E-4</v>
      </c>
      <c r="Z46" s="3">
        <f t="shared" si="27"/>
        <v>1.7255643752127204E-4</v>
      </c>
      <c r="AA46" s="3">
        <f t="shared" si="27"/>
        <v>1.725564359682641E-4</v>
      </c>
      <c r="AB46" s="3">
        <f t="shared" si="27"/>
        <v>1.7255642043818557E-4</v>
      </c>
      <c r="AC46" s="3">
        <f t="shared" si="27"/>
        <v>1.7255626513747706E-4</v>
      </c>
      <c r="AD46" s="3">
        <f t="shared" si="27"/>
        <v>1.7255471213807933E-4</v>
      </c>
      <c r="AE46" s="3">
        <f t="shared" si="27"/>
        <v>1.7253918291281254E-4</v>
      </c>
      <c r="AF46" s="3">
        <f t="shared" si="29"/>
        <v>1.7238396750560129E-4</v>
      </c>
      <c r="AG46" s="3">
        <f t="shared" si="29"/>
        <v>1.7083947245112357E-4</v>
      </c>
      <c r="AH46" s="3">
        <f t="shared" si="29"/>
        <v>1.5613552154836668E-4</v>
      </c>
      <c r="AI46" s="3">
        <f t="shared" si="29"/>
        <v>6.3479965869340434E-5</v>
      </c>
      <c r="AJ46" s="3">
        <f t="shared" si="29"/>
        <v>7.8340501513644074E-9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0.50341876229595639</v>
      </c>
      <c r="C49" s="18">
        <f>SUM(C17:C48)</f>
        <v>0.99999999999999978</v>
      </c>
      <c r="F49" s="3">
        <f t="shared" ref="F49:AJ49" si="31">F16-F17</f>
        <v>67.822160543547398</v>
      </c>
      <c r="G49" s="3">
        <f t="shared" si="31"/>
        <v>-87.725462549875374</v>
      </c>
      <c r="H49" s="3">
        <f t="shared" si="31"/>
        <v>23.209898635764148</v>
      </c>
      <c r="I49" s="3">
        <f t="shared" si="31"/>
        <v>-3.7480545654548223</v>
      </c>
      <c r="J49" s="3">
        <f t="shared" si="31"/>
        <v>0.50753230111968151</v>
      </c>
      <c r="K49" s="3">
        <f t="shared" si="31"/>
        <v>-9.4542963835010596E-2</v>
      </c>
      <c r="L49" s="3">
        <f t="shared" si="31"/>
        <v>5.1544990236379817E-2</v>
      </c>
      <c r="M49" s="3">
        <f t="shared" si="31"/>
        <v>-7.9620354997587128E-2</v>
      </c>
      <c r="N49" s="3">
        <f t="shared" si="31"/>
        <v>0.20144411481805946</v>
      </c>
      <c r="O49" s="3">
        <f t="shared" si="31"/>
        <v>-0.36232389965152834</v>
      </c>
      <c r="P49" s="3">
        <f t="shared" si="31"/>
        <v>0.53000946136126004</v>
      </c>
      <c r="Q49" s="3">
        <f t="shared" si="31"/>
        <v>-0.75465437614730035</v>
      </c>
      <c r="R49" s="3">
        <f t="shared" si="31"/>
        <v>1.0019038911416374</v>
      </c>
      <c r="S49" s="3">
        <f t="shared" si="31"/>
        <v>-1.1116188548530772</v>
      </c>
      <c r="T49" s="3">
        <f t="shared" si="31"/>
        <v>1.0086048355262847</v>
      </c>
      <c r="U49" s="3">
        <f t="shared" si="31"/>
        <v>-0.76481868176500711</v>
      </c>
      <c r="V49" s="3">
        <f t="shared" si="31"/>
        <v>0.49366293346548673</v>
      </c>
      <c r="W49" s="3">
        <f t="shared" si="31"/>
        <v>-0.25131243811517834</v>
      </c>
      <c r="X49" s="3">
        <f t="shared" si="31"/>
        <v>6.1823027103343975E-2</v>
      </c>
      <c r="Y49" s="3">
        <f t="shared" si="31"/>
        <v>7.2488488174570875E-2</v>
      </c>
      <c r="Z49" s="3">
        <f t="shared" si="31"/>
        <v>-0.13596847383067256</v>
      </c>
      <c r="AA49" s="3">
        <f t="shared" si="31"/>
        <v>0.10620209407926495</v>
      </c>
      <c r="AB49" s="3">
        <f t="shared" si="31"/>
        <v>-2.643072884927733E-2</v>
      </c>
      <c r="AC49" s="3">
        <f t="shared" si="31"/>
        <v>-1.6113437924673235E-2</v>
      </c>
      <c r="AD49" s="3">
        <f t="shared" si="31"/>
        <v>-4.4253989640026248E-3</v>
      </c>
      <c r="AE49" s="3">
        <f t="shared" si="31"/>
        <v>-6.9047262610467897E-2</v>
      </c>
      <c r="AF49" s="3">
        <f t="shared" si="31"/>
        <v>0.24649149992552566</v>
      </c>
      <c r="AG49" s="3">
        <f t="shared" si="31"/>
        <v>-0.39479538231441325</v>
      </c>
      <c r="AH49" s="3">
        <f t="shared" si="31"/>
        <v>0.27539493033975759</v>
      </c>
      <c r="AI49" s="3">
        <f t="shared" si="31"/>
        <v>-5.933106385452902E-2</v>
      </c>
      <c r="AJ49" s="3">
        <f t="shared" si="31"/>
        <v>1.9669942123726969E-2</v>
      </c>
    </row>
    <row r="50" spans="1:36" x14ac:dyDescent="0.25">
      <c r="F50" s="57">
        <f t="shared" ref="F50:AJ50" si="32">F49/F17</f>
        <v>1.5178147774782141E-2</v>
      </c>
      <c r="G50" s="57">
        <f t="shared" si="32"/>
        <v>-1.9979171038632768E-2</v>
      </c>
      <c r="H50" s="57">
        <f t="shared" si="32"/>
        <v>5.6548869723971771E-3</v>
      </c>
      <c r="I50" s="57">
        <f t="shared" si="32"/>
        <v>-9.4903016384632606E-4</v>
      </c>
      <c r="J50" s="57">
        <f t="shared" si="32"/>
        <v>1.3476277345363729E-4</v>
      </c>
      <c r="K50" s="57">
        <f t="shared" si="32"/>
        <v>-2.661655161612533E-5</v>
      </c>
      <c r="L50" s="57">
        <f t="shared" si="32"/>
        <v>1.5533092216845934E-5</v>
      </c>
      <c r="M50" s="57">
        <f t="shared" si="32"/>
        <v>-2.6098572752344348E-5</v>
      </c>
      <c r="N50" s="57">
        <f t="shared" si="32"/>
        <v>7.3387620159881721E-5</v>
      </c>
      <c r="O50" s="57">
        <f t="shared" si="32"/>
        <v>-1.522157309997822E-4</v>
      </c>
      <c r="P50" s="57">
        <f t="shared" si="32"/>
        <v>2.7205303613431908E-4</v>
      </c>
      <c r="Q50" s="57">
        <f t="shared" si="32"/>
        <v>-5.0865888953717953E-4</v>
      </c>
      <c r="R50" s="57">
        <f t="shared" si="32"/>
        <v>9.4184437081747997E-4</v>
      </c>
      <c r="S50" s="57">
        <f t="shared" si="32"/>
        <v>-1.468145844708615E-3</v>
      </c>
      <c r="T50" s="57">
        <f t="shared" si="32"/>
        <v>1.7593917778561208E-3</v>
      </c>
      <c r="U50" s="57">
        <f t="shared" si="32"/>
        <v>-1.6165250836573236E-3</v>
      </c>
      <c r="V50" s="57">
        <f t="shared" si="32"/>
        <v>1.2211145191587543E-3</v>
      </c>
      <c r="W50" s="57">
        <f t="shared" si="32"/>
        <v>-7.5497509485425375E-4</v>
      </c>
      <c r="X50" s="57">
        <f t="shared" si="32"/>
        <v>2.2893153840758041E-4</v>
      </c>
      <c r="Y50" s="57">
        <f t="shared" si="32"/>
        <v>3.1494485498281545E-4</v>
      </c>
      <c r="Z50" s="57">
        <f t="shared" si="32"/>
        <v>-6.8286933725033498E-4</v>
      </c>
      <c r="AA50" s="57">
        <f t="shared" si="32"/>
        <v>5.816984648549067E-4</v>
      </c>
      <c r="AB50" s="57">
        <f t="shared" si="32"/>
        <v>-1.513320295684836E-4</v>
      </c>
      <c r="AC50" s="57">
        <f t="shared" si="32"/>
        <v>-9.4849058723188773E-5</v>
      </c>
      <c r="AD50" s="57">
        <f t="shared" si="32"/>
        <v>-2.652383299735996E-5</v>
      </c>
      <c r="AE50" s="57">
        <f t="shared" si="32"/>
        <v>-4.1546069535038674E-4</v>
      </c>
      <c r="AF50" s="57">
        <f t="shared" si="32"/>
        <v>1.4937836503482297E-3</v>
      </c>
      <c r="AG50" s="57">
        <f t="shared" si="32"/>
        <v>-2.4165707998041065E-3</v>
      </c>
      <c r="AH50" s="57">
        <f t="shared" si="32"/>
        <v>1.6933194994691978E-3</v>
      </c>
      <c r="AI50" s="57">
        <f t="shared" si="32"/>
        <v>-3.6626788907084481E-4</v>
      </c>
      <c r="AJ50" s="57">
        <f t="shared" si="32"/>
        <v>1.2176187472409358E-4</v>
      </c>
    </row>
    <row r="51" spans="1:36" x14ac:dyDescent="0.25">
      <c r="A51" s="13" t="s">
        <v>21</v>
      </c>
      <c r="B51" s="3">
        <f>STUTT!D8</f>
        <v>6992.4087</v>
      </c>
      <c r="E51" s="11" t="s">
        <v>24</v>
      </c>
      <c r="F51" s="20">
        <f t="shared" ref="F51:AJ51" si="33">(F16-F17)^2</f>
        <v>4599.8454607947178</v>
      </c>
      <c r="G51" s="20">
        <f t="shared" si="33"/>
        <v>7695.7567795895866</v>
      </c>
      <c r="H51" s="20">
        <f t="shared" si="33"/>
        <v>538.6993946824465</v>
      </c>
      <c r="I51" s="20">
        <f t="shared" si="33"/>
        <v>14.047913025626737</v>
      </c>
      <c r="J51" s="20">
        <f t="shared" si="33"/>
        <v>0.25758903667983907</v>
      </c>
      <c r="K51" s="20">
        <f t="shared" si="33"/>
        <v>8.9383720107081219E-3</v>
      </c>
      <c r="L51" s="20">
        <f t="shared" si="33"/>
        <v>2.6568860184684909E-3</v>
      </c>
      <c r="M51" s="20">
        <f t="shared" si="33"/>
        <v>6.3394009299417974E-3</v>
      </c>
      <c r="N51" s="20">
        <f t="shared" si="33"/>
        <v>4.0579731394831522E-2</v>
      </c>
      <c r="O51" s="20">
        <f t="shared" si="33"/>
        <v>0.13127860825869078</v>
      </c>
      <c r="P51" s="20">
        <f t="shared" si="33"/>
        <v>0.280910029132453</v>
      </c>
      <c r="Q51" s="20">
        <f t="shared" si="33"/>
        <v>0.56950322743827109</v>
      </c>
      <c r="R51" s="20">
        <f t="shared" si="33"/>
        <v>1.0038114070847539</v>
      </c>
      <c r="S51" s="20">
        <f t="shared" si="33"/>
        <v>1.2356964784648667</v>
      </c>
      <c r="T51" s="20">
        <f t="shared" si="33"/>
        <v>1.0172837142470037</v>
      </c>
      <c r="U51" s="20">
        <f t="shared" si="33"/>
        <v>0.58494761597676326</v>
      </c>
      <c r="V51" s="20">
        <f t="shared" si="33"/>
        <v>0.24370309187774958</v>
      </c>
      <c r="W51" s="20">
        <f t="shared" si="33"/>
        <v>6.3157941551395341E-2</v>
      </c>
      <c r="X51" s="20">
        <f t="shared" si="33"/>
        <v>3.8220866802208039E-3</v>
      </c>
      <c r="Y51" s="20">
        <f t="shared" si="33"/>
        <v>5.2545809178349018E-3</v>
      </c>
      <c r="Z51" s="20">
        <f t="shared" si="33"/>
        <v>1.8487425875842289E-2</v>
      </c>
      <c r="AA51" s="20">
        <f t="shared" si="33"/>
        <v>1.1278884786821044E-2</v>
      </c>
      <c r="AB51" s="20">
        <f t="shared" si="33"/>
        <v>6.9858342750402092E-4</v>
      </c>
      <c r="AC51" s="20">
        <f t="shared" si="33"/>
        <v>2.5964288175229767E-4</v>
      </c>
      <c r="AD51" s="20">
        <f t="shared" si="33"/>
        <v>1.9584155990595506E-5</v>
      </c>
      <c r="AE51" s="20">
        <f t="shared" si="33"/>
        <v>4.7675244739989178E-3</v>
      </c>
      <c r="AF51" s="20">
        <f t="shared" si="33"/>
        <v>6.0758059535535418E-2</v>
      </c>
      <c r="AG51" s="20">
        <f t="shared" si="33"/>
        <v>0.15586339389678372</v>
      </c>
      <c r="AH51" s="20">
        <f t="shared" si="33"/>
        <v>7.5842367656839937E-2</v>
      </c>
      <c r="AI51" s="20">
        <f t="shared" si="33"/>
        <v>3.5201751381101999E-3</v>
      </c>
      <c r="AJ51" s="20">
        <f t="shared" si="33"/>
        <v>3.8690662315076863E-4</v>
      </c>
    </row>
    <row r="52" spans="1:36" x14ac:dyDescent="0.25">
      <c r="A52" s="13"/>
    </row>
    <row r="53" spans="1:36" x14ac:dyDescent="0.25">
      <c r="E53" s="118" t="s">
        <v>25</v>
      </c>
      <c r="F53" s="118"/>
      <c r="G53" s="104">
        <f>SUM(F51:AJ51)</f>
        <v>12854.136902849494</v>
      </c>
      <c r="I53" s="3">
        <f>G53+C123</f>
        <v>12854.136902849494</v>
      </c>
      <c r="K53" s="3">
        <f>SUM(Z51:AJ51)</f>
        <v>0.33188254845232923</v>
      </c>
    </row>
    <row r="55" spans="1:36" x14ac:dyDescent="0.25">
      <c r="E55" s="30" t="s">
        <v>30</v>
      </c>
      <c r="F55" s="31">
        <f t="shared" ref="F55:AJ55" si="34">ABS(F17-F16)/F16</f>
        <v>1.4951216008788067E-2</v>
      </c>
      <c r="G55" s="31">
        <f t="shared" si="34"/>
        <v>2.0386475928074743E-2</v>
      </c>
      <c r="H55" s="31">
        <f t="shared" si="34"/>
        <v>5.6230890394433986E-3</v>
      </c>
      <c r="I55" s="31">
        <f t="shared" si="34"/>
        <v>9.4993167766202046E-4</v>
      </c>
      <c r="J55" s="31">
        <f t="shared" si="34"/>
        <v>1.3474461489562602E-4</v>
      </c>
      <c r="K55" s="31">
        <f t="shared" si="34"/>
        <v>2.6617260075802016E-5</v>
      </c>
      <c r="L55" s="31">
        <f t="shared" si="34"/>
        <v>1.5532850943639835E-5</v>
      </c>
      <c r="M55" s="31">
        <f t="shared" si="34"/>
        <v>2.6099253905621187E-5</v>
      </c>
      <c r="N55" s="31">
        <f t="shared" si="34"/>
        <v>7.3382234812306843E-5</v>
      </c>
      <c r="O55" s="31">
        <f t="shared" si="34"/>
        <v>1.5223890415586489E-4</v>
      </c>
      <c r="P55" s="31">
        <f t="shared" si="34"/>
        <v>2.7197904340979458E-4</v>
      </c>
      <c r="Q55" s="31">
        <f t="shared" si="34"/>
        <v>5.0891775507734289E-4</v>
      </c>
      <c r="R55" s="31">
        <f t="shared" si="34"/>
        <v>9.4095813469514239E-4</v>
      </c>
      <c r="S55" s="31">
        <f t="shared" si="34"/>
        <v>1.4703044661009777E-3</v>
      </c>
      <c r="T55" s="31">
        <f t="shared" si="34"/>
        <v>1.756301754988959E-3</v>
      </c>
      <c r="U55" s="31">
        <f t="shared" si="34"/>
        <v>1.6191424680709753E-3</v>
      </c>
      <c r="V55" s="31">
        <f t="shared" si="34"/>
        <v>1.2196252170982235E-3</v>
      </c>
      <c r="W55" s="31">
        <f t="shared" si="34"/>
        <v>7.5554551289952173E-4</v>
      </c>
      <c r="X55" s="31">
        <f t="shared" si="34"/>
        <v>2.2887914075377824E-4</v>
      </c>
      <c r="Y55" s="31">
        <f t="shared" si="34"/>
        <v>3.1484569595076226E-4</v>
      </c>
      <c r="Z55" s="31">
        <f t="shared" si="34"/>
        <v>6.8333596642884947E-4</v>
      </c>
      <c r="AA55" s="31">
        <f t="shared" si="34"/>
        <v>5.8136028846757747E-4</v>
      </c>
      <c r="AB55" s="31">
        <f t="shared" si="34"/>
        <v>1.5135493441789427E-4</v>
      </c>
      <c r="AC55" s="31">
        <f t="shared" si="34"/>
        <v>9.4858055920505143E-5</v>
      </c>
      <c r="AD55" s="31">
        <f t="shared" si="34"/>
        <v>2.6524536529737209E-5</v>
      </c>
      <c r="AE55" s="31">
        <f t="shared" si="34"/>
        <v>4.1563337468124263E-4</v>
      </c>
      <c r="AF55" s="31">
        <f t="shared" si="34"/>
        <v>1.4915555889958023E-3</v>
      </c>
      <c r="AG55" s="31">
        <f t="shared" si="34"/>
        <v>2.4224247607456469E-3</v>
      </c>
      <c r="AH55" s="31">
        <f t="shared" si="34"/>
        <v>1.6904570156415972E-3</v>
      </c>
      <c r="AI55" s="31">
        <f t="shared" si="34"/>
        <v>3.6640209039104349E-4</v>
      </c>
      <c r="AJ55" s="31">
        <f t="shared" si="34"/>
        <v>1.2174705057497343E-4</v>
      </c>
    </row>
    <row r="56" spans="1:36" x14ac:dyDescent="0.25">
      <c r="E56" s="13" t="s">
        <v>31</v>
      </c>
      <c r="F56" s="32">
        <f>AVERAGE(F55:AJ55)</f>
        <v>1.9184348588579822E-3</v>
      </c>
    </row>
    <row r="57" spans="1:36" x14ac:dyDescent="0.25">
      <c r="A57" s="42"/>
      <c r="B57" s="15"/>
      <c r="C57" s="15"/>
      <c r="D57" s="15"/>
      <c r="F57" s="60">
        <f>AVERAGE(S55:X55)</f>
        <v>1.1749664266520726E-3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-50</v>
      </c>
    </row>
    <row r="119" spans="1:14" x14ac:dyDescent="0.25">
      <c r="L119" s="11">
        <f>L118+1</f>
        <v>2</v>
      </c>
      <c r="M119" s="11">
        <f t="shared" ref="M119:M124" si="35">INDEX($B$125:$K$126,1,L119)</f>
        <v>0</v>
      </c>
      <c r="N119" s="11">
        <f t="shared" ref="N119:N124" si="36">IF(L119=$B$3,0,INDEX($B$125:$K$126,2,L119))</f>
        <v>-41.485547632440884</v>
      </c>
    </row>
    <row r="120" spans="1:14" x14ac:dyDescent="0.25">
      <c r="L120" s="11">
        <f t="shared" ref="L120:L124" si="37">L119+1</f>
        <v>3</v>
      </c>
      <c r="M120" s="11">
        <f t="shared" si="35"/>
        <v>25</v>
      </c>
      <c r="N120" s="11">
        <f t="shared" si="36"/>
        <v>-36.73997630133357</v>
      </c>
    </row>
    <row r="121" spans="1:14" x14ac:dyDescent="0.25">
      <c r="A121" s="103">
        <f>(A165+A204+A243+A282+A321+A360+A399)*10^9</f>
        <v>6.8591948664540872E+16</v>
      </c>
      <c r="L121" s="11">
        <f t="shared" si="37"/>
        <v>4</v>
      </c>
      <c r="M121" s="11">
        <f t="shared" si="35"/>
        <v>50</v>
      </c>
      <c r="N121" s="11">
        <f t="shared" si="36"/>
        <v>-34.144837998227821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-25.756449178696286</v>
      </c>
    </row>
    <row r="123" spans="1:14" x14ac:dyDescent="0.25">
      <c r="A123" s="118"/>
      <c r="B123" s="118"/>
      <c r="C123" s="3"/>
      <c r="D123" s="3"/>
      <c r="E123" s="3"/>
      <c r="F123" s="3"/>
      <c r="G123" s="3"/>
      <c r="H123" s="3"/>
      <c r="I123" s="3"/>
      <c r="J123" s="3"/>
      <c r="K123" s="3"/>
      <c r="L123" s="11">
        <f t="shared" si="37"/>
        <v>6</v>
      </c>
      <c r="M123" s="11">
        <f t="shared" si="35"/>
        <v>125</v>
      </c>
      <c r="N123" s="11">
        <f t="shared" si="36"/>
        <v>-13.644493931225382</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-50</v>
      </c>
      <c r="C126" s="107">
        <v>-41.485547632440884</v>
      </c>
      <c r="D126" s="107">
        <v>-36.73997630133357</v>
      </c>
      <c r="E126" s="107">
        <v>-34.144837998227821</v>
      </c>
      <c r="F126" s="107">
        <v>-25.756449178696286</v>
      </c>
      <c r="G126" s="107">
        <v>-13.644493931225382</v>
      </c>
      <c r="H126" s="107">
        <v>1.4190646954638328E-2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6992.4086999999981</v>
      </c>
      <c r="C131" s="27">
        <f t="shared" ref="C131:AF131" si="40">($C$17+SUM(C132:C162))*$B$51</f>
        <v>6992.4086999999981</v>
      </c>
      <c r="D131" s="27">
        <f t="shared" si="40"/>
        <v>6992.4086999999936</v>
      </c>
      <c r="E131" s="27">
        <f t="shared" si="40"/>
        <v>6992.4086999999499</v>
      </c>
      <c r="F131" s="27">
        <f t="shared" si="40"/>
        <v>6992.4086999995143</v>
      </c>
      <c r="G131" s="27">
        <f t="shared" si="40"/>
        <v>6992.4086999951487</v>
      </c>
      <c r="H131" s="27">
        <f t="shared" si="40"/>
        <v>6992.4086999515048</v>
      </c>
      <c r="I131" s="27">
        <f t="shared" si="40"/>
        <v>6992.4086995150592</v>
      </c>
      <c r="J131" s="27">
        <f t="shared" si="40"/>
        <v>6992.4086951506033</v>
      </c>
      <c r="K131" s="27">
        <f t="shared" si="40"/>
        <v>6992.408651506048</v>
      </c>
      <c r="L131" s="27">
        <f t="shared" si="40"/>
        <v>6992.4082150605345</v>
      </c>
      <c r="M131" s="27">
        <f t="shared" si="40"/>
        <v>6992.4038506095721</v>
      </c>
      <c r="N131" s="27">
        <f t="shared" si="40"/>
        <v>6992.3602065166242</v>
      </c>
      <c r="O131" s="27">
        <f t="shared" si="40"/>
        <v>6991.9238072529906</v>
      </c>
      <c r="P131" s="27">
        <f t="shared" si="40"/>
        <v>6987.5639785261092</v>
      </c>
      <c r="Q131" s="27">
        <f t="shared" si="40"/>
        <v>6944.379420205938</v>
      </c>
      <c r="R131" s="27">
        <f t="shared" si="40"/>
        <v>6551.368412938622</v>
      </c>
      <c r="S131" s="27">
        <f t="shared" si="40"/>
        <v>4843.538103587457</v>
      </c>
      <c r="T131" s="27">
        <f t="shared" si="40"/>
        <v>4478.1383483421823</v>
      </c>
      <c r="U131" s="27">
        <f t="shared" si="40"/>
        <v>4478.1212344709602</v>
      </c>
      <c r="V131" s="27">
        <f t="shared" si="40"/>
        <v>4477.9502419056953</v>
      </c>
      <c r="W131" s="27">
        <f t="shared" si="40"/>
        <v>4476.2443571739414</v>
      </c>
      <c r="X131" s="27">
        <f t="shared" si="40"/>
        <v>4459.5830492839914</v>
      </c>
      <c r="Y131" s="27">
        <f t="shared" si="40"/>
        <v>4326.9084126920461</v>
      </c>
      <c r="Z131" s="27">
        <f t="shared" si="40"/>
        <v>4054.4802402389737</v>
      </c>
      <c r="AA131" s="27">
        <f t="shared" si="40"/>
        <v>3906.3334093595181</v>
      </c>
      <c r="AB131" s="27">
        <f t="shared" si="40"/>
        <v>3711.6245960561278</v>
      </c>
      <c r="AC131" s="27">
        <f t="shared" si="40"/>
        <v>3489.6537857540943</v>
      </c>
      <c r="AD131" s="27">
        <f t="shared" si="40"/>
        <v>3246.6804329883171</v>
      </c>
      <c r="AE131" s="27">
        <f t="shared" si="40"/>
        <v>2965.7103723738537</v>
      </c>
      <c r="AF131" s="27">
        <f t="shared" si="40"/>
        <v>2643.5453956716237</v>
      </c>
    </row>
    <row r="132" spans="1:33" x14ac:dyDescent="0.25">
      <c r="B132" s="3">
        <f t="shared" ref="B132:Z133" si="41">$C18*EXP(-B$129/$A18/EXP(-$B$126))</f>
        <v>0.35957115347282304</v>
      </c>
      <c r="C132" s="3">
        <f t="shared" ref="C132:AF132" si="42">$C18*EXP(-C$129/$A18/EXP(-$B$126))</f>
        <v>0.35957115347282298</v>
      </c>
      <c r="D132" s="3">
        <f t="shared" si="42"/>
        <v>0.35957115347282237</v>
      </c>
      <c r="E132" s="3">
        <f t="shared" si="42"/>
        <v>0.3595711534728161</v>
      </c>
      <c r="F132" s="3">
        <f t="shared" si="42"/>
        <v>0.3595711534727537</v>
      </c>
      <c r="G132" s="3">
        <f t="shared" si="42"/>
        <v>0.35957115347212948</v>
      </c>
      <c r="H132" s="3">
        <f t="shared" si="42"/>
        <v>0.35957115346588781</v>
      </c>
      <c r="I132" s="3">
        <f t="shared" si="42"/>
        <v>0.35957115340347079</v>
      </c>
      <c r="J132" s="3">
        <f t="shared" si="42"/>
        <v>0.35957115277930024</v>
      </c>
      <c r="K132" s="3">
        <f t="shared" si="42"/>
        <v>0.35957114653759503</v>
      </c>
      <c r="L132" s="3">
        <f t="shared" si="42"/>
        <v>0.35957108412054894</v>
      </c>
      <c r="M132" s="3">
        <f t="shared" si="42"/>
        <v>0.35957045995068426</v>
      </c>
      <c r="N132" s="3">
        <f t="shared" si="42"/>
        <v>0.35956421831162827</v>
      </c>
      <c r="O132" s="3">
        <f t="shared" si="42"/>
        <v>0.3595018078797938</v>
      </c>
      <c r="P132" s="3">
        <f t="shared" si="42"/>
        <v>0.3588782990514493</v>
      </c>
      <c r="Q132" s="3">
        <f t="shared" si="42"/>
        <v>0.35270237906985608</v>
      </c>
      <c r="R132" s="3">
        <f t="shared" si="42"/>
        <v>0.29649699877457064</v>
      </c>
      <c r="S132" s="3">
        <f t="shared" si="42"/>
        <v>5.2256392770852533E-2</v>
      </c>
      <c r="T132" s="3">
        <f t="shared" si="42"/>
        <v>1.5112304088628266E-9</v>
      </c>
      <c r="U132" s="3">
        <f t="shared" si="42"/>
        <v>6.1836264905128655E-85</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5.3087681466497318E-2</v>
      </c>
      <c r="C133" s="3">
        <f t="shared" si="41"/>
        <v>5.3087681466497318E-2</v>
      </c>
      <c r="D133" s="3">
        <f t="shared" si="41"/>
        <v>5.3087681466497318E-2</v>
      </c>
      <c r="E133" s="3">
        <f t="shared" si="41"/>
        <v>5.3087681466497318E-2</v>
      </c>
      <c r="F133" s="3">
        <f t="shared" si="41"/>
        <v>5.3087681466497318E-2</v>
      </c>
      <c r="G133" s="3">
        <f t="shared" si="41"/>
        <v>5.3087681466497318E-2</v>
      </c>
      <c r="H133" s="3">
        <f t="shared" si="41"/>
        <v>5.3087681466497318E-2</v>
      </c>
      <c r="I133" s="3">
        <f t="shared" si="41"/>
        <v>5.3087681466497318E-2</v>
      </c>
      <c r="J133" s="3">
        <f t="shared" si="41"/>
        <v>5.3087681466497297E-2</v>
      </c>
      <c r="K133" s="3">
        <f t="shared" si="41"/>
        <v>5.3087681466497054E-2</v>
      </c>
      <c r="L133" s="3">
        <f t="shared" si="41"/>
        <v>5.3087681466494695E-2</v>
      </c>
      <c r="M133" s="3">
        <f t="shared" si="41"/>
        <v>5.3087681466471089E-2</v>
      </c>
      <c r="N133" s="3">
        <f t="shared" si="41"/>
        <v>5.3087681466235034E-2</v>
      </c>
      <c r="O133" s="3">
        <f t="shared" si="41"/>
        <v>5.3087681463874478E-2</v>
      </c>
      <c r="P133" s="3">
        <f t="shared" si="41"/>
        <v>5.308768144026893E-2</v>
      </c>
      <c r="Q133" s="3">
        <f t="shared" si="41"/>
        <v>5.3087681204213456E-2</v>
      </c>
      <c r="R133" s="3">
        <f t="shared" si="41"/>
        <v>5.3087678843658739E-2</v>
      </c>
      <c r="S133" s="3">
        <f t="shared" si="41"/>
        <v>5.308765523811735E-2</v>
      </c>
      <c r="T133" s="3">
        <f t="shared" si="41"/>
        <v>5.3087419183280735E-2</v>
      </c>
      <c r="U133" s="3">
        <f t="shared" si="41"/>
        <v>5.308505869264294E-2</v>
      </c>
      <c r="V133" s="3">
        <f t="shared" si="41"/>
        <v>5.306145955815058E-2</v>
      </c>
      <c r="W133" s="3">
        <f t="shared" si="41"/>
        <v>5.2826044453312238E-2</v>
      </c>
      <c r="X133" s="3">
        <f t="shared" si="41"/>
        <v>5.0528580546106996E-2</v>
      </c>
      <c r="Y133" s="3">
        <f t="shared" si="41"/>
        <v>3.2391208747134741E-2</v>
      </c>
      <c r="Z133" s="3">
        <f t="shared" si="41"/>
        <v>3.7960132762374365E-4</v>
      </c>
      <c r="AA133" s="3">
        <f t="shared" ref="AA133:AF133" si="43">$C19*EXP(-AA$129/$A19/EXP(-$B$126))</f>
        <v>1.8549550921089232E-23</v>
      </c>
      <c r="AB133" s="3">
        <f t="shared" si="43"/>
        <v>1.440091784152798E-216</v>
      </c>
      <c r="AC133" s="3">
        <f t="shared" si="43"/>
        <v>0</v>
      </c>
      <c r="AD133" s="3">
        <f t="shared" si="43"/>
        <v>0</v>
      </c>
      <c r="AE133" s="3">
        <f t="shared" si="43"/>
        <v>0</v>
      </c>
      <c r="AF133" s="3">
        <f t="shared" si="43"/>
        <v>0</v>
      </c>
    </row>
    <row r="134" spans="1:33" x14ac:dyDescent="0.25">
      <c r="B134" s="3">
        <f t="shared" ref="B134:Z134" si="44">$C20*EXP(-B$129/$A20/EXP(-$B$126))</f>
        <v>1.8548614905856641E-2</v>
      </c>
      <c r="C134" s="3">
        <f t="shared" si="44"/>
        <v>1.8548614905856641E-2</v>
      </c>
      <c r="D134" s="3">
        <f t="shared" si="44"/>
        <v>1.8548614905856641E-2</v>
      </c>
      <c r="E134" s="3">
        <f t="shared" si="44"/>
        <v>1.8548614905856641E-2</v>
      </c>
      <c r="F134" s="3">
        <f t="shared" si="44"/>
        <v>1.8548614905856641E-2</v>
      </c>
      <c r="G134" s="3">
        <f t="shared" si="44"/>
        <v>1.8548614905856641E-2</v>
      </c>
      <c r="H134" s="3">
        <f t="shared" si="44"/>
        <v>1.8548614905856641E-2</v>
      </c>
      <c r="I134" s="3">
        <f t="shared" si="44"/>
        <v>1.8548614905856641E-2</v>
      </c>
      <c r="J134" s="3">
        <f t="shared" si="44"/>
        <v>1.8548614905856641E-2</v>
      </c>
      <c r="K134" s="3">
        <f t="shared" si="44"/>
        <v>1.8548614905856634E-2</v>
      </c>
      <c r="L134" s="3">
        <f t="shared" si="44"/>
        <v>1.8548614905856558E-2</v>
      </c>
      <c r="M134" s="3">
        <f t="shared" si="44"/>
        <v>1.8548614905855815E-2</v>
      </c>
      <c r="N134" s="3">
        <f t="shared" si="44"/>
        <v>1.8548614905848373E-2</v>
      </c>
      <c r="O134" s="3">
        <f t="shared" si="44"/>
        <v>1.8548614905773975E-2</v>
      </c>
      <c r="P134" s="3">
        <f t="shared" si="44"/>
        <v>1.8548614905029966E-2</v>
      </c>
      <c r="Q134" s="3">
        <f t="shared" si="44"/>
        <v>1.8548614897589872E-2</v>
      </c>
      <c r="R134" s="3">
        <f t="shared" si="44"/>
        <v>1.8548614823188935E-2</v>
      </c>
      <c r="S134" s="3">
        <f t="shared" si="44"/>
        <v>1.8548614079179591E-2</v>
      </c>
      <c r="T134" s="3">
        <f t="shared" si="44"/>
        <v>1.8548606639087792E-2</v>
      </c>
      <c r="U134" s="3">
        <f t="shared" si="44"/>
        <v>1.8548532238333932E-2</v>
      </c>
      <c r="V134" s="3">
        <f t="shared" si="44"/>
        <v>1.8547788247208843E-2</v>
      </c>
      <c r="W134" s="3">
        <f t="shared" si="44"/>
        <v>1.8540349977063036E-2</v>
      </c>
      <c r="X134" s="3">
        <f t="shared" si="44"/>
        <v>1.8466131142815385E-2</v>
      </c>
      <c r="Y134" s="3">
        <f t="shared" si="44"/>
        <v>1.7740088910261936E-2</v>
      </c>
      <c r="Z134" s="3">
        <f t="shared" si="44"/>
        <v>1.187830734199429E-2</v>
      </c>
      <c r="AA134" s="3">
        <f t="shared" ref="AA134" si="45">$C20*EXP(-AA$129/$A20/EXP(-$B$126))</f>
        <v>2.1515042990666306E-4</v>
      </c>
      <c r="AB134" s="3">
        <f t="shared" ref="AB134:AF143" si="46">$C20*EXP(-AB$129/$A20/EXP(-$B$126))</f>
        <v>8.177467356462193E-22</v>
      </c>
      <c r="AC134" s="3">
        <f t="shared" si="46"/>
        <v>5.1449934768396808E-196</v>
      </c>
      <c r="AD134" s="3">
        <f t="shared" si="46"/>
        <v>0</v>
      </c>
      <c r="AE134" s="3">
        <f t="shared" si="46"/>
        <v>0</v>
      </c>
      <c r="AF134" s="3">
        <f t="shared" si="46"/>
        <v>0</v>
      </c>
    </row>
    <row r="135" spans="1:33" x14ac:dyDescent="0.25">
      <c r="B135" s="3">
        <f t="shared" ref="B135:Z135" si="47">$C21*EXP(-B$129/$A21/EXP(-$B$126))</f>
        <v>2.7428318800719304E-2</v>
      </c>
      <c r="C135" s="3">
        <f t="shared" si="47"/>
        <v>2.7428318800719304E-2</v>
      </c>
      <c r="D135" s="3">
        <f t="shared" si="47"/>
        <v>2.7428318800719304E-2</v>
      </c>
      <c r="E135" s="3">
        <f t="shared" si="47"/>
        <v>2.7428318800719304E-2</v>
      </c>
      <c r="F135" s="3">
        <f t="shared" si="47"/>
        <v>2.7428318800719304E-2</v>
      </c>
      <c r="G135" s="3">
        <f t="shared" si="47"/>
        <v>2.7428318800719304E-2</v>
      </c>
      <c r="H135" s="3">
        <f t="shared" si="47"/>
        <v>2.7428318800719304E-2</v>
      </c>
      <c r="I135" s="3">
        <f t="shared" si="47"/>
        <v>2.7428318800719304E-2</v>
      </c>
      <c r="J135" s="3">
        <f t="shared" si="47"/>
        <v>2.7428318800719304E-2</v>
      </c>
      <c r="K135" s="3">
        <f t="shared" si="47"/>
        <v>2.7428318800719304E-2</v>
      </c>
      <c r="L135" s="3">
        <f t="shared" si="47"/>
        <v>2.742831880071929E-2</v>
      </c>
      <c r="M135" s="3">
        <f t="shared" si="47"/>
        <v>2.7428318800719192E-2</v>
      </c>
      <c r="N135" s="3">
        <f t="shared" si="47"/>
        <v>2.74283188007182E-2</v>
      </c>
      <c r="O135" s="3">
        <f t="shared" si="47"/>
        <v>2.7428318800708278E-2</v>
      </c>
      <c r="P135" s="3">
        <f t="shared" si="47"/>
        <v>2.7428318800609031E-2</v>
      </c>
      <c r="Q135" s="3">
        <f t="shared" si="47"/>
        <v>2.7428318799616571E-2</v>
      </c>
      <c r="R135" s="3">
        <f t="shared" si="47"/>
        <v>2.7428318789691979E-2</v>
      </c>
      <c r="S135" s="3">
        <f t="shared" si="47"/>
        <v>2.7428318690446051E-2</v>
      </c>
      <c r="T135" s="3">
        <f t="shared" si="47"/>
        <v>2.7428317697986794E-2</v>
      </c>
      <c r="U135" s="3">
        <f t="shared" si="47"/>
        <v>2.7428307773396228E-2</v>
      </c>
      <c r="V135" s="3">
        <f t="shared" si="47"/>
        <v>2.7428208527688045E-2</v>
      </c>
      <c r="W135" s="3">
        <f t="shared" si="47"/>
        <v>2.7427216090356921E-2</v>
      </c>
      <c r="X135" s="3">
        <f t="shared" si="47"/>
        <v>2.741729369185102E-2</v>
      </c>
      <c r="Y135" s="3">
        <f t="shared" si="47"/>
        <v>2.7318266923193613E-2</v>
      </c>
      <c r="Z135" s="3">
        <f t="shared" si="47"/>
        <v>2.6347459379744177E-2</v>
      </c>
      <c r="AA135" s="3">
        <f t="shared" ref="AA135" si="48">$C21*EXP(-AA$129/$A21/EXP(-$B$126))</f>
        <v>1.8348253782789769E-2</v>
      </c>
      <c r="AB135" s="3">
        <f t="shared" si="46"/>
        <v>4.922148208005144E-4</v>
      </c>
      <c r="AC135" s="3">
        <f t="shared" si="46"/>
        <v>9.5006685198021566E-20</v>
      </c>
      <c r="AD135" s="3">
        <f t="shared" si="46"/>
        <v>6.8194438763995544E-177</v>
      </c>
      <c r="AE135" s="3">
        <f t="shared" si="46"/>
        <v>0</v>
      </c>
      <c r="AF135" s="3">
        <f t="shared" si="46"/>
        <v>0</v>
      </c>
    </row>
    <row r="136" spans="1:33" x14ac:dyDescent="0.25">
      <c r="B136" s="3">
        <f t="shared" ref="B136:Z136" si="49">$C22*EXP(-B$129/$A22/EXP(-$B$126))</f>
        <v>3.2244311763005913E-2</v>
      </c>
      <c r="C136" s="3">
        <f t="shared" si="49"/>
        <v>3.2244311763005913E-2</v>
      </c>
      <c r="D136" s="3">
        <f t="shared" si="49"/>
        <v>3.2244311763005913E-2</v>
      </c>
      <c r="E136" s="3">
        <f t="shared" si="49"/>
        <v>3.2244311763005913E-2</v>
      </c>
      <c r="F136" s="3">
        <f t="shared" si="49"/>
        <v>3.2244311763005913E-2</v>
      </c>
      <c r="G136" s="3">
        <f t="shared" si="49"/>
        <v>3.2244311763005913E-2</v>
      </c>
      <c r="H136" s="3">
        <f t="shared" si="49"/>
        <v>3.2244311763005913E-2</v>
      </c>
      <c r="I136" s="3">
        <f t="shared" si="49"/>
        <v>3.2244311763005913E-2</v>
      </c>
      <c r="J136" s="3">
        <f t="shared" si="49"/>
        <v>3.2244311763005913E-2</v>
      </c>
      <c r="K136" s="3">
        <f t="shared" si="49"/>
        <v>3.2244311763005913E-2</v>
      </c>
      <c r="L136" s="3">
        <f t="shared" si="49"/>
        <v>3.2244311763005913E-2</v>
      </c>
      <c r="M136" s="3">
        <f t="shared" si="49"/>
        <v>3.2244311763005899E-2</v>
      </c>
      <c r="N136" s="3">
        <f t="shared" si="49"/>
        <v>3.2244311763005795E-2</v>
      </c>
      <c r="O136" s="3">
        <f t="shared" si="49"/>
        <v>3.224431176300474E-2</v>
      </c>
      <c r="P136" s="3">
        <f t="shared" si="49"/>
        <v>3.2244311762994221E-2</v>
      </c>
      <c r="Q136" s="3">
        <f t="shared" si="49"/>
        <v>3.2244311762888972E-2</v>
      </c>
      <c r="R136" s="3">
        <f t="shared" si="49"/>
        <v>3.2244311761836494E-2</v>
      </c>
      <c r="S136" s="3">
        <f t="shared" si="49"/>
        <v>3.2244311751311705E-2</v>
      </c>
      <c r="T136" s="3">
        <f t="shared" si="49"/>
        <v>3.2244311646063867E-2</v>
      </c>
      <c r="U136" s="3">
        <f t="shared" si="49"/>
        <v>3.2244310593585443E-2</v>
      </c>
      <c r="V136" s="3">
        <f t="shared" si="49"/>
        <v>3.2244300068803113E-2</v>
      </c>
      <c r="W136" s="3">
        <f t="shared" si="49"/>
        <v>3.2244194821168769E-2</v>
      </c>
      <c r="X136" s="3">
        <f t="shared" si="49"/>
        <v>3.2243142363719605E-2</v>
      </c>
      <c r="Y136" s="3">
        <f t="shared" si="49"/>
        <v>3.2232619678427027E-2</v>
      </c>
      <c r="Z136" s="3">
        <f t="shared" si="49"/>
        <v>3.2127581517445922E-2</v>
      </c>
      <c r="AA136" s="3">
        <f t="shared" ref="AA136" si="50">$C22*EXP(-AA$129/$A22/EXP(-$B$126))</f>
        <v>3.1095843193360173E-2</v>
      </c>
      <c r="AB136" s="3">
        <f t="shared" si="46"/>
        <v>2.243599692420482E-2</v>
      </c>
      <c r="AC136" s="3">
        <f t="shared" si="46"/>
        <v>8.5777960025724216E-4</v>
      </c>
      <c r="AD136" s="3">
        <f t="shared" si="46"/>
        <v>5.723729905294434E-18</v>
      </c>
      <c r="AE136" s="3">
        <f t="shared" si="46"/>
        <v>1.0016438156019123E-159</v>
      </c>
      <c r="AF136" s="3">
        <f t="shared" si="46"/>
        <v>0</v>
      </c>
    </row>
    <row r="137" spans="1:33" x14ac:dyDescent="0.25">
      <c r="B137" s="3">
        <f t="shared" ref="B137:Z137" si="51">$C23*EXP(-B$129/$A23/EXP(-$B$126))</f>
        <v>3.4402319244329078E-2</v>
      </c>
      <c r="C137" s="3">
        <f t="shared" si="51"/>
        <v>3.4402319244329078E-2</v>
      </c>
      <c r="D137" s="3">
        <f t="shared" si="51"/>
        <v>3.4402319244329078E-2</v>
      </c>
      <c r="E137" s="3">
        <f t="shared" si="51"/>
        <v>3.4402319244329078E-2</v>
      </c>
      <c r="F137" s="3">
        <f t="shared" si="51"/>
        <v>3.4402319244329078E-2</v>
      </c>
      <c r="G137" s="3">
        <f t="shared" si="51"/>
        <v>3.4402319244329078E-2</v>
      </c>
      <c r="H137" s="3">
        <f t="shared" si="51"/>
        <v>3.4402319244329078E-2</v>
      </c>
      <c r="I137" s="3">
        <f t="shared" si="51"/>
        <v>3.4402319244329078E-2</v>
      </c>
      <c r="J137" s="3">
        <f t="shared" si="51"/>
        <v>3.4402319244329078E-2</v>
      </c>
      <c r="K137" s="3">
        <f t="shared" si="51"/>
        <v>3.4402319244329078E-2</v>
      </c>
      <c r="L137" s="3">
        <f t="shared" si="51"/>
        <v>3.4402319244329078E-2</v>
      </c>
      <c r="M137" s="3">
        <f t="shared" si="51"/>
        <v>3.4402319244329078E-2</v>
      </c>
      <c r="N137" s="3">
        <f t="shared" si="51"/>
        <v>3.4402319244329065E-2</v>
      </c>
      <c r="O137" s="3">
        <f t="shared" si="51"/>
        <v>3.4402319244328967E-2</v>
      </c>
      <c r="P137" s="3">
        <f t="shared" si="51"/>
        <v>3.4402319244327954E-2</v>
      </c>
      <c r="Q137" s="3">
        <f t="shared" si="51"/>
        <v>3.4402319244317824E-2</v>
      </c>
      <c r="R137" s="3">
        <f t="shared" si="51"/>
        <v>3.440231924421653E-2</v>
      </c>
      <c r="S137" s="3">
        <f t="shared" si="51"/>
        <v>3.4402319243203562E-2</v>
      </c>
      <c r="T137" s="3">
        <f t="shared" si="51"/>
        <v>3.4402319233073915E-2</v>
      </c>
      <c r="U137" s="3">
        <f t="shared" si="51"/>
        <v>3.4402319131777423E-2</v>
      </c>
      <c r="V137" s="3">
        <f t="shared" si="51"/>
        <v>3.440231811881251E-2</v>
      </c>
      <c r="W137" s="3">
        <f t="shared" si="51"/>
        <v>3.4402307989165021E-2</v>
      </c>
      <c r="X137" s="3">
        <f t="shared" si="51"/>
        <v>3.4402206692854195E-2</v>
      </c>
      <c r="Y137" s="3">
        <f t="shared" si="51"/>
        <v>3.4401193746150312E-2</v>
      </c>
      <c r="Z137" s="3">
        <f t="shared" si="51"/>
        <v>3.4391065919365874E-2</v>
      </c>
      <c r="AA137" s="3">
        <f t="shared" ref="AA137" si="52">$C23*EXP(-AA$129/$A23/EXP(-$B$126))</f>
        <v>3.4289951498406676E-2</v>
      </c>
      <c r="AB137" s="3">
        <f t="shared" si="46"/>
        <v>3.3295014871066064E-2</v>
      </c>
      <c r="AC137" s="3">
        <f t="shared" si="46"/>
        <v>2.4802909977279252E-2</v>
      </c>
      <c r="AD137" s="3">
        <f t="shared" si="46"/>
        <v>1.3053797607000513E-3</v>
      </c>
      <c r="AE137" s="3">
        <f t="shared" si="46"/>
        <v>2.1285274423439397E-16</v>
      </c>
      <c r="AF137" s="3">
        <f t="shared" si="46"/>
        <v>2.828153923799692E-144</v>
      </c>
    </row>
    <row r="138" spans="1:33" x14ac:dyDescent="0.25">
      <c r="B138" s="3">
        <f t="shared" ref="B138:Z138" si="53">$C24*EXP(-B$129/$A24/EXP(-$B$126))</f>
        <v>4.0521812648841492E-2</v>
      </c>
      <c r="C138" s="3">
        <f t="shared" si="53"/>
        <v>4.0521812648841492E-2</v>
      </c>
      <c r="D138" s="3">
        <f t="shared" si="53"/>
        <v>4.0521812648841492E-2</v>
      </c>
      <c r="E138" s="3">
        <f t="shared" si="53"/>
        <v>4.0521812648841492E-2</v>
      </c>
      <c r="F138" s="3">
        <f t="shared" si="53"/>
        <v>4.0521812648841492E-2</v>
      </c>
      <c r="G138" s="3">
        <f t="shared" si="53"/>
        <v>4.0521812648841492E-2</v>
      </c>
      <c r="H138" s="3">
        <f t="shared" si="53"/>
        <v>4.0521812648841492E-2</v>
      </c>
      <c r="I138" s="3">
        <f t="shared" si="53"/>
        <v>4.0521812648841492E-2</v>
      </c>
      <c r="J138" s="3">
        <f t="shared" si="53"/>
        <v>4.0521812648841492E-2</v>
      </c>
      <c r="K138" s="3">
        <f t="shared" si="53"/>
        <v>4.0521812648841492E-2</v>
      </c>
      <c r="L138" s="3">
        <f t="shared" si="53"/>
        <v>4.0521812648841492E-2</v>
      </c>
      <c r="M138" s="3">
        <f t="shared" si="53"/>
        <v>4.0521812648841492E-2</v>
      </c>
      <c r="N138" s="3">
        <f t="shared" si="53"/>
        <v>4.0521812648841492E-2</v>
      </c>
      <c r="O138" s="3">
        <f t="shared" si="53"/>
        <v>4.0521812648841478E-2</v>
      </c>
      <c r="P138" s="3">
        <f t="shared" si="53"/>
        <v>4.0521812648841367E-2</v>
      </c>
      <c r="Q138" s="3">
        <f t="shared" si="53"/>
        <v>4.0521812648840298E-2</v>
      </c>
      <c r="R138" s="3">
        <f t="shared" si="53"/>
        <v>4.0521812648829536E-2</v>
      </c>
      <c r="S138" s="3">
        <f t="shared" si="53"/>
        <v>4.05218126487219E-2</v>
      </c>
      <c r="T138" s="3">
        <f t="shared" si="53"/>
        <v>4.052181264764558E-2</v>
      </c>
      <c r="U138" s="3">
        <f t="shared" si="53"/>
        <v>4.0521812636882357E-2</v>
      </c>
      <c r="V138" s="3">
        <f t="shared" si="53"/>
        <v>4.0521812529250176E-2</v>
      </c>
      <c r="W138" s="3">
        <f t="shared" si="53"/>
        <v>4.052181145292838E-2</v>
      </c>
      <c r="X138" s="3">
        <f t="shared" si="53"/>
        <v>4.0521800689711951E-2</v>
      </c>
      <c r="Y138" s="3">
        <f t="shared" si="53"/>
        <v>4.0521693057704887E-2</v>
      </c>
      <c r="Z138" s="3">
        <f t="shared" si="53"/>
        <v>4.0520616753357913E-2</v>
      </c>
      <c r="AA138" s="3">
        <f t="shared" ref="AA138" si="54">$C24*EXP(-AA$129/$A24/EXP(-$B$126))</f>
        <v>4.0509855282098661E-2</v>
      </c>
      <c r="AB138" s="3">
        <f t="shared" si="46"/>
        <v>4.0402397636151749E-2</v>
      </c>
      <c r="AC138" s="3">
        <f t="shared" si="46"/>
        <v>3.9343374570326668E-2</v>
      </c>
      <c r="AD138" s="3">
        <f t="shared" si="46"/>
        <v>3.016590073114479E-2</v>
      </c>
      <c r="AE138" s="3">
        <f t="shared" si="46"/>
        <v>2.1181816289242818E-3</v>
      </c>
      <c r="AF138" s="3">
        <f t="shared" si="46"/>
        <v>6.1720891750442155E-15</v>
      </c>
    </row>
    <row r="139" spans="1:33" x14ac:dyDescent="0.25">
      <c r="B139" s="3">
        <f t="shared" ref="B139:Z139" si="55">$C25*EXP(-B$129/$A25/EXP(-$B$126))</f>
        <v>4.571082615945813E-2</v>
      </c>
      <c r="C139" s="3">
        <f t="shared" si="55"/>
        <v>4.571082615945813E-2</v>
      </c>
      <c r="D139" s="3">
        <f t="shared" si="55"/>
        <v>4.571082615945813E-2</v>
      </c>
      <c r="E139" s="3">
        <f t="shared" si="55"/>
        <v>4.571082615945813E-2</v>
      </c>
      <c r="F139" s="3">
        <f t="shared" si="55"/>
        <v>4.571082615945813E-2</v>
      </c>
      <c r="G139" s="3">
        <f t="shared" si="55"/>
        <v>4.571082615945813E-2</v>
      </c>
      <c r="H139" s="3">
        <f t="shared" si="55"/>
        <v>4.571082615945813E-2</v>
      </c>
      <c r="I139" s="3">
        <f t="shared" si="55"/>
        <v>4.571082615945813E-2</v>
      </c>
      <c r="J139" s="3">
        <f t="shared" si="55"/>
        <v>4.571082615945813E-2</v>
      </c>
      <c r="K139" s="3">
        <f t="shared" si="55"/>
        <v>4.571082615945813E-2</v>
      </c>
      <c r="L139" s="3">
        <f t="shared" si="55"/>
        <v>4.571082615945813E-2</v>
      </c>
      <c r="M139" s="3">
        <f t="shared" si="55"/>
        <v>4.571082615945813E-2</v>
      </c>
      <c r="N139" s="3">
        <f t="shared" si="55"/>
        <v>4.571082615945813E-2</v>
      </c>
      <c r="O139" s="3">
        <f t="shared" si="55"/>
        <v>4.571082615945813E-2</v>
      </c>
      <c r="P139" s="3">
        <f t="shared" si="55"/>
        <v>4.5710826159458123E-2</v>
      </c>
      <c r="Q139" s="3">
        <f t="shared" si="55"/>
        <v>4.5710826159458005E-2</v>
      </c>
      <c r="R139" s="3">
        <f t="shared" si="55"/>
        <v>4.5710826159456909E-2</v>
      </c>
      <c r="S139" s="3">
        <f t="shared" si="55"/>
        <v>4.5710826159445959E-2</v>
      </c>
      <c r="T139" s="3">
        <f t="shared" si="55"/>
        <v>4.5710826159336436E-2</v>
      </c>
      <c r="U139" s="3">
        <f t="shared" si="55"/>
        <v>4.5710826158241166E-2</v>
      </c>
      <c r="V139" s="3">
        <f t="shared" si="55"/>
        <v>4.5710826147288525E-2</v>
      </c>
      <c r="W139" s="3">
        <f t="shared" si="55"/>
        <v>4.5710826037762095E-2</v>
      </c>
      <c r="X139" s="3">
        <f t="shared" si="55"/>
        <v>4.5710824942497792E-2</v>
      </c>
      <c r="Y139" s="3">
        <f t="shared" si="55"/>
        <v>4.5710813989856165E-2</v>
      </c>
      <c r="Z139" s="3">
        <f t="shared" si="55"/>
        <v>4.5710704463584287E-2</v>
      </c>
      <c r="AA139" s="3">
        <f t="shared" ref="AA139" si="56">$C25*EXP(-AA$129/$A25/EXP(-$B$126))</f>
        <v>4.5709609215299186E-2</v>
      </c>
      <c r="AB139" s="3">
        <f t="shared" si="46"/>
        <v>4.5698658175688717E-2</v>
      </c>
      <c r="AC139" s="3">
        <f t="shared" si="46"/>
        <v>4.5589291975770593E-2</v>
      </c>
      <c r="AD139" s="3">
        <f t="shared" si="46"/>
        <v>4.4509922573798655E-2</v>
      </c>
      <c r="AE139" s="3">
        <f t="shared" si="46"/>
        <v>3.50265007758572E-2</v>
      </c>
      <c r="AF139" s="3">
        <f t="shared" si="46"/>
        <v>3.190038242835896E-3</v>
      </c>
    </row>
    <row r="140" spans="1:33" x14ac:dyDescent="0.25">
      <c r="B140" s="3">
        <f t="shared" ref="B140:Z140" si="57">$C26*EXP(-B$129/$A26/EXP(-$B$126))</f>
        <v>5.619956404185248E-2</v>
      </c>
      <c r="C140" s="3">
        <f t="shared" si="57"/>
        <v>5.619956404185248E-2</v>
      </c>
      <c r="D140" s="3">
        <f t="shared" si="57"/>
        <v>5.619956404185248E-2</v>
      </c>
      <c r="E140" s="3">
        <f t="shared" si="57"/>
        <v>5.619956404185248E-2</v>
      </c>
      <c r="F140" s="3">
        <f t="shared" si="57"/>
        <v>5.619956404185248E-2</v>
      </c>
      <c r="G140" s="3">
        <f t="shared" si="57"/>
        <v>5.619956404185248E-2</v>
      </c>
      <c r="H140" s="3">
        <f t="shared" si="57"/>
        <v>5.619956404185248E-2</v>
      </c>
      <c r="I140" s="3">
        <f t="shared" si="57"/>
        <v>5.619956404185248E-2</v>
      </c>
      <c r="J140" s="3">
        <f t="shared" si="57"/>
        <v>5.619956404185248E-2</v>
      </c>
      <c r="K140" s="3">
        <f t="shared" si="57"/>
        <v>5.619956404185248E-2</v>
      </c>
      <c r="L140" s="3">
        <f t="shared" si="57"/>
        <v>5.619956404185248E-2</v>
      </c>
      <c r="M140" s="3">
        <f t="shared" si="57"/>
        <v>5.619956404185248E-2</v>
      </c>
      <c r="N140" s="3">
        <f t="shared" si="57"/>
        <v>5.619956404185248E-2</v>
      </c>
      <c r="O140" s="3">
        <f t="shared" si="57"/>
        <v>5.619956404185248E-2</v>
      </c>
      <c r="P140" s="3">
        <f t="shared" si="57"/>
        <v>5.619956404185248E-2</v>
      </c>
      <c r="Q140" s="3">
        <f t="shared" si="57"/>
        <v>5.6199564041852466E-2</v>
      </c>
      <c r="R140" s="3">
        <f t="shared" si="57"/>
        <v>5.6199564041852342E-2</v>
      </c>
      <c r="S140" s="3">
        <f t="shared" si="57"/>
        <v>5.6199564041851134E-2</v>
      </c>
      <c r="T140" s="3">
        <f t="shared" si="57"/>
        <v>5.6199564041838984E-2</v>
      </c>
      <c r="U140" s="3">
        <f t="shared" si="57"/>
        <v>5.6199564041717512E-2</v>
      </c>
      <c r="V140" s="3">
        <f t="shared" si="57"/>
        <v>5.6199564040502775E-2</v>
      </c>
      <c r="W140" s="3">
        <f t="shared" si="57"/>
        <v>5.6199564028355492E-2</v>
      </c>
      <c r="X140" s="3">
        <f t="shared" si="57"/>
        <v>5.6199563906882591E-2</v>
      </c>
      <c r="Y140" s="3">
        <f t="shared" si="57"/>
        <v>5.6199562692153579E-2</v>
      </c>
      <c r="Z140" s="3">
        <f t="shared" si="57"/>
        <v>5.619955054486496E-2</v>
      </c>
      <c r="AA140" s="3">
        <f t="shared" ref="AA140" si="58">$C26*EXP(-AA$129/$A26/EXP(-$B$126))</f>
        <v>5.6199429072123122E-2</v>
      </c>
      <c r="AB140" s="3">
        <f t="shared" si="46"/>
        <v>5.6198214359145328E-2</v>
      </c>
      <c r="AC140" s="3">
        <f t="shared" si="46"/>
        <v>5.6186068673310149E-2</v>
      </c>
      <c r="AD140" s="3">
        <f t="shared" si="46"/>
        <v>5.606475609382023E-2</v>
      </c>
      <c r="AE140" s="3">
        <f t="shared" si="46"/>
        <v>5.4865943463782034E-2</v>
      </c>
      <c r="AF140" s="3">
        <f t="shared" si="46"/>
        <v>4.4200990018448454E-2</v>
      </c>
    </row>
    <row r="141" spans="1:33" x14ac:dyDescent="0.25">
      <c r="B141" s="3">
        <f t="shared" ref="B141:Z141" si="59">$C27*EXP(-B$129/$A27/EXP(-$B$126))</f>
        <v>6.8321253158217701E-2</v>
      </c>
      <c r="C141" s="3">
        <f t="shared" si="59"/>
        <v>6.8321253158217701E-2</v>
      </c>
      <c r="D141" s="3">
        <f t="shared" si="59"/>
        <v>6.8321253158217701E-2</v>
      </c>
      <c r="E141" s="3">
        <f t="shared" si="59"/>
        <v>6.8321253158217701E-2</v>
      </c>
      <c r="F141" s="3">
        <f t="shared" si="59"/>
        <v>6.8321253158217701E-2</v>
      </c>
      <c r="G141" s="3">
        <f t="shared" si="59"/>
        <v>6.8321253158217701E-2</v>
      </c>
      <c r="H141" s="3">
        <f t="shared" si="59"/>
        <v>6.8321253158217701E-2</v>
      </c>
      <c r="I141" s="3">
        <f t="shared" si="59"/>
        <v>6.8321253158217701E-2</v>
      </c>
      <c r="J141" s="3">
        <f t="shared" si="59"/>
        <v>6.8321253158217701E-2</v>
      </c>
      <c r="K141" s="3">
        <f t="shared" si="59"/>
        <v>6.8321253158217701E-2</v>
      </c>
      <c r="L141" s="3">
        <f t="shared" si="59"/>
        <v>6.8321253158217701E-2</v>
      </c>
      <c r="M141" s="3">
        <f t="shared" si="59"/>
        <v>6.8321253158217701E-2</v>
      </c>
      <c r="N141" s="3">
        <f t="shared" si="59"/>
        <v>6.8321253158217701E-2</v>
      </c>
      <c r="O141" s="3">
        <f t="shared" si="59"/>
        <v>6.8321253158217701E-2</v>
      </c>
      <c r="P141" s="3">
        <f t="shared" si="59"/>
        <v>6.8321253158217701E-2</v>
      </c>
      <c r="Q141" s="3">
        <f t="shared" si="59"/>
        <v>6.8321253158217701E-2</v>
      </c>
      <c r="R141" s="3">
        <f t="shared" si="59"/>
        <v>6.8321253158217687E-2</v>
      </c>
      <c r="S141" s="3">
        <f t="shared" si="59"/>
        <v>6.8321253158217549E-2</v>
      </c>
      <c r="T141" s="3">
        <f t="shared" si="59"/>
        <v>6.8321253158216216E-2</v>
      </c>
      <c r="U141" s="3">
        <f t="shared" si="59"/>
        <v>6.8321253158202908E-2</v>
      </c>
      <c r="V141" s="3">
        <f t="shared" si="59"/>
        <v>6.8321253158069681E-2</v>
      </c>
      <c r="W141" s="3">
        <f t="shared" si="59"/>
        <v>6.8321253156737552E-2</v>
      </c>
      <c r="X141" s="3">
        <f t="shared" si="59"/>
        <v>6.832125314341618E-2</v>
      </c>
      <c r="Y141" s="3">
        <f t="shared" si="59"/>
        <v>6.832125301020249E-2</v>
      </c>
      <c r="Z141" s="3">
        <f t="shared" si="59"/>
        <v>6.8321251678065548E-2</v>
      </c>
      <c r="AA141" s="3">
        <f t="shared" ref="AA141" si="60">$C27*EXP(-AA$129/$A27/EXP(-$B$126))</f>
        <v>6.8321238356697594E-2</v>
      </c>
      <c r="AB141" s="3">
        <f t="shared" si="46"/>
        <v>6.8321105143160935E-2</v>
      </c>
      <c r="AC141" s="3">
        <f t="shared" si="46"/>
        <v>6.8319773022080019E-2</v>
      </c>
      <c r="AD141" s="3">
        <f t="shared" si="46"/>
        <v>6.8306453239736456E-2</v>
      </c>
      <c r="AE141" s="3">
        <f t="shared" si="46"/>
        <v>6.8173398159867088E-2</v>
      </c>
      <c r="AF141" s="3">
        <f t="shared" si="46"/>
        <v>6.685701927304924E-2</v>
      </c>
    </row>
    <row r="142" spans="1:33" x14ac:dyDescent="0.25">
      <c r="B142" s="3">
        <f t="shared" ref="B142:Z142" si="61">$C28*EXP(-B$129/$A28/EXP(-$B$126))</f>
        <v>7.2516023247876399E-2</v>
      </c>
      <c r="C142" s="3">
        <f t="shared" si="61"/>
        <v>7.2516023247876399E-2</v>
      </c>
      <c r="D142" s="3">
        <f t="shared" si="61"/>
        <v>7.2516023247876399E-2</v>
      </c>
      <c r="E142" s="3">
        <f t="shared" si="61"/>
        <v>7.2516023247876399E-2</v>
      </c>
      <c r="F142" s="3">
        <f t="shared" si="61"/>
        <v>7.2516023247876399E-2</v>
      </c>
      <c r="G142" s="3">
        <f t="shared" si="61"/>
        <v>7.2516023247876399E-2</v>
      </c>
      <c r="H142" s="3">
        <f t="shared" si="61"/>
        <v>7.2516023247876399E-2</v>
      </c>
      <c r="I142" s="3">
        <f t="shared" si="61"/>
        <v>7.2516023247876399E-2</v>
      </c>
      <c r="J142" s="3">
        <f t="shared" si="61"/>
        <v>7.2516023247876399E-2</v>
      </c>
      <c r="K142" s="3">
        <f t="shared" si="61"/>
        <v>7.2516023247876399E-2</v>
      </c>
      <c r="L142" s="3">
        <f t="shared" si="61"/>
        <v>7.2516023247876399E-2</v>
      </c>
      <c r="M142" s="3">
        <f t="shared" si="61"/>
        <v>7.2516023247876399E-2</v>
      </c>
      <c r="N142" s="3">
        <f t="shared" si="61"/>
        <v>7.2516023247876399E-2</v>
      </c>
      <c r="O142" s="3">
        <f t="shared" si="61"/>
        <v>7.2516023247876399E-2</v>
      </c>
      <c r="P142" s="3">
        <f t="shared" si="61"/>
        <v>7.2516023247876399E-2</v>
      </c>
      <c r="Q142" s="3">
        <f t="shared" si="61"/>
        <v>7.2516023247876399E-2</v>
      </c>
      <c r="R142" s="3">
        <f t="shared" si="61"/>
        <v>7.2516023247876399E-2</v>
      </c>
      <c r="S142" s="3">
        <f t="shared" si="61"/>
        <v>7.2516023247876385E-2</v>
      </c>
      <c r="T142" s="3">
        <f t="shared" si="61"/>
        <v>7.251602324787626E-2</v>
      </c>
      <c r="U142" s="3">
        <f t="shared" si="61"/>
        <v>7.2516023247874983E-2</v>
      </c>
      <c r="V142" s="3">
        <f t="shared" si="61"/>
        <v>7.251602324786223E-2</v>
      </c>
      <c r="W142" s="3">
        <f t="shared" si="61"/>
        <v>7.2516023247734679E-2</v>
      </c>
      <c r="X142" s="3">
        <f t="shared" si="61"/>
        <v>7.2516023246459199E-2</v>
      </c>
      <c r="Y142" s="3">
        <f t="shared" si="61"/>
        <v>7.2516023233704402E-2</v>
      </c>
      <c r="Z142" s="3">
        <f t="shared" si="61"/>
        <v>7.2516023106156402E-2</v>
      </c>
      <c r="AA142" s="3">
        <f t="shared" ref="AA142" si="62">$C28*EXP(-AA$129/$A28/EXP(-$B$126))</f>
        <v>7.2516021830676514E-2</v>
      </c>
      <c r="AB142" s="3">
        <f t="shared" si="46"/>
        <v>7.2516009075878782E-2</v>
      </c>
      <c r="AC142" s="3">
        <f t="shared" si="46"/>
        <v>7.2515881528024795E-2</v>
      </c>
      <c r="AD142" s="3">
        <f t="shared" si="46"/>
        <v>7.2514606061823708E-2</v>
      </c>
      <c r="AE142" s="3">
        <f t="shared" si="46"/>
        <v>7.2501852633612307E-2</v>
      </c>
      <c r="AF142" s="3">
        <f t="shared" si="46"/>
        <v>7.237444165118076E-2</v>
      </c>
    </row>
    <row r="143" spans="1:33" x14ac:dyDescent="0.25">
      <c r="B143" s="3">
        <f t="shared" ref="B143:Z143" si="63">$C29*EXP(-B$129/$A29/EXP(-$B$126))</f>
        <v>6.0357732330784487E-2</v>
      </c>
      <c r="C143" s="3">
        <f t="shared" si="63"/>
        <v>6.0357732330784487E-2</v>
      </c>
      <c r="D143" s="3">
        <f t="shared" si="63"/>
        <v>6.0357732330784487E-2</v>
      </c>
      <c r="E143" s="3">
        <f t="shared" si="63"/>
        <v>6.0357732330784487E-2</v>
      </c>
      <c r="F143" s="3">
        <f t="shared" si="63"/>
        <v>6.0357732330784487E-2</v>
      </c>
      <c r="G143" s="3">
        <f t="shared" si="63"/>
        <v>6.0357732330784487E-2</v>
      </c>
      <c r="H143" s="3">
        <f t="shared" si="63"/>
        <v>6.0357732330784487E-2</v>
      </c>
      <c r="I143" s="3">
        <f t="shared" si="63"/>
        <v>6.0357732330784487E-2</v>
      </c>
      <c r="J143" s="3">
        <f t="shared" si="63"/>
        <v>6.0357732330784487E-2</v>
      </c>
      <c r="K143" s="3">
        <f t="shared" si="63"/>
        <v>6.0357732330784487E-2</v>
      </c>
      <c r="L143" s="3">
        <f t="shared" si="63"/>
        <v>6.0357732330784487E-2</v>
      </c>
      <c r="M143" s="3">
        <f t="shared" si="63"/>
        <v>6.0357732330784487E-2</v>
      </c>
      <c r="N143" s="3">
        <f t="shared" si="63"/>
        <v>6.0357732330784487E-2</v>
      </c>
      <c r="O143" s="3">
        <f t="shared" si="63"/>
        <v>6.0357732330784487E-2</v>
      </c>
      <c r="P143" s="3">
        <f t="shared" si="63"/>
        <v>6.0357732330784487E-2</v>
      </c>
      <c r="Q143" s="3">
        <f t="shared" si="63"/>
        <v>6.0357732330784487E-2</v>
      </c>
      <c r="R143" s="3">
        <f t="shared" si="63"/>
        <v>6.0357732330784487E-2</v>
      </c>
      <c r="S143" s="3">
        <f t="shared" si="63"/>
        <v>6.0357732330784487E-2</v>
      </c>
      <c r="T143" s="3">
        <f t="shared" si="63"/>
        <v>6.0357732330784473E-2</v>
      </c>
      <c r="U143" s="3">
        <f t="shared" si="63"/>
        <v>6.0357732330784383E-2</v>
      </c>
      <c r="V143" s="3">
        <f t="shared" si="63"/>
        <v>6.0357732330783419E-2</v>
      </c>
      <c r="W143" s="3">
        <f t="shared" si="63"/>
        <v>6.0357732330773843E-2</v>
      </c>
      <c r="X143" s="3">
        <f t="shared" si="63"/>
        <v>6.0357732330678079E-2</v>
      </c>
      <c r="Y143" s="3">
        <f t="shared" si="63"/>
        <v>6.0357732329720401E-2</v>
      </c>
      <c r="Z143" s="3">
        <f t="shared" si="63"/>
        <v>6.0357732320143631E-2</v>
      </c>
      <c r="AA143" s="3">
        <f t="shared" ref="AA143" si="64">$C29*EXP(-AA$129/$A29/EXP(-$B$126))</f>
        <v>6.0357732224375911E-2</v>
      </c>
      <c r="AB143" s="3">
        <f t="shared" si="46"/>
        <v>6.0357731266698723E-2</v>
      </c>
      <c r="AC143" s="3">
        <f t="shared" si="46"/>
        <v>6.0357721689927625E-2</v>
      </c>
      <c r="AD143" s="3">
        <f t="shared" si="46"/>
        <v>6.0357625922300297E-2</v>
      </c>
      <c r="AE143" s="3">
        <f t="shared" si="46"/>
        <v>6.0356668254384238E-2</v>
      </c>
      <c r="AF143" s="3">
        <f t="shared" si="46"/>
        <v>6.0347092410903198E-2</v>
      </c>
    </row>
    <row r="144" spans="1:33" x14ac:dyDescent="0.25">
      <c r="B144" s="3">
        <f t="shared" ref="B144:Z144" si="65">$C30*EXP(-B$129/$A30/EXP(-$B$126))</f>
        <v>3.7953571045142992E-2</v>
      </c>
      <c r="C144" s="3">
        <f t="shared" si="65"/>
        <v>3.7953571045142992E-2</v>
      </c>
      <c r="D144" s="3">
        <f t="shared" si="65"/>
        <v>3.7953571045142992E-2</v>
      </c>
      <c r="E144" s="3">
        <f t="shared" si="65"/>
        <v>3.7953571045142992E-2</v>
      </c>
      <c r="F144" s="3">
        <f t="shared" si="65"/>
        <v>3.7953571045142992E-2</v>
      </c>
      <c r="G144" s="3">
        <f t="shared" si="65"/>
        <v>3.7953571045142992E-2</v>
      </c>
      <c r="H144" s="3">
        <f t="shared" si="65"/>
        <v>3.7953571045142992E-2</v>
      </c>
      <c r="I144" s="3">
        <f t="shared" si="65"/>
        <v>3.7953571045142992E-2</v>
      </c>
      <c r="J144" s="3">
        <f t="shared" si="65"/>
        <v>3.7953571045142992E-2</v>
      </c>
      <c r="K144" s="3">
        <f t="shared" si="65"/>
        <v>3.7953571045142992E-2</v>
      </c>
      <c r="L144" s="3">
        <f t="shared" si="65"/>
        <v>3.7953571045142992E-2</v>
      </c>
      <c r="M144" s="3">
        <f t="shared" si="65"/>
        <v>3.7953571045142992E-2</v>
      </c>
      <c r="N144" s="3">
        <f t="shared" si="65"/>
        <v>3.7953571045142992E-2</v>
      </c>
      <c r="O144" s="3">
        <f t="shared" si="65"/>
        <v>3.7953571045142992E-2</v>
      </c>
      <c r="P144" s="3">
        <f t="shared" si="65"/>
        <v>3.7953571045142992E-2</v>
      </c>
      <c r="Q144" s="3">
        <f t="shared" si="65"/>
        <v>3.7953571045142992E-2</v>
      </c>
      <c r="R144" s="3">
        <f t="shared" si="65"/>
        <v>3.7953571045142992E-2</v>
      </c>
      <c r="S144" s="3">
        <f t="shared" si="65"/>
        <v>3.7953571045142992E-2</v>
      </c>
      <c r="T144" s="3">
        <f t="shared" si="65"/>
        <v>3.7953571045142992E-2</v>
      </c>
      <c r="U144" s="3">
        <f t="shared" si="65"/>
        <v>3.7953571045142985E-2</v>
      </c>
      <c r="V144" s="3">
        <f t="shared" si="65"/>
        <v>3.795357104514293E-2</v>
      </c>
      <c r="W144" s="3">
        <f t="shared" si="65"/>
        <v>3.7953571045142388E-2</v>
      </c>
      <c r="X144" s="3">
        <f t="shared" si="65"/>
        <v>3.7953571045136955E-2</v>
      </c>
      <c r="Y144" s="3">
        <f t="shared" si="65"/>
        <v>3.7953571045082631E-2</v>
      </c>
      <c r="Z144" s="3">
        <f t="shared" si="65"/>
        <v>3.7953571044539398E-2</v>
      </c>
      <c r="AA144" s="3">
        <f t="shared" ref="AA144" si="66">$C30*EXP(-AA$129/$A30/EXP(-$B$126))</f>
        <v>3.7953571039107077E-2</v>
      </c>
      <c r="AB144" s="3">
        <f t="shared" ref="AB144:AF153" si="67">$C30*EXP(-AB$129/$A30/EXP(-$B$126))</f>
        <v>3.7953570984783865E-2</v>
      </c>
      <c r="AC144" s="3">
        <f t="shared" si="67"/>
        <v>3.7953570441551711E-2</v>
      </c>
      <c r="AD144" s="3">
        <f t="shared" si="67"/>
        <v>3.7953565009230618E-2</v>
      </c>
      <c r="AE144" s="3">
        <f t="shared" si="67"/>
        <v>3.7953510686062494E-2</v>
      </c>
      <c r="AF144" s="3">
        <f t="shared" si="67"/>
        <v>3.7952967458657637E-2</v>
      </c>
    </row>
    <row r="145" spans="1:32" x14ac:dyDescent="0.25">
      <c r="B145" s="3">
        <f t="shared" ref="B145:Z145" si="68">$C31*EXP(-B$129/$A31/EXP(-$B$126))</f>
        <v>1.9899360219970862E-2</v>
      </c>
      <c r="C145" s="3">
        <f t="shared" si="68"/>
        <v>1.9899360219970862E-2</v>
      </c>
      <c r="D145" s="3">
        <f t="shared" si="68"/>
        <v>1.9899360219970862E-2</v>
      </c>
      <c r="E145" s="3">
        <f t="shared" si="68"/>
        <v>1.9899360219970862E-2</v>
      </c>
      <c r="F145" s="3">
        <f t="shared" si="68"/>
        <v>1.9899360219970862E-2</v>
      </c>
      <c r="G145" s="3">
        <f t="shared" si="68"/>
        <v>1.9899360219970862E-2</v>
      </c>
      <c r="H145" s="3">
        <f t="shared" si="68"/>
        <v>1.9899360219970862E-2</v>
      </c>
      <c r="I145" s="3">
        <f t="shared" si="68"/>
        <v>1.9899360219970862E-2</v>
      </c>
      <c r="J145" s="3">
        <f t="shared" si="68"/>
        <v>1.9899360219970862E-2</v>
      </c>
      <c r="K145" s="3">
        <f t="shared" si="68"/>
        <v>1.9899360219970862E-2</v>
      </c>
      <c r="L145" s="3">
        <f t="shared" si="68"/>
        <v>1.9899360219970862E-2</v>
      </c>
      <c r="M145" s="3">
        <f t="shared" si="68"/>
        <v>1.9899360219970862E-2</v>
      </c>
      <c r="N145" s="3">
        <f t="shared" si="68"/>
        <v>1.9899360219970862E-2</v>
      </c>
      <c r="O145" s="3">
        <f t="shared" si="68"/>
        <v>1.9899360219970862E-2</v>
      </c>
      <c r="P145" s="3">
        <f t="shared" si="68"/>
        <v>1.9899360219970862E-2</v>
      </c>
      <c r="Q145" s="3">
        <f t="shared" si="68"/>
        <v>1.9899360219970862E-2</v>
      </c>
      <c r="R145" s="3">
        <f t="shared" si="68"/>
        <v>1.9899360219970862E-2</v>
      </c>
      <c r="S145" s="3">
        <f t="shared" si="68"/>
        <v>1.9899360219970862E-2</v>
      </c>
      <c r="T145" s="3">
        <f t="shared" si="68"/>
        <v>1.9899360219970862E-2</v>
      </c>
      <c r="U145" s="3">
        <f t="shared" si="68"/>
        <v>1.9899360219970862E-2</v>
      </c>
      <c r="V145" s="3">
        <f t="shared" si="68"/>
        <v>1.9899360219970859E-2</v>
      </c>
      <c r="W145" s="3">
        <f t="shared" si="68"/>
        <v>1.9899360219970835E-2</v>
      </c>
      <c r="X145" s="3">
        <f t="shared" si="68"/>
        <v>1.9899360219970578E-2</v>
      </c>
      <c r="Y145" s="3">
        <f t="shared" si="68"/>
        <v>1.9899360219968007E-2</v>
      </c>
      <c r="Z145" s="3">
        <f t="shared" si="68"/>
        <v>1.9899360219942316E-2</v>
      </c>
      <c r="AA145" s="3">
        <f t="shared" ref="AA145" si="69">$C31*EXP(-AA$129/$A31/EXP(-$B$126))</f>
        <v>1.9899360219685382E-2</v>
      </c>
      <c r="AB145" s="3">
        <f t="shared" si="67"/>
        <v>1.9899360217116059E-2</v>
      </c>
      <c r="AC145" s="3">
        <f t="shared" si="67"/>
        <v>1.9899360191422841E-2</v>
      </c>
      <c r="AD145" s="3">
        <f t="shared" si="67"/>
        <v>1.9899359934490646E-2</v>
      </c>
      <c r="AE145" s="3">
        <f t="shared" si="67"/>
        <v>1.9899357365168884E-2</v>
      </c>
      <c r="AF145" s="3">
        <f t="shared" si="67"/>
        <v>1.9899331671969504E-2</v>
      </c>
    </row>
    <row r="146" spans="1:32" x14ac:dyDescent="0.25">
      <c r="B146" s="3">
        <f t="shared" ref="B146:Z146" si="70">$C32*EXP(-B$129/$A32/EXP(-$B$126))</f>
        <v>1.0036367698219981E-2</v>
      </c>
      <c r="C146" s="3">
        <f t="shared" si="70"/>
        <v>1.0036367698219981E-2</v>
      </c>
      <c r="D146" s="3">
        <f t="shared" si="70"/>
        <v>1.0036367698219981E-2</v>
      </c>
      <c r="E146" s="3">
        <f t="shared" si="70"/>
        <v>1.0036367698219981E-2</v>
      </c>
      <c r="F146" s="3">
        <f t="shared" si="70"/>
        <v>1.0036367698219981E-2</v>
      </c>
      <c r="G146" s="3">
        <f t="shared" si="70"/>
        <v>1.0036367698219981E-2</v>
      </c>
      <c r="H146" s="3">
        <f t="shared" si="70"/>
        <v>1.0036367698219981E-2</v>
      </c>
      <c r="I146" s="3">
        <f t="shared" si="70"/>
        <v>1.0036367698219981E-2</v>
      </c>
      <c r="J146" s="3">
        <f t="shared" si="70"/>
        <v>1.0036367698219981E-2</v>
      </c>
      <c r="K146" s="3">
        <f t="shared" si="70"/>
        <v>1.0036367698219981E-2</v>
      </c>
      <c r="L146" s="3">
        <f t="shared" si="70"/>
        <v>1.0036367698219981E-2</v>
      </c>
      <c r="M146" s="3">
        <f t="shared" si="70"/>
        <v>1.0036367698219981E-2</v>
      </c>
      <c r="N146" s="3">
        <f t="shared" si="70"/>
        <v>1.0036367698219981E-2</v>
      </c>
      <c r="O146" s="3">
        <f t="shared" si="70"/>
        <v>1.0036367698219981E-2</v>
      </c>
      <c r="P146" s="3">
        <f t="shared" si="70"/>
        <v>1.0036367698219981E-2</v>
      </c>
      <c r="Q146" s="3">
        <f t="shared" si="70"/>
        <v>1.0036367698219981E-2</v>
      </c>
      <c r="R146" s="3">
        <f t="shared" si="70"/>
        <v>1.0036367698219981E-2</v>
      </c>
      <c r="S146" s="3">
        <f t="shared" si="70"/>
        <v>1.0036367698219981E-2</v>
      </c>
      <c r="T146" s="3">
        <f t="shared" si="70"/>
        <v>1.0036367698219981E-2</v>
      </c>
      <c r="U146" s="3">
        <f t="shared" si="70"/>
        <v>1.0036367698219981E-2</v>
      </c>
      <c r="V146" s="3">
        <f t="shared" si="70"/>
        <v>1.0036367698219981E-2</v>
      </c>
      <c r="W146" s="3">
        <f t="shared" si="70"/>
        <v>1.0036367698219979E-2</v>
      </c>
      <c r="X146" s="3">
        <f t="shared" si="70"/>
        <v>1.0036367698219967E-2</v>
      </c>
      <c r="Y146" s="3">
        <f t="shared" si="70"/>
        <v>1.0036367698219851E-2</v>
      </c>
      <c r="Z146" s="3">
        <f t="shared" si="70"/>
        <v>1.0036367698218682E-2</v>
      </c>
      <c r="AA146" s="3">
        <f t="shared" ref="AA146" si="71">$C32*EXP(-AA$129/$A32/EXP(-$B$126))</f>
        <v>1.0036367698206991E-2</v>
      </c>
      <c r="AB146" s="3">
        <f t="shared" si="67"/>
        <v>1.0036367698090095E-2</v>
      </c>
      <c r="AC146" s="3">
        <f t="shared" si="67"/>
        <v>1.0036367696921128E-2</v>
      </c>
      <c r="AD146" s="3">
        <f t="shared" si="67"/>
        <v>1.0036367685231449E-2</v>
      </c>
      <c r="AE146" s="3">
        <f t="shared" si="67"/>
        <v>1.0036367568334663E-2</v>
      </c>
      <c r="AF146" s="3">
        <f t="shared" si="67"/>
        <v>1.0036366399366886E-2</v>
      </c>
    </row>
    <row r="147" spans="1:32" x14ac:dyDescent="0.25">
      <c r="B147" s="3">
        <f t="shared" ref="B147:Z147" si="72">$C33*EXP(-B$129/$A33/EXP(-$B$126))</f>
        <v>1.0472179826501766E-2</v>
      </c>
      <c r="C147" s="3">
        <f t="shared" si="72"/>
        <v>1.0472179826501766E-2</v>
      </c>
      <c r="D147" s="3">
        <f t="shared" si="72"/>
        <v>1.0472179826501766E-2</v>
      </c>
      <c r="E147" s="3">
        <f t="shared" si="72"/>
        <v>1.0472179826501766E-2</v>
      </c>
      <c r="F147" s="3">
        <f t="shared" si="72"/>
        <v>1.0472179826501766E-2</v>
      </c>
      <c r="G147" s="3">
        <f t="shared" si="72"/>
        <v>1.0472179826501766E-2</v>
      </c>
      <c r="H147" s="3">
        <f t="shared" si="72"/>
        <v>1.0472179826501766E-2</v>
      </c>
      <c r="I147" s="3">
        <f t="shared" si="72"/>
        <v>1.0472179826501766E-2</v>
      </c>
      <c r="J147" s="3">
        <f t="shared" si="72"/>
        <v>1.0472179826501766E-2</v>
      </c>
      <c r="K147" s="3">
        <f t="shared" si="72"/>
        <v>1.0472179826501766E-2</v>
      </c>
      <c r="L147" s="3">
        <f t="shared" si="72"/>
        <v>1.0472179826501766E-2</v>
      </c>
      <c r="M147" s="3">
        <f t="shared" si="72"/>
        <v>1.0472179826501766E-2</v>
      </c>
      <c r="N147" s="3">
        <f t="shared" si="72"/>
        <v>1.0472179826501766E-2</v>
      </c>
      <c r="O147" s="3">
        <f t="shared" si="72"/>
        <v>1.0472179826501766E-2</v>
      </c>
      <c r="P147" s="3">
        <f t="shared" si="72"/>
        <v>1.0472179826501766E-2</v>
      </c>
      <c r="Q147" s="3">
        <f t="shared" si="72"/>
        <v>1.0472179826501766E-2</v>
      </c>
      <c r="R147" s="3">
        <f t="shared" si="72"/>
        <v>1.0472179826501766E-2</v>
      </c>
      <c r="S147" s="3">
        <f t="shared" si="72"/>
        <v>1.0472179826501766E-2</v>
      </c>
      <c r="T147" s="3">
        <f t="shared" si="72"/>
        <v>1.0472179826501766E-2</v>
      </c>
      <c r="U147" s="3">
        <f t="shared" si="72"/>
        <v>1.0472179826501766E-2</v>
      </c>
      <c r="V147" s="3">
        <f t="shared" si="72"/>
        <v>1.0472179826501766E-2</v>
      </c>
      <c r="W147" s="3">
        <f t="shared" si="72"/>
        <v>1.0472179826501766E-2</v>
      </c>
      <c r="X147" s="3">
        <f t="shared" si="72"/>
        <v>1.0472179826501764E-2</v>
      </c>
      <c r="Y147" s="3">
        <f t="shared" si="72"/>
        <v>1.0472179826501754E-2</v>
      </c>
      <c r="Z147" s="3">
        <f t="shared" si="72"/>
        <v>1.0472179826501645E-2</v>
      </c>
      <c r="AA147" s="3">
        <f t="shared" ref="AA147" si="73">$C33*EXP(-AA$129/$A33/EXP(-$B$126))</f>
        <v>1.0472179826500543E-2</v>
      </c>
      <c r="AB147" s="3">
        <f t="shared" si="67"/>
        <v>1.0472179826489542E-2</v>
      </c>
      <c r="AC147" s="3">
        <f t="shared" si="67"/>
        <v>1.047217982637951E-2</v>
      </c>
      <c r="AD147" s="3">
        <f t="shared" si="67"/>
        <v>1.0472179825279215E-2</v>
      </c>
      <c r="AE147" s="3">
        <f t="shared" si="67"/>
        <v>1.047217981427625E-2</v>
      </c>
      <c r="AF147" s="3">
        <f t="shared" si="67"/>
        <v>1.0472179704246612E-2</v>
      </c>
    </row>
    <row r="148" spans="1:32" x14ac:dyDescent="0.25">
      <c r="B148" s="3">
        <f t="shared" ref="B148:Z148" si="74">$C34*EXP(-B$129/$A34/EXP(-$B$126))</f>
        <v>1.1455889373470318E-2</v>
      </c>
      <c r="C148" s="3">
        <f t="shared" si="74"/>
        <v>1.1455889373470318E-2</v>
      </c>
      <c r="D148" s="3">
        <f t="shared" si="74"/>
        <v>1.1455889373470318E-2</v>
      </c>
      <c r="E148" s="3">
        <f t="shared" si="74"/>
        <v>1.1455889373470318E-2</v>
      </c>
      <c r="F148" s="3">
        <f t="shared" si="74"/>
        <v>1.1455889373470318E-2</v>
      </c>
      <c r="G148" s="3">
        <f t="shared" si="74"/>
        <v>1.1455889373470318E-2</v>
      </c>
      <c r="H148" s="3">
        <f t="shared" si="74"/>
        <v>1.1455889373470318E-2</v>
      </c>
      <c r="I148" s="3">
        <f t="shared" si="74"/>
        <v>1.1455889373470318E-2</v>
      </c>
      <c r="J148" s="3">
        <f t="shared" si="74"/>
        <v>1.1455889373470318E-2</v>
      </c>
      <c r="K148" s="3">
        <f t="shared" si="74"/>
        <v>1.1455889373470318E-2</v>
      </c>
      <c r="L148" s="3">
        <f t="shared" si="74"/>
        <v>1.1455889373470318E-2</v>
      </c>
      <c r="M148" s="3">
        <f t="shared" si="74"/>
        <v>1.1455889373470318E-2</v>
      </c>
      <c r="N148" s="3">
        <f t="shared" si="74"/>
        <v>1.1455889373470318E-2</v>
      </c>
      <c r="O148" s="3">
        <f t="shared" si="74"/>
        <v>1.1455889373470318E-2</v>
      </c>
      <c r="P148" s="3">
        <f t="shared" si="74"/>
        <v>1.1455889373470318E-2</v>
      </c>
      <c r="Q148" s="3">
        <f t="shared" si="74"/>
        <v>1.1455889373470318E-2</v>
      </c>
      <c r="R148" s="3">
        <f t="shared" si="74"/>
        <v>1.1455889373470318E-2</v>
      </c>
      <c r="S148" s="3">
        <f t="shared" si="74"/>
        <v>1.1455889373470318E-2</v>
      </c>
      <c r="T148" s="3">
        <f t="shared" si="74"/>
        <v>1.1455889373470318E-2</v>
      </c>
      <c r="U148" s="3">
        <f t="shared" si="74"/>
        <v>1.1455889373470318E-2</v>
      </c>
      <c r="V148" s="3">
        <f t="shared" si="74"/>
        <v>1.1455889373470318E-2</v>
      </c>
      <c r="W148" s="3">
        <f t="shared" si="74"/>
        <v>1.1455889373470318E-2</v>
      </c>
      <c r="X148" s="3">
        <f t="shared" si="74"/>
        <v>1.1455889373470318E-2</v>
      </c>
      <c r="Y148" s="3">
        <f t="shared" si="74"/>
        <v>1.1455889373470316E-2</v>
      </c>
      <c r="Z148" s="3">
        <f t="shared" si="74"/>
        <v>1.1455889373470305E-2</v>
      </c>
      <c r="AA148" s="3">
        <f>$C34*EXP(-AA$129/$A34/EXP(-$B$126))</f>
        <v>1.1455889373470196E-2</v>
      </c>
      <c r="AB148" s="3">
        <f t="shared" si="67"/>
        <v>1.145588937346911E-2</v>
      </c>
      <c r="AC148" s="3">
        <f t="shared" si="67"/>
        <v>1.1455889373458253E-2</v>
      </c>
      <c r="AD148" s="3">
        <f t="shared" si="67"/>
        <v>1.1455889373349674E-2</v>
      </c>
      <c r="AE148" s="3">
        <f t="shared" si="67"/>
        <v>1.1455889372263878E-2</v>
      </c>
      <c r="AF148" s="3">
        <f t="shared" si="67"/>
        <v>1.1455889361405925E-2</v>
      </c>
    </row>
    <row r="149" spans="1:32" x14ac:dyDescent="0.25">
      <c r="B149" s="3">
        <f t="shared" ref="B149:Z149" si="75">$C35*EXP(-B$129/$A35/EXP(-$B$126))</f>
        <v>6.2948394662532018E-3</v>
      </c>
      <c r="C149" s="3">
        <f t="shared" si="75"/>
        <v>6.2948394662532018E-3</v>
      </c>
      <c r="D149" s="3">
        <f t="shared" si="75"/>
        <v>6.2948394662532018E-3</v>
      </c>
      <c r="E149" s="3">
        <f t="shared" si="75"/>
        <v>6.2948394662532018E-3</v>
      </c>
      <c r="F149" s="3">
        <f t="shared" si="75"/>
        <v>6.2948394662532018E-3</v>
      </c>
      <c r="G149" s="3">
        <f t="shared" si="75"/>
        <v>6.2948394662532018E-3</v>
      </c>
      <c r="H149" s="3">
        <f t="shared" si="75"/>
        <v>6.2948394662532018E-3</v>
      </c>
      <c r="I149" s="3">
        <f t="shared" si="75"/>
        <v>6.2948394662532018E-3</v>
      </c>
      <c r="J149" s="3">
        <f t="shared" si="75"/>
        <v>6.2948394662532018E-3</v>
      </c>
      <c r="K149" s="3">
        <f t="shared" si="75"/>
        <v>6.2948394662532018E-3</v>
      </c>
      <c r="L149" s="3">
        <f t="shared" si="75"/>
        <v>6.2948394662532018E-3</v>
      </c>
      <c r="M149" s="3">
        <f t="shared" si="75"/>
        <v>6.2948394662532018E-3</v>
      </c>
      <c r="N149" s="3">
        <f t="shared" si="75"/>
        <v>6.2948394662532018E-3</v>
      </c>
      <c r="O149" s="3">
        <f t="shared" si="75"/>
        <v>6.2948394662532018E-3</v>
      </c>
      <c r="P149" s="3">
        <f t="shared" si="75"/>
        <v>6.2948394662532018E-3</v>
      </c>
      <c r="Q149" s="3">
        <f t="shared" si="75"/>
        <v>6.2948394662532018E-3</v>
      </c>
      <c r="R149" s="3">
        <f t="shared" si="75"/>
        <v>6.2948394662532018E-3</v>
      </c>
      <c r="S149" s="3">
        <f t="shared" si="75"/>
        <v>6.2948394662532018E-3</v>
      </c>
      <c r="T149" s="3">
        <f t="shared" si="75"/>
        <v>6.2948394662532018E-3</v>
      </c>
      <c r="U149" s="3">
        <f t="shared" si="75"/>
        <v>6.2948394662532018E-3</v>
      </c>
      <c r="V149" s="3">
        <f t="shared" si="75"/>
        <v>6.2948394662532018E-3</v>
      </c>
      <c r="W149" s="3">
        <f t="shared" si="75"/>
        <v>6.2948394662532018E-3</v>
      </c>
      <c r="X149" s="3">
        <f t="shared" si="75"/>
        <v>6.2948394662532018E-3</v>
      </c>
      <c r="Y149" s="3">
        <f t="shared" si="75"/>
        <v>6.2948394662532018E-3</v>
      </c>
      <c r="Z149" s="3">
        <f t="shared" si="75"/>
        <v>6.294839466253201E-3</v>
      </c>
      <c r="AA149" s="3">
        <f t="shared" ref="AA149" si="76">$C35*EXP(-AA$129/$A35/EXP(-$B$126))</f>
        <v>6.2948394662531958E-3</v>
      </c>
      <c r="AB149" s="3">
        <f t="shared" si="67"/>
        <v>6.294839466253142E-3</v>
      </c>
      <c r="AC149" s="3">
        <f t="shared" si="67"/>
        <v>6.2948394662526034E-3</v>
      </c>
      <c r="AD149" s="3">
        <f t="shared" si="67"/>
        <v>6.2948394662472214E-3</v>
      </c>
      <c r="AE149" s="3">
        <f t="shared" si="67"/>
        <v>6.2948394661934007E-3</v>
      </c>
      <c r="AF149" s="3">
        <f t="shared" si="67"/>
        <v>6.2948394656551923E-3</v>
      </c>
    </row>
    <row r="150" spans="1:32" x14ac:dyDescent="0.25">
      <c r="B150" s="3">
        <f t="shared" ref="B150:Z150" si="77">$C36*EXP(-B$129/$A36/EXP(-$B$126))</f>
        <v>5.5356903730511449E-3</v>
      </c>
      <c r="C150" s="3">
        <f t="shared" si="77"/>
        <v>5.5356903730511449E-3</v>
      </c>
      <c r="D150" s="3">
        <f t="shared" si="77"/>
        <v>5.5356903730511449E-3</v>
      </c>
      <c r="E150" s="3">
        <f t="shared" si="77"/>
        <v>5.5356903730511449E-3</v>
      </c>
      <c r="F150" s="3">
        <f t="shared" si="77"/>
        <v>5.5356903730511449E-3</v>
      </c>
      <c r="G150" s="3">
        <f t="shared" si="77"/>
        <v>5.5356903730511449E-3</v>
      </c>
      <c r="H150" s="3">
        <f t="shared" si="77"/>
        <v>5.5356903730511449E-3</v>
      </c>
      <c r="I150" s="3">
        <f t="shared" si="77"/>
        <v>5.5356903730511449E-3</v>
      </c>
      <c r="J150" s="3">
        <f t="shared" si="77"/>
        <v>5.5356903730511449E-3</v>
      </c>
      <c r="K150" s="3">
        <f t="shared" si="77"/>
        <v>5.5356903730511449E-3</v>
      </c>
      <c r="L150" s="3">
        <f t="shared" si="77"/>
        <v>5.5356903730511449E-3</v>
      </c>
      <c r="M150" s="3">
        <f t="shared" si="77"/>
        <v>5.5356903730511449E-3</v>
      </c>
      <c r="N150" s="3">
        <f t="shared" si="77"/>
        <v>5.5356903730511449E-3</v>
      </c>
      <c r="O150" s="3">
        <f t="shared" si="77"/>
        <v>5.5356903730511449E-3</v>
      </c>
      <c r="P150" s="3">
        <f t="shared" si="77"/>
        <v>5.5356903730511449E-3</v>
      </c>
      <c r="Q150" s="3">
        <f t="shared" si="77"/>
        <v>5.5356903730511449E-3</v>
      </c>
      <c r="R150" s="3">
        <f t="shared" si="77"/>
        <v>5.5356903730511449E-3</v>
      </c>
      <c r="S150" s="3">
        <f t="shared" si="77"/>
        <v>5.5356903730511449E-3</v>
      </c>
      <c r="T150" s="3">
        <f t="shared" si="77"/>
        <v>5.5356903730511449E-3</v>
      </c>
      <c r="U150" s="3">
        <f t="shared" si="77"/>
        <v>5.5356903730511449E-3</v>
      </c>
      <c r="V150" s="3">
        <f t="shared" si="77"/>
        <v>5.5356903730511449E-3</v>
      </c>
      <c r="W150" s="3">
        <f t="shared" si="77"/>
        <v>5.5356903730511449E-3</v>
      </c>
      <c r="X150" s="3">
        <f t="shared" si="77"/>
        <v>5.5356903730511449E-3</v>
      </c>
      <c r="Y150" s="3">
        <f t="shared" si="77"/>
        <v>5.5356903730511449E-3</v>
      </c>
      <c r="Z150" s="3">
        <f t="shared" si="77"/>
        <v>5.5356903730511449E-3</v>
      </c>
      <c r="AA150" s="3">
        <f t="shared" ref="AA150" si="78">$C36*EXP(-AA$129/$A36/EXP(-$B$126))</f>
        <v>5.535690373051144E-3</v>
      </c>
      <c r="AB150" s="3">
        <f t="shared" si="67"/>
        <v>5.5356903730511397E-3</v>
      </c>
      <c r="AC150" s="3">
        <f t="shared" si="67"/>
        <v>5.5356903730510972E-3</v>
      </c>
      <c r="AD150" s="3">
        <f t="shared" si="67"/>
        <v>5.5356903730506704E-3</v>
      </c>
      <c r="AE150" s="3">
        <f t="shared" si="67"/>
        <v>5.5356903730464013E-3</v>
      </c>
      <c r="AF150" s="3">
        <f t="shared" si="67"/>
        <v>5.5356903730037054E-3</v>
      </c>
    </row>
    <row r="151" spans="1:32" x14ac:dyDescent="0.25">
      <c r="B151" s="3">
        <f t="shared" ref="B151:Z151" si="79">$C37*EXP(-B$129/$A37/EXP(-$B$126))</f>
        <v>2.9841994807754844E-3</v>
      </c>
      <c r="C151" s="3">
        <f t="shared" si="79"/>
        <v>2.9841994807754844E-3</v>
      </c>
      <c r="D151" s="3">
        <f t="shared" si="79"/>
        <v>2.9841994807754844E-3</v>
      </c>
      <c r="E151" s="3">
        <f t="shared" si="79"/>
        <v>2.9841994807754844E-3</v>
      </c>
      <c r="F151" s="3">
        <f t="shared" si="79"/>
        <v>2.9841994807754844E-3</v>
      </c>
      <c r="G151" s="3">
        <f t="shared" si="79"/>
        <v>2.9841994807754844E-3</v>
      </c>
      <c r="H151" s="3">
        <f t="shared" si="79"/>
        <v>2.9841994807754844E-3</v>
      </c>
      <c r="I151" s="3">
        <f t="shared" si="79"/>
        <v>2.9841994807754844E-3</v>
      </c>
      <c r="J151" s="3">
        <f t="shared" si="79"/>
        <v>2.9841994807754844E-3</v>
      </c>
      <c r="K151" s="3">
        <f t="shared" si="79"/>
        <v>2.9841994807754844E-3</v>
      </c>
      <c r="L151" s="3">
        <f t="shared" si="79"/>
        <v>2.9841994807754844E-3</v>
      </c>
      <c r="M151" s="3">
        <f t="shared" si="79"/>
        <v>2.9841994807754844E-3</v>
      </c>
      <c r="N151" s="3">
        <f t="shared" si="79"/>
        <v>2.9841994807754844E-3</v>
      </c>
      <c r="O151" s="3">
        <f t="shared" si="79"/>
        <v>2.9841994807754844E-3</v>
      </c>
      <c r="P151" s="3">
        <f t="shared" si="79"/>
        <v>2.9841994807754844E-3</v>
      </c>
      <c r="Q151" s="3">
        <f t="shared" si="79"/>
        <v>2.9841994807754844E-3</v>
      </c>
      <c r="R151" s="3">
        <f t="shared" si="79"/>
        <v>2.9841994807754844E-3</v>
      </c>
      <c r="S151" s="3">
        <f t="shared" si="79"/>
        <v>2.9841994807754844E-3</v>
      </c>
      <c r="T151" s="3">
        <f t="shared" si="79"/>
        <v>2.9841994807754844E-3</v>
      </c>
      <c r="U151" s="3">
        <f t="shared" si="79"/>
        <v>2.9841994807754844E-3</v>
      </c>
      <c r="V151" s="3">
        <f t="shared" si="79"/>
        <v>2.9841994807754844E-3</v>
      </c>
      <c r="W151" s="3">
        <f t="shared" si="79"/>
        <v>2.9841994807754844E-3</v>
      </c>
      <c r="X151" s="3">
        <f t="shared" si="79"/>
        <v>2.9841994807754844E-3</v>
      </c>
      <c r="Y151" s="3">
        <f t="shared" si="79"/>
        <v>2.9841994807754844E-3</v>
      </c>
      <c r="Z151" s="3">
        <f t="shared" si="79"/>
        <v>2.9841994807754844E-3</v>
      </c>
      <c r="AA151" s="3">
        <f t="shared" ref="AA151" si="80">$C37*EXP(-AA$129/$A37/EXP(-$B$126))</f>
        <v>2.9841994807754844E-3</v>
      </c>
      <c r="AB151" s="3">
        <f t="shared" si="67"/>
        <v>2.984199480775484E-3</v>
      </c>
      <c r="AC151" s="3">
        <f t="shared" si="67"/>
        <v>2.9841994807754822E-3</v>
      </c>
      <c r="AD151" s="3">
        <f t="shared" si="67"/>
        <v>2.9841994807754614E-3</v>
      </c>
      <c r="AE151" s="3">
        <f t="shared" si="67"/>
        <v>2.9841994807752537E-3</v>
      </c>
      <c r="AF151" s="3">
        <f t="shared" si="67"/>
        <v>2.9841994807731777E-3</v>
      </c>
    </row>
    <row r="152" spans="1:32" x14ac:dyDescent="0.25">
      <c r="B152" s="3">
        <f t="shared" ref="B152:Z152" si="81">$C38*EXP(-B$129/$A38/EXP(-$B$126))</f>
        <v>1.1698557197945001E-3</v>
      </c>
      <c r="C152" s="3">
        <f t="shared" si="81"/>
        <v>1.1698557197945001E-3</v>
      </c>
      <c r="D152" s="3">
        <f t="shared" si="81"/>
        <v>1.1698557197945001E-3</v>
      </c>
      <c r="E152" s="3">
        <f t="shared" si="81"/>
        <v>1.1698557197945001E-3</v>
      </c>
      <c r="F152" s="3">
        <f t="shared" si="81"/>
        <v>1.1698557197945001E-3</v>
      </c>
      <c r="G152" s="3">
        <f t="shared" si="81"/>
        <v>1.1698557197945001E-3</v>
      </c>
      <c r="H152" s="3">
        <f t="shared" si="81"/>
        <v>1.1698557197945001E-3</v>
      </c>
      <c r="I152" s="3">
        <f t="shared" si="81"/>
        <v>1.1698557197945001E-3</v>
      </c>
      <c r="J152" s="3">
        <f t="shared" si="81"/>
        <v>1.1698557197945001E-3</v>
      </c>
      <c r="K152" s="3">
        <f t="shared" si="81"/>
        <v>1.1698557197945001E-3</v>
      </c>
      <c r="L152" s="3">
        <f t="shared" si="81"/>
        <v>1.1698557197945001E-3</v>
      </c>
      <c r="M152" s="3">
        <f t="shared" si="81"/>
        <v>1.1698557197945001E-3</v>
      </c>
      <c r="N152" s="3">
        <f t="shared" si="81"/>
        <v>1.1698557197945001E-3</v>
      </c>
      <c r="O152" s="3">
        <f t="shared" si="81"/>
        <v>1.1698557197945001E-3</v>
      </c>
      <c r="P152" s="3">
        <f t="shared" si="81"/>
        <v>1.1698557197945001E-3</v>
      </c>
      <c r="Q152" s="3">
        <f t="shared" si="81"/>
        <v>1.1698557197945001E-3</v>
      </c>
      <c r="R152" s="3">
        <f t="shared" si="81"/>
        <v>1.1698557197945001E-3</v>
      </c>
      <c r="S152" s="3">
        <f t="shared" si="81"/>
        <v>1.1698557197945001E-3</v>
      </c>
      <c r="T152" s="3">
        <f t="shared" si="81"/>
        <v>1.1698557197945001E-3</v>
      </c>
      <c r="U152" s="3">
        <f t="shared" si="81"/>
        <v>1.1698557197945001E-3</v>
      </c>
      <c r="V152" s="3">
        <f t="shared" si="81"/>
        <v>1.1698557197945001E-3</v>
      </c>
      <c r="W152" s="3">
        <f t="shared" si="81"/>
        <v>1.1698557197945001E-3</v>
      </c>
      <c r="X152" s="3">
        <f t="shared" si="81"/>
        <v>1.1698557197945001E-3</v>
      </c>
      <c r="Y152" s="3">
        <f t="shared" si="81"/>
        <v>1.1698557197945001E-3</v>
      </c>
      <c r="Z152" s="3">
        <f t="shared" si="81"/>
        <v>1.1698557197945001E-3</v>
      </c>
      <c r="AA152" s="3">
        <f t="shared" ref="AA152" si="82">$C38*EXP(-AA$129/$A38/EXP(-$B$126))</f>
        <v>1.1698557197945001E-3</v>
      </c>
      <c r="AB152" s="3">
        <f t="shared" si="67"/>
        <v>1.1698557197945001E-3</v>
      </c>
      <c r="AC152" s="3">
        <f t="shared" si="67"/>
        <v>1.1698557197944999E-3</v>
      </c>
      <c r="AD152" s="3">
        <f t="shared" si="67"/>
        <v>1.1698557197944992E-3</v>
      </c>
      <c r="AE152" s="3">
        <f t="shared" si="67"/>
        <v>1.1698557197944918E-3</v>
      </c>
      <c r="AF152" s="3">
        <f t="shared" si="67"/>
        <v>1.1698557197944185E-3</v>
      </c>
    </row>
    <row r="153" spans="1:32" x14ac:dyDescent="0.25">
      <c r="B153" s="3">
        <f t="shared" ref="B153:Z153" si="83">$C39*EXP(-B$129/$A39/EXP(-$B$126))</f>
        <v>4.0204305624187052E-4</v>
      </c>
      <c r="C153" s="3">
        <f t="shared" si="83"/>
        <v>4.0204305624187052E-4</v>
      </c>
      <c r="D153" s="3">
        <f t="shared" si="83"/>
        <v>4.0204305624187052E-4</v>
      </c>
      <c r="E153" s="3">
        <f t="shared" si="83"/>
        <v>4.0204305624187052E-4</v>
      </c>
      <c r="F153" s="3">
        <f t="shared" si="83"/>
        <v>4.0204305624187052E-4</v>
      </c>
      <c r="G153" s="3">
        <f t="shared" si="83"/>
        <v>4.0204305624187052E-4</v>
      </c>
      <c r="H153" s="3">
        <f t="shared" si="83"/>
        <v>4.0204305624187052E-4</v>
      </c>
      <c r="I153" s="3">
        <f t="shared" si="83"/>
        <v>4.0204305624187052E-4</v>
      </c>
      <c r="J153" s="3">
        <f t="shared" si="83"/>
        <v>4.0204305624187052E-4</v>
      </c>
      <c r="K153" s="3">
        <f t="shared" si="83"/>
        <v>4.0204305624187052E-4</v>
      </c>
      <c r="L153" s="3">
        <f t="shared" si="83"/>
        <v>4.0204305624187052E-4</v>
      </c>
      <c r="M153" s="3">
        <f t="shared" si="83"/>
        <v>4.0204305624187052E-4</v>
      </c>
      <c r="N153" s="3">
        <f t="shared" si="83"/>
        <v>4.0204305624187052E-4</v>
      </c>
      <c r="O153" s="3">
        <f t="shared" si="83"/>
        <v>4.0204305624187052E-4</v>
      </c>
      <c r="P153" s="3">
        <f t="shared" si="83"/>
        <v>4.0204305624187052E-4</v>
      </c>
      <c r="Q153" s="3">
        <f t="shared" si="83"/>
        <v>4.0204305624187052E-4</v>
      </c>
      <c r="R153" s="3">
        <f t="shared" si="83"/>
        <v>4.0204305624187052E-4</v>
      </c>
      <c r="S153" s="3">
        <f t="shared" si="83"/>
        <v>4.0204305624187052E-4</v>
      </c>
      <c r="T153" s="3">
        <f t="shared" si="83"/>
        <v>4.0204305624187052E-4</v>
      </c>
      <c r="U153" s="3">
        <f t="shared" si="83"/>
        <v>4.0204305624187052E-4</v>
      </c>
      <c r="V153" s="3">
        <f t="shared" si="83"/>
        <v>4.0204305624187052E-4</v>
      </c>
      <c r="W153" s="3">
        <f t="shared" si="83"/>
        <v>4.0204305624187052E-4</v>
      </c>
      <c r="X153" s="3">
        <f t="shared" si="83"/>
        <v>4.0204305624187052E-4</v>
      </c>
      <c r="Y153" s="3">
        <f t="shared" si="83"/>
        <v>4.0204305624187052E-4</v>
      </c>
      <c r="Z153" s="3">
        <f t="shared" si="83"/>
        <v>4.0204305624187052E-4</v>
      </c>
      <c r="AA153" s="3">
        <f t="shared" ref="AA153" si="84">$C39*EXP(-AA$129/$A39/EXP(-$B$126))</f>
        <v>4.0204305624187052E-4</v>
      </c>
      <c r="AB153" s="3">
        <f t="shared" si="67"/>
        <v>4.0204305624187052E-4</v>
      </c>
      <c r="AC153" s="3">
        <f t="shared" si="67"/>
        <v>4.0204305624187052E-4</v>
      </c>
      <c r="AD153" s="3">
        <f t="shared" si="67"/>
        <v>4.0204305624187041E-4</v>
      </c>
      <c r="AE153" s="3">
        <f t="shared" si="67"/>
        <v>4.0204305624186976E-4</v>
      </c>
      <c r="AF153" s="3">
        <f t="shared" si="67"/>
        <v>4.0204305624186277E-4</v>
      </c>
    </row>
    <row r="154" spans="1:32" x14ac:dyDescent="0.25">
      <c r="B154" s="3">
        <f t="shared" ref="B154:Z154" si="85">$C40*EXP(-B$129/$A40/EXP(-$B$126))</f>
        <v>9.0650475367586036E-4</v>
      </c>
      <c r="C154" s="3">
        <f t="shared" si="85"/>
        <v>9.0650475367586036E-4</v>
      </c>
      <c r="D154" s="3">
        <f t="shared" si="85"/>
        <v>9.0650475367586036E-4</v>
      </c>
      <c r="E154" s="3">
        <f t="shared" si="85"/>
        <v>9.0650475367586036E-4</v>
      </c>
      <c r="F154" s="3">
        <f t="shared" si="85"/>
        <v>9.0650475367586036E-4</v>
      </c>
      <c r="G154" s="3">
        <f t="shared" si="85"/>
        <v>9.0650475367586036E-4</v>
      </c>
      <c r="H154" s="3">
        <f t="shared" si="85"/>
        <v>9.0650475367586036E-4</v>
      </c>
      <c r="I154" s="3">
        <f t="shared" si="85"/>
        <v>9.0650475367586036E-4</v>
      </c>
      <c r="J154" s="3">
        <f t="shared" si="85"/>
        <v>9.0650475367586036E-4</v>
      </c>
      <c r="K154" s="3">
        <f t="shared" si="85"/>
        <v>9.0650475367586036E-4</v>
      </c>
      <c r="L154" s="3">
        <f t="shared" si="85"/>
        <v>9.0650475367586036E-4</v>
      </c>
      <c r="M154" s="3">
        <f t="shared" si="85"/>
        <v>9.0650475367586036E-4</v>
      </c>
      <c r="N154" s="3">
        <f t="shared" si="85"/>
        <v>9.0650475367586036E-4</v>
      </c>
      <c r="O154" s="3">
        <f t="shared" si="85"/>
        <v>9.0650475367586036E-4</v>
      </c>
      <c r="P154" s="3">
        <f t="shared" si="85"/>
        <v>9.0650475367586036E-4</v>
      </c>
      <c r="Q154" s="3">
        <f t="shared" si="85"/>
        <v>9.0650475367586036E-4</v>
      </c>
      <c r="R154" s="3">
        <f t="shared" si="85"/>
        <v>9.0650475367586036E-4</v>
      </c>
      <c r="S154" s="3">
        <f t="shared" si="85"/>
        <v>9.0650475367586036E-4</v>
      </c>
      <c r="T154" s="3">
        <f t="shared" si="85"/>
        <v>9.0650475367586036E-4</v>
      </c>
      <c r="U154" s="3">
        <f t="shared" si="85"/>
        <v>9.0650475367586036E-4</v>
      </c>
      <c r="V154" s="3">
        <f t="shared" si="85"/>
        <v>9.0650475367586036E-4</v>
      </c>
      <c r="W154" s="3">
        <f t="shared" si="85"/>
        <v>9.0650475367586036E-4</v>
      </c>
      <c r="X154" s="3">
        <f t="shared" si="85"/>
        <v>9.0650475367586036E-4</v>
      </c>
      <c r="Y154" s="3">
        <f t="shared" si="85"/>
        <v>9.0650475367586036E-4</v>
      </c>
      <c r="Z154" s="3">
        <f t="shared" si="85"/>
        <v>9.0650475367586036E-4</v>
      </c>
      <c r="AA154" s="3">
        <f t="shared" ref="AA154:AF154" si="86">$C40*EXP(-AA$129/$A40/EXP(-$B$126))</f>
        <v>9.0650475367586036E-4</v>
      </c>
      <c r="AB154" s="3">
        <f t="shared" si="86"/>
        <v>9.0650475367586036E-4</v>
      </c>
      <c r="AC154" s="3">
        <f t="shared" si="86"/>
        <v>9.0650475367586036E-4</v>
      </c>
      <c r="AD154" s="3">
        <f t="shared" si="86"/>
        <v>9.0650475367586036E-4</v>
      </c>
      <c r="AE154" s="3">
        <f t="shared" si="86"/>
        <v>9.0650475367586014E-4</v>
      </c>
      <c r="AF154" s="3">
        <f t="shared" si="86"/>
        <v>9.0650475367585863E-4</v>
      </c>
    </row>
    <row r="155" spans="1:32" x14ac:dyDescent="0.25">
      <c r="B155" s="3">
        <f t="shared" ref="B155:Z155" si="87">$C41*EXP(-B$129/$A41/EXP(-$B$126))</f>
        <v>1.833495697796037E-4</v>
      </c>
      <c r="C155" s="3">
        <f t="shared" si="87"/>
        <v>1.833495697796037E-4</v>
      </c>
      <c r="D155" s="3">
        <f t="shared" si="87"/>
        <v>1.833495697796037E-4</v>
      </c>
      <c r="E155" s="3">
        <f t="shared" si="87"/>
        <v>1.833495697796037E-4</v>
      </c>
      <c r="F155" s="3">
        <f t="shared" si="87"/>
        <v>1.833495697796037E-4</v>
      </c>
      <c r="G155" s="3">
        <f t="shared" si="87"/>
        <v>1.833495697796037E-4</v>
      </c>
      <c r="H155" s="3">
        <f t="shared" si="87"/>
        <v>1.833495697796037E-4</v>
      </c>
      <c r="I155" s="3">
        <f t="shared" si="87"/>
        <v>1.833495697796037E-4</v>
      </c>
      <c r="J155" s="3">
        <f t="shared" si="87"/>
        <v>1.833495697796037E-4</v>
      </c>
      <c r="K155" s="3">
        <f t="shared" si="87"/>
        <v>1.833495697796037E-4</v>
      </c>
      <c r="L155" s="3">
        <f t="shared" si="87"/>
        <v>1.833495697796037E-4</v>
      </c>
      <c r="M155" s="3">
        <f t="shared" si="87"/>
        <v>1.833495697796037E-4</v>
      </c>
      <c r="N155" s="3">
        <f t="shared" si="87"/>
        <v>1.833495697796037E-4</v>
      </c>
      <c r="O155" s="3">
        <f t="shared" si="87"/>
        <v>1.833495697796037E-4</v>
      </c>
      <c r="P155" s="3">
        <f t="shared" si="87"/>
        <v>1.833495697796037E-4</v>
      </c>
      <c r="Q155" s="3">
        <f t="shared" si="87"/>
        <v>1.833495697796037E-4</v>
      </c>
      <c r="R155" s="3">
        <f t="shared" si="87"/>
        <v>1.833495697796037E-4</v>
      </c>
      <c r="S155" s="3">
        <f t="shared" si="87"/>
        <v>1.833495697796037E-4</v>
      </c>
      <c r="T155" s="3">
        <f t="shared" si="87"/>
        <v>1.833495697796037E-4</v>
      </c>
      <c r="U155" s="3">
        <f t="shared" si="87"/>
        <v>1.833495697796037E-4</v>
      </c>
      <c r="V155" s="3">
        <f t="shared" si="87"/>
        <v>1.833495697796037E-4</v>
      </c>
      <c r="W155" s="3">
        <f t="shared" si="87"/>
        <v>1.833495697796037E-4</v>
      </c>
      <c r="X155" s="3">
        <f t="shared" si="87"/>
        <v>1.833495697796037E-4</v>
      </c>
      <c r="Y155" s="3">
        <f t="shared" si="87"/>
        <v>1.833495697796037E-4</v>
      </c>
      <c r="Z155" s="3">
        <f t="shared" si="87"/>
        <v>1.833495697796037E-4</v>
      </c>
      <c r="AA155" s="3">
        <f t="shared" ref="AA155:AF155" si="88">$C41*EXP(-AA$129/$A41/EXP(-$B$126))</f>
        <v>1.833495697796037E-4</v>
      </c>
      <c r="AB155" s="3">
        <f t="shared" si="88"/>
        <v>1.833495697796037E-4</v>
      </c>
      <c r="AC155" s="3">
        <f t="shared" si="88"/>
        <v>1.833495697796037E-4</v>
      </c>
      <c r="AD155" s="3">
        <f t="shared" si="88"/>
        <v>1.833495697796037E-4</v>
      </c>
      <c r="AE155" s="3">
        <f t="shared" si="88"/>
        <v>1.833495697796037E-4</v>
      </c>
      <c r="AF155" s="3">
        <f t="shared" si="88"/>
        <v>1.8334956977960365E-4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2.7582104941075727E-4</v>
      </c>
      <c r="C157" s="3">
        <f t="shared" si="91"/>
        <v>2.7582104941075727E-4</v>
      </c>
      <c r="D157" s="3">
        <f t="shared" si="91"/>
        <v>2.7582104941075727E-4</v>
      </c>
      <c r="E157" s="3">
        <f t="shared" si="91"/>
        <v>2.7582104941075727E-4</v>
      </c>
      <c r="F157" s="3">
        <f t="shared" si="91"/>
        <v>2.7582104941075727E-4</v>
      </c>
      <c r="G157" s="3">
        <f t="shared" si="91"/>
        <v>2.7582104941075727E-4</v>
      </c>
      <c r="H157" s="3">
        <f t="shared" si="91"/>
        <v>2.7582104941075727E-4</v>
      </c>
      <c r="I157" s="3">
        <f t="shared" si="91"/>
        <v>2.7582104941075727E-4</v>
      </c>
      <c r="J157" s="3">
        <f t="shared" si="91"/>
        <v>2.7582104941075727E-4</v>
      </c>
      <c r="K157" s="3">
        <f t="shared" si="91"/>
        <v>2.7582104941075727E-4</v>
      </c>
      <c r="L157" s="3">
        <f t="shared" si="91"/>
        <v>2.7582104941075727E-4</v>
      </c>
      <c r="M157" s="3">
        <f t="shared" si="91"/>
        <v>2.7582104941075727E-4</v>
      </c>
      <c r="N157" s="3">
        <f t="shared" si="91"/>
        <v>2.7582104941075727E-4</v>
      </c>
      <c r="O157" s="3">
        <f t="shared" si="91"/>
        <v>2.7582104941075727E-4</v>
      </c>
      <c r="P157" s="3">
        <f t="shared" si="91"/>
        <v>2.7582104941075727E-4</v>
      </c>
      <c r="Q157" s="3">
        <f t="shared" si="91"/>
        <v>2.7582104941075727E-4</v>
      </c>
      <c r="R157" s="3">
        <f t="shared" si="91"/>
        <v>2.7582104941075727E-4</v>
      </c>
      <c r="S157" s="3">
        <f t="shared" si="91"/>
        <v>2.7582104941075727E-4</v>
      </c>
      <c r="T157" s="3">
        <f t="shared" si="91"/>
        <v>2.7582104941075727E-4</v>
      </c>
      <c r="U157" s="3">
        <f t="shared" si="91"/>
        <v>2.7582104941075727E-4</v>
      </c>
      <c r="V157" s="3">
        <f t="shared" si="91"/>
        <v>2.7582104941075727E-4</v>
      </c>
      <c r="W157" s="3">
        <f t="shared" si="91"/>
        <v>2.7582104941075727E-4</v>
      </c>
      <c r="X157" s="3">
        <f t="shared" si="91"/>
        <v>2.7582104941075727E-4</v>
      </c>
      <c r="Y157" s="3">
        <f t="shared" si="91"/>
        <v>2.7582104941075727E-4</v>
      </c>
      <c r="Z157" s="3">
        <f t="shared" si="91"/>
        <v>2.7582104941075727E-4</v>
      </c>
      <c r="AA157" s="3">
        <f t="shared" ref="AA157:AF157" si="92">$C43*EXP(-AA$129/$A43/EXP(-$B$126))</f>
        <v>2.7582104941075727E-4</v>
      </c>
      <c r="AB157" s="3">
        <f t="shared" si="92"/>
        <v>2.7582104941075727E-4</v>
      </c>
      <c r="AC157" s="3">
        <f t="shared" si="92"/>
        <v>2.7582104941075727E-4</v>
      </c>
      <c r="AD157" s="3">
        <f t="shared" si="92"/>
        <v>2.7582104941075727E-4</v>
      </c>
      <c r="AE157" s="3">
        <f t="shared" si="92"/>
        <v>2.7582104941075727E-4</v>
      </c>
      <c r="AF157" s="3">
        <f t="shared" si="92"/>
        <v>2.7582104941075727E-4</v>
      </c>
    </row>
    <row r="158" spans="1:32" x14ac:dyDescent="0.25">
      <c r="B158" s="3">
        <f t="shared" ref="B158:Z158" si="93">$C44*EXP(-B$129/$A44/EXP(-$B$126))</f>
        <v>2.4535081143819124E-4</v>
      </c>
      <c r="C158" s="3">
        <f t="shared" si="93"/>
        <v>2.4535081143819124E-4</v>
      </c>
      <c r="D158" s="3">
        <f t="shared" si="93"/>
        <v>2.4535081143819124E-4</v>
      </c>
      <c r="E158" s="3">
        <f t="shared" si="93"/>
        <v>2.4535081143819124E-4</v>
      </c>
      <c r="F158" s="3">
        <f t="shared" si="93"/>
        <v>2.4535081143819124E-4</v>
      </c>
      <c r="G158" s="3">
        <f t="shared" si="93"/>
        <v>2.4535081143819124E-4</v>
      </c>
      <c r="H158" s="3">
        <f t="shared" si="93"/>
        <v>2.4535081143819124E-4</v>
      </c>
      <c r="I158" s="3">
        <f t="shared" si="93"/>
        <v>2.4535081143819124E-4</v>
      </c>
      <c r="J158" s="3">
        <f t="shared" si="93"/>
        <v>2.4535081143819124E-4</v>
      </c>
      <c r="K158" s="3">
        <f t="shared" si="93"/>
        <v>2.4535081143819124E-4</v>
      </c>
      <c r="L158" s="3">
        <f t="shared" si="93"/>
        <v>2.4535081143819124E-4</v>
      </c>
      <c r="M158" s="3">
        <f t="shared" si="93"/>
        <v>2.4535081143819124E-4</v>
      </c>
      <c r="N158" s="3">
        <f t="shared" si="93"/>
        <v>2.4535081143819124E-4</v>
      </c>
      <c r="O158" s="3">
        <f t="shared" si="93"/>
        <v>2.4535081143819124E-4</v>
      </c>
      <c r="P158" s="3">
        <f t="shared" si="93"/>
        <v>2.4535081143819124E-4</v>
      </c>
      <c r="Q158" s="3">
        <f t="shared" si="93"/>
        <v>2.4535081143819124E-4</v>
      </c>
      <c r="R158" s="3">
        <f t="shared" si="93"/>
        <v>2.4535081143819124E-4</v>
      </c>
      <c r="S158" s="3">
        <f t="shared" si="93"/>
        <v>2.4535081143819124E-4</v>
      </c>
      <c r="T158" s="3">
        <f t="shared" si="93"/>
        <v>2.4535081143819124E-4</v>
      </c>
      <c r="U158" s="3">
        <f t="shared" si="93"/>
        <v>2.4535081143819124E-4</v>
      </c>
      <c r="V158" s="3">
        <f t="shared" si="93"/>
        <v>2.4535081143819124E-4</v>
      </c>
      <c r="W158" s="3">
        <f t="shared" si="93"/>
        <v>2.4535081143819124E-4</v>
      </c>
      <c r="X158" s="3">
        <f t="shared" si="93"/>
        <v>2.4535081143819124E-4</v>
      </c>
      <c r="Y158" s="3">
        <f t="shared" si="93"/>
        <v>2.4535081143819124E-4</v>
      </c>
      <c r="Z158" s="3">
        <f t="shared" si="93"/>
        <v>2.4535081143819124E-4</v>
      </c>
      <c r="AA158" s="3">
        <f t="shared" ref="AA158:AF158" si="94">$C44*EXP(-AA$129/$A44/EXP(-$B$126))</f>
        <v>2.4535081143819124E-4</v>
      </c>
      <c r="AB158" s="3">
        <f t="shared" si="94"/>
        <v>2.4535081143819124E-4</v>
      </c>
      <c r="AC158" s="3">
        <f t="shared" si="94"/>
        <v>2.4535081143819124E-4</v>
      </c>
      <c r="AD158" s="3">
        <f t="shared" si="94"/>
        <v>2.4535081143819124E-4</v>
      </c>
      <c r="AE158" s="3">
        <f t="shared" si="94"/>
        <v>2.4535081143819124E-4</v>
      </c>
      <c r="AF158" s="3">
        <f t="shared" si="94"/>
        <v>2.4535081143819124E-4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1.7255643769382848E-4</v>
      </c>
      <c r="C160" s="3">
        <f t="shared" si="97"/>
        <v>1.7255643769382848E-4</v>
      </c>
      <c r="D160" s="3">
        <f t="shared" si="97"/>
        <v>1.7255643769382848E-4</v>
      </c>
      <c r="E160" s="3">
        <f t="shared" si="97"/>
        <v>1.7255643769382848E-4</v>
      </c>
      <c r="F160" s="3">
        <f t="shared" si="97"/>
        <v>1.7255643769382848E-4</v>
      </c>
      <c r="G160" s="3">
        <f t="shared" si="97"/>
        <v>1.7255643769382848E-4</v>
      </c>
      <c r="H160" s="3">
        <f t="shared" si="97"/>
        <v>1.7255643769382848E-4</v>
      </c>
      <c r="I160" s="3">
        <f t="shared" si="97"/>
        <v>1.7255643769382848E-4</v>
      </c>
      <c r="J160" s="3">
        <f t="shared" si="97"/>
        <v>1.7255643769382848E-4</v>
      </c>
      <c r="K160" s="3">
        <f t="shared" si="97"/>
        <v>1.7255643769382848E-4</v>
      </c>
      <c r="L160" s="3">
        <f t="shared" si="97"/>
        <v>1.7255643769382848E-4</v>
      </c>
      <c r="M160" s="3">
        <f t="shared" si="97"/>
        <v>1.7255643769382848E-4</v>
      </c>
      <c r="N160" s="3">
        <f t="shared" si="97"/>
        <v>1.7255643769382848E-4</v>
      </c>
      <c r="O160" s="3">
        <f t="shared" si="97"/>
        <v>1.7255643769382848E-4</v>
      </c>
      <c r="P160" s="3">
        <f t="shared" si="97"/>
        <v>1.7255643769382848E-4</v>
      </c>
      <c r="Q160" s="3">
        <f t="shared" si="97"/>
        <v>1.7255643769382848E-4</v>
      </c>
      <c r="R160" s="3">
        <f t="shared" si="97"/>
        <v>1.7255643769382848E-4</v>
      </c>
      <c r="S160" s="3">
        <f t="shared" si="97"/>
        <v>1.7255643769382848E-4</v>
      </c>
      <c r="T160" s="3">
        <f t="shared" si="97"/>
        <v>1.7255643769382848E-4</v>
      </c>
      <c r="U160" s="3">
        <f t="shared" si="97"/>
        <v>1.7255643769382848E-4</v>
      </c>
      <c r="V160" s="3">
        <f t="shared" si="97"/>
        <v>1.7255643769382848E-4</v>
      </c>
      <c r="W160" s="3">
        <f t="shared" si="97"/>
        <v>1.7255643769382848E-4</v>
      </c>
      <c r="X160" s="3">
        <f t="shared" si="97"/>
        <v>1.7255643769382848E-4</v>
      </c>
      <c r="Y160" s="3">
        <f t="shared" si="97"/>
        <v>1.7255643769382848E-4</v>
      </c>
      <c r="Z160" s="3">
        <f t="shared" si="97"/>
        <v>1.7255643769382848E-4</v>
      </c>
      <c r="AA160" s="3">
        <f t="shared" ref="AA160:AF160" si="98">$C46*EXP(-AA$129/$A46/EXP(-$B$126))</f>
        <v>1.7255643769382848E-4</v>
      </c>
      <c r="AB160" s="3">
        <f t="shared" si="98"/>
        <v>1.7255643769382848E-4</v>
      </c>
      <c r="AC160" s="3">
        <f t="shared" si="98"/>
        <v>1.7255643769382848E-4</v>
      </c>
      <c r="AD160" s="3">
        <f t="shared" si="98"/>
        <v>1.7255643769382848E-4</v>
      </c>
      <c r="AE160" s="3">
        <f t="shared" si="98"/>
        <v>1.7255643769382848E-4</v>
      </c>
      <c r="AF160" s="3">
        <f t="shared" si="98"/>
        <v>1.7255643769382848E-4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0.11714100641980867</v>
      </c>
      <c r="B163" s="80">
        <f>IF($A$64&lt;=B129,IF($B$64&gt;=B129,ABS((B131-B130)/B130),0),0)</f>
        <v>1.4197810947473279E-2</v>
      </c>
      <c r="C163" s="80">
        <f t="shared" ref="C163:AF163" si="103">IF($A$64&lt;=C129,IF($B$64&gt;=C129,ABS((C131-C130)/C130),0),0)</f>
        <v>1.4207728180840973E-2</v>
      </c>
      <c r="D163" s="80">
        <f t="shared" si="103"/>
        <v>1.4202565785389917E-2</v>
      </c>
      <c r="E163" s="80">
        <f t="shared" si="103"/>
        <v>1.4201207260277352E-2</v>
      </c>
      <c r="F163" s="80">
        <f t="shared" si="103"/>
        <v>1.4200815685451434E-2</v>
      </c>
      <c r="G163" s="80">
        <f t="shared" si="103"/>
        <v>1.4200695816203422E-2</v>
      </c>
      <c r="H163" s="80">
        <f t="shared" si="103"/>
        <v>1.4200655865735295E-2</v>
      </c>
      <c r="I163" s="80">
        <f t="shared" si="103"/>
        <v>1.4200631953293318E-2</v>
      </c>
      <c r="J163" s="80">
        <f t="shared" si="103"/>
        <v>1.4200608594627479E-2</v>
      </c>
      <c r="K163" s="80">
        <f t="shared" si="103"/>
        <v>1.420041496459285E-2</v>
      </c>
      <c r="L163" s="80">
        <f t="shared" si="103"/>
        <v>1.4198494647022469E-2</v>
      </c>
      <c r="M163" s="80">
        <f t="shared" si="103"/>
        <v>1.4179275501701727E-2</v>
      </c>
      <c r="N163" s="80">
        <f t="shared" si="103"/>
        <v>1.3988779500532815E-2</v>
      </c>
      <c r="O163" s="80">
        <f t="shared" si="103"/>
        <v>1.2169266070071308E-2</v>
      </c>
      <c r="P163" s="80">
        <f t="shared" si="103"/>
        <v>1.0582602453494824E-3</v>
      </c>
      <c r="Q163" s="80">
        <f t="shared" si="103"/>
        <v>1.8574113295471251E-2</v>
      </c>
      <c r="R163" s="80">
        <f t="shared" si="103"/>
        <v>2.2213011303280666E-2</v>
      </c>
      <c r="S163" s="80">
        <f t="shared" si="103"/>
        <v>0.26406636064495959</v>
      </c>
      <c r="T163" s="80">
        <f t="shared" si="103"/>
        <v>0.30564767822467237</v>
      </c>
      <c r="U163" s="80">
        <f t="shared" si="103"/>
        <v>0.2879846501927053</v>
      </c>
      <c r="V163" s="80">
        <f t="shared" si="103"/>
        <v>0.25563526470976849</v>
      </c>
      <c r="W163" s="80">
        <f t="shared" si="103"/>
        <v>0.1700588380001137</v>
      </c>
      <c r="X163" s="80">
        <f t="shared" si="103"/>
        <v>2.5744151184395842E-2</v>
      </c>
      <c r="Y163" s="80">
        <f t="shared" si="103"/>
        <v>0.10531912376725919</v>
      </c>
      <c r="Z163" s="80">
        <f t="shared" si="103"/>
        <v>0.17889668869040998</v>
      </c>
      <c r="AA163" s="80">
        <f t="shared" si="103"/>
        <v>0.26871184443108265</v>
      </c>
      <c r="AB163" s="80">
        <f t="shared" si="103"/>
        <v>0.32625582187451801</v>
      </c>
      <c r="AC163" s="80">
        <f t="shared" si="103"/>
        <v>0.34710110041614411</v>
      </c>
      <c r="AD163" s="80">
        <f t="shared" si="103"/>
        <v>0.33706343834850466</v>
      </c>
      <c r="AE163" s="80">
        <f t="shared" si="103"/>
        <v>0.29795937961534125</v>
      </c>
      <c r="AF163" s="80">
        <f t="shared" si="103"/>
        <v>0.2225325232968775</v>
      </c>
    </row>
    <row r="164" spans="1:34" x14ac:dyDescent="0.25">
      <c r="B164" s="21">
        <f>(B131-B130)^2</f>
        <v>10141.841769970133</v>
      </c>
      <c r="C164" s="21">
        <f t="shared" ref="C164:AF164" si="104">(C131-C130)^2</f>
        <v>10156.219303799777</v>
      </c>
      <c r="D164" s="21">
        <f t="shared" si="104"/>
        <v>10148.733801172126</v>
      </c>
      <c r="E164" s="21">
        <f t="shared" si="104"/>
        <v>10146.764403747853</v>
      </c>
      <c r="F164" s="21">
        <f t="shared" si="104"/>
        <v>10146.196790474338</v>
      </c>
      <c r="G164" s="21">
        <f t="shared" si="104"/>
        <v>10146.023035425727</v>
      </c>
      <c r="H164" s="21">
        <f t="shared" si="104"/>
        <v>10145.965125915383</v>
      </c>
      <c r="I164" s="21">
        <f t="shared" si="104"/>
        <v>10145.930462939112</v>
      </c>
      <c r="J164" s="21">
        <f t="shared" si="104"/>
        <v>10145.896591335642</v>
      </c>
      <c r="K164" s="21">
        <f t="shared" si="104"/>
        <v>10145.615795611855</v>
      </c>
      <c r="L164" s="21">
        <f t="shared" si="104"/>
        <v>10142.831222118984</v>
      </c>
      <c r="M164" s="21">
        <f t="shared" si="104"/>
        <v>10114.98400971917</v>
      </c>
      <c r="N164" s="21">
        <f t="shared" si="104"/>
        <v>9841.0971740147634</v>
      </c>
      <c r="O164" s="21">
        <f t="shared" si="104"/>
        <v>7419.200013109501</v>
      </c>
      <c r="P164" s="21">
        <f t="shared" si="104"/>
        <v>54.565463792824517</v>
      </c>
      <c r="Q164" s="21">
        <f t="shared" si="104"/>
        <v>16036.064492604792</v>
      </c>
      <c r="R164" s="21">
        <f t="shared" si="104"/>
        <v>22150.850827462749</v>
      </c>
      <c r="S164" s="21">
        <f t="shared" si="104"/>
        <v>3020468.3658808707</v>
      </c>
      <c r="T164" s="21">
        <f t="shared" si="104"/>
        <v>3885773.0459313598</v>
      </c>
      <c r="U164" s="21">
        <f t="shared" si="104"/>
        <v>3280587.7685680441</v>
      </c>
      <c r="V164" s="21">
        <f t="shared" si="104"/>
        <v>2364985.462330576</v>
      </c>
      <c r="W164" s="21">
        <f t="shared" si="104"/>
        <v>841262.2060507267</v>
      </c>
      <c r="X164" s="21">
        <f t="shared" si="104"/>
        <v>13886.718216810217</v>
      </c>
      <c r="Y164" s="21">
        <f t="shared" si="104"/>
        <v>169978.70317138761</v>
      </c>
      <c r="Z164" s="21">
        <f t="shared" si="104"/>
        <v>378550.20415530133</v>
      </c>
      <c r="AA164" s="21">
        <f t="shared" si="104"/>
        <v>684520.16616953455</v>
      </c>
      <c r="AB164" s="21">
        <f t="shared" si="104"/>
        <v>833662.03037073265</v>
      </c>
      <c r="AC164" s="21">
        <f t="shared" si="104"/>
        <v>808493.0357427327</v>
      </c>
      <c r="AD164" s="21">
        <f t="shared" si="104"/>
        <v>669882.07048798224</v>
      </c>
      <c r="AE164" s="21">
        <f t="shared" si="104"/>
        <v>463499.63079656434</v>
      </c>
      <c r="AF164" s="21">
        <f t="shared" si="104"/>
        <v>231547.28174080982</v>
      </c>
    </row>
    <row r="165" spans="1:34" x14ac:dyDescent="0.25">
      <c r="A165" s="71">
        <f>SUM(B165:AF165)</f>
        <v>17824325.469896652</v>
      </c>
      <c r="B165" s="60">
        <f>IF($A$64&lt;=B129,IF($B$64&gt;=B129,ABS(B164),0),0)</f>
        <v>10141.841769970133</v>
      </c>
      <c r="C165" s="60">
        <f t="shared" ref="C165:AF165" si="105">IF($A$64&lt;=C129,IF($B$64&gt;=C129,ABS(C164),0),0)</f>
        <v>10156.219303799777</v>
      </c>
      <c r="D165" s="60">
        <f t="shared" si="105"/>
        <v>10148.733801172126</v>
      </c>
      <c r="E165" s="60">
        <f t="shared" si="105"/>
        <v>10146.764403747853</v>
      </c>
      <c r="F165" s="60">
        <f t="shared" si="105"/>
        <v>10146.196790474338</v>
      </c>
      <c r="G165" s="60">
        <f t="shared" si="105"/>
        <v>10146.023035425727</v>
      </c>
      <c r="H165" s="60">
        <f t="shared" si="105"/>
        <v>10145.965125915383</v>
      </c>
      <c r="I165" s="60">
        <f t="shared" si="105"/>
        <v>10145.930462939112</v>
      </c>
      <c r="J165" s="60">
        <f t="shared" si="105"/>
        <v>10145.896591335642</v>
      </c>
      <c r="K165" s="60">
        <f t="shared" si="105"/>
        <v>10145.615795611855</v>
      </c>
      <c r="L165" s="60">
        <f t="shared" si="105"/>
        <v>10142.831222118984</v>
      </c>
      <c r="M165" s="60">
        <f t="shared" si="105"/>
        <v>10114.98400971917</v>
      </c>
      <c r="N165" s="60">
        <f t="shared" si="105"/>
        <v>9841.0971740147634</v>
      </c>
      <c r="O165" s="60">
        <f t="shared" si="105"/>
        <v>7419.200013109501</v>
      </c>
      <c r="P165" s="60">
        <f t="shared" si="105"/>
        <v>54.565463792824517</v>
      </c>
      <c r="Q165" s="60">
        <f t="shared" si="105"/>
        <v>16036.064492604792</v>
      </c>
      <c r="R165" s="60">
        <f t="shared" si="105"/>
        <v>22150.850827462749</v>
      </c>
      <c r="S165" s="60">
        <f t="shared" si="105"/>
        <v>3020468.3658808707</v>
      </c>
      <c r="T165" s="60">
        <f t="shared" si="105"/>
        <v>3885773.0459313598</v>
      </c>
      <c r="U165" s="60">
        <f t="shared" si="105"/>
        <v>3280587.7685680441</v>
      </c>
      <c r="V165" s="60">
        <f t="shared" si="105"/>
        <v>2364985.462330576</v>
      </c>
      <c r="W165" s="60">
        <f t="shared" si="105"/>
        <v>841262.2060507267</v>
      </c>
      <c r="X165" s="60">
        <f t="shared" si="105"/>
        <v>13886.718216810217</v>
      </c>
      <c r="Y165" s="60">
        <f t="shared" si="105"/>
        <v>169978.70317138761</v>
      </c>
      <c r="Z165" s="60">
        <f t="shared" si="105"/>
        <v>378550.20415530133</v>
      </c>
      <c r="AA165" s="60">
        <f t="shared" si="105"/>
        <v>684520.16616953455</v>
      </c>
      <c r="AB165" s="60">
        <f t="shared" si="105"/>
        <v>833662.03037073265</v>
      </c>
      <c r="AC165" s="60">
        <f t="shared" si="105"/>
        <v>808493.0357427327</v>
      </c>
      <c r="AD165" s="60">
        <f t="shared" si="105"/>
        <v>669882.07048798224</v>
      </c>
      <c r="AE165" s="60">
        <f t="shared" si="105"/>
        <v>463499.63079656434</v>
      </c>
      <c r="AF165" s="60">
        <f t="shared" si="105"/>
        <v>231547.28174080982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6992.4086999997571</v>
      </c>
      <c r="C170" s="27">
        <f t="shared" ref="C170:AF170" si="106">($C$17+SUM(C171:C201))*$B$51</f>
        <v>6992.4086999975798</v>
      </c>
      <c r="D170" s="27">
        <f t="shared" si="106"/>
        <v>6992.4086999758174</v>
      </c>
      <c r="E170" s="27">
        <f t="shared" si="106"/>
        <v>6992.4086997581926</v>
      </c>
      <c r="F170" s="27">
        <f t="shared" si="106"/>
        <v>6992.4086975819373</v>
      </c>
      <c r="G170" s="27">
        <f t="shared" si="106"/>
        <v>6992.4086758193889</v>
      </c>
      <c r="H170" s="27">
        <f t="shared" si="106"/>
        <v>6992.4084581939114</v>
      </c>
      <c r="I170" s="27">
        <f t="shared" si="106"/>
        <v>6992.4062819401797</v>
      </c>
      <c r="J170" s="27">
        <f t="shared" si="106"/>
        <v>6992.3845195064569</v>
      </c>
      <c r="K170" s="27">
        <f t="shared" si="106"/>
        <v>6992.166905529115</v>
      </c>
      <c r="L170" s="27">
        <f t="shared" si="106"/>
        <v>6989.9918014128152</v>
      </c>
      <c r="M170" s="27">
        <f t="shared" si="106"/>
        <v>6968.343995050941</v>
      </c>
      <c r="N170" s="27">
        <f t="shared" si="106"/>
        <v>6761.8663096696991</v>
      </c>
      <c r="O170" s="27">
        <f t="shared" si="106"/>
        <v>5439.1664752587103</v>
      </c>
      <c r="P170" s="27">
        <f t="shared" si="106"/>
        <v>4478.3066491846912</v>
      </c>
      <c r="Q170" s="27">
        <f t="shared" si="106"/>
        <v>4478.130762222956</v>
      </c>
      <c r="R170" s="27">
        <f t="shared" si="106"/>
        <v>4478.0454887073593</v>
      </c>
      <c r="S170" s="27">
        <f t="shared" si="106"/>
        <v>4477.1937591774058</v>
      </c>
      <c r="T170" s="27">
        <f t="shared" si="106"/>
        <v>4468.7762085238273</v>
      </c>
      <c r="U170" s="27">
        <f t="shared" si="106"/>
        <v>4393.8052504137995</v>
      </c>
      <c r="V170" s="27">
        <f t="shared" si="106"/>
        <v>4108.4292202783654</v>
      </c>
      <c r="W170" s="27">
        <f t="shared" si="106"/>
        <v>3951.9652841260449</v>
      </c>
      <c r="X170" s="27">
        <f t="shared" si="106"/>
        <v>3769.618047260567</v>
      </c>
      <c r="Y170" s="27">
        <f t="shared" si="106"/>
        <v>3556.1066607140601</v>
      </c>
      <c r="Z170" s="27">
        <f t="shared" si="106"/>
        <v>3322.9718583593576</v>
      </c>
      <c r="AA170" s="27">
        <f t="shared" si="106"/>
        <v>3056.1362048563469</v>
      </c>
      <c r="AB170" s="27">
        <f t="shared" si="106"/>
        <v>2751.1745178379219</v>
      </c>
      <c r="AC170" s="27">
        <f t="shared" si="106"/>
        <v>2387.9019258175172</v>
      </c>
      <c r="AD170" s="27">
        <f t="shared" si="106"/>
        <v>1956.9437504263126</v>
      </c>
      <c r="AE170" s="27">
        <f t="shared" si="106"/>
        <v>1492.3333164315709</v>
      </c>
      <c r="AF170" s="27">
        <f t="shared" si="106"/>
        <v>1070.6136117693177</v>
      </c>
      <c r="AG170" s="27"/>
      <c r="AH170" s="27"/>
    </row>
    <row r="171" spans="1:34" x14ac:dyDescent="0.25">
      <c r="B171" s="3">
        <f t="shared" ref="B171:AF171" si="107">$C18*EXP(-B$168/$A18/EXP(-$C$126))</f>
        <v>0.35957115347278845</v>
      </c>
      <c r="C171" s="3">
        <f t="shared" si="107"/>
        <v>0.3595711534724772</v>
      </c>
      <c r="D171" s="3">
        <f t="shared" si="107"/>
        <v>0.35957115346936491</v>
      </c>
      <c r="E171" s="3">
        <f t="shared" si="107"/>
        <v>0.35957115343824181</v>
      </c>
      <c r="F171" s="3">
        <f t="shared" si="107"/>
        <v>0.35957115312701077</v>
      </c>
      <c r="G171" s="3">
        <f t="shared" si="107"/>
        <v>0.35957115001470014</v>
      </c>
      <c r="H171" s="3">
        <f t="shared" si="107"/>
        <v>0.35957111889159538</v>
      </c>
      <c r="I171" s="3">
        <f t="shared" si="107"/>
        <v>0.35957080766069621</v>
      </c>
      <c r="J171" s="3">
        <f t="shared" si="107"/>
        <v>0.35956769536652067</v>
      </c>
      <c r="K171" s="3">
        <f t="shared" si="107"/>
        <v>0.35953657390635579</v>
      </c>
      <c r="L171" s="3">
        <f t="shared" si="107"/>
        <v>0.35922550741634723</v>
      </c>
      <c r="M171" s="3">
        <f t="shared" si="107"/>
        <v>0.35612960635595464</v>
      </c>
      <c r="N171" s="3">
        <f t="shared" si="107"/>
        <v>0.32660077220002609</v>
      </c>
      <c r="O171" s="3">
        <f t="shared" si="107"/>
        <v>0.13743852412858509</v>
      </c>
      <c r="P171" s="3">
        <f t="shared" si="107"/>
        <v>2.3934328055958793E-5</v>
      </c>
      <c r="Q171" s="3">
        <f t="shared" si="107"/>
        <v>6.1397233760047195E-43</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5.3087681466497318E-2</v>
      </c>
      <c r="C172" s="3">
        <f t="shared" si="108"/>
        <v>5.3087681466497318E-2</v>
      </c>
      <c r="D172" s="3">
        <f t="shared" si="108"/>
        <v>5.3087681466497318E-2</v>
      </c>
      <c r="E172" s="3">
        <f t="shared" si="108"/>
        <v>5.3087681466497318E-2</v>
      </c>
      <c r="F172" s="3">
        <f t="shared" si="108"/>
        <v>5.3087681466497304E-2</v>
      </c>
      <c r="G172" s="3">
        <f t="shared" si="108"/>
        <v>5.3087681466497186E-2</v>
      </c>
      <c r="H172" s="3">
        <f t="shared" si="108"/>
        <v>5.3087681466496006E-2</v>
      </c>
      <c r="I172" s="3">
        <f t="shared" si="108"/>
        <v>5.3087681466484238E-2</v>
      </c>
      <c r="J172" s="3">
        <f t="shared" si="108"/>
        <v>5.308768146636654E-2</v>
      </c>
      <c r="K172" s="3">
        <f t="shared" si="108"/>
        <v>5.3087681465189489E-2</v>
      </c>
      <c r="L172" s="3">
        <f t="shared" si="108"/>
        <v>5.3087681453419015E-2</v>
      </c>
      <c r="M172" s="3">
        <f t="shared" si="108"/>
        <v>5.3087681335714329E-2</v>
      </c>
      <c r="N172" s="3">
        <f t="shared" si="108"/>
        <v>5.3087680158667459E-2</v>
      </c>
      <c r="O172" s="3">
        <f t="shared" si="108"/>
        <v>5.3087668388200185E-2</v>
      </c>
      <c r="P172" s="3">
        <f t="shared" si="108"/>
        <v>5.3087550683670971E-2</v>
      </c>
      <c r="Q172" s="3">
        <f t="shared" si="108"/>
        <v>5.3086373652732152E-2</v>
      </c>
      <c r="R172" s="3">
        <f t="shared" si="108"/>
        <v>5.3074604778558673E-2</v>
      </c>
      <c r="S172" s="3">
        <f t="shared" si="108"/>
        <v>5.295705944062435E-2</v>
      </c>
      <c r="T172" s="3">
        <f t="shared" si="108"/>
        <v>5.1795829493770033E-2</v>
      </c>
      <c r="U172" s="3">
        <f t="shared" si="108"/>
        <v>4.149579588925599E-2</v>
      </c>
      <c r="V172" s="3">
        <f t="shared" si="108"/>
        <v>4.5195704554117254E-3</v>
      </c>
      <c r="W172" s="3">
        <f t="shared" si="108"/>
        <v>1.0617634791667187E-12</v>
      </c>
      <c r="X172" s="3">
        <f t="shared" si="108"/>
        <v>5.4366829148655357E-109</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1.8548614905856641E-2</v>
      </c>
      <c r="C173" s="3">
        <f t="shared" si="109"/>
        <v>1.8548614905856641E-2</v>
      </c>
      <c r="D173" s="3">
        <f t="shared" si="109"/>
        <v>1.8548614905856641E-2</v>
      </c>
      <c r="E173" s="3">
        <f t="shared" si="109"/>
        <v>1.8548614905856641E-2</v>
      </c>
      <c r="F173" s="3">
        <f t="shared" si="109"/>
        <v>1.8548614905856641E-2</v>
      </c>
      <c r="G173" s="3">
        <f t="shared" si="109"/>
        <v>1.8548614905856638E-2</v>
      </c>
      <c r="H173" s="3">
        <f t="shared" si="109"/>
        <v>1.85486149058566E-2</v>
      </c>
      <c r="I173" s="3">
        <f t="shared" si="109"/>
        <v>1.8548614905856228E-2</v>
      </c>
      <c r="J173" s="3">
        <f t="shared" si="109"/>
        <v>1.8548614905852519E-2</v>
      </c>
      <c r="K173" s="3">
        <f t="shared" si="109"/>
        <v>1.8548614905815421E-2</v>
      </c>
      <c r="L173" s="3">
        <f t="shared" si="109"/>
        <v>1.8548614905444433E-2</v>
      </c>
      <c r="M173" s="3">
        <f t="shared" si="109"/>
        <v>1.854861490173457E-2</v>
      </c>
      <c r="N173" s="3">
        <f t="shared" si="109"/>
        <v>1.8548614864635923E-2</v>
      </c>
      <c r="O173" s="3">
        <f t="shared" si="109"/>
        <v>1.8548614493649449E-2</v>
      </c>
      <c r="P173" s="3">
        <f t="shared" si="109"/>
        <v>1.8548610783785124E-2</v>
      </c>
      <c r="Q173" s="3">
        <f t="shared" si="109"/>
        <v>1.8548573685182684E-2</v>
      </c>
      <c r="R173" s="3">
        <f t="shared" si="109"/>
        <v>1.8548202703239248E-2</v>
      </c>
      <c r="S173" s="3">
        <f t="shared" si="109"/>
        <v>1.8544493291872081E-2</v>
      </c>
      <c r="T173" s="3">
        <f t="shared" si="109"/>
        <v>1.8507439954735378E-2</v>
      </c>
      <c r="U173" s="3">
        <f t="shared" si="109"/>
        <v>1.8140954221837084E-2</v>
      </c>
      <c r="V173" s="3">
        <f t="shared" si="109"/>
        <v>1.4852443569684159E-2</v>
      </c>
      <c r="W173" s="3">
        <f t="shared" si="109"/>
        <v>2.0099060014491296E-3</v>
      </c>
      <c r="X173" s="3">
        <f t="shared" si="109"/>
        <v>4.1395592846151617E-12</v>
      </c>
      <c r="Y173" s="3">
        <f t="shared" si="109"/>
        <v>5.685094710012113E-99</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2.7428318800719304E-2</v>
      </c>
      <c r="C174" s="3">
        <f t="shared" si="110"/>
        <v>2.7428318800719304E-2</v>
      </c>
      <c r="D174" s="3">
        <f t="shared" si="110"/>
        <v>2.7428318800719304E-2</v>
      </c>
      <c r="E174" s="3">
        <f t="shared" si="110"/>
        <v>2.7428318800719304E-2</v>
      </c>
      <c r="F174" s="3">
        <f t="shared" si="110"/>
        <v>2.7428318800719304E-2</v>
      </c>
      <c r="G174" s="3">
        <f t="shared" si="110"/>
        <v>2.7428318800719304E-2</v>
      </c>
      <c r="H174" s="3">
        <f t="shared" si="110"/>
        <v>2.7428318800719297E-2</v>
      </c>
      <c r="I174" s="3">
        <f t="shared" si="110"/>
        <v>2.7428318800719248E-2</v>
      </c>
      <c r="J174" s="3">
        <f t="shared" si="110"/>
        <v>2.7428318800718752E-2</v>
      </c>
      <c r="K174" s="3">
        <f t="shared" si="110"/>
        <v>2.7428318800713804E-2</v>
      </c>
      <c r="L174" s="3">
        <f t="shared" si="110"/>
        <v>2.7428318800664316E-2</v>
      </c>
      <c r="M174" s="3">
        <f t="shared" si="110"/>
        <v>2.7428318800169445E-2</v>
      </c>
      <c r="N174" s="3">
        <f t="shared" si="110"/>
        <v>2.742831879522073E-2</v>
      </c>
      <c r="O174" s="3">
        <f t="shared" si="110"/>
        <v>2.742831874573359E-2</v>
      </c>
      <c r="P174" s="3">
        <f t="shared" si="110"/>
        <v>2.7428318250862171E-2</v>
      </c>
      <c r="Q174" s="3">
        <f t="shared" si="110"/>
        <v>2.7428313302148496E-2</v>
      </c>
      <c r="R174" s="3">
        <f t="shared" si="110"/>
        <v>2.7428263815060826E-2</v>
      </c>
      <c r="S174" s="3">
        <f t="shared" si="110"/>
        <v>2.7427768949094867E-2</v>
      </c>
      <c r="T174" s="3">
        <f t="shared" si="110"/>
        <v>2.7422820780474293E-2</v>
      </c>
      <c r="U174" s="3">
        <f t="shared" si="110"/>
        <v>2.7373388165410056E-2</v>
      </c>
      <c r="V174" s="3">
        <f t="shared" si="110"/>
        <v>2.6883936528130526E-2</v>
      </c>
      <c r="W174" s="3">
        <f t="shared" si="110"/>
        <v>2.2445842745343083E-2</v>
      </c>
      <c r="X174" s="3">
        <f t="shared" si="110"/>
        <v>3.6945917965039831E-3</v>
      </c>
      <c r="Y174" s="3">
        <f t="shared" si="110"/>
        <v>5.3935153372219569E-11</v>
      </c>
      <c r="Z174" s="3">
        <f t="shared" si="110"/>
        <v>2.3709723135430406E-89</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3.2244311763005913E-2</v>
      </c>
      <c r="C175" s="3">
        <f t="shared" si="111"/>
        <v>3.2244311763005913E-2</v>
      </c>
      <c r="D175" s="3">
        <f t="shared" si="111"/>
        <v>3.2244311763005913E-2</v>
      </c>
      <c r="E175" s="3">
        <f t="shared" si="111"/>
        <v>3.2244311763005913E-2</v>
      </c>
      <c r="F175" s="3">
        <f t="shared" si="111"/>
        <v>3.2244311763005913E-2</v>
      </c>
      <c r="G175" s="3">
        <f t="shared" si="111"/>
        <v>3.2244311763005913E-2</v>
      </c>
      <c r="H175" s="3">
        <f t="shared" si="111"/>
        <v>3.2244311763005913E-2</v>
      </c>
      <c r="I175" s="3">
        <f t="shared" si="111"/>
        <v>3.2244311763005906E-2</v>
      </c>
      <c r="J175" s="3">
        <f t="shared" si="111"/>
        <v>3.2244311763005858E-2</v>
      </c>
      <c r="K175" s="3">
        <f t="shared" si="111"/>
        <v>3.224431176300533E-2</v>
      </c>
      <c r="L175" s="3">
        <f t="shared" si="111"/>
        <v>3.2244311763000084E-2</v>
      </c>
      <c r="M175" s="3">
        <f t="shared" si="111"/>
        <v>3.2244311762947599E-2</v>
      </c>
      <c r="N175" s="3">
        <f t="shared" si="111"/>
        <v>3.2244311762422803E-2</v>
      </c>
      <c r="O175" s="3">
        <f t="shared" si="111"/>
        <v>3.2244311757174814E-2</v>
      </c>
      <c r="P175" s="3">
        <f t="shared" si="111"/>
        <v>3.2244311704694925E-2</v>
      </c>
      <c r="Q175" s="3">
        <f t="shared" si="111"/>
        <v>3.2244311179896061E-2</v>
      </c>
      <c r="R175" s="3">
        <f t="shared" si="111"/>
        <v>3.224430593190792E-2</v>
      </c>
      <c r="S175" s="3">
        <f t="shared" si="111"/>
        <v>3.22442534520734E-2</v>
      </c>
      <c r="T175" s="3">
        <f t="shared" si="111"/>
        <v>3.2243728658425973E-2</v>
      </c>
      <c r="U175" s="3">
        <f t="shared" si="111"/>
        <v>3.2238481191701196E-2</v>
      </c>
      <c r="V175" s="3">
        <f t="shared" si="111"/>
        <v>3.2186053471124208E-2</v>
      </c>
      <c r="W175" s="3">
        <f t="shared" si="111"/>
        <v>3.1666442783754786E-2</v>
      </c>
      <c r="X175" s="3">
        <f t="shared" si="111"/>
        <v>2.6910068089863671E-2</v>
      </c>
      <c r="Y175" s="3">
        <f t="shared" si="111"/>
        <v>5.2853038785516115E-3</v>
      </c>
      <c r="Z175" s="3">
        <f t="shared" si="111"/>
        <v>4.5146243209420126E-10</v>
      </c>
      <c r="AA175" s="3">
        <f t="shared" si="111"/>
        <v>9.3355124873645427E-81</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3.4402319244329078E-2</v>
      </c>
      <c r="C176" s="3">
        <f t="shared" si="112"/>
        <v>3.4402319244329078E-2</v>
      </c>
      <c r="D176" s="3">
        <f t="shared" si="112"/>
        <v>3.4402319244329078E-2</v>
      </c>
      <c r="E176" s="3">
        <f t="shared" si="112"/>
        <v>3.4402319244329078E-2</v>
      </c>
      <c r="F176" s="3">
        <f t="shared" si="112"/>
        <v>3.4402319244329078E-2</v>
      </c>
      <c r="G176" s="3">
        <f t="shared" si="112"/>
        <v>3.4402319244329078E-2</v>
      </c>
      <c r="H176" s="3">
        <f t="shared" si="112"/>
        <v>3.4402319244329078E-2</v>
      </c>
      <c r="I176" s="3">
        <f t="shared" si="112"/>
        <v>3.4402319244329078E-2</v>
      </c>
      <c r="J176" s="3">
        <f t="shared" si="112"/>
        <v>3.4402319244329072E-2</v>
      </c>
      <c r="K176" s="3">
        <f t="shared" si="112"/>
        <v>3.4402319244329023E-2</v>
      </c>
      <c r="L176" s="3">
        <f t="shared" si="112"/>
        <v>3.4402319244328516E-2</v>
      </c>
      <c r="M176" s="3">
        <f t="shared" si="112"/>
        <v>3.4402319244323465E-2</v>
      </c>
      <c r="N176" s="3">
        <f t="shared" si="112"/>
        <v>3.4402319244272957E-2</v>
      </c>
      <c r="O176" s="3">
        <f t="shared" si="112"/>
        <v>3.4402319243767861E-2</v>
      </c>
      <c r="P176" s="3">
        <f t="shared" si="112"/>
        <v>3.4402319238716901E-2</v>
      </c>
      <c r="Q176" s="3">
        <f t="shared" si="112"/>
        <v>3.4402319188207284E-2</v>
      </c>
      <c r="R176" s="3">
        <f t="shared" si="112"/>
        <v>3.4402318683111097E-2</v>
      </c>
      <c r="S176" s="3">
        <f t="shared" si="112"/>
        <v>3.4402313632149684E-2</v>
      </c>
      <c r="T176" s="3">
        <f t="shared" si="112"/>
        <v>3.4402263122576313E-2</v>
      </c>
      <c r="U176" s="3">
        <f t="shared" si="112"/>
        <v>3.4401758030921305E-2</v>
      </c>
      <c r="V176" s="3">
        <f t="shared" si="112"/>
        <v>3.4396707522217906E-2</v>
      </c>
      <c r="W176" s="3">
        <f t="shared" si="112"/>
        <v>3.4346243197705219E-2</v>
      </c>
      <c r="X176" s="3">
        <f t="shared" si="112"/>
        <v>3.3845654147756525E-2</v>
      </c>
      <c r="Y176" s="3">
        <f t="shared" si="112"/>
        <v>2.9223997888911626E-2</v>
      </c>
      <c r="Z176" s="3">
        <f t="shared" si="112"/>
        <v>6.7314214647929103E-3</v>
      </c>
      <c r="AA176" s="3">
        <f t="shared" si="112"/>
        <v>2.8299472317109185E-9</v>
      </c>
      <c r="AB176" s="3">
        <f t="shared" si="112"/>
        <v>4.8808322402913195E-73</v>
      </c>
      <c r="AC176" s="3">
        <f t="shared" si="112"/>
        <v>0</v>
      </c>
      <c r="AD176" s="3">
        <f t="shared" si="112"/>
        <v>0</v>
      </c>
      <c r="AE176" s="3">
        <f t="shared" si="112"/>
        <v>0</v>
      </c>
      <c r="AF176" s="3">
        <f t="shared" si="112"/>
        <v>0</v>
      </c>
      <c r="AG176" s="3"/>
      <c r="AH176" s="3"/>
    </row>
    <row r="177" spans="2:34" x14ac:dyDescent="0.25">
      <c r="B177" s="3">
        <f t="shared" ref="B177:AF177" si="113">$C24*EXP(-B$168/$A24/EXP(-$C$126))</f>
        <v>4.0521812648841492E-2</v>
      </c>
      <c r="C177" s="3">
        <f t="shared" si="113"/>
        <v>4.0521812648841492E-2</v>
      </c>
      <c r="D177" s="3">
        <f t="shared" si="113"/>
        <v>4.0521812648841492E-2</v>
      </c>
      <c r="E177" s="3">
        <f t="shared" si="113"/>
        <v>4.0521812648841492E-2</v>
      </c>
      <c r="F177" s="3">
        <f t="shared" si="113"/>
        <v>4.0521812648841492E-2</v>
      </c>
      <c r="G177" s="3">
        <f t="shared" si="113"/>
        <v>4.0521812648841492E-2</v>
      </c>
      <c r="H177" s="3">
        <f t="shared" si="113"/>
        <v>4.0521812648841492E-2</v>
      </c>
      <c r="I177" s="3">
        <f t="shared" si="113"/>
        <v>4.0521812648841492E-2</v>
      </c>
      <c r="J177" s="3">
        <f t="shared" si="113"/>
        <v>4.0521812648841492E-2</v>
      </c>
      <c r="K177" s="3">
        <f t="shared" si="113"/>
        <v>4.0521812648841485E-2</v>
      </c>
      <c r="L177" s="3">
        <f t="shared" si="113"/>
        <v>4.0521812648841436E-2</v>
      </c>
      <c r="M177" s="3">
        <f t="shared" si="113"/>
        <v>4.0521812648840895E-2</v>
      </c>
      <c r="N177" s="3">
        <f t="shared" si="113"/>
        <v>4.0521812648835524E-2</v>
      </c>
      <c r="O177" s="3">
        <f t="shared" si="113"/>
        <v>4.0521812648781859E-2</v>
      </c>
      <c r="P177" s="3">
        <f t="shared" si="113"/>
        <v>4.052181264824517E-2</v>
      </c>
      <c r="Q177" s="3">
        <f t="shared" si="113"/>
        <v>4.0521812642878297E-2</v>
      </c>
      <c r="R177" s="3">
        <f t="shared" si="113"/>
        <v>4.0521812589209498E-2</v>
      </c>
      <c r="S177" s="3">
        <f t="shared" si="113"/>
        <v>4.0521812052521582E-2</v>
      </c>
      <c r="T177" s="3">
        <f t="shared" si="113"/>
        <v>4.0521806685642772E-2</v>
      </c>
      <c r="U177" s="3">
        <f t="shared" si="113"/>
        <v>4.0521753016893799E-2</v>
      </c>
      <c r="V177" s="3">
        <f t="shared" si="113"/>
        <v>4.0521216333313514E-2</v>
      </c>
      <c r="W177" s="3">
        <f t="shared" si="113"/>
        <v>4.0515849888435984E-2</v>
      </c>
      <c r="X177" s="3">
        <f t="shared" si="113"/>
        <v>4.0462224513044709E-2</v>
      </c>
      <c r="Y177" s="3">
        <f t="shared" si="113"/>
        <v>3.9929859017517319E-2</v>
      </c>
      <c r="Z177" s="3">
        <f t="shared" si="113"/>
        <v>3.4976632156132212E-2</v>
      </c>
      <c r="AA177" s="3">
        <f t="shared" si="113"/>
        <v>9.3020810210299835E-3</v>
      </c>
      <c r="AB177" s="3">
        <f t="shared" si="113"/>
        <v>1.6466503866178918E-8</v>
      </c>
      <c r="AC177" s="3">
        <f t="shared" si="113"/>
        <v>4.9752421838967465E-66</v>
      </c>
      <c r="AD177" s="3">
        <f t="shared" si="113"/>
        <v>0</v>
      </c>
      <c r="AE177" s="3">
        <f t="shared" si="113"/>
        <v>0</v>
      </c>
      <c r="AF177" s="3">
        <f t="shared" si="113"/>
        <v>0</v>
      </c>
      <c r="AG177" s="3"/>
      <c r="AH177" s="3"/>
    </row>
    <row r="178" spans="2:34" x14ac:dyDescent="0.25">
      <c r="B178" s="3">
        <f t="shared" ref="B178:AF178" si="114">$C25*EXP(-B$168/$A25/EXP(-$C$126))</f>
        <v>4.571082615945813E-2</v>
      </c>
      <c r="C178" s="3">
        <f t="shared" si="114"/>
        <v>4.571082615945813E-2</v>
      </c>
      <c r="D178" s="3">
        <f t="shared" si="114"/>
        <v>4.571082615945813E-2</v>
      </c>
      <c r="E178" s="3">
        <f t="shared" si="114"/>
        <v>4.571082615945813E-2</v>
      </c>
      <c r="F178" s="3">
        <f t="shared" si="114"/>
        <v>4.571082615945813E-2</v>
      </c>
      <c r="G178" s="3">
        <f t="shared" si="114"/>
        <v>4.571082615945813E-2</v>
      </c>
      <c r="H178" s="3">
        <f t="shared" si="114"/>
        <v>4.571082615945813E-2</v>
      </c>
      <c r="I178" s="3">
        <f t="shared" si="114"/>
        <v>4.571082615945813E-2</v>
      </c>
      <c r="J178" s="3">
        <f t="shared" si="114"/>
        <v>4.571082615945813E-2</v>
      </c>
      <c r="K178" s="3">
        <f t="shared" si="114"/>
        <v>4.571082615945813E-2</v>
      </c>
      <c r="L178" s="3">
        <f t="shared" si="114"/>
        <v>4.5710826159458123E-2</v>
      </c>
      <c r="M178" s="3">
        <f t="shared" si="114"/>
        <v>4.5710826159458068E-2</v>
      </c>
      <c r="N178" s="3">
        <f t="shared" si="114"/>
        <v>4.571082615945752E-2</v>
      </c>
      <c r="O178" s="3">
        <f t="shared" si="114"/>
        <v>4.5710826159452059E-2</v>
      </c>
      <c r="P178" s="3">
        <f t="shared" si="114"/>
        <v>4.571082615939745E-2</v>
      </c>
      <c r="Q178" s="3">
        <f t="shared" si="114"/>
        <v>4.5710826158851317E-2</v>
      </c>
      <c r="R178" s="3">
        <f t="shared" si="114"/>
        <v>4.5710826153389984E-2</v>
      </c>
      <c r="S178" s="3">
        <f t="shared" si="114"/>
        <v>4.5710826098776657E-2</v>
      </c>
      <c r="T178" s="3">
        <f t="shared" si="114"/>
        <v>4.5710825552643407E-2</v>
      </c>
      <c r="U178" s="3">
        <f t="shared" si="114"/>
        <v>4.5710820091311277E-2</v>
      </c>
      <c r="V178" s="3">
        <f t="shared" si="114"/>
        <v>4.5710765478025848E-2</v>
      </c>
      <c r="W178" s="3">
        <f t="shared" si="114"/>
        <v>4.5710219348760267E-2</v>
      </c>
      <c r="X178" s="3">
        <f t="shared" si="114"/>
        <v>4.5704758414959919E-2</v>
      </c>
      <c r="Y178" s="3">
        <f t="shared" si="114"/>
        <v>4.5650184946641435E-2</v>
      </c>
      <c r="Z178" s="3">
        <f t="shared" si="114"/>
        <v>4.5108021425956407E-2</v>
      </c>
      <c r="AA178" s="3">
        <f t="shared" si="114"/>
        <v>4.0028207720993969E-2</v>
      </c>
      <c r="AB178" s="3">
        <f t="shared" si="114"/>
        <v>1.2119642591474687E-2</v>
      </c>
      <c r="AC178" s="3">
        <f t="shared" si="114"/>
        <v>7.8474126637843112E-8</v>
      </c>
      <c r="AD178" s="3">
        <f t="shared" si="114"/>
        <v>1.0164669783276695E-59</v>
      </c>
      <c r="AE178" s="3">
        <f t="shared" si="114"/>
        <v>0</v>
      </c>
      <c r="AF178" s="3">
        <f t="shared" si="114"/>
        <v>0</v>
      </c>
      <c r="AG178" s="3"/>
      <c r="AH178" s="3"/>
    </row>
    <row r="179" spans="2:34" x14ac:dyDescent="0.25">
      <c r="B179" s="3">
        <f t="shared" ref="B179:AF179" si="115">$C26*EXP(-B$168/$A26/EXP(-$C$126))</f>
        <v>5.619956404185248E-2</v>
      </c>
      <c r="C179" s="3">
        <f t="shared" si="115"/>
        <v>5.619956404185248E-2</v>
      </c>
      <c r="D179" s="3">
        <f t="shared" si="115"/>
        <v>5.619956404185248E-2</v>
      </c>
      <c r="E179" s="3">
        <f t="shared" si="115"/>
        <v>5.619956404185248E-2</v>
      </c>
      <c r="F179" s="3">
        <f t="shared" si="115"/>
        <v>5.619956404185248E-2</v>
      </c>
      <c r="G179" s="3">
        <f t="shared" si="115"/>
        <v>5.619956404185248E-2</v>
      </c>
      <c r="H179" s="3">
        <f t="shared" si="115"/>
        <v>5.619956404185248E-2</v>
      </c>
      <c r="I179" s="3">
        <f t="shared" si="115"/>
        <v>5.619956404185248E-2</v>
      </c>
      <c r="J179" s="3">
        <f t="shared" si="115"/>
        <v>5.619956404185248E-2</v>
      </c>
      <c r="K179" s="3">
        <f t="shared" si="115"/>
        <v>5.619956404185248E-2</v>
      </c>
      <c r="L179" s="3">
        <f t="shared" si="115"/>
        <v>5.619956404185248E-2</v>
      </c>
      <c r="M179" s="3">
        <f t="shared" si="115"/>
        <v>5.6199564041852473E-2</v>
      </c>
      <c r="N179" s="3">
        <f t="shared" si="115"/>
        <v>5.6199564041852411E-2</v>
      </c>
      <c r="O179" s="3">
        <f t="shared" si="115"/>
        <v>5.6199564041851807E-2</v>
      </c>
      <c r="P179" s="3">
        <f t="shared" si="115"/>
        <v>5.619956404184575E-2</v>
      </c>
      <c r="Q179" s="3">
        <f t="shared" si="115"/>
        <v>5.619956404178518E-2</v>
      </c>
      <c r="R179" s="3">
        <f t="shared" si="115"/>
        <v>5.6199564041179477E-2</v>
      </c>
      <c r="S179" s="3">
        <f t="shared" si="115"/>
        <v>5.6199564035122461E-2</v>
      </c>
      <c r="T179" s="3">
        <f t="shared" si="115"/>
        <v>5.6199563974552245E-2</v>
      </c>
      <c r="U179" s="3">
        <f t="shared" si="115"/>
        <v>5.6199563368850132E-2</v>
      </c>
      <c r="V179" s="3">
        <f t="shared" si="115"/>
        <v>5.6199557311829421E-2</v>
      </c>
      <c r="W179" s="3">
        <f t="shared" si="115"/>
        <v>5.6199496741658167E-2</v>
      </c>
      <c r="X179" s="3">
        <f t="shared" si="115"/>
        <v>5.6198891043536009E-2</v>
      </c>
      <c r="Y179" s="3">
        <f t="shared" si="115"/>
        <v>5.6192834421342763E-2</v>
      </c>
      <c r="Z179" s="3">
        <f t="shared" si="115"/>
        <v>5.6132304087926667E-2</v>
      </c>
      <c r="AA179" s="3">
        <f t="shared" si="115"/>
        <v>5.5530575335128077E-2</v>
      </c>
      <c r="AB179" s="3">
        <f t="shared" si="115"/>
        <v>4.9856893091916293E-2</v>
      </c>
      <c r="AC179" s="3">
        <f t="shared" si="115"/>
        <v>1.6968974354997127E-2</v>
      </c>
      <c r="AD179" s="3">
        <f t="shared" si="115"/>
        <v>3.5396426033836809E-7</v>
      </c>
      <c r="AE179" s="3">
        <f t="shared" si="115"/>
        <v>5.5207441003824564E-54</v>
      </c>
      <c r="AF179" s="3">
        <f t="shared" si="115"/>
        <v>0</v>
      </c>
      <c r="AG179" s="3"/>
      <c r="AH179" s="3"/>
    </row>
    <row r="180" spans="2:34" x14ac:dyDescent="0.25">
      <c r="B180" s="3">
        <f t="shared" ref="B180:AF180" si="116">$C27*EXP(-B$168/$A27/EXP(-$C$126))</f>
        <v>6.8321253158217701E-2</v>
      </c>
      <c r="C180" s="3">
        <f t="shared" si="116"/>
        <v>6.8321253158217701E-2</v>
      </c>
      <c r="D180" s="3">
        <f t="shared" si="116"/>
        <v>6.8321253158217701E-2</v>
      </c>
      <c r="E180" s="3">
        <f t="shared" si="116"/>
        <v>6.8321253158217701E-2</v>
      </c>
      <c r="F180" s="3">
        <f t="shared" si="116"/>
        <v>6.8321253158217701E-2</v>
      </c>
      <c r="G180" s="3">
        <f t="shared" si="116"/>
        <v>6.8321253158217701E-2</v>
      </c>
      <c r="H180" s="3">
        <f t="shared" si="116"/>
        <v>6.8321253158217701E-2</v>
      </c>
      <c r="I180" s="3">
        <f t="shared" si="116"/>
        <v>6.8321253158217701E-2</v>
      </c>
      <c r="J180" s="3">
        <f t="shared" si="116"/>
        <v>6.8321253158217701E-2</v>
      </c>
      <c r="K180" s="3">
        <f t="shared" si="116"/>
        <v>6.8321253158217701E-2</v>
      </c>
      <c r="L180" s="3">
        <f t="shared" si="116"/>
        <v>6.8321253158217701E-2</v>
      </c>
      <c r="M180" s="3">
        <f t="shared" si="116"/>
        <v>6.8321253158217701E-2</v>
      </c>
      <c r="N180" s="3">
        <f t="shared" si="116"/>
        <v>6.8321253158217687E-2</v>
      </c>
      <c r="O180" s="3">
        <f t="shared" si="116"/>
        <v>6.8321253158217632E-2</v>
      </c>
      <c r="P180" s="3">
        <f t="shared" si="116"/>
        <v>6.8321253158216966E-2</v>
      </c>
      <c r="Q180" s="3">
        <f t="shared" si="116"/>
        <v>6.8321253158210318E-2</v>
      </c>
      <c r="R180" s="3">
        <f t="shared" si="116"/>
        <v>6.8321253158143899E-2</v>
      </c>
      <c r="S180" s="3">
        <f t="shared" si="116"/>
        <v>6.8321253157479653E-2</v>
      </c>
      <c r="T180" s="3">
        <f t="shared" si="116"/>
        <v>6.8321253150837202E-2</v>
      </c>
      <c r="U180" s="3">
        <f t="shared" si="116"/>
        <v>6.8321253084412656E-2</v>
      </c>
      <c r="V180" s="3">
        <f t="shared" si="116"/>
        <v>6.8321252420167261E-2</v>
      </c>
      <c r="W180" s="3">
        <f t="shared" si="116"/>
        <v>6.832124577771366E-2</v>
      </c>
      <c r="X180" s="3">
        <f t="shared" si="116"/>
        <v>6.8321179353213107E-2</v>
      </c>
      <c r="Y180" s="3">
        <f t="shared" si="116"/>
        <v>6.8320515111759586E-2</v>
      </c>
      <c r="Z180" s="3">
        <f t="shared" si="116"/>
        <v>6.8313873052402802E-2</v>
      </c>
      <c r="AA180" s="3">
        <f t="shared" si="116"/>
        <v>6.8247487963907422E-2</v>
      </c>
      <c r="AB180" s="3">
        <f t="shared" si="116"/>
        <v>6.758717484717093E-2</v>
      </c>
      <c r="AC180" s="3">
        <f t="shared" si="116"/>
        <v>6.1325418376981307E-2</v>
      </c>
      <c r="AD180" s="3">
        <f t="shared" si="116"/>
        <v>2.3195449054676655E-2</v>
      </c>
      <c r="AE180" s="3">
        <f t="shared" si="116"/>
        <v>1.3900340354704865E-6</v>
      </c>
      <c r="AF180" s="3">
        <f t="shared" si="116"/>
        <v>8.3033229467014141E-49</v>
      </c>
      <c r="AG180" s="3"/>
      <c r="AH180" s="3"/>
    </row>
    <row r="181" spans="2:34" x14ac:dyDescent="0.25">
      <c r="B181" s="3">
        <f t="shared" ref="B181:AF181" si="117">$C28*EXP(-B$168/$A28/EXP(-$C$126))</f>
        <v>7.2516023247876399E-2</v>
      </c>
      <c r="C181" s="3">
        <f t="shared" si="117"/>
        <v>7.2516023247876399E-2</v>
      </c>
      <c r="D181" s="3">
        <f t="shared" si="117"/>
        <v>7.2516023247876399E-2</v>
      </c>
      <c r="E181" s="3">
        <f t="shared" si="117"/>
        <v>7.2516023247876399E-2</v>
      </c>
      <c r="F181" s="3">
        <f t="shared" si="117"/>
        <v>7.2516023247876399E-2</v>
      </c>
      <c r="G181" s="3">
        <f t="shared" si="117"/>
        <v>7.2516023247876399E-2</v>
      </c>
      <c r="H181" s="3">
        <f t="shared" si="117"/>
        <v>7.2516023247876399E-2</v>
      </c>
      <c r="I181" s="3">
        <f t="shared" si="117"/>
        <v>7.2516023247876399E-2</v>
      </c>
      <c r="J181" s="3">
        <f t="shared" si="117"/>
        <v>7.2516023247876399E-2</v>
      </c>
      <c r="K181" s="3">
        <f t="shared" si="117"/>
        <v>7.2516023247876399E-2</v>
      </c>
      <c r="L181" s="3">
        <f t="shared" si="117"/>
        <v>7.2516023247876399E-2</v>
      </c>
      <c r="M181" s="3">
        <f t="shared" si="117"/>
        <v>7.2516023247876399E-2</v>
      </c>
      <c r="N181" s="3">
        <f t="shared" si="117"/>
        <v>7.2516023247876399E-2</v>
      </c>
      <c r="O181" s="3">
        <f t="shared" si="117"/>
        <v>7.2516023247876385E-2</v>
      </c>
      <c r="P181" s="3">
        <f t="shared" si="117"/>
        <v>7.2516023247876329E-2</v>
      </c>
      <c r="Q181" s="3">
        <f t="shared" si="117"/>
        <v>7.2516023247875691E-2</v>
      </c>
      <c r="R181" s="3">
        <f t="shared" si="117"/>
        <v>7.2516023247869335E-2</v>
      </c>
      <c r="S181" s="3">
        <f t="shared" si="117"/>
        <v>7.2516023247805733E-2</v>
      </c>
      <c r="T181" s="3">
        <f t="shared" si="117"/>
        <v>7.2516023247169742E-2</v>
      </c>
      <c r="U181" s="3">
        <f t="shared" si="117"/>
        <v>7.2516023240809802E-2</v>
      </c>
      <c r="V181" s="3">
        <f t="shared" si="117"/>
        <v>7.2516023177210356E-2</v>
      </c>
      <c r="W181" s="3">
        <f t="shared" si="117"/>
        <v>7.2516022541215933E-2</v>
      </c>
      <c r="X181" s="3">
        <f t="shared" si="117"/>
        <v>7.2516016181272125E-2</v>
      </c>
      <c r="Y181" s="3">
        <f t="shared" si="117"/>
        <v>7.2515952581864634E-2</v>
      </c>
      <c r="Z181" s="3">
        <f t="shared" si="117"/>
        <v>7.2515316590857609E-2</v>
      </c>
      <c r="AA181" s="3">
        <f t="shared" si="117"/>
        <v>7.2508956987562115E-2</v>
      </c>
      <c r="AB181" s="3">
        <f t="shared" si="117"/>
        <v>7.2445391622132704E-2</v>
      </c>
      <c r="AC181" s="3">
        <f t="shared" si="117"/>
        <v>7.1812794791938264E-2</v>
      </c>
      <c r="AD181" s="3">
        <f t="shared" si="117"/>
        <v>6.57828177899413E-2</v>
      </c>
      <c r="AE181" s="3">
        <f t="shared" si="117"/>
        <v>2.7366478017584666E-2</v>
      </c>
      <c r="AF181" s="3">
        <f t="shared" si="117"/>
        <v>4.2489661432982733E-6</v>
      </c>
      <c r="AG181" s="3"/>
      <c r="AH181" s="3"/>
    </row>
    <row r="182" spans="2:34" x14ac:dyDescent="0.25">
      <c r="B182" s="3">
        <f t="shared" ref="B182:AF182" si="118">$C29*EXP(-B$168/$A29/EXP(-$C$126))</f>
        <v>6.0357732330784487E-2</v>
      </c>
      <c r="C182" s="3">
        <f t="shared" si="118"/>
        <v>6.0357732330784487E-2</v>
      </c>
      <c r="D182" s="3">
        <f t="shared" si="118"/>
        <v>6.0357732330784487E-2</v>
      </c>
      <c r="E182" s="3">
        <f t="shared" si="118"/>
        <v>6.0357732330784487E-2</v>
      </c>
      <c r="F182" s="3">
        <f t="shared" si="118"/>
        <v>6.0357732330784487E-2</v>
      </c>
      <c r="G182" s="3">
        <f t="shared" si="118"/>
        <v>6.0357732330784487E-2</v>
      </c>
      <c r="H182" s="3">
        <f t="shared" si="118"/>
        <v>6.0357732330784487E-2</v>
      </c>
      <c r="I182" s="3">
        <f t="shared" si="118"/>
        <v>6.0357732330784487E-2</v>
      </c>
      <c r="J182" s="3">
        <f t="shared" si="118"/>
        <v>6.0357732330784487E-2</v>
      </c>
      <c r="K182" s="3">
        <f t="shared" si="118"/>
        <v>6.0357732330784487E-2</v>
      </c>
      <c r="L182" s="3">
        <f t="shared" si="118"/>
        <v>6.0357732330784487E-2</v>
      </c>
      <c r="M182" s="3">
        <f t="shared" si="118"/>
        <v>6.0357732330784487E-2</v>
      </c>
      <c r="N182" s="3">
        <f t="shared" si="118"/>
        <v>6.0357732330784487E-2</v>
      </c>
      <c r="O182" s="3">
        <f t="shared" si="118"/>
        <v>6.0357732330784487E-2</v>
      </c>
      <c r="P182" s="3">
        <f t="shared" si="118"/>
        <v>6.035773233078448E-2</v>
      </c>
      <c r="Q182" s="3">
        <f t="shared" si="118"/>
        <v>6.0357732330784432E-2</v>
      </c>
      <c r="R182" s="3">
        <f t="shared" si="118"/>
        <v>6.035773233078396E-2</v>
      </c>
      <c r="S182" s="3">
        <f t="shared" si="118"/>
        <v>6.0357732330779179E-2</v>
      </c>
      <c r="T182" s="3">
        <f t="shared" si="118"/>
        <v>6.0357732330731426E-2</v>
      </c>
      <c r="U182" s="3">
        <f t="shared" si="118"/>
        <v>6.0357732330253898E-2</v>
      </c>
      <c r="V182" s="3">
        <f t="shared" si="118"/>
        <v>6.035773232547862E-2</v>
      </c>
      <c r="W182" s="3">
        <f t="shared" si="118"/>
        <v>6.0357732277725819E-2</v>
      </c>
      <c r="X182" s="3">
        <f t="shared" si="118"/>
        <v>6.0357731800197843E-2</v>
      </c>
      <c r="Y182" s="3">
        <f t="shared" si="118"/>
        <v>6.0357727024918213E-2</v>
      </c>
      <c r="Z182" s="3">
        <f t="shared" si="118"/>
        <v>6.0357679272142743E-2</v>
      </c>
      <c r="AA182" s="3">
        <f t="shared" si="118"/>
        <v>6.0357201746465916E-2</v>
      </c>
      <c r="AB182" s="3">
        <f t="shared" si="118"/>
        <v>6.0352426697482267E-2</v>
      </c>
      <c r="AC182" s="3">
        <f t="shared" si="118"/>
        <v>6.0304696980022214E-2</v>
      </c>
      <c r="AD182" s="3">
        <f t="shared" si="118"/>
        <v>5.9829470975205072E-2</v>
      </c>
      <c r="AE182" s="3">
        <f t="shared" si="118"/>
        <v>5.5278391140473664E-2</v>
      </c>
      <c r="AF182" s="3">
        <f t="shared" si="118"/>
        <v>2.505865244810529E-2</v>
      </c>
      <c r="AG182" s="3"/>
      <c r="AH182" s="3"/>
    </row>
    <row r="183" spans="2:34" x14ac:dyDescent="0.25">
      <c r="B183" s="3">
        <f t="shared" ref="B183:AF183" si="119">$C30*EXP(-B$168/$A30/EXP(-$C$126))</f>
        <v>3.7953571045142992E-2</v>
      </c>
      <c r="C183" s="3">
        <f t="shared" si="119"/>
        <v>3.7953571045142992E-2</v>
      </c>
      <c r="D183" s="3">
        <f t="shared" si="119"/>
        <v>3.7953571045142992E-2</v>
      </c>
      <c r="E183" s="3">
        <f t="shared" si="119"/>
        <v>3.7953571045142992E-2</v>
      </c>
      <c r="F183" s="3">
        <f t="shared" si="119"/>
        <v>3.7953571045142992E-2</v>
      </c>
      <c r="G183" s="3">
        <f t="shared" si="119"/>
        <v>3.7953571045142992E-2</v>
      </c>
      <c r="H183" s="3">
        <f t="shared" si="119"/>
        <v>3.7953571045142992E-2</v>
      </c>
      <c r="I183" s="3">
        <f t="shared" si="119"/>
        <v>3.7953571045142992E-2</v>
      </c>
      <c r="J183" s="3">
        <f t="shared" si="119"/>
        <v>3.7953571045142992E-2</v>
      </c>
      <c r="K183" s="3">
        <f t="shared" si="119"/>
        <v>3.7953571045142992E-2</v>
      </c>
      <c r="L183" s="3">
        <f t="shared" si="119"/>
        <v>3.7953571045142992E-2</v>
      </c>
      <c r="M183" s="3">
        <f t="shared" si="119"/>
        <v>3.7953571045142992E-2</v>
      </c>
      <c r="N183" s="3">
        <f t="shared" si="119"/>
        <v>3.7953571045142992E-2</v>
      </c>
      <c r="O183" s="3">
        <f t="shared" si="119"/>
        <v>3.7953571045142992E-2</v>
      </c>
      <c r="P183" s="3">
        <f t="shared" si="119"/>
        <v>3.7953571045142992E-2</v>
      </c>
      <c r="Q183" s="3">
        <f t="shared" si="119"/>
        <v>3.7953571045142985E-2</v>
      </c>
      <c r="R183" s="3">
        <f t="shared" si="119"/>
        <v>3.7953571045142964E-2</v>
      </c>
      <c r="S183" s="3">
        <f t="shared" si="119"/>
        <v>3.7953571045142694E-2</v>
      </c>
      <c r="T183" s="3">
        <f t="shared" si="119"/>
        <v>3.795357104513998E-2</v>
      </c>
      <c r="U183" s="3">
        <f t="shared" si="119"/>
        <v>3.7953571045112891E-2</v>
      </c>
      <c r="V183" s="3">
        <f t="shared" si="119"/>
        <v>3.7953571044842017E-2</v>
      </c>
      <c r="W183" s="3">
        <f t="shared" si="119"/>
        <v>3.7953571042133295E-2</v>
      </c>
      <c r="X183" s="3">
        <f t="shared" si="119"/>
        <v>3.7953571015046032E-2</v>
      </c>
      <c r="Y183" s="3">
        <f t="shared" si="119"/>
        <v>3.7953570744173389E-2</v>
      </c>
      <c r="Z183" s="3">
        <f t="shared" si="119"/>
        <v>3.7953568035447048E-2</v>
      </c>
      <c r="AA183" s="3">
        <f t="shared" si="119"/>
        <v>3.7953540948194295E-2</v>
      </c>
      <c r="AB183" s="3">
        <f t="shared" si="119"/>
        <v>3.7953270076730036E-2</v>
      </c>
      <c r="AC183" s="3">
        <f t="shared" si="119"/>
        <v>3.7950561468410554E-2</v>
      </c>
      <c r="AD183" s="3">
        <f t="shared" si="119"/>
        <v>3.79234860147179E-2</v>
      </c>
      <c r="AE183" s="3">
        <f t="shared" si="119"/>
        <v>3.765379162645828E-2</v>
      </c>
      <c r="AF183" s="3">
        <f t="shared" si="119"/>
        <v>3.5060115749104608E-2</v>
      </c>
      <c r="AG183" s="3"/>
      <c r="AH183" s="3"/>
    </row>
    <row r="184" spans="2:34" x14ac:dyDescent="0.25">
      <c r="B184" s="3">
        <f t="shared" ref="B184:AF184" si="120">$C31*EXP(-B$168/$A31/EXP(-$C$126))</f>
        <v>1.9899360219970862E-2</v>
      </c>
      <c r="C184" s="3">
        <f t="shared" si="120"/>
        <v>1.9899360219970862E-2</v>
      </c>
      <c r="D184" s="3">
        <f t="shared" si="120"/>
        <v>1.9899360219970862E-2</v>
      </c>
      <c r="E184" s="3">
        <f t="shared" si="120"/>
        <v>1.9899360219970862E-2</v>
      </c>
      <c r="F184" s="3">
        <f t="shared" si="120"/>
        <v>1.9899360219970862E-2</v>
      </c>
      <c r="G184" s="3">
        <f t="shared" si="120"/>
        <v>1.9899360219970862E-2</v>
      </c>
      <c r="H184" s="3">
        <f t="shared" si="120"/>
        <v>1.9899360219970862E-2</v>
      </c>
      <c r="I184" s="3">
        <f t="shared" si="120"/>
        <v>1.9899360219970862E-2</v>
      </c>
      <c r="J184" s="3">
        <f t="shared" si="120"/>
        <v>1.9899360219970862E-2</v>
      </c>
      <c r="K184" s="3">
        <f t="shared" si="120"/>
        <v>1.9899360219970862E-2</v>
      </c>
      <c r="L184" s="3">
        <f t="shared" si="120"/>
        <v>1.9899360219970862E-2</v>
      </c>
      <c r="M184" s="3">
        <f t="shared" si="120"/>
        <v>1.9899360219970862E-2</v>
      </c>
      <c r="N184" s="3">
        <f t="shared" si="120"/>
        <v>1.9899360219970862E-2</v>
      </c>
      <c r="O184" s="3">
        <f t="shared" si="120"/>
        <v>1.9899360219970862E-2</v>
      </c>
      <c r="P184" s="3">
        <f t="shared" si="120"/>
        <v>1.9899360219970862E-2</v>
      </c>
      <c r="Q184" s="3">
        <f t="shared" si="120"/>
        <v>1.9899360219970862E-2</v>
      </c>
      <c r="R184" s="3">
        <f t="shared" si="120"/>
        <v>1.9899360219970859E-2</v>
      </c>
      <c r="S184" s="3">
        <f t="shared" si="120"/>
        <v>1.9899360219970848E-2</v>
      </c>
      <c r="T184" s="3">
        <f t="shared" si="120"/>
        <v>1.989936021997072E-2</v>
      </c>
      <c r="U184" s="3">
        <f t="shared" si="120"/>
        <v>1.989936021996944E-2</v>
      </c>
      <c r="V184" s="3">
        <f t="shared" si="120"/>
        <v>1.9899360219956627E-2</v>
      </c>
      <c r="W184" s="3">
        <f t="shared" si="120"/>
        <v>1.9899360219828511E-2</v>
      </c>
      <c r="X184" s="3">
        <f t="shared" si="120"/>
        <v>1.9899360218547369E-2</v>
      </c>
      <c r="Y184" s="3">
        <f t="shared" si="120"/>
        <v>1.9899360205735923E-2</v>
      </c>
      <c r="Z184" s="3">
        <f t="shared" si="120"/>
        <v>1.9899360077621442E-2</v>
      </c>
      <c r="AA184" s="3">
        <f t="shared" si="120"/>
        <v>1.989935879647672E-2</v>
      </c>
      <c r="AB184" s="3">
        <f t="shared" si="120"/>
        <v>1.9899345985034018E-2</v>
      </c>
      <c r="AC184" s="3">
        <f t="shared" si="120"/>
        <v>1.9899217871060665E-2</v>
      </c>
      <c r="AD184" s="3">
        <f t="shared" si="120"/>
        <v>1.9897936776690824E-2</v>
      </c>
      <c r="AE184" s="3">
        <f t="shared" si="120"/>
        <v>1.9885130368282312E-2</v>
      </c>
      <c r="AF184" s="3">
        <f t="shared" si="120"/>
        <v>1.9757518734690661E-2</v>
      </c>
      <c r="AG184" s="3"/>
      <c r="AH184" s="3"/>
    </row>
    <row r="185" spans="2:34" x14ac:dyDescent="0.25">
      <c r="B185" s="3">
        <f t="shared" ref="B185:AF185" si="121">$C32*EXP(-B$168/$A32/EXP(-$C$126))</f>
        <v>1.0036367698219981E-2</v>
      </c>
      <c r="C185" s="3">
        <f t="shared" si="121"/>
        <v>1.0036367698219981E-2</v>
      </c>
      <c r="D185" s="3">
        <f t="shared" si="121"/>
        <v>1.0036367698219981E-2</v>
      </c>
      <c r="E185" s="3">
        <f t="shared" si="121"/>
        <v>1.0036367698219981E-2</v>
      </c>
      <c r="F185" s="3">
        <f t="shared" si="121"/>
        <v>1.0036367698219981E-2</v>
      </c>
      <c r="G185" s="3">
        <f t="shared" si="121"/>
        <v>1.0036367698219981E-2</v>
      </c>
      <c r="H185" s="3">
        <f t="shared" si="121"/>
        <v>1.0036367698219981E-2</v>
      </c>
      <c r="I185" s="3">
        <f t="shared" si="121"/>
        <v>1.0036367698219981E-2</v>
      </c>
      <c r="J185" s="3">
        <f t="shared" si="121"/>
        <v>1.0036367698219981E-2</v>
      </c>
      <c r="K185" s="3">
        <f t="shared" si="121"/>
        <v>1.0036367698219981E-2</v>
      </c>
      <c r="L185" s="3">
        <f t="shared" si="121"/>
        <v>1.0036367698219981E-2</v>
      </c>
      <c r="M185" s="3">
        <f t="shared" si="121"/>
        <v>1.0036367698219981E-2</v>
      </c>
      <c r="N185" s="3">
        <f t="shared" si="121"/>
        <v>1.0036367698219981E-2</v>
      </c>
      <c r="O185" s="3">
        <f t="shared" si="121"/>
        <v>1.0036367698219981E-2</v>
      </c>
      <c r="P185" s="3">
        <f t="shared" si="121"/>
        <v>1.0036367698219981E-2</v>
      </c>
      <c r="Q185" s="3">
        <f t="shared" si="121"/>
        <v>1.0036367698219981E-2</v>
      </c>
      <c r="R185" s="3">
        <f t="shared" si="121"/>
        <v>1.0036367698219981E-2</v>
      </c>
      <c r="S185" s="3">
        <f t="shared" si="121"/>
        <v>1.0036367698219979E-2</v>
      </c>
      <c r="T185" s="3">
        <f t="shared" si="121"/>
        <v>1.0036367698219974E-2</v>
      </c>
      <c r="U185" s="3">
        <f t="shared" si="121"/>
        <v>1.0036367698219917E-2</v>
      </c>
      <c r="V185" s="3">
        <f t="shared" si="121"/>
        <v>1.0036367698219334E-2</v>
      </c>
      <c r="W185" s="3">
        <f t="shared" si="121"/>
        <v>1.0036367698213505E-2</v>
      </c>
      <c r="X185" s="3">
        <f t="shared" si="121"/>
        <v>1.0036367698155215E-2</v>
      </c>
      <c r="Y185" s="3">
        <f t="shared" si="121"/>
        <v>1.0036367697572331E-2</v>
      </c>
      <c r="Z185" s="3">
        <f t="shared" si="121"/>
        <v>1.003636769174349E-2</v>
      </c>
      <c r="AA185" s="3">
        <f t="shared" si="121"/>
        <v>1.0036367633455076E-2</v>
      </c>
      <c r="AB185" s="3">
        <f t="shared" si="121"/>
        <v>1.0036367050570939E-2</v>
      </c>
      <c r="AC185" s="3">
        <f t="shared" si="121"/>
        <v>1.0036361221731446E-2</v>
      </c>
      <c r="AD185" s="3">
        <f t="shared" si="121"/>
        <v>1.0036302933522702E-2</v>
      </c>
      <c r="AE185" s="3">
        <f t="shared" si="121"/>
        <v>1.003572007005357E-2</v>
      </c>
      <c r="AF185" s="3">
        <f t="shared" si="121"/>
        <v>1.0029893296793234E-2</v>
      </c>
      <c r="AG185" s="3"/>
      <c r="AH185" s="3"/>
    </row>
    <row r="186" spans="2:34" x14ac:dyDescent="0.25">
      <c r="B186" s="3">
        <f t="shared" ref="B186:AF186" si="122">$C33*EXP(-B$168/$A33/EXP(-$C$126))</f>
        <v>1.0472179826501766E-2</v>
      </c>
      <c r="C186" s="3">
        <f t="shared" si="122"/>
        <v>1.0472179826501766E-2</v>
      </c>
      <c r="D186" s="3">
        <f t="shared" si="122"/>
        <v>1.0472179826501766E-2</v>
      </c>
      <c r="E186" s="3">
        <f t="shared" si="122"/>
        <v>1.0472179826501766E-2</v>
      </c>
      <c r="F186" s="3">
        <f t="shared" si="122"/>
        <v>1.0472179826501766E-2</v>
      </c>
      <c r="G186" s="3">
        <f t="shared" si="122"/>
        <v>1.0472179826501766E-2</v>
      </c>
      <c r="H186" s="3">
        <f t="shared" si="122"/>
        <v>1.0472179826501766E-2</v>
      </c>
      <c r="I186" s="3">
        <f t="shared" si="122"/>
        <v>1.0472179826501766E-2</v>
      </c>
      <c r="J186" s="3">
        <f t="shared" si="122"/>
        <v>1.0472179826501766E-2</v>
      </c>
      <c r="K186" s="3">
        <f t="shared" si="122"/>
        <v>1.0472179826501766E-2</v>
      </c>
      <c r="L186" s="3">
        <f t="shared" si="122"/>
        <v>1.0472179826501766E-2</v>
      </c>
      <c r="M186" s="3">
        <f t="shared" si="122"/>
        <v>1.0472179826501766E-2</v>
      </c>
      <c r="N186" s="3">
        <f t="shared" si="122"/>
        <v>1.0472179826501766E-2</v>
      </c>
      <c r="O186" s="3">
        <f t="shared" si="122"/>
        <v>1.0472179826501766E-2</v>
      </c>
      <c r="P186" s="3">
        <f t="shared" si="122"/>
        <v>1.0472179826501766E-2</v>
      </c>
      <c r="Q186" s="3">
        <f t="shared" si="122"/>
        <v>1.0472179826501766E-2</v>
      </c>
      <c r="R186" s="3">
        <f t="shared" si="122"/>
        <v>1.0472179826501766E-2</v>
      </c>
      <c r="S186" s="3">
        <f t="shared" si="122"/>
        <v>1.0472179826501766E-2</v>
      </c>
      <c r="T186" s="3">
        <f t="shared" si="122"/>
        <v>1.0472179826501764E-2</v>
      </c>
      <c r="U186" s="3">
        <f t="shared" si="122"/>
        <v>1.0472179826501761E-2</v>
      </c>
      <c r="V186" s="3">
        <f t="shared" si="122"/>
        <v>1.0472179826501705E-2</v>
      </c>
      <c r="W186" s="3">
        <f t="shared" si="122"/>
        <v>1.0472179826501157E-2</v>
      </c>
      <c r="X186" s="3">
        <f t="shared" si="122"/>
        <v>1.047217982649567E-2</v>
      </c>
      <c r="Y186" s="3">
        <f t="shared" si="122"/>
        <v>1.0472179826440806E-2</v>
      </c>
      <c r="Z186" s="3">
        <f t="shared" si="122"/>
        <v>1.0472179825892164E-2</v>
      </c>
      <c r="AA186" s="3">
        <f t="shared" si="122"/>
        <v>1.047217982040574E-2</v>
      </c>
      <c r="AB186" s="3">
        <f t="shared" si="122"/>
        <v>1.04721797655415E-2</v>
      </c>
      <c r="AC186" s="3">
        <f t="shared" si="122"/>
        <v>1.0472179216899115E-2</v>
      </c>
      <c r="AD186" s="3">
        <f t="shared" si="122"/>
        <v>1.0472173730476857E-2</v>
      </c>
      <c r="AE186" s="3">
        <f t="shared" si="122"/>
        <v>1.0472118866412361E-2</v>
      </c>
      <c r="AF186" s="3">
        <f t="shared" si="122"/>
        <v>1.0471570241576061E-2</v>
      </c>
      <c r="AG186" s="3"/>
      <c r="AH186" s="3"/>
    </row>
    <row r="187" spans="2:34" x14ac:dyDescent="0.25">
      <c r="B187" s="3">
        <f t="shared" ref="B187:AF187" si="123">$C34*EXP(-B$168/$A34/EXP(-$C$126))</f>
        <v>1.1455889373470318E-2</v>
      </c>
      <c r="C187" s="3">
        <f t="shared" si="123"/>
        <v>1.1455889373470318E-2</v>
      </c>
      <c r="D187" s="3">
        <f t="shared" si="123"/>
        <v>1.1455889373470318E-2</v>
      </c>
      <c r="E187" s="3">
        <f t="shared" si="123"/>
        <v>1.1455889373470318E-2</v>
      </c>
      <c r="F187" s="3">
        <f t="shared" si="123"/>
        <v>1.1455889373470318E-2</v>
      </c>
      <c r="G187" s="3">
        <f t="shared" si="123"/>
        <v>1.1455889373470318E-2</v>
      </c>
      <c r="H187" s="3">
        <f t="shared" si="123"/>
        <v>1.1455889373470318E-2</v>
      </c>
      <c r="I187" s="3">
        <f t="shared" si="123"/>
        <v>1.1455889373470318E-2</v>
      </c>
      <c r="J187" s="3">
        <f t="shared" si="123"/>
        <v>1.1455889373470318E-2</v>
      </c>
      <c r="K187" s="3">
        <f t="shared" si="123"/>
        <v>1.1455889373470318E-2</v>
      </c>
      <c r="L187" s="3">
        <f t="shared" si="123"/>
        <v>1.1455889373470318E-2</v>
      </c>
      <c r="M187" s="3">
        <f t="shared" si="123"/>
        <v>1.1455889373470318E-2</v>
      </c>
      <c r="N187" s="3">
        <f t="shared" si="123"/>
        <v>1.1455889373470318E-2</v>
      </c>
      <c r="O187" s="3">
        <f t="shared" si="123"/>
        <v>1.1455889373470318E-2</v>
      </c>
      <c r="P187" s="3">
        <f t="shared" si="123"/>
        <v>1.1455889373470318E-2</v>
      </c>
      <c r="Q187" s="3">
        <f t="shared" si="123"/>
        <v>1.1455889373470318E-2</v>
      </c>
      <c r="R187" s="3">
        <f t="shared" si="123"/>
        <v>1.1455889373470318E-2</v>
      </c>
      <c r="S187" s="3">
        <f t="shared" si="123"/>
        <v>1.1455889373470318E-2</v>
      </c>
      <c r="T187" s="3">
        <f t="shared" si="123"/>
        <v>1.1455889373470318E-2</v>
      </c>
      <c r="U187" s="3">
        <f t="shared" si="123"/>
        <v>1.1455889373470318E-2</v>
      </c>
      <c r="V187" s="3">
        <f t="shared" si="123"/>
        <v>1.1455889373470311E-2</v>
      </c>
      <c r="W187" s="3">
        <f t="shared" si="123"/>
        <v>1.1455889373470259E-2</v>
      </c>
      <c r="X187" s="3">
        <f t="shared" si="123"/>
        <v>1.1455889373469716E-2</v>
      </c>
      <c r="Y187" s="3">
        <f t="shared" si="123"/>
        <v>1.1455889373464302E-2</v>
      </c>
      <c r="Z187" s="3">
        <f t="shared" si="123"/>
        <v>1.1455889373410161E-2</v>
      </c>
      <c r="AA187" s="3">
        <f t="shared" si="123"/>
        <v>1.1455889372868748E-2</v>
      </c>
      <c r="AB187" s="3">
        <f t="shared" si="123"/>
        <v>1.1455889367454631E-2</v>
      </c>
      <c r="AC187" s="3">
        <f t="shared" si="123"/>
        <v>1.1455889313313455E-2</v>
      </c>
      <c r="AD187" s="3">
        <f t="shared" si="123"/>
        <v>1.1455888771901719E-2</v>
      </c>
      <c r="AE187" s="3">
        <f t="shared" si="123"/>
        <v>1.1455883357785747E-2</v>
      </c>
      <c r="AF187" s="3">
        <f t="shared" si="123"/>
        <v>1.1455829216766774E-2</v>
      </c>
      <c r="AG187" s="3"/>
      <c r="AH187" s="3"/>
    </row>
    <row r="188" spans="2:34" x14ac:dyDescent="0.25">
      <c r="B188" s="3">
        <f t="shared" ref="B188:AF188" si="124">$C35*EXP(-B$168/$A35/EXP(-$C$126))</f>
        <v>6.2948394662532018E-3</v>
      </c>
      <c r="C188" s="3">
        <f t="shared" si="124"/>
        <v>6.2948394662532018E-3</v>
      </c>
      <c r="D188" s="3">
        <f t="shared" si="124"/>
        <v>6.2948394662532018E-3</v>
      </c>
      <c r="E188" s="3">
        <f t="shared" si="124"/>
        <v>6.2948394662532018E-3</v>
      </c>
      <c r="F188" s="3">
        <f t="shared" si="124"/>
        <v>6.2948394662532018E-3</v>
      </c>
      <c r="G188" s="3">
        <f t="shared" si="124"/>
        <v>6.2948394662532018E-3</v>
      </c>
      <c r="H188" s="3">
        <f t="shared" si="124"/>
        <v>6.2948394662532018E-3</v>
      </c>
      <c r="I188" s="3">
        <f t="shared" si="124"/>
        <v>6.2948394662532018E-3</v>
      </c>
      <c r="J188" s="3">
        <f t="shared" si="124"/>
        <v>6.2948394662532018E-3</v>
      </c>
      <c r="K188" s="3">
        <f t="shared" si="124"/>
        <v>6.2948394662532018E-3</v>
      </c>
      <c r="L188" s="3">
        <f t="shared" si="124"/>
        <v>6.2948394662532018E-3</v>
      </c>
      <c r="M188" s="3">
        <f t="shared" si="124"/>
        <v>6.2948394662532018E-3</v>
      </c>
      <c r="N188" s="3">
        <f t="shared" si="124"/>
        <v>6.2948394662532018E-3</v>
      </c>
      <c r="O188" s="3">
        <f t="shared" si="124"/>
        <v>6.2948394662532018E-3</v>
      </c>
      <c r="P188" s="3">
        <f t="shared" si="124"/>
        <v>6.2948394662532018E-3</v>
      </c>
      <c r="Q188" s="3">
        <f t="shared" si="124"/>
        <v>6.2948394662532018E-3</v>
      </c>
      <c r="R188" s="3">
        <f t="shared" si="124"/>
        <v>6.2948394662532018E-3</v>
      </c>
      <c r="S188" s="3">
        <f t="shared" si="124"/>
        <v>6.2948394662532018E-3</v>
      </c>
      <c r="T188" s="3">
        <f t="shared" si="124"/>
        <v>6.2948394662532018E-3</v>
      </c>
      <c r="U188" s="3">
        <f t="shared" si="124"/>
        <v>6.2948394662532018E-3</v>
      </c>
      <c r="V188" s="3">
        <f t="shared" si="124"/>
        <v>6.2948394662532018E-3</v>
      </c>
      <c r="W188" s="3">
        <f t="shared" si="124"/>
        <v>6.2948394662531992E-3</v>
      </c>
      <c r="X188" s="3">
        <f t="shared" si="124"/>
        <v>6.2948394662531715E-3</v>
      </c>
      <c r="Y188" s="3">
        <f t="shared" si="124"/>
        <v>6.2948394662529035E-3</v>
      </c>
      <c r="Z188" s="3">
        <f t="shared" si="124"/>
        <v>6.2948394662502198E-3</v>
      </c>
      <c r="AA188" s="3">
        <f t="shared" si="124"/>
        <v>6.2948394662233837E-3</v>
      </c>
      <c r="AB188" s="3">
        <f t="shared" si="124"/>
        <v>6.294839465955015E-3</v>
      </c>
      <c r="AC188" s="3">
        <f t="shared" si="124"/>
        <v>6.2948394632713397E-3</v>
      </c>
      <c r="AD188" s="3">
        <f t="shared" si="124"/>
        <v>6.2948394364345768E-3</v>
      </c>
      <c r="AE188" s="3">
        <f t="shared" si="124"/>
        <v>6.2948391680669622E-3</v>
      </c>
      <c r="AF188" s="3">
        <f t="shared" si="124"/>
        <v>6.2948364843914383E-3</v>
      </c>
      <c r="AG188" s="3"/>
      <c r="AH188" s="3"/>
    </row>
    <row r="189" spans="2:34" x14ac:dyDescent="0.25">
      <c r="B189" s="3">
        <f t="shared" ref="B189:AF189" si="125">$C36*EXP(-B$168/$A36/EXP(-$C$126))</f>
        <v>5.5356903730511449E-3</v>
      </c>
      <c r="C189" s="3">
        <f t="shared" si="125"/>
        <v>5.5356903730511449E-3</v>
      </c>
      <c r="D189" s="3">
        <f t="shared" si="125"/>
        <v>5.5356903730511449E-3</v>
      </c>
      <c r="E189" s="3">
        <f t="shared" si="125"/>
        <v>5.5356903730511449E-3</v>
      </c>
      <c r="F189" s="3">
        <f t="shared" si="125"/>
        <v>5.5356903730511449E-3</v>
      </c>
      <c r="G189" s="3">
        <f t="shared" si="125"/>
        <v>5.5356903730511449E-3</v>
      </c>
      <c r="H189" s="3">
        <f t="shared" si="125"/>
        <v>5.5356903730511449E-3</v>
      </c>
      <c r="I189" s="3">
        <f t="shared" si="125"/>
        <v>5.5356903730511449E-3</v>
      </c>
      <c r="J189" s="3">
        <f t="shared" si="125"/>
        <v>5.5356903730511449E-3</v>
      </c>
      <c r="K189" s="3">
        <f t="shared" si="125"/>
        <v>5.5356903730511449E-3</v>
      </c>
      <c r="L189" s="3">
        <f t="shared" si="125"/>
        <v>5.5356903730511449E-3</v>
      </c>
      <c r="M189" s="3">
        <f t="shared" si="125"/>
        <v>5.5356903730511449E-3</v>
      </c>
      <c r="N189" s="3">
        <f t="shared" si="125"/>
        <v>5.5356903730511449E-3</v>
      </c>
      <c r="O189" s="3">
        <f t="shared" si="125"/>
        <v>5.5356903730511449E-3</v>
      </c>
      <c r="P189" s="3">
        <f t="shared" si="125"/>
        <v>5.5356903730511449E-3</v>
      </c>
      <c r="Q189" s="3">
        <f t="shared" si="125"/>
        <v>5.5356903730511449E-3</v>
      </c>
      <c r="R189" s="3">
        <f t="shared" si="125"/>
        <v>5.5356903730511449E-3</v>
      </c>
      <c r="S189" s="3">
        <f t="shared" si="125"/>
        <v>5.5356903730511449E-3</v>
      </c>
      <c r="T189" s="3">
        <f t="shared" si="125"/>
        <v>5.5356903730511449E-3</v>
      </c>
      <c r="U189" s="3">
        <f t="shared" si="125"/>
        <v>5.5356903730511449E-3</v>
      </c>
      <c r="V189" s="3">
        <f t="shared" si="125"/>
        <v>5.5356903730511449E-3</v>
      </c>
      <c r="W189" s="3">
        <f t="shared" si="125"/>
        <v>5.5356903730511449E-3</v>
      </c>
      <c r="X189" s="3">
        <f t="shared" si="125"/>
        <v>5.5356903730511423E-3</v>
      </c>
      <c r="Y189" s="3">
        <f t="shared" si="125"/>
        <v>5.5356903730511215E-3</v>
      </c>
      <c r="Z189" s="3">
        <f t="shared" si="125"/>
        <v>5.5356903730509081E-3</v>
      </c>
      <c r="AA189" s="3">
        <f t="shared" si="125"/>
        <v>5.5356903730487796E-3</v>
      </c>
      <c r="AB189" s="3">
        <f t="shared" si="125"/>
        <v>5.5356903730274902E-3</v>
      </c>
      <c r="AC189" s="3">
        <f t="shared" si="125"/>
        <v>5.5356903728145963E-3</v>
      </c>
      <c r="AD189" s="3">
        <f t="shared" si="125"/>
        <v>5.5356903706856534E-3</v>
      </c>
      <c r="AE189" s="3">
        <f t="shared" si="125"/>
        <v>5.5356903493962327E-3</v>
      </c>
      <c r="AF189" s="3">
        <f t="shared" si="125"/>
        <v>5.535690136502033E-3</v>
      </c>
      <c r="AG189" s="3"/>
      <c r="AH189" s="3"/>
    </row>
    <row r="190" spans="2:34" x14ac:dyDescent="0.25">
      <c r="B190" s="3">
        <f t="shared" ref="B190:AF190" si="126">$C37*EXP(-B$168/$A37/EXP(-$C$126))</f>
        <v>2.9841994807754844E-3</v>
      </c>
      <c r="C190" s="3">
        <f t="shared" si="126"/>
        <v>2.9841994807754844E-3</v>
      </c>
      <c r="D190" s="3">
        <f t="shared" si="126"/>
        <v>2.9841994807754844E-3</v>
      </c>
      <c r="E190" s="3">
        <f t="shared" si="126"/>
        <v>2.9841994807754844E-3</v>
      </c>
      <c r="F190" s="3">
        <f t="shared" si="126"/>
        <v>2.9841994807754844E-3</v>
      </c>
      <c r="G190" s="3">
        <f t="shared" si="126"/>
        <v>2.9841994807754844E-3</v>
      </c>
      <c r="H190" s="3">
        <f t="shared" si="126"/>
        <v>2.9841994807754844E-3</v>
      </c>
      <c r="I190" s="3">
        <f t="shared" si="126"/>
        <v>2.9841994807754844E-3</v>
      </c>
      <c r="J190" s="3">
        <f t="shared" si="126"/>
        <v>2.9841994807754844E-3</v>
      </c>
      <c r="K190" s="3">
        <f t="shared" si="126"/>
        <v>2.9841994807754844E-3</v>
      </c>
      <c r="L190" s="3">
        <f t="shared" si="126"/>
        <v>2.9841994807754844E-3</v>
      </c>
      <c r="M190" s="3">
        <f t="shared" si="126"/>
        <v>2.9841994807754844E-3</v>
      </c>
      <c r="N190" s="3">
        <f t="shared" si="126"/>
        <v>2.9841994807754844E-3</v>
      </c>
      <c r="O190" s="3">
        <f t="shared" si="126"/>
        <v>2.9841994807754844E-3</v>
      </c>
      <c r="P190" s="3">
        <f t="shared" si="126"/>
        <v>2.9841994807754844E-3</v>
      </c>
      <c r="Q190" s="3">
        <f t="shared" si="126"/>
        <v>2.9841994807754844E-3</v>
      </c>
      <c r="R190" s="3">
        <f t="shared" si="126"/>
        <v>2.9841994807754844E-3</v>
      </c>
      <c r="S190" s="3">
        <f t="shared" si="126"/>
        <v>2.9841994807754844E-3</v>
      </c>
      <c r="T190" s="3">
        <f t="shared" si="126"/>
        <v>2.9841994807754844E-3</v>
      </c>
      <c r="U190" s="3">
        <f t="shared" si="126"/>
        <v>2.9841994807754844E-3</v>
      </c>
      <c r="V190" s="3">
        <f t="shared" si="126"/>
        <v>2.9841994807754844E-3</v>
      </c>
      <c r="W190" s="3">
        <f t="shared" si="126"/>
        <v>2.9841994807754844E-3</v>
      </c>
      <c r="X190" s="3">
        <f t="shared" si="126"/>
        <v>2.9841994807754844E-3</v>
      </c>
      <c r="Y190" s="3">
        <f t="shared" si="126"/>
        <v>2.9841994807754835E-3</v>
      </c>
      <c r="Z190" s="3">
        <f t="shared" si="126"/>
        <v>2.9841994807754727E-3</v>
      </c>
      <c r="AA190" s="3">
        <f t="shared" si="126"/>
        <v>2.9841994807753695E-3</v>
      </c>
      <c r="AB190" s="3">
        <f t="shared" si="126"/>
        <v>2.9841994807743343E-3</v>
      </c>
      <c r="AC190" s="3">
        <f t="shared" si="126"/>
        <v>2.984199480763981E-3</v>
      </c>
      <c r="AD190" s="3">
        <f t="shared" si="126"/>
        <v>2.984199480660451E-3</v>
      </c>
      <c r="AE190" s="3">
        <f t="shared" si="126"/>
        <v>2.9841994796251507E-3</v>
      </c>
      <c r="AF190" s="3">
        <f t="shared" si="126"/>
        <v>2.984199469272144E-3</v>
      </c>
      <c r="AG190" s="3"/>
      <c r="AH190" s="3"/>
    </row>
    <row r="191" spans="2:34" x14ac:dyDescent="0.25">
      <c r="B191" s="3">
        <f t="shared" ref="B191:AF191" si="127">$C38*EXP(-B$168/$A38/EXP(-$C$126))</f>
        <v>1.1698557197945001E-3</v>
      </c>
      <c r="C191" s="3">
        <f t="shared" si="127"/>
        <v>1.1698557197945001E-3</v>
      </c>
      <c r="D191" s="3">
        <f t="shared" si="127"/>
        <v>1.1698557197945001E-3</v>
      </c>
      <c r="E191" s="3">
        <f t="shared" si="127"/>
        <v>1.1698557197945001E-3</v>
      </c>
      <c r="F191" s="3">
        <f t="shared" si="127"/>
        <v>1.1698557197945001E-3</v>
      </c>
      <c r="G191" s="3">
        <f t="shared" si="127"/>
        <v>1.1698557197945001E-3</v>
      </c>
      <c r="H191" s="3">
        <f t="shared" si="127"/>
        <v>1.1698557197945001E-3</v>
      </c>
      <c r="I191" s="3">
        <f t="shared" si="127"/>
        <v>1.1698557197945001E-3</v>
      </c>
      <c r="J191" s="3">
        <f t="shared" si="127"/>
        <v>1.1698557197945001E-3</v>
      </c>
      <c r="K191" s="3">
        <f t="shared" si="127"/>
        <v>1.1698557197945001E-3</v>
      </c>
      <c r="L191" s="3">
        <f t="shared" si="127"/>
        <v>1.1698557197945001E-3</v>
      </c>
      <c r="M191" s="3">
        <f t="shared" si="127"/>
        <v>1.1698557197945001E-3</v>
      </c>
      <c r="N191" s="3">
        <f t="shared" si="127"/>
        <v>1.1698557197945001E-3</v>
      </c>
      <c r="O191" s="3">
        <f t="shared" si="127"/>
        <v>1.1698557197945001E-3</v>
      </c>
      <c r="P191" s="3">
        <f t="shared" si="127"/>
        <v>1.1698557197945001E-3</v>
      </c>
      <c r="Q191" s="3">
        <f t="shared" si="127"/>
        <v>1.1698557197945001E-3</v>
      </c>
      <c r="R191" s="3">
        <f t="shared" si="127"/>
        <v>1.1698557197945001E-3</v>
      </c>
      <c r="S191" s="3">
        <f t="shared" si="127"/>
        <v>1.1698557197945001E-3</v>
      </c>
      <c r="T191" s="3">
        <f t="shared" si="127"/>
        <v>1.1698557197945001E-3</v>
      </c>
      <c r="U191" s="3">
        <f t="shared" si="127"/>
        <v>1.1698557197945001E-3</v>
      </c>
      <c r="V191" s="3">
        <f t="shared" si="127"/>
        <v>1.1698557197945001E-3</v>
      </c>
      <c r="W191" s="3">
        <f t="shared" si="127"/>
        <v>1.1698557197945001E-3</v>
      </c>
      <c r="X191" s="3">
        <f t="shared" si="127"/>
        <v>1.1698557197945001E-3</v>
      </c>
      <c r="Y191" s="3">
        <f t="shared" si="127"/>
        <v>1.1698557197945001E-3</v>
      </c>
      <c r="Z191" s="3">
        <f t="shared" si="127"/>
        <v>1.1698557197944996E-3</v>
      </c>
      <c r="AA191" s="3">
        <f t="shared" si="127"/>
        <v>1.169855719794496E-3</v>
      </c>
      <c r="AB191" s="3">
        <f t="shared" si="127"/>
        <v>1.1698557197944595E-3</v>
      </c>
      <c r="AC191" s="3">
        <f t="shared" si="127"/>
        <v>1.1698557197940933E-3</v>
      </c>
      <c r="AD191" s="3">
        <f t="shared" si="127"/>
        <v>1.1698557197904321E-3</v>
      </c>
      <c r="AE191" s="3">
        <f t="shared" si="127"/>
        <v>1.1698557197538206E-3</v>
      </c>
      <c r="AF191" s="3">
        <f t="shared" si="127"/>
        <v>1.1698557193877057E-3</v>
      </c>
      <c r="AG191" s="3"/>
      <c r="AH191" s="3"/>
    </row>
    <row r="192" spans="2:34" x14ac:dyDescent="0.25">
      <c r="B192" s="3">
        <f t="shared" ref="B192:AF192" si="128">$C39*EXP(-B$168/$A39/EXP(-$C$126))</f>
        <v>4.0204305624187052E-4</v>
      </c>
      <c r="C192" s="3">
        <f t="shared" si="128"/>
        <v>4.0204305624187052E-4</v>
      </c>
      <c r="D192" s="3">
        <f t="shared" si="128"/>
        <v>4.0204305624187052E-4</v>
      </c>
      <c r="E192" s="3">
        <f t="shared" si="128"/>
        <v>4.0204305624187052E-4</v>
      </c>
      <c r="F192" s="3">
        <f t="shared" si="128"/>
        <v>4.0204305624187052E-4</v>
      </c>
      <c r="G192" s="3">
        <f t="shared" si="128"/>
        <v>4.0204305624187052E-4</v>
      </c>
      <c r="H192" s="3">
        <f t="shared" si="128"/>
        <v>4.0204305624187052E-4</v>
      </c>
      <c r="I192" s="3">
        <f t="shared" si="128"/>
        <v>4.0204305624187052E-4</v>
      </c>
      <c r="J192" s="3">
        <f t="shared" si="128"/>
        <v>4.0204305624187052E-4</v>
      </c>
      <c r="K192" s="3">
        <f t="shared" si="128"/>
        <v>4.0204305624187052E-4</v>
      </c>
      <c r="L192" s="3">
        <f t="shared" si="128"/>
        <v>4.0204305624187052E-4</v>
      </c>
      <c r="M192" s="3">
        <f t="shared" si="128"/>
        <v>4.0204305624187052E-4</v>
      </c>
      <c r="N192" s="3">
        <f t="shared" si="128"/>
        <v>4.0204305624187052E-4</v>
      </c>
      <c r="O192" s="3">
        <f t="shared" si="128"/>
        <v>4.0204305624187052E-4</v>
      </c>
      <c r="P192" s="3">
        <f t="shared" si="128"/>
        <v>4.0204305624187052E-4</v>
      </c>
      <c r="Q192" s="3">
        <f t="shared" si="128"/>
        <v>4.0204305624187052E-4</v>
      </c>
      <c r="R192" s="3">
        <f t="shared" si="128"/>
        <v>4.0204305624187052E-4</v>
      </c>
      <c r="S192" s="3">
        <f t="shared" si="128"/>
        <v>4.0204305624187052E-4</v>
      </c>
      <c r="T192" s="3">
        <f t="shared" si="128"/>
        <v>4.0204305624187052E-4</v>
      </c>
      <c r="U192" s="3">
        <f t="shared" si="128"/>
        <v>4.0204305624187052E-4</v>
      </c>
      <c r="V192" s="3">
        <f t="shared" si="128"/>
        <v>4.0204305624187052E-4</v>
      </c>
      <c r="W192" s="3">
        <f t="shared" si="128"/>
        <v>4.0204305624187052E-4</v>
      </c>
      <c r="X192" s="3">
        <f t="shared" si="128"/>
        <v>4.0204305624187052E-4</v>
      </c>
      <c r="Y192" s="3">
        <f t="shared" si="128"/>
        <v>4.0204305624187052E-4</v>
      </c>
      <c r="Z192" s="3">
        <f t="shared" si="128"/>
        <v>4.0204305624187047E-4</v>
      </c>
      <c r="AA192" s="3">
        <f t="shared" si="128"/>
        <v>4.0204305624187014E-4</v>
      </c>
      <c r="AB192" s="3">
        <f t="shared" si="128"/>
        <v>4.0204305624186662E-4</v>
      </c>
      <c r="AC192" s="3">
        <f t="shared" si="128"/>
        <v>4.0204305624183187E-4</v>
      </c>
      <c r="AD192" s="3">
        <f t="shared" si="128"/>
        <v>4.0204305624148384E-4</v>
      </c>
      <c r="AE192" s="3">
        <f t="shared" si="128"/>
        <v>4.0204305623800393E-4</v>
      </c>
      <c r="AF192" s="3">
        <f t="shared" si="128"/>
        <v>4.0204305620320462E-4</v>
      </c>
      <c r="AG192" s="3"/>
      <c r="AH192" s="3"/>
    </row>
    <row r="193" spans="1:34" x14ac:dyDescent="0.25">
      <c r="B193" s="3">
        <f t="shared" ref="B193:AF193" si="129">$C40*EXP(-B$168/$A40/EXP(-$C$126))</f>
        <v>9.0650475367586036E-4</v>
      </c>
      <c r="C193" s="3">
        <f t="shared" si="129"/>
        <v>9.0650475367586036E-4</v>
      </c>
      <c r="D193" s="3">
        <f t="shared" si="129"/>
        <v>9.0650475367586036E-4</v>
      </c>
      <c r="E193" s="3">
        <f t="shared" si="129"/>
        <v>9.0650475367586036E-4</v>
      </c>
      <c r="F193" s="3">
        <f t="shared" si="129"/>
        <v>9.0650475367586036E-4</v>
      </c>
      <c r="G193" s="3">
        <f t="shared" si="129"/>
        <v>9.0650475367586036E-4</v>
      </c>
      <c r="H193" s="3">
        <f t="shared" si="129"/>
        <v>9.0650475367586036E-4</v>
      </c>
      <c r="I193" s="3">
        <f t="shared" si="129"/>
        <v>9.0650475367586036E-4</v>
      </c>
      <c r="J193" s="3">
        <f t="shared" si="129"/>
        <v>9.0650475367586036E-4</v>
      </c>
      <c r="K193" s="3">
        <f t="shared" si="129"/>
        <v>9.0650475367586036E-4</v>
      </c>
      <c r="L193" s="3">
        <f t="shared" si="129"/>
        <v>9.0650475367586036E-4</v>
      </c>
      <c r="M193" s="3">
        <f t="shared" si="129"/>
        <v>9.0650475367586036E-4</v>
      </c>
      <c r="N193" s="3">
        <f t="shared" si="129"/>
        <v>9.0650475367586036E-4</v>
      </c>
      <c r="O193" s="3">
        <f t="shared" si="129"/>
        <v>9.0650475367586036E-4</v>
      </c>
      <c r="P193" s="3">
        <f t="shared" si="129"/>
        <v>9.0650475367586036E-4</v>
      </c>
      <c r="Q193" s="3">
        <f t="shared" si="129"/>
        <v>9.0650475367586036E-4</v>
      </c>
      <c r="R193" s="3">
        <f t="shared" si="129"/>
        <v>9.0650475367586036E-4</v>
      </c>
      <c r="S193" s="3">
        <f t="shared" si="129"/>
        <v>9.0650475367586036E-4</v>
      </c>
      <c r="T193" s="3">
        <f t="shared" si="129"/>
        <v>9.0650475367586036E-4</v>
      </c>
      <c r="U193" s="3">
        <f t="shared" si="129"/>
        <v>9.0650475367586036E-4</v>
      </c>
      <c r="V193" s="3">
        <f t="shared" si="129"/>
        <v>9.0650475367586036E-4</v>
      </c>
      <c r="W193" s="3">
        <f t="shared" si="129"/>
        <v>9.0650475367586036E-4</v>
      </c>
      <c r="X193" s="3">
        <f t="shared" si="129"/>
        <v>9.0650475367586036E-4</v>
      </c>
      <c r="Y193" s="3">
        <f t="shared" si="129"/>
        <v>9.0650475367586036E-4</v>
      </c>
      <c r="Z193" s="3">
        <f t="shared" si="129"/>
        <v>9.0650475367586036E-4</v>
      </c>
      <c r="AA193" s="3">
        <f t="shared" si="129"/>
        <v>9.0650475367586025E-4</v>
      </c>
      <c r="AB193" s="3">
        <f t="shared" si="129"/>
        <v>9.0650475367585949E-4</v>
      </c>
      <c r="AC193" s="3">
        <f t="shared" si="129"/>
        <v>9.0650475367585158E-4</v>
      </c>
      <c r="AD193" s="3">
        <f t="shared" si="129"/>
        <v>9.0650475367577319E-4</v>
      </c>
      <c r="AE193" s="3">
        <f t="shared" si="129"/>
        <v>9.0650475367498845E-4</v>
      </c>
      <c r="AF193" s="3">
        <f t="shared" si="129"/>
        <v>9.0650475366714218E-4</v>
      </c>
      <c r="AG193" s="3"/>
      <c r="AH193" s="3"/>
    </row>
    <row r="194" spans="1:34" x14ac:dyDescent="0.25">
      <c r="B194" s="3">
        <f t="shared" ref="B194:AF194" si="130">$C41*EXP(-B$168/$A41/EXP(-$C$126))</f>
        <v>1.833495697796037E-4</v>
      </c>
      <c r="C194" s="3">
        <f t="shared" si="130"/>
        <v>1.833495697796037E-4</v>
      </c>
      <c r="D194" s="3">
        <f t="shared" si="130"/>
        <v>1.833495697796037E-4</v>
      </c>
      <c r="E194" s="3">
        <f t="shared" si="130"/>
        <v>1.833495697796037E-4</v>
      </c>
      <c r="F194" s="3">
        <f t="shared" si="130"/>
        <v>1.833495697796037E-4</v>
      </c>
      <c r="G194" s="3">
        <f t="shared" si="130"/>
        <v>1.833495697796037E-4</v>
      </c>
      <c r="H194" s="3">
        <f t="shared" si="130"/>
        <v>1.833495697796037E-4</v>
      </c>
      <c r="I194" s="3">
        <f t="shared" si="130"/>
        <v>1.833495697796037E-4</v>
      </c>
      <c r="J194" s="3">
        <f t="shared" si="130"/>
        <v>1.833495697796037E-4</v>
      </c>
      <c r="K194" s="3">
        <f t="shared" si="130"/>
        <v>1.833495697796037E-4</v>
      </c>
      <c r="L194" s="3">
        <f t="shared" si="130"/>
        <v>1.833495697796037E-4</v>
      </c>
      <c r="M194" s="3">
        <f t="shared" si="130"/>
        <v>1.833495697796037E-4</v>
      </c>
      <c r="N194" s="3">
        <f t="shared" si="130"/>
        <v>1.833495697796037E-4</v>
      </c>
      <c r="O194" s="3">
        <f t="shared" si="130"/>
        <v>1.833495697796037E-4</v>
      </c>
      <c r="P194" s="3">
        <f t="shared" si="130"/>
        <v>1.833495697796037E-4</v>
      </c>
      <c r="Q194" s="3">
        <f t="shared" si="130"/>
        <v>1.833495697796037E-4</v>
      </c>
      <c r="R194" s="3">
        <f t="shared" si="130"/>
        <v>1.833495697796037E-4</v>
      </c>
      <c r="S194" s="3">
        <f t="shared" si="130"/>
        <v>1.833495697796037E-4</v>
      </c>
      <c r="T194" s="3">
        <f t="shared" si="130"/>
        <v>1.833495697796037E-4</v>
      </c>
      <c r="U194" s="3">
        <f t="shared" si="130"/>
        <v>1.833495697796037E-4</v>
      </c>
      <c r="V194" s="3">
        <f t="shared" si="130"/>
        <v>1.833495697796037E-4</v>
      </c>
      <c r="W194" s="3">
        <f t="shared" si="130"/>
        <v>1.833495697796037E-4</v>
      </c>
      <c r="X194" s="3">
        <f t="shared" si="130"/>
        <v>1.833495697796037E-4</v>
      </c>
      <c r="Y194" s="3">
        <f t="shared" si="130"/>
        <v>1.833495697796037E-4</v>
      </c>
      <c r="Z194" s="3">
        <f t="shared" si="130"/>
        <v>1.833495697796037E-4</v>
      </c>
      <c r="AA194" s="3">
        <f t="shared" si="130"/>
        <v>1.833495697796037E-4</v>
      </c>
      <c r="AB194" s="3">
        <f t="shared" si="130"/>
        <v>1.8334956977960368E-4</v>
      </c>
      <c r="AC194" s="3">
        <f t="shared" si="130"/>
        <v>1.8334956977960351E-4</v>
      </c>
      <c r="AD194" s="3">
        <f t="shared" si="130"/>
        <v>1.8334956977960194E-4</v>
      </c>
      <c r="AE194" s="3">
        <f t="shared" si="130"/>
        <v>1.8334956977958608E-4</v>
      </c>
      <c r="AF194" s="3">
        <f t="shared" si="130"/>
        <v>1.8334956977942736E-4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2.7582104941075727E-4</v>
      </c>
      <c r="C196" s="3">
        <f t="shared" si="132"/>
        <v>2.7582104941075727E-4</v>
      </c>
      <c r="D196" s="3">
        <f t="shared" si="132"/>
        <v>2.7582104941075727E-4</v>
      </c>
      <c r="E196" s="3">
        <f t="shared" si="132"/>
        <v>2.7582104941075727E-4</v>
      </c>
      <c r="F196" s="3">
        <f t="shared" si="132"/>
        <v>2.7582104941075727E-4</v>
      </c>
      <c r="G196" s="3">
        <f t="shared" si="132"/>
        <v>2.7582104941075727E-4</v>
      </c>
      <c r="H196" s="3">
        <f t="shared" si="132"/>
        <v>2.7582104941075727E-4</v>
      </c>
      <c r="I196" s="3">
        <f t="shared" si="132"/>
        <v>2.7582104941075727E-4</v>
      </c>
      <c r="J196" s="3">
        <f t="shared" si="132"/>
        <v>2.7582104941075727E-4</v>
      </c>
      <c r="K196" s="3">
        <f t="shared" si="132"/>
        <v>2.7582104941075727E-4</v>
      </c>
      <c r="L196" s="3">
        <f t="shared" si="132"/>
        <v>2.7582104941075727E-4</v>
      </c>
      <c r="M196" s="3">
        <f t="shared" si="132"/>
        <v>2.7582104941075727E-4</v>
      </c>
      <c r="N196" s="3">
        <f t="shared" si="132"/>
        <v>2.7582104941075727E-4</v>
      </c>
      <c r="O196" s="3">
        <f t="shared" si="132"/>
        <v>2.7582104941075727E-4</v>
      </c>
      <c r="P196" s="3">
        <f t="shared" si="132"/>
        <v>2.7582104941075727E-4</v>
      </c>
      <c r="Q196" s="3">
        <f t="shared" si="132"/>
        <v>2.7582104941075727E-4</v>
      </c>
      <c r="R196" s="3">
        <f t="shared" si="132"/>
        <v>2.7582104941075727E-4</v>
      </c>
      <c r="S196" s="3">
        <f t="shared" si="132"/>
        <v>2.7582104941075727E-4</v>
      </c>
      <c r="T196" s="3">
        <f t="shared" si="132"/>
        <v>2.7582104941075727E-4</v>
      </c>
      <c r="U196" s="3">
        <f t="shared" si="132"/>
        <v>2.7582104941075727E-4</v>
      </c>
      <c r="V196" s="3">
        <f t="shared" si="132"/>
        <v>2.7582104941075727E-4</v>
      </c>
      <c r="W196" s="3">
        <f t="shared" si="132"/>
        <v>2.7582104941075727E-4</v>
      </c>
      <c r="X196" s="3">
        <f t="shared" si="132"/>
        <v>2.7582104941075727E-4</v>
      </c>
      <c r="Y196" s="3">
        <f t="shared" si="132"/>
        <v>2.7582104941075727E-4</v>
      </c>
      <c r="Z196" s="3">
        <f t="shared" si="132"/>
        <v>2.7582104941075727E-4</v>
      </c>
      <c r="AA196" s="3">
        <f t="shared" si="132"/>
        <v>2.7582104941075727E-4</v>
      </c>
      <c r="AB196" s="3">
        <f t="shared" si="132"/>
        <v>2.7582104941075727E-4</v>
      </c>
      <c r="AC196" s="3">
        <f t="shared" si="132"/>
        <v>2.7582104941075727E-4</v>
      </c>
      <c r="AD196" s="3">
        <f t="shared" si="132"/>
        <v>2.7582104941075721E-4</v>
      </c>
      <c r="AE196" s="3">
        <f t="shared" si="132"/>
        <v>2.7582104941075699E-4</v>
      </c>
      <c r="AF196" s="3">
        <f t="shared" si="132"/>
        <v>2.7582104941075461E-4</v>
      </c>
      <c r="AG196" s="3"/>
      <c r="AH196" s="3"/>
    </row>
    <row r="197" spans="1:34" x14ac:dyDescent="0.25">
      <c r="B197" s="3">
        <f t="shared" ref="B197:AF197" si="133">$C44*EXP(-B$168/$A44/EXP(-$C$126))</f>
        <v>2.4535081143819124E-4</v>
      </c>
      <c r="C197" s="3">
        <f t="shared" si="133"/>
        <v>2.4535081143819124E-4</v>
      </c>
      <c r="D197" s="3">
        <f t="shared" si="133"/>
        <v>2.4535081143819124E-4</v>
      </c>
      <c r="E197" s="3">
        <f t="shared" si="133"/>
        <v>2.4535081143819124E-4</v>
      </c>
      <c r="F197" s="3">
        <f t="shared" si="133"/>
        <v>2.4535081143819124E-4</v>
      </c>
      <c r="G197" s="3">
        <f t="shared" si="133"/>
        <v>2.4535081143819124E-4</v>
      </c>
      <c r="H197" s="3">
        <f t="shared" si="133"/>
        <v>2.4535081143819124E-4</v>
      </c>
      <c r="I197" s="3">
        <f t="shared" si="133"/>
        <v>2.4535081143819124E-4</v>
      </c>
      <c r="J197" s="3">
        <f t="shared" si="133"/>
        <v>2.4535081143819124E-4</v>
      </c>
      <c r="K197" s="3">
        <f t="shared" si="133"/>
        <v>2.4535081143819124E-4</v>
      </c>
      <c r="L197" s="3">
        <f t="shared" si="133"/>
        <v>2.4535081143819124E-4</v>
      </c>
      <c r="M197" s="3">
        <f t="shared" si="133"/>
        <v>2.4535081143819124E-4</v>
      </c>
      <c r="N197" s="3">
        <f t="shared" si="133"/>
        <v>2.4535081143819124E-4</v>
      </c>
      <c r="O197" s="3">
        <f t="shared" si="133"/>
        <v>2.4535081143819124E-4</v>
      </c>
      <c r="P197" s="3">
        <f t="shared" si="133"/>
        <v>2.4535081143819124E-4</v>
      </c>
      <c r="Q197" s="3">
        <f t="shared" si="133"/>
        <v>2.4535081143819124E-4</v>
      </c>
      <c r="R197" s="3">
        <f t="shared" si="133"/>
        <v>2.4535081143819124E-4</v>
      </c>
      <c r="S197" s="3">
        <f t="shared" si="133"/>
        <v>2.4535081143819124E-4</v>
      </c>
      <c r="T197" s="3">
        <f t="shared" si="133"/>
        <v>2.4535081143819124E-4</v>
      </c>
      <c r="U197" s="3">
        <f t="shared" si="133"/>
        <v>2.4535081143819124E-4</v>
      </c>
      <c r="V197" s="3">
        <f t="shared" si="133"/>
        <v>2.4535081143819124E-4</v>
      </c>
      <c r="W197" s="3">
        <f t="shared" si="133"/>
        <v>2.4535081143819124E-4</v>
      </c>
      <c r="X197" s="3">
        <f t="shared" si="133"/>
        <v>2.4535081143819124E-4</v>
      </c>
      <c r="Y197" s="3">
        <f t="shared" si="133"/>
        <v>2.4535081143819124E-4</v>
      </c>
      <c r="Z197" s="3">
        <f t="shared" si="133"/>
        <v>2.4535081143819124E-4</v>
      </c>
      <c r="AA197" s="3">
        <f t="shared" si="133"/>
        <v>2.4535081143819124E-4</v>
      </c>
      <c r="AB197" s="3">
        <f t="shared" si="133"/>
        <v>2.4535081143819124E-4</v>
      </c>
      <c r="AC197" s="3">
        <f t="shared" si="133"/>
        <v>2.4535081143819124E-4</v>
      </c>
      <c r="AD197" s="3">
        <f t="shared" si="133"/>
        <v>2.4535081143819124E-4</v>
      </c>
      <c r="AE197" s="3">
        <f t="shared" si="133"/>
        <v>2.4535081143819119E-4</v>
      </c>
      <c r="AF197" s="3">
        <f t="shared" si="133"/>
        <v>2.4535081143819097E-4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1.7255643769382848E-4</v>
      </c>
      <c r="C199" s="3">
        <f t="shared" si="135"/>
        <v>1.7255643769382848E-4</v>
      </c>
      <c r="D199" s="3">
        <f t="shared" si="135"/>
        <v>1.7255643769382848E-4</v>
      </c>
      <c r="E199" s="3">
        <f t="shared" si="135"/>
        <v>1.7255643769382848E-4</v>
      </c>
      <c r="F199" s="3">
        <f t="shared" si="135"/>
        <v>1.7255643769382848E-4</v>
      </c>
      <c r="G199" s="3">
        <f t="shared" si="135"/>
        <v>1.7255643769382848E-4</v>
      </c>
      <c r="H199" s="3">
        <f t="shared" si="135"/>
        <v>1.7255643769382848E-4</v>
      </c>
      <c r="I199" s="3">
        <f t="shared" si="135"/>
        <v>1.7255643769382848E-4</v>
      </c>
      <c r="J199" s="3">
        <f t="shared" si="135"/>
        <v>1.7255643769382848E-4</v>
      </c>
      <c r="K199" s="3">
        <f t="shared" si="135"/>
        <v>1.7255643769382848E-4</v>
      </c>
      <c r="L199" s="3">
        <f t="shared" si="135"/>
        <v>1.7255643769382848E-4</v>
      </c>
      <c r="M199" s="3">
        <f t="shared" si="135"/>
        <v>1.7255643769382848E-4</v>
      </c>
      <c r="N199" s="3">
        <f t="shared" si="135"/>
        <v>1.7255643769382848E-4</v>
      </c>
      <c r="O199" s="3">
        <f t="shared" si="135"/>
        <v>1.7255643769382848E-4</v>
      </c>
      <c r="P199" s="3">
        <f t="shared" si="135"/>
        <v>1.7255643769382848E-4</v>
      </c>
      <c r="Q199" s="3">
        <f t="shared" si="135"/>
        <v>1.7255643769382848E-4</v>
      </c>
      <c r="R199" s="3">
        <f t="shared" si="135"/>
        <v>1.7255643769382848E-4</v>
      </c>
      <c r="S199" s="3">
        <f t="shared" si="135"/>
        <v>1.7255643769382848E-4</v>
      </c>
      <c r="T199" s="3">
        <f t="shared" si="135"/>
        <v>1.7255643769382848E-4</v>
      </c>
      <c r="U199" s="3">
        <f t="shared" si="135"/>
        <v>1.7255643769382848E-4</v>
      </c>
      <c r="V199" s="3">
        <f t="shared" si="135"/>
        <v>1.7255643769382848E-4</v>
      </c>
      <c r="W199" s="3">
        <f t="shared" si="135"/>
        <v>1.7255643769382848E-4</v>
      </c>
      <c r="X199" s="3">
        <f t="shared" si="135"/>
        <v>1.7255643769382848E-4</v>
      </c>
      <c r="Y199" s="3">
        <f t="shared" si="135"/>
        <v>1.7255643769382848E-4</v>
      </c>
      <c r="Z199" s="3">
        <f t="shared" si="135"/>
        <v>1.7255643769382848E-4</v>
      </c>
      <c r="AA199" s="3">
        <f t="shared" si="135"/>
        <v>1.7255643769382848E-4</v>
      </c>
      <c r="AB199" s="3">
        <f t="shared" si="135"/>
        <v>1.7255643769382848E-4</v>
      </c>
      <c r="AC199" s="3">
        <f t="shared" si="135"/>
        <v>1.7255643769382848E-4</v>
      </c>
      <c r="AD199" s="3">
        <f t="shared" si="135"/>
        <v>1.7255643769382848E-4</v>
      </c>
      <c r="AE199" s="3">
        <f t="shared" si="135"/>
        <v>1.7255643769382848E-4</v>
      </c>
      <c r="AF199" s="3">
        <f t="shared" si="135"/>
        <v>1.7255643769382848E-4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0.14035013264545718</v>
      </c>
      <c r="B202" s="80">
        <f>IF($A$64&lt;=B168,IF($B$64&gt;=B168,ABS((B170-B169)/B169),0),0)</f>
        <v>5.6190125095969415E-3</v>
      </c>
      <c r="C202" s="80">
        <f t="shared" ref="C202:AF202" si="138">IF($A$64&lt;=C168,IF($B$64&gt;=C168,ABS((C170-C169)/C169),0),0)</f>
        <v>5.6288578213559287E-3</v>
      </c>
      <c r="D202" s="80">
        <f t="shared" si="138"/>
        <v>5.6236474810538728E-3</v>
      </c>
      <c r="E202" s="80">
        <f t="shared" si="138"/>
        <v>5.622153134371111E-3</v>
      </c>
      <c r="F202" s="80">
        <f t="shared" si="138"/>
        <v>5.6203553959017303E-3</v>
      </c>
      <c r="G202" s="80">
        <f t="shared" si="138"/>
        <v>5.6061978642360242E-3</v>
      </c>
      <c r="H202" s="80">
        <f t="shared" si="138"/>
        <v>5.4666603400343808E-3</v>
      </c>
      <c r="I202" s="80">
        <f t="shared" si="138"/>
        <v>4.1200805845529554E-3</v>
      </c>
      <c r="J202" s="80">
        <f t="shared" si="138"/>
        <v>6.6739087185378491E-3</v>
      </c>
      <c r="K202" s="80">
        <f t="shared" si="138"/>
        <v>3.1631113614569877E-2</v>
      </c>
      <c r="L202" s="80">
        <f t="shared" si="138"/>
        <v>4.9637971115749455E-2</v>
      </c>
      <c r="M202" s="80">
        <f t="shared" si="138"/>
        <v>6.4739724012037911E-2</v>
      </c>
      <c r="N202" s="80">
        <f t="shared" si="138"/>
        <v>5.3933686559730014E-2</v>
      </c>
      <c r="O202" s="80">
        <f t="shared" si="138"/>
        <v>0.13377754896200292</v>
      </c>
      <c r="P202" s="80">
        <f t="shared" si="138"/>
        <v>0.26880036693031695</v>
      </c>
      <c r="Q202" s="80">
        <f t="shared" si="138"/>
        <v>0.24823577890508403</v>
      </c>
      <c r="R202" s="80">
        <f t="shared" si="138"/>
        <v>0.22492498899691005</v>
      </c>
      <c r="S202" s="80">
        <f t="shared" si="138"/>
        <v>0.20080886905642267</v>
      </c>
      <c r="T202" s="80">
        <f t="shared" si="138"/>
        <v>0.16452918312231776</v>
      </c>
      <c r="U202" s="80">
        <f t="shared" si="138"/>
        <v>8.3352995065906141E-2</v>
      </c>
      <c r="V202" s="80">
        <f t="shared" si="138"/>
        <v>2.5598919931941598E-2</v>
      </c>
      <c r="W202" s="80">
        <f t="shared" si="138"/>
        <v>0.18093281517358711</v>
      </c>
      <c r="X202" s="80">
        <f t="shared" si="138"/>
        <v>0.30337844015376042</v>
      </c>
      <c r="Y202" s="80">
        <f t="shared" si="138"/>
        <v>0.38390241344179432</v>
      </c>
      <c r="Z202" s="80">
        <f t="shared" si="138"/>
        <v>0.42186574489060308</v>
      </c>
      <c r="AA202" s="80">
        <f t="shared" si="138"/>
        <v>0.42063234100994462</v>
      </c>
      <c r="AB202" s="80">
        <f t="shared" si="138"/>
        <v>0.38230914859490417</v>
      </c>
      <c r="AC202" s="80">
        <f t="shared" si="138"/>
        <v>0.30605569910403679</v>
      </c>
      <c r="AD202" s="80">
        <f t="shared" si="138"/>
        <v>0.1752170060418734</v>
      </c>
      <c r="AE202" s="80">
        <f t="shared" si="138"/>
        <v>2.0155565904912366E-3</v>
      </c>
      <c r="AF202" s="80">
        <f t="shared" si="138"/>
        <v>0.17459292688554784</v>
      </c>
    </row>
    <row r="203" spans="1:34" x14ac:dyDescent="0.25">
      <c r="B203" s="21">
        <f>(B170-B169)^2</f>
        <v>1561.2339361331403</v>
      </c>
      <c r="C203" s="21">
        <f t="shared" ref="C203:AF203" si="139">(C170-C169)^2</f>
        <v>1566.740762695671</v>
      </c>
      <c r="D203" s="21">
        <f t="shared" si="139"/>
        <v>1563.8252161661292</v>
      </c>
      <c r="E203" s="21">
        <f t="shared" si="139"/>
        <v>1562.9895322172936</v>
      </c>
      <c r="F203" s="21">
        <f t="shared" si="139"/>
        <v>1561.9844808286252</v>
      </c>
      <c r="G203" s="21">
        <f t="shared" si="139"/>
        <v>1554.0809313686459</v>
      </c>
      <c r="H203" s="21">
        <f t="shared" si="139"/>
        <v>1477.2672411633987</v>
      </c>
      <c r="I203" s="21">
        <f t="shared" si="139"/>
        <v>836.85608542707905</v>
      </c>
      <c r="J203" s="21">
        <f t="shared" si="139"/>
        <v>2148.98559747436</v>
      </c>
      <c r="K203" s="21">
        <f t="shared" si="139"/>
        <v>45962.503246814522</v>
      </c>
      <c r="L203" s="21">
        <f t="shared" si="139"/>
        <v>109270.34404718416</v>
      </c>
      <c r="M203" s="21">
        <f t="shared" si="139"/>
        <v>179520.45320930818</v>
      </c>
      <c r="N203" s="21">
        <f t="shared" si="139"/>
        <v>119736.56689062457</v>
      </c>
      <c r="O203" s="21">
        <f t="shared" si="139"/>
        <v>705622.3050494811</v>
      </c>
      <c r="P203" s="21">
        <f t="shared" si="139"/>
        <v>2710287.9952493208</v>
      </c>
      <c r="Q203" s="21">
        <f t="shared" si="139"/>
        <v>2186547.8837596169</v>
      </c>
      <c r="R203" s="21">
        <f t="shared" si="139"/>
        <v>1688748.3874694933</v>
      </c>
      <c r="S203" s="21">
        <f t="shared" si="139"/>
        <v>1265541.0843994133</v>
      </c>
      <c r="T203" s="21">
        <f t="shared" si="139"/>
        <v>774462.73633414938</v>
      </c>
      <c r="U203" s="21">
        <f t="shared" si="139"/>
        <v>159631.93526383731</v>
      </c>
      <c r="V203" s="21">
        <f t="shared" si="139"/>
        <v>10515.738870910802</v>
      </c>
      <c r="W203" s="21">
        <f t="shared" si="139"/>
        <v>366615.26277832576</v>
      </c>
      <c r="X203" s="21">
        <f t="shared" si="139"/>
        <v>769880.03677867213</v>
      </c>
      <c r="Y203" s="21">
        <f t="shared" si="139"/>
        <v>973151.16852268414</v>
      </c>
      <c r="Z203" s="21">
        <f t="shared" si="139"/>
        <v>972041.19067717798</v>
      </c>
      <c r="AA203" s="21">
        <f t="shared" si="139"/>
        <v>818817.92108633579</v>
      </c>
      <c r="AB203" s="21">
        <f t="shared" si="139"/>
        <v>578968.98216577736</v>
      </c>
      <c r="AC203" s="21">
        <f t="shared" si="139"/>
        <v>313119.7894680106</v>
      </c>
      <c r="AD203" s="21">
        <f t="shared" si="139"/>
        <v>85128.123671975263</v>
      </c>
      <c r="AE203" s="21">
        <f t="shared" si="139"/>
        <v>9.0109946903917599</v>
      </c>
      <c r="AF203" s="21">
        <f t="shared" si="139"/>
        <v>51284.06480110246</v>
      </c>
      <c r="AG203" s="3"/>
      <c r="AH203" s="3"/>
    </row>
    <row r="204" spans="1:34" x14ac:dyDescent="0.25">
      <c r="A204" s="71">
        <f>SUM(B204:AF204)</f>
        <v>14898697.448518377</v>
      </c>
      <c r="B204" s="60">
        <f>IF($A$64&lt;=B168,IF($B$64&gt;=B168,ABS(B203),0),0)</f>
        <v>1561.2339361331403</v>
      </c>
      <c r="C204" s="60">
        <f t="shared" ref="C204" si="140">IF($A$64&lt;=C168,IF($B$64&gt;=C168,ABS(C203),0),0)</f>
        <v>1566.740762695671</v>
      </c>
      <c r="D204" s="60">
        <f t="shared" ref="D204" si="141">IF($A$64&lt;=D168,IF($B$64&gt;=D168,ABS(D203),0),0)</f>
        <v>1563.8252161661292</v>
      </c>
      <c r="E204" s="60">
        <f t="shared" ref="E204" si="142">IF($A$64&lt;=E168,IF($B$64&gt;=E168,ABS(E203),0),0)</f>
        <v>1562.9895322172936</v>
      </c>
      <c r="F204" s="60">
        <f t="shared" ref="F204" si="143">IF($A$64&lt;=F168,IF($B$64&gt;=F168,ABS(F203),0),0)</f>
        <v>1561.9844808286252</v>
      </c>
      <c r="G204" s="60">
        <f t="shared" ref="G204" si="144">IF($A$64&lt;=G168,IF($B$64&gt;=G168,ABS(G203),0),0)</f>
        <v>1554.0809313686459</v>
      </c>
      <c r="H204" s="60">
        <f t="shared" ref="H204" si="145">IF($A$64&lt;=H168,IF($B$64&gt;=H168,ABS(H203),0),0)</f>
        <v>1477.2672411633987</v>
      </c>
      <c r="I204" s="60">
        <f t="shared" ref="I204" si="146">IF($A$64&lt;=I168,IF($B$64&gt;=I168,ABS(I203),0),0)</f>
        <v>836.85608542707905</v>
      </c>
      <c r="J204" s="60">
        <f t="shared" ref="J204" si="147">IF($A$64&lt;=J168,IF($B$64&gt;=J168,ABS(J203),0),0)</f>
        <v>2148.98559747436</v>
      </c>
      <c r="K204" s="60">
        <f t="shared" ref="K204" si="148">IF($A$64&lt;=K168,IF($B$64&gt;=K168,ABS(K203),0),0)</f>
        <v>45962.503246814522</v>
      </c>
      <c r="L204" s="60">
        <f t="shared" ref="L204" si="149">IF($A$64&lt;=L168,IF($B$64&gt;=L168,ABS(L203),0),0)</f>
        <v>109270.34404718416</v>
      </c>
      <c r="M204" s="60">
        <f t="shared" ref="M204" si="150">IF($A$64&lt;=M168,IF($B$64&gt;=M168,ABS(M203),0),0)</f>
        <v>179520.45320930818</v>
      </c>
      <c r="N204" s="60">
        <f t="shared" ref="N204" si="151">IF($A$64&lt;=N168,IF($B$64&gt;=N168,ABS(N203),0),0)</f>
        <v>119736.56689062457</v>
      </c>
      <c r="O204" s="60">
        <f t="shared" ref="O204" si="152">IF($A$64&lt;=O168,IF($B$64&gt;=O168,ABS(O203),0),0)</f>
        <v>705622.3050494811</v>
      </c>
      <c r="P204" s="60">
        <f t="shared" ref="P204" si="153">IF($A$64&lt;=P168,IF($B$64&gt;=P168,ABS(P203),0),0)</f>
        <v>2710287.9952493208</v>
      </c>
      <c r="Q204" s="60">
        <f t="shared" ref="Q204" si="154">IF($A$64&lt;=Q168,IF($B$64&gt;=Q168,ABS(Q203),0),0)</f>
        <v>2186547.8837596169</v>
      </c>
      <c r="R204" s="60">
        <f t="shared" ref="R204" si="155">IF($A$64&lt;=R168,IF($B$64&gt;=R168,ABS(R203),0),0)</f>
        <v>1688748.3874694933</v>
      </c>
      <c r="S204" s="60">
        <f t="shared" ref="S204" si="156">IF($A$64&lt;=S168,IF($B$64&gt;=S168,ABS(S203),0),0)</f>
        <v>1265541.0843994133</v>
      </c>
      <c r="T204" s="60">
        <f t="shared" ref="T204" si="157">IF($A$64&lt;=T168,IF($B$64&gt;=T168,ABS(T203),0),0)</f>
        <v>774462.73633414938</v>
      </c>
      <c r="U204" s="60">
        <f t="shared" ref="U204" si="158">IF($A$64&lt;=U168,IF($B$64&gt;=U168,ABS(U203),0),0)</f>
        <v>159631.93526383731</v>
      </c>
      <c r="V204" s="60">
        <f t="shared" ref="V204" si="159">IF($A$64&lt;=V168,IF($B$64&gt;=V168,ABS(V203),0),0)</f>
        <v>10515.738870910802</v>
      </c>
      <c r="W204" s="60">
        <f t="shared" ref="W204" si="160">IF($A$64&lt;=W168,IF($B$64&gt;=W168,ABS(W203),0),0)</f>
        <v>366615.26277832576</v>
      </c>
      <c r="X204" s="60">
        <f t="shared" ref="X204" si="161">IF($A$64&lt;=X168,IF($B$64&gt;=X168,ABS(X203),0),0)</f>
        <v>769880.03677867213</v>
      </c>
      <c r="Y204" s="60">
        <f t="shared" ref="Y204" si="162">IF($A$64&lt;=Y168,IF($B$64&gt;=Y168,ABS(Y203),0),0)</f>
        <v>973151.16852268414</v>
      </c>
      <c r="Z204" s="60">
        <f t="shared" ref="Z204" si="163">IF($A$64&lt;=Z168,IF($B$64&gt;=Z168,ABS(Z203),0),0)</f>
        <v>972041.19067717798</v>
      </c>
      <c r="AA204" s="60">
        <f t="shared" ref="AA204" si="164">IF($A$64&lt;=AA168,IF($B$64&gt;=AA168,ABS(AA203),0),0)</f>
        <v>818817.92108633579</v>
      </c>
      <c r="AB204" s="60">
        <f t="shared" ref="AB204" si="165">IF($A$64&lt;=AB168,IF($B$64&gt;=AB168,ABS(AB203),0),0)</f>
        <v>578968.98216577736</v>
      </c>
      <c r="AC204" s="60">
        <f t="shared" ref="AC204" si="166">IF($A$64&lt;=AC168,IF($B$64&gt;=AC168,ABS(AC203),0),0)</f>
        <v>313119.7894680106</v>
      </c>
      <c r="AD204" s="60">
        <f t="shared" ref="AD204" si="167">IF($A$64&lt;=AD168,IF($B$64&gt;=AD168,ABS(AD203),0),0)</f>
        <v>85128.123671975263</v>
      </c>
      <c r="AE204" s="60">
        <f t="shared" ref="AE204" si="168">IF($A$64&lt;=AE168,IF($B$64&gt;=AE168,ABS(AE203),0),0)</f>
        <v>9.0109946903917599</v>
      </c>
      <c r="AF204" s="60">
        <f t="shared" ref="AF204" si="169">IF($A$64&lt;=AF168,IF($B$64&gt;=AF168,ABS(AF203),0),0)</f>
        <v>51284.06480110246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6992.4086999721731</v>
      </c>
      <c r="C209" s="27">
        <f t="shared" ref="C209:AF209" si="170">($C$17+SUM(C210:C240))*$B$51</f>
        <v>6992.4086997217437</v>
      </c>
      <c r="D209" s="27">
        <f t="shared" si="170"/>
        <v>6992.40869721745</v>
      </c>
      <c r="E209" s="27">
        <f t="shared" si="170"/>
        <v>6992.4086721745171</v>
      </c>
      <c r="F209" s="27">
        <f t="shared" si="170"/>
        <v>6992.4084217451964</v>
      </c>
      <c r="G209" s="27">
        <f t="shared" si="170"/>
        <v>6992.405917453365</v>
      </c>
      <c r="H209" s="27">
        <f t="shared" si="170"/>
        <v>6992.3808746722389</v>
      </c>
      <c r="I209" s="27">
        <f t="shared" si="170"/>
        <v>6992.1304605793775</v>
      </c>
      <c r="J209" s="27">
        <f t="shared" si="170"/>
        <v>6989.627690985858</v>
      </c>
      <c r="K209" s="27">
        <f t="shared" si="170"/>
        <v>6964.7366245222993</v>
      </c>
      <c r="L209" s="27">
        <f t="shared" si="170"/>
        <v>6728.9985191083179</v>
      </c>
      <c r="M209" s="27">
        <f t="shared" si="170"/>
        <v>5309.4763603827187</v>
      </c>
      <c r="N209" s="27">
        <f t="shared" si="170"/>
        <v>4478.1784178656244</v>
      </c>
      <c r="O209" s="27">
        <f t="shared" si="170"/>
        <v>4478.129333880006</v>
      </c>
      <c r="P209" s="27">
        <f t="shared" si="170"/>
        <v>4478.0312085734604</v>
      </c>
      <c r="Q209" s="27">
        <f t="shared" si="170"/>
        <v>4477.0512869673066</v>
      </c>
      <c r="R209" s="27">
        <f t="shared" si="170"/>
        <v>4467.3839717188448</v>
      </c>
      <c r="S209" s="27">
        <f t="shared" si="170"/>
        <v>4382.7393495538718</v>
      </c>
      <c r="T209" s="27">
        <f t="shared" si="170"/>
        <v>4094.569911072605</v>
      </c>
      <c r="U209" s="27">
        <f t="shared" si="170"/>
        <v>3942.6242170599739</v>
      </c>
      <c r="V209" s="27">
        <f t="shared" si="170"/>
        <v>3757.1694906451298</v>
      </c>
      <c r="W209" s="27">
        <f t="shared" si="170"/>
        <v>3541.6347872580936</v>
      </c>
      <c r="X209" s="27">
        <f t="shared" si="170"/>
        <v>3306.6355108517305</v>
      </c>
      <c r="Y209" s="27">
        <f t="shared" si="170"/>
        <v>3036.8651046921059</v>
      </c>
      <c r="Z209" s="27">
        <f t="shared" si="170"/>
        <v>2728.7198726445645</v>
      </c>
      <c r="AA209" s="27">
        <f t="shared" si="170"/>
        <v>2360.5829353546524</v>
      </c>
      <c r="AB209" s="27">
        <f t="shared" si="170"/>
        <v>1925.274923544843</v>
      </c>
      <c r="AC209" s="27">
        <f t="shared" si="170"/>
        <v>1460.7656956537096</v>
      </c>
      <c r="AD209" s="27">
        <f t="shared" si="170"/>
        <v>1045.7759923499298</v>
      </c>
      <c r="AE209" s="27">
        <f t="shared" si="170"/>
        <v>746.25427652900044</v>
      </c>
      <c r="AF209" s="27">
        <f t="shared" si="170"/>
        <v>567.66217686587765</v>
      </c>
      <c r="AG209" s="27"/>
      <c r="AH209" s="27"/>
    </row>
    <row r="210" spans="1:34" x14ac:dyDescent="0.25">
      <c r="B210" s="3">
        <f t="shared" ref="B210:AF210" si="171">$C18*EXP(-B$207/$A18/EXP(-$D$126))</f>
        <v>0.35957115346884366</v>
      </c>
      <c r="C210" s="3">
        <f t="shared" si="171"/>
        <v>0.3595711534330292</v>
      </c>
      <c r="D210" s="3">
        <f t="shared" si="171"/>
        <v>0.35957115307488463</v>
      </c>
      <c r="E210" s="3">
        <f t="shared" si="171"/>
        <v>0.35957114949343888</v>
      </c>
      <c r="F210" s="3">
        <f t="shared" si="171"/>
        <v>0.35957111367898337</v>
      </c>
      <c r="G210" s="3">
        <f t="shared" si="171"/>
        <v>0.35957075553462409</v>
      </c>
      <c r="H210" s="3">
        <f t="shared" si="171"/>
        <v>0.35956717411065137</v>
      </c>
      <c r="I210" s="3">
        <f t="shared" si="171"/>
        <v>0.35953136183282397</v>
      </c>
      <c r="J210" s="3">
        <f t="shared" si="171"/>
        <v>0.35917343517224715</v>
      </c>
      <c r="K210" s="3">
        <f t="shared" si="171"/>
        <v>0.3556137082526582</v>
      </c>
      <c r="L210" s="3">
        <f t="shared" si="171"/>
        <v>0.32190027619884093</v>
      </c>
      <c r="M210" s="3">
        <f t="shared" si="171"/>
        <v>0.11889125291541952</v>
      </c>
      <c r="N210" s="3">
        <f t="shared" si="171"/>
        <v>5.6161079730018723E-6</v>
      </c>
      <c r="O210" s="3">
        <f t="shared" si="171"/>
        <v>3.1066397749357447E-49</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5.3087681466497318E-2</v>
      </c>
      <c r="C211" s="3">
        <f t="shared" si="172"/>
        <v>5.3087681466497318E-2</v>
      </c>
      <c r="D211" s="3">
        <f t="shared" si="172"/>
        <v>5.3087681466497297E-2</v>
      </c>
      <c r="E211" s="3">
        <f t="shared" si="172"/>
        <v>5.3087681466497165E-2</v>
      </c>
      <c r="F211" s="3">
        <f t="shared" si="172"/>
        <v>5.3087681466495812E-2</v>
      </c>
      <c r="G211" s="3">
        <f t="shared" si="172"/>
        <v>5.3087681466482267E-2</v>
      </c>
      <c r="H211" s="3">
        <f t="shared" si="172"/>
        <v>5.308768146634682E-2</v>
      </c>
      <c r="I211" s="3">
        <f t="shared" si="172"/>
        <v>5.3087681464992355E-2</v>
      </c>
      <c r="J211" s="3">
        <f t="shared" si="172"/>
        <v>5.3087681451447655E-2</v>
      </c>
      <c r="K211" s="3">
        <f t="shared" si="172"/>
        <v>5.3087681316000709E-2</v>
      </c>
      <c r="L211" s="3">
        <f t="shared" si="172"/>
        <v>5.3087679961531312E-2</v>
      </c>
      <c r="M211" s="3">
        <f t="shared" si="172"/>
        <v>5.3087666416839187E-2</v>
      </c>
      <c r="N211" s="3">
        <f t="shared" si="172"/>
        <v>5.3087530970107974E-2</v>
      </c>
      <c r="O211" s="3">
        <f t="shared" si="172"/>
        <v>5.308617652180242E-2</v>
      </c>
      <c r="P211" s="3">
        <f t="shared" si="172"/>
        <v>5.307263393922023E-2</v>
      </c>
      <c r="Q211" s="3">
        <f t="shared" si="172"/>
        <v>5.2937397981451521E-2</v>
      </c>
      <c r="R211" s="3">
        <f t="shared" si="172"/>
        <v>5.1603847188153369E-2</v>
      </c>
      <c r="S211" s="3">
        <f t="shared" si="172"/>
        <v>3.9983147434720021E-2</v>
      </c>
      <c r="T211" s="3">
        <f t="shared" si="172"/>
        <v>3.1176399430163566E-3</v>
      </c>
      <c r="U211" s="3">
        <f t="shared" si="172"/>
        <v>2.5900952953420096E-14</v>
      </c>
      <c r="V211" s="3">
        <f t="shared" si="172"/>
        <v>4.0570803000059264E-125</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1.8548614905856641E-2</v>
      </c>
      <c r="C212" s="3">
        <f t="shared" si="173"/>
        <v>1.8548614905856641E-2</v>
      </c>
      <c r="D212" s="3">
        <f t="shared" si="173"/>
        <v>1.8548614905856641E-2</v>
      </c>
      <c r="E212" s="3">
        <f t="shared" si="173"/>
        <v>1.8548614905856638E-2</v>
      </c>
      <c r="F212" s="3">
        <f t="shared" si="173"/>
        <v>1.8548614905856593E-2</v>
      </c>
      <c r="G212" s="3">
        <f t="shared" si="173"/>
        <v>1.8548614905856166E-2</v>
      </c>
      <c r="H212" s="3">
        <f t="shared" si="173"/>
        <v>1.8548614905851898E-2</v>
      </c>
      <c r="I212" s="3">
        <f t="shared" si="173"/>
        <v>1.8548614905809207E-2</v>
      </c>
      <c r="J212" s="3">
        <f t="shared" si="173"/>
        <v>1.8548614905382298E-2</v>
      </c>
      <c r="K212" s="3">
        <f t="shared" si="173"/>
        <v>1.8548614901113227E-2</v>
      </c>
      <c r="L212" s="3">
        <f t="shared" si="173"/>
        <v>1.8548614858422501E-2</v>
      </c>
      <c r="M212" s="3">
        <f t="shared" si="173"/>
        <v>1.8548614431515266E-2</v>
      </c>
      <c r="N212" s="3">
        <f t="shared" si="173"/>
        <v>1.8548610162443441E-2</v>
      </c>
      <c r="O212" s="3">
        <f t="shared" si="173"/>
        <v>1.8548567471779225E-2</v>
      </c>
      <c r="P212" s="3">
        <f t="shared" si="173"/>
        <v>1.8548140570541039E-2</v>
      </c>
      <c r="Q212" s="3">
        <f t="shared" si="173"/>
        <v>1.8543872098511695E-2</v>
      </c>
      <c r="R212" s="3">
        <f t="shared" si="173"/>
        <v>1.8501241367480527E-2</v>
      </c>
      <c r="S212" s="3">
        <f t="shared" si="173"/>
        <v>1.8080287289075889E-2</v>
      </c>
      <c r="T212" s="3">
        <f t="shared" si="173"/>
        <v>1.4363156969684005E-2</v>
      </c>
      <c r="U212" s="3">
        <f t="shared" si="173"/>
        <v>1.4377908136455578E-3</v>
      </c>
      <c r="V212" s="3">
        <f t="shared" si="173"/>
        <v>1.452625560788305E-13</v>
      </c>
      <c r="W212" s="3">
        <f t="shared" si="173"/>
        <v>1.6096574188079356E-113</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2.7428318800719304E-2</v>
      </c>
      <c r="C213" s="3">
        <f t="shared" si="174"/>
        <v>2.7428318800719304E-2</v>
      </c>
      <c r="D213" s="3">
        <f t="shared" si="174"/>
        <v>2.7428318800719304E-2</v>
      </c>
      <c r="E213" s="3">
        <f t="shared" si="174"/>
        <v>2.7428318800719304E-2</v>
      </c>
      <c r="F213" s="3">
        <f t="shared" si="174"/>
        <v>2.7428318800719297E-2</v>
      </c>
      <c r="G213" s="3">
        <f t="shared" si="174"/>
        <v>2.7428318800719241E-2</v>
      </c>
      <c r="H213" s="3">
        <f t="shared" si="174"/>
        <v>2.7428318800718669E-2</v>
      </c>
      <c r="I213" s="3">
        <f t="shared" si="174"/>
        <v>2.7428318800712975E-2</v>
      </c>
      <c r="J213" s="3">
        <f t="shared" si="174"/>
        <v>2.7428318800656028E-2</v>
      </c>
      <c r="K213" s="3">
        <f t="shared" si="174"/>
        <v>2.7428318800086563E-2</v>
      </c>
      <c r="L213" s="3">
        <f t="shared" si="174"/>
        <v>2.7428318794391903E-2</v>
      </c>
      <c r="M213" s="3">
        <f t="shared" si="174"/>
        <v>2.7428318737445303E-2</v>
      </c>
      <c r="N213" s="3">
        <f t="shared" si="174"/>
        <v>2.7428318167979283E-2</v>
      </c>
      <c r="O213" s="3">
        <f t="shared" si="174"/>
        <v>2.7428312473319772E-2</v>
      </c>
      <c r="P213" s="3">
        <f t="shared" si="174"/>
        <v>2.7428255526789663E-2</v>
      </c>
      <c r="Q213" s="3">
        <f t="shared" si="174"/>
        <v>2.7427686067991317E-2</v>
      </c>
      <c r="R213" s="3">
        <f t="shared" si="174"/>
        <v>2.7421992130230475E-2</v>
      </c>
      <c r="S213" s="3">
        <f t="shared" si="174"/>
        <v>2.7365117724961197E-2</v>
      </c>
      <c r="T213" s="3">
        <f t="shared" si="174"/>
        <v>2.6802821270861716E-2</v>
      </c>
      <c r="U213" s="3">
        <f t="shared" si="174"/>
        <v>2.1777719805825935E-2</v>
      </c>
      <c r="V213" s="3">
        <f t="shared" si="174"/>
        <v>2.731060748454335E-3</v>
      </c>
      <c r="W213" s="3">
        <f t="shared" si="174"/>
        <v>2.6273680058435698E-12</v>
      </c>
      <c r="X213" s="3">
        <f t="shared" si="174"/>
        <v>1.7840884146553222E-102</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3.2244311763005913E-2</v>
      </c>
      <c r="C214" s="3">
        <f t="shared" si="175"/>
        <v>3.2244311763005913E-2</v>
      </c>
      <c r="D214" s="3">
        <f t="shared" si="175"/>
        <v>3.2244311763005913E-2</v>
      </c>
      <c r="E214" s="3">
        <f t="shared" si="175"/>
        <v>3.2244311763005913E-2</v>
      </c>
      <c r="F214" s="3">
        <f t="shared" si="175"/>
        <v>3.2244311763005913E-2</v>
      </c>
      <c r="G214" s="3">
        <f t="shared" si="175"/>
        <v>3.2244311763005906E-2</v>
      </c>
      <c r="H214" s="3">
        <f t="shared" si="175"/>
        <v>3.2244311763005844E-2</v>
      </c>
      <c r="I214" s="3">
        <f t="shared" si="175"/>
        <v>3.2244311763005247E-2</v>
      </c>
      <c r="J214" s="3">
        <f t="shared" si="175"/>
        <v>3.2244311762999203E-2</v>
      </c>
      <c r="K214" s="3">
        <f t="shared" si="175"/>
        <v>3.2244311762938814E-2</v>
      </c>
      <c r="L214" s="3">
        <f t="shared" si="175"/>
        <v>3.2244311762334908E-2</v>
      </c>
      <c r="M214" s="3">
        <f t="shared" si="175"/>
        <v>3.2244311756295864E-2</v>
      </c>
      <c r="N214" s="3">
        <f t="shared" si="175"/>
        <v>3.22443116959054E-2</v>
      </c>
      <c r="O214" s="3">
        <f t="shared" si="175"/>
        <v>3.2244311092000814E-2</v>
      </c>
      <c r="P214" s="3">
        <f t="shared" si="175"/>
        <v>3.2244305052955599E-2</v>
      </c>
      <c r="Q214" s="3">
        <f t="shared" si="175"/>
        <v>3.2244244662565577E-2</v>
      </c>
      <c r="R214" s="3">
        <f t="shared" si="175"/>
        <v>3.2243640764886145E-2</v>
      </c>
      <c r="S214" s="3">
        <f t="shared" si="175"/>
        <v>3.2237602410123932E-2</v>
      </c>
      <c r="T214" s="3">
        <f t="shared" si="175"/>
        <v>3.2177281022628866E-2</v>
      </c>
      <c r="U214" s="3">
        <f t="shared" si="175"/>
        <v>3.1580240299981431E-2</v>
      </c>
      <c r="V214" s="3">
        <f t="shared" si="175"/>
        <v>2.618643022502835E-2</v>
      </c>
      <c r="W214" s="3">
        <f t="shared" si="175"/>
        <v>4.0242502826179638E-3</v>
      </c>
      <c r="X214" s="3">
        <f t="shared" si="175"/>
        <v>2.9564587772523921E-11</v>
      </c>
      <c r="Y214" s="3">
        <f t="shared" si="175"/>
        <v>1.3540673755980103E-92</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3.4402319244329078E-2</v>
      </c>
      <c r="C215" s="3">
        <f t="shared" si="176"/>
        <v>3.4402319244329078E-2</v>
      </c>
      <c r="D215" s="3">
        <f t="shared" si="176"/>
        <v>3.4402319244329078E-2</v>
      </c>
      <c r="E215" s="3">
        <f t="shared" si="176"/>
        <v>3.4402319244329078E-2</v>
      </c>
      <c r="F215" s="3">
        <f t="shared" si="176"/>
        <v>3.4402319244329078E-2</v>
      </c>
      <c r="G215" s="3">
        <f t="shared" si="176"/>
        <v>3.4402319244329078E-2</v>
      </c>
      <c r="H215" s="3">
        <f t="shared" si="176"/>
        <v>3.4402319244329072E-2</v>
      </c>
      <c r="I215" s="3">
        <f t="shared" si="176"/>
        <v>3.4402319244329016E-2</v>
      </c>
      <c r="J215" s="3">
        <f t="shared" si="176"/>
        <v>3.4402319244328433E-2</v>
      </c>
      <c r="K215" s="3">
        <f t="shared" si="176"/>
        <v>3.4402319244322618E-2</v>
      </c>
      <c r="L215" s="3">
        <f t="shared" si="176"/>
        <v>3.4402319244264498E-2</v>
      </c>
      <c r="M215" s="3">
        <f t="shared" si="176"/>
        <v>3.4402319243683262E-2</v>
      </c>
      <c r="N215" s="3">
        <f t="shared" si="176"/>
        <v>3.4402319237870946E-2</v>
      </c>
      <c r="O215" s="3">
        <f t="shared" si="176"/>
        <v>3.4402319179747745E-2</v>
      </c>
      <c r="P215" s="3">
        <f t="shared" si="176"/>
        <v>3.4402318598515724E-2</v>
      </c>
      <c r="Q215" s="3">
        <f t="shared" si="176"/>
        <v>3.4402312786196113E-2</v>
      </c>
      <c r="R215" s="3">
        <f t="shared" si="176"/>
        <v>3.4402254663053994E-2</v>
      </c>
      <c r="S215" s="3">
        <f t="shared" si="176"/>
        <v>3.4401673437033757E-2</v>
      </c>
      <c r="T215" s="3">
        <f t="shared" si="176"/>
        <v>3.4395861716893704E-2</v>
      </c>
      <c r="U215" s="3">
        <f t="shared" si="176"/>
        <v>3.4337798487978785E-2</v>
      </c>
      <c r="V215" s="3">
        <f t="shared" si="176"/>
        <v>3.3762529860039255E-2</v>
      </c>
      <c r="W215" s="3">
        <f t="shared" si="176"/>
        <v>2.8514142644347797E-2</v>
      </c>
      <c r="X215" s="3">
        <f t="shared" si="176"/>
        <v>5.2639733707731153E-3</v>
      </c>
      <c r="Y215" s="3">
        <f t="shared" si="176"/>
        <v>2.4201781801594724E-10</v>
      </c>
      <c r="Z215" s="3">
        <f t="shared" si="176"/>
        <v>1.0213719251041294E-83</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4.0521812648841492E-2</v>
      </c>
      <c r="C216" s="3">
        <f t="shared" si="177"/>
        <v>4.0521812648841492E-2</v>
      </c>
      <c r="D216" s="3">
        <f t="shared" si="177"/>
        <v>4.0521812648841492E-2</v>
      </c>
      <c r="E216" s="3">
        <f t="shared" si="177"/>
        <v>4.0521812648841492E-2</v>
      </c>
      <c r="F216" s="3">
        <f t="shared" si="177"/>
        <v>4.0521812648841492E-2</v>
      </c>
      <c r="G216" s="3">
        <f t="shared" si="177"/>
        <v>4.0521812648841492E-2</v>
      </c>
      <c r="H216" s="3">
        <f t="shared" si="177"/>
        <v>4.0521812648841492E-2</v>
      </c>
      <c r="I216" s="3">
        <f t="shared" si="177"/>
        <v>4.0521812648841485E-2</v>
      </c>
      <c r="J216" s="3">
        <f t="shared" si="177"/>
        <v>4.0521812648841422E-2</v>
      </c>
      <c r="K216" s="3">
        <f t="shared" si="177"/>
        <v>4.0521812648840805E-2</v>
      </c>
      <c r="L216" s="3">
        <f t="shared" si="177"/>
        <v>4.0521812648834629E-2</v>
      </c>
      <c r="M216" s="3">
        <f t="shared" si="177"/>
        <v>4.0521812648772873E-2</v>
      </c>
      <c r="N216" s="3">
        <f t="shared" si="177"/>
        <v>4.0521812648155284E-2</v>
      </c>
      <c r="O216" s="3">
        <f t="shared" si="177"/>
        <v>4.0521812641979432E-2</v>
      </c>
      <c r="P216" s="3">
        <f t="shared" si="177"/>
        <v>4.0521812580220855E-2</v>
      </c>
      <c r="Q216" s="3">
        <f t="shared" si="177"/>
        <v>4.0521811962635108E-2</v>
      </c>
      <c r="R216" s="3">
        <f t="shared" si="177"/>
        <v>4.0521805786778199E-2</v>
      </c>
      <c r="S216" s="3">
        <f t="shared" si="177"/>
        <v>4.0521744028260802E-2</v>
      </c>
      <c r="T216" s="3">
        <f t="shared" si="177"/>
        <v>4.0521126448263764E-2</v>
      </c>
      <c r="U216" s="3">
        <f t="shared" si="177"/>
        <v>4.0514951165949234E-2</v>
      </c>
      <c r="V216" s="3">
        <f t="shared" si="177"/>
        <v>4.0453250079212015E-2</v>
      </c>
      <c r="W216" s="3">
        <f t="shared" si="177"/>
        <v>3.9841383796506889E-2</v>
      </c>
      <c r="X216" s="3">
        <f t="shared" si="177"/>
        <v>3.4209313862756829E-2</v>
      </c>
      <c r="Y216" s="3">
        <f t="shared" si="177"/>
        <v>7.4515026061260743E-3</v>
      </c>
      <c r="Z216" s="3">
        <f t="shared" si="177"/>
        <v>1.7915906956706455E-9</v>
      </c>
      <c r="AA216" s="3">
        <f t="shared" si="177"/>
        <v>1.1566133611627615E-75</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4.571082615945813E-2</v>
      </c>
      <c r="C217" s="3">
        <f t="shared" si="178"/>
        <v>4.571082615945813E-2</v>
      </c>
      <c r="D217" s="3">
        <f t="shared" si="178"/>
        <v>4.571082615945813E-2</v>
      </c>
      <c r="E217" s="3">
        <f t="shared" si="178"/>
        <v>4.571082615945813E-2</v>
      </c>
      <c r="F217" s="3">
        <f t="shared" si="178"/>
        <v>4.571082615945813E-2</v>
      </c>
      <c r="G217" s="3">
        <f t="shared" si="178"/>
        <v>4.571082615945813E-2</v>
      </c>
      <c r="H217" s="3">
        <f t="shared" si="178"/>
        <v>4.571082615945813E-2</v>
      </c>
      <c r="I217" s="3">
        <f t="shared" si="178"/>
        <v>4.571082615945813E-2</v>
      </c>
      <c r="J217" s="3">
        <f t="shared" si="178"/>
        <v>4.5710826159458123E-2</v>
      </c>
      <c r="K217" s="3">
        <f t="shared" si="178"/>
        <v>4.5710826159458061E-2</v>
      </c>
      <c r="L217" s="3">
        <f t="shared" si="178"/>
        <v>4.5710826159457429E-2</v>
      </c>
      <c r="M217" s="3">
        <f t="shared" si="178"/>
        <v>4.571082615945115E-2</v>
      </c>
      <c r="N217" s="3">
        <f t="shared" si="178"/>
        <v>4.5710826159388304E-2</v>
      </c>
      <c r="O217" s="3">
        <f t="shared" si="178"/>
        <v>4.5710826158759849E-2</v>
      </c>
      <c r="P217" s="3">
        <f t="shared" si="178"/>
        <v>4.5710826152475299E-2</v>
      </c>
      <c r="Q217" s="3">
        <f t="shared" si="178"/>
        <v>4.571082608962982E-2</v>
      </c>
      <c r="R217" s="3">
        <f t="shared" si="178"/>
        <v>4.5710825461175005E-2</v>
      </c>
      <c r="S217" s="3">
        <f t="shared" si="178"/>
        <v>4.5710819176627303E-2</v>
      </c>
      <c r="T217" s="3">
        <f t="shared" si="178"/>
        <v>4.5710756331197831E-2</v>
      </c>
      <c r="U217" s="3">
        <f t="shared" si="178"/>
        <v>4.5710127881655307E-2</v>
      </c>
      <c r="V217" s="3">
        <f t="shared" si="178"/>
        <v>4.5703843861419964E-2</v>
      </c>
      <c r="W217" s="3">
        <f t="shared" si="178"/>
        <v>4.5641051153892519E-2</v>
      </c>
      <c r="X217" s="3">
        <f t="shared" si="178"/>
        <v>4.5017849489471698E-2</v>
      </c>
      <c r="Y217" s="3">
        <f t="shared" si="178"/>
        <v>3.9235194757308592E-2</v>
      </c>
      <c r="Z217" s="3">
        <f t="shared" si="178"/>
        <v>9.921709145227239E-3</v>
      </c>
      <c r="AA217" s="3">
        <f t="shared" si="178"/>
        <v>1.060946000229603E-8</v>
      </c>
      <c r="AB217" s="3">
        <f t="shared" si="178"/>
        <v>2.0737727472655763E-68</v>
      </c>
      <c r="AC217" s="3">
        <f t="shared" si="178"/>
        <v>0</v>
      </c>
      <c r="AD217" s="3">
        <f t="shared" si="178"/>
        <v>0</v>
      </c>
      <c r="AE217" s="3">
        <f t="shared" si="178"/>
        <v>0</v>
      </c>
      <c r="AF217" s="3">
        <f t="shared" si="178"/>
        <v>0</v>
      </c>
      <c r="AG217" s="3"/>
      <c r="AH217" s="3"/>
    </row>
    <row r="218" spans="1:34" x14ac:dyDescent="0.25">
      <c r="B218" s="3">
        <f t="shared" ref="B218:AF218" si="179">$C26*EXP(-B$207/$A26/EXP(-$D$126))</f>
        <v>5.619956404185248E-2</v>
      </c>
      <c r="C218" s="3">
        <f t="shared" si="179"/>
        <v>5.619956404185248E-2</v>
      </c>
      <c r="D218" s="3">
        <f t="shared" si="179"/>
        <v>5.619956404185248E-2</v>
      </c>
      <c r="E218" s="3">
        <f t="shared" si="179"/>
        <v>5.619956404185248E-2</v>
      </c>
      <c r="F218" s="3">
        <f t="shared" si="179"/>
        <v>5.619956404185248E-2</v>
      </c>
      <c r="G218" s="3">
        <f t="shared" si="179"/>
        <v>5.619956404185248E-2</v>
      </c>
      <c r="H218" s="3">
        <f t="shared" si="179"/>
        <v>5.619956404185248E-2</v>
      </c>
      <c r="I218" s="3">
        <f t="shared" si="179"/>
        <v>5.619956404185248E-2</v>
      </c>
      <c r="J218" s="3">
        <f t="shared" si="179"/>
        <v>5.619956404185248E-2</v>
      </c>
      <c r="K218" s="3">
        <f t="shared" si="179"/>
        <v>5.6199564041852473E-2</v>
      </c>
      <c r="L218" s="3">
        <f t="shared" si="179"/>
        <v>5.6199564041852404E-2</v>
      </c>
      <c r="M218" s="3">
        <f t="shared" si="179"/>
        <v>5.619956404185171E-2</v>
      </c>
      <c r="N218" s="3">
        <f t="shared" si="179"/>
        <v>5.6199564041844736E-2</v>
      </c>
      <c r="O218" s="3">
        <f t="shared" si="179"/>
        <v>5.6199564041775035E-2</v>
      </c>
      <c r="P218" s="3">
        <f t="shared" si="179"/>
        <v>5.619956404107803E-2</v>
      </c>
      <c r="Q218" s="3">
        <f t="shared" si="179"/>
        <v>5.6199564034108009E-2</v>
      </c>
      <c r="R218" s="3">
        <f t="shared" si="179"/>
        <v>5.6199563964407728E-2</v>
      </c>
      <c r="S218" s="3">
        <f t="shared" si="179"/>
        <v>5.6199563267404919E-2</v>
      </c>
      <c r="T218" s="3">
        <f t="shared" si="179"/>
        <v>5.6199556297377322E-2</v>
      </c>
      <c r="U218" s="3">
        <f t="shared" si="179"/>
        <v>5.6199486597148948E-2</v>
      </c>
      <c r="V218" s="3">
        <f t="shared" si="179"/>
        <v>5.6198789599619638E-2</v>
      </c>
      <c r="W218" s="3">
        <f t="shared" si="179"/>
        <v>5.6191820099745618E-2</v>
      </c>
      <c r="X218" s="3">
        <f t="shared" si="179"/>
        <v>5.6122172621110196E-2</v>
      </c>
      <c r="Y218" s="3">
        <f t="shared" si="179"/>
        <v>5.5430428111151196E-2</v>
      </c>
      <c r="Z218" s="3">
        <f t="shared" si="179"/>
        <v>4.8965005627994114E-2</v>
      </c>
      <c r="AA218" s="3">
        <f t="shared" si="179"/>
        <v>1.4166467447789644E-2</v>
      </c>
      <c r="AB218" s="3">
        <f t="shared" si="179"/>
        <v>5.8212890009667099E-8</v>
      </c>
      <c r="AC218" s="3">
        <f t="shared" si="179"/>
        <v>7.9908887867553722E-62</v>
      </c>
      <c r="AD218" s="3">
        <f t="shared" si="179"/>
        <v>0</v>
      </c>
      <c r="AE218" s="3">
        <f t="shared" si="179"/>
        <v>0</v>
      </c>
      <c r="AF218" s="3">
        <f t="shared" si="179"/>
        <v>0</v>
      </c>
      <c r="AG218" s="3"/>
      <c r="AH218" s="3"/>
    </row>
    <row r="219" spans="1:34" x14ac:dyDescent="0.25">
      <c r="B219" s="3">
        <f t="shared" ref="B219:AF219" si="180">$C27*EXP(-B$207/$A27/EXP(-$D$126))</f>
        <v>6.8321253158217701E-2</v>
      </c>
      <c r="C219" s="3">
        <f t="shared" si="180"/>
        <v>6.8321253158217701E-2</v>
      </c>
      <c r="D219" s="3">
        <f t="shared" si="180"/>
        <v>6.8321253158217701E-2</v>
      </c>
      <c r="E219" s="3">
        <f t="shared" si="180"/>
        <v>6.8321253158217701E-2</v>
      </c>
      <c r="F219" s="3">
        <f t="shared" si="180"/>
        <v>6.8321253158217701E-2</v>
      </c>
      <c r="G219" s="3">
        <f t="shared" si="180"/>
        <v>6.8321253158217701E-2</v>
      </c>
      <c r="H219" s="3">
        <f t="shared" si="180"/>
        <v>6.8321253158217701E-2</v>
      </c>
      <c r="I219" s="3">
        <f t="shared" si="180"/>
        <v>6.8321253158217701E-2</v>
      </c>
      <c r="J219" s="3">
        <f t="shared" si="180"/>
        <v>6.8321253158217701E-2</v>
      </c>
      <c r="K219" s="3">
        <f t="shared" si="180"/>
        <v>6.8321253158217701E-2</v>
      </c>
      <c r="L219" s="3">
        <f t="shared" si="180"/>
        <v>6.8321253158217687E-2</v>
      </c>
      <c r="M219" s="3">
        <f t="shared" si="180"/>
        <v>6.8321253158217618E-2</v>
      </c>
      <c r="N219" s="3">
        <f t="shared" si="180"/>
        <v>6.8321253158216855E-2</v>
      </c>
      <c r="O219" s="3">
        <f t="shared" si="180"/>
        <v>6.8321253158209208E-2</v>
      </c>
      <c r="P219" s="3">
        <f t="shared" si="180"/>
        <v>6.8321253158132769E-2</v>
      </c>
      <c r="Q219" s="3">
        <f t="shared" si="180"/>
        <v>6.8321253157368408E-2</v>
      </c>
      <c r="R219" s="3">
        <f t="shared" si="180"/>
        <v>6.8321253149724689E-2</v>
      </c>
      <c r="S219" s="3">
        <f t="shared" si="180"/>
        <v>6.8321253073287624E-2</v>
      </c>
      <c r="T219" s="3">
        <f t="shared" si="180"/>
        <v>6.8321252308916988E-2</v>
      </c>
      <c r="U219" s="3">
        <f t="shared" si="180"/>
        <v>6.8321244665211098E-2</v>
      </c>
      <c r="V219" s="3">
        <f t="shared" si="180"/>
        <v>6.8321168228199183E-2</v>
      </c>
      <c r="W219" s="3">
        <f t="shared" si="180"/>
        <v>6.8320403862783388E-2</v>
      </c>
      <c r="X219" s="3">
        <f t="shared" si="180"/>
        <v>6.8312760678947079E-2</v>
      </c>
      <c r="Y219" s="3">
        <f t="shared" si="180"/>
        <v>6.823637585327666E-2</v>
      </c>
      <c r="Z219" s="3">
        <f t="shared" si="180"/>
        <v>6.7477209462953061E-2</v>
      </c>
      <c r="AA219" s="3">
        <f t="shared" si="180"/>
        <v>6.0334917953487791E-2</v>
      </c>
      <c r="AB219" s="3">
        <f t="shared" si="180"/>
        <v>1.9709919572745198E-2</v>
      </c>
      <c r="AC219" s="3">
        <f t="shared" si="180"/>
        <v>2.7280109451042598E-7</v>
      </c>
      <c r="AD219" s="3">
        <f t="shared" si="180"/>
        <v>7.0381524797672686E-56</v>
      </c>
      <c r="AE219" s="3">
        <f t="shared" si="180"/>
        <v>0</v>
      </c>
      <c r="AF219" s="3">
        <f t="shared" si="180"/>
        <v>0</v>
      </c>
      <c r="AG219" s="3"/>
      <c r="AH219" s="3"/>
    </row>
    <row r="220" spans="1:34" x14ac:dyDescent="0.25">
      <c r="B220" s="3">
        <f t="shared" ref="B220:AF220" si="181">$C28*EXP(-B$207/$A28/EXP(-$D$126))</f>
        <v>7.2516023247876399E-2</v>
      </c>
      <c r="C220" s="3">
        <f t="shared" si="181"/>
        <v>7.2516023247876399E-2</v>
      </c>
      <c r="D220" s="3">
        <f t="shared" si="181"/>
        <v>7.2516023247876399E-2</v>
      </c>
      <c r="E220" s="3">
        <f t="shared" si="181"/>
        <v>7.2516023247876399E-2</v>
      </c>
      <c r="F220" s="3">
        <f t="shared" si="181"/>
        <v>7.2516023247876399E-2</v>
      </c>
      <c r="G220" s="3">
        <f t="shared" si="181"/>
        <v>7.2516023247876399E-2</v>
      </c>
      <c r="H220" s="3">
        <f t="shared" si="181"/>
        <v>7.2516023247876399E-2</v>
      </c>
      <c r="I220" s="3">
        <f t="shared" si="181"/>
        <v>7.2516023247876399E-2</v>
      </c>
      <c r="J220" s="3">
        <f t="shared" si="181"/>
        <v>7.2516023247876399E-2</v>
      </c>
      <c r="K220" s="3">
        <f t="shared" si="181"/>
        <v>7.2516023247876399E-2</v>
      </c>
      <c r="L220" s="3">
        <f t="shared" si="181"/>
        <v>7.2516023247876399E-2</v>
      </c>
      <c r="M220" s="3">
        <f t="shared" si="181"/>
        <v>7.2516023247876385E-2</v>
      </c>
      <c r="N220" s="3">
        <f t="shared" si="181"/>
        <v>7.2516023247876316E-2</v>
      </c>
      <c r="O220" s="3">
        <f t="shared" si="181"/>
        <v>7.251602324787558E-2</v>
      </c>
      <c r="P220" s="3">
        <f t="shared" si="181"/>
        <v>7.2516023247868266E-2</v>
      </c>
      <c r="Q220" s="3">
        <f t="shared" si="181"/>
        <v>7.2516023247795089E-2</v>
      </c>
      <c r="R220" s="3">
        <f t="shared" si="181"/>
        <v>7.2516023247063216E-2</v>
      </c>
      <c r="S220" s="3">
        <f t="shared" si="181"/>
        <v>7.2516023239744612E-2</v>
      </c>
      <c r="T220" s="3">
        <f t="shared" si="181"/>
        <v>7.2516023166558488E-2</v>
      </c>
      <c r="U220" s="3">
        <f t="shared" si="181"/>
        <v>7.251602243469725E-2</v>
      </c>
      <c r="V220" s="3">
        <f t="shared" si="181"/>
        <v>7.2516015116085339E-2</v>
      </c>
      <c r="W220" s="3">
        <f t="shared" si="181"/>
        <v>7.251594193000685E-2</v>
      </c>
      <c r="X220" s="3">
        <f t="shared" si="181"/>
        <v>7.2515210073284306E-2</v>
      </c>
      <c r="Y220" s="3">
        <f t="shared" si="181"/>
        <v>7.2507891912285294E-2</v>
      </c>
      <c r="Z220" s="3">
        <f t="shared" si="181"/>
        <v>7.2434750909773568E-2</v>
      </c>
      <c r="AA220" s="3">
        <f t="shared" si="181"/>
        <v>7.1707386509724497E-2</v>
      </c>
      <c r="AB220" s="3">
        <f t="shared" si="181"/>
        <v>6.4823597096571109E-2</v>
      </c>
      <c r="AC220" s="3">
        <f t="shared" si="181"/>
        <v>2.3627917743938631E-2</v>
      </c>
      <c r="AD220" s="3">
        <f t="shared" si="181"/>
        <v>9.780221417267394E-7</v>
      </c>
      <c r="AE220" s="3">
        <f t="shared" si="181"/>
        <v>1.444046088310587E-50</v>
      </c>
      <c r="AF220" s="3">
        <f t="shared" si="181"/>
        <v>0</v>
      </c>
      <c r="AG220" s="3"/>
      <c r="AH220" s="3"/>
    </row>
    <row r="221" spans="1:34" x14ac:dyDescent="0.25">
      <c r="B221" s="3">
        <f t="shared" ref="B221:AF221" si="182">$C29*EXP(-B$207/$A29/EXP(-$D$126))</f>
        <v>6.0357732330784487E-2</v>
      </c>
      <c r="C221" s="3">
        <f t="shared" si="182"/>
        <v>6.0357732330784487E-2</v>
      </c>
      <c r="D221" s="3">
        <f t="shared" si="182"/>
        <v>6.0357732330784487E-2</v>
      </c>
      <c r="E221" s="3">
        <f t="shared" si="182"/>
        <v>6.0357732330784487E-2</v>
      </c>
      <c r="F221" s="3">
        <f t="shared" si="182"/>
        <v>6.0357732330784487E-2</v>
      </c>
      <c r="G221" s="3">
        <f t="shared" si="182"/>
        <v>6.0357732330784487E-2</v>
      </c>
      <c r="H221" s="3">
        <f t="shared" si="182"/>
        <v>6.0357732330784487E-2</v>
      </c>
      <c r="I221" s="3">
        <f t="shared" si="182"/>
        <v>6.0357732330784487E-2</v>
      </c>
      <c r="J221" s="3">
        <f t="shared" si="182"/>
        <v>6.0357732330784487E-2</v>
      </c>
      <c r="K221" s="3">
        <f t="shared" si="182"/>
        <v>6.0357732330784487E-2</v>
      </c>
      <c r="L221" s="3">
        <f t="shared" si="182"/>
        <v>6.0357732330784487E-2</v>
      </c>
      <c r="M221" s="3">
        <f t="shared" si="182"/>
        <v>6.0357732330784487E-2</v>
      </c>
      <c r="N221" s="3">
        <f t="shared" si="182"/>
        <v>6.035773233078448E-2</v>
      </c>
      <c r="O221" s="3">
        <f t="shared" si="182"/>
        <v>6.0357732330784425E-2</v>
      </c>
      <c r="P221" s="3">
        <f t="shared" si="182"/>
        <v>6.0357732330783877E-2</v>
      </c>
      <c r="Q221" s="3">
        <f t="shared" si="182"/>
        <v>6.0357732330778381E-2</v>
      </c>
      <c r="R221" s="3">
        <f t="shared" si="182"/>
        <v>6.0357732330723432E-2</v>
      </c>
      <c r="S221" s="3">
        <f t="shared" si="182"/>
        <v>6.035773233017392E-2</v>
      </c>
      <c r="T221" s="3">
        <f t="shared" si="182"/>
        <v>6.0357732324678844E-2</v>
      </c>
      <c r="U221" s="3">
        <f t="shared" si="182"/>
        <v>6.0357732269728001E-2</v>
      </c>
      <c r="V221" s="3">
        <f t="shared" si="182"/>
        <v>6.0357731720219687E-2</v>
      </c>
      <c r="W221" s="3">
        <f t="shared" si="182"/>
        <v>6.0357726225136819E-2</v>
      </c>
      <c r="X221" s="3">
        <f t="shared" si="182"/>
        <v>6.0357671274335542E-2</v>
      </c>
      <c r="Y221" s="3">
        <f t="shared" si="182"/>
        <v>6.035712176907438E-2</v>
      </c>
      <c r="Z221" s="3">
        <f t="shared" si="182"/>
        <v>6.0351626991608003E-2</v>
      </c>
      <c r="AA221" s="3">
        <f t="shared" si="182"/>
        <v>6.0296706722205794E-2</v>
      </c>
      <c r="AB221" s="3">
        <f t="shared" si="182"/>
        <v>5.9750245311571762E-2</v>
      </c>
      <c r="AC221" s="3">
        <f t="shared" si="182"/>
        <v>5.4550745975807204E-2</v>
      </c>
      <c r="AD221" s="3">
        <f t="shared" si="182"/>
        <v>2.1948796208905157E-2</v>
      </c>
      <c r="AE221" s="3">
        <f t="shared" si="182"/>
        <v>2.4406799240213171E-6</v>
      </c>
      <c r="AF221" s="3">
        <f t="shared" si="182"/>
        <v>7.0552442854130242E-46</v>
      </c>
      <c r="AG221" s="3"/>
      <c r="AH221" s="3"/>
    </row>
    <row r="222" spans="1:34" x14ac:dyDescent="0.25">
      <c r="B222" s="3">
        <f t="shared" ref="B222:AF222" si="183">$C30*EXP(-B$207/$A30/EXP(-$D$126))</f>
        <v>3.7953571045142992E-2</v>
      </c>
      <c r="C222" s="3">
        <f t="shared" si="183"/>
        <v>3.7953571045142992E-2</v>
      </c>
      <c r="D222" s="3">
        <f t="shared" si="183"/>
        <v>3.7953571045142992E-2</v>
      </c>
      <c r="E222" s="3">
        <f t="shared" si="183"/>
        <v>3.7953571045142992E-2</v>
      </c>
      <c r="F222" s="3">
        <f t="shared" si="183"/>
        <v>3.7953571045142992E-2</v>
      </c>
      <c r="G222" s="3">
        <f t="shared" si="183"/>
        <v>3.7953571045142992E-2</v>
      </c>
      <c r="H222" s="3">
        <f t="shared" si="183"/>
        <v>3.7953571045142992E-2</v>
      </c>
      <c r="I222" s="3">
        <f t="shared" si="183"/>
        <v>3.7953571045142992E-2</v>
      </c>
      <c r="J222" s="3">
        <f t="shared" si="183"/>
        <v>3.7953571045142992E-2</v>
      </c>
      <c r="K222" s="3">
        <f t="shared" si="183"/>
        <v>3.7953571045142992E-2</v>
      </c>
      <c r="L222" s="3">
        <f t="shared" si="183"/>
        <v>3.7953571045142992E-2</v>
      </c>
      <c r="M222" s="3">
        <f t="shared" si="183"/>
        <v>3.7953571045142992E-2</v>
      </c>
      <c r="N222" s="3">
        <f t="shared" si="183"/>
        <v>3.7953571045142992E-2</v>
      </c>
      <c r="O222" s="3">
        <f t="shared" si="183"/>
        <v>3.7953571045142985E-2</v>
      </c>
      <c r="P222" s="3">
        <f t="shared" si="183"/>
        <v>3.7953571045142957E-2</v>
      </c>
      <c r="Q222" s="3">
        <f t="shared" si="183"/>
        <v>3.7953571045142645E-2</v>
      </c>
      <c r="R222" s="3">
        <f t="shared" si="183"/>
        <v>3.7953571045139529E-2</v>
      </c>
      <c r="S222" s="3">
        <f t="shared" si="183"/>
        <v>3.795357104510836E-2</v>
      </c>
      <c r="T222" s="3">
        <f t="shared" si="183"/>
        <v>3.7953571044796658E-2</v>
      </c>
      <c r="U222" s="3">
        <f t="shared" si="183"/>
        <v>3.795357104167963E-2</v>
      </c>
      <c r="V222" s="3">
        <f t="shared" si="183"/>
        <v>3.7953571010509356E-2</v>
      </c>
      <c r="W222" s="3">
        <f t="shared" si="183"/>
        <v>3.7953570698806637E-2</v>
      </c>
      <c r="X222" s="3">
        <f t="shared" si="183"/>
        <v>3.795356758177959E-2</v>
      </c>
      <c r="Y222" s="3">
        <f t="shared" si="183"/>
        <v>3.7953536411523235E-2</v>
      </c>
      <c r="Z222" s="3">
        <f t="shared" si="183"/>
        <v>3.7953224710367557E-2</v>
      </c>
      <c r="AA222" s="3">
        <f t="shared" si="183"/>
        <v>3.7950107839602329E-2</v>
      </c>
      <c r="AB222" s="3">
        <f t="shared" si="183"/>
        <v>3.7918953206826977E-2</v>
      </c>
      <c r="AC222" s="3">
        <f t="shared" si="183"/>
        <v>3.7608810099191835E-2</v>
      </c>
      <c r="AD222" s="3">
        <f t="shared" si="183"/>
        <v>3.4643529108207602E-2</v>
      </c>
      <c r="AE222" s="3">
        <f t="shared" si="183"/>
        <v>1.5238684045544121E-2</v>
      </c>
      <c r="AF222" s="3">
        <f t="shared" si="183"/>
        <v>4.1323856283958426E-6</v>
      </c>
      <c r="AG222" s="3"/>
      <c r="AH222" s="3"/>
    </row>
    <row r="223" spans="1:34" x14ac:dyDescent="0.25">
      <c r="B223" s="3">
        <f t="shared" ref="B223:AF223" si="184">$C31*EXP(-B$207/$A31/EXP(-$D$126))</f>
        <v>1.9899360219970862E-2</v>
      </c>
      <c r="C223" s="3">
        <f t="shared" si="184"/>
        <v>1.9899360219970862E-2</v>
      </c>
      <c r="D223" s="3">
        <f t="shared" si="184"/>
        <v>1.9899360219970862E-2</v>
      </c>
      <c r="E223" s="3">
        <f t="shared" si="184"/>
        <v>1.9899360219970862E-2</v>
      </c>
      <c r="F223" s="3">
        <f t="shared" si="184"/>
        <v>1.9899360219970862E-2</v>
      </c>
      <c r="G223" s="3">
        <f t="shared" si="184"/>
        <v>1.9899360219970862E-2</v>
      </c>
      <c r="H223" s="3">
        <f t="shared" si="184"/>
        <v>1.9899360219970862E-2</v>
      </c>
      <c r="I223" s="3">
        <f t="shared" si="184"/>
        <v>1.9899360219970862E-2</v>
      </c>
      <c r="J223" s="3">
        <f t="shared" si="184"/>
        <v>1.9899360219970862E-2</v>
      </c>
      <c r="K223" s="3">
        <f t="shared" si="184"/>
        <v>1.9899360219970862E-2</v>
      </c>
      <c r="L223" s="3">
        <f t="shared" si="184"/>
        <v>1.9899360219970862E-2</v>
      </c>
      <c r="M223" s="3">
        <f t="shared" si="184"/>
        <v>1.9899360219970862E-2</v>
      </c>
      <c r="N223" s="3">
        <f t="shared" si="184"/>
        <v>1.9899360219970862E-2</v>
      </c>
      <c r="O223" s="3">
        <f t="shared" si="184"/>
        <v>1.9899360219970862E-2</v>
      </c>
      <c r="P223" s="3">
        <f t="shared" si="184"/>
        <v>1.9899360219970859E-2</v>
      </c>
      <c r="Q223" s="3">
        <f t="shared" si="184"/>
        <v>1.9899360219970848E-2</v>
      </c>
      <c r="R223" s="3">
        <f t="shared" si="184"/>
        <v>1.9899360219970699E-2</v>
      </c>
      <c r="S223" s="3">
        <f t="shared" si="184"/>
        <v>1.9899360219969225E-2</v>
      </c>
      <c r="T223" s="3">
        <f t="shared" si="184"/>
        <v>1.9899360219954483E-2</v>
      </c>
      <c r="U223" s="3">
        <f t="shared" si="184"/>
        <v>1.9899360219807056E-2</v>
      </c>
      <c r="V223" s="3">
        <f t="shared" si="184"/>
        <v>1.9899360218332798E-2</v>
      </c>
      <c r="W223" s="3">
        <f t="shared" si="184"/>
        <v>1.9899360203590212E-2</v>
      </c>
      <c r="X223" s="3">
        <f t="shared" si="184"/>
        <v>1.9899360056164359E-2</v>
      </c>
      <c r="Y223" s="3">
        <f t="shared" si="184"/>
        <v>1.9899358581905887E-2</v>
      </c>
      <c r="Z223" s="3">
        <f t="shared" si="184"/>
        <v>1.989934383932717E-2</v>
      </c>
      <c r="AA223" s="3">
        <f t="shared" si="184"/>
        <v>1.9899196414140716E-2</v>
      </c>
      <c r="AB223" s="3">
        <f t="shared" si="184"/>
        <v>1.9897722222346165E-2</v>
      </c>
      <c r="AC223" s="3">
        <f t="shared" si="184"/>
        <v>1.9882986309754682E-2</v>
      </c>
      <c r="AD223" s="3">
        <f t="shared" si="184"/>
        <v>1.973622607632488E-2</v>
      </c>
      <c r="AE223" s="3">
        <f t="shared" si="184"/>
        <v>1.832690334976577E-2</v>
      </c>
      <c r="AF223" s="3">
        <f t="shared" si="184"/>
        <v>8.7365279718969787E-3</v>
      </c>
      <c r="AG223" s="3"/>
      <c r="AH223" s="3"/>
    </row>
    <row r="224" spans="1:34" x14ac:dyDescent="0.25">
      <c r="B224" s="3">
        <f t="shared" ref="B224:AF224" si="185">$C32*EXP(-B$207/$A32/EXP(-$D$126))</f>
        <v>1.0036367698219981E-2</v>
      </c>
      <c r="C224" s="3">
        <f t="shared" si="185"/>
        <v>1.0036367698219981E-2</v>
      </c>
      <c r="D224" s="3">
        <f t="shared" si="185"/>
        <v>1.0036367698219981E-2</v>
      </c>
      <c r="E224" s="3">
        <f t="shared" si="185"/>
        <v>1.0036367698219981E-2</v>
      </c>
      <c r="F224" s="3">
        <f t="shared" si="185"/>
        <v>1.0036367698219981E-2</v>
      </c>
      <c r="G224" s="3">
        <f t="shared" si="185"/>
        <v>1.0036367698219981E-2</v>
      </c>
      <c r="H224" s="3">
        <f t="shared" si="185"/>
        <v>1.0036367698219981E-2</v>
      </c>
      <c r="I224" s="3">
        <f t="shared" si="185"/>
        <v>1.0036367698219981E-2</v>
      </c>
      <c r="J224" s="3">
        <f t="shared" si="185"/>
        <v>1.0036367698219981E-2</v>
      </c>
      <c r="K224" s="3">
        <f t="shared" si="185"/>
        <v>1.0036367698219981E-2</v>
      </c>
      <c r="L224" s="3">
        <f t="shared" si="185"/>
        <v>1.0036367698219981E-2</v>
      </c>
      <c r="M224" s="3">
        <f t="shared" si="185"/>
        <v>1.0036367698219981E-2</v>
      </c>
      <c r="N224" s="3">
        <f t="shared" si="185"/>
        <v>1.0036367698219981E-2</v>
      </c>
      <c r="O224" s="3">
        <f t="shared" si="185"/>
        <v>1.0036367698219981E-2</v>
      </c>
      <c r="P224" s="3">
        <f t="shared" si="185"/>
        <v>1.0036367698219981E-2</v>
      </c>
      <c r="Q224" s="3">
        <f t="shared" si="185"/>
        <v>1.0036367698219979E-2</v>
      </c>
      <c r="R224" s="3">
        <f t="shared" si="185"/>
        <v>1.0036367698219974E-2</v>
      </c>
      <c r="S224" s="3">
        <f t="shared" si="185"/>
        <v>1.0036367698219906E-2</v>
      </c>
      <c r="T224" s="3">
        <f t="shared" si="185"/>
        <v>1.0036367698219235E-2</v>
      </c>
      <c r="U224" s="3">
        <f t="shared" si="185"/>
        <v>1.0036367698212529E-2</v>
      </c>
      <c r="V224" s="3">
        <f t="shared" si="185"/>
        <v>1.0036367698145454E-2</v>
      </c>
      <c r="W224" s="3">
        <f t="shared" si="185"/>
        <v>1.0036367697474709E-2</v>
      </c>
      <c r="X224" s="3">
        <f t="shared" si="185"/>
        <v>1.0036367690767255E-2</v>
      </c>
      <c r="Y224" s="3">
        <f t="shared" si="185"/>
        <v>1.0036367623692716E-2</v>
      </c>
      <c r="Z224" s="3">
        <f t="shared" si="185"/>
        <v>1.003636695294736E-2</v>
      </c>
      <c r="AA224" s="3">
        <f t="shared" si="185"/>
        <v>1.0036360245496249E-2</v>
      </c>
      <c r="AB224" s="3">
        <f t="shared" si="185"/>
        <v>1.0036293171231701E-2</v>
      </c>
      <c r="AC224" s="3">
        <f t="shared" si="185"/>
        <v>1.003562245324033E-2</v>
      </c>
      <c r="AD224" s="3">
        <f t="shared" si="185"/>
        <v>1.0028917738129526E-2</v>
      </c>
      <c r="AE224" s="3">
        <f t="shared" si="185"/>
        <v>9.9621164589107931E-3</v>
      </c>
      <c r="AF224" s="3">
        <f t="shared" si="185"/>
        <v>9.3180935881262052E-3</v>
      </c>
      <c r="AG224" s="3"/>
      <c r="AH224" s="3"/>
    </row>
    <row r="225" spans="2:34" x14ac:dyDescent="0.25">
      <c r="B225" s="3">
        <f t="shared" ref="B225:AF225" si="186">$C33*EXP(-B$207/$A33/EXP(-$D$126))</f>
        <v>1.0472179826501766E-2</v>
      </c>
      <c r="C225" s="3">
        <f t="shared" si="186"/>
        <v>1.0472179826501766E-2</v>
      </c>
      <c r="D225" s="3">
        <f t="shared" si="186"/>
        <v>1.0472179826501766E-2</v>
      </c>
      <c r="E225" s="3">
        <f t="shared" si="186"/>
        <v>1.0472179826501766E-2</v>
      </c>
      <c r="F225" s="3">
        <f t="shared" si="186"/>
        <v>1.0472179826501766E-2</v>
      </c>
      <c r="G225" s="3">
        <f t="shared" si="186"/>
        <v>1.0472179826501766E-2</v>
      </c>
      <c r="H225" s="3">
        <f t="shared" si="186"/>
        <v>1.0472179826501766E-2</v>
      </c>
      <c r="I225" s="3">
        <f t="shared" si="186"/>
        <v>1.0472179826501766E-2</v>
      </c>
      <c r="J225" s="3">
        <f t="shared" si="186"/>
        <v>1.0472179826501766E-2</v>
      </c>
      <c r="K225" s="3">
        <f t="shared" si="186"/>
        <v>1.0472179826501766E-2</v>
      </c>
      <c r="L225" s="3">
        <f t="shared" si="186"/>
        <v>1.0472179826501766E-2</v>
      </c>
      <c r="M225" s="3">
        <f t="shared" si="186"/>
        <v>1.0472179826501766E-2</v>
      </c>
      <c r="N225" s="3">
        <f t="shared" si="186"/>
        <v>1.0472179826501766E-2</v>
      </c>
      <c r="O225" s="3">
        <f t="shared" si="186"/>
        <v>1.0472179826501766E-2</v>
      </c>
      <c r="P225" s="3">
        <f t="shared" si="186"/>
        <v>1.0472179826501766E-2</v>
      </c>
      <c r="Q225" s="3">
        <f t="shared" si="186"/>
        <v>1.0472179826501766E-2</v>
      </c>
      <c r="R225" s="3">
        <f t="shared" si="186"/>
        <v>1.0472179826501764E-2</v>
      </c>
      <c r="S225" s="3">
        <f t="shared" si="186"/>
        <v>1.0472179826501759E-2</v>
      </c>
      <c r="T225" s="3">
        <f t="shared" si="186"/>
        <v>1.0472179826501697E-2</v>
      </c>
      <c r="U225" s="3">
        <f t="shared" si="186"/>
        <v>1.0472179826501065E-2</v>
      </c>
      <c r="V225" s="3">
        <f t="shared" si="186"/>
        <v>1.0472179826494751E-2</v>
      </c>
      <c r="W225" s="3">
        <f t="shared" si="186"/>
        <v>1.0472179826431617E-2</v>
      </c>
      <c r="X225" s="3">
        <f t="shared" si="186"/>
        <v>1.0472179825800275E-2</v>
      </c>
      <c r="Y225" s="3">
        <f t="shared" si="186"/>
        <v>1.0472179819486853E-2</v>
      </c>
      <c r="Z225" s="3">
        <f t="shared" si="186"/>
        <v>1.0472179756352633E-2</v>
      </c>
      <c r="AA225" s="3">
        <f t="shared" si="186"/>
        <v>1.0472179125010469E-2</v>
      </c>
      <c r="AB225" s="3">
        <f t="shared" si="186"/>
        <v>1.0472172811590911E-2</v>
      </c>
      <c r="AC225" s="3">
        <f t="shared" si="186"/>
        <v>1.0472109677604667E-2</v>
      </c>
      <c r="AD225" s="3">
        <f t="shared" si="186"/>
        <v>1.0471478358675859E-2</v>
      </c>
      <c r="AE225" s="3">
        <f t="shared" si="186"/>
        <v>1.0465167262283482E-2</v>
      </c>
      <c r="AF225" s="3">
        <f t="shared" si="186"/>
        <v>1.0402265121832323E-2</v>
      </c>
      <c r="AG225" s="3"/>
      <c r="AH225" s="3"/>
    </row>
    <row r="226" spans="2:34" x14ac:dyDescent="0.25">
      <c r="B226" s="3">
        <f t="shared" ref="B226:AF226" si="187">$C34*EXP(-B$207/$A34/EXP(-$D$126))</f>
        <v>1.1455889373470318E-2</v>
      </c>
      <c r="C226" s="3">
        <f t="shared" si="187"/>
        <v>1.1455889373470318E-2</v>
      </c>
      <c r="D226" s="3">
        <f t="shared" si="187"/>
        <v>1.1455889373470318E-2</v>
      </c>
      <c r="E226" s="3">
        <f t="shared" si="187"/>
        <v>1.1455889373470318E-2</v>
      </c>
      <c r="F226" s="3">
        <f t="shared" si="187"/>
        <v>1.1455889373470318E-2</v>
      </c>
      <c r="G226" s="3">
        <f t="shared" si="187"/>
        <v>1.1455889373470318E-2</v>
      </c>
      <c r="H226" s="3">
        <f t="shared" si="187"/>
        <v>1.1455889373470318E-2</v>
      </c>
      <c r="I226" s="3">
        <f t="shared" si="187"/>
        <v>1.1455889373470318E-2</v>
      </c>
      <c r="J226" s="3">
        <f t="shared" si="187"/>
        <v>1.1455889373470318E-2</v>
      </c>
      <c r="K226" s="3">
        <f t="shared" si="187"/>
        <v>1.1455889373470318E-2</v>
      </c>
      <c r="L226" s="3">
        <f t="shared" si="187"/>
        <v>1.1455889373470318E-2</v>
      </c>
      <c r="M226" s="3">
        <f t="shared" si="187"/>
        <v>1.1455889373470318E-2</v>
      </c>
      <c r="N226" s="3">
        <f t="shared" si="187"/>
        <v>1.1455889373470318E-2</v>
      </c>
      <c r="O226" s="3">
        <f t="shared" si="187"/>
        <v>1.1455889373470318E-2</v>
      </c>
      <c r="P226" s="3">
        <f t="shared" si="187"/>
        <v>1.1455889373470318E-2</v>
      </c>
      <c r="Q226" s="3">
        <f t="shared" si="187"/>
        <v>1.1455889373470318E-2</v>
      </c>
      <c r="R226" s="3">
        <f t="shared" si="187"/>
        <v>1.1455889373470318E-2</v>
      </c>
      <c r="S226" s="3">
        <f t="shared" si="187"/>
        <v>1.1455889373470316E-2</v>
      </c>
      <c r="T226" s="3">
        <f t="shared" si="187"/>
        <v>1.1455889373470311E-2</v>
      </c>
      <c r="U226" s="3">
        <f t="shared" si="187"/>
        <v>1.1455889373470248E-2</v>
      </c>
      <c r="V226" s="3">
        <f t="shared" si="187"/>
        <v>1.1455889373469625E-2</v>
      </c>
      <c r="W226" s="3">
        <f t="shared" si="187"/>
        <v>1.1455889373463394E-2</v>
      </c>
      <c r="X226" s="3">
        <f t="shared" si="187"/>
        <v>1.1455889373401093E-2</v>
      </c>
      <c r="Y226" s="3">
        <f t="shared" si="187"/>
        <v>1.1455889372778071E-2</v>
      </c>
      <c r="Z226" s="3">
        <f t="shared" si="187"/>
        <v>1.1455889366547855E-2</v>
      </c>
      <c r="AA226" s="3">
        <f t="shared" si="187"/>
        <v>1.1455889304245693E-2</v>
      </c>
      <c r="AB226" s="3">
        <f t="shared" si="187"/>
        <v>1.1455888681224087E-2</v>
      </c>
      <c r="AC226" s="3">
        <f t="shared" si="187"/>
        <v>1.1455882451009895E-2</v>
      </c>
      <c r="AD226" s="3">
        <f t="shared" si="187"/>
        <v>1.1455820149054323E-2</v>
      </c>
      <c r="AE226" s="3">
        <f t="shared" si="187"/>
        <v>1.145519714813365E-2</v>
      </c>
      <c r="AF226" s="3">
        <f t="shared" si="187"/>
        <v>1.144896900205635E-2</v>
      </c>
      <c r="AG226" s="3"/>
      <c r="AH226" s="3"/>
    </row>
    <row r="227" spans="2:34" x14ac:dyDescent="0.25">
      <c r="B227" s="3">
        <f t="shared" ref="B227:AF227" si="188">$C35*EXP(-B$207/$A35/EXP(-$D$126))</f>
        <v>6.2948394662532018E-3</v>
      </c>
      <c r="C227" s="3">
        <f t="shared" si="188"/>
        <v>6.2948394662532018E-3</v>
      </c>
      <c r="D227" s="3">
        <f t="shared" si="188"/>
        <v>6.2948394662532018E-3</v>
      </c>
      <c r="E227" s="3">
        <f t="shared" si="188"/>
        <v>6.2948394662532018E-3</v>
      </c>
      <c r="F227" s="3">
        <f t="shared" si="188"/>
        <v>6.2948394662532018E-3</v>
      </c>
      <c r="G227" s="3">
        <f t="shared" si="188"/>
        <v>6.2948394662532018E-3</v>
      </c>
      <c r="H227" s="3">
        <f t="shared" si="188"/>
        <v>6.2948394662532018E-3</v>
      </c>
      <c r="I227" s="3">
        <f t="shared" si="188"/>
        <v>6.2948394662532018E-3</v>
      </c>
      <c r="J227" s="3">
        <f t="shared" si="188"/>
        <v>6.2948394662532018E-3</v>
      </c>
      <c r="K227" s="3">
        <f t="shared" si="188"/>
        <v>6.2948394662532018E-3</v>
      </c>
      <c r="L227" s="3">
        <f t="shared" si="188"/>
        <v>6.2948394662532018E-3</v>
      </c>
      <c r="M227" s="3">
        <f t="shared" si="188"/>
        <v>6.2948394662532018E-3</v>
      </c>
      <c r="N227" s="3">
        <f t="shared" si="188"/>
        <v>6.2948394662532018E-3</v>
      </c>
      <c r="O227" s="3">
        <f t="shared" si="188"/>
        <v>6.2948394662532018E-3</v>
      </c>
      <c r="P227" s="3">
        <f t="shared" si="188"/>
        <v>6.2948394662532018E-3</v>
      </c>
      <c r="Q227" s="3">
        <f t="shared" si="188"/>
        <v>6.2948394662532018E-3</v>
      </c>
      <c r="R227" s="3">
        <f t="shared" si="188"/>
        <v>6.2948394662532018E-3</v>
      </c>
      <c r="S227" s="3">
        <f t="shared" si="188"/>
        <v>6.2948394662532018E-3</v>
      </c>
      <c r="T227" s="3">
        <f t="shared" si="188"/>
        <v>6.2948394662532018E-3</v>
      </c>
      <c r="U227" s="3">
        <f t="shared" si="188"/>
        <v>6.2948394662531984E-3</v>
      </c>
      <c r="V227" s="3">
        <f t="shared" si="188"/>
        <v>6.294839466253168E-3</v>
      </c>
      <c r="W227" s="3">
        <f t="shared" si="188"/>
        <v>6.2948394662528584E-3</v>
      </c>
      <c r="X227" s="3">
        <f t="shared" si="188"/>
        <v>6.2948394662497706E-3</v>
      </c>
      <c r="Y227" s="3">
        <f t="shared" si="188"/>
        <v>6.294839466218889E-3</v>
      </c>
      <c r="Z227" s="3">
        <f t="shared" si="188"/>
        <v>6.2948394659100683E-3</v>
      </c>
      <c r="AA227" s="3">
        <f t="shared" si="188"/>
        <v>6.2948394628218676E-3</v>
      </c>
      <c r="AB227" s="3">
        <f t="shared" si="188"/>
        <v>6.2948394319398571E-3</v>
      </c>
      <c r="AC227" s="3">
        <f t="shared" si="188"/>
        <v>6.2948391231197652E-3</v>
      </c>
      <c r="AD227" s="3">
        <f t="shared" si="188"/>
        <v>6.294836034919679E-3</v>
      </c>
      <c r="AE227" s="3">
        <f t="shared" si="188"/>
        <v>6.2948051530021436E-3</v>
      </c>
      <c r="AF227" s="3">
        <f t="shared" si="188"/>
        <v>6.2944963421593851E-3</v>
      </c>
      <c r="AG227" s="3"/>
      <c r="AH227" s="3"/>
    </row>
    <row r="228" spans="2:34" x14ac:dyDescent="0.25">
      <c r="B228" s="3">
        <f t="shared" ref="B228:AF228" si="189">$C36*EXP(-B$207/$A36/EXP(-$D$126))</f>
        <v>5.5356903730511449E-3</v>
      </c>
      <c r="C228" s="3">
        <f t="shared" si="189"/>
        <v>5.5356903730511449E-3</v>
      </c>
      <c r="D228" s="3">
        <f t="shared" si="189"/>
        <v>5.5356903730511449E-3</v>
      </c>
      <c r="E228" s="3">
        <f t="shared" si="189"/>
        <v>5.5356903730511449E-3</v>
      </c>
      <c r="F228" s="3">
        <f t="shared" si="189"/>
        <v>5.5356903730511449E-3</v>
      </c>
      <c r="G228" s="3">
        <f t="shared" si="189"/>
        <v>5.5356903730511449E-3</v>
      </c>
      <c r="H228" s="3">
        <f t="shared" si="189"/>
        <v>5.5356903730511449E-3</v>
      </c>
      <c r="I228" s="3">
        <f t="shared" si="189"/>
        <v>5.5356903730511449E-3</v>
      </c>
      <c r="J228" s="3">
        <f t="shared" si="189"/>
        <v>5.5356903730511449E-3</v>
      </c>
      <c r="K228" s="3">
        <f t="shared" si="189"/>
        <v>5.5356903730511449E-3</v>
      </c>
      <c r="L228" s="3">
        <f t="shared" si="189"/>
        <v>5.5356903730511449E-3</v>
      </c>
      <c r="M228" s="3">
        <f t="shared" si="189"/>
        <v>5.5356903730511449E-3</v>
      </c>
      <c r="N228" s="3">
        <f t="shared" si="189"/>
        <v>5.5356903730511449E-3</v>
      </c>
      <c r="O228" s="3">
        <f t="shared" si="189"/>
        <v>5.5356903730511449E-3</v>
      </c>
      <c r="P228" s="3">
        <f t="shared" si="189"/>
        <v>5.5356903730511449E-3</v>
      </c>
      <c r="Q228" s="3">
        <f t="shared" si="189"/>
        <v>5.5356903730511449E-3</v>
      </c>
      <c r="R228" s="3">
        <f t="shared" si="189"/>
        <v>5.5356903730511449E-3</v>
      </c>
      <c r="S228" s="3">
        <f t="shared" si="189"/>
        <v>5.5356903730511449E-3</v>
      </c>
      <c r="T228" s="3">
        <f t="shared" si="189"/>
        <v>5.5356903730511449E-3</v>
      </c>
      <c r="U228" s="3">
        <f t="shared" si="189"/>
        <v>5.5356903730511449E-3</v>
      </c>
      <c r="V228" s="3">
        <f t="shared" si="189"/>
        <v>5.5356903730511423E-3</v>
      </c>
      <c r="W228" s="3">
        <f t="shared" si="189"/>
        <v>5.535690373051118E-3</v>
      </c>
      <c r="X228" s="3">
        <f t="shared" si="189"/>
        <v>5.5356903730508725E-3</v>
      </c>
      <c r="Y228" s="3">
        <f t="shared" si="189"/>
        <v>5.5356903730484231E-3</v>
      </c>
      <c r="Z228" s="3">
        <f t="shared" si="189"/>
        <v>5.5356903730239245E-3</v>
      </c>
      <c r="AA228" s="3">
        <f t="shared" si="189"/>
        <v>5.5356903727789399E-3</v>
      </c>
      <c r="AB228" s="3">
        <f t="shared" si="189"/>
        <v>5.5356903703290905E-3</v>
      </c>
      <c r="AC228" s="3">
        <f t="shared" si="189"/>
        <v>5.5356903458306031E-3</v>
      </c>
      <c r="AD228" s="3">
        <f t="shared" si="189"/>
        <v>5.5356901008457278E-3</v>
      </c>
      <c r="AE228" s="3">
        <f t="shared" si="189"/>
        <v>5.535687650997578E-3</v>
      </c>
      <c r="AF228" s="3">
        <f t="shared" si="189"/>
        <v>5.5356631525757026E-3</v>
      </c>
      <c r="AG228" s="3"/>
      <c r="AH228" s="3"/>
    </row>
    <row r="229" spans="2:34" x14ac:dyDescent="0.25">
      <c r="B229" s="3">
        <f t="shared" ref="B229:AF229" si="190">$C37*EXP(-B$207/$A37/EXP(-$D$126))</f>
        <v>2.9841994807754844E-3</v>
      </c>
      <c r="C229" s="3">
        <f t="shared" si="190"/>
        <v>2.9841994807754844E-3</v>
      </c>
      <c r="D229" s="3">
        <f t="shared" si="190"/>
        <v>2.9841994807754844E-3</v>
      </c>
      <c r="E229" s="3">
        <f t="shared" si="190"/>
        <v>2.9841994807754844E-3</v>
      </c>
      <c r="F229" s="3">
        <f t="shared" si="190"/>
        <v>2.9841994807754844E-3</v>
      </c>
      <c r="G229" s="3">
        <f t="shared" si="190"/>
        <v>2.9841994807754844E-3</v>
      </c>
      <c r="H229" s="3">
        <f t="shared" si="190"/>
        <v>2.9841994807754844E-3</v>
      </c>
      <c r="I229" s="3">
        <f t="shared" si="190"/>
        <v>2.9841994807754844E-3</v>
      </c>
      <c r="J229" s="3">
        <f t="shared" si="190"/>
        <v>2.9841994807754844E-3</v>
      </c>
      <c r="K229" s="3">
        <f t="shared" si="190"/>
        <v>2.9841994807754844E-3</v>
      </c>
      <c r="L229" s="3">
        <f t="shared" si="190"/>
        <v>2.9841994807754844E-3</v>
      </c>
      <c r="M229" s="3">
        <f t="shared" si="190"/>
        <v>2.9841994807754844E-3</v>
      </c>
      <c r="N229" s="3">
        <f t="shared" si="190"/>
        <v>2.9841994807754844E-3</v>
      </c>
      <c r="O229" s="3">
        <f t="shared" si="190"/>
        <v>2.9841994807754844E-3</v>
      </c>
      <c r="P229" s="3">
        <f t="shared" si="190"/>
        <v>2.9841994807754844E-3</v>
      </c>
      <c r="Q229" s="3">
        <f t="shared" si="190"/>
        <v>2.9841994807754844E-3</v>
      </c>
      <c r="R229" s="3">
        <f t="shared" si="190"/>
        <v>2.9841994807754844E-3</v>
      </c>
      <c r="S229" s="3">
        <f t="shared" si="190"/>
        <v>2.9841994807754844E-3</v>
      </c>
      <c r="T229" s="3">
        <f t="shared" si="190"/>
        <v>2.9841994807754844E-3</v>
      </c>
      <c r="U229" s="3">
        <f t="shared" si="190"/>
        <v>2.9841994807754844E-3</v>
      </c>
      <c r="V229" s="3">
        <f t="shared" si="190"/>
        <v>2.9841994807754844E-3</v>
      </c>
      <c r="W229" s="3">
        <f t="shared" si="190"/>
        <v>2.9841994807754831E-3</v>
      </c>
      <c r="X229" s="3">
        <f t="shared" si="190"/>
        <v>2.984199480775471E-3</v>
      </c>
      <c r="Y229" s="3">
        <f t="shared" si="190"/>
        <v>2.9841994807753517E-3</v>
      </c>
      <c r="Z229" s="3">
        <f t="shared" si="190"/>
        <v>2.9841994807741608E-3</v>
      </c>
      <c r="AA229" s="3">
        <f t="shared" si="190"/>
        <v>2.9841994807622472E-3</v>
      </c>
      <c r="AB229" s="3">
        <f t="shared" si="190"/>
        <v>2.9841994806431116E-3</v>
      </c>
      <c r="AC229" s="3">
        <f t="shared" si="190"/>
        <v>2.9841994794517542E-3</v>
      </c>
      <c r="AD229" s="3">
        <f t="shared" si="190"/>
        <v>2.9841994675381843E-3</v>
      </c>
      <c r="AE229" s="3">
        <f t="shared" si="190"/>
        <v>2.9841993484024834E-3</v>
      </c>
      <c r="AF229" s="3">
        <f t="shared" si="190"/>
        <v>2.9841981570457375E-3</v>
      </c>
      <c r="AG229" s="3"/>
      <c r="AH229" s="3"/>
    </row>
    <row r="230" spans="2:34" x14ac:dyDescent="0.25">
      <c r="B230" s="3">
        <f t="shared" ref="B230:AF230" si="191">$C38*EXP(-B$207/$A38/EXP(-$D$126))</f>
        <v>1.1698557197945001E-3</v>
      </c>
      <c r="C230" s="3">
        <f t="shared" si="191"/>
        <v>1.1698557197945001E-3</v>
      </c>
      <c r="D230" s="3">
        <f t="shared" si="191"/>
        <v>1.1698557197945001E-3</v>
      </c>
      <c r="E230" s="3">
        <f t="shared" si="191"/>
        <v>1.1698557197945001E-3</v>
      </c>
      <c r="F230" s="3">
        <f t="shared" si="191"/>
        <v>1.1698557197945001E-3</v>
      </c>
      <c r="G230" s="3">
        <f t="shared" si="191"/>
        <v>1.1698557197945001E-3</v>
      </c>
      <c r="H230" s="3">
        <f t="shared" si="191"/>
        <v>1.1698557197945001E-3</v>
      </c>
      <c r="I230" s="3">
        <f t="shared" si="191"/>
        <v>1.1698557197945001E-3</v>
      </c>
      <c r="J230" s="3">
        <f t="shared" si="191"/>
        <v>1.1698557197945001E-3</v>
      </c>
      <c r="K230" s="3">
        <f t="shared" si="191"/>
        <v>1.1698557197945001E-3</v>
      </c>
      <c r="L230" s="3">
        <f t="shared" si="191"/>
        <v>1.1698557197945001E-3</v>
      </c>
      <c r="M230" s="3">
        <f t="shared" si="191"/>
        <v>1.1698557197945001E-3</v>
      </c>
      <c r="N230" s="3">
        <f t="shared" si="191"/>
        <v>1.1698557197945001E-3</v>
      </c>
      <c r="O230" s="3">
        <f t="shared" si="191"/>
        <v>1.1698557197945001E-3</v>
      </c>
      <c r="P230" s="3">
        <f t="shared" si="191"/>
        <v>1.1698557197945001E-3</v>
      </c>
      <c r="Q230" s="3">
        <f t="shared" si="191"/>
        <v>1.1698557197945001E-3</v>
      </c>
      <c r="R230" s="3">
        <f t="shared" si="191"/>
        <v>1.1698557197945001E-3</v>
      </c>
      <c r="S230" s="3">
        <f t="shared" si="191"/>
        <v>1.1698557197945001E-3</v>
      </c>
      <c r="T230" s="3">
        <f t="shared" si="191"/>
        <v>1.1698557197945001E-3</v>
      </c>
      <c r="U230" s="3">
        <f t="shared" si="191"/>
        <v>1.1698557197945001E-3</v>
      </c>
      <c r="V230" s="3">
        <f t="shared" si="191"/>
        <v>1.1698557197945001E-3</v>
      </c>
      <c r="W230" s="3">
        <f t="shared" si="191"/>
        <v>1.1698557197945001E-3</v>
      </c>
      <c r="X230" s="3">
        <f t="shared" si="191"/>
        <v>1.1698557197944996E-3</v>
      </c>
      <c r="Y230" s="3">
        <f t="shared" si="191"/>
        <v>1.1698557197944953E-3</v>
      </c>
      <c r="Z230" s="3">
        <f t="shared" si="191"/>
        <v>1.1698557197944532E-3</v>
      </c>
      <c r="AA230" s="3">
        <f t="shared" si="191"/>
        <v>1.1698557197940319E-3</v>
      </c>
      <c r="AB230" s="3">
        <f t="shared" si="191"/>
        <v>1.1698557197898189E-3</v>
      </c>
      <c r="AC230" s="3">
        <f t="shared" si="191"/>
        <v>1.1698557197476888E-3</v>
      </c>
      <c r="AD230" s="3">
        <f t="shared" si="191"/>
        <v>1.1698557193263873E-3</v>
      </c>
      <c r="AE230" s="3">
        <f t="shared" si="191"/>
        <v>1.1698557151133726E-3</v>
      </c>
      <c r="AF230" s="3">
        <f t="shared" si="191"/>
        <v>1.1698556729832262E-3</v>
      </c>
      <c r="AG230" s="3"/>
      <c r="AH230" s="3"/>
    </row>
    <row r="231" spans="2:34" x14ac:dyDescent="0.25">
      <c r="B231" s="3">
        <f t="shared" ref="B231:AF231" si="192">$C39*EXP(-B$207/$A39/EXP(-$D$126))</f>
        <v>4.0204305624187052E-4</v>
      </c>
      <c r="C231" s="3">
        <f t="shared" si="192"/>
        <v>4.0204305624187052E-4</v>
      </c>
      <c r="D231" s="3">
        <f t="shared" si="192"/>
        <v>4.0204305624187052E-4</v>
      </c>
      <c r="E231" s="3">
        <f t="shared" si="192"/>
        <v>4.0204305624187052E-4</v>
      </c>
      <c r="F231" s="3">
        <f t="shared" si="192"/>
        <v>4.0204305624187052E-4</v>
      </c>
      <c r="G231" s="3">
        <f t="shared" si="192"/>
        <v>4.0204305624187052E-4</v>
      </c>
      <c r="H231" s="3">
        <f t="shared" si="192"/>
        <v>4.0204305624187052E-4</v>
      </c>
      <c r="I231" s="3">
        <f t="shared" si="192"/>
        <v>4.0204305624187052E-4</v>
      </c>
      <c r="J231" s="3">
        <f t="shared" si="192"/>
        <v>4.0204305624187052E-4</v>
      </c>
      <c r="K231" s="3">
        <f t="shared" si="192"/>
        <v>4.0204305624187052E-4</v>
      </c>
      <c r="L231" s="3">
        <f t="shared" si="192"/>
        <v>4.0204305624187052E-4</v>
      </c>
      <c r="M231" s="3">
        <f t="shared" si="192"/>
        <v>4.0204305624187052E-4</v>
      </c>
      <c r="N231" s="3">
        <f t="shared" si="192"/>
        <v>4.0204305624187052E-4</v>
      </c>
      <c r="O231" s="3">
        <f t="shared" si="192"/>
        <v>4.0204305624187052E-4</v>
      </c>
      <c r="P231" s="3">
        <f t="shared" si="192"/>
        <v>4.0204305624187052E-4</v>
      </c>
      <c r="Q231" s="3">
        <f t="shared" si="192"/>
        <v>4.0204305624187052E-4</v>
      </c>
      <c r="R231" s="3">
        <f t="shared" si="192"/>
        <v>4.0204305624187052E-4</v>
      </c>
      <c r="S231" s="3">
        <f t="shared" si="192"/>
        <v>4.0204305624187052E-4</v>
      </c>
      <c r="T231" s="3">
        <f t="shared" si="192"/>
        <v>4.0204305624187052E-4</v>
      </c>
      <c r="U231" s="3">
        <f t="shared" si="192"/>
        <v>4.0204305624187052E-4</v>
      </c>
      <c r="V231" s="3">
        <f t="shared" si="192"/>
        <v>4.0204305624187052E-4</v>
      </c>
      <c r="W231" s="3">
        <f t="shared" si="192"/>
        <v>4.0204305624187052E-4</v>
      </c>
      <c r="X231" s="3">
        <f t="shared" si="192"/>
        <v>4.0204305624187047E-4</v>
      </c>
      <c r="Y231" s="3">
        <f t="shared" si="192"/>
        <v>4.0204305624187009E-4</v>
      </c>
      <c r="Z231" s="3">
        <f t="shared" si="192"/>
        <v>4.0204305624186608E-4</v>
      </c>
      <c r="AA231" s="3">
        <f t="shared" si="192"/>
        <v>4.0204305624182602E-4</v>
      </c>
      <c r="AB231" s="3">
        <f t="shared" si="192"/>
        <v>4.0204305624142562E-4</v>
      </c>
      <c r="AC231" s="3">
        <f t="shared" si="192"/>
        <v>4.0204305623742112E-4</v>
      </c>
      <c r="AD231" s="3">
        <f t="shared" si="192"/>
        <v>4.0204305619737633E-4</v>
      </c>
      <c r="AE231" s="3">
        <f t="shared" si="192"/>
        <v>4.0204305579692832E-4</v>
      </c>
      <c r="AF231" s="3">
        <f t="shared" si="192"/>
        <v>4.0204305179244863E-4</v>
      </c>
      <c r="AG231" s="3"/>
      <c r="AH231" s="3"/>
    </row>
    <row r="232" spans="2:34" x14ac:dyDescent="0.25">
      <c r="B232" s="3">
        <f t="shared" ref="B232:AF232" si="193">$C40*EXP(-B$207/$A40/EXP(-$D$126))</f>
        <v>9.0650475367586036E-4</v>
      </c>
      <c r="C232" s="3">
        <f t="shared" si="193"/>
        <v>9.0650475367586036E-4</v>
      </c>
      <c r="D232" s="3">
        <f t="shared" si="193"/>
        <v>9.0650475367586036E-4</v>
      </c>
      <c r="E232" s="3">
        <f t="shared" si="193"/>
        <v>9.0650475367586036E-4</v>
      </c>
      <c r="F232" s="3">
        <f t="shared" si="193"/>
        <v>9.0650475367586036E-4</v>
      </c>
      <c r="G232" s="3">
        <f t="shared" si="193"/>
        <v>9.0650475367586036E-4</v>
      </c>
      <c r="H232" s="3">
        <f t="shared" si="193"/>
        <v>9.0650475367586036E-4</v>
      </c>
      <c r="I232" s="3">
        <f t="shared" si="193"/>
        <v>9.0650475367586036E-4</v>
      </c>
      <c r="J232" s="3">
        <f t="shared" si="193"/>
        <v>9.0650475367586036E-4</v>
      </c>
      <c r="K232" s="3">
        <f t="shared" si="193"/>
        <v>9.0650475367586036E-4</v>
      </c>
      <c r="L232" s="3">
        <f t="shared" si="193"/>
        <v>9.0650475367586036E-4</v>
      </c>
      <c r="M232" s="3">
        <f t="shared" si="193"/>
        <v>9.0650475367586036E-4</v>
      </c>
      <c r="N232" s="3">
        <f t="shared" si="193"/>
        <v>9.0650475367586036E-4</v>
      </c>
      <c r="O232" s="3">
        <f t="shared" si="193"/>
        <v>9.0650475367586036E-4</v>
      </c>
      <c r="P232" s="3">
        <f t="shared" si="193"/>
        <v>9.0650475367586036E-4</v>
      </c>
      <c r="Q232" s="3">
        <f t="shared" si="193"/>
        <v>9.0650475367586036E-4</v>
      </c>
      <c r="R232" s="3">
        <f t="shared" si="193"/>
        <v>9.0650475367586036E-4</v>
      </c>
      <c r="S232" s="3">
        <f t="shared" si="193"/>
        <v>9.0650475367586036E-4</v>
      </c>
      <c r="T232" s="3">
        <f t="shared" si="193"/>
        <v>9.0650475367586036E-4</v>
      </c>
      <c r="U232" s="3">
        <f t="shared" si="193"/>
        <v>9.0650475367586036E-4</v>
      </c>
      <c r="V232" s="3">
        <f t="shared" si="193"/>
        <v>9.0650475367586036E-4</v>
      </c>
      <c r="W232" s="3">
        <f t="shared" si="193"/>
        <v>9.0650475367586036E-4</v>
      </c>
      <c r="X232" s="3">
        <f t="shared" si="193"/>
        <v>9.0650475367586036E-4</v>
      </c>
      <c r="Y232" s="3">
        <f t="shared" si="193"/>
        <v>9.0650475367586025E-4</v>
      </c>
      <c r="Z232" s="3">
        <f t="shared" si="193"/>
        <v>9.0650475367585939E-4</v>
      </c>
      <c r="AA232" s="3">
        <f t="shared" si="193"/>
        <v>9.0650475367585028E-4</v>
      </c>
      <c r="AB232" s="3">
        <f t="shared" si="193"/>
        <v>9.0650475367576007E-4</v>
      </c>
      <c r="AC232" s="3">
        <f t="shared" si="193"/>
        <v>9.0650475367485715E-4</v>
      </c>
      <c r="AD232" s="3">
        <f t="shared" si="193"/>
        <v>9.0650475366582802E-4</v>
      </c>
      <c r="AE232" s="3">
        <f t="shared" si="193"/>
        <v>9.0650475357553729E-4</v>
      </c>
      <c r="AF232" s="3">
        <f t="shared" si="193"/>
        <v>9.0650475267262901E-4</v>
      </c>
      <c r="AG232" s="3"/>
      <c r="AH232" s="3"/>
    </row>
    <row r="233" spans="2:34" x14ac:dyDescent="0.25">
      <c r="B233" s="3">
        <f t="shared" ref="B233:AF233" si="194">$C41*EXP(-B$207/$A41/EXP(-$D$126))</f>
        <v>1.833495697796037E-4</v>
      </c>
      <c r="C233" s="3">
        <f t="shared" si="194"/>
        <v>1.833495697796037E-4</v>
      </c>
      <c r="D233" s="3">
        <f t="shared" si="194"/>
        <v>1.833495697796037E-4</v>
      </c>
      <c r="E233" s="3">
        <f t="shared" si="194"/>
        <v>1.833495697796037E-4</v>
      </c>
      <c r="F233" s="3">
        <f t="shared" si="194"/>
        <v>1.833495697796037E-4</v>
      </c>
      <c r="G233" s="3">
        <f t="shared" si="194"/>
        <v>1.833495697796037E-4</v>
      </c>
      <c r="H233" s="3">
        <f t="shared" si="194"/>
        <v>1.833495697796037E-4</v>
      </c>
      <c r="I233" s="3">
        <f t="shared" si="194"/>
        <v>1.833495697796037E-4</v>
      </c>
      <c r="J233" s="3">
        <f t="shared" si="194"/>
        <v>1.833495697796037E-4</v>
      </c>
      <c r="K233" s="3">
        <f t="shared" si="194"/>
        <v>1.833495697796037E-4</v>
      </c>
      <c r="L233" s="3">
        <f t="shared" si="194"/>
        <v>1.833495697796037E-4</v>
      </c>
      <c r="M233" s="3">
        <f t="shared" si="194"/>
        <v>1.833495697796037E-4</v>
      </c>
      <c r="N233" s="3">
        <f t="shared" si="194"/>
        <v>1.833495697796037E-4</v>
      </c>
      <c r="O233" s="3">
        <f t="shared" si="194"/>
        <v>1.833495697796037E-4</v>
      </c>
      <c r="P233" s="3">
        <f t="shared" si="194"/>
        <v>1.833495697796037E-4</v>
      </c>
      <c r="Q233" s="3">
        <f t="shared" si="194"/>
        <v>1.833495697796037E-4</v>
      </c>
      <c r="R233" s="3">
        <f t="shared" si="194"/>
        <v>1.833495697796037E-4</v>
      </c>
      <c r="S233" s="3">
        <f t="shared" si="194"/>
        <v>1.833495697796037E-4</v>
      </c>
      <c r="T233" s="3">
        <f t="shared" si="194"/>
        <v>1.833495697796037E-4</v>
      </c>
      <c r="U233" s="3">
        <f t="shared" si="194"/>
        <v>1.833495697796037E-4</v>
      </c>
      <c r="V233" s="3">
        <f t="shared" si="194"/>
        <v>1.833495697796037E-4</v>
      </c>
      <c r="W233" s="3">
        <f t="shared" si="194"/>
        <v>1.833495697796037E-4</v>
      </c>
      <c r="X233" s="3">
        <f t="shared" si="194"/>
        <v>1.833495697796037E-4</v>
      </c>
      <c r="Y233" s="3">
        <f t="shared" si="194"/>
        <v>1.833495697796037E-4</v>
      </c>
      <c r="Z233" s="3">
        <f t="shared" si="194"/>
        <v>1.8334956977960368E-4</v>
      </c>
      <c r="AA233" s="3">
        <f t="shared" si="194"/>
        <v>1.8334956977960349E-4</v>
      </c>
      <c r="AB233" s="3">
        <f t="shared" si="194"/>
        <v>1.8334956977960167E-4</v>
      </c>
      <c r="AC233" s="3">
        <f t="shared" si="194"/>
        <v>1.833495697795834E-4</v>
      </c>
      <c r="AD233" s="3">
        <f t="shared" si="194"/>
        <v>1.8334956977940079E-4</v>
      </c>
      <c r="AE233" s="3">
        <f t="shared" si="194"/>
        <v>1.8334956977757456E-4</v>
      </c>
      <c r="AF233" s="3">
        <f t="shared" si="194"/>
        <v>1.8334956975931237E-4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2.7582104941075727E-4</v>
      </c>
      <c r="C235" s="3">
        <f t="shared" si="196"/>
        <v>2.7582104941075727E-4</v>
      </c>
      <c r="D235" s="3">
        <f t="shared" si="196"/>
        <v>2.7582104941075727E-4</v>
      </c>
      <c r="E235" s="3">
        <f t="shared" si="196"/>
        <v>2.7582104941075727E-4</v>
      </c>
      <c r="F235" s="3">
        <f t="shared" si="196"/>
        <v>2.7582104941075727E-4</v>
      </c>
      <c r="G235" s="3">
        <f t="shared" si="196"/>
        <v>2.7582104941075727E-4</v>
      </c>
      <c r="H235" s="3">
        <f t="shared" si="196"/>
        <v>2.7582104941075727E-4</v>
      </c>
      <c r="I235" s="3">
        <f t="shared" si="196"/>
        <v>2.7582104941075727E-4</v>
      </c>
      <c r="J235" s="3">
        <f t="shared" si="196"/>
        <v>2.7582104941075727E-4</v>
      </c>
      <c r="K235" s="3">
        <f t="shared" si="196"/>
        <v>2.7582104941075727E-4</v>
      </c>
      <c r="L235" s="3">
        <f t="shared" si="196"/>
        <v>2.7582104941075727E-4</v>
      </c>
      <c r="M235" s="3">
        <f t="shared" si="196"/>
        <v>2.7582104941075727E-4</v>
      </c>
      <c r="N235" s="3">
        <f t="shared" si="196"/>
        <v>2.7582104941075727E-4</v>
      </c>
      <c r="O235" s="3">
        <f t="shared" si="196"/>
        <v>2.7582104941075727E-4</v>
      </c>
      <c r="P235" s="3">
        <f t="shared" si="196"/>
        <v>2.7582104941075727E-4</v>
      </c>
      <c r="Q235" s="3">
        <f t="shared" si="196"/>
        <v>2.7582104941075727E-4</v>
      </c>
      <c r="R235" s="3">
        <f t="shared" si="196"/>
        <v>2.7582104941075727E-4</v>
      </c>
      <c r="S235" s="3">
        <f t="shared" si="196"/>
        <v>2.7582104941075727E-4</v>
      </c>
      <c r="T235" s="3">
        <f t="shared" si="196"/>
        <v>2.7582104941075727E-4</v>
      </c>
      <c r="U235" s="3">
        <f t="shared" si="196"/>
        <v>2.7582104941075727E-4</v>
      </c>
      <c r="V235" s="3">
        <f t="shared" si="196"/>
        <v>2.7582104941075727E-4</v>
      </c>
      <c r="W235" s="3">
        <f t="shared" si="196"/>
        <v>2.7582104941075727E-4</v>
      </c>
      <c r="X235" s="3">
        <f t="shared" si="196"/>
        <v>2.7582104941075727E-4</v>
      </c>
      <c r="Y235" s="3">
        <f t="shared" si="196"/>
        <v>2.7582104941075727E-4</v>
      </c>
      <c r="Z235" s="3">
        <f t="shared" si="196"/>
        <v>2.7582104941075727E-4</v>
      </c>
      <c r="AA235" s="3">
        <f t="shared" si="196"/>
        <v>2.7582104941075727E-4</v>
      </c>
      <c r="AB235" s="3">
        <f t="shared" si="196"/>
        <v>2.7582104941075721E-4</v>
      </c>
      <c r="AC235" s="3">
        <f t="shared" si="196"/>
        <v>2.7582104941075694E-4</v>
      </c>
      <c r="AD235" s="3">
        <f t="shared" si="196"/>
        <v>2.7582104941075423E-4</v>
      </c>
      <c r="AE235" s="3">
        <f t="shared" si="196"/>
        <v>2.7582104941072675E-4</v>
      </c>
      <c r="AF235" s="3">
        <f t="shared" si="196"/>
        <v>2.7582104941045201E-4</v>
      </c>
      <c r="AG235" s="3"/>
      <c r="AH235" s="3"/>
    </row>
    <row r="236" spans="2:34" x14ac:dyDescent="0.25">
      <c r="B236" s="3">
        <f t="shared" ref="B236:AF236" si="197">$C44*EXP(-B$207/$A44/EXP(-$D$126))</f>
        <v>2.4535081143819124E-4</v>
      </c>
      <c r="C236" s="3">
        <f t="shared" si="197"/>
        <v>2.4535081143819124E-4</v>
      </c>
      <c r="D236" s="3">
        <f t="shared" si="197"/>
        <v>2.4535081143819124E-4</v>
      </c>
      <c r="E236" s="3">
        <f t="shared" si="197"/>
        <v>2.4535081143819124E-4</v>
      </c>
      <c r="F236" s="3">
        <f t="shared" si="197"/>
        <v>2.4535081143819124E-4</v>
      </c>
      <c r="G236" s="3">
        <f t="shared" si="197"/>
        <v>2.4535081143819124E-4</v>
      </c>
      <c r="H236" s="3">
        <f t="shared" si="197"/>
        <v>2.4535081143819124E-4</v>
      </c>
      <c r="I236" s="3">
        <f t="shared" si="197"/>
        <v>2.4535081143819124E-4</v>
      </c>
      <c r="J236" s="3">
        <f t="shared" si="197"/>
        <v>2.4535081143819124E-4</v>
      </c>
      <c r="K236" s="3">
        <f t="shared" si="197"/>
        <v>2.4535081143819124E-4</v>
      </c>
      <c r="L236" s="3">
        <f t="shared" si="197"/>
        <v>2.4535081143819124E-4</v>
      </c>
      <c r="M236" s="3">
        <f t="shared" si="197"/>
        <v>2.4535081143819124E-4</v>
      </c>
      <c r="N236" s="3">
        <f t="shared" si="197"/>
        <v>2.4535081143819124E-4</v>
      </c>
      <c r="O236" s="3">
        <f t="shared" si="197"/>
        <v>2.4535081143819124E-4</v>
      </c>
      <c r="P236" s="3">
        <f t="shared" si="197"/>
        <v>2.4535081143819124E-4</v>
      </c>
      <c r="Q236" s="3">
        <f t="shared" si="197"/>
        <v>2.4535081143819124E-4</v>
      </c>
      <c r="R236" s="3">
        <f t="shared" si="197"/>
        <v>2.4535081143819124E-4</v>
      </c>
      <c r="S236" s="3">
        <f t="shared" si="197"/>
        <v>2.4535081143819124E-4</v>
      </c>
      <c r="T236" s="3">
        <f t="shared" si="197"/>
        <v>2.4535081143819124E-4</v>
      </c>
      <c r="U236" s="3">
        <f t="shared" si="197"/>
        <v>2.4535081143819124E-4</v>
      </c>
      <c r="V236" s="3">
        <f t="shared" si="197"/>
        <v>2.4535081143819124E-4</v>
      </c>
      <c r="W236" s="3">
        <f t="shared" si="197"/>
        <v>2.4535081143819124E-4</v>
      </c>
      <c r="X236" s="3">
        <f t="shared" si="197"/>
        <v>2.4535081143819124E-4</v>
      </c>
      <c r="Y236" s="3">
        <f t="shared" si="197"/>
        <v>2.4535081143819124E-4</v>
      </c>
      <c r="Z236" s="3">
        <f t="shared" si="197"/>
        <v>2.4535081143819124E-4</v>
      </c>
      <c r="AA236" s="3">
        <f t="shared" si="197"/>
        <v>2.4535081143819124E-4</v>
      </c>
      <c r="AB236" s="3">
        <f t="shared" si="197"/>
        <v>2.4535081143819124E-4</v>
      </c>
      <c r="AC236" s="3">
        <f t="shared" si="197"/>
        <v>2.4535081143819119E-4</v>
      </c>
      <c r="AD236" s="3">
        <f t="shared" si="197"/>
        <v>2.4535081143819097E-4</v>
      </c>
      <c r="AE236" s="3">
        <f t="shared" si="197"/>
        <v>2.4535081143818853E-4</v>
      </c>
      <c r="AF236" s="3">
        <f t="shared" si="197"/>
        <v>2.4535081143816408E-4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1.7255643769382848E-4</v>
      </c>
      <c r="C238" s="3">
        <f t="shared" si="199"/>
        <v>1.7255643769382848E-4</v>
      </c>
      <c r="D238" s="3">
        <f t="shared" si="199"/>
        <v>1.7255643769382848E-4</v>
      </c>
      <c r="E238" s="3">
        <f t="shared" si="199"/>
        <v>1.7255643769382848E-4</v>
      </c>
      <c r="F238" s="3">
        <f t="shared" si="199"/>
        <v>1.7255643769382848E-4</v>
      </c>
      <c r="G238" s="3">
        <f t="shared" si="199"/>
        <v>1.7255643769382848E-4</v>
      </c>
      <c r="H238" s="3">
        <f t="shared" si="199"/>
        <v>1.7255643769382848E-4</v>
      </c>
      <c r="I238" s="3">
        <f t="shared" si="199"/>
        <v>1.7255643769382848E-4</v>
      </c>
      <c r="J238" s="3">
        <f t="shared" si="199"/>
        <v>1.7255643769382848E-4</v>
      </c>
      <c r="K238" s="3">
        <f t="shared" si="199"/>
        <v>1.7255643769382848E-4</v>
      </c>
      <c r="L238" s="3">
        <f t="shared" si="199"/>
        <v>1.7255643769382848E-4</v>
      </c>
      <c r="M238" s="3">
        <f t="shared" si="199"/>
        <v>1.7255643769382848E-4</v>
      </c>
      <c r="N238" s="3">
        <f t="shared" si="199"/>
        <v>1.7255643769382848E-4</v>
      </c>
      <c r="O238" s="3">
        <f t="shared" si="199"/>
        <v>1.7255643769382848E-4</v>
      </c>
      <c r="P238" s="3">
        <f t="shared" si="199"/>
        <v>1.7255643769382848E-4</v>
      </c>
      <c r="Q238" s="3">
        <f t="shared" si="199"/>
        <v>1.7255643769382848E-4</v>
      </c>
      <c r="R238" s="3">
        <f t="shared" si="199"/>
        <v>1.7255643769382848E-4</v>
      </c>
      <c r="S238" s="3">
        <f t="shared" si="199"/>
        <v>1.7255643769382848E-4</v>
      </c>
      <c r="T238" s="3">
        <f t="shared" si="199"/>
        <v>1.7255643769382848E-4</v>
      </c>
      <c r="U238" s="3">
        <f t="shared" si="199"/>
        <v>1.7255643769382848E-4</v>
      </c>
      <c r="V238" s="3">
        <f t="shared" si="199"/>
        <v>1.7255643769382848E-4</v>
      </c>
      <c r="W238" s="3">
        <f t="shared" si="199"/>
        <v>1.7255643769382848E-4</v>
      </c>
      <c r="X238" s="3">
        <f t="shared" si="199"/>
        <v>1.7255643769382848E-4</v>
      </c>
      <c r="Y238" s="3">
        <f t="shared" si="199"/>
        <v>1.7255643769382848E-4</v>
      </c>
      <c r="Z238" s="3">
        <f t="shared" si="199"/>
        <v>1.7255643769382848E-4</v>
      </c>
      <c r="AA238" s="3">
        <f t="shared" si="199"/>
        <v>1.7255643769382848E-4</v>
      </c>
      <c r="AB238" s="3">
        <f t="shared" si="199"/>
        <v>1.7255643769382848E-4</v>
      </c>
      <c r="AC238" s="3">
        <f t="shared" si="199"/>
        <v>1.7255643769382848E-4</v>
      </c>
      <c r="AD238" s="3">
        <f t="shared" si="199"/>
        <v>1.7255643769382848E-4</v>
      </c>
      <c r="AE238" s="3">
        <f t="shared" si="199"/>
        <v>1.7255643769382845E-4</v>
      </c>
      <c r="AF238" s="3">
        <f t="shared" si="199"/>
        <v>1.7255643769382829E-4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0.14500294350832818</v>
      </c>
      <c r="B241" s="80">
        <f>IF($A$64&lt;=B207,IF($B$64&gt;=B207,ABS((B209-B208)/B208),0),0)</f>
        <v>1.7493132177746477E-6</v>
      </c>
      <c r="C241" s="80">
        <f t="shared" ref="C241:AF241" si="202">IF($A$64&lt;=C207,IF($B$64&gt;=C207,ABS((C209-C208)/C208),0),0)</f>
        <v>7.2010057326781882E-6</v>
      </c>
      <c r="D241" s="80">
        <f t="shared" si="202"/>
        <v>6.5517051172753722E-6</v>
      </c>
      <c r="E241" s="80">
        <f t="shared" si="202"/>
        <v>9.291835556670666E-5</v>
      </c>
      <c r="F241" s="80">
        <f t="shared" si="202"/>
        <v>9.2197440217914729E-4</v>
      </c>
      <c r="G241" s="80">
        <f t="shared" si="202"/>
        <v>8.1277417351663609E-3</v>
      </c>
      <c r="H241" s="80">
        <f t="shared" si="202"/>
        <v>3.3252478537248893E-2</v>
      </c>
      <c r="I241" s="80">
        <f t="shared" si="202"/>
        <v>5.2313628574629872E-2</v>
      </c>
      <c r="J241" s="80">
        <f t="shared" si="202"/>
        <v>6.9936428030483375E-2</v>
      </c>
      <c r="K241" s="80">
        <f t="shared" si="202"/>
        <v>8.7176880787757316E-2</v>
      </c>
      <c r="L241" s="80">
        <f t="shared" si="202"/>
        <v>7.2586652695609294E-2</v>
      </c>
      <c r="M241" s="80">
        <f t="shared" si="202"/>
        <v>0.13289041676248742</v>
      </c>
      <c r="N241" s="80">
        <f t="shared" si="202"/>
        <v>0.24851273418423414</v>
      </c>
      <c r="O241" s="80">
        <f t="shared" si="202"/>
        <v>0.2253990739719173</v>
      </c>
      <c r="P241" s="80">
        <f t="shared" si="202"/>
        <v>0.20296261009919148</v>
      </c>
      <c r="Q241" s="80">
        <f t="shared" si="202"/>
        <v>0.17716270815186835</v>
      </c>
      <c r="R241" s="80">
        <f t="shared" si="202"/>
        <v>0.1444231127652395</v>
      </c>
      <c r="S241" s="80">
        <f t="shared" si="202"/>
        <v>0.11031676473675929</v>
      </c>
      <c r="T241" s="80">
        <f t="shared" si="202"/>
        <v>7.841855657785482E-2</v>
      </c>
      <c r="U241" s="80">
        <f t="shared" si="202"/>
        <v>5.0589187166203281E-2</v>
      </c>
      <c r="V241" s="80">
        <f t="shared" si="202"/>
        <v>0.20012908972363672</v>
      </c>
      <c r="W241" s="80">
        <f t="shared" si="202"/>
        <v>0.31865280037653126</v>
      </c>
      <c r="X241" s="80">
        <f t="shared" si="202"/>
        <v>0.39617885100458566</v>
      </c>
      <c r="Y241" s="80">
        <f t="shared" si="202"/>
        <v>0.42413723141179743</v>
      </c>
      <c r="Z241" s="80">
        <f t="shared" si="202"/>
        <v>0.41592145281133436</v>
      </c>
      <c r="AA241" s="80">
        <f t="shared" si="202"/>
        <v>0.35620488676329615</v>
      </c>
      <c r="AB241" s="80">
        <f t="shared" si="202"/>
        <v>0.24019880270810187</v>
      </c>
      <c r="AC241" s="80">
        <f t="shared" si="202"/>
        <v>7.7764015378128909E-2</v>
      </c>
      <c r="AD241" s="80">
        <f t="shared" si="202"/>
        <v>7.8543287999620071E-2</v>
      </c>
      <c r="AE241" s="80">
        <f t="shared" si="202"/>
        <v>0.16385786924004728</v>
      </c>
      <c r="AF241" s="80">
        <f t="shared" si="202"/>
        <v>0.12840359178262944</v>
      </c>
    </row>
    <row r="242" spans="1:34" x14ac:dyDescent="0.25">
      <c r="B242" s="21">
        <f>(B209-B208)^2</f>
        <v>1.4961917127098595E-4</v>
      </c>
      <c r="C242" s="21">
        <f t="shared" ref="C242:AF242" si="203">(C209-C208)^2</f>
        <v>2.5353981961285287E-3</v>
      </c>
      <c r="D242" s="21">
        <f t="shared" si="203"/>
        <v>2.0987301539013782E-3</v>
      </c>
      <c r="E242" s="21">
        <f t="shared" si="203"/>
        <v>0.42206168831458302</v>
      </c>
      <c r="F242" s="21">
        <f t="shared" si="203"/>
        <v>41.484976975099443</v>
      </c>
      <c r="G242" s="21">
        <f t="shared" si="203"/>
        <v>3178.0587539209573</v>
      </c>
      <c r="H242" s="21">
        <f t="shared" si="203"/>
        <v>50639.01911224323</v>
      </c>
      <c r="I242" s="21">
        <f t="shared" si="203"/>
        <v>120825.42873412911</v>
      </c>
      <c r="J242" s="21">
        <f t="shared" si="203"/>
        <v>208736.80538983014</v>
      </c>
      <c r="K242" s="21">
        <f t="shared" si="203"/>
        <v>311897.31114945712</v>
      </c>
      <c r="L242" s="21">
        <f t="shared" si="203"/>
        <v>207371.76685573981</v>
      </c>
      <c r="M242" s="21">
        <f t="shared" si="203"/>
        <v>662129.19549299311</v>
      </c>
      <c r="N242" s="21">
        <f t="shared" si="203"/>
        <v>2193091.8897972484</v>
      </c>
      <c r="O242" s="21">
        <f t="shared" si="203"/>
        <v>1698014.8967112673</v>
      </c>
      <c r="P242" s="21">
        <f t="shared" si="203"/>
        <v>1300316.0414022284</v>
      </c>
      <c r="Q242" s="21">
        <f t="shared" si="203"/>
        <v>929182.08417560242</v>
      </c>
      <c r="R242" s="21">
        <f t="shared" si="203"/>
        <v>568672.04275676725</v>
      </c>
      <c r="S242" s="21">
        <f t="shared" si="203"/>
        <v>295327.23927163042</v>
      </c>
      <c r="T242" s="21">
        <f t="shared" si="203"/>
        <v>121391.09441701148</v>
      </c>
      <c r="U242" s="21">
        <f t="shared" si="203"/>
        <v>36042.949226272271</v>
      </c>
      <c r="V242" s="21">
        <f t="shared" si="203"/>
        <v>392541.96201721823</v>
      </c>
      <c r="W242" s="21">
        <f t="shared" si="203"/>
        <v>732456.95259737992</v>
      </c>
      <c r="X242" s="21">
        <f t="shared" si="203"/>
        <v>880385.97796544305</v>
      </c>
      <c r="Y242" s="21">
        <f t="shared" si="203"/>
        <v>818012.83146321634</v>
      </c>
      <c r="Z242" s="21">
        <f t="shared" si="203"/>
        <v>642483.86670660099</v>
      </c>
      <c r="AA242" s="21">
        <f t="shared" si="203"/>
        <v>384403.79203503387</v>
      </c>
      <c r="AB242" s="21">
        <f t="shared" si="203"/>
        <v>139041.54008751165</v>
      </c>
      <c r="AC242" s="21">
        <f t="shared" si="203"/>
        <v>11108.901587789316</v>
      </c>
      <c r="AD242" s="21">
        <f t="shared" si="203"/>
        <v>7945.9461090293998</v>
      </c>
      <c r="AE242" s="21">
        <f t="shared" si="203"/>
        <v>21386.91081958454</v>
      </c>
      <c r="AF242" s="21">
        <f t="shared" si="203"/>
        <v>6993.6420006534099</v>
      </c>
      <c r="AG242" s="3"/>
      <c r="AH242" s="3"/>
    </row>
    <row r="243" spans="1:34" x14ac:dyDescent="0.25">
      <c r="A243" s="71">
        <f>SUM(B243:AF243)</f>
        <v>12743620.058458209</v>
      </c>
      <c r="B243" s="60">
        <f>IF($A$64&lt;=B207,IF($B$64&gt;=B207,ABS(B242),0),0)</f>
        <v>1.4961917127098595E-4</v>
      </c>
      <c r="C243" s="60">
        <f t="shared" ref="C243" si="204">IF($A$64&lt;=C207,IF($B$64&gt;=C207,ABS(C242),0),0)</f>
        <v>2.5353981961285287E-3</v>
      </c>
      <c r="D243" s="60">
        <f t="shared" ref="D243" si="205">IF($A$64&lt;=D207,IF($B$64&gt;=D207,ABS(D242),0),0)</f>
        <v>2.0987301539013782E-3</v>
      </c>
      <c r="E243" s="60">
        <f t="shared" ref="E243" si="206">IF($A$64&lt;=E207,IF($B$64&gt;=E207,ABS(E242),0),0)</f>
        <v>0.42206168831458302</v>
      </c>
      <c r="F243" s="60">
        <f t="shared" ref="F243" si="207">IF($A$64&lt;=F207,IF($B$64&gt;=F207,ABS(F242),0),0)</f>
        <v>41.484976975099443</v>
      </c>
      <c r="G243" s="60">
        <f t="shared" ref="G243" si="208">IF($A$64&lt;=G207,IF($B$64&gt;=G207,ABS(G242),0),0)</f>
        <v>3178.0587539209573</v>
      </c>
      <c r="H243" s="60">
        <f t="shared" ref="H243" si="209">IF($A$64&lt;=H207,IF($B$64&gt;=H207,ABS(H242),0),0)</f>
        <v>50639.01911224323</v>
      </c>
      <c r="I243" s="60">
        <f t="shared" ref="I243" si="210">IF($A$64&lt;=I207,IF($B$64&gt;=I207,ABS(I242),0),0)</f>
        <v>120825.42873412911</v>
      </c>
      <c r="J243" s="60">
        <f t="shared" ref="J243" si="211">IF($A$64&lt;=J207,IF($B$64&gt;=J207,ABS(J242),0),0)</f>
        <v>208736.80538983014</v>
      </c>
      <c r="K243" s="60">
        <f t="shared" ref="K243" si="212">IF($A$64&lt;=K207,IF($B$64&gt;=K207,ABS(K242),0),0)</f>
        <v>311897.31114945712</v>
      </c>
      <c r="L243" s="60">
        <f t="shared" ref="L243" si="213">IF($A$64&lt;=L207,IF($B$64&gt;=L207,ABS(L242),0),0)</f>
        <v>207371.76685573981</v>
      </c>
      <c r="M243" s="60">
        <f t="shared" ref="M243" si="214">IF($A$64&lt;=M207,IF($B$64&gt;=M207,ABS(M242),0),0)</f>
        <v>662129.19549299311</v>
      </c>
      <c r="N243" s="60">
        <f t="shared" ref="N243" si="215">IF($A$64&lt;=N207,IF($B$64&gt;=N207,ABS(N242),0),0)</f>
        <v>2193091.8897972484</v>
      </c>
      <c r="O243" s="60">
        <f t="shared" ref="O243" si="216">IF($A$64&lt;=O207,IF($B$64&gt;=O207,ABS(O242),0),0)</f>
        <v>1698014.8967112673</v>
      </c>
      <c r="P243" s="60">
        <f t="shared" ref="P243" si="217">IF($A$64&lt;=P207,IF($B$64&gt;=P207,ABS(P242),0),0)</f>
        <v>1300316.0414022284</v>
      </c>
      <c r="Q243" s="60">
        <f t="shared" ref="Q243" si="218">IF($A$64&lt;=Q207,IF($B$64&gt;=Q207,ABS(Q242),0),0)</f>
        <v>929182.08417560242</v>
      </c>
      <c r="R243" s="60">
        <f t="shared" ref="R243" si="219">IF($A$64&lt;=R207,IF($B$64&gt;=R207,ABS(R242),0),0)</f>
        <v>568672.04275676725</v>
      </c>
      <c r="S243" s="60">
        <f t="shared" ref="S243" si="220">IF($A$64&lt;=S207,IF($B$64&gt;=S207,ABS(S242),0),0)</f>
        <v>295327.23927163042</v>
      </c>
      <c r="T243" s="60">
        <f t="shared" ref="T243" si="221">IF($A$64&lt;=T207,IF($B$64&gt;=T207,ABS(T242),0),0)</f>
        <v>121391.09441701148</v>
      </c>
      <c r="U243" s="60">
        <f t="shared" ref="U243" si="222">IF($A$64&lt;=U207,IF($B$64&gt;=U207,ABS(U242),0),0)</f>
        <v>36042.949226272271</v>
      </c>
      <c r="V243" s="60">
        <f t="shared" ref="V243" si="223">IF($A$64&lt;=V207,IF($B$64&gt;=V207,ABS(V242),0),0)</f>
        <v>392541.96201721823</v>
      </c>
      <c r="W243" s="60">
        <f t="shared" ref="W243" si="224">IF($A$64&lt;=W207,IF($B$64&gt;=W207,ABS(W242),0),0)</f>
        <v>732456.95259737992</v>
      </c>
      <c r="X243" s="60">
        <f t="shared" ref="X243" si="225">IF($A$64&lt;=X207,IF($B$64&gt;=X207,ABS(X242),0),0)</f>
        <v>880385.97796544305</v>
      </c>
      <c r="Y243" s="60">
        <f t="shared" ref="Y243" si="226">IF($A$64&lt;=Y207,IF($B$64&gt;=Y207,ABS(Y242),0),0)</f>
        <v>818012.83146321634</v>
      </c>
      <c r="Z243" s="60">
        <f t="shared" ref="Z243" si="227">IF($A$64&lt;=Z207,IF($B$64&gt;=Z207,ABS(Z242),0),0)</f>
        <v>642483.86670660099</v>
      </c>
      <c r="AA243" s="60">
        <f t="shared" ref="AA243" si="228">IF($A$64&lt;=AA207,IF($B$64&gt;=AA207,ABS(AA242),0),0)</f>
        <v>384403.79203503387</v>
      </c>
      <c r="AB243" s="60">
        <f t="shared" ref="AB243" si="229">IF($A$64&lt;=AB207,IF($B$64&gt;=AB207,ABS(AB242),0),0)</f>
        <v>139041.54008751165</v>
      </c>
      <c r="AC243" s="60">
        <f t="shared" ref="AC243" si="230">IF($A$64&lt;=AC207,IF($B$64&gt;=AC207,ABS(AC242),0),0)</f>
        <v>11108.901587789316</v>
      </c>
      <c r="AD243" s="60">
        <f t="shared" ref="AD243" si="231">IF($A$64&lt;=AD207,IF($B$64&gt;=AD207,ABS(AD242),0),0)</f>
        <v>7945.9461090293998</v>
      </c>
      <c r="AE243" s="60">
        <f t="shared" ref="AE243" si="232">IF($A$64&lt;=AE207,IF($B$64&gt;=AE207,ABS(AE242),0),0)</f>
        <v>21386.91081958454</v>
      </c>
      <c r="AF243" s="60">
        <f t="shared" ref="AF243" si="233">IF($A$64&lt;=AF207,IF($B$64&gt;=AF207,ABS(AF242),0),0)</f>
        <v>6993.6420006534099</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6992.4086996271799</v>
      </c>
      <c r="C248" s="27">
        <f t="shared" ref="C248:AF248" si="234">($C$17+SUM(C249:C279))*$B$51</f>
        <v>6992.4086962718184</v>
      </c>
      <c r="D248" s="27">
        <f t="shared" si="234"/>
        <v>6992.4086627181932</v>
      </c>
      <c r="E248" s="27">
        <f t="shared" si="234"/>
        <v>6992.4083271819709</v>
      </c>
      <c r="F248" s="27">
        <f t="shared" si="234"/>
        <v>6992.4049718222104</v>
      </c>
      <c r="G248" s="27">
        <f t="shared" si="234"/>
        <v>6992.3714184708833</v>
      </c>
      <c r="H248" s="27">
        <f t="shared" si="234"/>
        <v>6992.0359095843041</v>
      </c>
      <c r="I248" s="27">
        <f t="shared" si="234"/>
        <v>6988.6832821721155</v>
      </c>
      <c r="J248" s="27">
        <f t="shared" si="234"/>
        <v>6955.4019423308964</v>
      </c>
      <c r="K248" s="27">
        <f t="shared" si="234"/>
        <v>6645.9145196850723</v>
      </c>
      <c r="L248" s="27">
        <f t="shared" si="234"/>
        <v>5048.8767851253779</v>
      </c>
      <c r="M248" s="27">
        <f t="shared" si="234"/>
        <v>4478.1396905465008</v>
      </c>
      <c r="N248" s="27">
        <f t="shared" si="234"/>
        <v>4478.1256281843062</v>
      </c>
      <c r="O248" s="27">
        <f t="shared" si="234"/>
        <v>4477.9941623201594</v>
      </c>
      <c r="P248" s="27">
        <f t="shared" si="234"/>
        <v>4476.6818930412255</v>
      </c>
      <c r="Q248" s="27">
        <f t="shared" si="234"/>
        <v>4463.7951496382466</v>
      </c>
      <c r="R248" s="27">
        <f t="shared" si="234"/>
        <v>4355.7995978767067</v>
      </c>
      <c r="S248" s="27">
        <f t="shared" si="234"/>
        <v>4071.0889671446921</v>
      </c>
      <c r="T248" s="27">
        <f t="shared" si="234"/>
        <v>3923.5765905642747</v>
      </c>
      <c r="U248" s="27">
        <f t="shared" si="234"/>
        <v>3732.607054443743</v>
      </c>
      <c r="V248" s="27">
        <f t="shared" si="234"/>
        <v>3513.2609759491593</v>
      </c>
      <c r="W248" s="27">
        <f t="shared" si="234"/>
        <v>3274.0620244905062</v>
      </c>
      <c r="X248" s="27">
        <f t="shared" si="234"/>
        <v>2998.1529477527006</v>
      </c>
      <c r="Y248" s="27">
        <f t="shared" si="234"/>
        <v>2682.7620452681226</v>
      </c>
      <c r="Z248" s="27">
        <f t="shared" si="234"/>
        <v>2304.0282776514559</v>
      </c>
      <c r="AA248" s="27">
        <f t="shared" si="234"/>
        <v>1859.3172302584612</v>
      </c>
      <c r="AB248" s="27">
        <f t="shared" si="234"/>
        <v>1394.663735591429</v>
      </c>
      <c r="AC248" s="27">
        <f t="shared" si="234"/>
        <v>993.31921613359918</v>
      </c>
      <c r="AD248" s="27">
        <f t="shared" si="234"/>
        <v>714.09678960355916</v>
      </c>
      <c r="AE248" s="27">
        <f t="shared" si="234"/>
        <v>550.92065022139866</v>
      </c>
      <c r="AF248" s="27">
        <f t="shared" si="234"/>
        <v>460.91196320139454</v>
      </c>
      <c r="AG248" s="27"/>
      <c r="AH248" s="27"/>
    </row>
    <row r="249" spans="1:34" x14ac:dyDescent="0.25">
      <c r="B249" s="3">
        <f t="shared" ref="B249:AF249" si="235">$C18*EXP(-B$246/$A18/EXP(-$E$126))</f>
        <v>0.35957115341950546</v>
      </c>
      <c r="C249" s="3">
        <f t="shared" si="235"/>
        <v>0.35957115293964764</v>
      </c>
      <c r="D249" s="3">
        <f t="shared" si="235"/>
        <v>0.35957114814106894</v>
      </c>
      <c r="E249" s="3">
        <f t="shared" si="235"/>
        <v>0.35957110015528554</v>
      </c>
      <c r="F249" s="3">
        <f t="shared" si="235"/>
        <v>0.35957062029780396</v>
      </c>
      <c r="G249" s="3">
        <f t="shared" si="235"/>
        <v>0.35956582175820884</v>
      </c>
      <c r="H249" s="3">
        <f t="shared" si="235"/>
        <v>0.35951783988417607</v>
      </c>
      <c r="I249" s="3">
        <f t="shared" si="235"/>
        <v>0.35903837316182946</v>
      </c>
      <c r="J249" s="3">
        <f t="shared" si="235"/>
        <v>0.35427873453740311</v>
      </c>
      <c r="K249" s="3">
        <f t="shared" si="235"/>
        <v>0.31001824823365209</v>
      </c>
      <c r="L249" s="3">
        <f t="shared" si="235"/>
        <v>8.1622330376723201E-2</v>
      </c>
      <c r="M249" s="3">
        <f t="shared" si="235"/>
        <v>1.3062500225907652E-7</v>
      </c>
      <c r="N249" s="3">
        <f t="shared" si="235"/>
        <v>1.4394597319864668E-65</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5.3087681466497318E-2</v>
      </c>
      <c r="C250" s="3">
        <f t="shared" si="236"/>
        <v>5.3087681466497297E-2</v>
      </c>
      <c r="D250" s="3">
        <f t="shared" si="236"/>
        <v>5.3087681466497116E-2</v>
      </c>
      <c r="E250" s="3">
        <f t="shared" si="236"/>
        <v>5.3087681466495305E-2</v>
      </c>
      <c r="F250" s="3">
        <f t="shared" si="236"/>
        <v>5.3087681466477153E-2</v>
      </c>
      <c r="G250" s="3">
        <f t="shared" si="236"/>
        <v>5.3087681466295673E-2</v>
      </c>
      <c r="H250" s="3">
        <f t="shared" si="236"/>
        <v>5.3087681464480896E-2</v>
      </c>
      <c r="I250" s="3">
        <f t="shared" si="236"/>
        <v>5.3087681446333121E-2</v>
      </c>
      <c r="J250" s="3">
        <f t="shared" si="236"/>
        <v>5.3087681264855344E-2</v>
      </c>
      <c r="K250" s="3">
        <f t="shared" si="236"/>
        <v>5.3087679450077613E-2</v>
      </c>
      <c r="L250" s="3">
        <f t="shared" si="236"/>
        <v>5.3087661302303718E-2</v>
      </c>
      <c r="M250" s="3">
        <f t="shared" si="236"/>
        <v>5.308747982490597E-2</v>
      </c>
      <c r="N250" s="3">
        <f t="shared" si="236"/>
        <v>5.3085665085048521E-2</v>
      </c>
      <c r="O250" s="3">
        <f t="shared" si="236"/>
        <v>5.3067521098048125E-2</v>
      </c>
      <c r="P250" s="3">
        <f t="shared" si="236"/>
        <v>5.2886421954335606E-2</v>
      </c>
      <c r="Q250" s="3">
        <f t="shared" si="236"/>
        <v>5.1109076098523859E-2</v>
      </c>
      <c r="R250" s="3">
        <f t="shared" si="236"/>
        <v>3.631085505618737E-2</v>
      </c>
      <c r="S250" s="3">
        <f t="shared" si="236"/>
        <v>1.1896547206512709E-3</v>
      </c>
      <c r="T250" s="3">
        <f t="shared" si="236"/>
        <v>1.6953739110882726E-18</v>
      </c>
      <c r="U250" s="3">
        <f t="shared" si="236"/>
        <v>5.8574842767791899E-167</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1.8548614905856641E-2</v>
      </c>
      <c r="C251" s="3">
        <f t="shared" si="237"/>
        <v>1.8548614905856641E-2</v>
      </c>
      <c r="D251" s="3">
        <f t="shared" si="237"/>
        <v>1.8548614905856634E-2</v>
      </c>
      <c r="E251" s="3">
        <f t="shared" si="237"/>
        <v>1.8548614905856579E-2</v>
      </c>
      <c r="F251" s="3">
        <f t="shared" si="237"/>
        <v>1.8548614905856006E-2</v>
      </c>
      <c r="G251" s="3">
        <f t="shared" si="237"/>
        <v>1.8548614905850285E-2</v>
      </c>
      <c r="H251" s="3">
        <f t="shared" si="237"/>
        <v>1.8548614905793088E-2</v>
      </c>
      <c r="I251" s="3">
        <f t="shared" si="237"/>
        <v>1.8548614905221097E-2</v>
      </c>
      <c r="J251" s="3">
        <f t="shared" si="237"/>
        <v>1.8548614899501208E-2</v>
      </c>
      <c r="K251" s="3">
        <f t="shared" si="237"/>
        <v>1.8548614842302295E-2</v>
      </c>
      <c r="L251" s="3">
        <f t="shared" si="237"/>
        <v>1.8548614270313186E-2</v>
      </c>
      <c r="M251" s="3">
        <f t="shared" si="237"/>
        <v>1.8548608550423069E-2</v>
      </c>
      <c r="N251" s="3">
        <f t="shared" si="237"/>
        <v>1.8548551351618911E-2</v>
      </c>
      <c r="O251" s="3">
        <f t="shared" si="237"/>
        <v>1.8547979373278435E-2</v>
      </c>
      <c r="P251" s="3">
        <f t="shared" si="237"/>
        <v>1.8542260559873559E-2</v>
      </c>
      <c r="Q251" s="3">
        <f t="shared" si="237"/>
        <v>1.8485169315229606E-2</v>
      </c>
      <c r="R251" s="3">
        <f t="shared" si="237"/>
        <v>1.7923836166347778E-2</v>
      </c>
      <c r="S251" s="3">
        <f t="shared" si="237"/>
        <v>1.3167589918001002E-2</v>
      </c>
      <c r="T251" s="3">
        <f t="shared" si="237"/>
        <v>6.0291982475024785E-4</v>
      </c>
      <c r="U251" s="3">
        <f t="shared" si="237"/>
        <v>2.44226215321361E-17</v>
      </c>
      <c r="V251" s="3">
        <f t="shared" si="237"/>
        <v>2.9048213722172385E-151</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2.7428318800719304E-2</v>
      </c>
      <c r="C252" s="3">
        <f t="shared" si="238"/>
        <v>2.7428318800719304E-2</v>
      </c>
      <c r="D252" s="3">
        <f t="shared" si="238"/>
        <v>2.7428318800719304E-2</v>
      </c>
      <c r="E252" s="3">
        <f t="shared" si="238"/>
        <v>2.7428318800719293E-2</v>
      </c>
      <c r="F252" s="3">
        <f t="shared" si="238"/>
        <v>2.7428318800719217E-2</v>
      </c>
      <c r="G252" s="3">
        <f t="shared" si="238"/>
        <v>2.7428318800718457E-2</v>
      </c>
      <c r="H252" s="3">
        <f t="shared" si="238"/>
        <v>2.7428318800710824E-2</v>
      </c>
      <c r="I252" s="3">
        <f t="shared" si="238"/>
        <v>2.7428318800634528E-2</v>
      </c>
      <c r="J252" s="3">
        <f t="shared" si="238"/>
        <v>2.742831879987153E-2</v>
      </c>
      <c r="K252" s="3">
        <f t="shared" si="238"/>
        <v>2.7428318792241575E-2</v>
      </c>
      <c r="L252" s="3">
        <f t="shared" si="238"/>
        <v>2.7428318715942007E-2</v>
      </c>
      <c r="M252" s="3">
        <f t="shared" si="238"/>
        <v>2.7428317952946372E-2</v>
      </c>
      <c r="N252" s="3">
        <f t="shared" si="238"/>
        <v>2.7428310322991159E-2</v>
      </c>
      <c r="O252" s="3">
        <f t="shared" si="238"/>
        <v>2.7428234023555785E-2</v>
      </c>
      <c r="P252" s="3">
        <f t="shared" si="238"/>
        <v>2.7427471040875576E-2</v>
      </c>
      <c r="Q252" s="3">
        <f t="shared" si="238"/>
        <v>2.7419842381307569E-2</v>
      </c>
      <c r="R252" s="3">
        <f t="shared" si="238"/>
        <v>2.7343672388986429E-2</v>
      </c>
      <c r="S252" s="3">
        <f t="shared" si="238"/>
        <v>2.6593513674415939E-2</v>
      </c>
      <c r="T252" s="3">
        <f t="shared" si="238"/>
        <v>2.0135597718304244E-2</v>
      </c>
      <c r="U252" s="3">
        <f t="shared" si="238"/>
        <v>1.2469601146595638E-3</v>
      </c>
      <c r="V252" s="3">
        <f t="shared" si="238"/>
        <v>1.0345057894587954E-15</v>
      </c>
      <c r="W252" s="3">
        <f t="shared" si="238"/>
        <v>1.5978520231600523E-136</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3.2244311763005913E-2</v>
      </c>
      <c r="C253" s="3">
        <f t="shared" si="239"/>
        <v>3.2244311763005913E-2</v>
      </c>
      <c r="D253" s="3">
        <f t="shared" si="239"/>
        <v>3.2244311763005913E-2</v>
      </c>
      <c r="E253" s="3">
        <f t="shared" si="239"/>
        <v>3.2244311763005913E-2</v>
      </c>
      <c r="F253" s="3">
        <f t="shared" si="239"/>
        <v>3.2244311763005899E-2</v>
      </c>
      <c r="G253" s="3">
        <f t="shared" si="239"/>
        <v>3.2244311763005823E-2</v>
      </c>
      <c r="H253" s="3">
        <f t="shared" si="239"/>
        <v>3.2244311763005018E-2</v>
      </c>
      <c r="I253" s="3">
        <f t="shared" si="239"/>
        <v>3.2244311762996927E-2</v>
      </c>
      <c r="J253" s="3">
        <f t="shared" si="239"/>
        <v>3.2244311762916006E-2</v>
      </c>
      <c r="K253" s="3">
        <f t="shared" si="239"/>
        <v>3.2244311762106875E-2</v>
      </c>
      <c r="L253" s="3">
        <f t="shared" si="239"/>
        <v>3.2244311754015494E-2</v>
      </c>
      <c r="M253" s="3">
        <f t="shared" si="239"/>
        <v>3.2244311673101697E-2</v>
      </c>
      <c r="N253" s="3">
        <f t="shared" si="239"/>
        <v>3.2244310863963746E-2</v>
      </c>
      <c r="O253" s="3">
        <f t="shared" si="239"/>
        <v>3.2244302772585387E-2</v>
      </c>
      <c r="P253" s="3">
        <f t="shared" si="239"/>
        <v>3.2244221858913451E-2</v>
      </c>
      <c r="Q253" s="3">
        <f t="shared" si="239"/>
        <v>3.2243412733361433E-2</v>
      </c>
      <c r="R253" s="3">
        <f t="shared" si="239"/>
        <v>3.2235322594472912E-2</v>
      </c>
      <c r="S253" s="3">
        <f t="shared" si="239"/>
        <v>3.2154532765144107E-2</v>
      </c>
      <c r="T253" s="3">
        <f t="shared" si="239"/>
        <v>3.1357687538594803E-2</v>
      </c>
      <c r="U253" s="3">
        <f t="shared" si="239"/>
        <v>2.4398452335460109E-2</v>
      </c>
      <c r="V253" s="3">
        <f t="shared" si="239"/>
        <v>1.9840142274643482E-3</v>
      </c>
      <c r="W253" s="3">
        <f t="shared" si="239"/>
        <v>2.5082442041925087E-14</v>
      </c>
      <c r="X253" s="3">
        <f t="shared" si="239"/>
        <v>2.6158941676409238E-123</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3.4402319244329078E-2</v>
      </c>
      <c r="C254" s="3">
        <f t="shared" si="240"/>
        <v>3.4402319244329078E-2</v>
      </c>
      <c r="D254" s="3">
        <f t="shared" si="240"/>
        <v>3.4402319244329078E-2</v>
      </c>
      <c r="E254" s="3">
        <f t="shared" si="240"/>
        <v>3.4402319244329078E-2</v>
      </c>
      <c r="F254" s="3">
        <f t="shared" si="240"/>
        <v>3.4402319244329078E-2</v>
      </c>
      <c r="G254" s="3">
        <f t="shared" si="240"/>
        <v>3.4402319244329072E-2</v>
      </c>
      <c r="H254" s="3">
        <f t="shared" si="240"/>
        <v>3.4402319244328988E-2</v>
      </c>
      <c r="I254" s="3">
        <f t="shared" si="240"/>
        <v>3.4402319244328211E-2</v>
      </c>
      <c r="J254" s="3">
        <f t="shared" si="240"/>
        <v>3.4402319244320426E-2</v>
      </c>
      <c r="K254" s="3">
        <f t="shared" si="240"/>
        <v>3.440231924424255E-2</v>
      </c>
      <c r="L254" s="3">
        <f t="shared" si="240"/>
        <v>3.4402319243463785E-2</v>
      </c>
      <c r="M254" s="3">
        <f t="shared" si="240"/>
        <v>3.4402319235676188E-2</v>
      </c>
      <c r="N254" s="3">
        <f t="shared" si="240"/>
        <v>3.4402319157800162E-2</v>
      </c>
      <c r="O254" s="3">
        <f t="shared" si="240"/>
        <v>3.4402318379039919E-2</v>
      </c>
      <c r="P254" s="3">
        <f t="shared" si="240"/>
        <v>3.4402310591438473E-2</v>
      </c>
      <c r="Q254" s="3">
        <f t="shared" si="240"/>
        <v>3.4402232715520939E-2</v>
      </c>
      <c r="R254" s="3">
        <f t="shared" si="240"/>
        <v>3.440145396604135E-2</v>
      </c>
      <c r="S254" s="3">
        <f t="shared" si="240"/>
        <v>3.4393667440732696E-2</v>
      </c>
      <c r="T254" s="3">
        <f t="shared" si="240"/>
        <v>3.4315899055220589E-2</v>
      </c>
      <c r="U254" s="3">
        <f t="shared" si="240"/>
        <v>3.3547821313716128E-2</v>
      </c>
      <c r="V254" s="3">
        <f t="shared" si="240"/>
        <v>2.6751843589674196E-2</v>
      </c>
      <c r="W254" s="3">
        <f t="shared" si="240"/>
        <v>2.7812989424787649E-3</v>
      </c>
      <c r="X254" s="3">
        <f t="shared" si="240"/>
        <v>4.1038096806127295E-13</v>
      </c>
      <c r="Y254" s="3">
        <f t="shared" si="240"/>
        <v>2.0071629004957136E-111</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4.0521812648841492E-2</v>
      </c>
      <c r="C255" s="3">
        <f t="shared" si="241"/>
        <v>4.0521812648841492E-2</v>
      </c>
      <c r="D255" s="3">
        <f t="shared" si="241"/>
        <v>4.0521812648841492E-2</v>
      </c>
      <c r="E255" s="3">
        <f t="shared" si="241"/>
        <v>4.0521812648841492E-2</v>
      </c>
      <c r="F255" s="3">
        <f t="shared" si="241"/>
        <v>4.0521812648841492E-2</v>
      </c>
      <c r="G255" s="3">
        <f t="shared" si="241"/>
        <v>4.0521812648841492E-2</v>
      </c>
      <c r="H255" s="3">
        <f t="shared" si="241"/>
        <v>4.0521812648841485E-2</v>
      </c>
      <c r="I255" s="3">
        <f t="shared" si="241"/>
        <v>4.0521812648841402E-2</v>
      </c>
      <c r="J255" s="3">
        <f t="shared" si="241"/>
        <v>4.0521812648840576E-2</v>
      </c>
      <c r="K255" s="3">
        <f t="shared" si="241"/>
        <v>4.0521812648832298E-2</v>
      </c>
      <c r="L255" s="3">
        <f t="shared" si="241"/>
        <v>4.0521812648749551E-2</v>
      </c>
      <c r="M255" s="3">
        <f t="shared" si="241"/>
        <v>4.0521812647922081E-2</v>
      </c>
      <c r="N255" s="3">
        <f t="shared" si="241"/>
        <v>4.0521812639647395E-2</v>
      </c>
      <c r="O255" s="3">
        <f t="shared" si="241"/>
        <v>4.0521812556900544E-2</v>
      </c>
      <c r="P255" s="3">
        <f t="shared" si="241"/>
        <v>4.0521811729431971E-2</v>
      </c>
      <c r="Q255" s="3">
        <f t="shared" si="241"/>
        <v>4.0521803454747228E-2</v>
      </c>
      <c r="R255" s="3">
        <f t="shared" si="241"/>
        <v>4.0521720707992724E-2</v>
      </c>
      <c r="S255" s="3">
        <f t="shared" si="241"/>
        <v>4.0520893249741036E-2</v>
      </c>
      <c r="T255" s="3">
        <f t="shared" si="241"/>
        <v>4.0512619596490919E-2</v>
      </c>
      <c r="U255" s="3">
        <f t="shared" si="241"/>
        <v>4.0429975920490059E-2</v>
      </c>
      <c r="V255" s="3">
        <f t="shared" si="241"/>
        <v>3.9612755034166842E-2</v>
      </c>
      <c r="W255" s="3">
        <f t="shared" si="241"/>
        <v>3.2296146340129589E-2</v>
      </c>
      <c r="X255" s="3">
        <f t="shared" si="241"/>
        <v>4.190899673529631E-3</v>
      </c>
      <c r="Y255" s="3">
        <f t="shared" si="241"/>
        <v>5.673784869569113E-12</v>
      </c>
      <c r="Z255" s="3">
        <f t="shared" si="241"/>
        <v>1.1736236964761971E-100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4.571082615945813E-2</v>
      </c>
      <c r="C256" s="3">
        <f t="shared" si="242"/>
        <v>4.571082615945813E-2</v>
      </c>
      <c r="D256" s="3">
        <f t="shared" si="242"/>
        <v>4.571082615945813E-2</v>
      </c>
      <c r="E256" s="3">
        <f t="shared" si="242"/>
        <v>4.571082615945813E-2</v>
      </c>
      <c r="F256" s="3">
        <f t="shared" si="242"/>
        <v>4.571082615945813E-2</v>
      </c>
      <c r="G256" s="3">
        <f t="shared" si="242"/>
        <v>4.571082615945813E-2</v>
      </c>
      <c r="H256" s="3">
        <f t="shared" si="242"/>
        <v>4.571082615945813E-2</v>
      </c>
      <c r="I256" s="3">
        <f t="shared" si="242"/>
        <v>4.5710826159458123E-2</v>
      </c>
      <c r="J256" s="3">
        <f t="shared" si="242"/>
        <v>4.571082615945804E-2</v>
      </c>
      <c r="K256" s="3">
        <f t="shared" si="242"/>
        <v>4.5710826159457194E-2</v>
      </c>
      <c r="L256" s="3">
        <f t="shared" si="242"/>
        <v>4.571082615944877E-2</v>
      </c>
      <c r="M256" s="3">
        <f t="shared" si="242"/>
        <v>4.5710826159364566E-2</v>
      </c>
      <c r="N256" s="3">
        <f t="shared" si="242"/>
        <v>4.5710826158522538E-2</v>
      </c>
      <c r="O256" s="3">
        <f t="shared" si="242"/>
        <v>4.5710826150102225E-2</v>
      </c>
      <c r="P256" s="3">
        <f t="shared" si="242"/>
        <v>4.5710826065899081E-2</v>
      </c>
      <c r="Q256" s="3">
        <f t="shared" si="242"/>
        <v>4.571082522386765E-2</v>
      </c>
      <c r="R256" s="3">
        <f t="shared" si="242"/>
        <v>4.571081680355419E-2</v>
      </c>
      <c r="S256" s="3">
        <f t="shared" si="242"/>
        <v>4.5710732600504879E-2</v>
      </c>
      <c r="T256" s="3">
        <f t="shared" si="242"/>
        <v>4.5709890578542717E-2</v>
      </c>
      <c r="U256" s="3">
        <f t="shared" si="242"/>
        <v>4.5701471211957119E-2</v>
      </c>
      <c r="V256" s="3">
        <f t="shared" si="242"/>
        <v>4.5617362791586652E-2</v>
      </c>
      <c r="W256" s="3">
        <f t="shared" si="242"/>
        <v>4.4784745320781548E-2</v>
      </c>
      <c r="X256" s="3">
        <f t="shared" si="242"/>
        <v>3.7250272380001864E-2</v>
      </c>
      <c r="Y256" s="3">
        <f t="shared" si="242"/>
        <v>5.9036811207142138E-3</v>
      </c>
      <c r="Z256" s="3">
        <f t="shared" si="242"/>
        <v>5.9027892895747488E-11</v>
      </c>
      <c r="AA256" s="3">
        <f t="shared" si="242"/>
        <v>5.893878384598782E-91</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5.619956404185248E-2</v>
      </c>
      <c r="C257" s="3">
        <f t="shared" si="243"/>
        <v>5.619956404185248E-2</v>
      </c>
      <c r="D257" s="3">
        <f t="shared" si="243"/>
        <v>5.619956404185248E-2</v>
      </c>
      <c r="E257" s="3">
        <f t="shared" si="243"/>
        <v>5.619956404185248E-2</v>
      </c>
      <c r="F257" s="3">
        <f t="shared" si="243"/>
        <v>5.619956404185248E-2</v>
      </c>
      <c r="G257" s="3">
        <f t="shared" si="243"/>
        <v>5.619956404185248E-2</v>
      </c>
      <c r="H257" s="3">
        <f t="shared" si="243"/>
        <v>5.619956404185248E-2</v>
      </c>
      <c r="I257" s="3">
        <f t="shared" si="243"/>
        <v>5.619956404185248E-2</v>
      </c>
      <c r="J257" s="3">
        <f t="shared" si="243"/>
        <v>5.6199564041852466E-2</v>
      </c>
      <c r="K257" s="3">
        <f t="shared" si="243"/>
        <v>5.6199564041852376E-2</v>
      </c>
      <c r="L257" s="3">
        <f t="shared" si="243"/>
        <v>5.6199564041851446E-2</v>
      </c>
      <c r="M257" s="3">
        <f t="shared" si="243"/>
        <v>5.6199564041842107E-2</v>
      </c>
      <c r="N257" s="3">
        <f t="shared" si="243"/>
        <v>5.6199564041748716E-2</v>
      </c>
      <c r="O257" s="3">
        <f t="shared" si="243"/>
        <v>5.6199564040814845E-2</v>
      </c>
      <c r="P257" s="3">
        <f t="shared" si="243"/>
        <v>5.6199564031476086E-2</v>
      </c>
      <c r="Q257" s="3">
        <f t="shared" si="243"/>
        <v>5.6199563938088587E-2</v>
      </c>
      <c r="R257" s="3">
        <f t="shared" si="243"/>
        <v>5.619956300421354E-2</v>
      </c>
      <c r="S257" s="3">
        <f t="shared" si="243"/>
        <v>5.619955366546394E-2</v>
      </c>
      <c r="T257" s="3">
        <f t="shared" si="243"/>
        <v>5.6199460278053261E-2</v>
      </c>
      <c r="U257" s="3">
        <f t="shared" si="243"/>
        <v>5.6198526412481527E-2</v>
      </c>
      <c r="V257" s="3">
        <f t="shared" si="243"/>
        <v>5.6189188610213256E-2</v>
      </c>
      <c r="W257" s="3">
        <f t="shared" si="243"/>
        <v>5.6095895879990899E-2</v>
      </c>
      <c r="X257" s="3">
        <f t="shared" si="243"/>
        <v>5.5171445615416786E-2</v>
      </c>
      <c r="Y257" s="3">
        <f t="shared" si="243"/>
        <v>4.6724763986201852E-2</v>
      </c>
      <c r="Z257" s="3">
        <f t="shared" si="243"/>
        <v>8.8689997799051498E-3</v>
      </c>
      <c r="AA257" s="3">
        <f t="shared" si="243"/>
        <v>5.3845562924869635E-10</v>
      </c>
      <c r="AB257" s="3">
        <f t="shared" si="243"/>
        <v>3.6635548379354544E-82</v>
      </c>
      <c r="AC257" s="3">
        <f t="shared" si="243"/>
        <v>0</v>
      </c>
      <c r="AD257" s="3">
        <f t="shared" si="243"/>
        <v>0</v>
      </c>
      <c r="AE257" s="3">
        <f t="shared" si="243"/>
        <v>0</v>
      </c>
      <c r="AF257" s="3">
        <f t="shared" si="243"/>
        <v>0</v>
      </c>
      <c r="AG257" s="3"/>
      <c r="AH257" s="3"/>
    </row>
    <row r="258" spans="2:34" x14ac:dyDescent="0.25">
      <c r="B258" s="3">
        <f t="shared" ref="B258:AF258" si="244">$C27*EXP(-B$246/$A27/EXP(-$E$126))</f>
        <v>6.8321253158217701E-2</v>
      </c>
      <c r="C258" s="3">
        <f t="shared" si="244"/>
        <v>6.8321253158217701E-2</v>
      </c>
      <c r="D258" s="3">
        <f t="shared" si="244"/>
        <v>6.8321253158217701E-2</v>
      </c>
      <c r="E258" s="3">
        <f t="shared" si="244"/>
        <v>6.8321253158217701E-2</v>
      </c>
      <c r="F258" s="3">
        <f t="shared" si="244"/>
        <v>6.8321253158217701E-2</v>
      </c>
      <c r="G258" s="3">
        <f t="shared" si="244"/>
        <v>6.8321253158217701E-2</v>
      </c>
      <c r="H258" s="3">
        <f t="shared" si="244"/>
        <v>6.8321253158217701E-2</v>
      </c>
      <c r="I258" s="3">
        <f t="shared" si="244"/>
        <v>6.8321253158217701E-2</v>
      </c>
      <c r="J258" s="3">
        <f t="shared" si="244"/>
        <v>6.8321253158217701E-2</v>
      </c>
      <c r="K258" s="3">
        <f t="shared" si="244"/>
        <v>6.8321253158217687E-2</v>
      </c>
      <c r="L258" s="3">
        <f t="shared" si="244"/>
        <v>6.832125315821759E-2</v>
      </c>
      <c r="M258" s="3">
        <f t="shared" si="244"/>
        <v>6.8321253158216563E-2</v>
      </c>
      <c r="N258" s="3">
        <f t="shared" si="244"/>
        <v>6.8321253158206321E-2</v>
      </c>
      <c r="O258" s="3">
        <f t="shared" si="244"/>
        <v>6.8321253158103903E-2</v>
      </c>
      <c r="P258" s="3">
        <f t="shared" si="244"/>
        <v>6.8321253157079778E-2</v>
      </c>
      <c r="Q258" s="3">
        <f t="shared" si="244"/>
        <v>6.8321253146838401E-2</v>
      </c>
      <c r="R258" s="3">
        <f t="shared" si="244"/>
        <v>6.8321253044424657E-2</v>
      </c>
      <c r="S258" s="3">
        <f t="shared" si="244"/>
        <v>6.8321252020287229E-2</v>
      </c>
      <c r="T258" s="3">
        <f t="shared" si="244"/>
        <v>6.8321241778913758E-2</v>
      </c>
      <c r="U258" s="3">
        <f t="shared" si="244"/>
        <v>6.8321139365263628E-2</v>
      </c>
      <c r="V258" s="3">
        <f t="shared" si="244"/>
        <v>6.8320115237205728E-2</v>
      </c>
      <c r="W258" s="3">
        <f t="shared" si="244"/>
        <v>6.8309874800926332E-2</v>
      </c>
      <c r="X258" s="3">
        <f t="shared" si="244"/>
        <v>6.8207554821284683E-2</v>
      </c>
      <c r="Y258" s="3">
        <f t="shared" si="244"/>
        <v>6.7192746725648317E-2</v>
      </c>
      <c r="Z258" s="3">
        <f t="shared" si="244"/>
        <v>5.7839100985797746E-2</v>
      </c>
      <c r="AA258" s="3">
        <f t="shared" si="244"/>
        <v>1.2918524899175879E-2</v>
      </c>
      <c r="AB258" s="3">
        <f t="shared" si="244"/>
        <v>3.9914147073189071E-9</v>
      </c>
      <c r="AC258" s="3">
        <f t="shared" si="244"/>
        <v>3.1642159816044585E-74</v>
      </c>
      <c r="AD258" s="3">
        <f t="shared" si="244"/>
        <v>0</v>
      </c>
      <c r="AE258" s="3">
        <f t="shared" si="244"/>
        <v>0</v>
      </c>
      <c r="AF258" s="3">
        <f t="shared" si="244"/>
        <v>0</v>
      </c>
      <c r="AG258" s="3"/>
      <c r="AH258" s="3"/>
    </row>
    <row r="259" spans="2:34" x14ac:dyDescent="0.25">
      <c r="B259" s="3">
        <f t="shared" ref="B259:AF259" si="245">$C28*EXP(-B$246/$A28/EXP(-$E$126))</f>
        <v>7.2516023247876399E-2</v>
      </c>
      <c r="C259" s="3">
        <f t="shared" si="245"/>
        <v>7.2516023247876399E-2</v>
      </c>
      <c r="D259" s="3">
        <f t="shared" si="245"/>
        <v>7.2516023247876399E-2</v>
      </c>
      <c r="E259" s="3">
        <f t="shared" si="245"/>
        <v>7.2516023247876399E-2</v>
      </c>
      <c r="F259" s="3">
        <f t="shared" si="245"/>
        <v>7.2516023247876399E-2</v>
      </c>
      <c r="G259" s="3">
        <f t="shared" si="245"/>
        <v>7.2516023247876399E-2</v>
      </c>
      <c r="H259" s="3">
        <f t="shared" si="245"/>
        <v>7.2516023247876399E-2</v>
      </c>
      <c r="I259" s="3">
        <f t="shared" si="245"/>
        <v>7.2516023247876399E-2</v>
      </c>
      <c r="J259" s="3">
        <f t="shared" si="245"/>
        <v>7.2516023247876399E-2</v>
      </c>
      <c r="K259" s="3">
        <f t="shared" si="245"/>
        <v>7.2516023247876399E-2</v>
      </c>
      <c r="L259" s="3">
        <f t="shared" si="245"/>
        <v>7.2516023247876385E-2</v>
      </c>
      <c r="M259" s="3">
        <f t="shared" si="245"/>
        <v>7.2516023247876288E-2</v>
      </c>
      <c r="N259" s="3">
        <f t="shared" si="245"/>
        <v>7.2516023247875316E-2</v>
      </c>
      <c r="O259" s="3">
        <f t="shared" si="245"/>
        <v>7.2516023247865505E-2</v>
      </c>
      <c r="P259" s="3">
        <f t="shared" si="245"/>
        <v>7.2516023247767444E-2</v>
      </c>
      <c r="Q259" s="3">
        <f t="shared" si="245"/>
        <v>7.2516023246786868E-2</v>
      </c>
      <c r="R259" s="3">
        <f t="shared" si="245"/>
        <v>7.2516023236981059E-2</v>
      </c>
      <c r="S259" s="3">
        <f t="shared" si="245"/>
        <v>7.251602313892308E-2</v>
      </c>
      <c r="T259" s="3">
        <f t="shared" si="245"/>
        <v>7.2516022158343185E-2</v>
      </c>
      <c r="U259" s="3">
        <f t="shared" si="245"/>
        <v>7.2516012352544915E-2</v>
      </c>
      <c r="V259" s="3">
        <f t="shared" si="245"/>
        <v>7.2515914294635275E-2</v>
      </c>
      <c r="W259" s="3">
        <f t="shared" si="245"/>
        <v>7.2514933722831576E-2</v>
      </c>
      <c r="X259" s="3">
        <f t="shared" si="245"/>
        <v>7.2505128734034696E-2</v>
      </c>
      <c r="Y259" s="3">
        <f t="shared" si="245"/>
        <v>7.2407151733604402E-2</v>
      </c>
      <c r="Z259" s="3">
        <f t="shared" si="245"/>
        <v>7.1434634147338485E-2</v>
      </c>
      <c r="AA259" s="3">
        <f t="shared" si="245"/>
        <v>6.2399690065495138E-2</v>
      </c>
      <c r="AB259" s="3">
        <f t="shared" si="245"/>
        <v>1.6140556710233202E-2</v>
      </c>
      <c r="AC259" s="3">
        <f t="shared" si="245"/>
        <v>2.1641097661388759E-8</v>
      </c>
      <c r="AD259" s="3">
        <f t="shared" si="245"/>
        <v>4.0633762078116585E-67</v>
      </c>
      <c r="AE259" s="3">
        <f t="shared" si="245"/>
        <v>0</v>
      </c>
      <c r="AF259" s="3">
        <f t="shared" si="245"/>
        <v>0</v>
      </c>
      <c r="AG259" s="3"/>
      <c r="AH259" s="3"/>
    </row>
    <row r="260" spans="2:34" x14ac:dyDescent="0.25">
      <c r="B260" s="3">
        <f t="shared" ref="B260:AF260" si="246">$C29*EXP(-B$246/$A29/EXP(-$E$126))</f>
        <v>6.0357732330784487E-2</v>
      </c>
      <c r="C260" s="3">
        <f t="shared" si="246"/>
        <v>6.0357732330784487E-2</v>
      </c>
      <c r="D260" s="3">
        <f t="shared" si="246"/>
        <v>6.0357732330784487E-2</v>
      </c>
      <c r="E260" s="3">
        <f t="shared" si="246"/>
        <v>6.0357732330784487E-2</v>
      </c>
      <c r="F260" s="3">
        <f t="shared" si="246"/>
        <v>6.0357732330784487E-2</v>
      </c>
      <c r="G260" s="3">
        <f t="shared" si="246"/>
        <v>6.0357732330784487E-2</v>
      </c>
      <c r="H260" s="3">
        <f t="shared" si="246"/>
        <v>6.0357732330784487E-2</v>
      </c>
      <c r="I260" s="3">
        <f t="shared" si="246"/>
        <v>6.0357732330784487E-2</v>
      </c>
      <c r="J260" s="3">
        <f t="shared" si="246"/>
        <v>6.0357732330784487E-2</v>
      </c>
      <c r="K260" s="3">
        <f t="shared" si="246"/>
        <v>6.0357732330784487E-2</v>
      </c>
      <c r="L260" s="3">
        <f t="shared" si="246"/>
        <v>6.0357732330784487E-2</v>
      </c>
      <c r="M260" s="3">
        <f t="shared" si="246"/>
        <v>6.035773233078448E-2</v>
      </c>
      <c r="N260" s="3">
        <f t="shared" si="246"/>
        <v>6.0357732330784404E-2</v>
      </c>
      <c r="O260" s="3">
        <f t="shared" si="246"/>
        <v>6.0357732330783669E-2</v>
      </c>
      <c r="P260" s="3">
        <f t="shared" si="246"/>
        <v>6.0357732330776306E-2</v>
      </c>
      <c r="Q260" s="3">
        <f t="shared" si="246"/>
        <v>6.0357732330702678E-2</v>
      </c>
      <c r="R260" s="3">
        <f t="shared" si="246"/>
        <v>6.035773232996642E-2</v>
      </c>
      <c r="S260" s="3">
        <f t="shared" si="246"/>
        <v>6.0357732322603871E-2</v>
      </c>
      <c r="T260" s="3">
        <f t="shared" si="246"/>
        <v>6.0357732248978328E-2</v>
      </c>
      <c r="U260" s="3">
        <f t="shared" si="246"/>
        <v>6.0357731512722897E-2</v>
      </c>
      <c r="V260" s="3">
        <f t="shared" si="246"/>
        <v>6.0357724150169052E-2</v>
      </c>
      <c r="W260" s="3">
        <f t="shared" si="246"/>
        <v>6.0357650524680069E-2</v>
      </c>
      <c r="X260" s="3">
        <f t="shared" si="246"/>
        <v>6.0356914274729667E-2</v>
      </c>
      <c r="Y260" s="3">
        <f t="shared" si="246"/>
        <v>6.0349552269155289E-2</v>
      </c>
      <c r="Z260" s="3">
        <f t="shared" si="246"/>
        <v>6.0275981584083212E-2</v>
      </c>
      <c r="AA260" s="3">
        <f t="shared" si="246"/>
        <v>5.9545189590427018E-2</v>
      </c>
      <c r="AB260" s="3">
        <f t="shared" si="246"/>
        <v>5.2707278339118986E-2</v>
      </c>
      <c r="AC260" s="3">
        <f t="shared" si="246"/>
        <v>1.5563586266339007E-2</v>
      </c>
      <c r="AD260" s="3">
        <f t="shared" si="246"/>
        <v>7.8433309345531124E-8</v>
      </c>
      <c r="AE260" s="3">
        <f t="shared" si="246"/>
        <v>8.2872256360007346E-61</v>
      </c>
      <c r="AF260" s="3">
        <f t="shared" si="246"/>
        <v>0</v>
      </c>
      <c r="AG260" s="3"/>
      <c r="AH260" s="3"/>
    </row>
    <row r="261" spans="2:34" x14ac:dyDescent="0.25">
      <c r="B261" s="3">
        <f t="shared" ref="B261:AF261" si="247">$C30*EXP(-B$246/$A30/EXP(-$E$126))</f>
        <v>3.7953571045142992E-2</v>
      </c>
      <c r="C261" s="3">
        <f t="shared" si="247"/>
        <v>3.7953571045142992E-2</v>
      </c>
      <c r="D261" s="3">
        <f t="shared" si="247"/>
        <v>3.7953571045142992E-2</v>
      </c>
      <c r="E261" s="3">
        <f t="shared" si="247"/>
        <v>3.7953571045142992E-2</v>
      </c>
      <c r="F261" s="3">
        <f t="shared" si="247"/>
        <v>3.7953571045142992E-2</v>
      </c>
      <c r="G261" s="3">
        <f t="shared" si="247"/>
        <v>3.7953571045142992E-2</v>
      </c>
      <c r="H261" s="3">
        <f t="shared" si="247"/>
        <v>3.7953571045142992E-2</v>
      </c>
      <c r="I261" s="3">
        <f t="shared" si="247"/>
        <v>3.7953571045142992E-2</v>
      </c>
      <c r="J261" s="3">
        <f t="shared" si="247"/>
        <v>3.7953571045142992E-2</v>
      </c>
      <c r="K261" s="3">
        <f t="shared" si="247"/>
        <v>3.7953571045142992E-2</v>
      </c>
      <c r="L261" s="3">
        <f t="shared" si="247"/>
        <v>3.7953571045142992E-2</v>
      </c>
      <c r="M261" s="3">
        <f t="shared" si="247"/>
        <v>3.7953571045142992E-2</v>
      </c>
      <c r="N261" s="3">
        <f t="shared" si="247"/>
        <v>3.7953571045142985E-2</v>
      </c>
      <c r="O261" s="3">
        <f t="shared" si="247"/>
        <v>3.7953571045142943E-2</v>
      </c>
      <c r="P261" s="3">
        <f t="shared" si="247"/>
        <v>3.7953571045142527E-2</v>
      </c>
      <c r="Q261" s="3">
        <f t="shared" si="247"/>
        <v>3.795357104513835E-2</v>
      </c>
      <c r="R261" s="3">
        <f t="shared" si="247"/>
        <v>3.7953571045096585E-2</v>
      </c>
      <c r="S261" s="3">
        <f t="shared" si="247"/>
        <v>3.7953571044678953E-2</v>
      </c>
      <c r="T261" s="3">
        <f t="shared" si="247"/>
        <v>3.7953571040502627E-2</v>
      </c>
      <c r="U261" s="3">
        <f t="shared" si="247"/>
        <v>3.7953570998739319E-2</v>
      </c>
      <c r="V261" s="3">
        <f t="shared" si="247"/>
        <v>3.7953570581106294E-2</v>
      </c>
      <c r="W261" s="3">
        <f t="shared" si="247"/>
        <v>3.7953566404776297E-2</v>
      </c>
      <c r="X261" s="3">
        <f t="shared" si="247"/>
        <v>3.7953524641501583E-2</v>
      </c>
      <c r="Y261" s="3">
        <f t="shared" si="247"/>
        <v>3.7953107011281982E-2</v>
      </c>
      <c r="Z261" s="3">
        <f t="shared" si="247"/>
        <v>3.7948930961829518E-2</v>
      </c>
      <c r="AA261" s="3">
        <f t="shared" si="247"/>
        <v>3.7907195731372134E-2</v>
      </c>
      <c r="AB261" s="3">
        <f t="shared" si="247"/>
        <v>3.7492359577718688E-2</v>
      </c>
      <c r="AC261" s="3">
        <f t="shared" si="247"/>
        <v>3.358566346505365E-2</v>
      </c>
      <c r="AD261" s="3">
        <f t="shared" si="247"/>
        <v>1.1175462764744242E-2</v>
      </c>
      <c r="AE261" s="3">
        <f t="shared" si="247"/>
        <v>1.8594365145206203E-7</v>
      </c>
      <c r="AF261" s="3">
        <f t="shared" si="247"/>
        <v>3.0237072944327323E-55</v>
      </c>
      <c r="AG261" s="3"/>
      <c r="AH261" s="3"/>
    </row>
    <row r="262" spans="2:34" x14ac:dyDescent="0.25">
      <c r="B262" s="3">
        <f t="shared" ref="B262:AF262" si="248">$C31*EXP(-B$246/$A31/EXP(-$E$126))</f>
        <v>1.9899360219970862E-2</v>
      </c>
      <c r="C262" s="3">
        <f t="shared" si="248"/>
        <v>1.9899360219970862E-2</v>
      </c>
      <c r="D262" s="3">
        <f t="shared" si="248"/>
        <v>1.9899360219970862E-2</v>
      </c>
      <c r="E262" s="3">
        <f t="shared" si="248"/>
        <v>1.9899360219970862E-2</v>
      </c>
      <c r="F262" s="3">
        <f t="shared" si="248"/>
        <v>1.9899360219970862E-2</v>
      </c>
      <c r="G262" s="3">
        <f t="shared" si="248"/>
        <v>1.9899360219970862E-2</v>
      </c>
      <c r="H262" s="3">
        <f t="shared" si="248"/>
        <v>1.9899360219970862E-2</v>
      </c>
      <c r="I262" s="3">
        <f t="shared" si="248"/>
        <v>1.9899360219970862E-2</v>
      </c>
      <c r="J262" s="3">
        <f t="shared" si="248"/>
        <v>1.9899360219970862E-2</v>
      </c>
      <c r="K262" s="3">
        <f t="shared" si="248"/>
        <v>1.9899360219970862E-2</v>
      </c>
      <c r="L262" s="3">
        <f t="shared" si="248"/>
        <v>1.9899360219970862E-2</v>
      </c>
      <c r="M262" s="3">
        <f t="shared" si="248"/>
        <v>1.9899360219970862E-2</v>
      </c>
      <c r="N262" s="3">
        <f t="shared" si="248"/>
        <v>1.9899360219970862E-2</v>
      </c>
      <c r="O262" s="3">
        <f t="shared" si="248"/>
        <v>1.9899360219970859E-2</v>
      </c>
      <c r="P262" s="3">
        <f t="shared" si="248"/>
        <v>1.9899360219970842E-2</v>
      </c>
      <c r="Q262" s="3">
        <f t="shared" si="248"/>
        <v>1.9899360219970644E-2</v>
      </c>
      <c r="R262" s="3">
        <f t="shared" si="248"/>
        <v>1.989936021996867E-2</v>
      </c>
      <c r="S262" s="3">
        <f t="shared" si="248"/>
        <v>1.9899360219948915E-2</v>
      </c>
      <c r="T262" s="3">
        <f t="shared" si="248"/>
        <v>1.9899360219751385E-2</v>
      </c>
      <c r="U262" s="3">
        <f t="shared" si="248"/>
        <v>1.9899360217776111E-2</v>
      </c>
      <c r="V262" s="3">
        <f t="shared" si="248"/>
        <v>1.9899360198023346E-2</v>
      </c>
      <c r="W262" s="3">
        <f t="shared" si="248"/>
        <v>1.9899360000495695E-2</v>
      </c>
      <c r="X262" s="3">
        <f t="shared" si="248"/>
        <v>1.9899358025219319E-2</v>
      </c>
      <c r="Y262" s="3">
        <f t="shared" si="248"/>
        <v>1.9899338272466306E-2</v>
      </c>
      <c r="Z262" s="3">
        <f t="shared" si="248"/>
        <v>1.989914074601459E-2</v>
      </c>
      <c r="AA262" s="3">
        <f t="shared" si="248"/>
        <v>1.9897165589332903E-2</v>
      </c>
      <c r="AB262" s="3">
        <f t="shared" si="248"/>
        <v>1.9877424802103815E-2</v>
      </c>
      <c r="AC262" s="3">
        <f t="shared" si="248"/>
        <v>1.9681090940018766E-2</v>
      </c>
      <c r="AD262" s="3">
        <f t="shared" si="248"/>
        <v>1.7821311334799646E-2</v>
      </c>
      <c r="AE262" s="3">
        <f t="shared" si="248"/>
        <v>6.6045700306177754E-3</v>
      </c>
      <c r="AF262" s="3">
        <f t="shared" si="248"/>
        <v>3.2277022996577263E-7</v>
      </c>
      <c r="AG262" s="3"/>
      <c r="AH262" s="3"/>
    </row>
    <row r="263" spans="2:34" x14ac:dyDescent="0.25">
      <c r="B263" s="3">
        <f t="shared" ref="B263:AF263" si="249">$C32*EXP(-B$246/$A32/EXP(-$E$126))</f>
        <v>1.0036367698219981E-2</v>
      </c>
      <c r="C263" s="3">
        <f t="shared" si="249"/>
        <v>1.0036367698219981E-2</v>
      </c>
      <c r="D263" s="3">
        <f t="shared" si="249"/>
        <v>1.0036367698219981E-2</v>
      </c>
      <c r="E263" s="3">
        <f t="shared" si="249"/>
        <v>1.0036367698219981E-2</v>
      </c>
      <c r="F263" s="3">
        <f t="shared" si="249"/>
        <v>1.0036367698219981E-2</v>
      </c>
      <c r="G263" s="3">
        <f t="shared" si="249"/>
        <v>1.0036367698219981E-2</v>
      </c>
      <c r="H263" s="3">
        <f t="shared" si="249"/>
        <v>1.0036367698219981E-2</v>
      </c>
      <c r="I263" s="3">
        <f t="shared" si="249"/>
        <v>1.0036367698219981E-2</v>
      </c>
      <c r="J263" s="3">
        <f t="shared" si="249"/>
        <v>1.0036367698219981E-2</v>
      </c>
      <c r="K263" s="3">
        <f t="shared" si="249"/>
        <v>1.0036367698219981E-2</v>
      </c>
      <c r="L263" s="3">
        <f t="shared" si="249"/>
        <v>1.0036367698219981E-2</v>
      </c>
      <c r="M263" s="3">
        <f t="shared" si="249"/>
        <v>1.0036367698219981E-2</v>
      </c>
      <c r="N263" s="3">
        <f t="shared" si="249"/>
        <v>1.0036367698219981E-2</v>
      </c>
      <c r="O263" s="3">
        <f t="shared" si="249"/>
        <v>1.0036367698219981E-2</v>
      </c>
      <c r="P263" s="3">
        <f t="shared" si="249"/>
        <v>1.0036367698219979E-2</v>
      </c>
      <c r="Q263" s="3">
        <f t="shared" si="249"/>
        <v>1.0036367698219971E-2</v>
      </c>
      <c r="R263" s="3">
        <f t="shared" si="249"/>
        <v>1.003636769821988E-2</v>
      </c>
      <c r="S263" s="3">
        <f t="shared" si="249"/>
        <v>1.0036367698218982E-2</v>
      </c>
      <c r="T263" s="3">
        <f t="shared" si="249"/>
        <v>1.0036367698209994E-2</v>
      </c>
      <c r="U263" s="3">
        <f t="shared" si="249"/>
        <v>1.0036367698120127E-2</v>
      </c>
      <c r="V263" s="3">
        <f t="shared" si="249"/>
        <v>1.0036367697221433E-2</v>
      </c>
      <c r="W263" s="3">
        <f t="shared" si="249"/>
        <v>1.0036367688234489E-2</v>
      </c>
      <c r="X263" s="3">
        <f t="shared" si="249"/>
        <v>1.003636759836507E-2</v>
      </c>
      <c r="Y263" s="3">
        <f t="shared" si="249"/>
        <v>1.0036366699670922E-2</v>
      </c>
      <c r="Z263" s="3">
        <f t="shared" si="249"/>
        <v>1.0036357712733857E-2</v>
      </c>
      <c r="AA263" s="3">
        <f t="shared" si="249"/>
        <v>1.003626784380581E-2</v>
      </c>
      <c r="AB263" s="3">
        <f t="shared" si="249"/>
        <v>1.0035369198783558E-2</v>
      </c>
      <c r="AC263" s="3">
        <f t="shared" si="249"/>
        <v>1.0026387172917791E-2</v>
      </c>
      <c r="AD263" s="3">
        <f t="shared" si="249"/>
        <v>9.9370078875968375E-3</v>
      </c>
      <c r="AE263" s="3">
        <f t="shared" si="249"/>
        <v>9.0858857072818652E-3</v>
      </c>
      <c r="AF263" s="3">
        <f t="shared" si="249"/>
        <v>3.7109373171362015E-3</v>
      </c>
      <c r="AG263" s="3"/>
      <c r="AH263" s="3"/>
    </row>
    <row r="264" spans="2:34" x14ac:dyDescent="0.25">
      <c r="B264" s="3">
        <f t="shared" ref="B264:AF264" si="250">$C33*EXP(-B$246/$A33/EXP(-$E$126))</f>
        <v>1.0472179826501766E-2</v>
      </c>
      <c r="C264" s="3">
        <f t="shared" si="250"/>
        <v>1.0472179826501766E-2</v>
      </c>
      <c r="D264" s="3">
        <f t="shared" si="250"/>
        <v>1.0472179826501766E-2</v>
      </c>
      <c r="E264" s="3">
        <f t="shared" si="250"/>
        <v>1.0472179826501766E-2</v>
      </c>
      <c r="F264" s="3">
        <f t="shared" si="250"/>
        <v>1.0472179826501766E-2</v>
      </c>
      <c r="G264" s="3">
        <f t="shared" si="250"/>
        <v>1.0472179826501766E-2</v>
      </c>
      <c r="H264" s="3">
        <f t="shared" si="250"/>
        <v>1.0472179826501766E-2</v>
      </c>
      <c r="I264" s="3">
        <f t="shared" si="250"/>
        <v>1.0472179826501766E-2</v>
      </c>
      <c r="J264" s="3">
        <f t="shared" si="250"/>
        <v>1.0472179826501766E-2</v>
      </c>
      <c r="K264" s="3">
        <f t="shared" si="250"/>
        <v>1.0472179826501766E-2</v>
      </c>
      <c r="L264" s="3">
        <f t="shared" si="250"/>
        <v>1.0472179826501766E-2</v>
      </c>
      <c r="M264" s="3">
        <f t="shared" si="250"/>
        <v>1.0472179826501766E-2</v>
      </c>
      <c r="N264" s="3">
        <f t="shared" si="250"/>
        <v>1.0472179826501766E-2</v>
      </c>
      <c r="O264" s="3">
        <f t="shared" si="250"/>
        <v>1.0472179826501766E-2</v>
      </c>
      <c r="P264" s="3">
        <f t="shared" si="250"/>
        <v>1.0472179826501766E-2</v>
      </c>
      <c r="Q264" s="3">
        <f t="shared" si="250"/>
        <v>1.0472179826501764E-2</v>
      </c>
      <c r="R264" s="3">
        <f t="shared" si="250"/>
        <v>1.0472179826501758E-2</v>
      </c>
      <c r="S264" s="3">
        <f t="shared" si="250"/>
        <v>1.0472179826501673E-2</v>
      </c>
      <c r="T264" s="3">
        <f t="shared" si="250"/>
        <v>1.0472179826500826E-2</v>
      </c>
      <c r="U264" s="3">
        <f t="shared" si="250"/>
        <v>1.0472179826492367E-2</v>
      </c>
      <c r="V264" s="3">
        <f t="shared" si="250"/>
        <v>1.0472179826407777E-2</v>
      </c>
      <c r="W264" s="3">
        <f t="shared" si="250"/>
        <v>1.0472179825561877E-2</v>
      </c>
      <c r="X264" s="3">
        <f t="shared" si="250"/>
        <v>1.0472179817102877E-2</v>
      </c>
      <c r="Y264" s="3">
        <f t="shared" si="250"/>
        <v>1.0472179732512871E-2</v>
      </c>
      <c r="Z264" s="3">
        <f t="shared" si="250"/>
        <v>1.0472178886612851E-2</v>
      </c>
      <c r="AA264" s="3">
        <f t="shared" si="250"/>
        <v>1.0472170427616419E-2</v>
      </c>
      <c r="AB264" s="3">
        <f t="shared" si="250"/>
        <v>1.0472085838027905E-2</v>
      </c>
      <c r="AC264" s="3">
        <f t="shared" si="250"/>
        <v>1.0471239979722106E-2</v>
      </c>
      <c r="AD264" s="3">
        <f t="shared" si="250"/>
        <v>1.0462785153476442E-2</v>
      </c>
      <c r="AE264" s="3">
        <f t="shared" si="250"/>
        <v>1.0378611451871566E-2</v>
      </c>
      <c r="AF264" s="3">
        <f t="shared" si="250"/>
        <v>9.5732348448182222E-3</v>
      </c>
      <c r="AG264" s="3"/>
      <c r="AH264" s="3"/>
    </row>
    <row r="265" spans="2:34" x14ac:dyDescent="0.25">
      <c r="B265" s="3">
        <f t="shared" ref="B265:AF265" si="251">$C34*EXP(-B$246/$A34/EXP(-$E$126))</f>
        <v>1.1455889373470318E-2</v>
      </c>
      <c r="C265" s="3">
        <f t="shared" si="251"/>
        <v>1.1455889373470318E-2</v>
      </c>
      <c r="D265" s="3">
        <f t="shared" si="251"/>
        <v>1.1455889373470318E-2</v>
      </c>
      <c r="E265" s="3">
        <f t="shared" si="251"/>
        <v>1.1455889373470318E-2</v>
      </c>
      <c r="F265" s="3">
        <f t="shared" si="251"/>
        <v>1.1455889373470318E-2</v>
      </c>
      <c r="G265" s="3">
        <f t="shared" si="251"/>
        <v>1.1455889373470318E-2</v>
      </c>
      <c r="H265" s="3">
        <f t="shared" si="251"/>
        <v>1.1455889373470318E-2</v>
      </c>
      <c r="I265" s="3">
        <f t="shared" si="251"/>
        <v>1.1455889373470318E-2</v>
      </c>
      <c r="J265" s="3">
        <f t="shared" si="251"/>
        <v>1.1455889373470318E-2</v>
      </c>
      <c r="K265" s="3">
        <f t="shared" si="251"/>
        <v>1.1455889373470318E-2</v>
      </c>
      <c r="L265" s="3">
        <f t="shared" si="251"/>
        <v>1.1455889373470318E-2</v>
      </c>
      <c r="M265" s="3">
        <f t="shared" si="251"/>
        <v>1.1455889373470318E-2</v>
      </c>
      <c r="N265" s="3">
        <f t="shared" si="251"/>
        <v>1.1455889373470318E-2</v>
      </c>
      <c r="O265" s="3">
        <f t="shared" si="251"/>
        <v>1.1455889373470318E-2</v>
      </c>
      <c r="P265" s="3">
        <f t="shared" si="251"/>
        <v>1.1455889373470318E-2</v>
      </c>
      <c r="Q265" s="3">
        <f t="shared" si="251"/>
        <v>1.1455889373470318E-2</v>
      </c>
      <c r="R265" s="3">
        <f t="shared" si="251"/>
        <v>1.1455889373470316E-2</v>
      </c>
      <c r="S265" s="3">
        <f t="shared" si="251"/>
        <v>1.1455889373470309E-2</v>
      </c>
      <c r="T265" s="3">
        <f t="shared" si="251"/>
        <v>1.1455889373470224E-2</v>
      </c>
      <c r="U265" s="3">
        <f t="shared" si="251"/>
        <v>1.1455889373469391E-2</v>
      </c>
      <c r="V265" s="3">
        <f t="shared" si="251"/>
        <v>1.1455889373461044E-2</v>
      </c>
      <c r="W265" s="3">
        <f t="shared" si="251"/>
        <v>1.1455889373377567E-2</v>
      </c>
      <c r="X265" s="3">
        <f t="shared" si="251"/>
        <v>1.1455889372542815E-2</v>
      </c>
      <c r="Y265" s="3">
        <f t="shared" si="251"/>
        <v>1.1455889364195298E-2</v>
      </c>
      <c r="Z265" s="3">
        <f t="shared" si="251"/>
        <v>1.1455889280720118E-2</v>
      </c>
      <c r="AA265" s="3">
        <f t="shared" si="251"/>
        <v>1.145588844596835E-2</v>
      </c>
      <c r="AB265" s="3">
        <f t="shared" si="251"/>
        <v>1.1455880098454014E-2</v>
      </c>
      <c r="AC265" s="3">
        <f t="shared" si="251"/>
        <v>1.1455796623645195E-2</v>
      </c>
      <c r="AD265" s="3">
        <f t="shared" si="251"/>
        <v>1.1454961909010054E-2</v>
      </c>
      <c r="AE265" s="3">
        <f t="shared" si="251"/>
        <v>1.1446618107061005E-2</v>
      </c>
      <c r="AF265" s="3">
        <f t="shared" si="251"/>
        <v>1.1363513627888658E-2</v>
      </c>
      <c r="AG265" s="3"/>
      <c r="AH265" s="3"/>
    </row>
    <row r="266" spans="2:34" x14ac:dyDescent="0.25">
      <c r="B266" s="3">
        <f t="shared" ref="B266:AF266" si="252">$C35*EXP(-B$246/$A35/EXP(-$E$126))</f>
        <v>6.2948394662532018E-3</v>
      </c>
      <c r="C266" s="3">
        <f t="shared" si="252"/>
        <v>6.2948394662532018E-3</v>
      </c>
      <c r="D266" s="3">
        <f t="shared" si="252"/>
        <v>6.2948394662532018E-3</v>
      </c>
      <c r="E266" s="3">
        <f t="shared" si="252"/>
        <v>6.2948394662532018E-3</v>
      </c>
      <c r="F266" s="3">
        <f t="shared" si="252"/>
        <v>6.2948394662532018E-3</v>
      </c>
      <c r="G266" s="3">
        <f t="shared" si="252"/>
        <v>6.2948394662532018E-3</v>
      </c>
      <c r="H266" s="3">
        <f t="shared" si="252"/>
        <v>6.2948394662532018E-3</v>
      </c>
      <c r="I266" s="3">
        <f t="shared" si="252"/>
        <v>6.2948394662532018E-3</v>
      </c>
      <c r="J266" s="3">
        <f t="shared" si="252"/>
        <v>6.2948394662532018E-3</v>
      </c>
      <c r="K266" s="3">
        <f t="shared" si="252"/>
        <v>6.2948394662532018E-3</v>
      </c>
      <c r="L266" s="3">
        <f t="shared" si="252"/>
        <v>6.2948394662532018E-3</v>
      </c>
      <c r="M266" s="3">
        <f t="shared" si="252"/>
        <v>6.2948394662532018E-3</v>
      </c>
      <c r="N266" s="3">
        <f t="shared" si="252"/>
        <v>6.2948394662532018E-3</v>
      </c>
      <c r="O266" s="3">
        <f t="shared" si="252"/>
        <v>6.2948394662532018E-3</v>
      </c>
      <c r="P266" s="3">
        <f t="shared" si="252"/>
        <v>6.2948394662532018E-3</v>
      </c>
      <c r="Q266" s="3">
        <f t="shared" si="252"/>
        <v>6.2948394662532018E-3</v>
      </c>
      <c r="R266" s="3">
        <f t="shared" si="252"/>
        <v>6.2948394662532018E-3</v>
      </c>
      <c r="S266" s="3">
        <f t="shared" si="252"/>
        <v>6.294839466253201E-3</v>
      </c>
      <c r="T266" s="3">
        <f t="shared" si="252"/>
        <v>6.2948394662531966E-3</v>
      </c>
      <c r="U266" s="3">
        <f t="shared" si="252"/>
        <v>6.2948394662531559E-3</v>
      </c>
      <c r="V266" s="3">
        <f t="shared" si="252"/>
        <v>6.2948394662527421E-3</v>
      </c>
      <c r="W266" s="3">
        <f t="shared" si="252"/>
        <v>6.2948394662486048E-3</v>
      </c>
      <c r="X266" s="3">
        <f t="shared" si="252"/>
        <v>6.2948394662072273E-3</v>
      </c>
      <c r="Y266" s="3">
        <f t="shared" si="252"/>
        <v>6.2948394657934567E-3</v>
      </c>
      <c r="Z266" s="3">
        <f t="shared" si="252"/>
        <v>6.2948394616557492E-3</v>
      </c>
      <c r="AA266" s="3">
        <f t="shared" si="252"/>
        <v>6.2948394202786721E-3</v>
      </c>
      <c r="AB266" s="3">
        <f t="shared" si="252"/>
        <v>6.2948390065079201E-3</v>
      </c>
      <c r="AC266" s="3">
        <f t="shared" si="252"/>
        <v>6.2948348688018994E-3</v>
      </c>
      <c r="AD266" s="3">
        <f t="shared" si="252"/>
        <v>6.2947934918912768E-3</v>
      </c>
      <c r="AE266" s="3">
        <f t="shared" si="252"/>
        <v>6.2943797377434741E-3</v>
      </c>
      <c r="AF266" s="3">
        <f t="shared" si="252"/>
        <v>6.2902436917443476E-3</v>
      </c>
      <c r="AG266" s="3"/>
      <c r="AH266" s="3"/>
    </row>
    <row r="267" spans="2:34" x14ac:dyDescent="0.25">
      <c r="B267" s="3">
        <f t="shared" ref="B267:AF267" si="253">$C36*EXP(-B$246/$A36/EXP(-$E$126))</f>
        <v>5.5356903730511449E-3</v>
      </c>
      <c r="C267" s="3">
        <f t="shared" si="253"/>
        <v>5.5356903730511449E-3</v>
      </c>
      <c r="D267" s="3">
        <f t="shared" si="253"/>
        <v>5.5356903730511449E-3</v>
      </c>
      <c r="E267" s="3">
        <f t="shared" si="253"/>
        <v>5.5356903730511449E-3</v>
      </c>
      <c r="F267" s="3">
        <f t="shared" si="253"/>
        <v>5.5356903730511449E-3</v>
      </c>
      <c r="G267" s="3">
        <f t="shared" si="253"/>
        <v>5.5356903730511449E-3</v>
      </c>
      <c r="H267" s="3">
        <f t="shared" si="253"/>
        <v>5.5356903730511449E-3</v>
      </c>
      <c r="I267" s="3">
        <f t="shared" si="253"/>
        <v>5.5356903730511449E-3</v>
      </c>
      <c r="J267" s="3">
        <f t="shared" si="253"/>
        <v>5.5356903730511449E-3</v>
      </c>
      <c r="K267" s="3">
        <f t="shared" si="253"/>
        <v>5.5356903730511449E-3</v>
      </c>
      <c r="L267" s="3">
        <f t="shared" si="253"/>
        <v>5.5356903730511449E-3</v>
      </c>
      <c r="M267" s="3">
        <f t="shared" si="253"/>
        <v>5.5356903730511449E-3</v>
      </c>
      <c r="N267" s="3">
        <f t="shared" si="253"/>
        <v>5.5356903730511449E-3</v>
      </c>
      <c r="O267" s="3">
        <f t="shared" si="253"/>
        <v>5.5356903730511449E-3</v>
      </c>
      <c r="P267" s="3">
        <f t="shared" si="253"/>
        <v>5.5356903730511449E-3</v>
      </c>
      <c r="Q267" s="3">
        <f t="shared" si="253"/>
        <v>5.5356903730511449E-3</v>
      </c>
      <c r="R267" s="3">
        <f t="shared" si="253"/>
        <v>5.5356903730511449E-3</v>
      </c>
      <c r="S267" s="3">
        <f t="shared" si="253"/>
        <v>5.5356903730511449E-3</v>
      </c>
      <c r="T267" s="3">
        <f t="shared" si="253"/>
        <v>5.535690373051144E-3</v>
      </c>
      <c r="U267" s="3">
        <f t="shared" si="253"/>
        <v>5.5356903730511414E-3</v>
      </c>
      <c r="V267" s="3">
        <f t="shared" si="253"/>
        <v>5.5356903730511085E-3</v>
      </c>
      <c r="W267" s="3">
        <f t="shared" si="253"/>
        <v>5.5356903730507806E-3</v>
      </c>
      <c r="X267" s="3">
        <f t="shared" si="253"/>
        <v>5.5356903730474976E-3</v>
      </c>
      <c r="Y267" s="3">
        <f t="shared" si="253"/>
        <v>5.5356903730146732E-3</v>
      </c>
      <c r="Z267" s="3">
        <f t="shared" si="253"/>
        <v>5.5356903726864323E-3</v>
      </c>
      <c r="AA267" s="3">
        <f t="shared" si="253"/>
        <v>5.5356903694040172E-3</v>
      </c>
      <c r="AB267" s="3">
        <f t="shared" si="253"/>
        <v>5.535690336579864E-3</v>
      </c>
      <c r="AC267" s="3">
        <f t="shared" si="253"/>
        <v>5.5356900083383459E-3</v>
      </c>
      <c r="AD267" s="3">
        <f t="shared" si="253"/>
        <v>5.5356867259242337E-3</v>
      </c>
      <c r="AE267" s="3">
        <f t="shared" si="253"/>
        <v>5.5356539018901604E-3</v>
      </c>
      <c r="AF267" s="3">
        <f t="shared" si="253"/>
        <v>5.5353256722539494E-3</v>
      </c>
      <c r="AG267" s="3"/>
      <c r="AH267" s="3"/>
    </row>
    <row r="268" spans="2:34" x14ac:dyDescent="0.25">
      <c r="B268" s="3">
        <f t="shared" ref="B268:AF268" si="254">$C37*EXP(-B$246/$A37/EXP(-$E$126))</f>
        <v>2.9841994807754844E-3</v>
      </c>
      <c r="C268" s="3">
        <f t="shared" si="254"/>
        <v>2.9841994807754844E-3</v>
      </c>
      <c r="D268" s="3">
        <f t="shared" si="254"/>
        <v>2.9841994807754844E-3</v>
      </c>
      <c r="E268" s="3">
        <f t="shared" si="254"/>
        <v>2.9841994807754844E-3</v>
      </c>
      <c r="F268" s="3">
        <f t="shared" si="254"/>
        <v>2.9841994807754844E-3</v>
      </c>
      <c r="G268" s="3">
        <f t="shared" si="254"/>
        <v>2.9841994807754844E-3</v>
      </c>
      <c r="H268" s="3">
        <f t="shared" si="254"/>
        <v>2.9841994807754844E-3</v>
      </c>
      <c r="I268" s="3">
        <f t="shared" si="254"/>
        <v>2.9841994807754844E-3</v>
      </c>
      <c r="J268" s="3">
        <f t="shared" si="254"/>
        <v>2.9841994807754844E-3</v>
      </c>
      <c r="K268" s="3">
        <f t="shared" si="254"/>
        <v>2.9841994807754844E-3</v>
      </c>
      <c r="L268" s="3">
        <f t="shared" si="254"/>
        <v>2.9841994807754844E-3</v>
      </c>
      <c r="M268" s="3">
        <f t="shared" si="254"/>
        <v>2.9841994807754844E-3</v>
      </c>
      <c r="N268" s="3">
        <f t="shared" si="254"/>
        <v>2.9841994807754844E-3</v>
      </c>
      <c r="O268" s="3">
        <f t="shared" si="254"/>
        <v>2.9841994807754844E-3</v>
      </c>
      <c r="P268" s="3">
        <f t="shared" si="254"/>
        <v>2.9841994807754844E-3</v>
      </c>
      <c r="Q268" s="3">
        <f t="shared" si="254"/>
        <v>2.9841994807754844E-3</v>
      </c>
      <c r="R268" s="3">
        <f t="shared" si="254"/>
        <v>2.9841994807754844E-3</v>
      </c>
      <c r="S268" s="3">
        <f t="shared" si="254"/>
        <v>2.9841994807754844E-3</v>
      </c>
      <c r="T268" s="3">
        <f t="shared" si="254"/>
        <v>2.9841994807754844E-3</v>
      </c>
      <c r="U268" s="3">
        <f t="shared" si="254"/>
        <v>2.984199480775484E-3</v>
      </c>
      <c r="V268" s="3">
        <f t="shared" si="254"/>
        <v>2.9841994807754827E-3</v>
      </c>
      <c r="W268" s="3">
        <f t="shared" si="254"/>
        <v>2.9841994807754666E-3</v>
      </c>
      <c r="X268" s="3">
        <f t="shared" si="254"/>
        <v>2.984199480775307E-3</v>
      </c>
      <c r="Y268" s="3">
        <f t="shared" si="254"/>
        <v>2.9841994807737111E-3</v>
      </c>
      <c r="Z268" s="3">
        <f t="shared" si="254"/>
        <v>2.9841994807577486E-3</v>
      </c>
      <c r="AA268" s="3">
        <f t="shared" si="254"/>
        <v>2.984199480598125E-3</v>
      </c>
      <c r="AB268" s="3">
        <f t="shared" si="254"/>
        <v>2.9841994790018927E-3</v>
      </c>
      <c r="AC268" s="3">
        <f t="shared" si="254"/>
        <v>2.9841994630395666E-3</v>
      </c>
      <c r="AD268" s="3">
        <f t="shared" si="254"/>
        <v>2.9841993034163111E-3</v>
      </c>
      <c r="AE268" s="3">
        <f t="shared" si="254"/>
        <v>2.9841977071842218E-3</v>
      </c>
      <c r="AF268" s="3">
        <f t="shared" si="254"/>
        <v>2.984181744910293E-3</v>
      </c>
      <c r="AG268" s="3"/>
      <c r="AH268" s="3"/>
    </row>
    <row r="269" spans="2:34" x14ac:dyDescent="0.25">
      <c r="B269" s="3">
        <f t="shared" ref="B269:AF269" si="255">$C38*EXP(-B$246/$A38/EXP(-$E$126))</f>
        <v>1.1698557197945001E-3</v>
      </c>
      <c r="C269" s="3">
        <f t="shared" si="255"/>
        <v>1.1698557197945001E-3</v>
      </c>
      <c r="D269" s="3">
        <f t="shared" si="255"/>
        <v>1.1698557197945001E-3</v>
      </c>
      <c r="E269" s="3">
        <f t="shared" si="255"/>
        <v>1.1698557197945001E-3</v>
      </c>
      <c r="F269" s="3">
        <f t="shared" si="255"/>
        <v>1.1698557197945001E-3</v>
      </c>
      <c r="G269" s="3">
        <f t="shared" si="255"/>
        <v>1.1698557197945001E-3</v>
      </c>
      <c r="H269" s="3">
        <f t="shared" si="255"/>
        <v>1.1698557197945001E-3</v>
      </c>
      <c r="I269" s="3">
        <f t="shared" si="255"/>
        <v>1.1698557197945001E-3</v>
      </c>
      <c r="J269" s="3">
        <f t="shared" si="255"/>
        <v>1.1698557197945001E-3</v>
      </c>
      <c r="K269" s="3">
        <f t="shared" si="255"/>
        <v>1.1698557197945001E-3</v>
      </c>
      <c r="L269" s="3">
        <f t="shared" si="255"/>
        <v>1.1698557197945001E-3</v>
      </c>
      <c r="M269" s="3">
        <f t="shared" si="255"/>
        <v>1.1698557197945001E-3</v>
      </c>
      <c r="N269" s="3">
        <f t="shared" si="255"/>
        <v>1.1698557197945001E-3</v>
      </c>
      <c r="O269" s="3">
        <f t="shared" si="255"/>
        <v>1.1698557197945001E-3</v>
      </c>
      <c r="P269" s="3">
        <f t="shared" si="255"/>
        <v>1.1698557197945001E-3</v>
      </c>
      <c r="Q269" s="3">
        <f t="shared" si="255"/>
        <v>1.1698557197945001E-3</v>
      </c>
      <c r="R269" s="3">
        <f t="shared" si="255"/>
        <v>1.1698557197945001E-3</v>
      </c>
      <c r="S269" s="3">
        <f t="shared" si="255"/>
        <v>1.1698557197945001E-3</v>
      </c>
      <c r="T269" s="3">
        <f t="shared" si="255"/>
        <v>1.1698557197945001E-3</v>
      </c>
      <c r="U269" s="3">
        <f t="shared" si="255"/>
        <v>1.1698557197945001E-3</v>
      </c>
      <c r="V269" s="3">
        <f t="shared" si="255"/>
        <v>1.1698557197945001E-3</v>
      </c>
      <c r="W269" s="3">
        <f t="shared" si="255"/>
        <v>1.1698557197944994E-3</v>
      </c>
      <c r="X269" s="3">
        <f t="shared" si="255"/>
        <v>1.1698557197944938E-3</v>
      </c>
      <c r="Y269" s="3">
        <f t="shared" si="255"/>
        <v>1.1698557197944374E-3</v>
      </c>
      <c r="Z269" s="3">
        <f t="shared" si="255"/>
        <v>1.169855719793873E-3</v>
      </c>
      <c r="AA269" s="3">
        <f t="shared" si="255"/>
        <v>1.169855719788228E-3</v>
      </c>
      <c r="AB269" s="3">
        <f t="shared" si="255"/>
        <v>1.1698557197317803E-3</v>
      </c>
      <c r="AC269" s="3">
        <f t="shared" si="255"/>
        <v>1.1698557191673021E-3</v>
      </c>
      <c r="AD269" s="3">
        <f t="shared" si="255"/>
        <v>1.1698557135225193E-3</v>
      </c>
      <c r="AE269" s="3">
        <f t="shared" si="255"/>
        <v>1.1698556570746948E-3</v>
      </c>
      <c r="AF269" s="3">
        <f t="shared" si="255"/>
        <v>1.1698550925965986E-3</v>
      </c>
      <c r="AG269" s="3"/>
      <c r="AH269" s="3"/>
    </row>
    <row r="270" spans="2:34" x14ac:dyDescent="0.25">
      <c r="B270" s="3">
        <f t="shared" ref="B270:AF270" si="256">$C39*EXP(-B$246/$A39/EXP(-$E$126))</f>
        <v>4.0204305624187052E-4</v>
      </c>
      <c r="C270" s="3">
        <f t="shared" si="256"/>
        <v>4.0204305624187052E-4</v>
      </c>
      <c r="D270" s="3">
        <f t="shared" si="256"/>
        <v>4.0204305624187052E-4</v>
      </c>
      <c r="E270" s="3">
        <f t="shared" si="256"/>
        <v>4.0204305624187052E-4</v>
      </c>
      <c r="F270" s="3">
        <f t="shared" si="256"/>
        <v>4.0204305624187052E-4</v>
      </c>
      <c r="G270" s="3">
        <f t="shared" si="256"/>
        <v>4.0204305624187052E-4</v>
      </c>
      <c r="H270" s="3">
        <f t="shared" si="256"/>
        <v>4.0204305624187052E-4</v>
      </c>
      <c r="I270" s="3">
        <f t="shared" si="256"/>
        <v>4.0204305624187052E-4</v>
      </c>
      <c r="J270" s="3">
        <f t="shared" si="256"/>
        <v>4.0204305624187052E-4</v>
      </c>
      <c r="K270" s="3">
        <f t="shared" si="256"/>
        <v>4.0204305624187052E-4</v>
      </c>
      <c r="L270" s="3">
        <f t="shared" si="256"/>
        <v>4.0204305624187052E-4</v>
      </c>
      <c r="M270" s="3">
        <f t="shared" si="256"/>
        <v>4.0204305624187052E-4</v>
      </c>
      <c r="N270" s="3">
        <f t="shared" si="256"/>
        <v>4.0204305624187052E-4</v>
      </c>
      <c r="O270" s="3">
        <f t="shared" si="256"/>
        <v>4.0204305624187052E-4</v>
      </c>
      <c r="P270" s="3">
        <f t="shared" si="256"/>
        <v>4.0204305624187052E-4</v>
      </c>
      <c r="Q270" s="3">
        <f t="shared" si="256"/>
        <v>4.0204305624187052E-4</v>
      </c>
      <c r="R270" s="3">
        <f t="shared" si="256"/>
        <v>4.0204305624187052E-4</v>
      </c>
      <c r="S270" s="3">
        <f t="shared" si="256"/>
        <v>4.0204305624187052E-4</v>
      </c>
      <c r="T270" s="3">
        <f t="shared" si="256"/>
        <v>4.0204305624187052E-4</v>
      </c>
      <c r="U270" s="3">
        <f t="shared" si="256"/>
        <v>4.0204305624187052E-4</v>
      </c>
      <c r="V270" s="3">
        <f t="shared" si="256"/>
        <v>4.0204305624187052E-4</v>
      </c>
      <c r="W270" s="3">
        <f t="shared" si="256"/>
        <v>4.0204305624187047E-4</v>
      </c>
      <c r="X270" s="3">
        <f t="shared" si="256"/>
        <v>4.0204305624186993E-4</v>
      </c>
      <c r="Y270" s="3">
        <f t="shared" si="256"/>
        <v>4.0204305624186456E-4</v>
      </c>
      <c r="Z270" s="3">
        <f t="shared" si="256"/>
        <v>4.0204305624181089E-4</v>
      </c>
      <c r="AA270" s="3">
        <f t="shared" si="256"/>
        <v>4.0204305624127437E-4</v>
      </c>
      <c r="AB270" s="3">
        <f t="shared" si="256"/>
        <v>4.0204305623590898E-4</v>
      </c>
      <c r="AC270" s="3">
        <f t="shared" si="256"/>
        <v>4.0204305618225518E-4</v>
      </c>
      <c r="AD270" s="3">
        <f t="shared" si="256"/>
        <v>4.0204305564571735E-4</v>
      </c>
      <c r="AE270" s="3">
        <f t="shared" si="256"/>
        <v>4.0204305028033912E-4</v>
      </c>
      <c r="AF270" s="3">
        <f t="shared" si="256"/>
        <v>4.0204299662656071E-4</v>
      </c>
      <c r="AG270" s="3"/>
      <c r="AH270" s="3"/>
    </row>
    <row r="271" spans="2:34" x14ac:dyDescent="0.25">
      <c r="B271" s="3">
        <f t="shared" ref="B271:AF271" si="257">$C40*EXP(-B$246/$A40/EXP(-$E$126))</f>
        <v>9.0650475367586036E-4</v>
      </c>
      <c r="C271" s="3">
        <f t="shared" si="257"/>
        <v>9.0650475367586036E-4</v>
      </c>
      <c r="D271" s="3">
        <f t="shared" si="257"/>
        <v>9.0650475367586036E-4</v>
      </c>
      <c r="E271" s="3">
        <f t="shared" si="257"/>
        <v>9.0650475367586036E-4</v>
      </c>
      <c r="F271" s="3">
        <f t="shared" si="257"/>
        <v>9.0650475367586036E-4</v>
      </c>
      <c r="G271" s="3">
        <f t="shared" si="257"/>
        <v>9.0650475367586036E-4</v>
      </c>
      <c r="H271" s="3">
        <f t="shared" si="257"/>
        <v>9.0650475367586036E-4</v>
      </c>
      <c r="I271" s="3">
        <f t="shared" si="257"/>
        <v>9.0650475367586036E-4</v>
      </c>
      <c r="J271" s="3">
        <f t="shared" si="257"/>
        <v>9.0650475367586036E-4</v>
      </c>
      <c r="K271" s="3">
        <f t="shared" si="257"/>
        <v>9.0650475367586036E-4</v>
      </c>
      <c r="L271" s="3">
        <f t="shared" si="257"/>
        <v>9.0650475367586036E-4</v>
      </c>
      <c r="M271" s="3">
        <f t="shared" si="257"/>
        <v>9.0650475367586036E-4</v>
      </c>
      <c r="N271" s="3">
        <f t="shared" si="257"/>
        <v>9.0650475367586036E-4</v>
      </c>
      <c r="O271" s="3">
        <f t="shared" si="257"/>
        <v>9.0650475367586036E-4</v>
      </c>
      <c r="P271" s="3">
        <f t="shared" si="257"/>
        <v>9.0650475367586036E-4</v>
      </c>
      <c r="Q271" s="3">
        <f t="shared" si="257"/>
        <v>9.0650475367586036E-4</v>
      </c>
      <c r="R271" s="3">
        <f t="shared" si="257"/>
        <v>9.0650475367586036E-4</v>
      </c>
      <c r="S271" s="3">
        <f t="shared" si="257"/>
        <v>9.0650475367586036E-4</v>
      </c>
      <c r="T271" s="3">
        <f t="shared" si="257"/>
        <v>9.0650475367586036E-4</v>
      </c>
      <c r="U271" s="3">
        <f t="shared" si="257"/>
        <v>9.0650475367586036E-4</v>
      </c>
      <c r="V271" s="3">
        <f t="shared" si="257"/>
        <v>9.0650475367586036E-4</v>
      </c>
      <c r="W271" s="3">
        <f t="shared" si="257"/>
        <v>9.0650475367586036E-4</v>
      </c>
      <c r="X271" s="3">
        <f t="shared" si="257"/>
        <v>9.0650475367586025E-4</v>
      </c>
      <c r="Y271" s="3">
        <f t="shared" si="257"/>
        <v>9.0650475367585906E-4</v>
      </c>
      <c r="Z271" s="3">
        <f t="shared" si="257"/>
        <v>9.0650475367584692E-4</v>
      </c>
      <c r="AA271" s="3">
        <f t="shared" si="257"/>
        <v>9.0650475367572592E-4</v>
      </c>
      <c r="AB271" s="3">
        <f t="shared" si="257"/>
        <v>9.0650475367451617E-4</v>
      </c>
      <c r="AC271" s="3">
        <f t="shared" si="257"/>
        <v>9.0650475366241853E-4</v>
      </c>
      <c r="AD271" s="3">
        <f t="shared" si="257"/>
        <v>9.0650475354144293E-4</v>
      </c>
      <c r="AE271" s="3">
        <f t="shared" si="257"/>
        <v>9.0650475233168678E-4</v>
      </c>
      <c r="AF271" s="3">
        <f t="shared" si="257"/>
        <v>9.0650474023412457E-4</v>
      </c>
      <c r="AG271" s="3"/>
      <c r="AH271" s="3"/>
    </row>
    <row r="272" spans="2:34" x14ac:dyDescent="0.25">
      <c r="B272" s="3">
        <f t="shared" ref="B272:AF272" si="258">$C41*EXP(-B$246/$A41/EXP(-$E$126))</f>
        <v>1.833495697796037E-4</v>
      </c>
      <c r="C272" s="3">
        <f t="shared" si="258"/>
        <v>1.833495697796037E-4</v>
      </c>
      <c r="D272" s="3">
        <f t="shared" si="258"/>
        <v>1.833495697796037E-4</v>
      </c>
      <c r="E272" s="3">
        <f t="shared" si="258"/>
        <v>1.833495697796037E-4</v>
      </c>
      <c r="F272" s="3">
        <f t="shared" si="258"/>
        <v>1.833495697796037E-4</v>
      </c>
      <c r="G272" s="3">
        <f t="shared" si="258"/>
        <v>1.833495697796037E-4</v>
      </c>
      <c r="H272" s="3">
        <f t="shared" si="258"/>
        <v>1.833495697796037E-4</v>
      </c>
      <c r="I272" s="3">
        <f t="shared" si="258"/>
        <v>1.833495697796037E-4</v>
      </c>
      <c r="J272" s="3">
        <f t="shared" si="258"/>
        <v>1.833495697796037E-4</v>
      </c>
      <c r="K272" s="3">
        <f t="shared" si="258"/>
        <v>1.833495697796037E-4</v>
      </c>
      <c r="L272" s="3">
        <f t="shared" si="258"/>
        <v>1.833495697796037E-4</v>
      </c>
      <c r="M272" s="3">
        <f t="shared" si="258"/>
        <v>1.833495697796037E-4</v>
      </c>
      <c r="N272" s="3">
        <f t="shared" si="258"/>
        <v>1.833495697796037E-4</v>
      </c>
      <c r="O272" s="3">
        <f t="shared" si="258"/>
        <v>1.833495697796037E-4</v>
      </c>
      <c r="P272" s="3">
        <f t="shared" si="258"/>
        <v>1.833495697796037E-4</v>
      </c>
      <c r="Q272" s="3">
        <f t="shared" si="258"/>
        <v>1.833495697796037E-4</v>
      </c>
      <c r="R272" s="3">
        <f t="shared" si="258"/>
        <v>1.833495697796037E-4</v>
      </c>
      <c r="S272" s="3">
        <f t="shared" si="258"/>
        <v>1.833495697796037E-4</v>
      </c>
      <c r="T272" s="3">
        <f t="shared" si="258"/>
        <v>1.833495697796037E-4</v>
      </c>
      <c r="U272" s="3">
        <f t="shared" si="258"/>
        <v>1.833495697796037E-4</v>
      </c>
      <c r="V272" s="3">
        <f t="shared" si="258"/>
        <v>1.833495697796037E-4</v>
      </c>
      <c r="W272" s="3">
        <f t="shared" si="258"/>
        <v>1.833495697796037E-4</v>
      </c>
      <c r="X272" s="3">
        <f t="shared" si="258"/>
        <v>1.833495697796037E-4</v>
      </c>
      <c r="Y272" s="3">
        <f t="shared" si="258"/>
        <v>1.8334956977960368E-4</v>
      </c>
      <c r="Z272" s="3">
        <f t="shared" si="258"/>
        <v>1.8334956977960343E-4</v>
      </c>
      <c r="AA272" s="3">
        <f t="shared" si="258"/>
        <v>1.8334956977960096E-4</v>
      </c>
      <c r="AB272" s="3">
        <f t="shared" si="258"/>
        <v>1.8334956977957652E-4</v>
      </c>
      <c r="AC272" s="3">
        <f t="shared" si="258"/>
        <v>1.8334956977933184E-4</v>
      </c>
      <c r="AD272" s="3">
        <f t="shared" si="258"/>
        <v>1.8334956977688496E-4</v>
      </c>
      <c r="AE272" s="3">
        <f t="shared" si="258"/>
        <v>1.8334956975241647E-4</v>
      </c>
      <c r="AF272" s="3">
        <f t="shared" si="258"/>
        <v>1.8334956950773128E-4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2.7582104941075727E-4</v>
      </c>
      <c r="C274" s="3">
        <f t="shared" si="260"/>
        <v>2.7582104941075727E-4</v>
      </c>
      <c r="D274" s="3">
        <f t="shared" si="260"/>
        <v>2.7582104941075727E-4</v>
      </c>
      <c r="E274" s="3">
        <f t="shared" si="260"/>
        <v>2.7582104941075727E-4</v>
      </c>
      <c r="F274" s="3">
        <f t="shared" si="260"/>
        <v>2.7582104941075727E-4</v>
      </c>
      <c r="G274" s="3">
        <f t="shared" si="260"/>
        <v>2.7582104941075727E-4</v>
      </c>
      <c r="H274" s="3">
        <f t="shared" si="260"/>
        <v>2.7582104941075727E-4</v>
      </c>
      <c r="I274" s="3">
        <f t="shared" si="260"/>
        <v>2.7582104941075727E-4</v>
      </c>
      <c r="J274" s="3">
        <f t="shared" si="260"/>
        <v>2.7582104941075727E-4</v>
      </c>
      <c r="K274" s="3">
        <f t="shared" si="260"/>
        <v>2.7582104941075727E-4</v>
      </c>
      <c r="L274" s="3">
        <f t="shared" si="260"/>
        <v>2.7582104941075727E-4</v>
      </c>
      <c r="M274" s="3">
        <f t="shared" si="260"/>
        <v>2.7582104941075727E-4</v>
      </c>
      <c r="N274" s="3">
        <f t="shared" si="260"/>
        <v>2.7582104941075727E-4</v>
      </c>
      <c r="O274" s="3">
        <f t="shared" si="260"/>
        <v>2.7582104941075727E-4</v>
      </c>
      <c r="P274" s="3">
        <f t="shared" si="260"/>
        <v>2.7582104941075727E-4</v>
      </c>
      <c r="Q274" s="3">
        <f t="shared" si="260"/>
        <v>2.7582104941075727E-4</v>
      </c>
      <c r="R274" s="3">
        <f t="shared" si="260"/>
        <v>2.7582104941075727E-4</v>
      </c>
      <c r="S274" s="3">
        <f t="shared" si="260"/>
        <v>2.7582104941075727E-4</v>
      </c>
      <c r="T274" s="3">
        <f t="shared" si="260"/>
        <v>2.7582104941075727E-4</v>
      </c>
      <c r="U274" s="3">
        <f t="shared" si="260"/>
        <v>2.7582104941075727E-4</v>
      </c>
      <c r="V274" s="3">
        <f t="shared" si="260"/>
        <v>2.7582104941075727E-4</v>
      </c>
      <c r="W274" s="3">
        <f t="shared" si="260"/>
        <v>2.7582104941075727E-4</v>
      </c>
      <c r="X274" s="3">
        <f t="shared" si="260"/>
        <v>2.7582104941075727E-4</v>
      </c>
      <c r="Y274" s="3">
        <f t="shared" si="260"/>
        <v>2.7582104941075727E-4</v>
      </c>
      <c r="Z274" s="3">
        <f t="shared" si="260"/>
        <v>2.7582104941075727E-4</v>
      </c>
      <c r="AA274" s="3">
        <f t="shared" si="260"/>
        <v>2.7582104941075721E-4</v>
      </c>
      <c r="AB274" s="3">
        <f t="shared" si="260"/>
        <v>2.7582104941075689E-4</v>
      </c>
      <c r="AC274" s="3">
        <f t="shared" si="260"/>
        <v>2.7582104941075315E-4</v>
      </c>
      <c r="AD274" s="3">
        <f t="shared" si="260"/>
        <v>2.7582104941071634E-4</v>
      </c>
      <c r="AE274" s="3">
        <f t="shared" si="260"/>
        <v>2.7582104941034825E-4</v>
      </c>
      <c r="AF274" s="3">
        <f t="shared" si="260"/>
        <v>2.7582104940666733E-4</v>
      </c>
      <c r="AG274" s="3"/>
      <c r="AH274" s="3"/>
    </row>
    <row r="275" spans="1:34" x14ac:dyDescent="0.25">
      <c r="B275" s="3">
        <f t="shared" ref="B275:AF275" si="261">$C44*EXP(-B$246/$A44/EXP(-$E$126))</f>
        <v>2.4535081143819124E-4</v>
      </c>
      <c r="C275" s="3">
        <f t="shared" si="261"/>
        <v>2.4535081143819124E-4</v>
      </c>
      <c r="D275" s="3">
        <f t="shared" si="261"/>
        <v>2.4535081143819124E-4</v>
      </c>
      <c r="E275" s="3">
        <f t="shared" si="261"/>
        <v>2.4535081143819124E-4</v>
      </c>
      <c r="F275" s="3">
        <f t="shared" si="261"/>
        <v>2.4535081143819124E-4</v>
      </c>
      <c r="G275" s="3">
        <f t="shared" si="261"/>
        <v>2.4535081143819124E-4</v>
      </c>
      <c r="H275" s="3">
        <f t="shared" si="261"/>
        <v>2.4535081143819124E-4</v>
      </c>
      <c r="I275" s="3">
        <f t="shared" si="261"/>
        <v>2.4535081143819124E-4</v>
      </c>
      <c r="J275" s="3">
        <f t="shared" si="261"/>
        <v>2.4535081143819124E-4</v>
      </c>
      <c r="K275" s="3">
        <f t="shared" si="261"/>
        <v>2.4535081143819124E-4</v>
      </c>
      <c r="L275" s="3">
        <f t="shared" si="261"/>
        <v>2.4535081143819124E-4</v>
      </c>
      <c r="M275" s="3">
        <f t="shared" si="261"/>
        <v>2.4535081143819124E-4</v>
      </c>
      <c r="N275" s="3">
        <f t="shared" si="261"/>
        <v>2.4535081143819124E-4</v>
      </c>
      <c r="O275" s="3">
        <f t="shared" si="261"/>
        <v>2.4535081143819124E-4</v>
      </c>
      <c r="P275" s="3">
        <f t="shared" si="261"/>
        <v>2.4535081143819124E-4</v>
      </c>
      <c r="Q275" s="3">
        <f t="shared" si="261"/>
        <v>2.4535081143819124E-4</v>
      </c>
      <c r="R275" s="3">
        <f t="shared" si="261"/>
        <v>2.4535081143819124E-4</v>
      </c>
      <c r="S275" s="3">
        <f t="shared" si="261"/>
        <v>2.4535081143819124E-4</v>
      </c>
      <c r="T275" s="3">
        <f t="shared" si="261"/>
        <v>2.4535081143819124E-4</v>
      </c>
      <c r="U275" s="3">
        <f t="shared" si="261"/>
        <v>2.4535081143819124E-4</v>
      </c>
      <c r="V275" s="3">
        <f t="shared" si="261"/>
        <v>2.4535081143819124E-4</v>
      </c>
      <c r="W275" s="3">
        <f t="shared" si="261"/>
        <v>2.4535081143819124E-4</v>
      </c>
      <c r="X275" s="3">
        <f t="shared" si="261"/>
        <v>2.4535081143819124E-4</v>
      </c>
      <c r="Y275" s="3">
        <f t="shared" si="261"/>
        <v>2.4535081143819124E-4</v>
      </c>
      <c r="Z275" s="3">
        <f t="shared" si="261"/>
        <v>2.4535081143819124E-4</v>
      </c>
      <c r="AA275" s="3">
        <f t="shared" si="261"/>
        <v>2.4535081143819124E-4</v>
      </c>
      <c r="AB275" s="3">
        <f t="shared" si="261"/>
        <v>2.4535081143819119E-4</v>
      </c>
      <c r="AC275" s="3">
        <f t="shared" si="261"/>
        <v>2.4535081143819086E-4</v>
      </c>
      <c r="AD275" s="3">
        <f t="shared" si="261"/>
        <v>2.4535081143818761E-4</v>
      </c>
      <c r="AE275" s="3">
        <f t="shared" si="261"/>
        <v>2.4535081143815487E-4</v>
      </c>
      <c r="AF275" s="3">
        <f t="shared" si="261"/>
        <v>2.4535081143782744E-4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1.7255643769382848E-4</v>
      </c>
      <c r="C277" s="3">
        <f t="shared" si="263"/>
        <v>1.7255643769382848E-4</v>
      </c>
      <c r="D277" s="3">
        <f t="shared" si="263"/>
        <v>1.7255643769382848E-4</v>
      </c>
      <c r="E277" s="3">
        <f t="shared" si="263"/>
        <v>1.7255643769382848E-4</v>
      </c>
      <c r="F277" s="3">
        <f t="shared" si="263"/>
        <v>1.7255643769382848E-4</v>
      </c>
      <c r="G277" s="3">
        <f t="shared" si="263"/>
        <v>1.7255643769382848E-4</v>
      </c>
      <c r="H277" s="3">
        <f t="shared" si="263"/>
        <v>1.7255643769382848E-4</v>
      </c>
      <c r="I277" s="3">
        <f t="shared" si="263"/>
        <v>1.7255643769382848E-4</v>
      </c>
      <c r="J277" s="3">
        <f t="shared" si="263"/>
        <v>1.7255643769382848E-4</v>
      </c>
      <c r="K277" s="3">
        <f t="shared" si="263"/>
        <v>1.7255643769382848E-4</v>
      </c>
      <c r="L277" s="3">
        <f t="shared" si="263"/>
        <v>1.7255643769382848E-4</v>
      </c>
      <c r="M277" s="3">
        <f t="shared" si="263"/>
        <v>1.7255643769382848E-4</v>
      </c>
      <c r="N277" s="3">
        <f t="shared" si="263"/>
        <v>1.7255643769382848E-4</v>
      </c>
      <c r="O277" s="3">
        <f t="shared" si="263"/>
        <v>1.7255643769382848E-4</v>
      </c>
      <c r="P277" s="3">
        <f t="shared" si="263"/>
        <v>1.7255643769382848E-4</v>
      </c>
      <c r="Q277" s="3">
        <f t="shared" si="263"/>
        <v>1.7255643769382848E-4</v>
      </c>
      <c r="R277" s="3">
        <f t="shared" si="263"/>
        <v>1.7255643769382848E-4</v>
      </c>
      <c r="S277" s="3">
        <f t="shared" si="263"/>
        <v>1.7255643769382848E-4</v>
      </c>
      <c r="T277" s="3">
        <f t="shared" si="263"/>
        <v>1.7255643769382848E-4</v>
      </c>
      <c r="U277" s="3">
        <f t="shared" si="263"/>
        <v>1.7255643769382848E-4</v>
      </c>
      <c r="V277" s="3">
        <f t="shared" si="263"/>
        <v>1.7255643769382848E-4</v>
      </c>
      <c r="W277" s="3">
        <f t="shared" si="263"/>
        <v>1.7255643769382848E-4</v>
      </c>
      <c r="X277" s="3">
        <f t="shared" si="263"/>
        <v>1.7255643769382848E-4</v>
      </c>
      <c r="Y277" s="3">
        <f t="shared" si="263"/>
        <v>1.7255643769382848E-4</v>
      </c>
      <c r="Z277" s="3">
        <f t="shared" si="263"/>
        <v>1.7255643769382848E-4</v>
      </c>
      <c r="AA277" s="3">
        <f t="shared" si="263"/>
        <v>1.7255643769382848E-4</v>
      </c>
      <c r="AB277" s="3">
        <f t="shared" si="263"/>
        <v>1.7255643769382848E-4</v>
      </c>
      <c r="AC277" s="3">
        <f t="shared" si="263"/>
        <v>1.7255643769382848E-4</v>
      </c>
      <c r="AD277" s="3">
        <f t="shared" si="263"/>
        <v>1.7255643769382845E-4</v>
      </c>
      <c r="AE277" s="3">
        <f t="shared" si="263"/>
        <v>1.7255643769382824E-4</v>
      </c>
      <c r="AF277" s="3">
        <f t="shared" si="263"/>
        <v>1.725564376938259E-4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0.12100739753222237</v>
      </c>
      <c r="B280" s="80">
        <f>IF($D$61&lt;=B246,IF($E$61&gt;=B246,ABS((B248-B247)/B247),0),0)</f>
        <v>5.8448057563933384E-3</v>
      </c>
      <c r="C280" s="80">
        <f t="shared" ref="C280:AF280" si="266">IF($D$61&lt;=C246,IF($E$61&gt;=C246,ABS((C248-C247)/C247),0),0)</f>
        <v>5.993172199279629E-3</v>
      </c>
      <c r="D280" s="80">
        <f t="shared" si="266"/>
        <v>7.5228586562947255E-3</v>
      </c>
      <c r="E280" s="80">
        <f t="shared" si="266"/>
        <v>1.9430945621300332E-2</v>
      </c>
      <c r="F280" s="80">
        <f t="shared" si="266"/>
        <v>4.4318751208514626E-2</v>
      </c>
      <c r="G280" s="80">
        <f t="shared" si="266"/>
        <v>6.2687989945525296E-2</v>
      </c>
      <c r="H280" s="80">
        <f t="shared" si="266"/>
        <v>8.1343572691876226E-2</v>
      </c>
      <c r="I280" s="80">
        <f t="shared" si="266"/>
        <v>0.10249187989258624</v>
      </c>
      <c r="J280" s="80">
        <f t="shared" si="266"/>
        <v>0.12120062629335872</v>
      </c>
      <c r="K280" s="80">
        <f t="shared" si="266"/>
        <v>9.8386349197831374E-2</v>
      </c>
      <c r="L280" s="80">
        <f t="shared" si="266"/>
        <v>0.14206170718906075</v>
      </c>
      <c r="M280" s="80">
        <f t="shared" si="266"/>
        <v>0.21564833660417729</v>
      </c>
      <c r="N280" s="80">
        <f t="shared" si="266"/>
        <v>0.19282702672106522</v>
      </c>
      <c r="O280" s="80">
        <f t="shared" si="266"/>
        <v>0.16521300891538862</v>
      </c>
      <c r="P280" s="80">
        <f t="shared" si="266"/>
        <v>0.12954777698932413</v>
      </c>
      <c r="Q280" s="80">
        <f t="shared" si="266"/>
        <v>8.925441615643373E-2</v>
      </c>
      <c r="R280" s="80">
        <f t="shared" si="266"/>
        <v>6.5551133646862894E-2</v>
      </c>
      <c r="S280" s="80">
        <f t="shared" si="266"/>
        <v>5.2943839100214919E-2</v>
      </c>
      <c r="T280" s="80">
        <f t="shared" si="266"/>
        <v>6.8010807398427991E-2</v>
      </c>
      <c r="U280" s="80">
        <f t="shared" si="266"/>
        <v>0.2214195688386805</v>
      </c>
      <c r="V280" s="80">
        <f t="shared" si="266"/>
        <v>0.35835907297551883</v>
      </c>
      <c r="W280" s="80">
        <f t="shared" si="266"/>
        <v>0.45686469237248317</v>
      </c>
      <c r="X280" s="80">
        <f t="shared" si="266"/>
        <v>0.51474869308168425</v>
      </c>
      <c r="Y280" s="80">
        <f t="shared" si="266"/>
        <v>0.5295582920466112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1650.9420110841786</v>
      </c>
      <c r="C281" s="21">
        <f t="shared" ref="C281:AF281" si="267">(C248-C247)^2</f>
        <v>1735.3099414578462</v>
      </c>
      <c r="D281" s="21">
        <f t="shared" si="267"/>
        <v>2725.8979449388153</v>
      </c>
      <c r="E281" s="21">
        <f t="shared" si="267"/>
        <v>17763.388317330042</v>
      </c>
      <c r="F281" s="21">
        <f t="shared" si="267"/>
        <v>88056.622358061562</v>
      </c>
      <c r="G281" s="21">
        <f t="shared" si="267"/>
        <v>170139.88010640367</v>
      </c>
      <c r="H281" s="21">
        <f t="shared" si="267"/>
        <v>276647.26433418872</v>
      </c>
      <c r="I281" s="21">
        <f t="shared" si="267"/>
        <v>422103.38754533848</v>
      </c>
      <c r="J281" s="21">
        <f t="shared" si="267"/>
        <v>565311.12112551811</v>
      </c>
      <c r="K281" s="21">
        <f t="shared" si="267"/>
        <v>354379.78442892956</v>
      </c>
      <c r="L281" s="21">
        <f t="shared" si="267"/>
        <v>698926.48571996379</v>
      </c>
      <c r="M281" s="21">
        <f t="shared" si="267"/>
        <v>1515883.6016199752</v>
      </c>
      <c r="N281" s="21">
        <f t="shared" si="267"/>
        <v>1144445.5417100987</v>
      </c>
      <c r="O281" s="21">
        <f t="shared" si="267"/>
        <v>785424.02669177391</v>
      </c>
      <c r="P281" s="21">
        <f t="shared" si="267"/>
        <v>443897.3196713017</v>
      </c>
      <c r="Q281" s="21">
        <f t="shared" si="267"/>
        <v>191369.97085972209</v>
      </c>
      <c r="R281" s="21">
        <f t="shared" si="267"/>
        <v>93365.217142873735</v>
      </c>
      <c r="S281" s="21">
        <f t="shared" si="267"/>
        <v>51796.519643705571</v>
      </c>
      <c r="T281" s="21">
        <f t="shared" si="267"/>
        <v>62426.478354429804</v>
      </c>
      <c r="U281" s="21">
        <f t="shared" si="267"/>
        <v>457853.77480629931</v>
      </c>
      <c r="V281" s="21">
        <f t="shared" si="267"/>
        <v>859069.8090718803</v>
      </c>
      <c r="W281" s="21">
        <f t="shared" si="267"/>
        <v>1054169.7767361302</v>
      </c>
      <c r="X281" s="21">
        <f t="shared" si="267"/>
        <v>1038046.7204749378</v>
      </c>
      <c r="Y281" s="21">
        <f t="shared" si="267"/>
        <v>862699.97808291169</v>
      </c>
      <c r="Z281" s="21">
        <f t="shared" si="267"/>
        <v>581779.94295573561</v>
      </c>
      <c r="AA281" s="21">
        <f t="shared" si="267"/>
        <v>284713.17096570029</v>
      </c>
      <c r="AB281" s="21">
        <f t="shared" si="267"/>
        <v>92607.997614765278</v>
      </c>
      <c r="AC281" s="21">
        <f t="shared" si="267"/>
        <v>23924.819546714909</v>
      </c>
      <c r="AD281" s="21">
        <f t="shared" si="267"/>
        <v>12893.630500949077</v>
      </c>
      <c r="AE281" s="21">
        <f t="shared" si="267"/>
        <v>18209.909735670357</v>
      </c>
      <c r="AF281" s="21">
        <f t="shared" si="267"/>
        <v>26640.624013580447</v>
      </c>
      <c r="AG281" s="3"/>
      <c r="AH281" s="3"/>
    </row>
    <row r="282" spans="1:34" s="3" customFormat="1" x14ac:dyDescent="0.25">
      <c r="A282" s="71">
        <f>SUM(B282:AF282)</f>
        <v>11159888.818699256</v>
      </c>
      <c r="B282" s="21">
        <f>IF($D$61&lt;=B246,IF($E$61&gt;=B246,ABS(B281),0),0)</f>
        <v>1650.9420110841786</v>
      </c>
      <c r="C282" s="21">
        <f t="shared" ref="C282:AF282" si="268">IF($D$61&lt;=C246,IF($E$61&gt;=C246,ABS(C281),0),0)</f>
        <v>1735.3099414578462</v>
      </c>
      <c r="D282" s="21">
        <f t="shared" si="268"/>
        <v>2725.8979449388153</v>
      </c>
      <c r="E282" s="21">
        <f t="shared" si="268"/>
        <v>17763.388317330042</v>
      </c>
      <c r="F282" s="21">
        <f t="shared" si="268"/>
        <v>88056.622358061562</v>
      </c>
      <c r="G282" s="21">
        <f t="shared" si="268"/>
        <v>170139.88010640367</v>
      </c>
      <c r="H282" s="21">
        <f t="shared" si="268"/>
        <v>276647.26433418872</v>
      </c>
      <c r="I282" s="21">
        <f t="shared" si="268"/>
        <v>422103.38754533848</v>
      </c>
      <c r="J282" s="21">
        <f t="shared" si="268"/>
        <v>565311.12112551811</v>
      </c>
      <c r="K282" s="21">
        <f t="shared" si="268"/>
        <v>354379.78442892956</v>
      </c>
      <c r="L282" s="21">
        <f t="shared" si="268"/>
        <v>698926.48571996379</v>
      </c>
      <c r="M282" s="21">
        <f t="shared" si="268"/>
        <v>1515883.6016199752</v>
      </c>
      <c r="N282" s="21">
        <f t="shared" si="268"/>
        <v>1144445.5417100987</v>
      </c>
      <c r="O282" s="21">
        <f t="shared" si="268"/>
        <v>785424.02669177391</v>
      </c>
      <c r="P282" s="21">
        <f t="shared" si="268"/>
        <v>443897.3196713017</v>
      </c>
      <c r="Q282" s="21">
        <f t="shared" si="268"/>
        <v>191369.97085972209</v>
      </c>
      <c r="R282" s="21">
        <f t="shared" si="268"/>
        <v>93365.217142873735</v>
      </c>
      <c r="S282" s="21">
        <f t="shared" si="268"/>
        <v>51796.519643705571</v>
      </c>
      <c r="T282" s="21">
        <f t="shared" si="268"/>
        <v>62426.478354429804</v>
      </c>
      <c r="U282" s="21">
        <f t="shared" si="268"/>
        <v>457853.77480629931</v>
      </c>
      <c r="V282" s="21">
        <f t="shared" si="268"/>
        <v>859069.8090718803</v>
      </c>
      <c r="W282" s="21">
        <f t="shared" si="268"/>
        <v>1054169.7767361302</v>
      </c>
      <c r="X282" s="21">
        <f t="shared" si="268"/>
        <v>1038046.7204749378</v>
      </c>
      <c r="Y282" s="21">
        <f t="shared" si="268"/>
        <v>862699.97808291169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6992.4070611931447</v>
      </c>
      <c r="C287" s="27">
        <f t="shared" ref="C287:AF287" si="269">($C$17+SUM(C288:C318))*$B$51</f>
        <v>6992.3923119795309</v>
      </c>
      <c r="D287" s="27">
        <f t="shared" si="269"/>
        <v>6992.2448246020185</v>
      </c>
      <c r="E287" s="27">
        <f t="shared" si="269"/>
        <v>6990.7704265860111</v>
      </c>
      <c r="F287" s="27">
        <f t="shared" si="269"/>
        <v>6976.0739192358224</v>
      </c>
      <c r="G287" s="27">
        <f t="shared" si="269"/>
        <v>6833.7546836980146</v>
      </c>
      <c r="H287" s="27">
        <f t="shared" si="269"/>
        <v>5788.3391966752106</v>
      </c>
      <c r="I287" s="27">
        <f t="shared" si="269"/>
        <v>4481.8521080934406</v>
      </c>
      <c r="J287" s="27">
        <f t="shared" si="269"/>
        <v>4478.133815958945</v>
      </c>
      <c r="K287" s="27">
        <f t="shared" si="269"/>
        <v>4478.0760205708093</v>
      </c>
      <c r="L287" s="27">
        <f t="shared" si="269"/>
        <v>4477.4985287352565</v>
      </c>
      <c r="M287" s="27">
        <f t="shared" si="269"/>
        <v>4471.7695597684542</v>
      </c>
      <c r="N287" s="27">
        <f t="shared" si="269"/>
        <v>4418.8299286834881</v>
      </c>
      <c r="O287" s="27">
        <f t="shared" si="269"/>
        <v>4155.8065584211827</v>
      </c>
      <c r="P287" s="27">
        <f t="shared" si="269"/>
        <v>3978.5838669677983</v>
      </c>
      <c r="Q287" s="27">
        <f t="shared" si="269"/>
        <v>3805.7638241973746</v>
      </c>
      <c r="R287" s="27">
        <f t="shared" si="269"/>
        <v>3597.8518135879403</v>
      </c>
      <c r="S287" s="27">
        <f t="shared" si="269"/>
        <v>3368.9295975493942</v>
      </c>
      <c r="T287" s="27">
        <f t="shared" si="269"/>
        <v>3109.5272302656399</v>
      </c>
      <c r="U287" s="27">
        <f t="shared" si="269"/>
        <v>2811.9692190021296</v>
      </c>
      <c r="V287" s="27">
        <f t="shared" si="269"/>
        <v>2460.7199019583463</v>
      </c>
      <c r="W287" s="27">
        <f t="shared" si="269"/>
        <v>2040.5306861973877</v>
      </c>
      <c r="X287" s="27">
        <f t="shared" si="269"/>
        <v>1575.0545176384962</v>
      </c>
      <c r="Y287" s="27">
        <f t="shared" si="269"/>
        <v>1135.334809751836</v>
      </c>
      <c r="Z287" s="27">
        <f t="shared" si="269"/>
        <v>800.46882117033476</v>
      </c>
      <c r="AA287" s="27">
        <f t="shared" si="269"/>
        <v>595.70111358763234</v>
      </c>
      <c r="AB287" s="27">
        <f t="shared" si="269"/>
        <v>485.20418618372236</v>
      </c>
      <c r="AC287" s="27">
        <f t="shared" si="269"/>
        <v>415.98766766259848</v>
      </c>
      <c r="AD287" s="27">
        <f t="shared" si="269"/>
        <v>344.62322205605551</v>
      </c>
      <c r="AE287" s="27">
        <f t="shared" si="269"/>
        <v>277.6296784411648</v>
      </c>
      <c r="AF287" s="27">
        <f t="shared" si="269"/>
        <v>236.06491254114957</v>
      </c>
      <c r="AG287" s="27"/>
      <c r="AH287" s="27"/>
    </row>
    <row r="288" spans="1:34" x14ac:dyDescent="0.25">
      <c r="B288" s="3">
        <f t="shared" ref="B288:AF288" si="270">$C18*EXP(-B$285/$A18/EXP(-$F$126))</f>
        <v>0.3595709191034005</v>
      </c>
      <c r="C288" s="3">
        <f t="shared" si="270"/>
        <v>0.35956880978547179</v>
      </c>
      <c r="D288" s="3">
        <f t="shared" si="270"/>
        <v>0.35954771728672635</v>
      </c>
      <c r="E288" s="3">
        <f t="shared" si="270"/>
        <v>0.3593368603386467</v>
      </c>
      <c r="F288" s="3">
        <f t="shared" si="270"/>
        <v>0.35723508005052035</v>
      </c>
      <c r="G288" s="3">
        <f t="shared" si="270"/>
        <v>0.33688168884245839</v>
      </c>
      <c r="H288" s="3">
        <f t="shared" si="270"/>
        <v>0.18737449124082453</v>
      </c>
      <c r="I288" s="3">
        <f t="shared" si="270"/>
        <v>5.3093465966592664E-4</v>
      </c>
      <c r="J288" s="3">
        <f t="shared" si="270"/>
        <v>1.7715245807680658E-29</v>
      </c>
      <c r="K288" s="3">
        <f t="shared" si="270"/>
        <v>3.0297600740265076E-284</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5.308768146648845E-2</v>
      </c>
      <c r="C289" s="3">
        <f t="shared" si="271"/>
        <v>5.308768146640868E-2</v>
      </c>
      <c r="D289" s="3">
        <f t="shared" si="271"/>
        <v>5.3087681465610957E-2</v>
      </c>
      <c r="E289" s="3">
        <f t="shared" si="271"/>
        <v>5.3087681457633679E-2</v>
      </c>
      <c r="F289" s="3">
        <f t="shared" si="271"/>
        <v>5.3087681377860955E-2</v>
      </c>
      <c r="G289" s="3">
        <f t="shared" si="271"/>
        <v>5.3087680580133717E-2</v>
      </c>
      <c r="H289" s="3">
        <f t="shared" si="271"/>
        <v>5.3087672602861957E-2</v>
      </c>
      <c r="I289" s="3">
        <f t="shared" si="271"/>
        <v>5.3087592830210355E-2</v>
      </c>
      <c r="J289" s="3">
        <f t="shared" si="271"/>
        <v>5.3086795110287216E-2</v>
      </c>
      <c r="K289" s="3">
        <f t="shared" si="271"/>
        <v>5.3078818570307031E-2</v>
      </c>
      <c r="L289" s="3">
        <f t="shared" si="271"/>
        <v>5.2999119058990685E-2</v>
      </c>
      <c r="M289" s="3">
        <f t="shared" si="271"/>
        <v>5.2208676308204013E-2</v>
      </c>
      <c r="N289" s="3">
        <f t="shared" si="271"/>
        <v>4.4924473532811295E-2</v>
      </c>
      <c r="O289" s="3">
        <f t="shared" si="271"/>
        <v>9.9973785438229254E-3</v>
      </c>
      <c r="P289" s="3">
        <f t="shared" si="271"/>
        <v>2.9779509492499336E-9</v>
      </c>
      <c r="Q289" s="3">
        <f t="shared" si="271"/>
        <v>1.6376895357343664E-74</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1.854861490585636E-2</v>
      </c>
      <c r="C290" s="3">
        <f t="shared" si="272"/>
        <v>1.8548614905853848E-2</v>
      </c>
      <c r="D290" s="3">
        <f t="shared" si="272"/>
        <v>1.8548614905828705E-2</v>
      </c>
      <c r="E290" s="3">
        <f t="shared" si="272"/>
        <v>1.8548614905577274E-2</v>
      </c>
      <c r="F290" s="3">
        <f t="shared" si="272"/>
        <v>1.8548614903062966E-2</v>
      </c>
      <c r="G290" s="3">
        <f t="shared" si="272"/>
        <v>1.8548614877919867E-2</v>
      </c>
      <c r="H290" s="3">
        <f t="shared" si="272"/>
        <v>1.8548614626488914E-2</v>
      </c>
      <c r="I290" s="3">
        <f t="shared" si="272"/>
        <v>1.8548612112179581E-2</v>
      </c>
      <c r="J290" s="3">
        <f t="shared" si="272"/>
        <v>1.8548586969104962E-2</v>
      </c>
      <c r="K290" s="3">
        <f t="shared" si="272"/>
        <v>1.8548335540233288E-2</v>
      </c>
      <c r="L290" s="3">
        <f t="shared" si="272"/>
        <v>1.8545821438957485E-2</v>
      </c>
      <c r="M290" s="3">
        <f t="shared" si="272"/>
        <v>1.8520699160897502E-2</v>
      </c>
      <c r="N290" s="3">
        <f t="shared" si="272"/>
        <v>1.8271340487799971E-2</v>
      </c>
      <c r="O290" s="3">
        <f t="shared" si="272"/>
        <v>1.5955144616639532E-2</v>
      </c>
      <c r="P290" s="3">
        <f t="shared" si="272"/>
        <v>4.1134297688820197E-3</v>
      </c>
      <c r="Q290" s="3">
        <f t="shared" si="272"/>
        <v>5.3362664217272731E-9</v>
      </c>
      <c r="R290" s="3">
        <f t="shared" si="272"/>
        <v>7.2039664248200489E-68</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2.7428318800719265E-2</v>
      </c>
      <c r="C291" s="3">
        <f t="shared" si="273"/>
        <v>2.7428318800718932E-2</v>
      </c>
      <c r="D291" s="3">
        <f t="shared" si="273"/>
        <v>2.7428318800715577E-2</v>
      </c>
      <c r="E291" s="3">
        <f t="shared" si="273"/>
        <v>2.7428318800682038E-2</v>
      </c>
      <c r="F291" s="3">
        <f t="shared" si="273"/>
        <v>2.7428318800346647E-2</v>
      </c>
      <c r="G291" s="3">
        <f t="shared" si="273"/>
        <v>2.7428318796992722E-2</v>
      </c>
      <c r="H291" s="3">
        <f t="shared" si="273"/>
        <v>2.7428318763453495E-2</v>
      </c>
      <c r="I291" s="3">
        <f t="shared" si="273"/>
        <v>2.7428318428061236E-2</v>
      </c>
      <c r="J291" s="3">
        <f t="shared" si="273"/>
        <v>2.7428315074138863E-2</v>
      </c>
      <c r="K291" s="3">
        <f t="shared" si="273"/>
        <v>2.7428281534937708E-2</v>
      </c>
      <c r="L291" s="3">
        <f t="shared" si="273"/>
        <v>2.7427946145181778E-2</v>
      </c>
      <c r="M291" s="3">
        <f t="shared" si="273"/>
        <v>2.7424592473174983E-2</v>
      </c>
      <c r="N291" s="3">
        <f t="shared" si="273"/>
        <v>2.7391078298160888E-2</v>
      </c>
      <c r="O291" s="3">
        <f t="shared" si="273"/>
        <v>2.7058180886523373E-2</v>
      </c>
      <c r="P291" s="3">
        <f t="shared" si="273"/>
        <v>2.3943810114855042E-2</v>
      </c>
      <c r="Q291" s="3">
        <f t="shared" si="273"/>
        <v>7.0492010804466786E-3</v>
      </c>
      <c r="R291" s="3">
        <f t="shared" si="273"/>
        <v>3.4483099343586031E-8</v>
      </c>
      <c r="S291" s="3">
        <f t="shared" si="273"/>
        <v>2.7056413989773581E-61</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3.2244311763005906E-2</v>
      </c>
      <c r="C292" s="3">
        <f t="shared" si="274"/>
        <v>3.2244311763005871E-2</v>
      </c>
      <c r="D292" s="3">
        <f t="shared" si="274"/>
        <v>3.2244311763005518E-2</v>
      </c>
      <c r="E292" s="3">
        <f t="shared" si="274"/>
        <v>3.2244311763001958E-2</v>
      </c>
      <c r="F292" s="3">
        <f t="shared" si="274"/>
        <v>3.2244311762966396E-2</v>
      </c>
      <c r="G292" s="3">
        <f t="shared" si="274"/>
        <v>3.2244311762610715E-2</v>
      </c>
      <c r="H292" s="3">
        <f t="shared" si="274"/>
        <v>3.2244311759053963E-2</v>
      </c>
      <c r="I292" s="3">
        <f t="shared" si="274"/>
        <v>3.2244311723486449E-2</v>
      </c>
      <c r="J292" s="3">
        <f t="shared" si="274"/>
        <v>3.2244311367811279E-2</v>
      </c>
      <c r="K292" s="3">
        <f t="shared" si="274"/>
        <v>3.2244307811059775E-2</v>
      </c>
      <c r="L292" s="3">
        <f t="shared" si="274"/>
        <v>3.2244272243566352E-2</v>
      </c>
      <c r="M292" s="3">
        <f t="shared" si="274"/>
        <v>3.2243916570789892E-2</v>
      </c>
      <c r="N292" s="3">
        <f t="shared" si="274"/>
        <v>3.2240360058798274E-2</v>
      </c>
      <c r="O292" s="3">
        <f t="shared" si="274"/>
        <v>3.2204816507372731E-2</v>
      </c>
      <c r="P292" s="3">
        <f t="shared" si="274"/>
        <v>3.185152906527626E-2</v>
      </c>
      <c r="Q292" s="3">
        <f t="shared" si="274"/>
        <v>2.8524947571338093E-2</v>
      </c>
      <c r="R292" s="3">
        <f t="shared" si="274"/>
        <v>9.4660881467672972E-3</v>
      </c>
      <c r="S292" s="3">
        <f t="shared" si="274"/>
        <v>1.5333010672879453E-7</v>
      </c>
      <c r="T292" s="3">
        <f t="shared" si="274"/>
        <v>1.9063225069104974E-55</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3.4402319244329078E-2</v>
      </c>
      <c r="C293" s="3">
        <f t="shared" si="275"/>
        <v>3.4402319244329072E-2</v>
      </c>
      <c r="D293" s="3">
        <f t="shared" si="275"/>
        <v>3.4402319244329037E-2</v>
      </c>
      <c r="E293" s="3">
        <f t="shared" si="275"/>
        <v>3.4402319244328697E-2</v>
      </c>
      <c r="F293" s="3">
        <f t="shared" si="275"/>
        <v>3.4402319244325276E-2</v>
      </c>
      <c r="G293" s="3">
        <f t="shared" si="275"/>
        <v>3.4402319244291039E-2</v>
      </c>
      <c r="H293" s="3">
        <f t="shared" si="275"/>
        <v>3.4402319243948723E-2</v>
      </c>
      <c r="I293" s="3">
        <f t="shared" si="275"/>
        <v>3.4402319240525503E-2</v>
      </c>
      <c r="J293" s="3">
        <f t="shared" si="275"/>
        <v>3.4402319206293309E-2</v>
      </c>
      <c r="K293" s="3">
        <f t="shared" si="275"/>
        <v>3.4402318863971354E-2</v>
      </c>
      <c r="L293" s="3">
        <f t="shared" si="275"/>
        <v>3.4402315440752014E-2</v>
      </c>
      <c r="M293" s="3">
        <f t="shared" si="275"/>
        <v>3.4402281208577329E-2</v>
      </c>
      <c r="N293" s="3">
        <f t="shared" si="275"/>
        <v>3.4401938888703985E-2</v>
      </c>
      <c r="O293" s="3">
        <f t="shared" si="275"/>
        <v>3.439851587730889E-2</v>
      </c>
      <c r="P293" s="3">
        <f t="shared" si="275"/>
        <v>3.43643044902983E-2</v>
      </c>
      <c r="Q293" s="3">
        <f t="shared" si="275"/>
        <v>3.4024056437841337E-2</v>
      </c>
      <c r="R293" s="3">
        <f t="shared" si="275"/>
        <v>3.0801467321571935E-2</v>
      </c>
      <c r="S293" s="3">
        <f t="shared" si="275"/>
        <v>1.1387399687603113E-2</v>
      </c>
      <c r="T293" s="3">
        <f t="shared" si="275"/>
        <v>5.4319548019932417E-7</v>
      </c>
      <c r="U293" s="3">
        <f t="shared" si="275"/>
        <v>3.3133856056913441E-50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4.0521812648841492E-2</v>
      </c>
      <c r="C294" s="3">
        <f t="shared" si="276"/>
        <v>4.0521812648841492E-2</v>
      </c>
      <c r="D294" s="3">
        <f t="shared" si="276"/>
        <v>4.0521812648841485E-2</v>
      </c>
      <c r="E294" s="3">
        <f t="shared" si="276"/>
        <v>4.052181264884145E-2</v>
      </c>
      <c r="F294" s="3">
        <f t="shared" si="276"/>
        <v>4.0521812648841089E-2</v>
      </c>
      <c r="G294" s="3">
        <f t="shared" si="276"/>
        <v>4.0521812648837453E-2</v>
      </c>
      <c r="H294" s="3">
        <f t="shared" si="276"/>
        <v>4.052181264880108E-2</v>
      </c>
      <c r="I294" s="3">
        <f t="shared" si="276"/>
        <v>4.0521812648437343E-2</v>
      </c>
      <c r="J294" s="3">
        <f t="shared" si="276"/>
        <v>4.0521812644800016E-2</v>
      </c>
      <c r="K294" s="3">
        <f t="shared" si="276"/>
        <v>4.0521812608426737E-2</v>
      </c>
      <c r="L294" s="3">
        <f t="shared" si="276"/>
        <v>4.0521812244693915E-2</v>
      </c>
      <c r="M294" s="3">
        <f t="shared" si="276"/>
        <v>4.0521808607365942E-2</v>
      </c>
      <c r="N294" s="3">
        <f t="shared" si="276"/>
        <v>4.0521772234104095E-2</v>
      </c>
      <c r="O294" s="3">
        <f t="shared" si="276"/>
        <v>4.0521408503281391E-2</v>
      </c>
      <c r="P294" s="3">
        <f t="shared" si="276"/>
        <v>4.0517771374619822E-2</v>
      </c>
      <c r="Q294" s="3">
        <f t="shared" si="276"/>
        <v>4.0481418038586604E-2</v>
      </c>
      <c r="R294" s="3">
        <f t="shared" si="276"/>
        <v>4.011967378903987E-2</v>
      </c>
      <c r="S294" s="3">
        <f t="shared" si="276"/>
        <v>3.6675340357021587E-2</v>
      </c>
      <c r="T294" s="3">
        <f t="shared" si="276"/>
        <v>1.4946577232393708E-2</v>
      </c>
      <c r="U294" s="3">
        <f t="shared" si="276"/>
        <v>1.8889381033816208E-6</v>
      </c>
      <c r="V294" s="3">
        <f t="shared" si="276"/>
        <v>1.9632585329387183E-45</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4.571082615945813E-2</v>
      </c>
      <c r="C295" s="3">
        <f t="shared" si="277"/>
        <v>4.571082615945813E-2</v>
      </c>
      <c r="D295" s="3">
        <f t="shared" si="277"/>
        <v>4.571082615945813E-2</v>
      </c>
      <c r="E295" s="3">
        <f t="shared" si="277"/>
        <v>4.5710826159458123E-2</v>
      </c>
      <c r="F295" s="3">
        <f t="shared" si="277"/>
        <v>4.5710826159458089E-2</v>
      </c>
      <c r="G295" s="3">
        <f t="shared" si="277"/>
        <v>4.5710826159457721E-2</v>
      </c>
      <c r="H295" s="3">
        <f t="shared" si="277"/>
        <v>4.5710826159454022E-2</v>
      </c>
      <c r="I295" s="3">
        <f t="shared" si="277"/>
        <v>4.5710826159417003E-2</v>
      </c>
      <c r="J295" s="3">
        <f t="shared" si="277"/>
        <v>4.5710826159046869E-2</v>
      </c>
      <c r="K295" s="3">
        <f t="shared" si="277"/>
        <v>4.5710826155345524E-2</v>
      </c>
      <c r="L295" s="3">
        <f t="shared" si="277"/>
        <v>4.5710826118332104E-2</v>
      </c>
      <c r="M295" s="3">
        <f t="shared" si="277"/>
        <v>4.5710825748197847E-2</v>
      </c>
      <c r="N295" s="3">
        <f t="shared" si="277"/>
        <v>4.5710822046855434E-2</v>
      </c>
      <c r="O295" s="3">
        <f t="shared" si="277"/>
        <v>4.5710785033447852E-2</v>
      </c>
      <c r="P295" s="3">
        <f t="shared" si="277"/>
        <v>4.5710414901020423E-2</v>
      </c>
      <c r="Q295" s="3">
        <f t="shared" si="277"/>
        <v>4.5706713741580404E-2</v>
      </c>
      <c r="R295" s="3">
        <f t="shared" si="277"/>
        <v>4.566971862567832E-2</v>
      </c>
      <c r="S295" s="3">
        <f t="shared" si="277"/>
        <v>4.5301410390177592E-2</v>
      </c>
      <c r="T295" s="3">
        <f t="shared" si="277"/>
        <v>4.1777802985807723E-2</v>
      </c>
      <c r="U295" s="3">
        <f t="shared" si="277"/>
        <v>1.8590211883008648E-2</v>
      </c>
      <c r="V295" s="3">
        <f t="shared" si="277"/>
        <v>5.6581148848455035E-6</v>
      </c>
      <c r="W295" s="3">
        <f t="shared" si="277"/>
        <v>3.8596327025754812E-41</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5.619956404185248E-2</v>
      </c>
      <c r="C296" s="3">
        <f t="shared" si="278"/>
        <v>5.619956404185248E-2</v>
      </c>
      <c r="D296" s="3">
        <f t="shared" si="278"/>
        <v>5.619956404185248E-2</v>
      </c>
      <c r="E296" s="3">
        <f t="shared" si="278"/>
        <v>5.619956404185248E-2</v>
      </c>
      <c r="F296" s="3">
        <f t="shared" si="278"/>
        <v>5.6199564041852473E-2</v>
      </c>
      <c r="G296" s="3">
        <f t="shared" si="278"/>
        <v>5.6199564041852439E-2</v>
      </c>
      <c r="H296" s="3">
        <f t="shared" si="278"/>
        <v>5.6199564041852022E-2</v>
      </c>
      <c r="I296" s="3">
        <f t="shared" si="278"/>
        <v>5.6199564041847921E-2</v>
      </c>
      <c r="J296" s="3">
        <f t="shared" si="278"/>
        <v>5.6199564041806871E-2</v>
      </c>
      <c r="K296" s="3">
        <f t="shared" si="278"/>
        <v>5.6199564041396359E-2</v>
      </c>
      <c r="L296" s="3">
        <f t="shared" si="278"/>
        <v>5.6199564037291302E-2</v>
      </c>
      <c r="M296" s="3">
        <f t="shared" si="278"/>
        <v>5.6199563996240674E-2</v>
      </c>
      <c r="N296" s="3">
        <f t="shared" si="278"/>
        <v>5.6199563585734448E-2</v>
      </c>
      <c r="O296" s="3">
        <f t="shared" si="278"/>
        <v>5.6199559480672345E-2</v>
      </c>
      <c r="P296" s="3">
        <f t="shared" si="278"/>
        <v>5.619951843006777E-2</v>
      </c>
      <c r="Q296" s="3">
        <f t="shared" si="278"/>
        <v>5.6199107925671239E-2</v>
      </c>
      <c r="R296" s="3">
        <f t="shared" si="278"/>
        <v>5.6195003046619403E-2</v>
      </c>
      <c r="S296" s="3">
        <f t="shared" si="278"/>
        <v>5.6153970742994753E-2</v>
      </c>
      <c r="T296" s="3">
        <f t="shared" si="278"/>
        <v>5.5745291948990867E-2</v>
      </c>
      <c r="U296" s="3">
        <f t="shared" si="278"/>
        <v>5.1818569927076161E-2</v>
      </c>
      <c r="V296" s="3">
        <f t="shared" si="278"/>
        <v>2.4960754758478278E-2</v>
      </c>
      <c r="W296" s="3">
        <f t="shared" si="278"/>
        <v>1.6787290800846694E-5</v>
      </c>
      <c r="X296" s="3">
        <f t="shared" si="278"/>
        <v>3.1784077924447983E-37</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6.8321253158217701E-2</v>
      </c>
      <c r="C297" s="3">
        <f t="shared" si="279"/>
        <v>6.8321253158217701E-2</v>
      </c>
      <c r="D297" s="3">
        <f t="shared" si="279"/>
        <v>6.8321253158217701E-2</v>
      </c>
      <c r="E297" s="3">
        <f t="shared" si="279"/>
        <v>6.8321253158217701E-2</v>
      </c>
      <c r="F297" s="3">
        <f t="shared" si="279"/>
        <v>6.8321253158217701E-2</v>
      </c>
      <c r="G297" s="3">
        <f t="shared" si="279"/>
        <v>6.8321253158217687E-2</v>
      </c>
      <c r="H297" s="3">
        <f t="shared" si="279"/>
        <v>6.8321253158217646E-2</v>
      </c>
      <c r="I297" s="3">
        <f t="shared" si="279"/>
        <v>6.8321253158217202E-2</v>
      </c>
      <c r="J297" s="3">
        <f t="shared" si="279"/>
        <v>6.8321253158212705E-2</v>
      </c>
      <c r="K297" s="3">
        <f t="shared" si="279"/>
        <v>6.8321253158167686E-2</v>
      </c>
      <c r="L297" s="3">
        <f t="shared" si="279"/>
        <v>6.832125315771749E-2</v>
      </c>
      <c r="M297" s="3">
        <f t="shared" si="279"/>
        <v>6.8321253153215661E-2</v>
      </c>
      <c r="N297" s="3">
        <f t="shared" si="279"/>
        <v>6.8321253108197352E-2</v>
      </c>
      <c r="O297" s="3">
        <f t="shared" si="279"/>
        <v>6.8321252658014225E-2</v>
      </c>
      <c r="P297" s="3">
        <f t="shared" si="279"/>
        <v>6.8321248156183068E-2</v>
      </c>
      <c r="Q297" s="3">
        <f t="shared" si="279"/>
        <v>6.8321203137887893E-2</v>
      </c>
      <c r="R297" s="3">
        <f t="shared" si="279"/>
        <v>6.8320752956567546E-2</v>
      </c>
      <c r="S297" s="3">
        <f t="shared" si="279"/>
        <v>6.8316251306509035E-2</v>
      </c>
      <c r="T297" s="3">
        <f t="shared" si="279"/>
        <v>6.8271251116438531E-2</v>
      </c>
      <c r="U297" s="3">
        <f t="shared" si="279"/>
        <v>6.7822876297680523E-2</v>
      </c>
      <c r="V297" s="3">
        <f t="shared" si="279"/>
        <v>6.3497938413712721E-2</v>
      </c>
      <c r="W297" s="3">
        <f t="shared" si="279"/>
        <v>3.2854422676412719E-2</v>
      </c>
      <c r="X297" s="3">
        <f t="shared" si="279"/>
        <v>4.5178934899988229E-5</v>
      </c>
      <c r="Y297" s="3">
        <f t="shared" si="279"/>
        <v>1.0923390730538301E-33</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7.2516023247876399E-2</v>
      </c>
      <c r="C298" s="3">
        <f t="shared" si="280"/>
        <v>7.2516023247876399E-2</v>
      </c>
      <c r="D298" s="3">
        <f t="shared" si="280"/>
        <v>7.2516023247876399E-2</v>
      </c>
      <c r="E298" s="3">
        <f t="shared" si="280"/>
        <v>7.2516023247876399E-2</v>
      </c>
      <c r="F298" s="3">
        <f t="shared" si="280"/>
        <v>7.2516023247876399E-2</v>
      </c>
      <c r="G298" s="3">
        <f t="shared" si="280"/>
        <v>7.2516023247876399E-2</v>
      </c>
      <c r="H298" s="3">
        <f t="shared" si="280"/>
        <v>7.2516023247876385E-2</v>
      </c>
      <c r="I298" s="3">
        <f t="shared" si="280"/>
        <v>7.2516023247876357E-2</v>
      </c>
      <c r="J298" s="3">
        <f t="shared" si="280"/>
        <v>7.2516023247875927E-2</v>
      </c>
      <c r="K298" s="3">
        <f t="shared" si="280"/>
        <v>7.2516023247871611E-2</v>
      </c>
      <c r="L298" s="3">
        <f t="shared" si="280"/>
        <v>7.2516023247828507E-2</v>
      </c>
      <c r="M298" s="3">
        <f t="shared" si="280"/>
        <v>7.2516023247397463E-2</v>
      </c>
      <c r="N298" s="3">
        <f t="shared" si="280"/>
        <v>7.2516023243087105E-2</v>
      </c>
      <c r="O298" s="3">
        <f t="shared" si="280"/>
        <v>7.2516023199983459E-2</v>
      </c>
      <c r="P298" s="3">
        <f t="shared" si="280"/>
        <v>7.2516022768947044E-2</v>
      </c>
      <c r="Q298" s="3">
        <f t="shared" si="280"/>
        <v>7.2516018458583006E-2</v>
      </c>
      <c r="R298" s="3">
        <f t="shared" si="280"/>
        <v>7.2515975354956755E-2</v>
      </c>
      <c r="S298" s="3">
        <f t="shared" si="280"/>
        <v>7.2515544320103278E-2</v>
      </c>
      <c r="T298" s="3">
        <f t="shared" si="280"/>
        <v>7.2511234112479894E-2</v>
      </c>
      <c r="U298" s="3">
        <f t="shared" si="280"/>
        <v>7.2468146124284316E-2</v>
      </c>
      <c r="V298" s="3">
        <f t="shared" si="280"/>
        <v>7.2038671952706496E-2</v>
      </c>
      <c r="W298" s="3">
        <f t="shared" si="280"/>
        <v>6.788145825470987E-2</v>
      </c>
      <c r="X298" s="3">
        <f t="shared" si="280"/>
        <v>3.7463281746683515E-2</v>
      </c>
      <c r="Y298" s="3">
        <f t="shared" si="280"/>
        <v>9.8209244248174957E-5</v>
      </c>
      <c r="Z298" s="3">
        <f t="shared" si="280"/>
        <v>1.5052820209347601E-30</v>
      </c>
      <c r="AA298" s="3">
        <f t="shared" si="280"/>
        <v>1.0771419220152862E-288</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6.0357732330784487E-2</v>
      </c>
      <c r="C299" s="3">
        <f t="shared" si="281"/>
        <v>6.0357732330784487E-2</v>
      </c>
      <c r="D299" s="3">
        <f t="shared" si="281"/>
        <v>6.0357732330784487E-2</v>
      </c>
      <c r="E299" s="3">
        <f t="shared" si="281"/>
        <v>6.0357732330784487E-2</v>
      </c>
      <c r="F299" s="3">
        <f t="shared" si="281"/>
        <v>6.0357732330784487E-2</v>
      </c>
      <c r="G299" s="3">
        <f t="shared" si="281"/>
        <v>6.0357732330784487E-2</v>
      </c>
      <c r="H299" s="3">
        <f t="shared" si="281"/>
        <v>6.0357732330784487E-2</v>
      </c>
      <c r="I299" s="3">
        <f t="shared" si="281"/>
        <v>6.035773233078448E-2</v>
      </c>
      <c r="J299" s="3">
        <f t="shared" si="281"/>
        <v>6.0357732330784453E-2</v>
      </c>
      <c r="K299" s="3">
        <f t="shared" si="281"/>
        <v>6.0357732330784127E-2</v>
      </c>
      <c r="L299" s="3">
        <f t="shared" si="281"/>
        <v>6.0357732330780886E-2</v>
      </c>
      <c r="M299" s="3">
        <f t="shared" si="281"/>
        <v>6.035773233074853E-2</v>
      </c>
      <c r="N299" s="3">
        <f t="shared" si="281"/>
        <v>6.0357732330424886E-2</v>
      </c>
      <c r="O299" s="3">
        <f t="shared" si="281"/>
        <v>6.035773232718851E-2</v>
      </c>
      <c r="P299" s="3">
        <f t="shared" si="281"/>
        <v>6.0357732294824711E-2</v>
      </c>
      <c r="Q299" s="3">
        <f t="shared" si="281"/>
        <v>6.0357731971186719E-2</v>
      </c>
      <c r="R299" s="3">
        <f t="shared" si="281"/>
        <v>6.0357728734806951E-2</v>
      </c>
      <c r="S299" s="3">
        <f t="shared" si="281"/>
        <v>6.0357696371018774E-2</v>
      </c>
      <c r="T299" s="3">
        <f t="shared" si="281"/>
        <v>6.035737273409144E-2</v>
      </c>
      <c r="U299" s="3">
        <f t="shared" si="281"/>
        <v>6.0354136460259993E-2</v>
      </c>
      <c r="V299" s="3">
        <f t="shared" si="281"/>
        <v>6.0321783264244699E-2</v>
      </c>
      <c r="W299" s="3">
        <f t="shared" si="281"/>
        <v>5.999920364358715E-2</v>
      </c>
      <c r="X299" s="3">
        <f t="shared" si="281"/>
        <v>5.6866778795851142E-2</v>
      </c>
      <c r="Y299" s="3">
        <f t="shared" si="281"/>
        <v>3.3265193320079725E-2</v>
      </c>
      <c r="Z299" s="3">
        <f t="shared" si="281"/>
        <v>1.5606455703887586E-4</v>
      </c>
      <c r="AA299" s="3">
        <f t="shared" si="281"/>
        <v>8.0620707962130692E-28</v>
      </c>
      <c r="AB299" s="3">
        <f t="shared" si="281"/>
        <v>1.0911132825356889E-260</v>
      </c>
      <c r="AC299" s="3">
        <f t="shared" si="281"/>
        <v>0</v>
      </c>
      <c r="AD299" s="3">
        <f t="shared" si="281"/>
        <v>0</v>
      </c>
      <c r="AE299" s="3">
        <f t="shared" si="281"/>
        <v>0</v>
      </c>
      <c r="AF299" s="3">
        <f t="shared" si="281"/>
        <v>0</v>
      </c>
      <c r="AG299" s="3"/>
      <c r="AH299" s="3"/>
    </row>
    <row r="300" spans="2:34" x14ac:dyDescent="0.25">
      <c r="B300" s="3">
        <f t="shared" ref="B300:AF300" si="282">$C30*EXP(-B$285/$A30/EXP(-$F$126))</f>
        <v>3.7953571045142992E-2</v>
      </c>
      <c r="C300" s="3">
        <f t="shared" si="282"/>
        <v>3.7953571045142992E-2</v>
      </c>
      <c r="D300" s="3">
        <f t="shared" si="282"/>
        <v>3.7953571045142992E-2</v>
      </c>
      <c r="E300" s="3">
        <f t="shared" si="282"/>
        <v>3.7953571045142992E-2</v>
      </c>
      <c r="F300" s="3">
        <f t="shared" si="282"/>
        <v>3.7953571045142992E-2</v>
      </c>
      <c r="G300" s="3">
        <f t="shared" si="282"/>
        <v>3.7953571045142992E-2</v>
      </c>
      <c r="H300" s="3">
        <f t="shared" si="282"/>
        <v>3.7953571045142992E-2</v>
      </c>
      <c r="I300" s="3">
        <f t="shared" si="282"/>
        <v>3.7953571045142992E-2</v>
      </c>
      <c r="J300" s="3">
        <f t="shared" si="282"/>
        <v>3.7953571045142992E-2</v>
      </c>
      <c r="K300" s="3">
        <f t="shared" si="282"/>
        <v>3.7953571045142971E-2</v>
      </c>
      <c r="L300" s="3">
        <f t="shared" si="282"/>
        <v>3.7953571045142791E-2</v>
      </c>
      <c r="M300" s="3">
        <f t="shared" si="282"/>
        <v>3.7953571045140952E-2</v>
      </c>
      <c r="N300" s="3">
        <f t="shared" si="282"/>
        <v>3.7953571045122592E-2</v>
      </c>
      <c r="O300" s="3">
        <f t="shared" si="282"/>
        <v>3.7953571044939016E-2</v>
      </c>
      <c r="P300" s="3">
        <f t="shared" si="282"/>
        <v>3.7953571043103214E-2</v>
      </c>
      <c r="Q300" s="3">
        <f t="shared" si="282"/>
        <v>3.795357102474519E-2</v>
      </c>
      <c r="R300" s="3">
        <f t="shared" si="282"/>
        <v>3.7953570841165005E-2</v>
      </c>
      <c r="S300" s="3">
        <f t="shared" si="282"/>
        <v>3.7953569005363168E-2</v>
      </c>
      <c r="T300" s="3">
        <f t="shared" si="282"/>
        <v>3.7953550647349663E-2</v>
      </c>
      <c r="U300" s="3">
        <f t="shared" si="282"/>
        <v>3.7953367067703005E-2</v>
      </c>
      <c r="V300" s="3">
        <f t="shared" si="282"/>
        <v>3.7951531320073881E-2</v>
      </c>
      <c r="W300" s="3">
        <f t="shared" si="282"/>
        <v>3.7933178726654339E-2</v>
      </c>
      <c r="X300" s="3">
        <f t="shared" si="282"/>
        <v>3.7750140206882318E-2</v>
      </c>
      <c r="Y300" s="3">
        <f t="shared" si="282"/>
        <v>3.5967635307844817E-2</v>
      </c>
      <c r="Z300" s="3">
        <f t="shared" si="282"/>
        <v>2.2174051763847454E-2</v>
      </c>
      <c r="AA300" s="3">
        <f t="shared" si="282"/>
        <v>1.7586392699525105E-4</v>
      </c>
      <c r="AB300" s="3">
        <f t="shared" si="282"/>
        <v>1.7317845567087597E-25</v>
      </c>
      <c r="AC300" s="3">
        <f t="shared" si="282"/>
        <v>1.484789272496119E-235</v>
      </c>
      <c r="AD300" s="3">
        <f t="shared" si="282"/>
        <v>0</v>
      </c>
      <c r="AE300" s="3">
        <f t="shared" si="282"/>
        <v>0</v>
      </c>
      <c r="AF300" s="3">
        <f t="shared" si="282"/>
        <v>0</v>
      </c>
      <c r="AG300" s="3"/>
      <c r="AH300" s="3"/>
    </row>
    <row r="301" spans="2:34" x14ac:dyDescent="0.25">
      <c r="B301" s="3">
        <f t="shared" ref="B301:AF301" si="283">$C31*EXP(-B$285/$A31/EXP(-$F$126))</f>
        <v>1.9899360219970862E-2</v>
      </c>
      <c r="C301" s="3">
        <f t="shared" si="283"/>
        <v>1.9899360219970862E-2</v>
      </c>
      <c r="D301" s="3">
        <f t="shared" si="283"/>
        <v>1.9899360219970862E-2</v>
      </c>
      <c r="E301" s="3">
        <f t="shared" si="283"/>
        <v>1.9899360219970862E-2</v>
      </c>
      <c r="F301" s="3">
        <f t="shared" si="283"/>
        <v>1.9899360219970862E-2</v>
      </c>
      <c r="G301" s="3">
        <f t="shared" si="283"/>
        <v>1.9899360219970862E-2</v>
      </c>
      <c r="H301" s="3">
        <f t="shared" si="283"/>
        <v>1.9899360219970862E-2</v>
      </c>
      <c r="I301" s="3">
        <f t="shared" si="283"/>
        <v>1.9899360219970862E-2</v>
      </c>
      <c r="J301" s="3">
        <f t="shared" si="283"/>
        <v>1.9899360219970862E-2</v>
      </c>
      <c r="K301" s="3">
        <f t="shared" si="283"/>
        <v>1.9899360219970862E-2</v>
      </c>
      <c r="L301" s="3">
        <f t="shared" si="283"/>
        <v>1.9899360219970852E-2</v>
      </c>
      <c r="M301" s="3">
        <f t="shared" si="283"/>
        <v>1.9899360219970765E-2</v>
      </c>
      <c r="N301" s="3">
        <f t="shared" si="283"/>
        <v>1.9899360219969898E-2</v>
      </c>
      <c r="O301" s="3">
        <f t="shared" si="283"/>
        <v>1.9899360219961214E-2</v>
      </c>
      <c r="P301" s="3">
        <f t="shared" si="283"/>
        <v>1.9899360219874387E-2</v>
      </c>
      <c r="Q301" s="3">
        <f t="shared" si="283"/>
        <v>1.989936021900611E-2</v>
      </c>
      <c r="R301" s="3">
        <f t="shared" si="283"/>
        <v>1.989936021032333E-2</v>
      </c>
      <c r="S301" s="3">
        <f t="shared" si="283"/>
        <v>1.989936012349551E-2</v>
      </c>
      <c r="T301" s="3">
        <f t="shared" si="283"/>
        <v>1.9899359255217384E-2</v>
      </c>
      <c r="U301" s="3">
        <f t="shared" si="283"/>
        <v>1.989935057243818E-2</v>
      </c>
      <c r="V301" s="3">
        <f t="shared" si="283"/>
        <v>1.9899263744854522E-2</v>
      </c>
      <c r="W301" s="3">
        <f t="shared" si="283"/>
        <v>1.9898395489854857E-2</v>
      </c>
      <c r="X301" s="3">
        <f t="shared" si="283"/>
        <v>1.9889715023213895E-2</v>
      </c>
      <c r="Y301" s="3">
        <f t="shared" si="283"/>
        <v>1.9803118356419031E-2</v>
      </c>
      <c r="Z301" s="3">
        <f t="shared" si="283"/>
        <v>1.8957619730614824E-2</v>
      </c>
      <c r="AA301" s="3">
        <f t="shared" si="283"/>
        <v>1.2254230691588238E-2</v>
      </c>
      <c r="AB301" s="3">
        <f t="shared" si="283"/>
        <v>1.5606607031787889E-4</v>
      </c>
      <c r="AC301" s="3">
        <f t="shared" si="283"/>
        <v>1.751995264405901E-23</v>
      </c>
      <c r="AD301" s="3">
        <f t="shared" si="283"/>
        <v>5.569000487960755E-213</v>
      </c>
      <c r="AE301" s="3">
        <f t="shared" si="283"/>
        <v>0</v>
      </c>
      <c r="AF301" s="3">
        <f t="shared" si="283"/>
        <v>0</v>
      </c>
      <c r="AG301" s="3"/>
      <c r="AH301" s="3"/>
    </row>
    <row r="302" spans="2:34" x14ac:dyDescent="0.25">
      <c r="B302" s="3">
        <f t="shared" ref="B302:AF302" si="284">$C32*EXP(-B$285/$A32/EXP(-$F$126))</f>
        <v>1.0036367698219981E-2</v>
      </c>
      <c r="C302" s="3">
        <f t="shared" si="284"/>
        <v>1.0036367698219981E-2</v>
      </c>
      <c r="D302" s="3">
        <f t="shared" si="284"/>
        <v>1.0036367698219981E-2</v>
      </c>
      <c r="E302" s="3">
        <f t="shared" si="284"/>
        <v>1.0036367698219981E-2</v>
      </c>
      <c r="F302" s="3">
        <f t="shared" si="284"/>
        <v>1.0036367698219981E-2</v>
      </c>
      <c r="G302" s="3">
        <f t="shared" si="284"/>
        <v>1.0036367698219981E-2</v>
      </c>
      <c r="H302" s="3">
        <f t="shared" si="284"/>
        <v>1.0036367698219981E-2</v>
      </c>
      <c r="I302" s="3">
        <f t="shared" si="284"/>
        <v>1.0036367698219981E-2</v>
      </c>
      <c r="J302" s="3">
        <f t="shared" si="284"/>
        <v>1.0036367698219981E-2</v>
      </c>
      <c r="K302" s="3">
        <f t="shared" si="284"/>
        <v>1.0036367698219981E-2</v>
      </c>
      <c r="L302" s="3">
        <f t="shared" si="284"/>
        <v>1.0036367698219981E-2</v>
      </c>
      <c r="M302" s="3">
        <f t="shared" si="284"/>
        <v>1.0036367698219976E-2</v>
      </c>
      <c r="N302" s="3">
        <f t="shared" si="284"/>
        <v>1.0036367698219938E-2</v>
      </c>
      <c r="O302" s="3">
        <f t="shared" si="284"/>
        <v>1.0036367698219542E-2</v>
      </c>
      <c r="P302" s="3">
        <f t="shared" si="284"/>
        <v>1.0036367698215592E-2</v>
      </c>
      <c r="Q302" s="3">
        <f t="shared" si="284"/>
        <v>1.0036367698176087E-2</v>
      </c>
      <c r="R302" s="3">
        <f t="shared" si="284"/>
        <v>1.0036367697781046E-2</v>
      </c>
      <c r="S302" s="3">
        <f t="shared" si="284"/>
        <v>1.0036367693830629E-2</v>
      </c>
      <c r="T302" s="3">
        <f t="shared" si="284"/>
        <v>1.0036367654326462E-2</v>
      </c>
      <c r="U302" s="3">
        <f t="shared" si="284"/>
        <v>1.0036367259284796E-2</v>
      </c>
      <c r="V302" s="3">
        <f t="shared" si="284"/>
        <v>1.0036363308868992E-2</v>
      </c>
      <c r="W302" s="3">
        <f t="shared" si="284"/>
        <v>1.0036323804796484E-2</v>
      </c>
      <c r="X302" s="3">
        <f t="shared" si="284"/>
        <v>1.0035928772623348E-2</v>
      </c>
      <c r="Y302" s="3">
        <f t="shared" si="284"/>
        <v>1.0031979305961999E-2</v>
      </c>
      <c r="Z302" s="3">
        <f t="shared" si="284"/>
        <v>9.992570021952767E-3</v>
      </c>
      <c r="AA302" s="3">
        <f t="shared" si="284"/>
        <v>9.6068923930042686E-3</v>
      </c>
      <c r="AB302" s="3">
        <f t="shared" si="284"/>
        <v>6.4809726076535635E-3</v>
      </c>
      <c r="AC302" s="3">
        <f t="shared" si="284"/>
        <v>1.2653561574161633E-4</v>
      </c>
      <c r="AD302" s="3">
        <f t="shared" si="284"/>
        <v>1.0184477468021627E-21</v>
      </c>
      <c r="AE302" s="3">
        <f t="shared" si="284"/>
        <v>1.1619794323770996E-192</v>
      </c>
      <c r="AF302" s="3">
        <f t="shared" si="284"/>
        <v>0</v>
      </c>
      <c r="AG302" s="3"/>
      <c r="AH302" s="3"/>
    </row>
    <row r="303" spans="2:34" x14ac:dyDescent="0.25">
      <c r="B303" s="3">
        <f t="shared" ref="B303:AF303" si="285">$C33*EXP(-B$285/$A33/EXP(-$F$126))</f>
        <v>1.0472179826501766E-2</v>
      </c>
      <c r="C303" s="3">
        <f t="shared" si="285"/>
        <v>1.0472179826501766E-2</v>
      </c>
      <c r="D303" s="3">
        <f t="shared" si="285"/>
        <v>1.0472179826501766E-2</v>
      </c>
      <c r="E303" s="3">
        <f t="shared" si="285"/>
        <v>1.0472179826501766E-2</v>
      </c>
      <c r="F303" s="3">
        <f t="shared" si="285"/>
        <v>1.0472179826501766E-2</v>
      </c>
      <c r="G303" s="3">
        <f t="shared" si="285"/>
        <v>1.0472179826501766E-2</v>
      </c>
      <c r="H303" s="3">
        <f t="shared" si="285"/>
        <v>1.0472179826501766E-2</v>
      </c>
      <c r="I303" s="3">
        <f t="shared" si="285"/>
        <v>1.0472179826501766E-2</v>
      </c>
      <c r="J303" s="3">
        <f t="shared" si="285"/>
        <v>1.0472179826501766E-2</v>
      </c>
      <c r="K303" s="3">
        <f t="shared" si="285"/>
        <v>1.0472179826501766E-2</v>
      </c>
      <c r="L303" s="3">
        <f t="shared" si="285"/>
        <v>1.0472179826501766E-2</v>
      </c>
      <c r="M303" s="3">
        <f t="shared" si="285"/>
        <v>1.0472179826501766E-2</v>
      </c>
      <c r="N303" s="3">
        <f t="shared" si="285"/>
        <v>1.0472179826501761E-2</v>
      </c>
      <c r="O303" s="3">
        <f t="shared" si="285"/>
        <v>1.0472179826501725E-2</v>
      </c>
      <c r="P303" s="3">
        <f t="shared" si="285"/>
        <v>1.0472179826501353E-2</v>
      </c>
      <c r="Q303" s="3">
        <f t="shared" si="285"/>
        <v>1.0472179826497634E-2</v>
      </c>
      <c r="R303" s="3">
        <f t="shared" si="285"/>
        <v>1.0472179826460452E-2</v>
      </c>
      <c r="S303" s="3">
        <f t="shared" si="285"/>
        <v>1.0472179826088616E-2</v>
      </c>
      <c r="T303" s="3">
        <f t="shared" si="285"/>
        <v>1.0472179822370269E-2</v>
      </c>
      <c r="U303" s="3">
        <f t="shared" si="285"/>
        <v>1.0472179785186789E-2</v>
      </c>
      <c r="V303" s="3">
        <f t="shared" si="285"/>
        <v>1.0472179413351997E-2</v>
      </c>
      <c r="W303" s="3">
        <f t="shared" si="285"/>
        <v>1.0472175695004807E-2</v>
      </c>
      <c r="X303" s="3">
        <f t="shared" si="285"/>
        <v>1.0472138511605524E-2</v>
      </c>
      <c r="Y303" s="3">
        <f t="shared" si="285"/>
        <v>1.0471766684874081E-2</v>
      </c>
      <c r="Z303" s="3">
        <f t="shared" si="285"/>
        <v>1.0468049143602524E-2</v>
      </c>
      <c r="AA303" s="3">
        <f t="shared" si="285"/>
        <v>1.0430946239881004E-2</v>
      </c>
      <c r="AB303" s="3">
        <f t="shared" si="285"/>
        <v>1.0067073740918435E-2</v>
      </c>
      <c r="AC303" s="3">
        <f t="shared" si="285"/>
        <v>7.0582766565776686E-3</v>
      </c>
      <c r="AD303" s="3">
        <f t="shared" si="285"/>
        <v>2.0260630148972582E-4</v>
      </c>
      <c r="AE303" s="3">
        <f t="shared" si="285"/>
        <v>7.6947704069693655E-20</v>
      </c>
      <c r="AF303" s="3">
        <f t="shared" si="285"/>
        <v>4.8042194779055587E-174</v>
      </c>
      <c r="AG303" s="3"/>
      <c r="AH303" s="3"/>
    </row>
    <row r="304" spans="2:34" x14ac:dyDescent="0.25">
      <c r="B304" s="3">
        <f t="shared" ref="B304:AF304" si="286">$C34*EXP(-B$285/$A34/EXP(-$F$126))</f>
        <v>1.1455889373470318E-2</v>
      </c>
      <c r="C304" s="3">
        <f t="shared" si="286"/>
        <v>1.1455889373470318E-2</v>
      </c>
      <c r="D304" s="3">
        <f t="shared" si="286"/>
        <v>1.1455889373470318E-2</v>
      </c>
      <c r="E304" s="3">
        <f t="shared" si="286"/>
        <v>1.1455889373470318E-2</v>
      </c>
      <c r="F304" s="3">
        <f t="shared" si="286"/>
        <v>1.1455889373470318E-2</v>
      </c>
      <c r="G304" s="3">
        <f t="shared" si="286"/>
        <v>1.1455889373470318E-2</v>
      </c>
      <c r="H304" s="3">
        <f t="shared" si="286"/>
        <v>1.1455889373470318E-2</v>
      </c>
      <c r="I304" s="3">
        <f t="shared" si="286"/>
        <v>1.1455889373470318E-2</v>
      </c>
      <c r="J304" s="3">
        <f t="shared" si="286"/>
        <v>1.1455889373470318E-2</v>
      </c>
      <c r="K304" s="3">
        <f t="shared" si="286"/>
        <v>1.1455889373470318E-2</v>
      </c>
      <c r="L304" s="3">
        <f t="shared" si="286"/>
        <v>1.1455889373470318E-2</v>
      </c>
      <c r="M304" s="3">
        <f t="shared" si="286"/>
        <v>1.1455889373470318E-2</v>
      </c>
      <c r="N304" s="3">
        <f t="shared" si="286"/>
        <v>1.1455889373470318E-2</v>
      </c>
      <c r="O304" s="3">
        <f t="shared" si="286"/>
        <v>1.1455889373470314E-2</v>
      </c>
      <c r="P304" s="3">
        <f t="shared" si="286"/>
        <v>1.1455889373470278E-2</v>
      </c>
      <c r="Q304" s="3">
        <f t="shared" si="286"/>
        <v>1.145588937346991E-2</v>
      </c>
      <c r="R304" s="3">
        <f t="shared" si="286"/>
        <v>1.1455889373466239E-2</v>
      </c>
      <c r="S304" s="3">
        <f t="shared" si="286"/>
        <v>1.1455889373429546E-2</v>
      </c>
      <c r="T304" s="3">
        <f t="shared" si="286"/>
        <v>1.1455889373062612E-2</v>
      </c>
      <c r="U304" s="3">
        <f t="shared" si="286"/>
        <v>1.145588936939327E-2</v>
      </c>
      <c r="V304" s="3">
        <f t="shared" si="286"/>
        <v>1.1455889332699837E-2</v>
      </c>
      <c r="W304" s="3">
        <f t="shared" si="286"/>
        <v>1.1455888965765515E-2</v>
      </c>
      <c r="X304" s="3">
        <f t="shared" si="286"/>
        <v>1.1455885296422955E-2</v>
      </c>
      <c r="Y304" s="3">
        <f t="shared" si="286"/>
        <v>1.1455848603061987E-2</v>
      </c>
      <c r="Z304" s="3">
        <f t="shared" si="286"/>
        <v>1.1455481675916354E-2</v>
      </c>
      <c r="AA304" s="3">
        <f t="shared" si="286"/>
        <v>1.1451813050788649E-2</v>
      </c>
      <c r="AB304" s="3">
        <f t="shared" si="286"/>
        <v>1.141519135584038E-2</v>
      </c>
      <c r="AC304" s="3">
        <f t="shared" si="286"/>
        <v>1.1055354183487617E-2</v>
      </c>
      <c r="AD304" s="3">
        <f t="shared" si="286"/>
        <v>8.0254114545674216E-3</v>
      </c>
      <c r="AE304" s="3">
        <f t="shared" si="286"/>
        <v>3.2614729035472919E-4</v>
      </c>
      <c r="AF304" s="3">
        <f t="shared" si="286"/>
        <v>4.0075453659625387E-18</v>
      </c>
      <c r="AG304" s="3"/>
      <c r="AH304" s="3"/>
    </row>
    <row r="305" spans="1:34" x14ac:dyDescent="0.25">
      <c r="B305" s="3">
        <f t="shared" ref="B305:AF305" si="287">$C35*EXP(-B$285/$A35/EXP(-$F$126))</f>
        <v>6.2948394662532018E-3</v>
      </c>
      <c r="C305" s="3">
        <f t="shared" si="287"/>
        <v>6.2948394662532018E-3</v>
      </c>
      <c r="D305" s="3">
        <f t="shared" si="287"/>
        <v>6.2948394662532018E-3</v>
      </c>
      <c r="E305" s="3">
        <f t="shared" si="287"/>
        <v>6.2948394662532018E-3</v>
      </c>
      <c r="F305" s="3">
        <f t="shared" si="287"/>
        <v>6.2948394662532018E-3</v>
      </c>
      <c r="G305" s="3">
        <f t="shared" si="287"/>
        <v>6.2948394662532018E-3</v>
      </c>
      <c r="H305" s="3">
        <f t="shared" si="287"/>
        <v>6.2948394662532018E-3</v>
      </c>
      <c r="I305" s="3">
        <f t="shared" si="287"/>
        <v>6.2948394662532018E-3</v>
      </c>
      <c r="J305" s="3">
        <f t="shared" si="287"/>
        <v>6.2948394662532018E-3</v>
      </c>
      <c r="K305" s="3">
        <f t="shared" si="287"/>
        <v>6.2948394662532018E-3</v>
      </c>
      <c r="L305" s="3">
        <f t="shared" si="287"/>
        <v>6.2948394662532018E-3</v>
      </c>
      <c r="M305" s="3">
        <f t="shared" si="287"/>
        <v>6.2948394662532018E-3</v>
      </c>
      <c r="N305" s="3">
        <f t="shared" si="287"/>
        <v>6.2948394662532018E-3</v>
      </c>
      <c r="O305" s="3">
        <f t="shared" si="287"/>
        <v>6.2948394662532018E-3</v>
      </c>
      <c r="P305" s="3">
        <f t="shared" si="287"/>
        <v>6.2948394662532001E-3</v>
      </c>
      <c r="Q305" s="3">
        <f t="shared" si="287"/>
        <v>6.2948394662531819E-3</v>
      </c>
      <c r="R305" s="3">
        <f t="shared" si="287"/>
        <v>6.2948394662529997E-3</v>
      </c>
      <c r="S305" s="3">
        <f t="shared" si="287"/>
        <v>6.2948394662511809E-3</v>
      </c>
      <c r="T305" s="3">
        <f t="shared" si="287"/>
        <v>6.2948394662329923E-3</v>
      </c>
      <c r="U305" s="3">
        <f t="shared" si="287"/>
        <v>6.29483946605111E-3</v>
      </c>
      <c r="V305" s="3">
        <f t="shared" si="287"/>
        <v>6.2948394642322854E-3</v>
      </c>
      <c r="W305" s="3">
        <f t="shared" si="287"/>
        <v>6.2948394460440411E-3</v>
      </c>
      <c r="X305" s="3">
        <f t="shared" si="287"/>
        <v>6.2948392641615997E-3</v>
      </c>
      <c r="Y305" s="3">
        <f t="shared" si="287"/>
        <v>6.294837445337478E-3</v>
      </c>
      <c r="Z305" s="3">
        <f t="shared" si="287"/>
        <v>6.2948192571251572E-3</v>
      </c>
      <c r="AA305" s="3">
        <f t="shared" si="287"/>
        <v>6.294637377892323E-3</v>
      </c>
      <c r="AB305" s="3">
        <f t="shared" si="287"/>
        <v>6.2928188745707504E-3</v>
      </c>
      <c r="AC305" s="3">
        <f t="shared" si="287"/>
        <v>6.2746627111583625E-3</v>
      </c>
      <c r="AD305" s="3">
        <f t="shared" si="287"/>
        <v>6.0959574304933388E-3</v>
      </c>
      <c r="AE305" s="3">
        <f t="shared" si="287"/>
        <v>4.566225178589069E-3</v>
      </c>
      <c r="AF305" s="3">
        <f t="shared" si="287"/>
        <v>2.5392842176590042E-4</v>
      </c>
      <c r="AG305" s="3"/>
      <c r="AH305" s="3"/>
    </row>
    <row r="306" spans="1:34" x14ac:dyDescent="0.25">
      <c r="B306" s="3">
        <f t="shared" ref="B306:AF306" si="288">$C36*EXP(-B$285/$A36/EXP(-$F$126))</f>
        <v>5.5356903730511449E-3</v>
      </c>
      <c r="C306" s="3">
        <f t="shared" si="288"/>
        <v>5.5356903730511449E-3</v>
      </c>
      <c r="D306" s="3">
        <f t="shared" si="288"/>
        <v>5.5356903730511449E-3</v>
      </c>
      <c r="E306" s="3">
        <f t="shared" si="288"/>
        <v>5.5356903730511449E-3</v>
      </c>
      <c r="F306" s="3">
        <f t="shared" si="288"/>
        <v>5.5356903730511449E-3</v>
      </c>
      <c r="G306" s="3">
        <f t="shared" si="288"/>
        <v>5.5356903730511449E-3</v>
      </c>
      <c r="H306" s="3">
        <f t="shared" si="288"/>
        <v>5.5356903730511449E-3</v>
      </c>
      <c r="I306" s="3">
        <f t="shared" si="288"/>
        <v>5.5356903730511449E-3</v>
      </c>
      <c r="J306" s="3">
        <f t="shared" si="288"/>
        <v>5.5356903730511449E-3</v>
      </c>
      <c r="K306" s="3">
        <f t="shared" si="288"/>
        <v>5.5356903730511449E-3</v>
      </c>
      <c r="L306" s="3">
        <f t="shared" si="288"/>
        <v>5.5356903730511449E-3</v>
      </c>
      <c r="M306" s="3">
        <f t="shared" si="288"/>
        <v>5.5356903730511449E-3</v>
      </c>
      <c r="N306" s="3">
        <f t="shared" si="288"/>
        <v>5.5356903730511449E-3</v>
      </c>
      <c r="O306" s="3">
        <f t="shared" si="288"/>
        <v>5.5356903730511449E-3</v>
      </c>
      <c r="P306" s="3">
        <f t="shared" si="288"/>
        <v>5.5356903730511449E-3</v>
      </c>
      <c r="Q306" s="3">
        <f t="shared" si="288"/>
        <v>5.5356903730511432E-3</v>
      </c>
      <c r="R306" s="3">
        <f t="shared" si="288"/>
        <v>5.5356903730511293E-3</v>
      </c>
      <c r="S306" s="3">
        <f t="shared" si="288"/>
        <v>5.5356903730509844E-3</v>
      </c>
      <c r="T306" s="3">
        <f t="shared" si="288"/>
        <v>5.5356903730495411E-3</v>
      </c>
      <c r="U306" s="3">
        <f t="shared" si="288"/>
        <v>5.5356903730351126E-3</v>
      </c>
      <c r="V306" s="3">
        <f t="shared" si="288"/>
        <v>5.535690372890827E-3</v>
      </c>
      <c r="W306" s="3">
        <f t="shared" si="288"/>
        <v>5.5356903714479655E-3</v>
      </c>
      <c r="X306" s="3">
        <f t="shared" si="288"/>
        <v>5.5356903570193553E-3</v>
      </c>
      <c r="Y306" s="3">
        <f t="shared" si="288"/>
        <v>5.5356902127332549E-3</v>
      </c>
      <c r="Z306" s="3">
        <f t="shared" si="288"/>
        <v>5.5356887698724509E-3</v>
      </c>
      <c r="AA306" s="3">
        <f t="shared" si="288"/>
        <v>5.5356743412850965E-3</v>
      </c>
      <c r="AB306" s="3">
        <f t="shared" si="288"/>
        <v>5.5355300574799595E-3</v>
      </c>
      <c r="AC306" s="3">
        <f t="shared" si="288"/>
        <v>5.5340874262489884E-3</v>
      </c>
      <c r="AD306" s="3">
        <f t="shared" si="288"/>
        <v>5.5196817760474843E-3</v>
      </c>
      <c r="AE306" s="3">
        <f t="shared" si="288"/>
        <v>5.3776716966066644E-3</v>
      </c>
      <c r="AF306" s="3">
        <f t="shared" si="288"/>
        <v>4.1437804373628323E-3</v>
      </c>
      <c r="AG306" s="3"/>
      <c r="AH306" s="3"/>
    </row>
    <row r="307" spans="1:34" x14ac:dyDescent="0.25">
      <c r="B307" s="3">
        <f t="shared" ref="B307:AF307" si="289">$C37*EXP(-B$285/$A37/EXP(-$F$126))</f>
        <v>2.9841994807754844E-3</v>
      </c>
      <c r="C307" s="3">
        <f t="shared" si="289"/>
        <v>2.9841994807754844E-3</v>
      </c>
      <c r="D307" s="3">
        <f t="shared" si="289"/>
        <v>2.9841994807754844E-3</v>
      </c>
      <c r="E307" s="3">
        <f t="shared" si="289"/>
        <v>2.9841994807754844E-3</v>
      </c>
      <c r="F307" s="3">
        <f t="shared" si="289"/>
        <v>2.9841994807754844E-3</v>
      </c>
      <c r="G307" s="3">
        <f t="shared" si="289"/>
        <v>2.9841994807754844E-3</v>
      </c>
      <c r="H307" s="3">
        <f t="shared" si="289"/>
        <v>2.9841994807754844E-3</v>
      </c>
      <c r="I307" s="3">
        <f t="shared" si="289"/>
        <v>2.9841994807754844E-3</v>
      </c>
      <c r="J307" s="3">
        <f t="shared" si="289"/>
        <v>2.9841994807754844E-3</v>
      </c>
      <c r="K307" s="3">
        <f t="shared" si="289"/>
        <v>2.9841994807754844E-3</v>
      </c>
      <c r="L307" s="3">
        <f t="shared" si="289"/>
        <v>2.9841994807754844E-3</v>
      </c>
      <c r="M307" s="3">
        <f t="shared" si="289"/>
        <v>2.9841994807754844E-3</v>
      </c>
      <c r="N307" s="3">
        <f t="shared" si="289"/>
        <v>2.9841994807754844E-3</v>
      </c>
      <c r="O307" s="3">
        <f t="shared" si="289"/>
        <v>2.9841994807754844E-3</v>
      </c>
      <c r="P307" s="3">
        <f t="shared" si="289"/>
        <v>2.9841994807754844E-3</v>
      </c>
      <c r="Q307" s="3">
        <f t="shared" si="289"/>
        <v>2.9841994807754844E-3</v>
      </c>
      <c r="R307" s="3">
        <f t="shared" si="289"/>
        <v>2.9841994807754835E-3</v>
      </c>
      <c r="S307" s="3">
        <f t="shared" si="289"/>
        <v>2.9841994807754766E-3</v>
      </c>
      <c r="T307" s="3">
        <f t="shared" si="289"/>
        <v>2.9841994807754063E-3</v>
      </c>
      <c r="U307" s="3">
        <f t="shared" si="289"/>
        <v>2.9841994807747046E-3</v>
      </c>
      <c r="V307" s="3">
        <f t="shared" si="289"/>
        <v>2.9841994807676881E-3</v>
      </c>
      <c r="W307" s="3">
        <f t="shared" si="289"/>
        <v>2.984199480697522E-3</v>
      </c>
      <c r="X307" s="3">
        <f t="shared" si="289"/>
        <v>2.9841994799958615E-3</v>
      </c>
      <c r="Y307" s="3">
        <f t="shared" si="289"/>
        <v>2.9841994729792542E-3</v>
      </c>
      <c r="Z307" s="3">
        <f t="shared" si="289"/>
        <v>2.984199402813185E-3</v>
      </c>
      <c r="AA307" s="3">
        <f t="shared" si="289"/>
        <v>2.9841987011525808E-3</v>
      </c>
      <c r="AB307" s="3">
        <f t="shared" si="289"/>
        <v>2.9841916845556129E-3</v>
      </c>
      <c r="AC307" s="3">
        <f t="shared" si="289"/>
        <v>2.9841215194933036E-3</v>
      </c>
      <c r="AD307" s="3">
        <f t="shared" si="289"/>
        <v>2.98341995959943E-3</v>
      </c>
      <c r="AE307" s="3">
        <f t="shared" si="289"/>
        <v>2.9764134256944114E-3</v>
      </c>
      <c r="AF307" s="3">
        <f t="shared" si="289"/>
        <v>2.9072467531205573E-3</v>
      </c>
      <c r="AG307" s="3"/>
      <c r="AH307" s="3"/>
    </row>
    <row r="308" spans="1:34" x14ac:dyDescent="0.25">
      <c r="B308" s="3">
        <f t="shared" ref="B308:AF308" si="290">$C38*EXP(-B$285/$A38/EXP(-$F$126))</f>
        <v>1.1698557197945001E-3</v>
      </c>
      <c r="C308" s="3">
        <f t="shared" si="290"/>
        <v>1.1698557197945001E-3</v>
      </c>
      <c r="D308" s="3">
        <f t="shared" si="290"/>
        <v>1.1698557197945001E-3</v>
      </c>
      <c r="E308" s="3">
        <f t="shared" si="290"/>
        <v>1.1698557197945001E-3</v>
      </c>
      <c r="F308" s="3">
        <f t="shared" si="290"/>
        <v>1.1698557197945001E-3</v>
      </c>
      <c r="G308" s="3">
        <f t="shared" si="290"/>
        <v>1.1698557197945001E-3</v>
      </c>
      <c r="H308" s="3">
        <f t="shared" si="290"/>
        <v>1.1698557197945001E-3</v>
      </c>
      <c r="I308" s="3">
        <f t="shared" si="290"/>
        <v>1.1698557197945001E-3</v>
      </c>
      <c r="J308" s="3">
        <f t="shared" si="290"/>
        <v>1.1698557197945001E-3</v>
      </c>
      <c r="K308" s="3">
        <f t="shared" si="290"/>
        <v>1.1698557197945001E-3</v>
      </c>
      <c r="L308" s="3">
        <f t="shared" si="290"/>
        <v>1.1698557197945001E-3</v>
      </c>
      <c r="M308" s="3">
        <f t="shared" si="290"/>
        <v>1.1698557197945001E-3</v>
      </c>
      <c r="N308" s="3">
        <f t="shared" si="290"/>
        <v>1.1698557197945001E-3</v>
      </c>
      <c r="O308" s="3">
        <f t="shared" si="290"/>
        <v>1.1698557197945001E-3</v>
      </c>
      <c r="P308" s="3">
        <f t="shared" si="290"/>
        <v>1.1698557197945001E-3</v>
      </c>
      <c r="Q308" s="3">
        <f t="shared" si="290"/>
        <v>1.1698557197945001E-3</v>
      </c>
      <c r="R308" s="3">
        <f t="shared" si="290"/>
        <v>1.1698557197945001E-3</v>
      </c>
      <c r="S308" s="3">
        <f t="shared" si="290"/>
        <v>1.1698557197944999E-3</v>
      </c>
      <c r="T308" s="3">
        <f t="shared" si="290"/>
        <v>1.1698557197944973E-3</v>
      </c>
      <c r="U308" s="3">
        <f t="shared" si="290"/>
        <v>1.1698557197944725E-3</v>
      </c>
      <c r="V308" s="3">
        <f t="shared" si="290"/>
        <v>1.1698557197942243E-3</v>
      </c>
      <c r="W308" s="3">
        <f t="shared" si="290"/>
        <v>1.1698557197917432E-3</v>
      </c>
      <c r="X308" s="3">
        <f t="shared" si="290"/>
        <v>1.1698557197669301E-3</v>
      </c>
      <c r="Y308" s="3">
        <f t="shared" si="290"/>
        <v>1.1698557195188007E-3</v>
      </c>
      <c r="Z308" s="3">
        <f t="shared" si="290"/>
        <v>1.1698557170375069E-3</v>
      </c>
      <c r="AA308" s="3">
        <f t="shared" si="290"/>
        <v>1.1698556922245687E-3</v>
      </c>
      <c r="AB308" s="3">
        <f t="shared" si="290"/>
        <v>1.1698554440952161E-3</v>
      </c>
      <c r="AC308" s="3">
        <f t="shared" si="290"/>
        <v>1.1698529628045846E-3</v>
      </c>
      <c r="AD308" s="3">
        <f t="shared" si="290"/>
        <v>1.1698281501877248E-3</v>
      </c>
      <c r="AE308" s="3">
        <f t="shared" si="290"/>
        <v>1.1695800529624855E-3</v>
      </c>
      <c r="AF308" s="3">
        <f t="shared" si="290"/>
        <v>1.1671019727757565E-3</v>
      </c>
      <c r="AG308" s="3"/>
      <c r="AH308" s="3"/>
    </row>
    <row r="309" spans="1:34" x14ac:dyDescent="0.25">
      <c r="B309" s="3">
        <f t="shared" ref="B309:AF309" si="291">$C39*EXP(-B$285/$A39/EXP(-$F$126))</f>
        <v>4.0204305624187052E-4</v>
      </c>
      <c r="C309" s="3">
        <f t="shared" si="291"/>
        <v>4.0204305624187052E-4</v>
      </c>
      <c r="D309" s="3">
        <f t="shared" si="291"/>
        <v>4.0204305624187052E-4</v>
      </c>
      <c r="E309" s="3">
        <f t="shared" si="291"/>
        <v>4.0204305624187052E-4</v>
      </c>
      <c r="F309" s="3">
        <f t="shared" si="291"/>
        <v>4.0204305624187052E-4</v>
      </c>
      <c r="G309" s="3">
        <f t="shared" si="291"/>
        <v>4.0204305624187052E-4</v>
      </c>
      <c r="H309" s="3">
        <f t="shared" si="291"/>
        <v>4.0204305624187052E-4</v>
      </c>
      <c r="I309" s="3">
        <f t="shared" si="291"/>
        <v>4.0204305624187052E-4</v>
      </c>
      <c r="J309" s="3">
        <f t="shared" si="291"/>
        <v>4.0204305624187052E-4</v>
      </c>
      <c r="K309" s="3">
        <f t="shared" si="291"/>
        <v>4.0204305624187052E-4</v>
      </c>
      <c r="L309" s="3">
        <f t="shared" si="291"/>
        <v>4.0204305624187052E-4</v>
      </c>
      <c r="M309" s="3">
        <f t="shared" si="291"/>
        <v>4.0204305624187052E-4</v>
      </c>
      <c r="N309" s="3">
        <f t="shared" si="291"/>
        <v>4.0204305624187052E-4</v>
      </c>
      <c r="O309" s="3">
        <f t="shared" si="291"/>
        <v>4.0204305624187052E-4</v>
      </c>
      <c r="P309" s="3">
        <f t="shared" si="291"/>
        <v>4.0204305624187052E-4</v>
      </c>
      <c r="Q309" s="3">
        <f t="shared" si="291"/>
        <v>4.0204305624187052E-4</v>
      </c>
      <c r="R309" s="3">
        <f t="shared" si="291"/>
        <v>4.0204305624187052E-4</v>
      </c>
      <c r="S309" s="3">
        <f t="shared" si="291"/>
        <v>4.0204305624187047E-4</v>
      </c>
      <c r="T309" s="3">
        <f t="shared" si="291"/>
        <v>4.0204305624187025E-4</v>
      </c>
      <c r="U309" s="3">
        <f t="shared" si="291"/>
        <v>4.0204305624186787E-4</v>
      </c>
      <c r="V309" s="3">
        <f t="shared" si="291"/>
        <v>4.0204305624184434E-4</v>
      </c>
      <c r="W309" s="3">
        <f t="shared" si="291"/>
        <v>4.0204305624160847E-4</v>
      </c>
      <c r="X309" s="3">
        <f t="shared" si="291"/>
        <v>4.0204305623925001E-4</v>
      </c>
      <c r="Y309" s="3">
        <f t="shared" si="291"/>
        <v>4.0204305621566525E-4</v>
      </c>
      <c r="Z309" s="3">
        <f t="shared" si="291"/>
        <v>4.0204305597981772E-4</v>
      </c>
      <c r="AA309" s="3">
        <f t="shared" si="291"/>
        <v>4.0204305362134249E-4</v>
      </c>
      <c r="AB309" s="3">
        <f t="shared" si="291"/>
        <v>4.0204303003659082E-4</v>
      </c>
      <c r="AC309" s="3">
        <f t="shared" si="291"/>
        <v>4.0204279418915018E-4</v>
      </c>
      <c r="AD309" s="3">
        <f t="shared" si="291"/>
        <v>4.0204043572235316E-4</v>
      </c>
      <c r="AE309" s="3">
        <f t="shared" si="291"/>
        <v>4.020168518153086E-4</v>
      </c>
      <c r="AF309" s="3">
        <f t="shared" si="291"/>
        <v>4.0178108882092759E-4</v>
      </c>
      <c r="AG309" s="3"/>
      <c r="AH309" s="3"/>
    </row>
    <row r="310" spans="1:34" x14ac:dyDescent="0.25">
      <c r="B310" s="3">
        <f t="shared" ref="B310:AF310" si="292">$C40*EXP(-B$285/$A40/EXP(-$F$126))</f>
        <v>9.0650475367586036E-4</v>
      </c>
      <c r="C310" s="3">
        <f t="shared" si="292"/>
        <v>9.0650475367586036E-4</v>
      </c>
      <c r="D310" s="3">
        <f t="shared" si="292"/>
        <v>9.0650475367586036E-4</v>
      </c>
      <c r="E310" s="3">
        <f t="shared" si="292"/>
        <v>9.0650475367586036E-4</v>
      </c>
      <c r="F310" s="3">
        <f t="shared" si="292"/>
        <v>9.0650475367586036E-4</v>
      </c>
      <c r="G310" s="3">
        <f t="shared" si="292"/>
        <v>9.0650475367586036E-4</v>
      </c>
      <c r="H310" s="3">
        <f t="shared" si="292"/>
        <v>9.0650475367586036E-4</v>
      </c>
      <c r="I310" s="3">
        <f t="shared" si="292"/>
        <v>9.0650475367586036E-4</v>
      </c>
      <c r="J310" s="3">
        <f t="shared" si="292"/>
        <v>9.0650475367586036E-4</v>
      </c>
      <c r="K310" s="3">
        <f t="shared" si="292"/>
        <v>9.0650475367586036E-4</v>
      </c>
      <c r="L310" s="3">
        <f t="shared" si="292"/>
        <v>9.0650475367586036E-4</v>
      </c>
      <c r="M310" s="3">
        <f t="shared" si="292"/>
        <v>9.0650475367586036E-4</v>
      </c>
      <c r="N310" s="3">
        <f t="shared" si="292"/>
        <v>9.0650475367586036E-4</v>
      </c>
      <c r="O310" s="3">
        <f t="shared" si="292"/>
        <v>9.0650475367586036E-4</v>
      </c>
      <c r="P310" s="3">
        <f t="shared" si="292"/>
        <v>9.0650475367586036E-4</v>
      </c>
      <c r="Q310" s="3">
        <f t="shared" si="292"/>
        <v>9.0650475367586036E-4</v>
      </c>
      <c r="R310" s="3">
        <f t="shared" si="292"/>
        <v>9.0650475367586036E-4</v>
      </c>
      <c r="S310" s="3">
        <f t="shared" si="292"/>
        <v>9.0650475367586036E-4</v>
      </c>
      <c r="T310" s="3">
        <f t="shared" si="292"/>
        <v>9.0650475367586025E-4</v>
      </c>
      <c r="U310" s="3">
        <f t="shared" si="292"/>
        <v>9.0650475367585971E-4</v>
      </c>
      <c r="V310" s="3">
        <f t="shared" si="292"/>
        <v>9.065047536758544E-4</v>
      </c>
      <c r="W310" s="3">
        <f t="shared" si="292"/>
        <v>9.0650475367580127E-4</v>
      </c>
      <c r="X310" s="3">
        <f t="shared" si="292"/>
        <v>9.0650475367526947E-4</v>
      </c>
      <c r="Y310" s="3">
        <f t="shared" si="292"/>
        <v>9.0650475366995178E-4</v>
      </c>
      <c r="Z310" s="3">
        <f t="shared" si="292"/>
        <v>9.0650475361677405E-4</v>
      </c>
      <c r="AA310" s="3">
        <f t="shared" si="292"/>
        <v>9.0650475308499804E-4</v>
      </c>
      <c r="AB310" s="3">
        <f t="shared" si="292"/>
        <v>9.0650474776723673E-4</v>
      </c>
      <c r="AC310" s="3">
        <f t="shared" si="292"/>
        <v>9.06504694589625E-4</v>
      </c>
      <c r="AD310" s="3">
        <f t="shared" si="292"/>
        <v>9.0650416281368021E-4</v>
      </c>
      <c r="AE310" s="3">
        <f t="shared" si="292"/>
        <v>9.0649884507138943E-4</v>
      </c>
      <c r="AF310" s="3">
        <f t="shared" si="292"/>
        <v>9.064456693641755E-4</v>
      </c>
      <c r="AG310" s="3"/>
      <c r="AH310" s="3"/>
    </row>
    <row r="311" spans="1:34" x14ac:dyDescent="0.25">
      <c r="B311" s="3">
        <f t="shared" ref="B311:AF311" si="293">$C41*EXP(-B$285/$A41/EXP(-$F$126))</f>
        <v>1.833495697796037E-4</v>
      </c>
      <c r="C311" s="3">
        <f t="shared" si="293"/>
        <v>1.833495697796037E-4</v>
      </c>
      <c r="D311" s="3">
        <f t="shared" si="293"/>
        <v>1.833495697796037E-4</v>
      </c>
      <c r="E311" s="3">
        <f t="shared" si="293"/>
        <v>1.833495697796037E-4</v>
      </c>
      <c r="F311" s="3">
        <f t="shared" si="293"/>
        <v>1.833495697796037E-4</v>
      </c>
      <c r="G311" s="3">
        <f t="shared" si="293"/>
        <v>1.833495697796037E-4</v>
      </c>
      <c r="H311" s="3">
        <f t="shared" si="293"/>
        <v>1.833495697796037E-4</v>
      </c>
      <c r="I311" s="3">
        <f t="shared" si="293"/>
        <v>1.833495697796037E-4</v>
      </c>
      <c r="J311" s="3">
        <f t="shared" si="293"/>
        <v>1.833495697796037E-4</v>
      </c>
      <c r="K311" s="3">
        <f t="shared" si="293"/>
        <v>1.833495697796037E-4</v>
      </c>
      <c r="L311" s="3">
        <f t="shared" si="293"/>
        <v>1.833495697796037E-4</v>
      </c>
      <c r="M311" s="3">
        <f t="shared" si="293"/>
        <v>1.833495697796037E-4</v>
      </c>
      <c r="N311" s="3">
        <f t="shared" si="293"/>
        <v>1.833495697796037E-4</v>
      </c>
      <c r="O311" s="3">
        <f t="shared" si="293"/>
        <v>1.833495697796037E-4</v>
      </c>
      <c r="P311" s="3">
        <f t="shared" si="293"/>
        <v>1.833495697796037E-4</v>
      </c>
      <c r="Q311" s="3">
        <f t="shared" si="293"/>
        <v>1.833495697796037E-4</v>
      </c>
      <c r="R311" s="3">
        <f t="shared" si="293"/>
        <v>1.833495697796037E-4</v>
      </c>
      <c r="S311" s="3">
        <f t="shared" si="293"/>
        <v>1.833495697796037E-4</v>
      </c>
      <c r="T311" s="3">
        <f t="shared" si="293"/>
        <v>1.833495697796037E-4</v>
      </c>
      <c r="U311" s="3">
        <f t="shared" si="293"/>
        <v>1.8334956977960368E-4</v>
      </c>
      <c r="V311" s="3">
        <f t="shared" si="293"/>
        <v>1.8334956977960357E-4</v>
      </c>
      <c r="W311" s="3">
        <f t="shared" si="293"/>
        <v>1.8334956977960251E-4</v>
      </c>
      <c r="X311" s="3">
        <f t="shared" si="293"/>
        <v>1.8334956977959175E-4</v>
      </c>
      <c r="Y311" s="3">
        <f t="shared" si="293"/>
        <v>1.833495697794842E-4</v>
      </c>
      <c r="Z311" s="3">
        <f t="shared" si="293"/>
        <v>1.8334956977840864E-4</v>
      </c>
      <c r="AA311" s="3">
        <f t="shared" si="293"/>
        <v>1.8334956976765292E-4</v>
      </c>
      <c r="AB311" s="3">
        <f t="shared" si="293"/>
        <v>1.8334956966009595E-4</v>
      </c>
      <c r="AC311" s="3">
        <f t="shared" si="293"/>
        <v>1.83349568584526E-4</v>
      </c>
      <c r="AD311" s="3">
        <f t="shared" si="293"/>
        <v>1.8334955782882707E-4</v>
      </c>
      <c r="AE311" s="3">
        <f t="shared" si="293"/>
        <v>1.8334945027187241E-4</v>
      </c>
      <c r="AF311" s="3">
        <f t="shared" si="293"/>
        <v>1.8334837470579594E-4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2.7582104941075727E-4</v>
      </c>
      <c r="C313" s="3">
        <f t="shared" si="295"/>
        <v>2.7582104941075727E-4</v>
      </c>
      <c r="D313" s="3">
        <f t="shared" si="295"/>
        <v>2.7582104941075727E-4</v>
      </c>
      <c r="E313" s="3">
        <f t="shared" si="295"/>
        <v>2.7582104941075727E-4</v>
      </c>
      <c r="F313" s="3">
        <f t="shared" si="295"/>
        <v>2.7582104941075727E-4</v>
      </c>
      <c r="G313" s="3">
        <f t="shared" si="295"/>
        <v>2.7582104941075727E-4</v>
      </c>
      <c r="H313" s="3">
        <f t="shared" si="295"/>
        <v>2.7582104941075727E-4</v>
      </c>
      <c r="I313" s="3">
        <f t="shared" si="295"/>
        <v>2.7582104941075727E-4</v>
      </c>
      <c r="J313" s="3">
        <f t="shared" si="295"/>
        <v>2.7582104941075727E-4</v>
      </c>
      <c r="K313" s="3">
        <f t="shared" si="295"/>
        <v>2.7582104941075727E-4</v>
      </c>
      <c r="L313" s="3">
        <f t="shared" si="295"/>
        <v>2.7582104941075727E-4</v>
      </c>
      <c r="M313" s="3">
        <f t="shared" si="295"/>
        <v>2.7582104941075727E-4</v>
      </c>
      <c r="N313" s="3">
        <f t="shared" si="295"/>
        <v>2.7582104941075727E-4</v>
      </c>
      <c r="O313" s="3">
        <f t="shared" si="295"/>
        <v>2.7582104941075727E-4</v>
      </c>
      <c r="P313" s="3">
        <f t="shared" si="295"/>
        <v>2.7582104941075727E-4</v>
      </c>
      <c r="Q313" s="3">
        <f t="shared" si="295"/>
        <v>2.7582104941075727E-4</v>
      </c>
      <c r="R313" s="3">
        <f t="shared" si="295"/>
        <v>2.7582104941075727E-4</v>
      </c>
      <c r="S313" s="3">
        <f t="shared" si="295"/>
        <v>2.7582104941075727E-4</v>
      </c>
      <c r="T313" s="3">
        <f t="shared" si="295"/>
        <v>2.7582104941075727E-4</v>
      </c>
      <c r="U313" s="3">
        <f t="shared" si="295"/>
        <v>2.7582104941075727E-4</v>
      </c>
      <c r="V313" s="3">
        <f t="shared" si="295"/>
        <v>2.7582104941075727E-4</v>
      </c>
      <c r="W313" s="3">
        <f t="shared" si="295"/>
        <v>2.7582104941075721E-4</v>
      </c>
      <c r="X313" s="3">
        <f t="shared" si="295"/>
        <v>2.758210494107571E-4</v>
      </c>
      <c r="Y313" s="3">
        <f t="shared" si="295"/>
        <v>2.7582104941075548E-4</v>
      </c>
      <c r="Z313" s="3">
        <f t="shared" si="295"/>
        <v>2.7582104941073927E-4</v>
      </c>
      <c r="AA313" s="3">
        <f t="shared" si="295"/>
        <v>2.758210494105775E-4</v>
      </c>
      <c r="AB313" s="3">
        <f t="shared" si="295"/>
        <v>2.7582104940895944E-4</v>
      </c>
      <c r="AC313" s="3">
        <f t="shared" si="295"/>
        <v>2.7582104939277919E-4</v>
      </c>
      <c r="AD313" s="3">
        <f t="shared" si="295"/>
        <v>2.7582104923097632E-4</v>
      </c>
      <c r="AE313" s="3">
        <f t="shared" si="295"/>
        <v>2.7582104761294786E-4</v>
      </c>
      <c r="AF313" s="3">
        <f t="shared" si="295"/>
        <v>2.7582103143266353E-4</v>
      </c>
      <c r="AG313" s="3"/>
      <c r="AH313" s="3"/>
    </row>
    <row r="314" spans="1:34" x14ac:dyDescent="0.25">
      <c r="B314" s="3">
        <f t="shared" ref="B314:AF314" si="296">$C44*EXP(-B$285/$A44/EXP(-$F$126))</f>
        <v>2.4535081143819124E-4</v>
      </c>
      <c r="C314" s="3">
        <f t="shared" si="296"/>
        <v>2.4535081143819124E-4</v>
      </c>
      <c r="D314" s="3">
        <f t="shared" si="296"/>
        <v>2.4535081143819124E-4</v>
      </c>
      <c r="E314" s="3">
        <f t="shared" si="296"/>
        <v>2.4535081143819124E-4</v>
      </c>
      <c r="F314" s="3">
        <f t="shared" si="296"/>
        <v>2.4535081143819124E-4</v>
      </c>
      <c r="G314" s="3">
        <f t="shared" si="296"/>
        <v>2.4535081143819124E-4</v>
      </c>
      <c r="H314" s="3">
        <f t="shared" si="296"/>
        <v>2.4535081143819124E-4</v>
      </c>
      <c r="I314" s="3">
        <f t="shared" si="296"/>
        <v>2.4535081143819124E-4</v>
      </c>
      <c r="J314" s="3">
        <f t="shared" si="296"/>
        <v>2.4535081143819124E-4</v>
      </c>
      <c r="K314" s="3">
        <f t="shared" si="296"/>
        <v>2.4535081143819124E-4</v>
      </c>
      <c r="L314" s="3">
        <f t="shared" si="296"/>
        <v>2.4535081143819124E-4</v>
      </c>
      <c r="M314" s="3">
        <f t="shared" si="296"/>
        <v>2.4535081143819124E-4</v>
      </c>
      <c r="N314" s="3">
        <f t="shared" si="296"/>
        <v>2.4535081143819124E-4</v>
      </c>
      <c r="O314" s="3">
        <f t="shared" si="296"/>
        <v>2.4535081143819124E-4</v>
      </c>
      <c r="P314" s="3">
        <f t="shared" si="296"/>
        <v>2.4535081143819124E-4</v>
      </c>
      <c r="Q314" s="3">
        <f t="shared" si="296"/>
        <v>2.4535081143819124E-4</v>
      </c>
      <c r="R314" s="3">
        <f t="shared" si="296"/>
        <v>2.4535081143819124E-4</v>
      </c>
      <c r="S314" s="3">
        <f t="shared" si="296"/>
        <v>2.4535081143819124E-4</v>
      </c>
      <c r="T314" s="3">
        <f t="shared" si="296"/>
        <v>2.4535081143819124E-4</v>
      </c>
      <c r="U314" s="3">
        <f t="shared" si="296"/>
        <v>2.4535081143819124E-4</v>
      </c>
      <c r="V314" s="3">
        <f t="shared" si="296"/>
        <v>2.4535081143819124E-4</v>
      </c>
      <c r="W314" s="3">
        <f t="shared" si="296"/>
        <v>2.4535081143819124E-4</v>
      </c>
      <c r="X314" s="3">
        <f t="shared" si="296"/>
        <v>2.4535081143819119E-4</v>
      </c>
      <c r="Y314" s="3">
        <f t="shared" si="296"/>
        <v>2.4535081143819108E-4</v>
      </c>
      <c r="Z314" s="3">
        <f t="shared" si="296"/>
        <v>2.4535081143818962E-4</v>
      </c>
      <c r="AA314" s="3">
        <f t="shared" si="296"/>
        <v>2.4535081143817525E-4</v>
      </c>
      <c r="AB314" s="3">
        <f t="shared" si="296"/>
        <v>2.4535081143803132E-4</v>
      </c>
      <c r="AC314" s="3">
        <f t="shared" si="296"/>
        <v>2.4535081143659205E-4</v>
      </c>
      <c r="AD314" s="3">
        <f t="shared" si="296"/>
        <v>2.4535081142219921E-4</v>
      </c>
      <c r="AE314" s="3">
        <f t="shared" si="296"/>
        <v>2.4535081127827088E-4</v>
      </c>
      <c r="AF314" s="3">
        <f t="shared" si="296"/>
        <v>2.4535080983898773E-4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1.7255643769382848E-4</v>
      </c>
      <c r="C316" s="3">
        <f t="shared" si="298"/>
        <v>1.7255643769382848E-4</v>
      </c>
      <c r="D316" s="3">
        <f t="shared" si="298"/>
        <v>1.7255643769382848E-4</v>
      </c>
      <c r="E316" s="3">
        <f t="shared" si="298"/>
        <v>1.7255643769382848E-4</v>
      </c>
      <c r="F316" s="3">
        <f t="shared" si="298"/>
        <v>1.7255643769382848E-4</v>
      </c>
      <c r="G316" s="3">
        <f t="shared" si="298"/>
        <v>1.7255643769382848E-4</v>
      </c>
      <c r="H316" s="3">
        <f t="shared" si="298"/>
        <v>1.7255643769382848E-4</v>
      </c>
      <c r="I316" s="3">
        <f t="shared" si="298"/>
        <v>1.7255643769382848E-4</v>
      </c>
      <c r="J316" s="3">
        <f t="shared" si="298"/>
        <v>1.7255643769382848E-4</v>
      </c>
      <c r="K316" s="3">
        <f t="shared" si="298"/>
        <v>1.7255643769382848E-4</v>
      </c>
      <c r="L316" s="3">
        <f t="shared" si="298"/>
        <v>1.7255643769382848E-4</v>
      </c>
      <c r="M316" s="3">
        <f t="shared" si="298"/>
        <v>1.7255643769382848E-4</v>
      </c>
      <c r="N316" s="3">
        <f t="shared" si="298"/>
        <v>1.7255643769382848E-4</v>
      </c>
      <c r="O316" s="3">
        <f t="shared" si="298"/>
        <v>1.7255643769382848E-4</v>
      </c>
      <c r="P316" s="3">
        <f t="shared" si="298"/>
        <v>1.7255643769382848E-4</v>
      </c>
      <c r="Q316" s="3">
        <f t="shared" si="298"/>
        <v>1.7255643769382848E-4</v>
      </c>
      <c r="R316" s="3">
        <f t="shared" si="298"/>
        <v>1.7255643769382848E-4</v>
      </c>
      <c r="S316" s="3">
        <f t="shared" si="298"/>
        <v>1.7255643769382848E-4</v>
      </c>
      <c r="T316" s="3">
        <f t="shared" si="298"/>
        <v>1.7255643769382848E-4</v>
      </c>
      <c r="U316" s="3">
        <f t="shared" si="298"/>
        <v>1.7255643769382848E-4</v>
      </c>
      <c r="V316" s="3">
        <f t="shared" si="298"/>
        <v>1.7255643769382848E-4</v>
      </c>
      <c r="W316" s="3">
        <f t="shared" si="298"/>
        <v>1.7255643769382848E-4</v>
      </c>
      <c r="X316" s="3">
        <f t="shared" si="298"/>
        <v>1.7255643769382848E-4</v>
      </c>
      <c r="Y316" s="3">
        <f t="shared" si="298"/>
        <v>1.7255643769382848E-4</v>
      </c>
      <c r="Z316" s="3">
        <f t="shared" si="298"/>
        <v>1.7255643769382845E-4</v>
      </c>
      <c r="AA316" s="3">
        <f t="shared" si="298"/>
        <v>1.7255643769382837E-4</v>
      </c>
      <c r="AB316" s="3">
        <f t="shared" si="298"/>
        <v>1.7255643769382734E-4</v>
      </c>
      <c r="AC316" s="3">
        <f t="shared" si="298"/>
        <v>1.7255643769381723E-4</v>
      </c>
      <c r="AD316" s="3">
        <f t="shared" si="298"/>
        <v>1.7255643769371599E-4</v>
      </c>
      <c r="AE316" s="3">
        <f t="shared" si="298"/>
        <v>1.7255643769270376E-4</v>
      </c>
      <c r="AF316" s="3">
        <f t="shared" si="298"/>
        <v>1.7255643768258121E-4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0.14635813832822844</v>
      </c>
      <c r="B319" s="80">
        <f>IF($A$64&lt;=B285,IF($B$64&gt;=B285,ABS((B287-B286)/B286),0),0)</f>
        <v>2.2194112374038441E-2</v>
      </c>
      <c r="C319" s="80">
        <f t="shared" ref="C319:AF319" si="301">IF($A$64&lt;=C285,IF($B$64&gt;=C285,ABS((C287-C286)/C286),0),0)</f>
        <v>5.2501044104393366E-2</v>
      </c>
      <c r="D319" s="80">
        <f t="shared" si="301"/>
        <v>7.1254148278906804E-2</v>
      </c>
      <c r="E319" s="80">
        <f t="shared" si="301"/>
        <v>9.0093706418392719E-2</v>
      </c>
      <c r="F319" s="80">
        <f t="shared" si="301"/>
        <v>0.10963776517467463</v>
      </c>
      <c r="G319" s="80">
        <f t="shared" si="301"/>
        <v>0.11092373819153536</v>
      </c>
      <c r="H319" s="80">
        <f t="shared" si="301"/>
        <v>3.5125194578973888E-2</v>
      </c>
      <c r="I319" s="80">
        <f t="shared" si="301"/>
        <v>0.23179555623721801</v>
      </c>
      <c r="J319" s="80">
        <f t="shared" si="301"/>
        <v>0.20890363782958549</v>
      </c>
      <c r="K319" s="80">
        <f t="shared" si="301"/>
        <v>0.18589817477465168</v>
      </c>
      <c r="L319" s="80">
        <f t="shared" si="301"/>
        <v>0.15774025915878695</v>
      </c>
      <c r="M319" s="80">
        <f t="shared" si="301"/>
        <v>0.12231539355649158</v>
      </c>
      <c r="N319" s="80">
        <f t="shared" si="301"/>
        <v>9.0714998720222456E-2</v>
      </c>
      <c r="O319" s="80">
        <f t="shared" si="301"/>
        <v>0.10701129130222303</v>
      </c>
      <c r="P319" s="80">
        <f t="shared" si="301"/>
        <v>0.10977225785161177</v>
      </c>
      <c r="Q319" s="80">
        <f t="shared" si="301"/>
        <v>0.10829550033357134</v>
      </c>
      <c r="R319" s="80">
        <f t="shared" si="301"/>
        <v>9.5284844959910298E-2</v>
      </c>
      <c r="S319" s="80">
        <f t="shared" si="301"/>
        <v>2.2268466757342828E-2</v>
      </c>
      <c r="T319" s="80">
        <f t="shared" si="301"/>
        <v>9.5148535340653775E-2</v>
      </c>
      <c r="U319" s="80">
        <f t="shared" si="301"/>
        <v>0.20242998201563855</v>
      </c>
      <c r="V319" s="80">
        <f t="shared" si="301"/>
        <v>0.25525976474824097</v>
      </c>
      <c r="W319" s="80">
        <f t="shared" si="301"/>
        <v>0.23196751006818617</v>
      </c>
      <c r="X319" s="80">
        <f t="shared" si="301"/>
        <v>0.13541104418177663</v>
      </c>
      <c r="Y319" s="80">
        <f t="shared" si="301"/>
        <v>1.3596841505421993E-2</v>
      </c>
      <c r="Z319" s="80">
        <f t="shared" si="301"/>
        <v>5.7493347367037366E-2</v>
      </c>
      <c r="AA319" s="80">
        <f t="shared" si="301"/>
        <v>1.0497076481860787E-2</v>
      </c>
      <c r="AB319" s="80">
        <f t="shared" si="301"/>
        <v>0.17043154122906962</v>
      </c>
      <c r="AC319" s="80">
        <f t="shared" si="301"/>
        <v>0.40174454904370693</v>
      </c>
      <c r="AD319" s="80">
        <f t="shared" si="301"/>
        <v>0.45715634857767068</v>
      </c>
      <c r="AE319" s="80">
        <f t="shared" si="301"/>
        <v>0.34349186466775244</v>
      </c>
      <c r="AF319" s="80">
        <f t="shared" si="301"/>
        <v>0.23074379234553516</v>
      </c>
    </row>
    <row r="320" spans="1:34" x14ac:dyDescent="0.25">
      <c r="B320" s="21">
        <f>(B287-B286)^2</f>
        <v>23049.537544732193</v>
      </c>
      <c r="C320" s="21">
        <f t="shared" ref="C320:AF320" si="302">(C287-C286)^2</f>
        <v>121658.47926924807</v>
      </c>
      <c r="D320" s="21">
        <f t="shared" si="302"/>
        <v>216305.97963016355</v>
      </c>
      <c r="E320" s="21">
        <f t="shared" si="302"/>
        <v>333819.20929278142</v>
      </c>
      <c r="F320" s="21">
        <f t="shared" si="302"/>
        <v>475094.5389694529</v>
      </c>
      <c r="G320" s="21">
        <f t="shared" si="302"/>
        <v>465585.31051948766</v>
      </c>
      <c r="H320" s="21">
        <f t="shared" si="302"/>
        <v>44402.097941022068</v>
      </c>
      <c r="I320" s="21">
        <f t="shared" si="302"/>
        <v>1828822.7886614639</v>
      </c>
      <c r="J320" s="21">
        <f t="shared" si="302"/>
        <v>1398386.9580201365</v>
      </c>
      <c r="K320" s="21">
        <f t="shared" si="302"/>
        <v>1045624.4225571682</v>
      </c>
      <c r="L320" s="21">
        <f t="shared" si="302"/>
        <v>703175.80485721328</v>
      </c>
      <c r="M320" s="21">
        <f t="shared" si="302"/>
        <v>388368.59312311251</v>
      </c>
      <c r="N320" s="21">
        <f t="shared" si="302"/>
        <v>194344.70667240481</v>
      </c>
      <c r="O320" s="21">
        <f t="shared" si="302"/>
        <v>248014.98557998941</v>
      </c>
      <c r="P320" s="21">
        <f t="shared" si="302"/>
        <v>240679.98765233936</v>
      </c>
      <c r="Q320" s="21">
        <f t="shared" si="302"/>
        <v>213630.16459934041</v>
      </c>
      <c r="R320" s="21">
        <f t="shared" si="302"/>
        <v>143585.4641667273</v>
      </c>
      <c r="S320" s="21">
        <f t="shared" si="302"/>
        <v>5887.4232443182091</v>
      </c>
      <c r="T320" s="21">
        <f t="shared" si="302"/>
        <v>72987.231410556094</v>
      </c>
      <c r="U320" s="21">
        <f t="shared" si="302"/>
        <v>224104.82373082067</v>
      </c>
      <c r="V320" s="21">
        <f t="shared" si="302"/>
        <v>250392.82264242665</v>
      </c>
      <c r="W320" s="21">
        <f t="shared" si="302"/>
        <v>147618.93673844787</v>
      </c>
      <c r="X320" s="21">
        <f t="shared" si="302"/>
        <v>35285.244153596395</v>
      </c>
      <c r="Y320" s="21">
        <f t="shared" si="302"/>
        <v>231.94952126343611</v>
      </c>
      <c r="Z320" s="21">
        <f t="shared" si="302"/>
        <v>2384.2686144194386</v>
      </c>
      <c r="AA320" s="21">
        <f t="shared" si="302"/>
        <v>39.935523658414795</v>
      </c>
      <c r="AB320" s="21">
        <f t="shared" si="302"/>
        <v>4991.7978249757934</v>
      </c>
      <c r="AC320" s="21">
        <f t="shared" si="302"/>
        <v>14214.223680789019</v>
      </c>
      <c r="AD320" s="21">
        <f t="shared" si="302"/>
        <v>11689.778496188155</v>
      </c>
      <c r="AE320" s="21">
        <f t="shared" si="302"/>
        <v>5038.4228097179493</v>
      </c>
      <c r="AF320" s="21">
        <f t="shared" si="302"/>
        <v>1958.788860522259</v>
      </c>
      <c r="AG320" s="3"/>
      <c r="AH320" s="3"/>
    </row>
    <row r="321" spans="1:34" x14ac:dyDescent="0.25">
      <c r="A321" s="71">
        <f>SUM(B321:AF321)</f>
        <v>8861374.6763084847</v>
      </c>
      <c r="B321" s="60">
        <f>IF($A$64&lt;=B285,IF($B$64&gt;=B285,ABS(B320),0),0)</f>
        <v>23049.537544732193</v>
      </c>
      <c r="C321" s="60">
        <f t="shared" ref="C321" si="303">IF($A$64&lt;=C285,IF($B$64&gt;=C285,ABS(C320),0),0)</f>
        <v>121658.47926924807</v>
      </c>
      <c r="D321" s="60">
        <f t="shared" ref="D321" si="304">IF($A$64&lt;=D285,IF($B$64&gt;=D285,ABS(D320),0),0)</f>
        <v>216305.97963016355</v>
      </c>
      <c r="E321" s="60">
        <f t="shared" ref="E321" si="305">IF($A$64&lt;=E285,IF($B$64&gt;=E285,ABS(E320),0),0)</f>
        <v>333819.20929278142</v>
      </c>
      <c r="F321" s="60">
        <f t="shared" ref="F321" si="306">IF($A$64&lt;=F285,IF($B$64&gt;=F285,ABS(F320),0),0)</f>
        <v>475094.5389694529</v>
      </c>
      <c r="G321" s="60">
        <f t="shared" ref="G321" si="307">IF($A$64&lt;=G285,IF($B$64&gt;=G285,ABS(G320),0),0)</f>
        <v>465585.31051948766</v>
      </c>
      <c r="H321" s="60">
        <f t="shared" ref="H321" si="308">IF($A$64&lt;=H285,IF($B$64&gt;=H285,ABS(H320),0),0)</f>
        <v>44402.097941022068</v>
      </c>
      <c r="I321" s="60">
        <f t="shared" ref="I321" si="309">IF($A$64&lt;=I285,IF($B$64&gt;=I285,ABS(I320),0),0)</f>
        <v>1828822.7886614639</v>
      </c>
      <c r="J321" s="60">
        <f t="shared" ref="J321" si="310">IF($A$64&lt;=J285,IF($B$64&gt;=J285,ABS(J320),0),0)</f>
        <v>1398386.9580201365</v>
      </c>
      <c r="K321" s="60">
        <f t="shared" ref="K321" si="311">IF($A$64&lt;=K285,IF($B$64&gt;=K285,ABS(K320),0),0)</f>
        <v>1045624.4225571682</v>
      </c>
      <c r="L321" s="60">
        <f t="shared" ref="L321" si="312">IF($A$64&lt;=L285,IF($B$64&gt;=L285,ABS(L320),0),0)</f>
        <v>703175.80485721328</v>
      </c>
      <c r="M321" s="60">
        <f t="shared" ref="M321" si="313">IF($A$64&lt;=M285,IF($B$64&gt;=M285,ABS(M320),0),0)</f>
        <v>388368.59312311251</v>
      </c>
      <c r="N321" s="60">
        <f t="shared" ref="N321" si="314">IF($A$64&lt;=N285,IF($B$64&gt;=N285,ABS(N320),0),0)</f>
        <v>194344.70667240481</v>
      </c>
      <c r="O321" s="60">
        <f t="shared" ref="O321" si="315">IF($A$64&lt;=O285,IF($B$64&gt;=O285,ABS(O320),0),0)</f>
        <v>248014.98557998941</v>
      </c>
      <c r="P321" s="60">
        <f t="shared" ref="P321" si="316">IF($A$64&lt;=P285,IF($B$64&gt;=P285,ABS(P320),0),0)</f>
        <v>240679.98765233936</v>
      </c>
      <c r="Q321" s="60">
        <f t="shared" ref="Q321" si="317">IF($A$64&lt;=Q285,IF($B$64&gt;=Q285,ABS(Q320),0),0)</f>
        <v>213630.16459934041</v>
      </c>
      <c r="R321" s="60">
        <f t="shared" ref="R321" si="318">IF($A$64&lt;=R285,IF($B$64&gt;=R285,ABS(R320),0),0)</f>
        <v>143585.4641667273</v>
      </c>
      <c r="S321" s="60">
        <f t="shared" ref="S321" si="319">IF($A$64&lt;=S285,IF($B$64&gt;=S285,ABS(S320),0),0)</f>
        <v>5887.4232443182091</v>
      </c>
      <c r="T321" s="60">
        <f t="shared" ref="T321" si="320">IF($A$64&lt;=T285,IF($B$64&gt;=T285,ABS(T320),0),0)</f>
        <v>72987.231410556094</v>
      </c>
      <c r="U321" s="60">
        <f t="shared" ref="U321" si="321">IF($A$64&lt;=U285,IF($B$64&gt;=U285,ABS(U320),0),0)</f>
        <v>224104.82373082067</v>
      </c>
      <c r="V321" s="60">
        <f t="shared" ref="V321" si="322">IF($A$64&lt;=V285,IF($B$64&gt;=V285,ABS(V320),0),0)</f>
        <v>250392.82264242665</v>
      </c>
      <c r="W321" s="60">
        <f t="shared" ref="W321" si="323">IF($A$64&lt;=W285,IF($B$64&gt;=W285,ABS(W320),0),0)</f>
        <v>147618.93673844787</v>
      </c>
      <c r="X321" s="60">
        <f t="shared" ref="X321" si="324">IF($A$64&lt;=X285,IF($B$64&gt;=X285,ABS(X320),0),0)</f>
        <v>35285.244153596395</v>
      </c>
      <c r="Y321" s="60">
        <f t="shared" ref="Y321" si="325">IF($A$64&lt;=Y285,IF($B$64&gt;=Y285,ABS(Y320),0),0)</f>
        <v>231.94952126343611</v>
      </c>
      <c r="Z321" s="60">
        <f t="shared" ref="Z321" si="326">IF($A$64&lt;=Z285,IF($B$64&gt;=Z285,ABS(Z320),0),0)</f>
        <v>2384.2686144194386</v>
      </c>
      <c r="AA321" s="60">
        <f t="shared" ref="AA321" si="327">IF($A$64&lt;=AA285,IF($B$64&gt;=AA285,ABS(AA320),0),0)</f>
        <v>39.935523658414795</v>
      </c>
      <c r="AB321" s="60">
        <f t="shared" ref="AB321" si="328">IF($A$64&lt;=AB285,IF($B$64&gt;=AB285,ABS(AB320),0),0)</f>
        <v>4991.7978249757934</v>
      </c>
      <c r="AC321" s="60">
        <f t="shared" ref="AC321" si="329">IF($A$64&lt;=AC285,IF($B$64&gt;=AC285,ABS(AC320),0),0)</f>
        <v>14214.223680789019</v>
      </c>
      <c r="AD321" s="60">
        <f t="shared" ref="AD321" si="330">IF($A$64&lt;=AD285,IF($B$64&gt;=AD285,ABS(AD320),0),0)</f>
        <v>11689.778496188155</v>
      </c>
      <c r="AE321" s="60">
        <f t="shared" ref="AE321" si="331">IF($A$64&lt;=AE285,IF($B$64&gt;=AE285,ABS(AE320),0),0)</f>
        <v>5038.4228097179493</v>
      </c>
      <c r="AF321" s="60">
        <f t="shared" ref="AF321" si="332">IF($A$64&lt;=AF285,IF($B$64&gt;=AF285,ABS(AF320),0),0)</f>
        <v>1958.788860522259</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6711.1064429412918</v>
      </c>
      <c r="C326" s="27">
        <f t="shared" ref="C326:AF326" si="333">($C$17+SUM(C327:C357))*$B$51</f>
        <v>5245.7078285486596</v>
      </c>
      <c r="D326" s="27">
        <f t="shared" si="333"/>
        <v>4478.1567482884329</v>
      </c>
      <c r="E326" s="27">
        <f t="shared" si="333"/>
        <v>4478.1285475495579</v>
      </c>
      <c r="F326" s="27">
        <f t="shared" si="333"/>
        <v>4478.0233472804039</v>
      </c>
      <c r="G326" s="27">
        <f t="shared" si="333"/>
        <v>4476.9728748876942</v>
      </c>
      <c r="H326" s="27">
        <f t="shared" si="333"/>
        <v>4466.6196473347918</v>
      </c>
      <c r="I326" s="27">
        <f t="shared" si="333"/>
        <v>4376.8134224968035</v>
      </c>
      <c r="J326" s="27">
        <f t="shared" si="333"/>
        <v>4088.3552965587751</v>
      </c>
      <c r="K326" s="27">
        <f t="shared" si="333"/>
        <v>3938.051315842145</v>
      </c>
      <c r="L326" s="27">
        <f t="shared" si="333"/>
        <v>3751.1576311203912</v>
      </c>
      <c r="M326" s="27">
        <f t="shared" si="333"/>
        <v>3534.6531435273782</v>
      </c>
      <c r="N326" s="27">
        <f t="shared" si="333"/>
        <v>3298.6816057770338</v>
      </c>
      <c r="O326" s="27">
        <f t="shared" si="333"/>
        <v>3027.4376211083031</v>
      </c>
      <c r="P326" s="27">
        <f t="shared" si="333"/>
        <v>2717.6306714996822</v>
      </c>
      <c r="Q326" s="27">
        <f t="shared" si="333"/>
        <v>2347.0094988193287</v>
      </c>
      <c r="R326" s="27">
        <f t="shared" si="333"/>
        <v>1909.4839518023175</v>
      </c>
      <c r="S326" s="27">
        <f t="shared" si="333"/>
        <v>1444.9760746981153</v>
      </c>
      <c r="T326" s="27">
        <f t="shared" si="333"/>
        <v>1033.3002569717296</v>
      </c>
      <c r="U326" s="27">
        <f t="shared" si="333"/>
        <v>738.65965562878353</v>
      </c>
      <c r="V326" s="27">
        <f t="shared" si="333"/>
        <v>563.74064366478706</v>
      </c>
      <c r="W326" s="27">
        <f t="shared" si="333"/>
        <v>467.98445313223789</v>
      </c>
      <c r="X326" s="27">
        <f t="shared" si="333"/>
        <v>399.13182338907268</v>
      </c>
      <c r="Y326" s="27">
        <f t="shared" si="333"/>
        <v>327.84926851360234</v>
      </c>
      <c r="Z326" s="27">
        <f t="shared" si="333"/>
        <v>267.15015082488407</v>
      </c>
      <c r="AA326" s="27">
        <f t="shared" si="333"/>
        <v>227.84095837152762</v>
      </c>
      <c r="AB326" s="27">
        <f t="shared" si="333"/>
        <v>197.79092711496455</v>
      </c>
      <c r="AC326" s="27">
        <f t="shared" si="333"/>
        <v>181.94230115101297</v>
      </c>
      <c r="AD326" s="27">
        <f t="shared" si="333"/>
        <v>174.26161072055217</v>
      </c>
      <c r="AE326" s="27">
        <f t="shared" si="333"/>
        <v>169.46635758052193</v>
      </c>
      <c r="AF326" s="27">
        <f t="shared" si="333"/>
        <v>166.76175983934789</v>
      </c>
      <c r="AG326" s="27"/>
      <c r="AH326" s="27"/>
    </row>
    <row r="327" spans="1:34" x14ac:dyDescent="0.25">
      <c r="B327" s="3">
        <f t="shared" ref="B327:AF327" si="334">$C18*EXP(-B$363/$A18/EXP(-$G$126))</f>
        <v>0.31934149050019134</v>
      </c>
      <c r="C327" s="3">
        <f t="shared" si="334"/>
        <v>0.10977157374527403</v>
      </c>
      <c r="D327" s="3">
        <f t="shared" si="334"/>
        <v>2.5283390708358619E-6</v>
      </c>
      <c r="E327" s="3">
        <f t="shared" si="334"/>
        <v>1.0624036888873026E-52</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5.3087679853003743E-2</v>
      </c>
      <c r="C328" s="3">
        <f t="shared" si="335"/>
        <v>5.3087665331563796E-2</v>
      </c>
      <c r="D328" s="3">
        <f t="shared" si="335"/>
        <v>5.3087520117382762E-2</v>
      </c>
      <c r="E328" s="3">
        <f t="shared" si="335"/>
        <v>5.3086067997419009E-2</v>
      </c>
      <c r="F328" s="3">
        <f t="shared" si="335"/>
        <v>5.3071548982218907E-2</v>
      </c>
      <c r="G328" s="3">
        <f t="shared" si="335"/>
        <v>5.2926577053036557E-2</v>
      </c>
      <c r="H328" s="3">
        <f t="shared" si="335"/>
        <v>5.1498460789331998E-2</v>
      </c>
      <c r="I328" s="3">
        <f t="shared" si="335"/>
        <v>3.917406698613337E-2</v>
      </c>
      <c r="J328" s="3">
        <f t="shared" si="335"/>
        <v>2.5412230705519423E-3</v>
      </c>
      <c r="K328" s="3">
        <f t="shared" si="335"/>
        <v>3.3533900208781204E-15</v>
      </c>
      <c r="L328" s="3">
        <f t="shared" si="335"/>
        <v>5.3690425949527748E-134</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1.8548614855001887E-2</v>
      </c>
      <c r="C329" s="3">
        <f t="shared" si="336"/>
        <v>1.85486143973091E-2</v>
      </c>
      <c r="D329" s="3">
        <f t="shared" si="336"/>
        <v>1.8548609820381871E-2</v>
      </c>
      <c r="E329" s="3">
        <f t="shared" si="336"/>
        <v>1.8548564051171681E-2</v>
      </c>
      <c r="F329" s="3">
        <f t="shared" si="336"/>
        <v>1.8548106365281251E-2</v>
      </c>
      <c r="G329" s="3">
        <f t="shared" si="336"/>
        <v>1.8543530127468073E-2</v>
      </c>
      <c r="H329" s="3">
        <f t="shared" si="336"/>
        <v>1.8497829801777391E-2</v>
      </c>
      <c r="I329" s="3">
        <f t="shared" si="336"/>
        <v>1.8046975507933521E-2</v>
      </c>
      <c r="J329" s="3">
        <f t="shared" si="336"/>
        <v>1.4100708233587883E-2</v>
      </c>
      <c r="K329" s="3">
        <f t="shared" si="336"/>
        <v>1.1956550467677718E-3</v>
      </c>
      <c r="L329" s="3">
        <f t="shared" si="336"/>
        <v>2.2975006882029256E-14</v>
      </c>
      <c r="M329" s="3">
        <f t="shared" si="336"/>
        <v>1.5767147793464351E-121</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2.7428318793935615E-2</v>
      </c>
      <c r="C330" s="3">
        <f t="shared" si="337"/>
        <v>2.7428318732882425E-2</v>
      </c>
      <c r="D330" s="3">
        <f t="shared" si="337"/>
        <v>2.7428318122350522E-2</v>
      </c>
      <c r="E330" s="3">
        <f t="shared" si="337"/>
        <v>2.742831201703225E-2</v>
      </c>
      <c r="F330" s="3">
        <f t="shared" si="337"/>
        <v>2.7428250963924275E-2</v>
      </c>
      <c r="G330" s="3">
        <f t="shared" si="337"/>
        <v>2.742764044031892E-2</v>
      </c>
      <c r="H330" s="3">
        <f t="shared" si="337"/>
        <v>2.7421535951643688E-2</v>
      </c>
      <c r="I330" s="3">
        <f t="shared" si="337"/>
        <v>2.7360565741206572E-2</v>
      </c>
      <c r="J330" s="3">
        <f t="shared" si="337"/>
        <v>2.6758270130185106E-2</v>
      </c>
      <c r="K330" s="3">
        <f t="shared" si="337"/>
        <v>2.1418430296755591E-2</v>
      </c>
      <c r="L330" s="3">
        <f t="shared" si="337"/>
        <v>2.3125104034363722E-3</v>
      </c>
      <c r="M330" s="3">
        <f t="shared" si="337"/>
        <v>4.9778780649591153E-13</v>
      </c>
      <c r="N330" s="3">
        <f t="shared" si="337"/>
        <v>1.0632853840153583E-109</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3.2244311762286516E-2</v>
      </c>
      <c r="C331" s="3">
        <f t="shared" si="338"/>
        <v>3.224431175581198E-2</v>
      </c>
      <c r="D331" s="3">
        <f t="shared" si="338"/>
        <v>3.2244311691066584E-2</v>
      </c>
      <c r="E331" s="3">
        <f t="shared" si="338"/>
        <v>3.2244311043612646E-2</v>
      </c>
      <c r="F331" s="3">
        <f t="shared" si="338"/>
        <v>3.2244304569073991E-2</v>
      </c>
      <c r="G331" s="3">
        <f t="shared" si="338"/>
        <v>3.2244239823758888E-2</v>
      </c>
      <c r="H331" s="3">
        <f t="shared" si="338"/>
        <v>3.2243592377758208E-2</v>
      </c>
      <c r="I331" s="3">
        <f t="shared" si="338"/>
        <v>3.22371186327274E-2</v>
      </c>
      <c r="J331" s="3">
        <f t="shared" si="338"/>
        <v>3.2172452626933482E-2</v>
      </c>
      <c r="K331" s="3">
        <f t="shared" si="338"/>
        <v>3.1532884224846736E-2</v>
      </c>
      <c r="L331" s="3">
        <f t="shared" si="338"/>
        <v>2.5796391434929143E-2</v>
      </c>
      <c r="M331" s="3">
        <f t="shared" si="338"/>
        <v>3.4634711843175565E-3</v>
      </c>
      <c r="N331" s="3">
        <f t="shared" si="338"/>
        <v>6.592312444791934E-12</v>
      </c>
      <c r="O331" s="3">
        <f t="shared" si="338"/>
        <v>4.1143366339973369E-99</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3.4402319244259842E-2</v>
      </c>
      <c r="C332" s="3">
        <f t="shared" si="339"/>
        <v>3.4402319243636695E-2</v>
      </c>
      <c r="D332" s="3">
        <f t="shared" si="339"/>
        <v>3.4402319237405228E-2</v>
      </c>
      <c r="E332" s="3">
        <f t="shared" si="339"/>
        <v>3.4402319175090589E-2</v>
      </c>
      <c r="F332" s="3">
        <f t="shared" si="339"/>
        <v>3.4402318551944207E-2</v>
      </c>
      <c r="G332" s="3">
        <f t="shared" si="339"/>
        <v>3.4402312320481007E-2</v>
      </c>
      <c r="H332" s="3">
        <f t="shared" si="339"/>
        <v>3.4402250005911086E-2</v>
      </c>
      <c r="I332" s="3">
        <f t="shared" si="339"/>
        <v>3.4401626866419871E-2</v>
      </c>
      <c r="J332" s="3">
        <f t="shared" si="339"/>
        <v>3.439539609226637E-2</v>
      </c>
      <c r="K332" s="3">
        <f t="shared" si="339"/>
        <v>3.4333150385015172E-2</v>
      </c>
      <c r="L332" s="3">
        <f t="shared" si="339"/>
        <v>3.3716855366213203E-2</v>
      </c>
      <c r="M332" s="3">
        <f t="shared" si="339"/>
        <v>2.8130738564250454E-2</v>
      </c>
      <c r="N332" s="3">
        <f t="shared" si="339"/>
        <v>4.5975011954447953E-3</v>
      </c>
      <c r="O332" s="3">
        <f t="shared" si="339"/>
        <v>6.2507051483576762E-11</v>
      </c>
      <c r="P332" s="3">
        <f t="shared" si="339"/>
        <v>1.3489648643396616E-89</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4.0521812648834137E-2</v>
      </c>
      <c r="C333" s="3">
        <f t="shared" si="340"/>
        <v>4.0521812648767926E-2</v>
      </c>
      <c r="D333" s="3">
        <f t="shared" si="340"/>
        <v>4.0521812648105796E-2</v>
      </c>
      <c r="E333" s="3">
        <f t="shared" si="340"/>
        <v>4.0521812641484585E-2</v>
      </c>
      <c r="F333" s="3">
        <f t="shared" si="340"/>
        <v>4.0521812575272417E-2</v>
      </c>
      <c r="G333" s="3">
        <f t="shared" si="340"/>
        <v>4.0521811913150727E-2</v>
      </c>
      <c r="H333" s="3">
        <f t="shared" si="340"/>
        <v>4.0521805291934471E-2</v>
      </c>
      <c r="I333" s="3">
        <f t="shared" si="340"/>
        <v>4.0521739079831379E-2</v>
      </c>
      <c r="J333" s="3">
        <f t="shared" si="340"/>
        <v>4.0521076964750838E-2</v>
      </c>
      <c r="K333" s="3">
        <f t="shared" si="340"/>
        <v>4.0514456408950038E-2</v>
      </c>
      <c r="L333" s="3">
        <f t="shared" si="340"/>
        <v>4.0448310315439842E-2</v>
      </c>
      <c r="M333" s="3">
        <f t="shared" si="340"/>
        <v>3.9792760035924829E-2</v>
      </c>
      <c r="N333" s="3">
        <f t="shared" si="340"/>
        <v>3.379409738053897E-2</v>
      </c>
      <c r="O333" s="3">
        <f t="shared" si="340"/>
        <v>6.594907879356824E-3</v>
      </c>
      <c r="P333" s="3">
        <f t="shared" si="340"/>
        <v>5.2830844942780063E-10</v>
      </c>
      <c r="Q333" s="3">
        <f t="shared" si="340"/>
        <v>5.7501051592767969E-81</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4.5710826159457381E-2</v>
      </c>
      <c r="C334" s="3">
        <f t="shared" si="341"/>
        <v>4.5710826159450643E-2</v>
      </c>
      <c r="D334" s="3">
        <f t="shared" si="341"/>
        <v>4.5710826159383267E-2</v>
      </c>
      <c r="E334" s="3">
        <f t="shared" si="341"/>
        <v>4.5710826158709493E-2</v>
      </c>
      <c r="F334" s="3">
        <f t="shared" si="341"/>
        <v>4.5710826151971751E-2</v>
      </c>
      <c r="G334" s="3">
        <f t="shared" si="341"/>
        <v>4.5710826084594286E-2</v>
      </c>
      <c r="H334" s="3">
        <f t="shared" si="341"/>
        <v>4.5710825410819729E-2</v>
      </c>
      <c r="I334" s="3">
        <f t="shared" si="341"/>
        <v>4.5710818673074666E-2</v>
      </c>
      <c r="J334" s="3">
        <f t="shared" si="341"/>
        <v>4.571075129567867E-2</v>
      </c>
      <c r="K334" s="3">
        <f t="shared" si="341"/>
        <v>4.5710077527180953E-2</v>
      </c>
      <c r="L334" s="3">
        <f t="shared" si="341"/>
        <v>4.5703340388397289E-2</v>
      </c>
      <c r="M334" s="3">
        <f t="shared" si="341"/>
        <v>4.5636023590134411E-2</v>
      </c>
      <c r="N334" s="3">
        <f t="shared" si="341"/>
        <v>4.4968284909974218E-2</v>
      </c>
      <c r="O334" s="3">
        <f t="shared" si="341"/>
        <v>3.8805349861919067E-2</v>
      </c>
      <c r="P334" s="3">
        <f t="shared" si="341"/>
        <v>8.8867793550716639E-3</v>
      </c>
      <c r="Q334" s="3">
        <f t="shared" si="341"/>
        <v>3.5259190621285985E-9</v>
      </c>
      <c r="R334" s="3">
        <f t="shared" si="341"/>
        <v>3.4084093840592665E-73</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5.6199564041852397E-2</v>
      </c>
      <c r="C335" s="3">
        <f t="shared" si="342"/>
        <v>5.6199564041851648E-2</v>
      </c>
      <c r="D335" s="3">
        <f t="shared" si="342"/>
        <v>5.6199564041844174E-2</v>
      </c>
      <c r="E335" s="3">
        <f t="shared" si="342"/>
        <v>5.6199564041769449E-2</v>
      </c>
      <c r="F335" s="3">
        <f t="shared" si="342"/>
        <v>5.6199564041022186E-2</v>
      </c>
      <c r="G335" s="3">
        <f t="shared" si="342"/>
        <v>5.6199564033549532E-2</v>
      </c>
      <c r="H335" s="3">
        <f t="shared" si="342"/>
        <v>5.6199563958822953E-2</v>
      </c>
      <c r="I335" s="3">
        <f t="shared" si="342"/>
        <v>5.6199563211557196E-2</v>
      </c>
      <c r="J335" s="3">
        <f t="shared" si="342"/>
        <v>5.6199555738900259E-2</v>
      </c>
      <c r="K335" s="3">
        <f t="shared" si="342"/>
        <v>5.6199481012385442E-2</v>
      </c>
      <c r="L335" s="3">
        <f t="shared" si="342"/>
        <v>5.6198733752702172E-2</v>
      </c>
      <c r="M335" s="3">
        <f t="shared" si="342"/>
        <v>5.6191261702326654E-2</v>
      </c>
      <c r="N335" s="3">
        <f t="shared" si="342"/>
        <v>5.6116595817418076E-2</v>
      </c>
      <c r="O335" s="3">
        <f t="shared" si="342"/>
        <v>5.5375372077139849E-2</v>
      </c>
      <c r="P335" s="3">
        <f t="shared" si="342"/>
        <v>4.8480830831272095E-2</v>
      </c>
      <c r="Q335" s="3">
        <f t="shared" si="342"/>
        <v>1.282637753936162E-2</v>
      </c>
      <c r="R335" s="3">
        <f t="shared" si="342"/>
        <v>2.1549821191836598E-8</v>
      </c>
      <c r="S335" s="3">
        <f t="shared" si="342"/>
        <v>3.8622482961124258E-66</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6.8321253158217687E-2</v>
      </c>
      <c r="C336" s="3">
        <f t="shared" si="343"/>
        <v>6.8321253158217604E-2</v>
      </c>
      <c r="D336" s="3">
        <f t="shared" si="343"/>
        <v>6.8321253158216785E-2</v>
      </c>
      <c r="E336" s="3">
        <f t="shared" si="343"/>
        <v>6.8321253158208597E-2</v>
      </c>
      <c r="F336" s="3">
        <f t="shared" si="343"/>
        <v>6.8321253158126649E-2</v>
      </c>
      <c r="G336" s="3">
        <f t="shared" si="343"/>
        <v>6.8321253157307152E-2</v>
      </c>
      <c r="H336" s="3">
        <f t="shared" si="343"/>
        <v>6.8321253149112235E-2</v>
      </c>
      <c r="I336" s="3">
        <f t="shared" si="343"/>
        <v>6.8321253067163079E-2</v>
      </c>
      <c r="J336" s="3">
        <f t="shared" si="343"/>
        <v>6.8321252247671396E-2</v>
      </c>
      <c r="K336" s="3">
        <f t="shared" si="343"/>
        <v>6.8321244052755206E-2</v>
      </c>
      <c r="L336" s="3">
        <f t="shared" si="343"/>
        <v>6.8321162103647332E-2</v>
      </c>
      <c r="M336" s="3">
        <f t="shared" si="343"/>
        <v>6.8320342617974789E-2</v>
      </c>
      <c r="N336" s="3">
        <f t="shared" si="343"/>
        <v>6.8312148301847467E-2</v>
      </c>
      <c r="O336" s="3">
        <f t="shared" si="343"/>
        <v>6.8230259176404101E-2</v>
      </c>
      <c r="P336" s="3">
        <f t="shared" si="343"/>
        <v>6.7416747600422516E-2</v>
      </c>
      <c r="Q336" s="3">
        <f t="shared" si="343"/>
        <v>5.9796471343274135E-2</v>
      </c>
      <c r="R336" s="3">
        <f t="shared" si="343"/>
        <v>1.8019932199394097E-2</v>
      </c>
      <c r="S336" s="3">
        <f t="shared" si="343"/>
        <v>1.1130870067104096E-7</v>
      </c>
      <c r="T336" s="3">
        <f t="shared" si="343"/>
        <v>9.0009576623459145E-60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7.2516023247876399E-2</v>
      </c>
      <c r="C337" s="3">
        <f t="shared" si="344"/>
        <v>7.2516023247876385E-2</v>
      </c>
      <c r="D337" s="3">
        <f t="shared" si="344"/>
        <v>7.2516023247876316E-2</v>
      </c>
      <c r="E337" s="3">
        <f t="shared" si="344"/>
        <v>7.2516023247875525E-2</v>
      </c>
      <c r="F337" s="3">
        <f t="shared" si="344"/>
        <v>7.2516023247867684E-2</v>
      </c>
      <c r="G337" s="3">
        <f t="shared" si="344"/>
        <v>7.2516023247789219E-2</v>
      </c>
      <c r="H337" s="3">
        <f t="shared" si="344"/>
        <v>7.2516023247004568E-2</v>
      </c>
      <c r="I337" s="3">
        <f t="shared" si="344"/>
        <v>7.2516023239158192E-2</v>
      </c>
      <c r="J337" s="3">
        <f t="shared" si="344"/>
        <v>7.2516023160694401E-2</v>
      </c>
      <c r="K337" s="3">
        <f t="shared" si="344"/>
        <v>7.2516022376056491E-2</v>
      </c>
      <c r="L337" s="3">
        <f t="shared" si="344"/>
        <v>7.2516014529677764E-2</v>
      </c>
      <c r="M337" s="3">
        <f t="shared" si="344"/>
        <v>7.2515936065937231E-2</v>
      </c>
      <c r="N337" s="3">
        <f t="shared" si="344"/>
        <v>7.2515151433201308E-2</v>
      </c>
      <c r="O337" s="3">
        <f t="shared" si="344"/>
        <v>7.2507305572767994E-2</v>
      </c>
      <c r="P337" s="3">
        <f t="shared" si="344"/>
        <v>7.2428893642338871E-2</v>
      </c>
      <c r="Q337" s="3">
        <f t="shared" si="344"/>
        <v>7.1649423096630388E-2</v>
      </c>
      <c r="R337" s="3">
        <f t="shared" si="344"/>
        <v>6.4301508784522954E-2</v>
      </c>
      <c r="S337" s="3">
        <f t="shared" si="344"/>
        <v>2.1792437970725005E-2</v>
      </c>
      <c r="T337" s="3">
        <f t="shared" si="344"/>
        <v>4.3566469684887753E-7</v>
      </c>
      <c r="U337" s="3">
        <f t="shared" si="344"/>
        <v>4.4424022117831668E-54</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6.0357732330784487E-2</v>
      </c>
      <c r="C338" s="3">
        <f t="shared" si="345"/>
        <v>6.0357732330784487E-2</v>
      </c>
      <c r="D338" s="3">
        <f t="shared" si="345"/>
        <v>6.035773233078448E-2</v>
      </c>
      <c r="E338" s="3">
        <f t="shared" si="345"/>
        <v>6.0357732330784418E-2</v>
      </c>
      <c r="F338" s="3">
        <f t="shared" si="345"/>
        <v>6.0357732330783828E-2</v>
      </c>
      <c r="G338" s="3">
        <f t="shared" si="345"/>
        <v>6.0357732330777937E-2</v>
      </c>
      <c r="H338" s="3">
        <f t="shared" si="345"/>
        <v>6.0357732330719026E-2</v>
      </c>
      <c r="I338" s="3">
        <f t="shared" si="345"/>
        <v>6.0357732330129893E-2</v>
      </c>
      <c r="J338" s="3">
        <f t="shared" si="345"/>
        <v>6.0357732324238543E-2</v>
      </c>
      <c r="K338" s="3">
        <f t="shared" si="345"/>
        <v>6.0357732265325044E-2</v>
      </c>
      <c r="L338" s="3">
        <f t="shared" si="345"/>
        <v>6.0357731676190053E-2</v>
      </c>
      <c r="M338" s="3">
        <f t="shared" si="345"/>
        <v>6.0357725784840444E-2</v>
      </c>
      <c r="N338" s="3">
        <f t="shared" si="345"/>
        <v>6.0357666871376017E-2</v>
      </c>
      <c r="O338" s="3">
        <f t="shared" si="345"/>
        <v>6.0357077739894453E-2</v>
      </c>
      <c r="P338" s="3">
        <f t="shared" si="345"/>
        <v>6.035118674133709E-2</v>
      </c>
      <c r="Q338" s="3">
        <f t="shared" si="345"/>
        <v>6.0292308370179168E-2</v>
      </c>
      <c r="R338" s="3">
        <f t="shared" si="345"/>
        <v>5.9706674712474192E-2</v>
      </c>
      <c r="S338" s="3">
        <f t="shared" si="345"/>
        <v>5.4154258157358838E-2</v>
      </c>
      <c r="T338" s="3">
        <f t="shared" si="345"/>
        <v>2.0404684151800388E-2</v>
      </c>
      <c r="U338" s="3">
        <f t="shared" si="345"/>
        <v>1.1767996579675192E-6</v>
      </c>
      <c r="V338" s="3">
        <f t="shared" si="345"/>
        <v>4.7910323369595226E-49</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3.7953571045142992E-2</v>
      </c>
      <c r="C339" s="3">
        <f t="shared" si="346"/>
        <v>3.7953571045142992E-2</v>
      </c>
      <c r="D339" s="3">
        <f t="shared" si="346"/>
        <v>3.7953571045142992E-2</v>
      </c>
      <c r="E339" s="3">
        <f t="shared" si="346"/>
        <v>3.7953571045142985E-2</v>
      </c>
      <c r="F339" s="3">
        <f t="shared" si="346"/>
        <v>3.7953571045142957E-2</v>
      </c>
      <c r="G339" s="3">
        <f t="shared" si="346"/>
        <v>3.7953571045142624E-2</v>
      </c>
      <c r="H339" s="3">
        <f t="shared" si="346"/>
        <v>3.795357104513928E-2</v>
      </c>
      <c r="I339" s="3">
        <f t="shared" si="346"/>
        <v>3.7953571045105862E-2</v>
      </c>
      <c r="J339" s="3">
        <f t="shared" si="346"/>
        <v>3.7953571044771685E-2</v>
      </c>
      <c r="K339" s="3">
        <f t="shared" si="346"/>
        <v>3.7953571041429872E-2</v>
      </c>
      <c r="L339" s="3">
        <f t="shared" si="346"/>
        <v>3.7953571008011819E-2</v>
      </c>
      <c r="M339" s="3">
        <f t="shared" si="346"/>
        <v>3.7953570673831295E-2</v>
      </c>
      <c r="N339" s="3">
        <f t="shared" si="346"/>
        <v>3.7953567332026185E-2</v>
      </c>
      <c r="O339" s="3">
        <f t="shared" si="346"/>
        <v>3.7953533913991248E-2</v>
      </c>
      <c r="P339" s="3">
        <f t="shared" si="346"/>
        <v>3.7953199735260228E-2</v>
      </c>
      <c r="Q339" s="3">
        <f t="shared" si="346"/>
        <v>3.7949858109779119E-2</v>
      </c>
      <c r="R339" s="3">
        <f t="shared" si="346"/>
        <v>3.7916458032606806E-2</v>
      </c>
      <c r="S339" s="3">
        <f t="shared" si="346"/>
        <v>3.758406976672541E-2</v>
      </c>
      <c r="T339" s="3">
        <f t="shared" si="346"/>
        <v>3.4416305842388584E-2</v>
      </c>
      <c r="U339" s="3">
        <f t="shared" si="346"/>
        <v>1.4268184640418308E-2</v>
      </c>
      <c r="V339" s="3">
        <f t="shared" si="346"/>
        <v>2.1399981808493919E-6</v>
      </c>
      <c r="W339" s="3">
        <f t="shared" si="346"/>
        <v>1.2327080669155998E-44</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1.9899360219970862E-2</v>
      </c>
      <c r="C340" s="3">
        <f t="shared" si="347"/>
        <v>1.9899360219970862E-2</v>
      </c>
      <c r="D340" s="3">
        <f t="shared" si="347"/>
        <v>1.9899360219970862E-2</v>
      </c>
      <c r="E340" s="3">
        <f t="shared" si="347"/>
        <v>1.9899360219970862E-2</v>
      </c>
      <c r="F340" s="3">
        <f t="shared" si="347"/>
        <v>1.9899360219970859E-2</v>
      </c>
      <c r="G340" s="3">
        <f t="shared" si="347"/>
        <v>1.9899360219970845E-2</v>
      </c>
      <c r="H340" s="3">
        <f t="shared" si="347"/>
        <v>1.9899360219970689E-2</v>
      </c>
      <c r="I340" s="3">
        <f t="shared" si="347"/>
        <v>1.9899360219969107E-2</v>
      </c>
      <c r="J340" s="3">
        <f t="shared" si="347"/>
        <v>1.98993602199533E-2</v>
      </c>
      <c r="K340" s="3">
        <f t="shared" si="347"/>
        <v>1.9899360219795242E-2</v>
      </c>
      <c r="L340" s="3">
        <f t="shared" si="347"/>
        <v>1.989936021821467E-2</v>
      </c>
      <c r="M340" s="3">
        <f t="shared" si="347"/>
        <v>1.9899360202408956E-2</v>
      </c>
      <c r="N340" s="3">
        <f t="shared" si="347"/>
        <v>1.9899360044351784E-2</v>
      </c>
      <c r="O340" s="3">
        <f t="shared" si="347"/>
        <v>1.9899358463780159E-2</v>
      </c>
      <c r="P340" s="3">
        <f t="shared" si="347"/>
        <v>1.9899342658070814E-2</v>
      </c>
      <c r="Q340" s="3">
        <f t="shared" si="347"/>
        <v>1.9899184601667817E-2</v>
      </c>
      <c r="R340" s="3">
        <f t="shared" si="347"/>
        <v>1.9897604106683744E-2</v>
      </c>
      <c r="S340" s="3">
        <f t="shared" si="347"/>
        <v>1.9881806059402776E-2</v>
      </c>
      <c r="T340" s="3">
        <f t="shared" si="347"/>
        <v>1.9724513818315106E-2</v>
      </c>
      <c r="U340" s="3">
        <f t="shared" si="347"/>
        <v>1.8218434228410744E-2</v>
      </c>
      <c r="V340" s="3">
        <f t="shared" si="347"/>
        <v>8.2330066704234123E-3</v>
      </c>
      <c r="W340" s="3">
        <f t="shared" si="347"/>
        <v>2.9243722171351926E-6</v>
      </c>
      <c r="X340" s="3">
        <f t="shared" si="347"/>
        <v>9.3492004012368469E-41</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1.0036367698219981E-2</v>
      </c>
      <c r="C341" s="3">
        <f t="shared" si="348"/>
        <v>1.0036367698219981E-2</v>
      </c>
      <c r="D341" s="3">
        <f t="shared" si="348"/>
        <v>1.0036367698219981E-2</v>
      </c>
      <c r="E341" s="3">
        <f t="shared" si="348"/>
        <v>1.0036367698219981E-2</v>
      </c>
      <c r="F341" s="3">
        <f t="shared" si="348"/>
        <v>1.0036367698219981E-2</v>
      </c>
      <c r="G341" s="3">
        <f t="shared" si="348"/>
        <v>1.0036367698219979E-2</v>
      </c>
      <c r="H341" s="3">
        <f t="shared" si="348"/>
        <v>1.0036367698219974E-2</v>
      </c>
      <c r="I341" s="3">
        <f t="shared" si="348"/>
        <v>1.0036367698219901E-2</v>
      </c>
      <c r="J341" s="3">
        <f t="shared" si="348"/>
        <v>1.0036367698219181E-2</v>
      </c>
      <c r="K341" s="3">
        <f t="shared" si="348"/>
        <v>1.0036367698211991E-2</v>
      </c>
      <c r="L341" s="3">
        <f t="shared" si="348"/>
        <v>1.003636769814008E-2</v>
      </c>
      <c r="M341" s="3">
        <f t="shared" si="348"/>
        <v>1.0036367697420964E-2</v>
      </c>
      <c r="N341" s="3">
        <f t="shared" si="348"/>
        <v>1.0036367690229817E-2</v>
      </c>
      <c r="O341" s="3">
        <f t="shared" si="348"/>
        <v>1.0036367618318335E-2</v>
      </c>
      <c r="P341" s="3">
        <f t="shared" si="348"/>
        <v>1.0036366899203538E-2</v>
      </c>
      <c r="Q341" s="3">
        <f t="shared" si="348"/>
        <v>1.0036359708058416E-2</v>
      </c>
      <c r="R341" s="3">
        <f t="shared" si="348"/>
        <v>1.0036287796890574E-2</v>
      </c>
      <c r="S341" s="3">
        <f t="shared" si="348"/>
        <v>1.0035568713550203E-2</v>
      </c>
      <c r="T341" s="3">
        <f t="shared" si="348"/>
        <v>1.0028380713199447E-2</v>
      </c>
      <c r="U341" s="3">
        <f t="shared" si="348"/>
        <v>9.9567832653580449E-3</v>
      </c>
      <c r="V341" s="3">
        <f t="shared" si="348"/>
        <v>9.268329415303268E-3</v>
      </c>
      <c r="W341" s="3">
        <f t="shared" si="348"/>
        <v>4.5271567822467657E-3</v>
      </c>
      <c r="X341" s="3">
        <f t="shared" si="348"/>
        <v>3.4999857348418509E-6</v>
      </c>
      <c r="Y341" s="3">
        <f t="shared" si="348"/>
        <v>2.6697688814896496E-37</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1.0472179826501766E-2</v>
      </c>
      <c r="C342" s="3">
        <f t="shared" si="349"/>
        <v>1.0472179826501766E-2</v>
      </c>
      <c r="D342" s="3">
        <f t="shared" si="349"/>
        <v>1.0472179826501766E-2</v>
      </c>
      <c r="E342" s="3">
        <f t="shared" si="349"/>
        <v>1.0472179826501766E-2</v>
      </c>
      <c r="F342" s="3">
        <f t="shared" si="349"/>
        <v>1.0472179826501766E-2</v>
      </c>
      <c r="G342" s="3">
        <f t="shared" si="349"/>
        <v>1.0472179826501766E-2</v>
      </c>
      <c r="H342" s="3">
        <f t="shared" si="349"/>
        <v>1.0472179826501764E-2</v>
      </c>
      <c r="I342" s="3">
        <f t="shared" si="349"/>
        <v>1.0472179826501759E-2</v>
      </c>
      <c r="J342" s="3">
        <f t="shared" si="349"/>
        <v>1.047217982650169E-2</v>
      </c>
      <c r="K342" s="3">
        <f t="shared" si="349"/>
        <v>1.0472179826501013E-2</v>
      </c>
      <c r="L342" s="3">
        <f t="shared" si="349"/>
        <v>1.0472179826494244E-2</v>
      </c>
      <c r="M342" s="3">
        <f t="shared" si="349"/>
        <v>1.0472179826426559E-2</v>
      </c>
      <c r="N342" s="3">
        <f t="shared" si="349"/>
        <v>1.0472179825749687E-2</v>
      </c>
      <c r="O342" s="3">
        <f t="shared" si="349"/>
        <v>1.0472179818980987E-2</v>
      </c>
      <c r="P342" s="3">
        <f t="shared" si="349"/>
        <v>1.0472179751293973E-2</v>
      </c>
      <c r="Q342" s="3">
        <f t="shared" si="349"/>
        <v>1.0472179074423849E-2</v>
      </c>
      <c r="R342" s="3">
        <f t="shared" si="349"/>
        <v>1.0472172305725032E-2</v>
      </c>
      <c r="S342" s="3">
        <f t="shared" si="349"/>
        <v>1.0472104618977475E-2</v>
      </c>
      <c r="T342" s="3">
        <f t="shared" si="349"/>
        <v>1.0471427775563515E-2</v>
      </c>
      <c r="U342" s="3">
        <f t="shared" si="349"/>
        <v>1.0464661747010134E-2</v>
      </c>
      <c r="V342" s="3">
        <f t="shared" si="349"/>
        <v>1.0397241445795152E-2</v>
      </c>
      <c r="W342" s="3">
        <f t="shared" si="349"/>
        <v>9.7464727311896773E-3</v>
      </c>
      <c r="X342" s="3">
        <f t="shared" si="349"/>
        <v>5.1067065142912094E-3</v>
      </c>
      <c r="Y342" s="3">
        <f t="shared" si="349"/>
        <v>7.9629717088501561E-6</v>
      </c>
      <c r="Z342" s="3">
        <f t="shared" si="349"/>
        <v>6.7673385946691967E-34</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1.1455889373470318E-2</v>
      </c>
      <c r="C343" s="3">
        <f t="shared" si="350"/>
        <v>1.1455889373470318E-2</v>
      </c>
      <c r="D343" s="3">
        <f t="shared" si="350"/>
        <v>1.1455889373470318E-2</v>
      </c>
      <c r="E343" s="3">
        <f t="shared" si="350"/>
        <v>1.1455889373470318E-2</v>
      </c>
      <c r="F343" s="3">
        <f t="shared" si="350"/>
        <v>1.1455889373470318E-2</v>
      </c>
      <c r="G343" s="3">
        <f t="shared" si="350"/>
        <v>1.1455889373470318E-2</v>
      </c>
      <c r="H343" s="3">
        <f t="shared" si="350"/>
        <v>1.1455889373470318E-2</v>
      </c>
      <c r="I343" s="3">
        <f t="shared" si="350"/>
        <v>1.1455889373470316E-2</v>
      </c>
      <c r="J343" s="3">
        <f t="shared" si="350"/>
        <v>1.1455889373470311E-2</v>
      </c>
      <c r="K343" s="3">
        <f t="shared" si="350"/>
        <v>1.1455889373470243E-2</v>
      </c>
      <c r="L343" s="3">
        <f t="shared" si="350"/>
        <v>1.1455889373469575E-2</v>
      </c>
      <c r="M343" s="3">
        <f t="shared" si="350"/>
        <v>1.1455889373462896E-2</v>
      </c>
      <c r="N343" s="3">
        <f t="shared" si="350"/>
        <v>1.1455889373396101E-2</v>
      </c>
      <c r="O343" s="3">
        <f t="shared" si="350"/>
        <v>1.1455889372728151E-2</v>
      </c>
      <c r="P343" s="3">
        <f t="shared" si="350"/>
        <v>1.1455889366048655E-2</v>
      </c>
      <c r="Q343" s="3">
        <f t="shared" si="350"/>
        <v>1.1455889299253699E-2</v>
      </c>
      <c r="R343" s="3">
        <f t="shared" si="350"/>
        <v>1.1455888631304157E-2</v>
      </c>
      <c r="S343" s="3">
        <f t="shared" si="350"/>
        <v>1.1455881951810871E-2</v>
      </c>
      <c r="T343" s="3">
        <f t="shared" si="350"/>
        <v>1.1455815157092214E-2</v>
      </c>
      <c r="U343" s="3">
        <f t="shared" si="350"/>
        <v>1.1455147231325217E-2</v>
      </c>
      <c r="V343" s="3">
        <f t="shared" si="350"/>
        <v>1.1448470115150555E-2</v>
      </c>
      <c r="W343" s="3">
        <f t="shared" si="350"/>
        <v>1.1381912641662514E-2</v>
      </c>
      <c r="X343" s="3">
        <f t="shared" si="350"/>
        <v>1.0737252838062438E-2</v>
      </c>
      <c r="Y343" s="3">
        <f t="shared" si="350"/>
        <v>5.9933894467989251E-3</v>
      </c>
      <c r="Z343" s="3">
        <f t="shared" si="350"/>
        <v>1.7598096222779805E-5</v>
      </c>
      <c r="AA343" s="3">
        <f t="shared" si="350"/>
        <v>8.3829635923028429E-31</v>
      </c>
      <c r="AB343" s="3">
        <f t="shared" si="350"/>
        <v>5.043319707258281E-284</v>
      </c>
      <c r="AC343" s="3">
        <f t="shared" si="350"/>
        <v>0</v>
      </c>
      <c r="AD343" s="3">
        <f t="shared" si="350"/>
        <v>0</v>
      </c>
      <c r="AE343" s="3">
        <f t="shared" si="350"/>
        <v>0</v>
      </c>
      <c r="AF343" s="3">
        <f t="shared" si="350"/>
        <v>0</v>
      </c>
      <c r="AG343" s="3"/>
      <c r="AH343" s="3"/>
    </row>
    <row r="344" spans="2:34" x14ac:dyDescent="0.25">
      <c r="B344" s="3">
        <f t="shared" ref="B344:AF344" si="351">$C35*EXP(-B$363/$A35/EXP(-$G$126))</f>
        <v>6.2948394662532018E-3</v>
      </c>
      <c r="C344" s="3">
        <f t="shared" si="351"/>
        <v>6.2948394662532018E-3</v>
      </c>
      <c r="D344" s="3">
        <f t="shared" si="351"/>
        <v>6.2948394662532018E-3</v>
      </c>
      <c r="E344" s="3">
        <f t="shared" si="351"/>
        <v>6.2948394662532018E-3</v>
      </c>
      <c r="F344" s="3">
        <f t="shared" si="351"/>
        <v>6.2948394662532018E-3</v>
      </c>
      <c r="G344" s="3">
        <f t="shared" si="351"/>
        <v>6.2948394662532018E-3</v>
      </c>
      <c r="H344" s="3">
        <f t="shared" si="351"/>
        <v>6.2948394662532018E-3</v>
      </c>
      <c r="I344" s="3">
        <f t="shared" si="351"/>
        <v>6.2948394662532018E-3</v>
      </c>
      <c r="J344" s="3">
        <f t="shared" si="351"/>
        <v>6.294839466253201E-3</v>
      </c>
      <c r="K344" s="3">
        <f t="shared" si="351"/>
        <v>6.2948394662531984E-3</v>
      </c>
      <c r="L344" s="3">
        <f t="shared" si="351"/>
        <v>6.2948394662531645E-3</v>
      </c>
      <c r="M344" s="3">
        <f t="shared" si="351"/>
        <v>6.2948394662528341E-3</v>
      </c>
      <c r="N344" s="3">
        <f t="shared" si="351"/>
        <v>6.2948394662495234E-3</v>
      </c>
      <c r="O344" s="3">
        <f t="shared" si="351"/>
        <v>6.2948394662164144E-3</v>
      </c>
      <c r="P344" s="3">
        <f t="shared" si="351"/>
        <v>6.2948394658853242E-3</v>
      </c>
      <c r="Q344" s="3">
        <f t="shared" si="351"/>
        <v>6.2948394625744241E-3</v>
      </c>
      <c r="R344" s="3">
        <f t="shared" si="351"/>
        <v>6.2948394294654198E-3</v>
      </c>
      <c r="S344" s="3">
        <f t="shared" si="351"/>
        <v>6.2948390983753946E-3</v>
      </c>
      <c r="T344" s="3">
        <f t="shared" si="351"/>
        <v>6.2948357874760977E-3</v>
      </c>
      <c r="U344" s="3">
        <f t="shared" si="351"/>
        <v>6.294802678578907E-3</v>
      </c>
      <c r="V344" s="3">
        <f t="shared" si="351"/>
        <v>6.2944715991846952E-3</v>
      </c>
      <c r="W344" s="3">
        <f t="shared" si="351"/>
        <v>6.2911617628253957E-3</v>
      </c>
      <c r="X344" s="3">
        <f t="shared" si="351"/>
        <v>6.2581589714224709E-3</v>
      </c>
      <c r="Y344" s="3">
        <f t="shared" si="351"/>
        <v>5.9375048719448771E-3</v>
      </c>
      <c r="Z344" s="3">
        <f t="shared" si="351"/>
        <v>3.5089554848395823E-3</v>
      </c>
      <c r="AA344" s="3">
        <f t="shared" si="351"/>
        <v>1.823545718463772E-5</v>
      </c>
      <c r="AB344" s="3">
        <f t="shared" si="351"/>
        <v>2.6200201386017727E-28</v>
      </c>
      <c r="AC344" s="3">
        <f t="shared" si="351"/>
        <v>9.8216479683987866E-257</v>
      </c>
      <c r="AD344" s="3">
        <f t="shared" si="351"/>
        <v>0</v>
      </c>
      <c r="AE344" s="3">
        <f t="shared" si="351"/>
        <v>0</v>
      </c>
      <c r="AF344" s="3">
        <f t="shared" si="351"/>
        <v>0</v>
      </c>
      <c r="AG344" s="3"/>
      <c r="AH344" s="3"/>
    </row>
    <row r="345" spans="2:34" x14ac:dyDescent="0.25">
      <c r="B345" s="3">
        <f t="shared" ref="B345:AF345" si="352">$C36*EXP(-B$363/$A36/EXP(-$G$126))</f>
        <v>5.5356903730511449E-3</v>
      </c>
      <c r="C345" s="3">
        <f t="shared" si="352"/>
        <v>5.5356903730511449E-3</v>
      </c>
      <c r="D345" s="3">
        <f t="shared" si="352"/>
        <v>5.5356903730511449E-3</v>
      </c>
      <c r="E345" s="3">
        <f t="shared" si="352"/>
        <v>5.5356903730511449E-3</v>
      </c>
      <c r="F345" s="3">
        <f t="shared" si="352"/>
        <v>5.5356903730511449E-3</v>
      </c>
      <c r="G345" s="3">
        <f t="shared" si="352"/>
        <v>5.5356903730511449E-3</v>
      </c>
      <c r="H345" s="3">
        <f t="shared" si="352"/>
        <v>5.5356903730511449E-3</v>
      </c>
      <c r="I345" s="3">
        <f t="shared" si="352"/>
        <v>5.5356903730511449E-3</v>
      </c>
      <c r="J345" s="3">
        <f t="shared" si="352"/>
        <v>5.5356903730511449E-3</v>
      </c>
      <c r="K345" s="3">
        <f t="shared" si="352"/>
        <v>5.5356903730511449E-3</v>
      </c>
      <c r="L345" s="3">
        <f t="shared" si="352"/>
        <v>5.5356903730511414E-3</v>
      </c>
      <c r="M345" s="3">
        <f t="shared" si="352"/>
        <v>5.5356903730511163E-3</v>
      </c>
      <c r="N345" s="3">
        <f t="shared" si="352"/>
        <v>5.5356903730508526E-3</v>
      </c>
      <c r="O345" s="3">
        <f t="shared" si="352"/>
        <v>5.5356903730482271E-3</v>
      </c>
      <c r="P345" s="3">
        <f t="shared" si="352"/>
        <v>5.5356903730219616E-3</v>
      </c>
      <c r="Q345" s="3">
        <f t="shared" si="352"/>
        <v>5.5356903727593098E-3</v>
      </c>
      <c r="R345" s="3">
        <f t="shared" si="352"/>
        <v>5.5356903701327953E-3</v>
      </c>
      <c r="S345" s="3">
        <f t="shared" si="352"/>
        <v>5.535690343867649E-3</v>
      </c>
      <c r="T345" s="3">
        <f t="shared" si="352"/>
        <v>5.5356900812161868E-3</v>
      </c>
      <c r="U345" s="3">
        <f t="shared" si="352"/>
        <v>5.5356874547022594E-3</v>
      </c>
      <c r="V345" s="3">
        <f t="shared" si="352"/>
        <v>5.53566118963153E-3</v>
      </c>
      <c r="W345" s="3">
        <f t="shared" si="352"/>
        <v>5.5353985457781973E-3</v>
      </c>
      <c r="X345" s="3">
        <f t="shared" si="352"/>
        <v>5.5327727925214036E-3</v>
      </c>
      <c r="Y345" s="3">
        <f t="shared" si="352"/>
        <v>5.5065836674559575E-3</v>
      </c>
      <c r="Z345" s="3">
        <f t="shared" si="352"/>
        <v>5.2514145841087018E-3</v>
      </c>
      <c r="AA345" s="3">
        <f t="shared" si="352"/>
        <v>3.2675101268257395E-3</v>
      </c>
      <c r="AB345" s="3">
        <f t="shared" si="352"/>
        <v>2.841994971818218E-5</v>
      </c>
      <c r="AC345" s="3">
        <f t="shared" si="352"/>
        <v>7.0418526781570305E-26</v>
      </c>
      <c r="AD345" s="3">
        <f t="shared" si="352"/>
        <v>6.1421898050359361E-232</v>
      </c>
      <c r="AE345" s="3">
        <f t="shared" si="352"/>
        <v>0</v>
      </c>
      <c r="AF345" s="3">
        <f t="shared" si="352"/>
        <v>0</v>
      </c>
      <c r="AG345" s="3"/>
      <c r="AH345" s="3"/>
    </row>
    <row r="346" spans="2:34" x14ac:dyDescent="0.25">
      <c r="B346" s="3">
        <f t="shared" ref="B346:AF346" si="353">$C37*EXP(-B$363/$A37/EXP(-$G$126))</f>
        <v>2.9841994807754844E-3</v>
      </c>
      <c r="C346" s="3">
        <f t="shared" si="353"/>
        <v>2.9841994807754844E-3</v>
      </c>
      <c r="D346" s="3">
        <f t="shared" si="353"/>
        <v>2.9841994807754844E-3</v>
      </c>
      <c r="E346" s="3">
        <f t="shared" si="353"/>
        <v>2.9841994807754844E-3</v>
      </c>
      <c r="F346" s="3">
        <f t="shared" si="353"/>
        <v>2.9841994807754844E-3</v>
      </c>
      <c r="G346" s="3">
        <f t="shared" si="353"/>
        <v>2.9841994807754844E-3</v>
      </c>
      <c r="H346" s="3">
        <f t="shared" si="353"/>
        <v>2.9841994807754844E-3</v>
      </c>
      <c r="I346" s="3">
        <f t="shared" si="353"/>
        <v>2.9841994807754844E-3</v>
      </c>
      <c r="J346" s="3">
        <f t="shared" si="353"/>
        <v>2.9841994807754844E-3</v>
      </c>
      <c r="K346" s="3">
        <f t="shared" si="353"/>
        <v>2.9841994807754844E-3</v>
      </c>
      <c r="L346" s="3">
        <f t="shared" si="353"/>
        <v>2.9841994807754844E-3</v>
      </c>
      <c r="M346" s="3">
        <f t="shared" si="353"/>
        <v>2.9841994807754831E-3</v>
      </c>
      <c r="N346" s="3">
        <f t="shared" si="353"/>
        <v>2.9841994807754701E-3</v>
      </c>
      <c r="O346" s="3">
        <f t="shared" si="353"/>
        <v>2.9841994807753426E-3</v>
      </c>
      <c r="P346" s="3">
        <f t="shared" si="353"/>
        <v>2.984199480774065E-3</v>
      </c>
      <c r="Q346" s="3">
        <f t="shared" si="353"/>
        <v>2.9841994807612926E-3</v>
      </c>
      <c r="R346" s="3">
        <f t="shared" si="353"/>
        <v>2.9841994806335658E-3</v>
      </c>
      <c r="S346" s="3">
        <f t="shared" si="353"/>
        <v>2.9841994793562963E-3</v>
      </c>
      <c r="T346" s="3">
        <f t="shared" si="353"/>
        <v>2.9841994665836028E-3</v>
      </c>
      <c r="U346" s="3">
        <f t="shared" si="353"/>
        <v>2.9841993388566731E-3</v>
      </c>
      <c r="V346" s="3">
        <f t="shared" si="353"/>
        <v>2.9841980615876755E-3</v>
      </c>
      <c r="W346" s="3">
        <f t="shared" si="353"/>
        <v>2.9841852889277674E-3</v>
      </c>
      <c r="X346" s="3">
        <f t="shared" si="353"/>
        <v>2.9840575653353996E-3</v>
      </c>
      <c r="Y346" s="3">
        <f t="shared" si="353"/>
        <v>2.9827806300355445E-3</v>
      </c>
      <c r="Z346" s="3">
        <f t="shared" si="353"/>
        <v>2.9700412918656845E-3</v>
      </c>
      <c r="AA346" s="3">
        <f t="shared" si="353"/>
        <v>2.8456023996428943E-3</v>
      </c>
      <c r="AB346" s="3">
        <f t="shared" si="353"/>
        <v>1.8547762655825638E-3</v>
      </c>
      <c r="AC346" s="3">
        <f t="shared" si="353"/>
        <v>2.567229203278648E-5</v>
      </c>
      <c r="AD346" s="3">
        <f t="shared" si="353"/>
        <v>6.6251511304506887E-24</v>
      </c>
      <c r="AE346" s="3">
        <f t="shared" si="353"/>
        <v>8.679750521329974E-210</v>
      </c>
      <c r="AF346" s="3">
        <f t="shared" si="353"/>
        <v>0</v>
      </c>
      <c r="AG346" s="3"/>
      <c r="AH346" s="3"/>
    </row>
    <row r="347" spans="2:34" x14ac:dyDescent="0.25">
      <c r="B347" s="3">
        <f t="shared" ref="B347:AF347" si="354">$C38*EXP(-B$363/$A38/EXP(-$G$126))</f>
        <v>1.1698557197945001E-3</v>
      </c>
      <c r="C347" s="3">
        <f t="shared" si="354"/>
        <v>1.1698557197945001E-3</v>
      </c>
      <c r="D347" s="3">
        <f t="shared" si="354"/>
        <v>1.1698557197945001E-3</v>
      </c>
      <c r="E347" s="3">
        <f t="shared" si="354"/>
        <v>1.1698557197945001E-3</v>
      </c>
      <c r="F347" s="3">
        <f t="shared" si="354"/>
        <v>1.1698557197945001E-3</v>
      </c>
      <c r="G347" s="3">
        <f t="shared" si="354"/>
        <v>1.1698557197945001E-3</v>
      </c>
      <c r="H347" s="3">
        <f t="shared" si="354"/>
        <v>1.1698557197945001E-3</v>
      </c>
      <c r="I347" s="3">
        <f t="shared" si="354"/>
        <v>1.1698557197945001E-3</v>
      </c>
      <c r="J347" s="3">
        <f t="shared" si="354"/>
        <v>1.1698557197945001E-3</v>
      </c>
      <c r="K347" s="3">
        <f t="shared" si="354"/>
        <v>1.1698557197945001E-3</v>
      </c>
      <c r="L347" s="3">
        <f t="shared" si="354"/>
        <v>1.1698557197945001E-3</v>
      </c>
      <c r="M347" s="3">
        <f t="shared" si="354"/>
        <v>1.1698557197945001E-3</v>
      </c>
      <c r="N347" s="3">
        <f t="shared" si="354"/>
        <v>1.1698557197944996E-3</v>
      </c>
      <c r="O347" s="3">
        <f t="shared" si="354"/>
        <v>1.1698557197944951E-3</v>
      </c>
      <c r="P347" s="3">
        <f t="shared" si="354"/>
        <v>1.16985571979445E-3</v>
      </c>
      <c r="Q347" s="3">
        <f t="shared" si="354"/>
        <v>1.1698557197939983E-3</v>
      </c>
      <c r="R347" s="3">
        <f t="shared" si="354"/>
        <v>1.1698557197894813E-3</v>
      </c>
      <c r="S347" s="3">
        <f t="shared" si="354"/>
        <v>1.169855719744313E-3</v>
      </c>
      <c r="T347" s="3">
        <f t="shared" si="354"/>
        <v>1.1698557192926303E-3</v>
      </c>
      <c r="U347" s="3">
        <f t="shared" si="354"/>
        <v>1.1698557147758026E-3</v>
      </c>
      <c r="V347" s="3">
        <f t="shared" si="354"/>
        <v>1.1698556696075264E-3</v>
      </c>
      <c r="W347" s="3">
        <f t="shared" si="354"/>
        <v>1.169855217924859E-3</v>
      </c>
      <c r="X347" s="3">
        <f t="shared" si="354"/>
        <v>1.1698507011077791E-3</v>
      </c>
      <c r="Y347" s="3">
        <f t="shared" si="354"/>
        <v>1.1698055338961377E-3</v>
      </c>
      <c r="Z347" s="3">
        <f t="shared" si="354"/>
        <v>1.1693539576819111E-3</v>
      </c>
      <c r="AA347" s="3">
        <f t="shared" si="354"/>
        <v>1.1648477720720802E-3</v>
      </c>
      <c r="AB347" s="3">
        <f t="shared" si="354"/>
        <v>1.1207300285665915E-3</v>
      </c>
      <c r="AC347" s="3">
        <f t="shared" si="354"/>
        <v>7.6176209661432378E-4</v>
      </c>
      <c r="AD347" s="3">
        <f t="shared" si="354"/>
        <v>1.6032559828928567E-5</v>
      </c>
      <c r="AE347" s="3">
        <f t="shared" si="354"/>
        <v>2.7342484041160364E-22</v>
      </c>
      <c r="AF347" s="3">
        <f t="shared" si="354"/>
        <v>5.6910047461205721E-190</v>
      </c>
      <c r="AG347" s="3"/>
      <c r="AH347" s="3"/>
    </row>
    <row r="348" spans="2:34" x14ac:dyDescent="0.25">
      <c r="B348" s="3">
        <f t="shared" ref="B348:AF348" si="355">$C39*EXP(-B$363/$A39/EXP(-$G$126))</f>
        <v>4.0204305624187052E-4</v>
      </c>
      <c r="C348" s="3">
        <f t="shared" si="355"/>
        <v>4.0204305624187052E-4</v>
      </c>
      <c r="D348" s="3">
        <f t="shared" si="355"/>
        <v>4.0204305624187052E-4</v>
      </c>
      <c r="E348" s="3">
        <f t="shared" si="355"/>
        <v>4.0204305624187052E-4</v>
      </c>
      <c r="F348" s="3">
        <f t="shared" si="355"/>
        <v>4.0204305624187052E-4</v>
      </c>
      <c r="G348" s="3">
        <f t="shared" si="355"/>
        <v>4.0204305624187052E-4</v>
      </c>
      <c r="H348" s="3">
        <f t="shared" si="355"/>
        <v>4.0204305624187052E-4</v>
      </c>
      <c r="I348" s="3">
        <f t="shared" si="355"/>
        <v>4.0204305624187052E-4</v>
      </c>
      <c r="J348" s="3">
        <f t="shared" si="355"/>
        <v>4.0204305624187052E-4</v>
      </c>
      <c r="K348" s="3">
        <f t="shared" si="355"/>
        <v>4.0204305624187052E-4</v>
      </c>
      <c r="L348" s="3">
        <f t="shared" si="355"/>
        <v>4.0204305624187052E-4</v>
      </c>
      <c r="M348" s="3">
        <f t="shared" si="355"/>
        <v>4.0204305624187052E-4</v>
      </c>
      <c r="N348" s="3">
        <f t="shared" si="355"/>
        <v>4.0204305624187047E-4</v>
      </c>
      <c r="O348" s="3">
        <f t="shared" si="355"/>
        <v>4.0204305624187003E-4</v>
      </c>
      <c r="P348" s="3">
        <f t="shared" si="355"/>
        <v>4.0204305624186575E-4</v>
      </c>
      <c r="Q348" s="3">
        <f t="shared" si="355"/>
        <v>4.0204305624182282E-4</v>
      </c>
      <c r="R348" s="3">
        <f t="shared" si="355"/>
        <v>4.0204305624139347E-4</v>
      </c>
      <c r="S348" s="3">
        <f t="shared" si="355"/>
        <v>4.0204305623710025E-4</v>
      </c>
      <c r="T348" s="3">
        <f t="shared" si="355"/>
        <v>4.0204305619416769E-4</v>
      </c>
      <c r="U348" s="3">
        <f t="shared" si="355"/>
        <v>4.0204305576484222E-4</v>
      </c>
      <c r="V348" s="3">
        <f t="shared" si="355"/>
        <v>4.0204305147158756E-4</v>
      </c>
      <c r="W348" s="3">
        <f t="shared" si="355"/>
        <v>4.0204300853904354E-4</v>
      </c>
      <c r="X348" s="3">
        <f t="shared" si="355"/>
        <v>4.0204257921385523E-4</v>
      </c>
      <c r="Y348" s="3">
        <f t="shared" si="355"/>
        <v>4.020382859871874E-4</v>
      </c>
      <c r="Z348" s="3">
        <f t="shared" si="355"/>
        <v>4.0199535624192413E-4</v>
      </c>
      <c r="AA348" s="3">
        <f t="shared" si="355"/>
        <v>4.0156631083121478E-4</v>
      </c>
      <c r="AB348" s="3">
        <f t="shared" si="355"/>
        <v>3.9730096161648187E-4</v>
      </c>
      <c r="AC348" s="3">
        <f t="shared" si="355"/>
        <v>3.5706153729385593E-4</v>
      </c>
      <c r="AD348" s="3">
        <f t="shared" si="355"/>
        <v>1.2273759608017463E-4</v>
      </c>
      <c r="AE348" s="3">
        <f t="shared" si="355"/>
        <v>2.8269819684837701E-9</v>
      </c>
      <c r="AF348" s="3">
        <f t="shared" si="355"/>
        <v>1.1878929160961344E-55</v>
      </c>
      <c r="AG348" s="3"/>
      <c r="AH348" s="3"/>
    </row>
    <row r="349" spans="2:34" x14ac:dyDescent="0.25">
      <c r="B349" s="3">
        <f t="shared" ref="B349:AF349" si="356">$C40*EXP(-B$363/$A40/EXP(-$G$126))</f>
        <v>9.0650475367586036E-4</v>
      </c>
      <c r="C349" s="3">
        <f t="shared" si="356"/>
        <v>9.0650475367586036E-4</v>
      </c>
      <c r="D349" s="3">
        <f t="shared" si="356"/>
        <v>9.0650475367586036E-4</v>
      </c>
      <c r="E349" s="3">
        <f t="shared" si="356"/>
        <v>9.0650475367586036E-4</v>
      </c>
      <c r="F349" s="3">
        <f t="shared" si="356"/>
        <v>9.0650475367586036E-4</v>
      </c>
      <c r="G349" s="3">
        <f t="shared" si="356"/>
        <v>9.0650475367586036E-4</v>
      </c>
      <c r="H349" s="3">
        <f t="shared" si="356"/>
        <v>9.0650475367586036E-4</v>
      </c>
      <c r="I349" s="3">
        <f t="shared" si="356"/>
        <v>9.0650475367586036E-4</v>
      </c>
      <c r="J349" s="3">
        <f t="shared" si="356"/>
        <v>9.0650475367586036E-4</v>
      </c>
      <c r="K349" s="3">
        <f t="shared" si="356"/>
        <v>9.0650475367586036E-4</v>
      </c>
      <c r="L349" s="3">
        <f t="shared" si="356"/>
        <v>9.0650475367586036E-4</v>
      </c>
      <c r="M349" s="3">
        <f t="shared" si="356"/>
        <v>9.0650475367586036E-4</v>
      </c>
      <c r="N349" s="3">
        <f t="shared" si="356"/>
        <v>9.0650475367586036E-4</v>
      </c>
      <c r="O349" s="3">
        <f t="shared" si="356"/>
        <v>9.0650475367586025E-4</v>
      </c>
      <c r="P349" s="3">
        <f t="shared" si="356"/>
        <v>9.0650475367585928E-4</v>
      </c>
      <c r="Q349" s="3">
        <f t="shared" si="356"/>
        <v>9.0650475367584963E-4</v>
      </c>
      <c r="R349" s="3">
        <f t="shared" si="356"/>
        <v>9.0650475367575281E-4</v>
      </c>
      <c r="S349" s="3">
        <f t="shared" si="356"/>
        <v>9.0650475367478483E-4</v>
      </c>
      <c r="T349" s="3">
        <f t="shared" si="356"/>
        <v>9.0650475366510464E-4</v>
      </c>
      <c r="U349" s="3">
        <f t="shared" si="356"/>
        <v>9.0650475356830263E-4</v>
      </c>
      <c r="V349" s="3">
        <f t="shared" si="356"/>
        <v>9.0650475260028302E-4</v>
      </c>
      <c r="W349" s="3">
        <f t="shared" si="356"/>
        <v>9.0650474292008659E-4</v>
      </c>
      <c r="X349" s="3">
        <f t="shared" si="356"/>
        <v>9.06504646118128E-4</v>
      </c>
      <c r="Y349" s="3">
        <f t="shared" si="356"/>
        <v>9.0650367809911106E-4</v>
      </c>
      <c r="Z349" s="3">
        <f t="shared" si="356"/>
        <v>9.0649399796579558E-4</v>
      </c>
      <c r="AA349" s="3">
        <f t="shared" si="356"/>
        <v>9.0639720231778956E-4</v>
      </c>
      <c r="AB349" s="3">
        <f t="shared" si="356"/>
        <v>9.0542981412811054E-4</v>
      </c>
      <c r="AC349" s="3">
        <f t="shared" si="356"/>
        <v>8.958125373732627E-4</v>
      </c>
      <c r="AD349" s="3">
        <f t="shared" si="356"/>
        <v>8.0508287827999467E-4</v>
      </c>
      <c r="AE349" s="3">
        <f t="shared" si="356"/>
        <v>2.7674203688893013E-4</v>
      </c>
      <c r="AF349" s="3">
        <f t="shared" si="356"/>
        <v>6.3741247441039399E-9</v>
      </c>
      <c r="AG349" s="3"/>
      <c r="AH349" s="3"/>
    </row>
    <row r="350" spans="2:34" x14ac:dyDescent="0.25">
      <c r="B350" s="3">
        <f t="shared" ref="B350:AF350" si="357">$C41*EXP(-B$363/$A41/EXP(-$G$126))</f>
        <v>1.833495697796037E-4</v>
      </c>
      <c r="C350" s="3">
        <f t="shared" si="357"/>
        <v>1.833495697796037E-4</v>
      </c>
      <c r="D350" s="3">
        <f t="shared" si="357"/>
        <v>1.833495697796037E-4</v>
      </c>
      <c r="E350" s="3">
        <f t="shared" si="357"/>
        <v>1.833495697796037E-4</v>
      </c>
      <c r="F350" s="3">
        <f t="shared" si="357"/>
        <v>1.833495697796037E-4</v>
      </c>
      <c r="G350" s="3">
        <f t="shared" si="357"/>
        <v>1.833495697796037E-4</v>
      </c>
      <c r="H350" s="3">
        <f t="shared" si="357"/>
        <v>1.833495697796037E-4</v>
      </c>
      <c r="I350" s="3">
        <f t="shared" si="357"/>
        <v>1.833495697796037E-4</v>
      </c>
      <c r="J350" s="3">
        <f t="shared" si="357"/>
        <v>1.833495697796037E-4</v>
      </c>
      <c r="K350" s="3">
        <f t="shared" si="357"/>
        <v>1.833495697796037E-4</v>
      </c>
      <c r="L350" s="3">
        <f t="shared" si="357"/>
        <v>1.833495697796037E-4</v>
      </c>
      <c r="M350" s="3">
        <f t="shared" si="357"/>
        <v>1.833495697796037E-4</v>
      </c>
      <c r="N350" s="3">
        <f t="shared" si="357"/>
        <v>1.833495697796037E-4</v>
      </c>
      <c r="O350" s="3">
        <f t="shared" si="357"/>
        <v>1.833495697796037E-4</v>
      </c>
      <c r="P350" s="3">
        <f t="shared" si="357"/>
        <v>1.8334956977960368E-4</v>
      </c>
      <c r="Q350" s="3">
        <f t="shared" si="357"/>
        <v>1.8334956977960349E-4</v>
      </c>
      <c r="R350" s="3">
        <f t="shared" si="357"/>
        <v>1.8334956977960153E-4</v>
      </c>
      <c r="S350" s="3">
        <f t="shared" si="357"/>
        <v>1.8334956977958194E-4</v>
      </c>
      <c r="T350" s="3">
        <f t="shared" si="357"/>
        <v>1.8334956977938616E-4</v>
      </c>
      <c r="U350" s="3">
        <f t="shared" si="357"/>
        <v>1.8334956977742825E-4</v>
      </c>
      <c r="V350" s="3">
        <f t="shared" si="357"/>
        <v>1.8334956975784908E-4</v>
      </c>
      <c r="W350" s="3">
        <f t="shared" si="357"/>
        <v>1.8334956956205753E-4</v>
      </c>
      <c r="X350" s="3">
        <f t="shared" si="357"/>
        <v>1.8334956760414185E-4</v>
      </c>
      <c r="Y350" s="3">
        <f t="shared" si="357"/>
        <v>1.8334954802498644E-4</v>
      </c>
      <c r="Z350" s="3">
        <f t="shared" si="357"/>
        <v>1.8334935223354734E-4</v>
      </c>
      <c r="AA350" s="3">
        <f t="shared" si="357"/>
        <v>1.8334739433065536E-4</v>
      </c>
      <c r="AB350" s="3">
        <f t="shared" si="357"/>
        <v>1.8332781645161338E-4</v>
      </c>
      <c r="AC350" s="3">
        <f t="shared" si="357"/>
        <v>1.8313215260355492E-4</v>
      </c>
      <c r="AD350" s="3">
        <f t="shared" si="357"/>
        <v>1.8118696307387787E-4</v>
      </c>
      <c r="AE350" s="3">
        <f t="shared" si="357"/>
        <v>1.6283599040269753E-4</v>
      </c>
      <c r="AF350" s="3">
        <f t="shared" si="357"/>
        <v>5.5973819439737759E-5</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2.7582104941075727E-4</v>
      </c>
      <c r="C352" s="3">
        <f t="shared" si="359"/>
        <v>2.7582104941075727E-4</v>
      </c>
      <c r="D352" s="3">
        <f t="shared" si="359"/>
        <v>2.7582104941075727E-4</v>
      </c>
      <c r="E352" s="3">
        <f t="shared" si="359"/>
        <v>2.7582104941075727E-4</v>
      </c>
      <c r="F352" s="3">
        <f t="shared" si="359"/>
        <v>2.7582104941075727E-4</v>
      </c>
      <c r="G352" s="3">
        <f t="shared" si="359"/>
        <v>2.7582104941075727E-4</v>
      </c>
      <c r="H352" s="3">
        <f t="shared" si="359"/>
        <v>2.7582104941075727E-4</v>
      </c>
      <c r="I352" s="3">
        <f t="shared" si="359"/>
        <v>2.7582104941075727E-4</v>
      </c>
      <c r="J352" s="3">
        <f t="shared" si="359"/>
        <v>2.7582104941075727E-4</v>
      </c>
      <c r="K352" s="3">
        <f t="shared" si="359"/>
        <v>2.7582104941075727E-4</v>
      </c>
      <c r="L352" s="3">
        <f t="shared" si="359"/>
        <v>2.7582104941075727E-4</v>
      </c>
      <c r="M352" s="3">
        <f t="shared" si="359"/>
        <v>2.7582104941075727E-4</v>
      </c>
      <c r="N352" s="3">
        <f t="shared" si="359"/>
        <v>2.7582104941075727E-4</v>
      </c>
      <c r="O352" s="3">
        <f t="shared" si="359"/>
        <v>2.7582104941075727E-4</v>
      </c>
      <c r="P352" s="3">
        <f t="shared" si="359"/>
        <v>2.7582104941075727E-4</v>
      </c>
      <c r="Q352" s="3">
        <f t="shared" si="359"/>
        <v>2.7582104941075727E-4</v>
      </c>
      <c r="R352" s="3">
        <f t="shared" si="359"/>
        <v>2.7582104941075721E-4</v>
      </c>
      <c r="S352" s="3">
        <f t="shared" si="359"/>
        <v>2.7582104941075694E-4</v>
      </c>
      <c r="T352" s="3">
        <f t="shared" si="359"/>
        <v>2.7582104941075401E-4</v>
      </c>
      <c r="U352" s="3">
        <f t="shared" si="359"/>
        <v>2.7582104941072452E-4</v>
      </c>
      <c r="V352" s="3">
        <f t="shared" si="359"/>
        <v>2.7582104941043E-4</v>
      </c>
      <c r="W352" s="3">
        <f t="shared" si="359"/>
        <v>2.7582104940748466E-4</v>
      </c>
      <c r="X352" s="3">
        <f t="shared" si="359"/>
        <v>2.7582104937803079E-4</v>
      </c>
      <c r="Y352" s="3">
        <f t="shared" si="359"/>
        <v>2.7582104908349268E-4</v>
      </c>
      <c r="Z352" s="3">
        <f t="shared" si="359"/>
        <v>2.7582104613811166E-4</v>
      </c>
      <c r="AA352" s="3">
        <f t="shared" si="359"/>
        <v>2.7582101668430274E-4</v>
      </c>
      <c r="AB352" s="3">
        <f t="shared" si="359"/>
        <v>2.7582072214638661E-4</v>
      </c>
      <c r="AC352" s="3">
        <f t="shared" si="359"/>
        <v>2.7581777678452427E-4</v>
      </c>
      <c r="AD352" s="3">
        <f t="shared" si="359"/>
        <v>2.757883248957138E-4</v>
      </c>
      <c r="AE352" s="3">
        <f t="shared" si="359"/>
        <v>2.7549397892060129E-4</v>
      </c>
      <c r="AF352" s="3">
        <f t="shared" si="359"/>
        <v>2.7256774234408099E-4</v>
      </c>
      <c r="AG352" s="3"/>
      <c r="AH352" s="3"/>
    </row>
    <row r="353" spans="1:34" x14ac:dyDescent="0.25">
      <c r="B353" s="3">
        <f t="shared" ref="B353:AF353" si="360">$C44*EXP(-B$363/$A44/EXP(-$G$126))</f>
        <v>2.4535081143819124E-4</v>
      </c>
      <c r="C353" s="3">
        <f t="shared" si="360"/>
        <v>2.4535081143819124E-4</v>
      </c>
      <c r="D353" s="3">
        <f t="shared" si="360"/>
        <v>2.4535081143819124E-4</v>
      </c>
      <c r="E353" s="3">
        <f t="shared" si="360"/>
        <v>2.4535081143819124E-4</v>
      </c>
      <c r="F353" s="3">
        <f t="shared" si="360"/>
        <v>2.4535081143819124E-4</v>
      </c>
      <c r="G353" s="3">
        <f t="shared" si="360"/>
        <v>2.4535081143819124E-4</v>
      </c>
      <c r="H353" s="3">
        <f t="shared" si="360"/>
        <v>2.4535081143819124E-4</v>
      </c>
      <c r="I353" s="3">
        <f t="shared" si="360"/>
        <v>2.4535081143819124E-4</v>
      </c>
      <c r="J353" s="3">
        <f t="shared" si="360"/>
        <v>2.4535081143819124E-4</v>
      </c>
      <c r="K353" s="3">
        <f t="shared" si="360"/>
        <v>2.4535081143819124E-4</v>
      </c>
      <c r="L353" s="3">
        <f t="shared" si="360"/>
        <v>2.4535081143819124E-4</v>
      </c>
      <c r="M353" s="3">
        <f t="shared" si="360"/>
        <v>2.4535081143819124E-4</v>
      </c>
      <c r="N353" s="3">
        <f t="shared" si="360"/>
        <v>2.4535081143819124E-4</v>
      </c>
      <c r="O353" s="3">
        <f t="shared" si="360"/>
        <v>2.4535081143819124E-4</v>
      </c>
      <c r="P353" s="3">
        <f t="shared" si="360"/>
        <v>2.4535081143819124E-4</v>
      </c>
      <c r="Q353" s="3">
        <f t="shared" si="360"/>
        <v>2.4535081143819124E-4</v>
      </c>
      <c r="R353" s="3">
        <f t="shared" si="360"/>
        <v>2.4535081143819124E-4</v>
      </c>
      <c r="S353" s="3">
        <f t="shared" si="360"/>
        <v>2.4535081143819119E-4</v>
      </c>
      <c r="T353" s="3">
        <f t="shared" si="360"/>
        <v>2.4535081143819092E-4</v>
      </c>
      <c r="U353" s="3">
        <f t="shared" si="360"/>
        <v>2.4535081143818832E-4</v>
      </c>
      <c r="V353" s="3">
        <f t="shared" si="360"/>
        <v>2.4535081143816213E-4</v>
      </c>
      <c r="W353" s="3">
        <f t="shared" si="360"/>
        <v>2.4535081143790014E-4</v>
      </c>
      <c r="X353" s="3">
        <f t="shared" si="360"/>
        <v>2.4535081143528016E-4</v>
      </c>
      <c r="Y353" s="3">
        <f t="shared" si="360"/>
        <v>2.4535081140908009E-4</v>
      </c>
      <c r="Z353" s="3">
        <f t="shared" si="360"/>
        <v>2.4535081114707992E-4</v>
      </c>
      <c r="AA353" s="3">
        <f t="shared" si="360"/>
        <v>2.4535080852707816E-4</v>
      </c>
      <c r="AB353" s="3">
        <f t="shared" si="360"/>
        <v>2.4535078232706216E-4</v>
      </c>
      <c r="AC353" s="3">
        <f t="shared" si="360"/>
        <v>2.4535052032705572E-4</v>
      </c>
      <c r="AD353" s="3">
        <f t="shared" si="360"/>
        <v>2.4534790034237924E-4</v>
      </c>
      <c r="AE353" s="3">
        <f t="shared" si="360"/>
        <v>2.4532170203433323E-4</v>
      </c>
      <c r="AF353" s="3">
        <f t="shared" si="360"/>
        <v>2.450598727649874E-4</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1.7255643769382848E-4</v>
      </c>
      <c r="C355" s="3">
        <f t="shared" si="362"/>
        <v>1.7255643769382848E-4</v>
      </c>
      <c r="D355" s="3">
        <f t="shared" si="362"/>
        <v>1.7255643769382848E-4</v>
      </c>
      <c r="E355" s="3">
        <f t="shared" si="362"/>
        <v>1.7255643769382848E-4</v>
      </c>
      <c r="F355" s="3">
        <f t="shared" si="362"/>
        <v>1.7255643769382848E-4</v>
      </c>
      <c r="G355" s="3">
        <f t="shared" si="362"/>
        <v>1.7255643769382848E-4</v>
      </c>
      <c r="H355" s="3">
        <f t="shared" si="362"/>
        <v>1.7255643769382848E-4</v>
      </c>
      <c r="I355" s="3">
        <f t="shared" si="362"/>
        <v>1.7255643769382848E-4</v>
      </c>
      <c r="J355" s="3">
        <f t="shared" si="362"/>
        <v>1.7255643769382848E-4</v>
      </c>
      <c r="K355" s="3">
        <f t="shared" si="362"/>
        <v>1.7255643769382848E-4</v>
      </c>
      <c r="L355" s="3">
        <f t="shared" si="362"/>
        <v>1.7255643769382848E-4</v>
      </c>
      <c r="M355" s="3">
        <f t="shared" si="362"/>
        <v>1.7255643769382848E-4</v>
      </c>
      <c r="N355" s="3">
        <f t="shared" si="362"/>
        <v>1.7255643769382848E-4</v>
      </c>
      <c r="O355" s="3">
        <f t="shared" si="362"/>
        <v>1.7255643769382848E-4</v>
      </c>
      <c r="P355" s="3">
        <f t="shared" si="362"/>
        <v>1.7255643769382848E-4</v>
      </c>
      <c r="Q355" s="3">
        <f t="shared" si="362"/>
        <v>1.7255643769382848E-4</v>
      </c>
      <c r="R355" s="3">
        <f t="shared" si="362"/>
        <v>1.7255643769382848E-4</v>
      </c>
      <c r="S355" s="3">
        <f t="shared" si="362"/>
        <v>1.7255643769382848E-4</v>
      </c>
      <c r="T355" s="3">
        <f t="shared" si="362"/>
        <v>1.7255643769382848E-4</v>
      </c>
      <c r="U355" s="3">
        <f t="shared" si="362"/>
        <v>1.7255643769382845E-4</v>
      </c>
      <c r="V355" s="3">
        <f t="shared" si="362"/>
        <v>1.7255643769382826E-4</v>
      </c>
      <c r="W355" s="3">
        <f t="shared" si="362"/>
        <v>1.7255643769382642E-4</v>
      </c>
      <c r="X355" s="3">
        <f t="shared" si="362"/>
        <v>1.7255643769380799E-4</v>
      </c>
      <c r="Y355" s="3">
        <f t="shared" si="362"/>
        <v>1.7255643769362376E-4</v>
      </c>
      <c r="Z355" s="3">
        <f t="shared" si="362"/>
        <v>1.725564376917811E-4</v>
      </c>
      <c r="AA355" s="3">
        <f t="shared" si="362"/>
        <v>1.7255643767335446E-4</v>
      </c>
      <c r="AB355" s="3">
        <f t="shared" si="362"/>
        <v>1.7255643748908847E-4</v>
      </c>
      <c r="AC355" s="3">
        <f t="shared" si="362"/>
        <v>1.7255643564642828E-4</v>
      </c>
      <c r="AD355" s="3">
        <f t="shared" si="362"/>
        <v>1.7255641721982757E-4</v>
      </c>
      <c r="AE355" s="3">
        <f t="shared" si="362"/>
        <v>1.725562329539288E-4</v>
      </c>
      <c r="AF355" s="3">
        <f t="shared" si="362"/>
        <v>1.7255439030576338E-4</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0.18565608588180249</v>
      </c>
      <c r="B358" s="80">
        <f>IF($A$64&lt;=B324,IF($B$64&gt;=B324,ABS((B326-B325)/B325),0),0)</f>
        <v>0.16177648696711572</v>
      </c>
      <c r="C358" s="80">
        <f t="shared" ref="C358:AF358" si="365">IF($A$64&lt;=C324,IF($B$64&gt;=C324,ABS((C326-C325)/C325),0),0)</f>
        <v>5.8507229310568183E-2</v>
      </c>
      <c r="D358" s="80">
        <f t="shared" si="365"/>
        <v>0.17082911794467784</v>
      </c>
      <c r="E358" s="80">
        <f t="shared" si="365"/>
        <v>0.14130963373935612</v>
      </c>
      <c r="F358" s="80">
        <f t="shared" si="365"/>
        <v>0.10177702773389381</v>
      </c>
      <c r="G358" s="80">
        <f t="shared" si="365"/>
        <v>5.9130391408604245E-2</v>
      </c>
      <c r="H358" s="80">
        <f t="shared" si="365"/>
        <v>2.16606169807671E-2</v>
      </c>
      <c r="I358" s="80">
        <f t="shared" si="365"/>
        <v>1.8383768507095315E-3</v>
      </c>
      <c r="J358" s="80">
        <f t="shared" si="365"/>
        <v>2.7315160297909851E-2</v>
      </c>
      <c r="K358" s="80">
        <f t="shared" si="365"/>
        <v>2.2043670930565029E-2</v>
      </c>
      <c r="L358" s="80">
        <f t="shared" si="365"/>
        <v>2.3854096589789989E-2</v>
      </c>
      <c r="M358" s="80">
        <f t="shared" si="365"/>
        <v>2.8383301690396052E-2</v>
      </c>
      <c r="N358" s="80">
        <f t="shared" si="365"/>
        <v>3.1806397257888294E-2</v>
      </c>
      <c r="O358" s="80">
        <f t="shared" si="365"/>
        <v>3.7600827510671925E-2</v>
      </c>
      <c r="P358" s="80">
        <f t="shared" si="365"/>
        <v>4.2405283005865886E-2</v>
      </c>
      <c r="Q358" s="80">
        <f t="shared" si="365"/>
        <v>3.2626281838349362E-2</v>
      </c>
      <c r="R358" s="80">
        <f t="shared" si="365"/>
        <v>2.9477802946256224E-2</v>
      </c>
      <c r="S358" s="80">
        <f t="shared" si="365"/>
        <v>0.13851706057382615</v>
      </c>
      <c r="T358" s="80">
        <f t="shared" si="365"/>
        <v>0.27850778111245744</v>
      </c>
      <c r="U358" s="80">
        <f t="shared" si="365"/>
        <v>0.45111563433343671</v>
      </c>
      <c r="V358" s="80">
        <f t="shared" si="365"/>
        <v>0.63852431895310546</v>
      </c>
      <c r="W358" s="80">
        <f t="shared" si="365"/>
        <v>0.78122076451723621</v>
      </c>
      <c r="X358" s="80">
        <f t="shared" si="365"/>
        <v>0.79031140446474568</v>
      </c>
      <c r="Y358" s="80">
        <f t="shared" si="365"/>
        <v>0.62848093411314787</v>
      </c>
      <c r="Z358" s="80">
        <f t="shared" si="365"/>
        <v>0.42081725471610432</v>
      </c>
      <c r="AA358" s="80">
        <f t="shared" si="365"/>
        <v>0.25777403380214781</v>
      </c>
      <c r="AB358" s="80">
        <f t="shared" si="365"/>
        <v>0.15173598086882678</v>
      </c>
      <c r="AC358" s="80">
        <f t="shared" si="365"/>
        <v>0.1034721133998607</v>
      </c>
      <c r="AD358" s="80">
        <f t="shared" si="365"/>
        <v>5.9331671316875639E-2</v>
      </c>
      <c r="AE358" s="80">
        <f t="shared" si="365"/>
        <v>3.9624489145879099E-2</v>
      </c>
      <c r="AF358" s="80">
        <f t="shared" si="365"/>
        <v>2.3563518014842095E-2</v>
      </c>
    </row>
    <row r="359" spans="1:34" x14ac:dyDescent="0.25">
      <c r="B359" s="21">
        <f>(B326-B325)^2</f>
        <v>873320.97232713632</v>
      </c>
      <c r="C359" s="21">
        <f t="shared" ref="C359:AF359" si="366">(C326-C325)^2</f>
        <v>106265.74238841179</v>
      </c>
      <c r="D359" s="21">
        <f t="shared" si="366"/>
        <v>851205.25056179147</v>
      </c>
      <c r="E359" s="21">
        <f t="shared" si="366"/>
        <v>543079.57902290905</v>
      </c>
      <c r="F359" s="21">
        <f t="shared" si="366"/>
        <v>257456.53408540852</v>
      </c>
      <c r="G359" s="21">
        <f t="shared" si="366"/>
        <v>79164.696818201031</v>
      </c>
      <c r="H359" s="21">
        <f t="shared" si="366"/>
        <v>9779.587052361132</v>
      </c>
      <c r="I359" s="21">
        <f t="shared" si="366"/>
        <v>64.980554940203831</v>
      </c>
      <c r="J359" s="21">
        <f t="shared" si="366"/>
        <v>13181.3676940031</v>
      </c>
      <c r="K359" s="21">
        <f t="shared" si="366"/>
        <v>7879.372949638554</v>
      </c>
      <c r="L359" s="21">
        <f t="shared" si="366"/>
        <v>8402.8595351145577</v>
      </c>
      <c r="M359" s="21">
        <f t="shared" si="366"/>
        <v>10661.774488211029</v>
      </c>
      <c r="N359" s="21">
        <f t="shared" si="366"/>
        <v>11743.169725588483</v>
      </c>
      <c r="O359" s="21">
        <f t="shared" si="366"/>
        <v>13990.548163812455</v>
      </c>
      <c r="P359" s="21">
        <f t="shared" si="366"/>
        <v>14482.95962125698</v>
      </c>
      <c r="Q359" s="21">
        <f t="shared" si="366"/>
        <v>6265.7966054139879</v>
      </c>
      <c r="R359" s="21">
        <f t="shared" si="366"/>
        <v>2989.4292122266093</v>
      </c>
      <c r="S359" s="21">
        <f t="shared" si="366"/>
        <v>30906.424173268893</v>
      </c>
      <c r="T359" s="21">
        <f t="shared" si="366"/>
        <v>50666.509988450904</v>
      </c>
      <c r="U359" s="21">
        <f t="shared" si="366"/>
        <v>52730.328077255981</v>
      </c>
      <c r="V359" s="21">
        <f t="shared" si="366"/>
        <v>48262.275670144707</v>
      </c>
      <c r="W359" s="21">
        <f t="shared" si="366"/>
        <v>42128.394543013179</v>
      </c>
      <c r="X359" s="21">
        <f t="shared" si="366"/>
        <v>31043.598215704667</v>
      </c>
      <c r="Y359" s="21">
        <f t="shared" si="366"/>
        <v>16009.113953292454</v>
      </c>
      <c r="Z359" s="21">
        <f t="shared" si="366"/>
        <v>6260.6796166305758</v>
      </c>
      <c r="AA359" s="21">
        <f t="shared" si="366"/>
        <v>2180.4025614186585</v>
      </c>
      <c r="AB359" s="21">
        <f t="shared" si="366"/>
        <v>679.02226648283329</v>
      </c>
      <c r="AC359" s="21">
        <f t="shared" si="366"/>
        <v>291.06586826425507</v>
      </c>
      <c r="AD359" s="21">
        <f t="shared" si="366"/>
        <v>95.260465345254332</v>
      </c>
      <c r="AE359" s="21">
        <f t="shared" si="366"/>
        <v>41.719715703749884</v>
      </c>
      <c r="AF359" s="21">
        <f t="shared" si="366"/>
        <v>14.738171441373581</v>
      </c>
      <c r="AG359" s="3"/>
      <c r="AH359" s="3"/>
    </row>
    <row r="360" spans="1:34" x14ac:dyDescent="0.25">
      <c r="A360" s="71">
        <f>SUM(B360:AF360)</f>
        <v>3091244.1540928422</v>
      </c>
      <c r="B360" s="60">
        <f>IF($A$64&lt;=B324,IF($B$64&gt;=B324,ABS(B359),0),0)</f>
        <v>873320.97232713632</v>
      </c>
      <c r="C360" s="60">
        <f t="shared" ref="C360:AF360" si="367">IF($A$64&lt;=C324,IF($B$64&gt;=C324,ABS(C359),0),0)</f>
        <v>106265.74238841179</v>
      </c>
      <c r="D360" s="60">
        <f t="shared" si="367"/>
        <v>851205.25056179147</v>
      </c>
      <c r="E360" s="60">
        <f t="shared" si="367"/>
        <v>543079.57902290905</v>
      </c>
      <c r="F360" s="60">
        <f t="shared" si="367"/>
        <v>257456.53408540852</v>
      </c>
      <c r="G360" s="60">
        <f t="shared" si="367"/>
        <v>79164.696818201031</v>
      </c>
      <c r="H360" s="60">
        <f t="shared" si="367"/>
        <v>9779.587052361132</v>
      </c>
      <c r="I360" s="60">
        <f t="shared" si="367"/>
        <v>64.980554940203831</v>
      </c>
      <c r="J360" s="60">
        <f t="shared" si="367"/>
        <v>13181.3676940031</v>
      </c>
      <c r="K360" s="60">
        <f t="shared" si="367"/>
        <v>7879.372949638554</v>
      </c>
      <c r="L360" s="60">
        <f t="shared" si="367"/>
        <v>8402.8595351145577</v>
      </c>
      <c r="M360" s="60">
        <f t="shared" si="367"/>
        <v>10661.774488211029</v>
      </c>
      <c r="N360" s="60">
        <f t="shared" si="367"/>
        <v>11743.169725588483</v>
      </c>
      <c r="O360" s="60">
        <f t="shared" si="367"/>
        <v>13990.548163812455</v>
      </c>
      <c r="P360" s="60">
        <f t="shared" si="367"/>
        <v>14482.95962125698</v>
      </c>
      <c r="Q360" s="60">
        <f t="shared" si="367"/>
        <v>6265.7966054139879</v>
      </c>
      <c r="R360" s="60">
        <f t="shared" si="367"/>
        <v>2989.4292122266093</v>
      </c>
      <c r="S360" s="60">
        <f t="shared" si="367"/>
        <v>30906.424173268893</v>
      </c>
      <c r="T360" s="60">
        <f t="shared" si="367"/>
        <v>50666.509988450904</v>
      </c>
      <c r="U360" s="60">
        <f t="shared" si="367"/>
        <v>52730.328077255981</v>
      </c>
      <c r="V360" s="60">
        <f t="shared" si="367"/>
        <v>48262.275670144707</v>
      </c>
      <c r="W360" s="60">
        <f t="shared" si="367"/>
        <v>42128.394543013179</v>
      </c>
      <c r="X360" s="60">
        <f t="shared" si="367"/>
        <v>31043.598215704667</v>
      </c>
      <c r="Y360" s="60">
        <f t="shared" si="367"/>
        <v>16009.113953292454</v>
      </c>
      <c r="Z360" s="60">
        <f t="shared" si="367"/>
        <v>6260.6796166305758</v>
      </c>
      <c r="AA360" s="60">
        <f t="shared" si="367"/>
        <v>2180.4025614186585</v>
      </c>
      <c r="AB360" s="60">
        <f t="shared" si="367"/>
        <v>679.02226648283329</v>
      </c>
      <c r="AC360" s="60">
        <f t="shared" si="367"/>
        <v>291.06586826425507</v>
      </c>
      <c r="AD360" s="60">
        <f t="shared" si="367"/>
        <v>95.260465345254332</v>
      </c>
      <c r="AE360" s="60">
        <f t="shared" si="367"/>
        <v>41.719715703749884</v>
      </c>
      <c r="AF360" s="60">
        <f t="shared" si="367"/>
        <v>14.738171441373581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4468.270889762236</v>
      </c>
      <c r="C365" s="27">
        <f t="shared" ref="C365:AF365" si="368">($C$17+SUM(C366:C396))*$B$51</f>
        <v>4389.7477957278124</v>
      </c>
      <c r="D365" s="27">
        <f t="shared" si="368"/>
        <v>4102.9645590048995</v>
      </c>
      <c r="E365" s="27">
        <f t="shared" si="368"/>
        <v>3948.4053665782162</v>
      </c>
      <c r="F365" s="27">
        <f t="shared" si="368"/>
        <v>3764.8507380585793</v>
      </c>
      <c r="G365" s="27">
        <f t="shared" si="368"/>
        <v>3550.5649408173795</v>
      </c>
      <c r="H365" s="27">
        <f t="shared" si="368"/>
        <v>3316.7408712651873</v>
      </c>
      <c r="I365" s="27">
        <f t="shared" si="368"/>
        <v>3048.8019506475002</v>
      </c>
      <c r="J365" s="27">
        <f t="shared" si="368"/>
        <v>2742.6622854270272</v>
      </c>
      <c r="K365" s="27">
        <f t="shared" si="368"/>
        <v>2377.5725673012585</v>
      </c>
      <c r="L365" s="27">
        <f t="shared" si="368"/>
        <v>1944.9888613925316</v>
      </c>
      <c r="M365" s="27">
        <f t="shared" si="368"/>
        <v>1480.4329514813378</v>
      </c>
      <c r="N365" s="27">
        <f t="shared" si="368"/>
        <v>1061.266110424001</v>
      </c>
      <c r="O365" s="27">
        <f t="shared" si="368"/>
        <v>755.64505833804515</v>
      </c>
      <c r="P365" s="27">
        <f t="shared" si="368"/>
        <v>572.49212306265133</v>
      </c>
      <c r="Q365" s="27">
        <f t="shared" si="368"/>
        <v>472.70836269225572</v>
      </c>
      <c r="R365" s="27">
        <f t="shared" si="368"/>
        <v>403.85778360565007</v>
      </c>
      <c r="S365" s="27">
        <f t="shared" si="368"/>
        <v>332.46813323062219</v>
      </c>
      <c r="T365" s="27">
        <f t="shared" si="368"/>
        <v>269.81129535555328</v>
      </c>
      <c r="U365" s="27">
        <f t="shared" si="368"/>
        <v>229.97168566306817</v>
      </c>
      <c r="V365" s="27">
        <f t="shared" si="368"/>
        <v>199.00105600178233</v>
      </c>
      <c r="W365" s="27">
        <f t="shared" si="368"/>
        <v>182.51739320332086</v>
      </c>
      <c r="X365" s="27">
        <f t="shared" si="368"/>
        <v>174.61976535901769</v>
      </c>
      <c r="Y365" s="27">
        <f t="shared" si="368"/>
        <v>169.85026564260181</v>
      </c>
      <c r="Z365" s="27">
        <f t="shared" si="368"/>
        <v>166.83910430710316</v>
      </c>
      <c r="AA365" s="27">
        <f t="shared" si="368"/>
        <v>166.19170752982657</v>
      </c>
      <c r="AB365" s="27">
        <f t="shared" si="368"/>
        <v>164.99921048827792</v>
      </c>
      <c r="AC365" s="27">
        <f t="shared" si="368"/>
        <v>163.36094897286466</v>
      </c>
      <c r="AD365" s="27">
        <f t="shared" si="368"/>
        <v>162.63456046870184</v>
      </c>
      <c r="AE365" s="27">
        <f t="shared" si="368"/>
        <v>161.98186795128473</v>
      </c>
      <c r="AF365" s="27">
        <f t="shared" si="368"/>
        <v>161.54433627129904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5.1726145917544299E-2</v>
      </c>
      <c r="C367" s="3">
        <f t="shared" si="370"/>
        <v>4.0940899421466226E-2</v>
      </c>
      <c r="D367" s="3">
        <f t="shared" si="370"/>
        <v>3.9502989813574533E-3</v>
      </c>
      <c r="E367" s="3">
        <f t="shared" si="370"/>
        <v>2.7628406743655824E-13</v>
      </c>
      <c r="F367" s="3">
        <f t="shared" si="370"/>
        <v>7.7377480350944861E-115</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1.8505192481592308E-2</v>
      </c>
      <c r="C368" s="3">
        <f t="shared" si="371"/>
        <v>1.8118936571254553E-2</v>
      </c>
      <c r="D368" s="3">
        <f t="shared" si="371"/>
        <v>1.4673161028768521E-2</v>
      </c>
      <c r="E368" s="3">
        <f t="shared" si="371"/>
        <v>1.7800552151029843E-3</v>
      </c>
      <c r="F368" s="3">
        <f t="shared" si="371"/>
        <v>1.2289419664410305E-12</v>
      </c>
      <c r="G368" s="3">
        <f t="shared" si="371"/>
        <v>3.0235028795140854E-104</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2.7422520359071334E-2</v>
      </c>
      <c r="C369" s="3">
        <f t="shared" si="372"/>
        <v>2.7370389514633893E-2</v>
      </c>
      <c r="D369" s="3">
        <f t="shared" si="372"/>
        <v>2.6854500709594373E-2</v>
      </c>
      <c r="E369" s="3">
        <f t="shared" si="372"/>
        <v>2.220128562312822E-2</v>
      </c>
      <c r="F369" s="3">
        <f t="shared" si="372"/>
        <v>3.3112238646425718E-3</v>
      </c>
      <c r="G369" s="3">
        <f t="shared" si="372"/>
        <v>1.803402787635438E-11</v>
      </c>
      <c r="H369" s="3">
        <f t="shared" si="372"/>
        <v>4.1412807030784813E-94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3.2243696793511467E-2</v>
      </c>
      <c r="C370" s="3">
        <f t="shared" si="373"/>
        <v>3.2238162595831191E-2</v>
      </c>
      <c r="D370" s="3">
        <f t="shared" si="373"/>
        <v>3.2182872835027646E-2</v>
      </c>
      <c r="E370" s="3">
        <f t="shared" si="373"/>
        <v>3.1635163815741461E-2</v>
      </c>
      <c r="F370" s="3">
        <f t="shared" si="373"/>
        <v>2.6645438553256691E-2</v>
      </c>
      <c r="G370" s="3">
        <f t="shared" si="373"/>
        <v>4.7879622967937031E-3</v>
      </c>
      <c r="H370" s="3">
        <f t="shared" si="373"/>
        <v>1.680464004112918E-10</v>
      </c>
      <c r="I370" s="3">
        <f t="shared" si="373"/>
        <v>4.7666595890908132E-85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3.4402260055664421E-2</v>
      </c>
      <c r="C371" s="3">
        <f t="shared" si="374"/>
        <v>3.4401727362264996E-2</v>
      </c>
      <c r="D371" s="3">
        <f t="shared" si="374"/>
        <v>3.4396400881909497E-2</v>
      </c>
      <c r="E371" s="3">
        <f t="shared" si="374"/>
        <v>3.4343181416253116E-2</v>
      </c>
      <c r="F371" s="3">
        <f t="shared" si="374"/>
        <v>3.3815494681711362E-2</v>
      </c>
      <c r="G371" s="3">
        <f t="shared" si="374"/>
        <v>2.8964628012547834E-2</v>
      </c>
      <c r="H371" s="3">
        <f t="shared" si="374"/>
        <v>6.1572963693969701E-3</v>
      </c>
      <c r="I371" s="3">
        <f t="shared" si="374"/>
        <v>1.1604089907924262E-9</v>
      </c>
      <c r="J371" s="3">
        <f t="shared" si="374"/>
        <v>6.5587541999795497E-77</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4.0521806359768785E-2</v>
      </c>
      <c r="C372" s="3">
        <f t="shared" si="375"/>
        <v>4.0521749758158358E-2</v>
      </c>
      <c r="D372" s="3">
        <f t="shared" si="375"/>
        <v>4.0521183746402491E-2</v>
      </c>
      <c r="E372" s="3">
        <f t="shared" si="375"/>
        <v>4.0515524063661497E-2</v>
      </c>
      <c r="F372" s="3">
        <f t="shared" si="375"/>
        <v>4.0458970695556443E-2</v>
      </c>
      <c r="G372" s="3">
        <f t="shared" si="375"/>
        <v>3.9897760567892876E-2</v>
      </c>
      <c r="H372" s="3">
        <f t="shared" si="375"/>
        <v>3.4696480128024669E-2</v>
      </c>
      <c r="I372" s="3">
        <f t="shared" si="375"/>
        <v>8.5833023463208948E-3</v>
      </c>
      <c r="J372" s="3">
        <f t="shared" si="375"/>
        <v>7.3679102917316595E-9</v>
      </c>
      <c r="K372" s="3">
        <f t="shared" si="375"/>
        <v>1.600455178593439E-69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4.5710825519482488E-2</v>
      </c>
      <c r="C373" s="3">
        <f t="shared" si="376"/>
        <v>4.5710819759702134E-2</v>
      </c>
      <c r="D373" s="3">
        <f t="shared" si="376"/>
        <v>4.5710762161938472E-2</v>
      </c>
      <c r="E373" s="3">
        <f t="shared" si="376"/>
        <v>4.5710186188293506E-2</v>
      </c>
      <c r="F373" s="3">
        <f t="shared" si="376"/>
        <v>4.5704426850991041E-2</v>
      </c>
      <c r="G373" s="3">
        <f t="shared" si="376"/>
        <v>4.5646873374078779E-2</v>
      </c>
      <c r="H373" s="3">
        <f t="shared" si="376"/>
        <v>4.5075309678456403E-2</v>
      </c>
      <c r="I373" s="3">
        <f t="shared" si="376"/>
        <v>3.9738873841897081E-2</v>
      </c>
      <c r="J373" s="3">
        <f t="shared" si="376"/>
        <v>1.1271557200614915E-2</v>
      </c>
      <c r="K373" s="3">
        <f t="shared" si="376"/>
        <v>3.798984814463698E-8</v>
      </c>
      <c r="L373" s="3">
        <f t="shared" si="376"/>
        <v>7.1862767795190644E-63</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5.6199563970874458E-2</v>
      </c>
      <c r="C374" s="3">
        <f t="shared" si="377"/>
        <v>5.6199563332072232E-2</v>
      </c>
      <c r="D374" s="3">
        <f t="shared" si="377"/>
        <v>5.6199556944050384E-2</v>
      </c>
      <c r="E374" s="3">
        <f t="shared" si="377"/>
        <v>5.6199493063871869E-2</v>
      </c>
      <c r="F374" s="3">
        <f t="shared" si="377"/>
        <v>5.6198854266080241E-2</v>
      </c>
      <c r="G374" s="3">
        <f t="shared" si="377"/>
        <v>5.6192466687503523E-2</v>
      </c>
      <c r="H374" s="3">
        <f t="shared" si="377"/>
        <v>5.6128630818898746E-2</v>
      </c>
      <c r="I374" s="3">
        <f t="shared" si="377"/>
        <v>5.5494247112175418E-2</v>
      </c>
      <c r="J374" s="3">
        <f t="shared" si="377"/>
        <v>4.9531686741590517E-2</v>
      </c>
      <c r="K374" s="3">
        <f t="shared" si="377"/>
        <v>1.5894052985977132E-2</v>
      </c>
      <c r="L374" s="3">
        <f t="shared" si="377"/>
        <v>1.8397128648472835E-7</v>
      </c>
      <c r="M374" s="3">
        <f t="shared" si="377"/>
        <v>7.9415254800301692E-57</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6.8321253150433872E-2</v>
      </c>
      <c r="C375" s="3">
        <f t="shared" si="378"/>
        <v>6.8321253080379396E-2</v>
      </c>
      <c r="D375" s="3">
        <f t="shared" si="378"/>
        <v>6.8321252379834635E-2</v>
      </c>
      <c r="E375" s="3">
        <f t="shared" si="378"/>
        <v>6.8321245374387454E-2</v>
      </c>
      <c r="F375" s="3">
        <f t="shared" si="378"/>
        <v>6.8321175319955046E-2</v>
      </c>
      <c r="G375" s="3">
        <f t="shared" si="378"/>
        <v>6.8320474779581794E-2</v>
      </c>
      <c r="H375" s="3">
        <f t="shared" si="378"/>
        <v>6.8313469770906826E-2</v>
      </c>
      <c r="I375" s="3">
        <f t="shared" si="378"/>
        <v>6.8243459174925886E-2</v>
      </c>
      <c r="J375" s="3">
        <f t="shared" si="378"/>
        <v>6.7547287350740712E-2</v>
      </c>
      <c r="K375" s="3">
        <f t="shared" si="378"/>
        <v>6.0964457679685446E-2</v>
      </c>
      <c r="L375" s="3">
        <f t="shared" si="378"/>
        <v>2.186576797186995E-2</v>
      </c>
      <c r="M375" s="3">
        <f t="shared" si="378"/>
        <v>7.7027347007546732E-7</v>
      </c>
      <c r="N375" s="3">
        <f t="shared" si="378"/>
        <v>2.2669763412327569E-51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7.251602324713112E-2</v>
      </c>
      <c r="C376" s="3">
        <f t="shared" si="379"/>
        <v>7.2516023240423624E-2</v>
      </c>
      <c r="D376" s="3">
        <f t="shared" si="379"/>
        <v>7.2516023173348626E-2</v>
      </c>
      <c r="E376" s="3">
        <f t="shared" si="379"/>
        <v>7.2516022502598698E-2</v>
      </c>
      <c r="F376" s="3">
        <f t="shared" si="379"/>
        <v>7.2516015795099753E-2</v>
      </c>
      <c r="G376" s="3">
        <f t="shared" si="379"/>
        <v>7.2515948720144427E-2</v>
      </c>
      <c r="H376" s="3">
        <f t="shared" si="379"/>
        <v>7.2515277974003478E-2</v>
      </c>
      <c r="I376" s="3">
        <f t="shared" si="379"/>
        <v>7.2508570853813167E-2</v>
      </c>
      <c r="J376" s="3">
        <f t="shared" si="379"/>
        <v>7.2441533762155938E-2</v>
      </c>
      <c r="K376" s="3">
        <f t="shared" si="379"/>
        <v>7.1774562225171062E-2</v>
      </c>
      <c r="L376" s="3">
        <f t="shared" si="379"/>
        <v>6.5433433105925101E-2</v>
      </c>
      <c r="M376" s="3">
        <f t="shared" si="379"/>
        <v>2.5947245156261085E-2</v>
      </c>
      <c r="N376" s="3">
        <f t="shared" si="379"/>
        <v>2.4946334189054212E-6</v>
      </c>
      <c r="O376" s="3">
        <f t="shared" si="379"/>
        <v>1.6833000805463588E-46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6.0357732330728525E-2</v>
      </c>
      <c r="C377" s="3">
        <f t="shared" si="380"/>
        <v>6.03577323302249E-2</v>
      </c>
      <c r="D377" s="3">
        <f t="shared" si="380"/>
        <v>6.0357732325188672E-2</v>
      </c>
      <c r="E377" s="3">
        <f t="shared" si="380"/>
        <v>6.0357732274826298E-2</v>
      </c>
      <c r="F377" s="3">
        <f t="shared" si="380"/>
        <v>6.03577317712026E-2</v>
      </c>
      <c r="G377" s="3">
        <f t="shared" si="380"/>
        <v>6.0357726734965804E-2</v>
      </c>
      <c r="H377" s="3">
        <f t="shared" si="380"/>
        <v>6.0357676372620975E-2</v>
      </c>
      <c r="I377" s="3">
        <f t="shared" si="380"/>
        <v>6.0357172751483917E-2</v>
      </c>
      <c r="J377" s="3">
        <f t="shared" si="380"/>
        <v>6.0352136771227811E-2</v>
      </c>
      <c r="K377" s="3">
        <f t="shared" si="380"/>
        <v>6.030180007298383E-2</v>
      </c>
      <c r="L377" s="3">
        <f t="shared" si="380"/>
        <v>5.9800736405208131E-2</v>
      </c>
      <c r="M377" s="3">
        <f t="shared" si="380"/>
        <v>5.5013476164833035E-2</v>
      </c>
      <c r="N377" s="3">
        <f t="shared" si="380"/>
        <v>2.3883317123381188E-2</v>
      </c>
      <c r="O377" s="3">
        <f t="shared" si="380"/>
        <v>5.6800246403189632E-6</v>
      </c>
      <c r="P377" s="3">
        <f t="shared" si="380"/>
        <v>3.2878043393730494E-42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3.7953571045139821E-2</v>
      </c>
      <c r="C378" s="3">
        <f t="shared" si="381"/>
        <v>3.7953571045111253E-2</v>
      </c>
      <c r="D378" s="3">
        <f t="shared" si="381"/>
        <v>3.7953571044825572E-2</v>
      </c>
      <c r="E378" s="3">
        <f t="shared" si="381"/>
        <v>3.7953571041968823E-2</v>
      </c>
      <c r="F378" s="3">
        <f t="shared" si="381"/>
        <v>3.7953571013401306E-2</v>
      </c>
      <c r="G378" s="3">
        <f t="shared" si="381"/>
        <v>3.7953570727726149E-2</v>
      </c>
      <c r="H378" s="3">
        <f t="shared" si="381"/>
        <v>3.795356787097464E-2</v>
      </c>
      <c r="I378" s="3">
        <f t="shared" si="381"/>
        <v>3.7953539303471416E-2</v>
      </c>
      <c r="J378" s="3">
        <f t="shared" si="381"/>
        <v>3.7953253629621875E-2</v>
      </c>
      <c r="K378" s="3">
        <f t="shared" si="381"/>
        <v>3.7950397009387397E-2</v>
      </c>
      <c r="L378" s="3">
        <f t="shared" si="381"/>
        <v>3.792184262985053E-2</v>
      </c>
      <c r="M378" s="3">
        <f t="shared" si="381"/>
        <v>3.7637477829265645E-2</v>
      </c>
      <c r="N378" s="3">
        <f t="shared" si="381"/>
        <v>3.4908510891772604E-2</v>
      </c>
      <c r="O378" s="3">
        <f t="shared" si="381"/>
        <v>1.644521022057422E-2</v>
      </c>
      <c r="P378" s="3">
        <f t="shared" si="381"/>
        <v>8.8536121136449152E-6</v>
      </c>
      <c r="Q378" s="3">
        <f t="shared" si="381"/>
        <v>1.8110527823728669E-38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1.9899360219970713E-2</v>
      </c>
      <c r="C379" s="3">
        <f t="shared" si="382"/>
        <v>1.989936021996936E-2</v>
      </c>
      <c r="D379" s="3">
        <f t="shared" si="382"/>
        <v>1.989936021995585E-2</v>
      </c>
      <c r="E379" s="3">
        <f t="shared" si="382"/>
        <v>1.9899360219820732E-2</v>
      </c>
      <c r="F379" s="3">
        <f t="shared" si="382"/>
        <v>1.9899360218469577E-2</v>
      </c>
      <c r="G379" s="3">
        <f t="shared" si="382"/>
        <v>1.9899360204958017E-2</v>
      </c>
      <c r="H379" s="3">
        <f t="shared" si="382"/>
        <v>1.9899360069842401E-2</v>
      </c>
      <c r="I379" s="3">
        <f t="shared" si="382"/>
        <v>1.98993587186863E-2</v>
      </c>
      <c r="J379" s="3">
        <f t="shared" si="382"/>
        <v>1.9899345207130336E-2</v>
      </c>
      <c r="K379" s="3">
        <f t="shared" si="382"/>
        <v>1.9899210092075292E-2</v>
      </c>
      <c r="L379" s="3">
        <f t="shared" si="382"/>
        <v>1.9897858991981973E-2</v>
      </c>
      <c r="M379" s="3">
        <f t="shared" si="382"/>
        <v>1.9884353035494379E-2</v>
      </c>
      <c r="N379" s="3">
        <f t="shared" si="382"/>
        <v>1.9749796650168523E-2</v>
      </c>
      <c r="O379" s="3">
        <f t="shared" si="382"/>
        <v>1.8453309255239178E-2</v>
      </c>
      <c r="P379" s="3">
        <f t="shared" si="382"/>
        <v>9.3581623878775545E-3</v>
      </c>
      <c r="Q379" s="3">
        <f t="shared" si="382"/>
        <v>1.0528190796081642E-5</v>
      </c>
      <c r="R379" s="3">
        <f t="shared" si="382"/>
        <v>3.4196798113724269E-35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1.0036367698219974E-2</v>
      </c>
      <c r="C380" s="3">
        <f t="shared" si="383"/>
        <v>1.0036367698219913E-2</v>
      </c>
      <c r="D380" s="3">
        <f t="shared" si="383"/>
        <v>1.0036367698219298E-2</v>
      </c>
      <c r="E380" s="3">
        <f t="shared" si="383"/>
        <v>1.0036367698213151E-2</v>
      </c>
      <c r="F380" s="3">
        <f t="shared" si="383"/>
        <v>1.0036367698151676E-2</v>
      </c>
      <c r="G380" s="3">
        <f t="shared" si="383"/>
        <v>1.0036367697536939E-2</v>
      </c>
      <c r="H380" s="3">
        <f t="shared" si="383"/>
        <v>1.0036367691389566E-2</v>
      </c>
      <c r="I380" s="3">
        <f t="shared" si="383"/>
        <v>1.0036367629915834E-2</v>
      </c>
      <c r="J380" s="3">
        <f t="shared" si="383"/>
        <v>1.0036367015178528E-2</v>
      </c>
      <c r="K380" s="3">
        <f t="shared" si="383"/>
        <v>1.0036360867807539E-2</v>
      </c>
      <c r="L380" s="3">
        <f t="shared" si="383"/>
        <v>1.0036299394304747E-2</v>
      </c>
      <c r="M380" s="3">
        <f t="shared" si="383"/>
        <v>1.0035684679985597E-2</v>
      </c>
      <c r="N380" s="3">
        <f t="shared" si="383"/>
        <v>1.0029539607202121E-2</v>
      </c>
      <c r="O380" s="3">
        <f t="shared" si="383"/>
        <v>9.9682954517240317E-3</v>
      </c>
      <c r="P380" s="3">
        <f t="shared" si="383"/>
        <v>9.3760505517968776E-3</v>
      </c>
      <c r="Q380" s="3">
        <f t="shared" si="383"/>
        <v>5.0817152515365768E-3</v>
      </c>
      <c r="R380" s="3">
        <f t="shared" si="383"/>
        <v>1.1115120766729473E-5</v>
      </c>
      <c r="S380" s="3">
        <f t="shared" si="383"/>
        <v>2.7858182623924074E-32</v>
      </c>
      <c r="T380" s="3">
        <f t="shared" si="383"/>
        <v>2.7248257495079554E-298</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1.0472179826501764E-2</v>
      </c>
      <c r="C381" s="3">
        <f t="shared" si="384"/>
        <v>1.0472179826501759E-2</v>
      </c>
      <c r="D381" s="3">
        <f t="shared" si="384"/>
        <v>1.0472179826501702E-2</v>
      </c>
      <c r="E381" s="3">
        <f t="shared" si="384"/>
        <v>1.0472179826501123E-2</v>
      </c>
      <c r="F381" s="3">
        <f t="shared" si="384"/>
        <v>1.0472179826495337E-2</v>
      </c>
      <c r="G381" s="3">
        <f t="shared" si="384"/>
        <v>1.0472179826437474E-2</v>
      </c>
      <c r="H381" s="3">
        <f t="shared" si="384"/>
        <v>1.047217982585885E-2</v>
      </c>
      <c r="I381" s="3">
        <f t="shared" si="384"/>
        <v>1.0472179820072607E-2</v>
      </c>
      <c r="J381" s="3">
        <f t="shared" si="384"/>
        <v>1.0472179762210172E-2</v>
      </c>
      <c r="K381" s="3">
        <f t="shared" si="384"/>
        <v>1.0472179183585844E-2</v>
      </c>
      <c r="L381" s="3">
        <f t="shared" si="384"/>
        <v>1.0472173397344324E-2</v>
      </c>
      <c r="M381" s="3">
        <f t="shared" si="384"/>
        <v>1.0472115535104968E-2</v>
      </c>
      <c r="N381" s="3">
        <f t="shared" si="384"/>
        <v>1.0471536930295058E-2</v>
      </c>
      <c r="O381" s="3">
        <f t="shared" si="384"/>
        <v>1.0465752640201966E-2</v>
      </c>
      <c r="P381" s="3">
        <f t="shared" si="384"/>
        <v>1.0408085181001019E-2</v>
      </c>
      <c r="Q381" s="3">
        <f t="shared" si="384"/>
        <v>9.8486013319638993E-3</v>
      </c>
      <c r="R381" s="3">
        <f t="shared" si="384"/>
        <v>5.6677639687817763E-3</v>
      </c>
      <c r="S381" s="3">
        <f t="shared" si="384"/>
        <v>2.2583109410163638E-5</v>
      </c>
      <c r="T381" s="3">
        <f t="shared" si="384"/>
        <v>2.2777369380348926E-29</v>
      </c>
      <c r="U381" s="3">
        <f t="shared" si="384"/>
        <v>2.4814288481933548E-269</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1.1455889373470318E-2</v>
      </c>
      <c r="C382" s="3">
        <f t="shared" si="385"/>
        <v>1.1455889373470318E-2</v>
      </c>
      <c r="D382" s="3">
        <f t="shared" si="385"/>
        <v>1.1455889373470311E-2</v>
      </c>
      <c r="E382" s="3">
        <f t="shared" si="385"/>
        <v>1.1455889373470253E-2</v>
      </c>
      <c r="F382" s="3">
        <f t="shared" si="385"/>
        <v>1.1455889373469683E-2</v>
      </c>
      <c r="G382" s="3">
        <f t="shared" si="385"/>
        <v>1.1455889373463974E-2</v>
      </c>
      <c r="H382" s="3">
        <f t="shared" si="385"/>
        <v>1.1455889373406873E-2</v>
      </c>
      <c r="I382" s="3">
        <f t="shared" si="385"/>
        <v>1.1455889372835875E-2</v>
      </c>
      <c r="J382" s="3">
        <f t="shared" si="385"/>
        <v>1.1455889367125889E-2</v>
      </c>
      <c r="K382" s="3">
        <f t="shared" si="385"/>
        <v>1.1455889310026033E-2</v>
      </c>
      <c r="L382" s="3">
        <f t="shared" si="385"/>
        <v>1.1455888739027488E-2</v>
      </c>
      <c r="M382" s="3">
        <f t="shared" si="385"/>
        <v>1.1455883029043604E-2</v>
      </c>
      <c r="N382" s="3">
        <f t="shared" si="385"/>
        <v>1.1455825929361301E-2</v>
      </c>
      <c r="O382" s="3">
        <f t="shared" si="385"/>
        <v>1.1455254948191168E-2</v>
      </c>
      <c r="P382" s="3">
        <f t="shared" si="385"/>
        <v>1.1449546701491922E-2</v>
      </c>
      <c r="Q382" s="3">
        <f t="shared" si="385"/>
        <v>1.139262044647437E-2</v>
      </c>
      <c r="R382" s="3">
        <f t="shared" si="385"/>
        <v>1.0838694808272584E-2</v>
      </c>
      <c r="S382" s="3">
        <f t="shared" si="385"/>
        <v>6.5843146641344228E-3</v>
      </c>
      <c r="T382" s="3">
        <f t="shared" si="385"/>
        <v>4.5065736818990603E-5</v>
      </c>
      <c r="U382" s="3">
        <f t="shared" si="385"/>
        <v>1.0167295855242849E-26</v>
      </c>
      <c r="V382" s="3">
        <f t="shared" si="385"/>
        <v>3.4737240181889753E-243</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6.2948394662532018E-3</v>
      </c>
      <c r="C383" s="3">
        <f t="shared" si="386"/>
        <v>6.2948394662532018E-3</v>
      </c>
      <c r="D383" s="3">
        <f t="shared" si="386"/>
        <v>6.2948394662532018E-3</v>
      </c>
      <c r="E383" s="3">
        <f t="shared" si="386"/>
        <v>6.2948394662531992E-3</v>
      </c>
      <c r="F383" s="3">
        <f t="shared" si="386"/>
        <v>6.2948394662531706E-3</v>
      </c>
      <c r="G383" s="3">
        <f t="shared" si="386"/>
        <v>6.294839466252887E-3</v>
      </c>
      <c r="H383" s="3">
        <f t="shared" si="386"/>
        <v>6.2948394662500568E-3</v>
      </c>
      <c r="I383" s="3">
        <f t="shared" si="386"/>
        <v>6.2948394662217539E-3</v>
      </c>
      <c r="J383" s="3">
        <f t="shared" si="386"/>
        <v>6.2948394659387208E-3</v>
      </c>
      <c r="K383" s="3">
        <f t="shared" si="386"/>
        <v>6.2948394631083876E-3</v>
      </c>
      <c r="L383" s="3">
        <f t="shared" si="386"/>
        <v>6.2948394348050635E-3</v>
      </c>
      <c r="M383" s="3">
        <f t="shared" si="386"/>
        <v>6.2948391517718243E-3</v>
      </c>
      <c r="N383" s="3">
        <f t="shared" si="386"/>
        <v>6.2948363214401322E-3</v>
      </c>
      <c r="O383" s="3">
        <f t="shared" si="386"/>
        <v>6.2948080181932098E-3</v>
      </c>
      <c r="P383" s="3">
        <f t="shared" si="386"/>
        <v>6.2945249927231278E-3</v>
      </c>
      <c r="Q383" s="3">
        <f t="shared" si="386"/>
        <v>6.2916954378202522E-3</v>
      </c>
      <c r="R383" s="3">
        <f t="shared" si="386"/>
        <v>6.2634697523059214E-3</v>
      </c>
      <c r="S383" s="3">
        <f t="shared" si="386"/>
        <v>5.9880844067645017E-3</v>
      </c>
      <c r="T383" s="3">
        <f t="shared" si="386"/>
        <v>3.8195940066183881E-3</v>
      </c>
      <c r="U383" s="3">
        <f t="shared" si="386"/>
        <v>4.259024133221279E-5</v>
      </c>
      <c r="V383" s="3">
        <f t="shared" si="386"/>
        <v>1.2654327744218807E-24</v>
      </c>
      <c r="W383" s="3">
        <f t="shared" si="386"/>
        <v>6.7846719369216907E-220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5.5356903730511449E-3</v>
      </c>
      <c r="C384" s="3">
        <f t="shared" si="387"/>
        <v>5.5356903730511449E-3</v>
      </c>
      <c r="D384" s="3">
        <f t="shared" si="387"/>
        <v>5.5356903730511449E-3</v>
      </c>
      <c r="E384" s="3">
        <f t="shared" si="387"/>
        <v>5.5356903730511449E-3</v>
      </c>
      <c r="F384" s="3">
        <f t="shared" si="387"/>
        <v>5.5356903730511423E-3</v>
      </c>
      <c r="G384" s="3">
        <f t="shared" si="387"/>
        <v>5.5356903730511197E-3</v>
      </c>
      <c r="H384" s="3">
        <f t="shared" si="387"/>
        <v>5.5356903730508951E-3</v>
      </c>
      <c r="I384" s="3">
        <f t="shared" si="387"/>
        <v>5.5356903730486504E-3</v>
      </c>
      <c r="J384" s="3">
        <f t="shared" si="387"/>
        <v>5.535690373026197E-3</v>
      </c>
      <c r="K384" s="3">
        <f t="shared" si="387"/>
        <v>5.5356903728016691E-3</v>
      </c>
      <c r="L384" s="3">
        <f t="shared" si="387"/>
        <v>5.5356903705563853E-3</v>
      </c>
      <c r="M384" s="3">
        <f t="shared" si="387"/>
        <v>5.5356903481035514E-3</v>
      </c>
      <c r="N384" s="3">
        <f t="shared" si="387"/>
        <v>5.5356901235752111E-3</v>
      </c>
      <c r="O384" s="3">
        <f t="shared" si="387"/>
        <v>5.5356878782923122E-3</v>
      </c>
      <c r="P384" s="3">
        <f t="shared" si="387"/>
        <v>5.5356654255134087E-3</v>
      </c>
      <c r="Q384" s="3">
        <f t="shared" si="387"/>
        <v>5.5354409027330853E-3</v>
      </c>
      <c r="R384" s="3">
        <f t="shared" si="387"/>
        <v>5.5331961757258425E-3</v>
      </c>
      <c r="S384" s="3">
        <f t="shared" si="387"/>
        <v>5.5107989101774108E-3</v>
      </c>
      <c r="T384" s="3">
        <f t="shared" si="387"/>
        <v>5.2917524712585221E-3</v>
      </c>
      <c r="U384" s="3">
        <f t="shared" si="387"/>
        <v>3.5273543955882144E-3</v>
      </c>
      <c r="V384" s="3">
        <f t="shared" si="387"/>
        <v>6.1086443357135392E-5</v>
      </c>
      <c r="W384" s="3">
        <f t="shared" si="387"/>
        <v>1.4821845492135915E-22</v>
      </c>
      <c r="X384" s="3">
        <f t="shared" si="387"/>
        <v>1.0482785517923258E-198</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2.9841994807754844E-3</v>
      </c>
      <c r="C385" s="3">
        <f t="shared" si="388"/>
        <v>2.9841994807754844E-3</v>
      </c>
      <c r="D385" s="3">
        <f t="shared" si="388"/>
        <v>2.9841994807754844E-3</v>
      </c>
      <c r="E385" s="3">
        <f t="shared" si="388"/>
        <v>2.9841994807754844E-3</v>
      </c>
      <c r="F385" s="3">
        <f t="shared" si="388"/>
        <v>2.9841994807754844E-3</v>
      </c>
      <c r="G385" s="3">
        <f t="shared" si="388"/>
        <v>2.9841994807754831E-3</v>
      </c>
      <c r="H385" s="3">
        <f t="shared" si="388"/>
        <v>2.9841994807754723E-3</v>
      </c>
      <c r="I385" s="3">
        <f t="shared" si="388"/>
        <v>2.984199480775363E-3</v>
      </c>
      <c r="J385" s="3">
        <f t="shared" si="388"/>
        <v>2.984199480774271E-3</v>
      </c>
      <c r="K385" s="3">
        <f t="shared" si="388"/>
        <v>2.9841994807633522E-3</v>
      </c>
      <c r="L385" s="3">
        <f t="shared" si="388"/>
        <v>2.9841994806541648E-3</v>
      </c>
      <c r="M385" s="3">
        <f t="shared" si="388"/>
        <v>2.9841994795622878E-3</v>
      </c>
      <c r="N385" s="3">
        <f t="shared" si="388"/>
        <v>2.9841994686435149E-3</v>
      </c>
      <c r="O385" s="3">
        <f t="shared" si="388"/>
        <v>2.9841993594557897E-3</v>
      </c>
      <c r="P385" s="3">
        <f t="shared" si="388"/>
        <v>2.9841982675787599E-3</v>
      </c>
      <c r="Q385" s="3">
        <f t="shared" si="388"/>
        <v>2.9841873488304321E-3</v>
      </c>
      <c r="R385" s="3">
        <f t="shared" si="388"/>
        <v>2.9840781635443879E-3</v>
      </c>
      <c r="S385" s="3">
        <f t="shared" si="388"/>
        <v>2.9829865303774264E-3</v>
      </c>
      <c r="T385" s="3">
        <f t="shared" si="388"/>
        <v>2.9720921383432483E-3</v>
      </c>
      <c r="U385" s="3">
        <f t="shared" si="388"/>
        <v>2.865312768577375E-3</v>
      </c>
      <c r="V385" s="3">
        <f t="shared" si="388"/>
        <v>1.9873286656429622E-3</v>
      </c>
      <c r="W385" s="3">
        <f t="shared" si="388"/>
        <v>5.119721241436344E-5</v>
      </c>
      <c r="X385" s="3">
        <f t="shared" si="388"/>
        <v>6.5919286398809435E-21</v>
      </c>
      <c r="Y385" s="3">
        <f t="shared" si="388"/>
        <v>8.2541872892531532E-180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1.1698557197945001E-3</v>
      </c>
      <c r="C386" s="3">
        <f t="shared" si="389"/>
        <v>1.1698557197945001E-3</v>
      </c>
      <c r="D386" s="3">
        <f t="shared" si="389"/>
        <v>1.1698557197945001E-3</v>
      </c>
      <c r="E386" s="3">
        <f t="shared" si="389"/>
        <v>1.1698557197945001E-3</v>
      </c>
      <c r="F386" s="3">
        <f t="shared" si="389"/>
        <v>1.1698557197945001E-3</v>
      </c>
      <c r="G386" s="3">
        <f t="shared" si="389"/>
        <v>1.1698557197945001E-3</v>
      </c>
      <c r="H386" s="3">
        <f t="shared" si="389"/>
        <v>1.1698557197944996E-3</v>
      </c>
      <c r="I386" s="3">
        <f t="shared" si="389"/>
        <v>1.1698557197944957E-3</v>
      </c>
      <c r="J386" s="3">
        <f t="shared" si="389"/>
        <v>1.1698557197944571E-3</v>
      </c>
      <c r="K386" s="3">
        <f t="shared" si="389"/>
        <v>1.1698557197940712E-3</v>
      </c>
      <c r="L386" s="3">
        <f t="shared" si="389"/>
        <v>1.1698557197902099E-3</v>
      </c>
      <c r="M386" s="3">
        <f t="shared" si="389"/>
        <v>1.1698557197515975E-3</v>
      </c>
      <c r="N386" s="3">
        <f t="shared" si="389"/>
        <v>1.1698557193654752E-3</v>
      </c>
      <c r="O386" s="3">
        <f t="shared" si="389"/>
        <v>1.1698557155042524E-3</v>
      </c>
      <c r="P386" s="3">
        <f t="shared" si="389"/>
        <v>1.1698556768920244E-3</v>
      </c>
      <c r="Q386" s="3">
        <f t="shared" si="389"/>
        <v>1.1698552907698152E-3</v>
      </c>
      <c r="R386" s="3">
        <f t="shared" si="389"/>
        <v>1.1698514295547307E-3</v>
      </c>
      <c r="S386" s="3">
        <f t="shared" si="389"/>
        <v>1.1698128181048162E-3</v>
      </c>
      <c r="T386" s="3">
        <f t="shared" si="389"/>
        <v>1.1694267736900444E-3</v>
      </c>
      <c r="U386" s="3">
        <f t="shared" si="389"/>
        <v>1.1655733294284251E-3</v>
      </c>
      <c r="V386" s="3">
        <f t="shared" si="389"/>
        <v>1.1277304019595756E-3</v>
      </c>
      <c r="W386" s="3">
        <f t="shared" si="389"/>
        <v>8.1070370930022334E-4</v>
      </c>
      <c r="X386" s="3">
        <f t="shared" si="389"/>
        <v>2.9883459703742407E-5</v>
      </c>
      <c r="Y386" s="3">
        <f t="shared" si="389"/>
        <v>1.3839424536958275E-19</v>
      </c>
      <c r="Z386" s="3">
        <f t="shared" si="389"/>
        <v>6.2804331008092497E-163</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4.0204305624187052E-4</v>
      </c>
      <c r="C387" s="3">
        <f t="shared" si="390"/>
        <v>4.0204305624187052E-4</v>
      </c>
      <c r="D387" s="3">
        <f t="shared" si="390"/>
        <v>4.0204305624187052E-4</v>
      </c>
      <c r="E387" s="3">
        <f t="shared" si="390"/>
        <v>4.0204305624187052E-4</v>
      </c>
      <c r="F387" s="3">
        <f t="shared" si="390"/>
        <v>4.0204305624187052E-4</v>
      </c>
      <c r="G387" s="3">
        <f t="shared" si="390"/>
        <v>4.0204305624187052E-4</v>
      </c>
      <c r="H387" s="3">
        <f t="shared" si="390"/>
        <v>4.0204305624187047E-4</v>
      </c>
      <c r="I387" s="3">
        <f t="shared" si="390"/>
        <v>4.0204305624187014E-4</v>
      </c>
      <c r="J387" s="3">
        <f t="shared" si="390"/>
        <v>4.0204305624186646E-4</v>
      </c>
      <c r="K387" s="3">
        <f t="shared" si="390"/>
        <v>4.020430562418297E-4</v>
      </c>
      <c r="L387" s="3">
        <f t="shared" si="390"/>
        <v>4.0204305624146275E-4</v>
      </c>
      <c r="M387" s="3">
        <f t="shared" si="390"/>
        <v>4.0204305623779262E-4</v>
      </c>
      <c r="N387" s="3">
        <f t="shared" si="390"/>
        <v>4.0204305620109162E-4</v>
      </c>
      <c r="O387" s="3">
        <f t="shared" si="390"/>
        <v>4.0204305583408154E-4</v>
      </c>
      <c r="P387" s="3">
        <f t="shared" si="390"/>
        <v>4.0204305216398075E-4</v>
      </c>
      <c r="Q387" s="3">
        <f t="shared" si="390"/>
        <v>4.0204301546297458E-4</v>
      </c>
      <c r="R387" s="3">
        <f t="shared" si="390"/>
        <v>4.0204264845309729E-4</v>
      </c>
      <c r="S387" s="3">
        <f t="shared" si="390"/>
        <v>4.0203897837275051E-4</v>
      </c>
      <c r="T387" s="3">
        <f t="shared" si="390"/>
        <v>4.0200227941187785E-4</v>
      </c>
      <c r="U387" s="3">
        <f t="shared" si="390"/>
        <v>4.0163547400039998E-4</v>
      </c>
      <c r="V387" s="3">
        <f t="shared" si="390"/>
        <v>3.9798577754781222E-4</v>
      </c>
      <c r="W387" s="3">
        <f t="shared" si="390"/>
        <v>3.6326405960810461E-4</v>
      </c>
      <c r="X387" s="3">
        <f t="shared" si="390"/>
        <v>1.4580460097187546E-4</v>
      </c>
      <c r="Y387" s="3">
        <f t="shared" si="390"/>
        <v>1.5821920396978196E-8</v>
      </c>
      <c r="Z387" s="3">
        <f t="shared" si="390"/>
        <v>3.5821095209074208E-48</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9.0650475367586036E-4</v>
      </c>
      <c r="C388" s="3">
        <f t="shared" si="391"/>
        <v>9.0650475367586036E-4</v>
      </c>
      <c r="D388" s="3">
        <f t="shared" si="391"/>
        <v>9.0650475367586036E-4</v>
      </c>
      <c r="E388" s="3">
        <f t="shared" si="391"/>
        <v>9.0650475367586036E-4</v>
      </c>
      <c r="F388" s="3">
        <f t="shared" si="391"/>
        <v>9.0650475367586036E-4</v>
      </c>
      <c r="G388" s="3">
        <f t="shared" si="391"/>
        <v>9.0650475367586036E-4</v>
      </c>
      <c r="H388" s="3">
        <f t="shared" si="391"/>
        <v>9.0650475367586036E-4</v>
      </c>
      <c r="I388" s="3">
        <f t="shared" si="391"/>
        <v>9.0650475367586025E-4</v>
      </c>
      <c r="J388" s="3">
        <f t="shared" si="391"/>
        <v>9.0650475367585949E-4</v>
      </c>
      <c r="K388" s="3">
        <f t="shared" si="391"/>
        <v>9.0650475367585125E-4</v>
      </c>
      <c r="L388" s="3">
        <f t="shared" si="391"/>
        <v>9.0650475367576842E-4</v>
      </c>
      <c r="M388" s="3">
        <f t="shared" si="391"/>
        <v>9.0650475367494085E-4</v>
      </c>
      <c r="N388" s="3">
        <f t="shared" si="391"/>
        <v>9.0650475366666579E-4</v>
      </c>
      <c r="O388" s="3">
        <f t="shared" si="391"/>
        <v>9.0650475358391427E-4</v>
      </c>
      <c r="P388" s="3">
        <f t="shared" si="391"/>
        <v>9.0650475275640011E-4</v>
      </c>
      <c r="Q388" s="3">
        <f t="shared" si="391"/>
        <v>9.0650474448125695E-4</v>
      </c>
      <c r="R388" s="3">
        <f t="shared" si="391"/>
        <v>9.0650466172983014E-4</v>
      </c>
      <c r="S388" s="3">
        <f t="shared" si="391"/>
        <v>9.0650383421597735E-4</v>
      </c>
      <c r="T388" s="3">
        <f t="shared" si="391"/>
        <v>9.0649555911899698E-4</v>
      </c>
      <c r="U388" s="3">
        <f t="shared" si="391"/>
        <v>9.0641281230377524E-4</v>
      </c>
      <c r="V388" s="3">
        <f t="shared" si="391"/>
        <v>9.0558575946946712E-4</v>
      </c>
      <c r="W388" s="3">
        <f t="shared" si="391"/>
        <v>8.9735662298177129E-4</v>
      </c>
      <c r="X388" s="3">
        <f t="shared" si="391"/>
        <v>8.1906798727604318E-4</v>
      </c>
      <c r="Y388" s="3">
        <f t="shared" si="391"/>
        <v>3.2875226132322903E-4</v>
      </c>
      <c r="Z388" s="3">
        <f t="shared" si="391"/>
        <v>3.5674403100530613E-8</v>
      </c>
      <c r="AA388" s="3">
        <f t="shared" si="391"/>
        <v>8.0767451606889805E-48</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1.833495697796037E-4</v>
      </c>
      <c r="C389" s="3">
        <f t="shared" si="392"/>
        <v>1.833495697796037E-4</v>
      </c>
      <c r="D389" s="3">
        <f t="shared" si="392"/>
        <v>1.833495697796037E-4</v>
      </c>
      <c r="E389" s="3">
        <f t="shared" si="392"/>
        <v>1.833495697796037E-4</v>
      </c>
      <c r="F389" s="3">
        <f t="shared" si="392"/>
        <v>1.833495697796037E-4</v>
      </c>
      <c r="G389" s="3">
        <f t="shared" si="392"/>
        <v>1.833495697796037E-4</v>
      </c>
      <c r="H389" s="3">
        <f t="shared" si="392"/>
        <v>1.833495697796037E-4</v>
      </c>
      <c r="I389" s="3">
        <f t="shared" si="392"/>
        <v>1.833495697796037E-4</v>
      </c>
      <c r="J389" s="3">
        <f t="shared" si="392"/>
        <v>1.8334956977960368E-4</v>
      </c>
      <c r="K389" s="3">
        <f t="shared" si="392"/>
        <v>1.8334956977960351E-4</v>
      </c>
      <c r="L389" s="3">
        <f t="shared" si="392"/>
        <v>1.8334956977960186E-4</v>
      </c>
      <c r="M389" s="3">
        <f t="shared" si="392"/>
        <v>1.8334956977958511E-4</v>
      </c>
      <c r="N389" s="3">
        <f t="shared" si="392"/>
        <v>1.8334956977941773E-4</v>
      </c>
      <c r="O389" s="3">
        <f t="shared" si="392"/>
        <v>1.83349569777744E-4</v>
      </c>
      <c r="P389" s="3">
        <f t="shared" si="392"/>
        <v>1.8334956976100671E-4</v>
      </c>
      <c r="Q389" s="3">
        <f t="shared" si="392"/>
        <v>1.8334956959363376E-4</v>
      </c>
      <c r="R389" s="3">
        <f t="shared" si="392"/>
        <v>1.8334956791990405E-4</v>
      </c>
      <c r="S389" s="3">
        <f t="shared" si="392"/>
        <v>1.8334955118260791E-4</v>
      </c>
      <c r="T389" s="3">
        <f t="shared" si="392"/>
        <v>1.8334938380973063E-4</v>
      </c>
      <c r="U389" s="3">
        <f t="shared" si="392"/>
        <v>1.8334771008936116E-4</v>
      </c>
      <c r="V389" s="3">
        <f t="shared" si="392"/>
        <v>1.8333097372597197E-4</v>
      </c>
      <c r="W389" s="3">
        <f t="shared" si="392"/>
        <v>1.8316369409424309E-4</v>
      </c>
      <c r="X389" s="3">
        <f t="shared" si="392"/>
        <v>1.8149926968989388E-4</v>
      </c>
      <c r="Y389" s="3">
        <f t="shared" si="392"/>
        <v>1.6566461728782827E-4</v>
      </c>
      <c r="Z389" s="3">
        <f t="shared" si="392"/>
        <v>6.6493402746389829E-5</v>
      </c>
      <c r="AA389" s="3">
        <f t="shared" si="392"/>
        <v>7.2155015559524337E-9</v>
      </c>
      <c r="AB389" s="3">
        <f t="shared" si="392"/>
        <v>1.6336017482830938E-48</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2.7582104941075727E-4</v>
      </c>
      <c r="C391" s="3">
        <f t="shared" si="394"/>
        <v>2.7582104941075727E-4</v>
      </c>
      <c r="D391" s="3">
        <f t="shared" si="394"/>
        <v>2.7582104941075727E-4</v>
      </c>
      <c r="E391" s="3">
        <f t="shared" si="394"/>
        <v>2.7582104941075727E-4</v>
      </c>
      <c r="F391" s="3">
        <f t="shared" si="394"/>
        <v>2.7582104941075727E-4</v>
      </c>
      <c r="G391" s="3">
        <f t="shared" si="394"/>
        <v>2.7582104941075727E-4</v>
      </c>
      <c r="H391" s="3">
        <f t="shared" si="394"/>
        <v>2.7582104941075727E-4</v>
      </c>
      <c r="I391" s="3">
        <f t="shared" si="394"/>
        <v>2.7582104941075727E-4</v>
      </c>
      <c r="J391" s="3">
        <f t="shared" si="394"/>
        <v>2.7582104941075727E-4</v>
      </c>
      <c r="K391" s="3">
        <f t="shared" si="394"/>
        <v>2.7582104941075727E-4</v>
      </c>
      <c r="L391" s="3">
        <f t="shared" si="394"/>
        <v>2.7582104941075721E-4</v>
      </c>
      <c r="M391" s="3">
        <f t="shared" si="394"/>
        <v>2.7582104941075699E-4</v>
      </c>
      <c r="N391" s="3">
        <f t="shared" si="394"/>
        <v>2.758210494107545E-4</v>
      </c>
      <c r="O391" s="3">
        <f t="shared" si="394"/>
        <v>2.7582104941072929E-4</v>
      </c>
      <c r="P391" s="3">
        <f t="shared" si="394"/>
        <v>2.7582104941047749E-4</v>
      </c>
      <c r="Q391" s="3">
        <f t="shared" si="394"/>
        <v>2.7582104940795964E-4</v>
      </c>
      <c r="R391" s="3">
        <f t="shared" si="394"/>
        <v>2.7582104938278095E-4</v>
      </c>
      <c r="S391" s="3">
        <f t="shared" si="394"/>
        <v>2.7582104913099424E-4</v>
      </c>
      <c r="T391" s="3">
        <f t="shared" si="394"/>
        <v>2.7582104661312697E-4</v>
      </c>
      <c r="U391" s="3">
        <f t="shared" si="394"/>
        <v>2.7582102143445549E-4</v>
      </c>
      <c r="V391" s="3">
        <f t="shared" si="394"/>
        <v>2.7582076964786711E-4</v>
      </c>
      <c r="W391" s="3">
        <f t="shared" si="394"/>
        <v>2.7581825179462491E-4</v>
      </c>
      <c r="X391" s="3">
        <f t="shared" si="394"/>
        <v>2.757930745263124E-4</v>
      </c>
      <c r="Y391" s="3">
        <f t="shared" si="394"/>
        <v>2.7554142821143985E-4</v>
      </c>
      <c r="Z391" s="3">
        <f t="shared" si="394"/>
        <v>2.7303755930995117E-4</v>
      </c>
      <c r="AA391" s="3">
        <f t="shared" si="394"/>
        <v>2.4921677561330917E-4</v>
      </c>
      <c r="AB391" s="3">
        <f t="shared" si="394"/>
        <v>1.000290327730106E-4</v>
      </c>
      <c r="AC391" s="3">
        <f t="shared" si="394"/>
        <v>1.0854605296211314E-8</v>
      </c>
      <c r="AD391" s="3">
        <f t="shared" si="394"/>
        <v>2.4575009860798409E-48</v>
      </c>
      <c r="AE391" s="3">
        <f t="shared" si="394"/>
        <v>0</v>
      </c>
      <c r="AF391" s="3">
        <f t="shared" si="394"/>
        <v>0</v>
      </c>
      <c r="AG391" s="3"/>
      <c r="AH391" s="3"/>
    </row>
    <row r="392" spans="1:34" x14ac:dyDescent="0.25">
      <c r="B392" s="3">
        <f t="shared" ref="B392:AF392" si="395">$C44*EXP(-B$363/$A44/EXP(-$H$126))</f>
        <v>2.4535081143819124E-4</v>
      </c>
      <c r="C392" s="3">
        <f t="shared" si="395"/>
        <v>2.4535081143819124E-4</v>
      </c>
      <c r="D392" s="3">
        <f t="shared" si="395"/>
        <v>2.4535081143819124E-4</v>
      </c>
      <c r="E392" s="3">
        <f t="shared" si="395"/>
        <v>2.4535081143819124E-4</v>
      </c>
      <c r="F392" s="3">
        <f t="shared" si="395"/>
        <v>2.4535081143819124E-4</v>
      </c>
      <c r="G392" s="3">
        <f t="shared" si="395"/>
        <v>2.4535081143819124E-4</v>
      </c>
      <c r="H392" s="3">
        <f t="shared" si="395"/>
        <v>2.4535081143819124E-4</v>
      </c>
      <c r="I392" s="3">
        <f t="shared" si="395"/>
        <v>2.4535081143819124E-4</v>
      </c>
      <c r="J392" s="3">
        <f t="shared" si="395"/>
        <v>2.4535081143819124E-4</v>
      </c>
      <c r="K392" s="3">
        <f t="shared" si="395"/>
        <v>2.4535081143819124E-4</v>
      </c>
      <c r="L392" s="3">
        <f t="shared" si="395"/>
        <v>2.4535081143819124E-4</v>
      </c>
      <c r="M392" s="3">
        <f t="shared" si="395"/>
        <v>2.4535081143819119E-4</v>
      </c>
      <c r="N392" s="3">
        <f t="shared" si="395"/>
        <v>2.4535081143819097E-4</v>
      </c>
      <c r="O392" s="3">
        <f t="shared" si="395"/>
        <v>2.4535081143818875E-4</v>
      </c>
      <c r="P392" s="3">
        <f t="shared" si="395"/>
        <v>2.4535081143816636E-4</v>
      </c>
      <c r="Q392" s="3">
        <f t="shared" si="395"/>
        <v>2.4535081143794237E-4</v>
      </c>
      <c r="R392" s="3">
        <f t="shared" si="395"/>
        <v>2.4535081143570267E-4</v>
      </c>
      <c r="S392" s="3">
        <f t="shared" si="395"/>
        <v>2.453508114133055E-4</v>
      </c>
      <c r="T392" s="3">
        <f t="shared" si="395"/>
        <v>2.4535081118933394E-4</v>
      </c>
      <c r="U392" s="3">
        <f t="shared" si="395"/>
        <v>2.4535080894961809E-4</v>
      </c>
      <c r="V392" s="3">
        <f t="shared" si="395"/>
        <v>2.4535078655246061E-4</v>
      </c>
      <c r="W392" s="3">
        <f t="shared" si="395"/>
        <v>2.4535056258099831E-4</v>
      </c>
      <c r="X392" s="3">
        <f t="shared" si="395"/>
        <v>2.4534832287762042E-4</v>
      </c>
      <c r="Y392" s="3">
        <f t="shared" si="395"/>
        <v>2.4532592696830362E-4</v>
      </c>
      <c r="Z392" s="3">
        <f t="shared" si="395"/>
        <v>2.4510208028335584E-4</v>
      </c>
      <c r="AA392" s="3">
        <f t="shared" si="395"/>
        <v>2.4287481638153439E-4</v>
      </c>
      <c r="AB392" s="3">
        <f t="shared" si="395"/>
        <v>2.2168553941536237E-4</v>
      </c>
      <c r="AC392" s="3">
        <f t="shared" si="395"/>
        <v>8.8978721568443167E-5</v>
      </c>
      <c r="AD392" s="3">
        <f t="shared" si="395"/>
        <v>9.6554857686030815E-9</v>
      </c>
      <c r="AE392" s="3">
        <f t="shared" si="395"/>
        <v>2.1860182982152359E-48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1.7255643769382848E-4</v>
      </c>
      <c r="C394" s="3">
        <f t="shared" si="397"/>
        <v>1.7255643769382848E-4</v>
      </c>
      <c r="D394" s="3">
        <f t="shared" si="397"/>
        <v>1.7255643769382848E-4</v>
      </c>
      <c r="E394" s="3">
        <f t="shared" si="397"/>
        <v>1.7255643769382848E-4</v>
      </c>
      <c r="F394" s="3">
        <f t="shared" si="397"/>
        <v>1.7255643769382848E-4</v>
      </c>
      <c r="G394" s="3">
        <f t="shared" si="397"/>
        <v>1.7255643769382848E-4</v>
      </c>
      <c r="H394" s="3">
        <f t="shared" si="397"/>
        <v>1.7255643769382848E-4</v>
      </c>
      <c r="I394" s="3">
        <f t="shared" si="397"/>
        <v>1.7255643769382848E-4</v>
      </c>
      <c r="J394" s="3">
        <f t="shared" si="397"/>
        <v>1.7255643769382848E-4</v>
      </c>
      <c r="K394" s="3">
        <f t="shared" si="397"/>
        <v>1.7255643769382848E-4</v>
      </c>
      <c r="L394" s="3">
        <f t="shared" si="397"/>
        <v>1.7255643769382848E-4</v>
      </c>
      <c r="M394" s="3">
        <f t="shared" si="397"/>
        <v>1.7255643769382848E-4</v>
      </c>
      <c r="N394" s="3">
        <f t="shared" si="397"/>
        <v>1.7255643769382848E-4</v>
      </c>
      <c r="O394" s="3">
        <f t="shared" si="397"/>
        <v>1.7255643769382845E-4</v>
      </c>
      <c r="P394" s="3">
        <f t="shared" si="397"/>
        <v>1.7255643769382832E-4</v>
      </c>
      <c r="Q394" s="3">
        <f t="shared" si="397"/>
        <v>1.7255643769382675E-4</v>
      </c>
      <c r="R394" s="3">
        <f t="shared" si="397"/>
        <v>1.7255643769381097E-4</v>
      </c>
      <c r="S394" s="3">
        <f t="shared" si="397"/>
        <v>1.7255643769365346E-4</v>
      </c>
      <c r="T394" s="3">
        <f t="shared" si="397"/>
        <v>1.7255643769207825E-4</v>
      </c>
      <c r="U394" s="3">
        <f t="shared" si="397"/>
        <v>1.7255643767632623E-4</v>
      </c>
      <c r="V394" s="3">
        <f t="shared" si="397"/>
        <v>1.7255643751880591E-4</v>
      </c>
      <c r="W394" s="3">
        <f t="shared" si="397"/>
        <v>1.7255643594360267E-4</v>
      </c>
      <c r="X394" s="3">
        <f t="shared" si="397"/>
        <v>1.7255642019157119E-4</v>
      </c>
      <c r="Y394" s="3">
        <f t="shared" si="397"/>
        <v>1.7255626267133537E-4</v>
      </c>
      <c r="Z394" s="3">
        <f t="shared" si="397"/>
        <v>1.7255468747688578E-4</v>
      </c>
      <c r="AA394" s="3">
        <f t="shared" si="397"/>
        <v>1.7253893632322964E-4</v>
      </c>
      <c r="AB394" s="3">
        <f t="shared" si="397"/>
        <v>1.7238150384392482E-4</v>
      </c>
      <c r="AC394" s="3">
        <f t="shared" si="397"/>
        <v>1.7081505813930489E-4</v>
      </c>
      <c r="AD394" s="3">
        <f t="shared" si="397"/>
        <v>1.5591253497601124E-4</v>
      </c>
      <c r="AE394" s="3">
        <f t="shared" si="397"/>
        <v>6.2579174425390132E-5</v>
      </c>
      <c r="AF394" s="3">
        <f t="shared" si="397"/>
        <v>6.7907508382271364E-9</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2.2427724985048247E-3</v>
      </c>
      <c r="B397" s="80">
        <f>IF($A$64&lt;=B363,IF($B$64&gt;=B363,ABS((B365-B364)/B364),0),0)</f>
        <v>1.4981493906849925E-2</v>
      </c>
      <c r="C397" s="80">
        <f t="shared" ref="C397:AF397" si="400">IF($A$64&lt;=C363,IF($B$64&gt;=C363,ABS((C365-C364)/C364),0),0)</f>
        <v>2.0131272799442702E-2</v>
      </c>
      <c r="D397" s="80">
        <f t="shared" si="400"/>
        <v>5.9700215400969679E-3</v>
      </c>
      <c r="E397" s="80">
        <f t="shared" si="400"/>
        <v>7.0990655607609896E-4</v>
      </c>
      <c r="F397" s="80">
        <f t="shared" si="400"/>
        <v>4.7078438148221753E-4</v>
      </c>
      <c r="G397" s="80">
        <f t="shared" si="400"/>
        <v>3.8769029193731552E-4</v>
      </c>
      <c r="H397" s="80">
        <f t="shared" si="400"/>
        <v>5.1505809231495374E-4</v>
      </c>
      <c r="I397" s="80">
        <f t="shared" si="400"/>
        <v>6.1414922963294236E-4</v>
      </c>
      <c r="J397" s="80">
        <f t="shared" si="400"/>
        <v>9.0063181125492548E-4</v>
      </c>
      <c r="K397" s="80">
        <f t="shared" si="400"/>
        <v>1.0069925138510944E-3</v>
      </c>
      <c r="L397" s="80">
        <f t="shared" si="400"/>
        <v>1.9117609606654749E-3</v>
      </c>
      <c r="M397" s="80">
        <f t="shared" si="400"/>
        <v>1.6375204013284635E-3</v>
      </c>
      <c r="N397" s="80">
        <f t="shared" si="400"/>
        <v>3.2906464293133136E-3</v>
      </c>
      <c r="O397" s="80">
        <f t="shared" si="400"/>
        <v>5.3125294604111661E-4</v>
      </c>
      <c r="P397" s="80">
        <f t="shared" si="400"/>
        <v>3.1091612527901135E-3</v>
      </c>
      <c r="Q397" s="80">
        <f t="shared" si="400"/>
        <v>7.3678022746656059E-4</v>
      </c>
      <c r="R397" s="80">
        <f t="shared" si="400"/>
        <v>2.2440341041238764E-3</v>
      </c>
      <c r="S397" s="80">
        <f t="shared" si="400"/>
        <v>4.6807022996393403E-4</v>
      </c>
      <c r="T397" s="80">
        <f t="shared" si="400"/>
        <v>1.1136571586177662E-3</v>
      </c>
      <c r="U397" s="80">
        <f t="shared" si="400"/>
        <v>1.1435298914306386E-3</v>
      </c>
      <c r="V397" s="80">
        <f t="shared" si="400"/>
        <v>1.184472562884302E-4</v>
      </c>
      <c r="W397" s="80">
        <f t="shared" si="400"/>
        <v>8.8255996310306387E-4</v>
      </c>
      <c r="X397" s="80">
        <f t="shared" si="400"/>
        <v>4.4104545953701874E-5</v>
      </c>
      <c r="Y397" s="80">
        <f t="shared" si="400"/>
        <v>1.0996587090494912E-4</v>
      </c>
      <c r="Z397" s="80">
        <f t="shared" si="400"/>
        <v>1.5602484836375231E-5</v>
      </c>
      <c r="AA397" s="80">
        <f t="shared" si="400"/>
        <v>3.9911262445648557E-4</v>
      </c>
      <c r="AB397" s="80">
        <f t="shared" si="400"/>
        <v>1.5659985920671998E-3</v>
      </c>
      <c r="AC397" s="80">
        <f t="shared" si="400"/>
        <v>2.366353453486591E-3</v>
      </c>
      <c r="AD397" s="80">
        <f t="shared" si="400"/>
        <v>1.7000916068984286E-3</v>
      </c>
      <c r="AE397" s="80">
        <f t="shared" si="400"/>
        <v>3.2750412693286461E-4</v>
      </c>
      <c r="AF397" s="80">
        <f t="shared" si="400"/>
        <v>1.21792204041085E-4</v>
      </c>
    </row>
    <row r="398" spans="1:34" x14ac:dyDescent="0.25">
      <c r="B398" s="21">
        <f>(B365-B364)^2</f>
        <v>4618.4947364528271</v>
      </c>
      <c r="C398" s="21">
        <f t="shared" ref="C398:AF398" si="401">(C365-C364)^2</f>
        <v>7504.2878465314234</v>
      </c>
      <c r="D398" s="21">
        <f t="shared" si="401"/>
        <v>607.22320929813441</v>
      </c>
      <c r="E398" s="21">
        <f t="shared" si="401"/>
        <v>7.8456592616545535</v>
      </c>
      <c r="F398" s="21">
        <f t="shared" si="401"/>
        <v>3.1444785233048069</v>
      </c>
      <c r="G398" s="21">
        <f t="shared" si="401"/>
        <v>1.896276145476995</v>
      </c>
      <c r="H398" s="21">
        <f t="shared" si="401"/>
        <v>2.9213460451181748</v>
      </c>
      <c r="I398" s="21">
        <f t="shared" si="401"/>
        <v>3.5102646231348884</v>
      </c>
      <c r="J398" s="21">
        <f t="shared" si="401"/>
        <v>6.1125421331044718</v>
      </c>
      <c r="K398" s="21">
        <f t="shared" si="401"/>
        <v>5.7437449846167405</v>
      </c>
      <c r="L398" s="21">
        <f t="shared" si="401"/>
        <v>13.879171379665509</v>
      </c>
      <c r="M398" s="21">
        <f t="shared" si="401"/>
        <v>5.8962300925495583</v>
      </c>
      <c r="N398" s="21">
        <f t="shared" si="401"/>
        <v>12.276482992149978</v>
      </c>
      <c r="O398" s="21">
        <f t="shared" si="401"/>
        <v>0.16132436303091824</v>
      </c>
      <c r="P398" s="21">
        <f t="shared" si="401"/>
        <v>3.1880881045459084</v>
      </c>
      <c r="Q398" s="21">
        <f t="shared" si="401"/>
        <v>0.12112192718302046</v>
      </c>
      <c r="R398" s="21">
        <f t="shared" si="401"/>
        <v>0.82502508654197093</v>
      </c>
      <c r="S398" s="21">
        <f t="shared" si="401"/>
        <v>2.4239784023289482E-2</v>
      </c>
      <c r="T398" s="21">
        <f t="shared" si="401"/>
        <v>9.0488029182672167E-2</v>
      </c>
      <c r="U398" s="21">
        <f t="shared" si="401"/>
        <v>6.9316656399258811E-2</v>
      </c>
      <c r="V398" s="21">
        <f t="shared" si="401"/>
        <v>5.554665314298538E-4</v>
      </c>
      <c r="W398" s="21">
        <f t="shared" si="401"/>
        <v>2.5993447225722673E-2</v>
      </c>
      <c r="X398" s="21">
        <f t="shared" si="401"/>
        <v>5.931872683448743E-5</v>
      </c>
      <c r="Y398" s="21">
        <f t="shared" si="401"/>
        <v>3.4893442457545272E-4</v>
      </c>
      <c r="Z398" s="21">
        <f t="shared" si="401"/>
        <v>6.7763649874680409E-6</v>
      </c>
      <c r="AA398" s="21">
        <f t="shared" si="401"/>
        <v>4.3960541658682765E-3</v>
      </c>
      <c r="AB398" s="21">
        <f t="shared" si="401"/>
        <v>6.6974231977674367E-2</v>
      </c>
      <c r="AC398" s="21">
        <f t="shared" si="401"/>
        <v>0.14873143322011484</v>
      </c>
      <c r="AD398" s="21">
        <f t="shared" si="401"/>
        <v>7.6709343285977741E-2</v>
      </c>
      <c r="AE398" s="21">
        <f t="shared" si="401"/>
        <v>2.8124314113387428E-3</v>
      </c>
      <c r="AF398" s="21">
        <f t="shared" si="401"/>
        <v>3.8719366771862944E-4</v>
      </c>
      <c r="AG398" s="3"/>
      <c r="AH398" s="3"/>
    </row>
    <row r="399" spans="1:34" x14ac:dyDescent="0.25">
      <c r="A399" s="71">
        <f>SUM(B399:AF399)</f>
        <v>12798.038567045071</v>
      </c>
      <c r="B399" s="60">
        <f>IF($A$64&lt;=B363,IF($B$64&gt;=B363,ABS(B398),0),0)</f>
        <v>4618.4947364528271</v>
      </c>
      <c r="C399" s="60">
        <f t="shared" ref="C399" si="402">IF($A$64&lt;=C363,IF($B$64&gt;=C363,ABS(C398),0),0)</f>
        <v>7504.2878465314234</v>
      </c>
      <c r="D399" s="60">
        <f t="shared" ref="D399" si="403">IF($A$64&lt;=D363,IF($B$64&gt;=D363,ABS(D398),0),0)</f>
        <v>607.22320929813441</v>
      </c>
      <c r="E399" s="60">
        <f t="shared" ref="E399" si="404">IF($A$64&lt;=E363,IF($B$64&gt;=E363,ABS(E398),0),0)</f>
        <v>7.8456592616545535</v>
      </c>
      <c r="F399" s="60">
        <f t="shared" ref="F399" si="405">IF($A$64&lt;=F363,IF($B$64&gt;=F363,ABS(F398),0),0)</f>
        <v>3.1444785233048069</v>
      </c>
      <c r="G399" s="60">
        <f t="shared" ref="G399" si="406">IF($A$64&lt;=G363,IF($B$64&gt;=G363,ABS(G398),0),0)</f>
        <v>1.896276145476995</v>
      </c>
      <c r="H399" s="60">
        <f t="shared" ref="H399" si="407">IF($A$64&lt;=H363,IF($B$64&gt;=H363,ABS(H398),0),0)</f>
        <v>2.9213460451181748</v>
      </c>
      <c r="I399" s="60">
        <f t="shared" ref="I399" si="408">IF($A$64&lt;=I363,IF($B$64&gt;=I363,ABS(I398),0),0)</f>
        <v>3.5102646231348884</v>
      </c>
      <c r="J399" s="60">
        <f t="shared" ref="J399" si="409">IF($A$64&lt;=J363,IF($B$64&gt;=J363,ABS(J398),0),0)</f>
        <v>6.1125421331044718</v>
      </c>
      <c r="K399" s="60">
        <f t="shared" ref="K399" si="410">IF($A$64&lt;=K363,IF($B$64&gt;=K363,ABS(K398),0),0)</f>
        <v>5.7437449846167405</v>
      </c>
      <c r="L399" s="60">
        <f t="shared" ref="L399" si="411">IF($A$64&lt;=L363,IF($B$64&gt;=L363,ABS(L398),0),0)</f>
        <v>13.879171379665509</v>
      </c>
      <c r="M399" s="60">
        <f t="shared" ref="M399" si="412">IF($A$64&lt;=M363,IF($B$64&gt;=M363,ABS(M398),0),0)</f>
        <v>5.8962300925495583</v>
      </c>
      <c r="N399" s="60">
        <f t="shared" ref="N399" si="413">IF($A$64&lt;=N363,IF($B$64&gt;=N363,ABS(N398),0),0)</f>
        <v>12.276482992149978</v>
      </c>
      <c r="O399" s="60">
        <f t="shared" ref="O399" si="414">IF($A$64&lt;=O363,IF($B$64&gt;=O363,ABS(O398),0),0)</f>
        <v>0.16132436303091824</v>
      </c>
      <c r="P399" s="60">
        <f t="shared" ref="P399" si="415">IF($A$64&lt;=P363,IF($B$64&gt;=P363,ABS(P398),0),0)</f>
        <v>3.1880881045459084</v>
      </c>
      <c r="Q399" s="60">
        <f t="shared" ref="Q399" si="416">IF($A$64&lt;=Q363,IF($B$64&gt;=Q363,ABS(Q398),0),0)</f>
        <v>0.12112192718302046</v>
      </c>
      <c r="R399" s="60">
        <f t="shared" ref="R399" si="417">IF($A$64&lt;=R363,IF($B$64&gt;=R363,ABS(R398),0),0)</f>
        <v>0.82502508654197093</v>
      </c>
      <c r="S399" s="60">
        <f t="shared" ref="S399" si="418">IF($A$64&lt;=S363,IF($B$64&gt;=S363,ABS(S398),0),0)</f>
        <v>2.4239784023289482E-2</v>
      </c>
      <c r="T399" s="60">
        <f t="shared" ref="T399" si="419">IF($A$64&lt;=T363,IF($B$64&gt;=T363,ABS(T398),0),0)</f>
        <v>9.0488029182672167E-2</v>
      </c>
      <c r="U399" s="60">
        <f t="shared" ref="U399" si="420">IF($A$64&lt;=U363,IF($B$64&gt;=U363,ABS(U398),0),0)</f>
        <v>6.9316656399258811E-2</v>
      </c>
      <c r="V399" s="60">
        <f t="shared" ref="V399" si="421">IF($A$64&lt;=V363,IF($B$64&gt;=V363,ABS(V398),0),0)</f>
        <v>5.554665314298538E-4</v>
      </c>
      <c r="W399" s="60">
        <f t="shared" ref="W399" si="422">IF($A$64&lt;=W363,IF($B$64&gt;=W363,ABS(W398),0),0)</f>
        <v>2.5993447225722673E-2</v>
      </c>
      <c r="X399" s="60">
        <f t="shared" ref="X399" si="423">IF($A$64&lt;=X363,IF($B$64&gt;=X363,ABS(X398),0),0)</f>
        <v>5.931872683448743E-5</v>
      </c>
      <c r="Y399" s="60">
        <f t="shared" ref="Y399" si="424">IF($A$64&lt;=Y363,IF($B$64&gt;=Y363,ABS(Y398),0),0)</f>
        <v>3.4893442457545272E-4</v>
      </c>
      <c r="Z399" s="60">
        <f t="shared" ref="Z399" si="425">IF($A$64&lt;=Z363,IF($B$64&gt;=Z363,ABS(Z398),0),0)</f>
        <v>6.7763649874680409E-6</v>
      </c>
      <c r="AA399" s="60">
        <f t="shared" ref="AA399" si="426">IF($A$64&lt;=AA363,IF($B$64&gt;=AA363,ABS(AA398),0),0)</f>
        <v>4.3960541658682765E-3</v>
      </c>
      <c r="AB399" s="60">
        <f t="shared" ref="AB399" si="427">IF($A$64&lt;=AB363,IF($B$64&gt;=AB363,ABS(AB398),0),0)</f>
        <v>6.6974231977674367E-2</v>
      </c>
      <c r="AC399" s="60">
        <f t="shared" ref="AC399" si="428">IF($A$64&lt;=AC363,IF($B$64&gt;=AC363,ABS(AC398),0),0)</f>
        <v>0.14873143322011484</v>
      </c>
      <c r="AD399" s="60">
        <f t="shared" ref="AD399" si="429">IF($A$64&lt;=AD363,IF($B$64&gt;=AD363,ABS(AD398),0),0)</f>
        <v>7.6709343285977741E-2</v>
      </c>
      <c r="AE399" s="60">
        <f t="shared" ref="AE399" si="430">IF($A$64&lt;=AE363,IF($B$64&gt;=AE363,ABS(AE398),0),0)</f>
        <v>2.8124314113387428E-3</v>
      </c>
      <c r="AF399" s="60">
        <f t="shared" ref="AF399" si="431">IF($A$64&lt;=AF363,IF($B$64&gt;=AF363,ABS(AF398),0),0)</f>
        <v>3.8719366771862944E-4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-50</v>
      </c>
      <c r="C403" s="107">
        <f t="shared" ref="C403:H403" si="432">IF(C125=$B$2,0,C126)</f>
        <v>-41.485547632440884</v>
      </c>
      <c r="D403" s="107">
        <f t="shared" si="432"/>
        <v>-36.73997630133357</v>
      </c>
      <c r="E403" s="107">
        <f t="shared" si="432"/>
        <v>-34.144837998227821</v>
      </c>
      <c r="F403" s="107">
        <f t="shared" si="432"/>
        <v>-25.756449178696286</v>
      </c>
      <c r="G403" s="107">
        <f t="shared" si="432"/>
        <v>-13.644493931225382</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1.9287498479639179E-37</v>
      </c>
      <c r="C404" s="3">
        <f t="shared" ref="C404:H419" si="433">$A404/EXP(-C$403)</f>
        <v>9.6173536112391776E-34</v>
      </c>
      <c r="D404" s="3">
        <f t="shared" si="433"/>
        <v>1.1067028467487688E-31</v>
      </c>
      <c r="E404" s="3">
        <f t="shared" si="433"/>
        <v>1.4828091998956949E-30</v>
      </c>
      <c r="F404" s="3">
        <f t="shared" si="433"/>
        <v>6.5180283977943668E-27</v>
      </c>
      <c r="G404" s="3">
        <f t="shared" si="433"/>
        <v>1.1865104766575965E-21</v>
      </c>
      <c r="H404" s="3">
        <f t="shared" si="433"/>
        <v>1.0000000000000001E-15</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1.9287498479639179E-36</v>
      </c>
      <c r="C405" s="3">
        <f t="shared" si="433"/>
        <v>9.6173536112391776E-33</v>
      </c>
      <c r="D405" s="3">
        <f t="shared" si="433"/>
        <v>1.1067028467487688E-30</v>
      </c>
      <c r="E405" s="3">
        <f t="shared" si="433"/>
        <v>1.4828091998956948E-29</v>
      </c>
      <c r="F405" s="3">
        <f t="shared" si="433"/>
        <v>6.5180283977943657E-26</v>
      </c>
      <c r="G405" s="3">
        <f t="shared" si="433"/>
        <v>1.1865104766575963E-20</v>
      </c>
      <c r="H405" s="3">
        <f t="shared" si="433"/>
        <v>1E-14</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1.9287498479639179E-35</v>
      </c>
      <c r="C406" s="3">
        <f t="shared" si="433"/>
        <v>9.6173536112391784E-32</v>
      </c>
      <c r="D406" s="3">
        <f t="shared" si="433"/>
        <v>1.1067028467487687E-29</v>
      </c>
      <c r="E406" s="3">
        <f t="shared" si="433"/>
        <v>1.4828091998956948E-28</v>
      </c>
      <c r="F406" s="3">
        <f t="shared" si="433"/>
        <v>6.5180283977943659E-25</v>
      </c>
      <c r="G406" s="3">
        <f t="shared" si="433"/>
        <v>1.1865104766575964E-19</v>
      </c>
      <c r="H406" s="3">
        <f t="shared" si="433"/>
        <v>1E-13</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1.928749847963918E-34</v>
      </c>
      <c r="C407" s="3">
        <f t="shared" si="433"/>
        <v>9.6173536112391777E-31</v>
      </c>
      <c r="D407" s="3">
        <f t="shared" si="433"/>
        <v>1.1067028467487687E-28</v>
      </c>
      <c r="E407" s="3">
        <f t="shared" si="433"/>
        <v>1.4828091998956947E-27</v>
      </c>
      <c r="F407" s="3">
        <f t="shared" si="433"/>
        <v>6.5180283977943657E-24</v>
      </c>
      <c r="G407" s="3">
        <f t="shared" si="433"/>
        <v>1.1865104766575965E-18</v>
      </c>
      <c r="H407" s="3">
        <f t="shared" si="433"/>
        <v>9.9999999999999998E-13</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1.9287498479639178E-33</v>
      </c>
      <c r="C408" s="3">
        <f t="shared" si="433"/>
        <v>9.6173536112391767E-30</v>
      </c>
      <c r="D408" s="3">
        <f t="shared" si="433"/>
        <v>1.1067028467487687E-27</v>
      </c>
      <c r="E408" s="3">
        <f t="shared" si="433"/>
        <v>1.4828091998956948E-26</v>
      </c>
      <c r="F408" s="3">
        <f t="shared" si="433"/>
        <v>6.5180283977943651E-23</v>
      </c>
      <c r="G408" s="3">
        <f t="shared" si="433"/>
        <v>1.1865104766575963E-17</v>
      </c>
      <c r="H408" s="3">
        <f t="shared" si="433"/>
        <v>9.9999999999999994E-12</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1.9287498479639181E-32</v>
      </c>
      <c r="C409" s="3">
        <f t="shared" si="433"/>
        <v>9.6173536112391781E-29</v>
      </c>
      <c r="D409" s="3">
        <f t="shared" si="433"/>
        <v>1.1067028467487688E-26</v>
      </c>
      <c r="E409" s="3">
        <f t="shared" si="433"/>
        <v>1.4828091998956948E-25</v>
      </c>
      <c r="F409" s="3">
        <f t="shared" si="433"/>
        <v>6.5180283977943658E-22</v>
      </c>
      <c r="G409" s="3">
        <f t="shared" si="433"/>
        <v>1.1865104766575964E-16</v>
      </c>
      <c r="H409" s="3">
        <f t="shared" si="433"/>
        <v>1E-10</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1.928749847963918E-31</v>
      </c>
      <c r="C410" s="3">
        <f t="shared" si="433"/>
        <v>9.6173536112391776E-28</v>
      </c>
      <c r="D410" s="3">
        <f t="shared" si="433"/>
        <v>1.1067028467487687E-25</v>
      </c>
      <c r="E410" s="3">
        <f t="shared" si="433"/>
        <v>1.4828091998956948E-24</v>
      </c>
      <c r="F410" s="3">
        <f t="shared" si="433"/>
        <v>6.5180283977943664E-21</v>
      </c>
      <c r="G410" s="3">
        <f t="shared" si="433"/>
        <v>1.1865104766575965E-15</v>
      </c>
      <c r="H410" s="3">
        <f t="shared" si="433"/>
        <v>1.0000000000000001E-9</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1.9287498479639181E-30</v>
      </c>
      <c r="C411" s="3">
        <f t="shared" si="433"/>
        <v>9.617353611239178E-27</v>
      </c>
      <c r="D411" s="3">
        <f t="shared" si="433"/>
        <v>1.1067028467487687E-24</v>
      </c>
      <c r="E411" s="3">
        <f t="shared" si="433"/>
        <v>1.4828091998956948E-23</v>
      </c>
      <c r="F411" s="3">
        <f t="shared" si="433"/>
        <v>6.5180283977943658E-20</v>
      </c>
      <c r="G411" s="3">
        <f t="shared" si="433"/>
        <v>1.1865104766575964E-14</v>
      </c>
      <c r="H411" s="3">
        <f t="shared" si="433"/>
        <v>1E-8</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1.9287498479639179E-29</v>
      </c>
      <c r="C412" s="3">
        <f t="shared" si="433"/>
        <v>9.6173536112391774E-26</v>
      </c>
      <c r="D412" s="3">
        <f t="shared" si="433"/>
        <v>1.1067028467487686E-23</v>
      </c>
      <c r="E412" s="3">
        <f t="shared" si="433"/>
        <v>1.4828091998956948E-22</v>
      </c>
      <c r="F412" s="3">
        <f t="shared" si="433"/>
        <v>6.5180283977943655E-19</v>
      </c>
      <c r="G412" s="3">
        <f t="shared" si="433"/>
        <v>1.1865104766575963E-13</v>
      </c>
      <c r="H412" s="3">
        <f t="shared" si="433"/>
        <v>9.9999999999999995E-8</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1.9287498479639178E-28</v>
      </c>
      <c r="C413" s="3">
        <f t="shared" si="433"/>
        <v>9.6173536112391779E-25</v>
      </c>
      <c r="D413" s="3">
        <f t="shared" si="433"/>
        <v>1.1067028467487686E-22</v>
      </c>
      <c r="E413" s="3">
        <f t="shared" si="433"/>
        <v>1.4828091998956947E-21</v>
      </c>
      <c r="F413" s="3">
        <f t="shared" si="433"/>
        <v>6.5180283977943655E-18</v>
      </c>
      <c r="G413" s="3">
        <f t="shared" si="433"/>
        <v>1.1865104766575963E-12</v>
      </c>
      <c r="H413" s="3">
        <f t="shared" si="433"/>
        <v>9.9999999999999995E-7</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1.9287498479639181E-27</v>
      </c>
      <c r="C414" s="3">
        <f t="shared" si="433"/>
        <v>9.6173536112391779E-24</v>
      </c>
      <c r="D414" s="3">
        <f t="shared" si="433"/>
        <v>1.1067028467487687E-21</v>
      </c>
      <c r="E414" s="3">
        <f t="shared" si="433"/>
        <v>1.4828091998956949E-20</v>
      </c>
      <c r="F414" s="3">
        <f t="shared" si="433"/>
        <v>6.5180283977943668E-17</v>
      </c>
      <c r="G414" s="3">
        <f t="shared" si="433"/>
        <v>1.1865104766575964E-11</v>
      </c>
      <c r="H414" s="3">
        <f t="shared" si="433"/>
        <v>1.0000000000000001E-5</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1.928749847963918E-26</v>
      </c>
      <c r="C415" s="3">
        <f t="shared" si="433"/>
        <v>9.6173536112391776E-23</v>
      </c>
      <c r="D415" s="3">
        <f t="shared" si="433"/>
        <v>1.1067028467487688E-20</v>
      </c>
      <c r="E415" s="3">
        <f t="shared" si="433"/>
        <v>1.4828091998956948E-19</v>
      </c>
      <c r="F415" s="3">
        <f t="shared" si="433"/>
        <v>6.518028397794366E-16</v>
      </c>
      <c r="G415" s="3">
        <f t="shared" si="433"/>
        <v>1.1865104766575964E-10</v>
      </c>
      <c r="H415" s="3">
        <f t="shared" si="433"/>
        <v>1E-4</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1.9287498479639179E-25</v>
      </c>
      <c r="C416" s="3">
        <f t="shared" si="433"/>
        <v>9.6173536112391776E-22</v>
      </c>
      <c r="D416" s="3">
        <f t="shared" si="433"/>
        <v>1.1067028467487687E-19</v>
      </c>
      <c r="E416" s="3">
        <f t="shared" si="433"/>
        <v>1.4828091998956947E-18</v>
      </c>
      <c r="F416" s="3">
        <f t="shared" si="433"/>
        <v>6.5180283977943656E-15</v>
      </c>
      <c r="G416" s="3">
        <f t="shared" si="433"/>
        <v>1.1865104766575963E-9</v>
      </c>
      <c r="H416" s="3">
        <f t="shared" si="433"/>
        <v>1E-3</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1.9287498479639181E-24</v>
      </c>
      <c r="C417" s="3">
        <f t="shared" si="433"/>
        <v>9.6173536112391783E-21</v>
      </c>
      <c r="D417" s="3">
        <f t="shared" si="433"/>
        <v>1.1067028467487688E-18</v>
      </c>
      <c r="E417" s="3">
        <f t="shared" si="433"/>
        <v>1.4828091998956947E-17</v>
      </c>
      <c r="F417" s="3">
        <f t="shared" si="433"/>
        <v>6.5180283977943656E-14</v>
      </c>
      <c r="G417" s="3">
        <f t="shared" si="433"/>
        <v>1.1865104766575965E-8</v>
      </c>
      <c r="H417" s="3">
        <f t="shared" si="433"/>
        <v>0.01</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1.9287498479639179E-23</v>
      </c>
      <c r="C418" s="3">
        <f t="shared" si="433"/>
        <v>9.6173536112391777E-20</v>
      </c>
      <c r="D418" s="3">
        <f t="shared" si="433"/>
        <v>1.1067028467487688E-17</v>
      </c>
      <c r="E418" s="3">
        <f t="shared" si="433"/>
        <v>1.4828091998956948E-16</v>
      </c>
      <c r="F418" s="3">
        <f t="shared" si="433"/>
        <v>6.5180283977943666E-13</v>
      </c>
      <c r="G418" s="3">
        <f t="shared" si="433"/>
        <v>1.1865104766575964E-7</v>
      </c>
      <c r="H418" s="3">
        <f t="shared" si="433"/>
        <v>0.1</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1.9287498479639181E-22</v>
      </c>
      <c r="C419" s="3">
        <f t="shared" si="433"/>
        <v>9.6173536112391773E-19</v>
      </c>
      <c r="D419" s="3">
        <f t="shared" si="433"/>
        <v>1.1067028467487687E-16</v>
      </c>
      <c r="E419" s="3">
        <f t="shared" si="433"/>
        <v>1.4828091998956947E-15</v>
      </c>
      <c r="F419" s="3">
        <f t="shared" si="433"/>
        <v>6.5180283977943654E-12</v>
      </c>
      <c r="G419" s="3">
        <f t="shared" si="433"/>
        <v>1.1865104766575964E-6</v>
      </c>
      <c r="H419" s="3">
        <f t="shared" si="433"/>
        <v>1</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1.9287498479639181E-21</v>
      </c>
      <c r="C420" s="3">
        <f t="shared" si="434"/>
        <v>9.6173536112391773E-18</v>
      </c>
      <c r="D420" s="3">
        <f t="shared" si="434"/>
        <v>1.1067028467487686E-15</v>
      </c>
      <c r="E420" s="3">
        <f t="shared" si="434"/>
        <v>1.4828091998956947E-14</v>
      </c>
      <c r="F420" s="3">
        <f t="shared" si="434"/>
        <v>6.5180283977943653E-11</v>
      </c>
      <c r="G420" s="3">
        <f t="shared" si="434"/>
        <v>1.1865104766575964E-5</v>
      </c>
      <c r="H420" s="3">
        <f t="shared" si="434"/>
        <v>10</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1.9287498479639181E-20</v>
      </c>
      <c r="C421" s="3">
        <f t="shared" si="434"/>
        <v>9.6173536112391779E-17</v>
      </c>
      <c r="D421" s="3">
        <f t="shared" si="434"/>
        <v>1.1067028467487687E-14</v>
      </c>
      <c r="E421" s="3">
        <f t="shared" si="434"/>
        <v>1.4828091998956948E-13</v>
      </c>
      <c r="F421" s="3">
        <f t="shared" si="434"/>
        <v>6.5180283977943663E-10</v>
      </c>
      <c r="G421" s="3">
        <f t="shared" si="434"/>
        <v>1.1865104766575964E-4</v>
      </c>
      <c r="H421" s="3">
        <f t="shared" si="434"/>
        <v>100</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1.9287498479639179E-19</v>
      </c>
      <c r="C422" s="3">
        <f t="shared" si="434"/>
        <v>9.6173536112391771E-16</v>
      </c>
      <c r="D422" s="3">
        <f t="shared" si="434"/>
        <v>1.1067028467487687E-13</v>
      </c>
      <c r="E422" s="3">
        <f t="shared" si="434"/>
        <v>1.4828091998956948E-12</v>
      </c>
      <c r="F422" s="3">
        <f t="shared" si="434"/>
        <v>6.5180283977943659E-9</v>
      </c>
      <c r="G422" s="3">
        <f t="shared" si="434"/>
        <v>1.1865104766575964E-3</v>
      </c>
      <c r="H422" s="3">
        <f t="shared" si="434"/>
        <v>1000</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1.928749847963918E-18</v>
      </c>
      <c r="C423" s="3">
        <f t="shared" si="434"/>
        <v>9.6173536112391783E-15</v>
      </c>
      <c r="D423" s="3">
        <f t="shared" si="434"/>
        <v>1.1067028467487688E-12</v>
      </c>
      <c r="E423" s="3">
        <f t="shared" si="434"/>
        <v>1.4828091998956947E-11</v>
      </c>
      <c r="F423" s="3">
        <f t="shared" si="434"/>
        <v>6.5180283977943662E-8</v>
      </c>
      <c r="G423" s="3">
        <f t="shared" si="434"/>
        <v>1.1865104766575964E-2</v>
      </c>
      <c r="H423" s="3">
        <f t="shared" si="434"/>
        <v>10000</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1.928749847963918E-17</v>
      </c>
      <c r="C424" s="3">
        <f t="shared" si="434"/>
        <v>9.617353611239178E-14</v>
      </c>
      <c r="D424" s="3">
        <f t="shared" si="434"/>
        <v>1.1067028467487688E-11</v>
      </c>
      <c r="E424" s="3">
        <f t="shared" si="434"/>
        <v>1.4828091998956948E-10</v>
      </c>
      <c r="F424" s="3">
        <f t="shared" si="434"/>
        <v>6.5180283977943662E-7</v>
      </c>
      <c r="G424" s="3">
        <f t="shared" si="434"/>
        <v>0.11865104766575964</v>
      </c>
      <c r="H424" s="3">
        <f t="shared" si="434"/>
        <v>100000</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1.928749847963918E-16</v>
      </c>
      <c r="C425" s="3">
        <f t="shared" si="434"/>
        <v>9.6173536112391785E-13</v>
      </c>
      <c r="D425" s="3">
        <f t="shared" si="434"/>
        <v>1.1067028467487687E-10</v>
      </c>
      <c r="E425" s="3">
        <f t="shared" si="434"/>
        <v>1.4828091998956947E-9</v>
      </c>
      <c r="F425" s="3">
        <f t="shared" si="434"/>
        <v>6.5180283977943658E-6</v>
      </c>
      <c r="G425" s="3">
        <f t="shared" si="434"/>
        <v>1.1865104766575965</v>
      </c>
      <c r="H425" s="3">
        <f t="shared" si="434"/>
        <v>1000000</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1.9287498479639181E-15</v>
      </c>
      <c r="C426" s="3">
        <f t="shared" si="434"/>
        <v>9.6173536112391781E-12</v>
      </c>
      <c r="D426" s="3">
        <f t="shared" si="434"/>
        <v>1.1067028467487687E-9</v>
      </c>
      <c r="E426" s="3">
        <f t="shared" si="434"/>
        <v>1.4828091998956947E-8</v>
      </c>
      <c r="F426" s="3">
        <f t="shared" si="434"/>
        <v>6.5180283977943655E-5</v>
      </c>
      <c r="G426" s="3">
        <f t="shared" si="434"/>
        <v>11.865104766575964</v>
      </c>
      <c r="H426" s="3">
        <f t="shared" si="434"/>
        <v>10000000</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1.928749847963918E-14</v>
      </c>
      <c r="C427" s="3">
        <f t="shared" si="434"/>
        <v>9.6173536112391771E-11</v>
      </c>
      <c r="D427" s="3">
        <f t="shared" si="434"/>
        <v>1.1067028467487687E-8</v>
      </c>
      <c r="E427" s="3">
        <f t="shared" si="434"/>
        <v>1.4828091998956948E-7</v>
      </c>
      <c r="F427" s="3">
        <f t="shared" si="434"/>
        <v>6.5180283977943657E-4</v>
      </c>
      <c r="G427" s="3">
        <f t="shared" si="434"/>
        <v>118.65104766575963</v>
      </c>
      <c r="H427" s="3">
        <f t="shared" si="434"/>
        <v>100000000</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1.9287498479639179E-13</v>
      </c>
      <c r="C428" s="3">
        <f t="shared" si="434"/>
        <v>9.6173536112391784E-10</v>
      </c>
      <c r="D428" s="3">
        <f t="shared" si="434"/>
        <v>1.1067028467487687E-7</v>
      </c>
      <c r="E428" s="3">
        <f t="shared" si="434"/>
        <v>1.4828091998956948E-6</v>
      </c>
      <c r="F428" s="3">
        <f t="shared" si="434"/>
        <v>6.5180283977943655E-3</v>
      </c>
      <c r="G428" s="3">
        <f t="shared" si="434"/>
        <v>1186.5104766575964</v>
      </c>
      <c r="H428" s="3">
        <f t="shared" si="434"/>
        <v>1000000000</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1.9287498479639181E-12</v>
      </c>
      <c r="C429" s="3">
        <f t="shared" si="434"/>
        <v>9.6173536112391772E-9</v>
      </c>
      <c r="D429" s="3">
        <f t="shared" si="434"/>
        <v>1.1067028467487687E-6</v>
      </c>
      <c r="E429" s="3">
        <f t="shared" si="434"/>
        <v>1.4828091998956948E-5</v>
      </c>
      <c r="F429" s="3">
        <f t="shared" si="434"/>
        <v>6.5180283977943662E-2</v>
      </c>
      <c r="G429" s="3">
        <f t="shared" si="434"/>
        <v>11865.104766575963</v>
      </c>
      <c r="H429" s="3">
        <f t="shared" si="434"/>
        <v>10000000000</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1.9287498479639181E-11</v>
      </c>
      <c r="C430" s="3">
        <f t="shared" si="434"/>
        <v>9.6173536112391778E-8</v>
      </c>
      <c r="D430" s="3">
        <f t="shared" si="434"/>
        <v>1.1067028467487688E-5</v>
      </c>
      <c r="E430" s="3">
        <f t="shared" si="434"/>
        <v>1.4828091998956948E-4</v>
      </c>
      <c r="F430" s="3">
        <f t="shared" si="434"/>
        <v>0.65180283977943654</v>
      </c>
      <c r="G430" s="3">
        <f t="shared" si="434"/>
        <v>118651.04766575964</v>
      </c>
      <c r="H430" s="3">
        <f t="shared" si="434"/>
        <v>100000000000</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1.928749847963918E-10</v>
      </c>
      <c r="C431" s="3">
        <f t="shared" si="434"/>
        <v>9.6173536112391784E-7</v>
      </c>
      <c r="D431" s="3">
        <f t="shared" si="434"/>
        <v>1.1067028467487687E-4</v>
      </c>
      <c r="E431" s="3">
        <f t="shared" si="434"/>
        <v>1.4828091998956947E-3</v>
      </c>
      <c r="F431" s="3">
        <f t="shared" si="434"/>
        <v>6.5180283977943656</v>
      </c>
      <c r="G431" s="3">
        <f t="shared" si="434"/>
        <v>1186510.4766575964</v>
      </c>
      <c r="H431" s="3">
        <f t="shared" si="434"/>
        <v>1000000000000</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1.928749847963918E-9</v>
      </c>
      <c r="C432" s="3">
        <f t="shared" si="434"/>
        <v>9.6173536112391784E-6</v>
      </c>
      <c r="D432" s="3">
        <f t="shared" si="434"/>
        <v>1.1067028467487687E-3</v>
      </c>
      <c r="E432" s="3">
        <f t="shared" si="434"/>
        <v>1.4828091998956948E-2</v>
      </c>
      <c r="F432" s="3">
        <f t="shared" si="434"/>
        <v>65.18028397794366</v>
      </c>
      <c r="G432" s="3">
        <f t="shared" si="434"/>
        <v>11865104.766575964</v>
      </c>
      <c r="H432" s="3">
        <f t="shared" si="434"/>
        <v>10000000000000</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1.9287498479639179E-8</v>
      </c>
      <c r="C433" s="3">
        <f t="shared" si="434"/>
        <v>9.6173536112391774E-5</v>
      </c>
      <c r="D433" s="3">
        <f t="shared" si="434"/>
        <v>1.1067028467487687E-2</v>
      </c>
      <c r="E433" s="3">
        <f t="shared" si="434"/>
        <v>0.14828091998956947</v>
      </c>
      <c r="F433" s="3">
        <f t="shared" si="434"/>
        <v>651.80283977943657</v>
      </c>
      <c r="G433" s="3">
        <f t="shared" si="434"/>
        <v>118651047.66575964</v>
      </c>
      <c r="H433" s="3">
        <f t="shared" si="434"/>
        <v>100000000000000</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1.9287498479639179E-7</v>
      </c>
      <c r="C434" s="3">
        <f t="shared" si="434"/>
        <v>9.6173536112391779E-4</v>
      </c>
      <c r="D434" s="3">
        <f t="shared" si="434"/>
        <v>0.11067028467487687</v>
      </c>
      <c r="E434" s="3">
        <f t="shared" si="434"/>
        <v>1.4828091998956947</v>
      </c>
      <c r="F434" s="3">
        <f t="shared" si="434"/>
        <v>6518.0283977943654</v>
      </c>
      <c r="G434" s="3">
        <f t="shared" si="434"/>
        <v>1186510476.6575963</v>
      </c>
      <c r="H434" s="3">
        <f t="shared" si="434"/>
        <v>1000000000000000</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-50</v>
      </c>
      <c r="M1" s="54">
        <v>1</v>
      </c>
      <c r="N1" s="56">
        <f>INDEX($H$217:$P$217,1,Q1)</f>
        <v>0.24196150034132446</v>
      </c>
      <c r="O1" s="11"/>
      <c r="P1" s="55">
        <v>1</v>
      </c>
      <c r="Q1" s="11">
        <v>2</v>
      </c>
    </row>
    <row r="2" spans="1:17" x14ac:dyDescent="0.25">
      <c r="A2" s="11">
        <f>'Mastercurve bestimmen'!M119</f>
        <v>0</v>
      </c>
      <c r="B2" s="11">
        <f>'Mastercurve bestimmen'!N119</f>
        <v>-41.485547632440884</v>
      </c>
      <c r="M2" s="54">
        <v>2</v>
      </c>
      <c r="N2" s="56">
        <f t="shared" ref="N2:N9" si="0">INDEX($H$217:$P$217,1,Q2)</f>
        <v>-2.4258522553794244E-2</v>
      </c>
      <c r="O2" s="11"/>
      <c r="P2" s="55">
        <v>2</v>
      </c>
      <c r="Q2" s="11">
        <f>Q1+1</f>
        <v>3</v>
      </c>
    </row>
    <row r="3" spans="1:17" x14ac:dyDescent="0.25">
      <c r="A3" s="11">
        <f>'Mastercurve bestimmen'!M120</f>
        <v>25</v>
      </c>
      <c r="B3" s="11">
        <f>'Mastercurve bestimmen'!N120</f>
        <v>-36.73997630133357</v>
      </c>
      <c r="M3" s="54">
        <v>3</v>
      </c>
      <c r="N3" s="56">
        <f t="shared" si="0"/>
        <v>-1.1216599433334481E-3</v>
      </c>
      <c r="O3" s="11"/>
      <c r="P3" s="55">
        <v>3</v>
      </c>
      <c r="Q3" s="11">
        <f t="shared" ref="Q3:Q8" si="1">Q2+1</f>
        <v>4</v>
      </c>
    </row>
    <row r="4" spans="1:17" x14ac:dyDescent="0.25">
      <c r="A4" s="11">
        <f>'Mastercurve bestimmen'!M121</f>
        <v>50</v>
      </c>
      <c r="B4" s="11">
        <f>'Mastercurve bestimmen'!N121</f>
        <v>-34.144837998227821</v>
      </c>
      <c r="M4" s="54">
        <v>4</v>
      </c>
      <c r="N4" s="56">
        <f t="shared" si="0"/>
        <v>-2.2602374700962184E-5</v>
      </c>
      <c r="O4" s="11"/>
      <c r="P4" s="55">
        <v>4</v>
      </c>
      <c r="Q4" s="11">
        <f t="shared" si="1"/>
        <v>5</v>
      </c>
    </row>
    <row r="5" spans="1:17" x14ac:dyDescent="0.25">
      <c r="A5" s="11">
        <f>'Mastercurve bestimmen'!M122</f>
        <v>80</v>
      </c>
      <c r="B5" s="11">
        <f>'Mastercurve bestimmen'!N122</f>
        <v>-25.756449178696286</v>
      </c>
      <c r="M5" s="54">
        <v>5</v>
      </c>
      <c r="N5" s="56">
        <f t="shared" si="0"/>
        <v>-2.3888217309517148E-7</v>
      </c>
      <c r="O5" s="11"/>
      <c r="P5" s="55">
        <v>5</v>
      </c>
      <c r="Q5" s="11">
        <f t="shared" si="1"/>
        <v>6</v>
      </c>
    </row>
    <row r="6" spans="1:17" x14ac:dyDescent="0.25">
      <c r="A6" s="11">
        <f>'Mastercurve bestimmen'!M123</f>
        <v>125</v>
      </c>
      <c r="B6" s="11">
        <f>'Mastercurve bestimmen'!N123</f>
        <v>-13.644493931225382</v>
      </c>
      <c r="M6" s="54">
        <v>6</v>
      </c>
      <c r="N6" s="56">
        <f t="shared" si="0"/>
        <v>-1.3724263213237474E-9</v>
      </c>
      <c r="O6" s="11"/>
      <c r="P6" s="55">
        <v>6</v>
      </c>
      <c r="Q6" s="11">
        <f t="shared" si="1"/>
        <v>7</v>
      </c>
    </row>
    <row r="7" spans="1:17" x14ac:dyDescent="0.25">
      <c r="A7" s="11">
        <f>'Mastercurve bestimmen'!M124</f>
        <v>160</v>
      </c>
      <c r="B7" s="11">
        <f>'Mastercurve bestimmen'!N124</f>
        <v>0</v>
      </c>
      <c r="M7" s="54">
        <v>7</v>
      </c>
      <c r="N7" s="56">
        <f t="shared" si="0"/>
        <v>-4.0557941151289553E-12</v>
      </c>
      <c r="O7" s="11"/>
      <c r="P7" s="55">
        <v>7</v>
      </c>
      <c r="Q7" s="11">
        <f t="shared" si="1"/>
        <v>8</v>
      </c>
    </row>
    <row r="8" spans="1:17" x14ac:dyDescent="0.25">
      <c r="A8" s="11"/>
      <c r="B8" s="11"/>
      <c r="M8" s="54">
        <v>8</v>
      </c>
      <c r="N8" s="56">
        <f t="shared" si="0"/>
        <v>-4.8287991949733681E-15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-50</v>
      </c>
      <c r="E15" s="11">
        <f>A15-'Mastercurve bestimmen'!$B$2</f>
        <v>-200</v>
      </c>
      <c r="F15" s="11">
        <f>B15</f>
        <v>-50</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-49.861324901236465</v>
      </c>
      <c r="E16" s="11">
        <f>A16-'Mastercurve bestimmen'!$B$2</f>
        <v>-199</v>
      </c>
      <c r="F16" s="11">
        <f t="shared" ref="F16:F79" si="4">B16</f>
        <v>-49.861324901236465</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-49.72237143020115</v>
      </c>
      <c r="E17" s="11">
        <f>A17-'Mastercurve bestimmen'!$B$2</f>
        <v>-198</v>
      </c>
      <c r="F17" s="11">
        <f t="shared" si="4"/>
        <v>-49.72237143020115</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-49.582861214622319</v>
      </c>
      <c r="E18" s="11">
        <f>A18-'Mastercurve bestimmen'!$B$2</f>
        <v>-197</v>
      </c>
      <c r="F18" s="11">
        <f t="shared" si="4"/>
        <v>-49.582861214622319</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-49.442515882228186</v>
      </c>
      <c r="E19" s="11">
        <f>A19-'Mastercurve bestimmen'!$B$2</f>
        <v>-196</v>
      </c>
      <c r="F19" s="11">
        <f t="shared" si="4"/>
        <v>-49.442515882228186</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-49.301057060746992</v>
      </c>
      <c r="E20" s="11">
        <f>A20-'Mastercurve bestimmen'!$B$2</f>
        <v>-195</v>
      </c>
      <c r="F20" s="11">
        <f t="shared" si="4"/>
        <v>-49.301057060746992</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-49.158206377906971</v>
      </c>
      <c r="E21" s="11">
        <f>A21-'Mastercurve bestimmen'!$B$2</f>
        <v>-194</v>
      </c>
      <c r="F21" s="11">
        <f t="shared" si="4"/>
        <v>-49.158206377906971</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-49.01368546143636</v>
      </c>
      <c r="E22" s="11">
        <f>A22-'Mastercurve bestimmen'!$B$2</f>
        <v>-193</v>
      </c>
      <c r="F22" s="11">
        <f t="shared" si="4"/>
        <v>-49.01368546143636</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-48.867215939063392</v>
      </c>
      <c r="E23" s="11">
        <f>A23-'Mastercurve bestimmen'!$B$2</f>
        <v>-192</v>
      </c>
      <c r="F23" s="11">
        <f t="shared" si="4"/>
        <v>-48.867215939063392</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-48.718519438516303</v>
      </c>
      <c r="E24" s="11">
        <f>A24-'Mastercurve bestimmen'!$B$2</f>
        <v>-191</v>
      </c>
      <c r="F24" s="11">
        <f t="shared" si="4"/>
        <v>-48.718519438516303</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-48.567317587523327</v>
      </c>
      <c r="E25" s="11">
        <f>A25-'Mastercurve bestimmen'!$B$2</f>
        <v>-190</v>
      </c>
      <c r="F25" s="11">
        <f t="shared" si="4"/>
        <v>-48.567317587523327</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-48.413332013812699</v>
      </c>
      <c r="E26" s="11">
        <f>A26-'Mastercurve bestimmen'!$B$2</f>
        <v>-189</v>
      </c>
      <c r="F26" s="11">
        <f t="shared" si="4"/>
        <v>-48.413332013812699</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-48.256284345112647</v>
      </c>
      <c r="E27" s="11">
        <f>A27-'Mastercurve bestimmen'!$B$2</f>
        <v>-188</v>
      </c>
      <c r="F27" s="11">
        <f t="shared" si="4"/>
        <v>-48.256284345112647</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-48.095896209151419</v>
      </c>
      <c r="E28" s="11">
        <f>A28-'Mastercurve bestimmen'!$B$2</f>
        <v>-187</v>
      </c>
      <c r="F28" s="11">
        <f t="shared" si="4"/>
        <v>-48.095896209151419</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-47.931889233657245</v>
      </c>
      <c r="E29" s="11">
        <f>A29-'Mastercurve bestimmen'!$B$2</f>
        <v>-186</v>
      </c>
      <c r="F29" s="11">
        <f t="shared" si="4"/>
        <v>-47.931889233657245</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-47.76398504635835</v>
      </c>
      <c r="E30" s="11">
        <f>A30-'Mastercurve bestimmen'!$B$2</f>
        <v>-185</v>
      </c>
      <c r="F30" s="11">
        <f t="shared" si="4"/>
        <v>-47.76398504635835</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-47.591905274982977</v>
      </c>
      <c r="E31" s="11">
        <f>A31-'Mastercurve bestimmen'!$B$2</f>
        <v>-184</v>
      </c>
      <c r="F31" s="11">
        <f t="shared" si="4"/>
        <v>-47.591905274982977</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-47.415371547259369</v>
      </c>
      <c r="E32" s="11">
        <f>A32-'Mastercurve bestimmen'!$B$2</f>
        <v>-183</v>
      </c>
      <c r="F32" s="11">
        <f t="shared" si="4"/>
        <v>-47.415371547259369</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-47.234105490915738</v>
      </c>
      <c r="E33" s="11">
        <f>A33-'Mastercurve bestimmen'!$B$2</f>
        <v>-182</v>
      </c>
      <c r="F33" s="11">
        <f t="shared" si="4"/>
        <v>-47.234105490915738</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-47.047828733680348</v>
      </c>
      <c r="E34" s="11">
        <f>A34-'Mastercurve bestimmen'!$B$2</f>
        <v>-181</v>
      </c>
      <c r="F34" s="11">
        <f t="shared" si="4"/>
        <v>-47.047828733680348</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-46.856262903281404</v>
      </c>
      <c r="E35" s="11">
        <f>A35-'Mastercurve bestimmen'!$B$2</f>
        <v>-180</v>
      </c>
      <c r="F35" s="11">
        <f t="shared" si="4"/>
        <v>-46.856262903281404</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-46.659129627447172</v>
      </c>
      <c r="E36" s="11">
        <f>A36-'Mastercurve bestimmen'!$B$2</f>
        <v>-179</v>
      </c>
      <c r="F36" s="11">
        <f t="shared" si="4"/>
        <v>-46.659129627447172</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-46.456150533905856</v>
      </c>
      <c r="E37" s="11">
        <f>A37-'Mastercurve bestimmen'!$B$2</f>
        <v>-178</v>
      </c>
      <c r="F37" s="11">
        <f t="shared" si="4"/>
        <v>-46.456150533905856</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-46.247047250385705</v>
      </c>
      <c r="E38" s="11">
        <f>A38-'Mastercurve bestimmen'!$B$2</f>
        <v>-177</v>
      </c>
      <c r="F38" s="11">
        <f t="shared" si="4"/>
        <v>-46.247047250385705</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-46.031541404614963</v>
      </c>
      <c r="E39" s="11">
        <f>A39-'Mastercurve bestimmen'!$B$2</f>
        <v>-176</v>
      </c>
      <c r="F39" s="11">
        <f t="shared" si="4"/>
        <v>-46.031541404614963</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-45.809354624321848</v>
      </c>
      <c r="E40" s="11">
        <f>A40-'Mastercurve bestimmen'!$B$2</f>
        <v>-175</v>
      </c>
      <c r="F40" s="11">
        <f t="shared" si="4"/>
        <v>-45.809354624321848</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-45.580208537234604</v>
      </c>
      <c r="E41" s="11">
        <f>A41-'Mastercurve bestimmen'!$B$2</f>
        <v>-174</v>
      </c>
      <c r="F41" s="11">
        <f t="shared" si="4"/>
        <v>-45.580208537234604</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-45.343824771081465</v>
      </c>
      <c r="E42" s="11">
        <f>A42-'Mastercurve bestimmen'!$B$2</f>
        <v>-173</v>
      </c>
      <c r="F42" s="11">
        <f t="shared" si="4"/>
        <v>-45.343824771081465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-45.099924953590659</v>
      </c>
      <c r="E43" s="11">
        <f>A43-'Mastercurve bestimmen'!$B$2</f>
        <v>-172</v>
      </c>
      <c r="F43" s="11">
        <f t="shared" si="4"/>
        <v>-45.099924953590659</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-44.848230712490427</v>
      </c>
      <c r="E44" s="11">
        <f>A44-'Mastercurve bestimmen'!$B$2</f>
        <v>-171</v>
      </c>
      <c r="F44" s="11">
        <f t="shared" si="4"/>
        <v>-44.848230712490427</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-44.588463675509011</v>
      </c>
      <c r="E45" s="11">
        <f>A45-'Mastercurve bestimmen'!$B$2</f>
        <v>-170</v>
      </c>
      <c r="F45" s="11">
        <f t="shared" si="4"/>
        <v>-44.588463675509011</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-44.320345470374626</v>
      </c>
      <c r="E46" s="11">
        <f>A46-'Mastercurve bestimmen'!$B$2</f>
        <v>-169</v>
      </c>
      <c r="F46" s="11">
        <f t="shared" si="4"/>
        <v>-44.320345470374626</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-44.043597724815527</v>
      </c>
      <c r="E47" s="11">
        <f>A47-'Mastercurve bestimmen'!$B$2</f>
        <v>-168</v>
      </c>
      <c r="F47" s="11">
        <f t="shared" si="4"/>
        <v>-44.043597724815527</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-43.757942066559941</v>
      </c>
      <c r="E48" s="11">
        <f>A48-'Mastercurve bestimmen'!$B$2</f>
        <v>-167</v>
      </c>
      <c r="F48" s="11">
        <f t="shared" si="4"/>
        <v>-43.757942066559941</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-43.463100123336098</v>
      </c>
      <c r="E49" s="11">
        <f>A49-'Mastercurve bestimmen'!$B$2</f>
        <v>-166</v>
      </c>
      <c r="F49" s="11">
        <f t="shared" si="4"/>
        <v>-43.463100123336098</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-43.158793522872244</v>
      </c>
      <c r="E50" s="11">
        <f>A50-'Mastercurve bestimmen'!$B$2</f>
        <v>-165</v>
      </c>
      <c r="F50" s="11">
        <f t="shared" si="4"/>
        <v>-43.158793522872244</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-42.844743892896595</v>
      </c>
      <c r="E51" s="11">
        <f>A51-'Mastercurve bestimmen'!$B$2</f>
        <v>-164</v>
      </c>
      <c r="F51" s="11">
        <f t="shared" si="4"/>
        <v>-42.844743892896595</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-42.520672861137406</v>
      </c>
      <c r="E52" s="11">
        <f>A52-'Mastercurve bestimmen'!$B$2</f>
        <v>-163</v>
      </c>
      <c r="F52" s="11">
        <f t="shared" si="4"/>
        <v>-42.520672861137406</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-42.186302055322898</v>
      </c>
      <c r="E53" s="11">
        <f>A53-'Mastercurve bestimmen'!$B$2</f>
        <v>-162</v>
      </c>
      <c r="F53" s="11">
        <f t="shared" si="4"/>
        <v>-42.186302055322898</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-41.841353103181312</v>
      </c>
      <c r="E54" s="11">
        <f>A54-'Mastercurve bestimmen'!$B$2</f>
        <v>-161</v>
      </c>
      <c r="F54" s="11">
        <f t="shared" si="4"/>
        <v>-41.841353103181312</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-41.485547632440884</v>
      </c>
      <c r="E55" s="11">
        <f>A55-'Mastercurve bestimmen'!$B$2</f>
        <v>-160</v>
      </c>
      <c r="F55" s="11">
        <f t="shared" si="4"/>
        <v>-41.485547632440884</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-41.335937516357326</v>
      </c>
      <c r="E56" s="11">
        <f>A56-'Mastercurve bestimmen'!$B$2</f>
        <v>-159</v>
      </c>
      <c r="F56" s="11">
        <f t="shared" si="4"/>
        <v>-41.335937516357326</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-41.176090643569381</v>
      </c>
      <c r="E57" s="11">
        <f>A57-'Mastercurve bestimmen'!$B$2</f>
        <v>-158</v>
      </c>
      <c r="F57" s="11">
        <f t="shared" si="4"/>
        <v>-41.176090643569381</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-41.006905148243256</v>
      </c>
      <c r="E58" s="11">
        <f>A58-'Mastercurve bestimmen'!$B$2</f>
        <v>-157</v>
      </c>
      <c r="F58" s="11">
        <f t="shared" si="4"/>
        <v>-41.006905148243256</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-40.829279164545177</v>
      </c>
      <c r="E59" s="11">
        <f>A59-'Mastercurve bestimmen'!$B$2</f>
        <v>-156</v>
      </c>
      <c r="F59" s="11">
        <f t="shared" si="4"/>
        <v>-40.829279164545177</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-40.644110826641352</v>
      </c>
      <c r="E60" s="11">
        <f>A60-'Mastercurve bestimmen'!$B$2</f>
        <v>-155</v>
      </c>
      <c r="F60" s="11">
        <f t="shared" si="4"/>
        <v>-40.644110826641352</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-40.452298268698001</v>
      </c>
      <c r="E61" s="11">
        <f>A61-'Mastercurve bestimmen'!$B$2</f>
        <v>-154</v>
      </c>
      <c r="F61" s="11">
        <f t="shared" si="4"/>
        <v>-40.452298268698001</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-40.254739624881353</v>
      </c>
      <c r="E62" s="11">
        <f>A62-'Mastercurve bestimmen'!$B$2</f>
        <v>-153</v>
      </c>
      <c r="F62" s="11">
        <f t="shared" si="4"/>
        <v>-40.254739624881353</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-40.052333029357612</v>
      </c>
      <c r="E63" s="11">
        <f>A63-'Mastercurve bestimmen'!$B$2</f>
        <v>-152</v>
      </c>
      <c r="F63" s="11">
        <f t="shared" si="4"/>
        <v>-40.052333029357612</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-39.845976616292994</v>
      </c>
      <c r="E64" s="11">
        <f>A64-'Mastercurve bestimmen'!$B$2</f>
        <v>-151</v>
      </c>
      <c r="F64" s="11">
        <f t="shared" si="4"/>
        <v>-39.845976616292994</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-39.636568519853725</v>
      </c>
      <c r="E65" s="11">
        <f>A65-'Mastercurve bestimmen'!$B$2</f>
        <v>-150</v>
      </c>
      <c r="F65" s="11">
        <f t="shared" si="4"/>
        <v>-39.636568519853725</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-39.425006874206005</v>
      </c>
      <c r="E66" s="11">
        <f>A66-'Mastercurve bestimmen'!$B$2</f>
        <v>-149</v>
      </c>
      <c r="F66" s="11">
        <f t="shared" si="4"/>
        <v>-39.425006874206005</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-39.212189813516076</v>
      </c>
      <c r="E67" s="11">
        <f>A67-'Mastercurve bestimmen'!$B$2</f>
        <v>-148</v>
      </c>
      <c r="F67" s="11">
        <f t="shared" si="4"/>
        <v>-39.212189813516076</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-38.999015471950138</v>
      </c>
      <c r="E68" s="11">
        <f>A68-'Mastercurve bestimmen'!$B$2</f>
        <v>-147</v>
      </c>
      <c r="F68" s="11">
        <f t="shared" si="4"/>
        <v>-38.999015471950138</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-38.786381983674417</v>
      </c>
      <c r="E69" s="11">
        <f>A69-'Mastercurve bestimmen'!$B$2</f>
        <v>-146</v>
      </c>
      <c r="F69" s="11">
        <f t="shared" si="4"/>
        <v>-38.786381983674417</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-38.575187482855114</v>
      </c>
      <c r="E70" s="11">
        <f>A70-'Mastercurve bestimmen'!$B$2</f>
        <v>-145</v>
      </c>
      <c r="F70" s="11">
        <f t="shared" si="4"/>
        <v>-38.575187482855114</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-38.36633010365847</v>
      </c>
      <c r="E71" s="11">
        <f>A71-'Mastercurve bestimmen'!$B$2</f>
        <v>-144</v>
      </c>
      <c r="F71" s="11">
        <f t="shared" si="4"/>
        <v>-38.36633010365847</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-38.160707980250692</v>
      </c>
      <c r="E72" s="11">
        <f>A72-'Mastercurve bestimmen'!$B$2</f>
        <v>-143</v>
      </c>
      <c r="F72" s="11">
        <f t="shared" si="4"/>
        <v>-38.160707980250692</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-37.959219246797986</v>
      </c>
      <c r="E73" s="11">
        <f>A73-'Mastercurve bestimmen'!$B$2</f>
        <v>-142</v>
      </c>
      <c r="F73" s="11">
        <f t="shared" si="4"/>
        <v>-37.959219246797986</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-37.76276203746658</v>
      </c>
      <c r="E74" s="11">
        <f>A74-'Mastercurve bestimmen'!$B$2</f>
        <v>-141</v>
      </c>
      <c r="F74" s="11">
        <f t="shared" si="4"/>
        <v>-37.76276203746658</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-37.572234486422687</v>
      </c>
      <c r="E75" s="11">
        <f>A75-'Mastercurve bestimmen'!$B$2</f>
        <v>-140</v>
      </c>
      <c r="F75" s="11">
        <f t="shared" si="4"/>
        <v>-37.572234486422687</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-37.388534727832536</v>
      </c>
      <c r="E76" s="11">
        <f>A76-'Mastercurve bestimmen'!$B$2</f>
        <v>-139</v>
      </c>
      <c r="F76" s="11">
        <f t="shared" si="4"/>
        <v>-37.388534727832536</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-37.212560895862325</v>
      </c>
      <c r="E77" s="11">
        <f>A77-'Mastercurve bestimmen'!$B$2</f>
        <v>-138</v>
      </c>
      <c r="F77" s="11">
        <f t="shared" si="4"/>
        <v>-37.212560895862325</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-37.045211124678282</v>
      </c>
      <c r="E78" s="11">
        <f>A78-'Mastercurve bestimmen'!$B$2</f>
        <v>-137</v>
      </c>
      <c r="F78" s="11">
        <f t="shared" si="4"/>
        <v>-37.045211124678282</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-36.887383548446621</v>
      </c>
      <c r="E79" s="11">
        <f>A79-'Mastercurve bestimmen'!$B$2</f>
        <v>-136</v>
      </c>
      <c r="F79" s="11">
        <f t="shared" si="4"/>
        <v>-36.887383548446621</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-36.73997630133357</v>
      </c>
      <c r="E80" s="11">
        <f>A80-'Mastercurve bestimmen'!$B$2</f>
        <v>-135</v>
      </c>
      <c r="F80" s="11">
        <f t="shared" ref="F80:F143" si="10">B80</f>
        <v>-36.73997630133357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-36.603572406687732</v>
      </c>
      <c r="E81" s="11">
        <f>A81-'Mastercurve bestimmen'!$B$2</f>
        <v>-134</v>
      </c>
      <c r="F81" s="11">
        <f t="shared" si="10"/>
        <v>-36.603572406687732</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-36.477494444587322</v>
      </c>
      <c r="E82" s="11">
        <f>A82-'Mastercurve bestimmen'!$B$2</f>
        <v>-133</v>
      </c>
      <c r="F82" s="11">
        <f t="shared" si="10"/>
        <v>-36.477494444587322</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-36.360749884292957</v>
      </c>
      <c r="E83" s="11">
        <f>A83-'Mastercurve bestimmen'!$B$2</f>
        <v>-132</v>
      </c>
      <c r="F83" s="11">
        <f t="shared" si="10"/>
        <v>-36.360749884292957</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-36.25234619506525</v>
      </c>
      <c r="E84" s="11">
        <f>A84-'Mastercurve bestimmen'!$B$2</f>
        <v>-131</v>
      </c>
      <c r="F84" s="11">
        <f t="shared" si="10"/>
        <v>-36.25234619506525</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-36.151290846164819</v>
      </c>
      <c r="E85" s="11">
        <f>A85-'Mastercurve bestimmen'!$B$2</f>
        <v>-130</v>
      </c>
      <c r="F85" s="11">
        <f t="shared" si="10"/>
        <v>-36.151290846164819</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-36.056591306852269</v>
      </c>
      <c r="E86" s="11">
        <f>A86-'Mastercurve bestimmen'!$B$2</f>
        <v>-129</v>
      </c>
      <c r="F86" s="11">
        <f t="shared" si="10"/>
        <v>-36.056591306852269</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-35.967255046388217</v>
      </c>
      <c r="E87" s="11">
        <f>A87-'Mastercurve bestimmen'!$B$2</f>
        <v>-128</v>
      </c>
      <c r="F87" s="11">
        <f t="shared" si="10"/>
        <v>-35.967255046388217</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-35.882289534033283</v>
      </c>
      <c r="E88" s="11">
        <f>A88-'Mastercurve bestimmen'!$B$2</f>
        <v>-127</v>
      </c>
      <c r="F88" s="11">
        <f t="shared" si="10"/>
        <v>-35.882289534033283</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-35.800702239048064</v>
      </c>
      <c r="E89" s="11">
        <f>A89-'Mastercurve bestimmen'!$B$2</f>
        <v>-126</v>
      </c>
      <c r="F89" s="11">
        <f t="shared" si="10"/>
        <v>-35.800702239048064</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-35.721500630693193</v>
      </c>
      <c r="E90" s="11">
        <f>A90-'Mastercurve bestimmen'!$B$2</f>
        <v>-125</v>
      </c>
      <c r="F90" s="11">
        <f t="shared" si="10"/>
        <v>-35.721500630693193</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-35.643692178229266</v>
      </c>
      <c r="E91" s="11">
        <f>A91-'Mastercurve bestimmen'!$B$2</f>
        <v>-124</v>
      </c>
      <c r="F91" s="11">
        <f t="shared" si="10"/>
        <v>-35.643692178229266</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-35.566284350916909</v>
      </c>
      <c r="E92" s="11">
        <f>A92-'Mastercurve bestimmen'!$B$2</f>
        <v>-123</v>
      </c>
      <c r="F92" s="11">
        <f t="shared" si="10"/>
        <v>-35.566284350916909</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-35.488284618016735</v>
      </c>
      <c r="E93" s="11">
        <f>A93-'Mastercurve bestimmen'!$B$2</f>
        <v>-122</v>
      </c>
      <c r="F93" s="11">
        <f t="shared" si="10"/>
        <v>-35.488284618016735</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-35.408700448789347</v>
      </c>
      <c r="E94" s="11">
        <f>A94-'Mastercurve bestimmen'!$B$2</f>
        <v>-121</v>
      </c>
      <c r="F94" s="11">
        <f t="shared" si="10"/>
        <v>-35.408700448789347</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-35.326539312495363</v>
      </c>
      <c r="E95" s="11">
        <f>A95-'Mastercurve bestimmen'!$B$2</f>
        <v>-120</v>
      </c>
      <c r="F95" s="11">
        <f t="shared" si="10"/>
        <v>-35.326539312495363</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-35.240808678395403</v>
      </c>
      <c r="E96" s="11">
        <f>A96-'Mastercurve bestimmen'!$B$2</f>
        <v>-119</v>
      </c>
      <c r="F96" s="11">
        <f t="shared" si="10"/>
        <v>-35.240808678395403</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-35.150516015750071</v>
      </c>
      <c r="E97" s="11">
        <f>A97-'Mastercurve bestimmen'!$B$2</f>
        <v>-118</v>
      </c>
      <c r="F97" s="11">
        <f t="shared" si="10"/>
        <v>-35.150516015750071</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-35.054668793819985</v>
      </c>
      <c r="E98" s="11">
        <f>A98-'Mastercurve bestimmen'!$B$2</f>
        <v>-117</v>
      </c>
      <c r="F98" s="11">
        <f t="shared" si="10"/>
        <v>-35.054668793819985</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-34.952274481865764</v>
      </c>
      <c r="E99" s="11">
        <f>A99-'Mastercurve bestimmen'!$B$2</f>
        <v>-116</v>
      </c>
      <c r="F99" s="11">
        <f t="shared" si="10"/>
        <v>-34.952274481865764</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-34.84234054914802</v>
      </c>
      <c r="E100" s="11">
        <f>A100-'Mastercurve bestimmen'!$B$2</f>
        <v>-115</v>
      </c>
      <c r="F100" s="11">
        <f t="shared" si="10"/>
        <v>-34.84234054914802</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-34.723874464927349</v>
      </c>
      <c r="E101" s="11">
        <f>A101-'Mastercurve bestimmen'!$B$2</f>
        <v>-114</v>
      </c>
      <c r="F101" s="11">
        <f t="shared" si="10"/>
        <v>-34.723874464927349</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-34.595883698464384</v>
      </c>
      <c r="E102" s="11">
        <f>A102-'Mastercurve bestimmen'!$B$2</f>
        <v>-113</v>
      </c>
      <c r="F102" s="11">
        <f t="shared" si="10"/>
        <v>-34.595883698464384</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-34.45737571901973</v>
      </c>
      <c r="E103" s="11">
        <f>A103-'Mastercurve bestimmen'!$B$2</f>
        <v>-112</v>
      </c>
      <c r="F103" s="11">
        <f t="shared" si="10"/>
        <v>-34.45737571901973</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-34.307357995854005</v>
      </c>
      <c r="E104" s="11">
        <f>A104-'Mastercurve bestimmen'!$B$2</f>
        <v>-111</v>
      </c>
      <c r="F104" s="11">
        <f t="shared" si="10"/>
        <v>-34.307357995854005</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-34.144837998227821</v>
      </c>
      <c r="E105" s="11">
        <f>A105-'Mastercurve bestimmen'!$B$2</f>
        <v>-110</v>
      </c>
      <c r="F105" s="11">
        <f t="shared" si="10"/>
        <v>-34.144837998227821</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-33.969090740631437</v>
      </c>
      <c r="E106" s="11">
        <f>A106-'Mastercurve bestimmen'!$B$2</f>
        <v>-109</v>
      </c>
      <c r="F106" s="11">
        <f t="shared" si="10"/>
        <v>-33.969090740631437</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-33.78046141847377</v>
      </c>
      <c r="E107" s="11">
        <f>A107-'Mastercurve bestimmen'!$B$2</f>
        <v>-108</v>
      </c>
      <c r="F107" s="11">
        <f t="shared" si="10"/>
        <v>-33.78046141847377</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-33.579562772393359</v>
      </c>
      <c r="E108" s="11">
        <f>A108-'Mastercurve bestimmen'!$B$2</f>
        <v>-107</v>
      </c>
      <c r="F108" s="11">
        <f t="shared" si="10"/>
        <v>-33.579562772393359</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-33.367007543028755</v>
      </c>
      <c r="E109" s="11">
        <f>A109-'Mastercurve bestimmen'!$B$2</f>
        <v>-106</v>
      </c>
      <c r="F109" s="11">
        <f t="shared" si="10"/>
        <v>-33.367007543028755</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-33.143408471018518</v>
      </c>
      <c r="E110" s="11">
        <f>A110-'Mastercurve bestimmen'!$B$2</f>
        <v>-105</v>
      </c>
      <c r="F110" s="11">
        <f t="shared" si="10"/>
        <v>-33.143408471018518</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-32.909378297001197</v>
      </c>
      <c r="E111" s="11">
        <f>A111-'Mastercurve bestimmen'!$B$2</f>
        <v>-104</v>
      </c>
      <c r="F111" s="11">
        <f t="shared" si="10"/>
        <v>-32.909378297001197</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-32.665529761615332</v>
      </c>
      <c r="E112" s="11">
        <f>A112-'Mastercurve bestimmen'!$B$2</f>
        <v>-103</v>
      </c>
      <c r="F112" s="11">
        <f t="shared" si="10"/>
        <v>-32.665529761615332</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-32.412475605499502</v>
      </c>
      <c r="E113" s="11">
        <f>A113-'Mastercurve bestimmen'!$B$2</f>
        <v>-102</v>
      </c>
      <c r="F113" s="11">
        <f t="shared" si="10"/>
        <v>-32.412475605499502</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-32.150828569292237</v>
      </c>
      <c r="E114" s="11">
        <f>A114-'Mastercurve bestimmen'!$B$2</f>
        <v>-101</v>
      </c>
      <c r="F114" s="11">
        <f t="shared" si="10"/>
        <v>-32.150828569292237</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-31.881201393632097</v>
      </c>
      <c r="E115" s="11">
        <f>A115-'Mastercurve bestimmen'!$B$2</f>
        <v>-100</v>
      </c>
      <c r="F115" s="11">
        <f t="shared" si="10"/>
        <v>-31.881201393632097</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-31.604206819157636</v>
      </c>
      <c r="E116" s="11">
        <f>A116-'Mastercurve bestimmen'!$B$2</f>
        <v>-99</v>
      </c>
      <c r="F116" s="11">
        <f t="shared" si="10"/>
        <v>-31.604206819157636</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-31.320457586507409</v>
      </c>
      <c r="E117" s="11">
        <f>A117-'Mastercurve bestimmen'!$B$2</f>
        <v>-98</v>
      </c>
      <c r="F117" s="11">
        <f t="shared" si="10"/>
        <v>-31.320457586507409</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-31.030566436319958</v>
      </c>
      <c r="E118" s="11">
        <f>A118-'Mastercurve bestimmen'!$B$2</f>
        <v>-97</v>
      </c>
      <c r="F118" s="11">
        <f t="shared" si="10"/>
        <v>-31.030566436319958</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-30.735146109233842</v>
      </c>
      <c r="E119" s="11">
        <f>A119-'Mastercurve bestimmen'!$B$2</f>
        <v>-96</v>
      </c>
      <c r="F119" s="11">
        <f t="shared" si="10"/>
        <v>-30.735146109233842</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-30.434809345887615</v>
      </c>
      <c r="E120" s="11">
        <f>A120-'Mastercurve bestimmen'!$B$2</f>
        <v>-95</v>
      </c>
      <c r="F120" s="11">
        <f t="shared" si="10"/>
        <v>-30.434809345887615</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-30.130168886919826</v>
      </c>
      <c r="E121" s="11">
        <f>A121-'Mastercurve bestimmen'!$B$2</f>
        <v>-94</v>
      </c>
      <c r="F121" s="11">
        <f t="shared" si="10"/>
        <v>-30.130168886919826</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-29.82183747296903</v>
      </c>
      <c r="E122" s="11">
        <f>A122-'Mastercurve bestimmen'!$B$2</f>
        <v>-93</v>
      </c>
      <c r="F122" s="11">
        <f t="shared" si="10"/>
        <v>-29.82183747296903</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-29.510427844673778</v>
      </c>
      <c r="E123" s="11">
        <f>A123-'Mastercurve bestimmen'!$B$2</f>
        <v>-92</v>
      </c>
      <c r="F123" s="11">
        <f t="shared" si="10"/>
        <v>-29.510427844673778</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-29.196552742672623</v>
      </c>
      <c r="E124" s="11">
        <f>A124-'Mastercurve bestimmen'!$B$2</f>
        <v>-91</v>
      </c>
      <c r="F124" s="11">
        <f t="shared" si="10"/>
        <v>-29.196552742672623</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-28.880824907604115</v>
      </c>
      <c r="E125" s="11">
        <f>A125-'Mastercurve bestimmen'!$B$2</f>
        <v>-90</v>
      </c>
      <c r="F125" s="11">
        <f t="shared" si="10"/>
        <v>-28.880824907604115</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-28.563857080106814</v>
      </c>
      <c r="E126" s="11">
        <f>A126-'Mastercurve bestimmen'!$B$2</f>
        <v>-89</v>
      </c>
      <c r="F126" s="11">
        <f t="shared" si="10"/>
        <v>-28.563857080106814</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-28.246262000819257</v>
      </c>
      <c r="E127" s="11">
        <f>A127-'Mastercurve bestimmen'!$B$2</f>
        <v>-88</v>
      </c>
      <c r="F127" s="11">
        <f t="shared" si="10"/>
        <v>-28.246262000819257</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-27.928652410380018</v>
      </c>
      <c r="E128" s="11">
        <f>A128-'Mastercurve bestimmen'!$B$2</f>
        <v>-87</v>
      </c>
      <c r="F128" s="11">
        <f t="shared" si="10"/>
        <v>-27.928652410380018</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-27.611641049427632</v>
      </c>
      <c r="E129" s="11">
        <f>A129-'Mastercurve bestimmen'!$B$2</f>
        <v>-86</v>
      </c>
      <c r="F129" s="11">
        <f t="shared" si="10"/>
        <v>-27.611641049427632</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-27.295840658600653</v>
      </c>
      <c r="E130" s="11">
        <f>A130-'Mastercurve bestimmen'!$B$2</f>
        <v>-85</v>
      </c>
      <c r="F130" s="11">
        <f t="shared" si="10"/>
        <v>-27.295840658600653</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-26.981863978537646</v>
      </c>
      <c r="E131" s="11">
        <f>A131-'Mastercurve bestimmen'!$B$2</f>
        <v>-84</v>
      </c>
      <c r="F131" s="11">
        <f t="shared" si="10"/>
        <v>-26.981863978537646</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-26.670323749877152</v>
      </c>
      <c r="E132" s="11">
        <f>A132-'Mastercurve bestimmen'!$B$2</f>
        <v>-83</v>
      </c>
      <c r="F132" s="11">
        <f t="shared" si="10"/>
        <v>-26.670323749877152</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-26.361832713257723</v>
      </c>
      <c r="E133" s="11">
        <f>A133-'Mastercurve bestimmen'!$B$2</f>
        <v>-82</v>
      </c>
      <c r="F133" s="11">
        <f t="shared" si="10"/>
        <v>-26.361832713257723</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-26.057003609317917</v>
      </c>
      <c r="E134" s="11">
        <f>A134-'Mastercurve bestimmen'!$B$2</f>
        <v>-81</v>
      </c>
      <c r="F134" s="11">
        <f t="shared" si="10"/>
        <v>-26.057003609317917</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-25.756449178696286</v>
      </c>
      <c r="E135" s="11">
        <f>A135-'Mastercurve bestimmen'!$B$2</f>
        <v>-80</v>
      </c>
      <c r="F135" s="11">
        <f t="shared" si="10"/>
        <v>-25.756449178696286</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-25.460640083762978</v>
      </c>
      <c r="E136" s="11">
        <f>A136-'Mastercurve bestimmen'!$B$2</f>
        <v>-79</v>
      </c>
      <c r="F136" s="11">
        <f t="shared" si="10"/>
        <v>-25.460640083762978</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-25.169478673814549</v>
      </c>
      <c r="E137" s="11">
        <f>A137-'Mastercurve bestimmen'!$B$2</f>
        <v>-78</v>
      </c>
      <c r="F137" s="11">
        <f t="shared" si="10"/>
        <v>-25.169478673814549</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-24.882725219879159</v>
      </c>
      <c r="E138" s="11">
        <f>A138-'Mastercurve bestimmen'!$B$2</f>
        <v>-77</v>
      </c>
      <c r="F138" s="11">
        <f t="shared" si="10"/>
        <v>-24.882725219879159</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-24.60013999298495</v>
      </c>
      <c r="E139" s="11">
        <f>A139-'Mastercurve bestimmen'!$B$2</f>
        <v>-76</v>
      </c>
      <c r="F139" s="11">
        <f t="shared" si="10"/>
        <v>-24.60013999298495</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-24.321483264160076</v>
      </c>
      <c r="E140" s="11">
        <f>A140-'Mastercurve bestimmen'!$B$2</f>
        <v>-75</v>
      </c>
      <c r="F140" s="11">
        <f t="shared" si="10"/>
        <v>-24.321483264160076</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-24.046515304432702</v>
      </c>
      <c r="E141" s="11">
        <f>A141-'Mastercurve bestimmen'!$B$2</f>
        <v>-74</v>
      </c>
      <c r="F141" s="11">
        <f t="shared" si="10"/>
        <v>-24.046515304432702</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-23.774996384830974</v>
      </c>
      <c r="E142" s="11">
        <f>A142-'Mastercurve bestimmen'!$B$2</f>
        <v>-73</v>
      </c>
      <c r="F142" s="11">
        <f t="shared" si="10"/>
        <v>-23.774996384830974</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-23.506686776383038</v>
      </c>
      <c r="E143" s="11">
        <f>A143-'Mastercurve bestimmen'!$B$2</f>
        <v>-72</v>
      </c>
      <c r="F143" s="11">
        <f t="shared" si="10"/>
        <v>-23.506686776383038</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-23.24134675011706</v>
      </c>
      <c r="E144" s="11">
        <f>A144-'Mastercurve bestimmen'!$B$2</f>
        <v>-71</v>
      </c>
      <c r="F144" s="11">
        <f t="shared" ref="F144:F207" si="15">B144</f>
        <v>-23.24134675011706</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-22.978736577061191</v>
      </c>
      <c r="E145" s="11">
        <f>A145-'Mastercurve bestimmen'!$B$2</f>
        <v>-70</v>
      </c>
      <c r="F145" s="11">
        <f t="shared" si="15"/>
        <v>-22.978736577061191</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-22.718616528243583</v>
      </c>
      <c r="E146" s="11">
        <f>A146-'Mastercurve bestimmen'!$B$2</f>
        <v>-69</v>
      </c>
      <c r="F146" s="11">
        <f t="shared" si="15"/>
        <v>-22.718616528243583</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-22.460746874692383</v>
      </c>
      <c r="E147" s="11">
        <f>A147-'Mastercurve bestimmen'!$B$2</f>
        <v>-68</v>
      </c>
      <c r="F147" s="11">
        <f t="shared" si="15"/>
        <v>-22.460746874692383</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-22.204887887435753</v>
      </c>
      <c r="E148" s="11">
        <f>A148-'Mastercurve bestimmen'!$B$2</f>
        <v>-67</v>
      </c>
      <c r="F148" s="11">
        <f t="shared" si="15"/>
        <v>-22.204887887435753</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-21.950799837501847</v>
      </c>
      <c r="E149" s="11">
        <f>A149-'Mastercurve bestimmen'!$B$2</f>
        <v>-66</v>
      </c>
      <c r="F149" s="11">
        <f t="shared" si="15"/>
        <v>-21.950799837501847</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-21.698242995918811</v>
      </c>
      <c r="E150" s="11">
        <f>A150-'Mastercurve bestimmen'!$B$2</f>
        <v>-65</v>
      </c>
      <c r="F150" s="11">
        <f t="shared" si="15"/>
        <v>-21.698242995918811</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-21.446977633714802</v>
      </c>
      <c r="E151" s="11">
        <f>A151-'Mastercurve bestimmen'!$B$2</f>
        <v>-64</v>
      </c>
      <c r="F151" s="11">
        <f t="shared" si="15"/>
        <v>-21.446977633714802</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-21.196764021917978</v>
      </c>
      <c r="E152" s="11">
        <f>A152-'Mastercurve bestimmen'!$B$2</f>
        <v>-63</v>
      </c>
      <c r="F152" s="11">
        <f t="shared" si="15"/>
        <v>-21.196764021917978</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-20.947362431556485</v>
      </c>
      <c r="E153" s="11">
        <f>A153-'Mastercurve bestimmen'!$B$2</f>
        <v>-62</v>
      </c>
      <c r="F153" s="11">
        <f t="shared" si="15"/>
        <v>-20.947362431556485</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-20.698533133658483</v>
      </c>
      <c r="E154" s="11">
        <f>A154-'Mastercurve bestimmen'!$B$2</f>
        <v>-61</v>
      </c>
      <c r="F154" s="11">
        <f t="shared" si="15"/>
        <v>-20.698533133658483</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-20.45003639925212</v>
      </c>
      <c r="E155" s="11">
        <f>A155-'Mastercurve bestimmen'!$B$2</f>
        <v>-60</v>
      </c>
      <c r="F155" s="11">
        <f t="shared" si="15"/>
        <v>-20.45003639925212</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-20.201632499365552</v>
      </c>
      <c r="E156" s="11">
        <f>A156-'Mastercurve bestimmen'!$B$2</f>
        <v>-59</v>
      </c>
      <c r="F156" s="11">
        <f t="shared" si="15"/>
        <v>-20.201632499365552</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-19.953081705026932</v>
      </c>
      <c r="E157" s="11">
        <f>A157-'Mastercurve bestimmen'!$B$2</f>
        <v>-58</v>
      </c>
      <c r="F157" s="11">
        <f t="shared" si="15"/>
        <v>-19.953081705026932</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-19.704144287264413</v>
      </c>
      <c r="E158" s="11">
        <f>A158-'Mastercurve bestimmen'!$B$2</f>
        <v>-57</v>
      </c>
      <c r="F158" s="11">
        <f t="shared" si="15"/>
        <v>-19.704144287264413</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-19.454580517106152</v>
      </c>
      <c r="E159" s="11">
        <f>A159-'Mastercurve bestimmen'!$B$2</f>
        <v>-56</v>
      </c>
      <c r="F159" s="11">
        <f t="shared" si="15"/>
        <v>-19.454580517106152</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-19.2041506655803</v>
      </c>
      <c r="E160" s="11">
        <f>A160-'Mastercurve bestimmen'!$B$2</f>
        <v>-55</v>
      </c>
      <c r="F160" s="11">
        <f t="shared" si="15"/>
        <v>-19.2041506655803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-18.952615003715007</v>
      </c>
      <c r="E161" s="11">
        <f>A161-'Mastercurve bestimmen'!$B$2</f>
        <v>-54</v>
      </c>
      <c r="F161" s="11">
        <f t="shared" si="15"/>
        <v>-18.952615003715007</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-18.699733802538432</v>
      </c>
      <c r="E162" s="11">
        <f>A162-'Mastercurve bestimmen'!$B$2</f>
        <v>-53</v>
      </c>
      <c r="F162" s="11">
        <f t="shared" si="15"/>
        <v>-18.699733802538432</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-18.445267333078725</v>
      </c>
      <c r="E163" s="11">
        <f>A163-'Mastercurve bestimmen'!$B$2</f>
        <v>-52</v>
      </c>
      <c r="F163" s="11">
        <f t="shared" si="15"/>
        <v>-18.445267333078725</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-18.188975866364039</v>
      </c>
      <c r="E164" s="11">
        <f>A164-'Mastercurve bestimmen'!$B$2</f>
        <v>-51</v>
      </c>
      <c r="F164" s="11">
        <f t="shared" si="15"/>
        <v>-18.188975866364039</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-17.93061967342253</v>
      </c>
      <c r="E165" s="11">
        <f>A165-'Mastercurve bestimmen'!$B$2</f>
        <v>-50</v>
      </c>
      <c r="F165" s="11">
        <f t="shared" si="15"/>
        <v>-17.93061967342253</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-17.669959025282353</v>
      </c>
      <c r="E166" s="11">
        <f>A166-'Mastercurve bestimmen'!$B$2</f>
        <v>-49</v>
      </c>
      <c r="F166" s="11">
        <f t="shared" si="15"/>
        <v>-17.669959025282353</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-17.406754192971658</v>
      </c>
      <c r="E167" s="11">
        <f>A167-'Mastercurve bestimmen'!$B$2</f>
        <v>-48</v>
      </c>
      <c r="F167" s="11">
        <f t="shared" si="15"/>
        <v>-17.406754192971658</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-17.140765447518596</v>
      </c>
      <c r="E168" s="11">
        <f>A168-'Mastercurve bestimmen'!$B$2</f>
        <v>-47</v>
      </c>
      <c r="F168" s="11">
        <f t="shared" si="15"/>
        <v>-17.140765447518596</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-16.871753059951327</v>
      </c>
      <c r="E169" s="11">
        <f>A169-'Mastercurve bestimmen'!$B$2</f>
        <v>-46</v>
      </c>
      <c r="F169" s="11">
        <f t="shared" si="15"/>
        <v>-16.871753059951327</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-16.599477301298002</v>
      </c>
      <c r="E170" s="11">
        <f>A170-'Mastercurve bestimmen'!$B$2</f>
        <v>-45</v>
      </c>
      <c r="F170" s="11">
        <f t="shared" si="15"/>
        <v>-16.599477301298002</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-16.323698442586771</v>
      </c>
      <c r="E171" s="11">
        <f>A171-'Mastercurve bestimmen'!$B$2</f>
        <v>-44</v>
      </c>
      <c r="F171" s="11">
        <f t="shared" si="15"/>
        <v>-16.323698442586771</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-16.044176754845793</v>
      </c>
      <c r="E172" s="11">
        <f>A172-'Mastercurve bestimmen'!$B$2</f>
        <v>-43</v>
      </c>
      <c r="F172" s="11">
        <f t="shared" si="15"/>
        <v>-16.044176754845793</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-15.760672509103218</v>
      </c>
      <c r="E173" s="11">
        <f>A173-'Mastercurve bestimmen'!$B$2</f>
        <v>-42</v>
      </c>
      <c r="F173" s="11">
        <f t="shared" si="15"/>
        <v>-15.760672509103218</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-15.472945976387198</v>
      </c>
      <c r="E174" s="11">
        <f>A174-'Mastercurve bestimmen'!$B$2</f>
        <v>-41</v>
      </c>
      <c r="F174" s="11">
        <f t="shared" si="15"/>
        <v>-15.472945976387198</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-15.18075742772589</v>
      </c>
      <c r="E175" s="11">
        <f>A175-'Mastercurve bestimmen'!$B$2</f>
        <v>-40</v>
      </c>
      <c r="F175" s="11">
        <f t="shared" si="15"/>
        <v>-15.18075742772589</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-14.883867134147447</v>
      </c>
      <c r="E176" s="11">
        <f>A176-'Mastercurve bestimmen'!$B$2</f>
        <v>-39</v>
      </c>
      <c r="F176" s="11">
        <f t="shared" si="15"/>
        <v>-14.883867134147447</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-14.582035366680021</v>
      </c>
      <c r="E177" s="11">
        <f>A177-'Mastercurve bestimmen'!$B$2</f>
        <v>-38</v>
      </c>
      <c r="F177" s="11">
        <f t="shared" si="15"/>
        <v>-14.582035366680021</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-14.275022396351766</v>
      </c>
      <c r="E178" s="11">
        <f>A178-'Mastercurve bestimmen'!$B$2</f>
        <v>-37</v>
      </c>
      <c r="F178" s="11">
        <f t="shared" si="15"/>
        <v>-14.275022396351766</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-13.962588494190836</v>
      </c>
      <c r="E179" s="11">
        <f>A179-'Mastercurve bestimmen'!$B$2</f>
        <v>-36</v>
      </c>
      <c r="F179" s="11">
        <f t="shared" si="15"/>
        <v>-13.962588494190836</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-13.644493931225382</v>
      </c>
      <c r="E180" s="11">
        <f>A180-'Mastercurve bestimmen'!$B$2</f>
        <v>-35</v>
      </c>
      <c r="F180" s="11">
        <f t="shared" si="15"/>
        <v>-13.644493931225382</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-13.320567030406375</v>
      </c>
      <c r="E181" s="11">
        <f>A181-'Mastercurve bestimmen'!$B$2</f>
        <v>-34</v>
      </c>
      <c r="F181" s="11">
        <f t="shared" si="15"/>
        <v>-13.320567030406375</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-12.990908322376038</v>
      </c>
      <c r="E182" s="11">
        <f>A182-'Mastercurve bestimmen'!$B$2</f>
        <v>-33</v>
      </c>
      <c r="F182" s="11">
        <f t="shared" si="15"/>
        <v>-12.990908322376038</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-12.655686389699412</v>
      </c>
      <c r="E183" s="11">
        <f>A183-'Mastercurve bestimmen'!$B$2</f>
        <v>-32</v>
      </c>
      <c r="F183" s="11">
        <f t="shared" si="15"/>
        <v>-12.655686389699412</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-12.315069814941534</v>
      </c>
      <c r="E184" s="11">
        <f>A184-'Mastercurve bestimmen'!$B$2</f>
        <v>-31</v>
      </c>
      <c r="F184" s="11">
        <f t="shared" si="15"/>
        <v>-12.315069814941534</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-11.969227180667444</v>
      </c>
      <c r="E185" s="11">
        <f>A185-'Mastercurve bestimmen'!$B$2</f>
        <v>-30</v>
      </c>
      <c r="F185" s="11">
        <f t="shared" si="15"/>
        <v>-11.969227180667444</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-11.618327069442177</v>
      </c>
      <c r="E186" s="11">
        <f>A186-'Mastercurve bestimmen'!$B$2</f>
        <v>-29</v>
      </c>
      <c r="F186" s="11">
        <f t="shared" si="15"/>
        <v>-11.618327069442177</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-11.26253806383078</v>
      </c>
      <c r="E187" s="11">
        <f>A187-'Mastercurve bestimmen'!$B$2</f>
        <v>-28</v>
      </c>
      <c r="F187" s="11">
        <f t="shared" si="15"/>
        <v>-11.26253806383078</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-10.902028746398289</v>
      </c>
      <c r="E188" s="11">
        <f>A188-'Mastercurve bestimmen'!$B$2</f>
        <v>-27</v>
      </c>
      <c r="F188" s="11">
        <f t="shared" si="15"/>
        <v>-10.902028746398289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-10.53696769970974</v>
      </c>
      <c r="E189" s="11">
        <f>A189-'Mastercurve bestimmen'!$B$2</f>
        <v>-26</v>
      </c>
      <c r="F189" s="11">
        <f t="shared" si="15"/>
        <v>-10.53696769970974</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-10.167523506330173</v>
      </c>
      <c r="E190" s="11">
        <f>A190-'Mastercurve bestimmen'!$B$2</f>
        <v>-25</v>
      </c>
      <c r="F190" s="11">
        <f t="shared" si="15"/>
        <v>-10.167523506330173</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-9.7938647488246318</v>
      </c>
      <c r="E191" s="11">
        <f>A191-'Mastercurve bestimmen'!$B$2</f>
        <v>-24</v>
      </c>
      <c r="F191" s="11">
        <f t="shared" si="15"/>
        <v>-9.7938647488246318</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-9.4161600097581513</v>
      </c>
      <c r="E192" s="11">
        <f>A192-'Mastercurve bestimmen'!$B$2</f>
        <v>-23</v>
      </c>
      <c r="F192" s="11">
        <f t="shared" si="15"/>
        <v>-9.4161600097581513</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-9.0345778716957703</v>
      </c>
      <c r="E193" s="11">
        <f>A193-'Mastercurve bestimmen'!$B$2</f>
        <v>-22</v>
      </c>
      <c r="F193" s="11">
        <f t="shared" si="15"/>
        <v>-9.0345778716957703</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-8.6492869172025291</v>
      </c>
      <c r="E194" s="11">
        <f>A194-'Mastercurve bestimmen'!$B$2</f>
        <v>-21</v>
      </c>
      <c r="F194" s="11">
        <f t="shared" si="15"/>
        <v>-8.6492869172025291</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-8.2604557288434659</v>
      </c>
      <c r="E195" s="11">
        <f>A195-'Mastercurve bestimmen'!$B$2</f>
        <v>-20</v>
      </c>
      <c r="F195" s="11">
        <f t="shared" si="15"/>
        <v>-8.2604557288434659</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-7.8682528891836228</v>
      </c>
      <c r="E196" s="11">
        <f>A196-'Mastercurve bestimmen'!$B$2</f>
        <v>-19</v>
      </c>
      <c r="F196" s="11">
        <f t="shared" si="15"/>
        <v>-7.8682528891836228</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-7.4728469807880362</v>
      </c>
      <c r="E197" s="11">
        <f>A197-'Mastercurve bestimmen'!$B$2</f>
        <v>-18</v>
      </c>
      <c r="F197" s="11">
        <f t="shared" si="15"/>
        <v>-7.4728469807880362</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-7.0744065862217447</v>
      </c>
      <c r="E198" s="11">
        <f>A198-'Mastercurve bestimmen'!$B$2</f>
        <v>-17</v>
      </c>
      <c r="F198" s="11">
        <f t="shared" si="15"/>
        <v>-7.0744065862217447</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-6.6731002880497892</v>
      </c>
      <c r="E199" s="11">
        <f>A199-'Mastercurve bestimmen'!$B$2</f>
        <v>-16</v>
      </c>
      <c r="F199" s="11">
        <f t="shared" si="15"/>
        <v>-6.6731002880497892</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-6.2690966688372081</v>
      </c>
      <c r="E200" s="11">
        <f>A200-'Mastercurve bestimmen'!$B$2</f>
        <v>-15</v>
      </c>
      <c r="F200" s="11">
        <f t="shared" si="15"/>
        <v>-6.2690966688372081</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-5.8625643111490398</v>
      </c>
      <c r="E201" s="11">
        <f>A201-'Mastercurve bestimmen'!$B$2</f>
        <v>-14</v>
      </c>
      <c r="F201" s="11">
        <f t="shared" si="15"/>
        <v>-5.8625643111490398</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-5.4536717975503253</v>
      </c>
      <c r="E202" s="11">
        <f>A202-'Mastercurve bestimmen'!$B$2</f>
        <v>-13</v>
      </c>
      <c r="F202" s="11">
        <f t="shared" si="15"/>
        <v>-5.4536717975503253</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-5.0425877106061012</v>
      </c>
      <c r="E203" s="11">
        <f>A203-'Mastercurve bestimmen'!$B$2</f>
        <v>-12</v>
      </c>
      <c r="F203" s="11">
        <f t="shared" si="15"/>
        <v>-5.0425877106061012</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-4.6294806328814087</v>
      </c>
      <c r="E204" s="11">
        <f>A204-'Mastercurve bestimmen'!$B$2</f>
        <v>-11</v>
      </c>
      <c r="F204" s="11">
        <f t="shared" si="15"/>
        <v>-4.6294806328814087</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-4.214519146941285</v>
      </c>
      <c r="E205" s="11">
        <f>A205-'Mastercurve bestimmen'!$B$2</f>
        <v>-10</v>
      </c>
      <c r="F205" s="11">
        <f t="shared" si="15"/>
        <v>-4.214519146941285</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-3.797871835350771</v>
      </c>
      <c r="E206" s="11">
        <f>A206-'Mastercurve bestimmen'!$B$2</f>
        <v>-9</v>
      </c>
      <c r="F206" s="11">
        <f t="shared" si="15"/>
        <v>-3.797871835350771</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-3.3797072806749053</v>
      </c>
      <c r="E207" s="11">
        <f>A207-'Mastercurve bestimmen'!$B$2</f>
        <v>-8</v>
      </c>
      <c r="F207" s="11">
        <f t="shared" si="15"/>
        <v>-3.3797072806749053</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-2.9601940654787264</v>
      </c>
      <c r="E208" s="11">
        <f>A208-'Mastercurve bestimmen'!$B$2</f>
        <v>-7</v>
      </c>
      <c r="F208" s="11">
        <f t="shared" ref="F208:F215" si="21">B208</f>
        <v>-2.9601940654787264</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-2.5395007723272736</v>
      </c>
      <c r="E209" s="11">
        <f>A209-'Mastercurve bestimmen'!$B$2</f>
        <v>-6</v>
      </c>
      <c r="F209" s="11">
        <f t="shared" si="21"/>
        <v>-2.5395007723272736</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-2.1177959837855864</v>
      </c>
      <c r="E210" s="11">
        <f>A210-'Mastercurve bestimmen'!$B$2</f>
        <v>-5</v>
      </c>
      <c r="F210" s="11">
        <f t="shared" si="21"/>
        <v>-2.1177959837855864</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-1.6952482824187038</v>
      </c>
      <c r="E211" s="11">
        <f>A211-'Mastercurve bestimmen'!$B$2</f>
        <v>-4</v>
      </c>
      <c r="F211" s="11">
        <f t="shared" si="21"/>
        <v>-1.6952482824187038</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-1.2720262507916646</v>
      </c>
      <c r="E212" s="11">
        <f>A212-'Mastercurve bestimmen'!$B$2</f>
        <v>-3</v>
      </c>
      <c r="F212" s="11">
        <f t="shared" si="21"/>
        <v>-1.2720262507916646</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-0.84829847146950832</v>
      </c>
      <c r="E213" s="11">
        <f>A213-'Mastercurve bestimmen'!$B$2</f>
        <v>-2</v>
      </c>
      <c r="F213" s="11">
        <f t="shared" si="21"/>
        <v>-0.84829847146950832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-0.42423352701727374</v>
      </c>
      <c r="E214" s="11">
        <f>A214-'Mastercurve bestimmen'!$B$2</f>
        <v>-1</v>
      </c>
      <c r="F214" s="11">
        <f t="shared" si="21"/>
        <v>-0.42423352701727374</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0.24196150034132446</v>
      </c>
      <c r="J217" s="98">
        <v>-2.4258522553794244E-2</v>
      </c>
      <c r="K217" s="98">
        <v>-1.1216599433334481E-3</v>
      </c>
      <c r="L217" s="98">
        <v>-2.2602374700962184E-5</v>
      </c>
      <c r="M217" s="98">
        <v>-2.3888217309517148E-7</v>
      </c>
      <c r="N217" s="98">
        <v>-1.3724263213237474E-9</v>
      </c>
      <c r="O217" s="98">
        <v>-4.0557941151289553E-12</v>
      </c>
      <c r="P217" s="98">
        <v>-4.8287991949733681E-15</v>
      </c>
    </row>
    <row r="218" spans="1:16" x14ac:dyDescent="0.25">
      <c r="G218" s="11"/>
      <c r="H218" s="11">
        <v>0</v>
      </c>
      <c r="I218" s="11">
        <v>1.7923797565606268E-2</v>
      </c>
      <c r="J218" s="11">
        <v>1.7775783126777144E-3</v>
      </c>
      <c r="K218" s="3">
        <v>6.7446423571617225E-5</v>
      </c>
      <c r="L218" s="3">
        <v>1.2857562957638122E-6</v>
      </c>
      <c r="M218" s="3">
        <v>1.3536563800099557E-8</v>
      </c>
      <c r="N218" s="3">
        <v>7.985899863584509E-11</v>
      </c>
      <c r="O218" s="11">
        <v>2.4723112774126367E-13</v>
      </c>
      <c r="P218" s="11">
        <v>3.1259023242361586E-16</v>
      </c>
    </row>
    <row r="219" spans="1:16" x14ac:dyDescent="0.25">
      <c r="G219" s="11"/>
      <c r="H219" s="11">
        <v>0.99994412397443444</v>
      </c>
      <c r="I219" s="11">
        <v>0.24476678965254975</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-49.803616838100425</v>
      </c>
      <c r="G222">
        <f>F15</f>
        <v>-50</v>
      </c>
    </row>
    <row r="223" spans="1:16" x14ac:dyDescent="0.25">
      <c r="E223" s="11">
        <f t="shared" ref="E223:E286" si="25">E16</f>
        <v>-199</v>
      </c>
      <c r="F223" s="11">
        <f t="shared" ref="F223:F286" si="26">$H$217*0+E223*$I$217+E223^2*$J$217+E223^3*$K$217+E223^4*$L$217+E223^5*$M$217+E223^6*$N$217+E223^7*$O$217+E223^8*$P$217</f>
        <v>-49.708393993061691</v>
      </c>
      <c r="G223" s="11">
        <f t="shared" ref="G223:G286" si="27">F16</f>
        <v>-49.861324901236465</v>
      </c>
    </row>
    <row r="224" spans="1:16" x14ac:dyDescent="0.25">
      <c r="E224" s="11">
        <f t="shared" si="25"/>
        <v>-198</v>
      </c>
      <c r="F224" s="11">
        <f t="shared" si="26"/>
        <v>-49.614444536760857</v>
      </c>
      <c r="G224" s="11">
        <f t="shared" si="27"/>
        <v>-49.72237143020115</v>
      </c>
    </row>
    <row r="225" spans="5:7" x14ac:dyDescent="0.25">
      <c r="E225" s="11">
        <f t="shared" si="25"/>
        <v>-197</v>
      </c>
      <c r="F225" s="11">
        <f t="shared" si="26"/>
        <v>-49.519770879074713</v>
      </c>
      <c r="G225" s="11">
        <f t="shared" si="27"/>
        <v>-49.582861214622319</v>
      </c>
    </row>
    <row r="226" spans="5:7" x14ac:dyDescent="0.25">
      <c r="E226" s="11">
        <f t="shared" si="25"/>
        <v>-196</v>
      </c>
      <c r="F226" s="11">
        <f t="shared" si="26"/>
        <v>-49.422634747470511</v>
      </c>
      <c r="G226" s="11">
        <f t="shared" si="27"/>
        <v>-49.442515882228186</v>
      </c>
    </row>
    <row r="227" spans="5:7" x14ac:dyDescent="0.25">
      <c r="E227" s="11">
        <f t="shared" si="25"/>
        <v>-195</v>
      </c>
      <c r="F227" s="11">
        <f t="shared" si="26"/>
        <v>-49.321539374792337</v>
      </c>
      <c r="G227" s="11">
        <f t="shared" si="27"/>
        <v>-49.301057060746992</v>
      </c>
    </row>
    <row r="228" spans="5:7" x14ac:dyDescent="0.25">
      <c r="E228" s="11">
        <f t="shared" si="25"/>
        <v>-194</v>
      </c>
      <c r="F228" s="11">
        <f t="shared" si="26"/>
        <v>-49.215212426490325</v>
      </c>
      <c r="G228" s="11">
        <f t="shared" si="27"/>
        <v>-49.158206377906971</v>
      </c>
    </row>
    <row r="229" spans="5:7" x14ac:dyDescent="0.25">
      <c r="E229" s="11">
        <f t="shared" si="25"/>
        <v>-193</v>
      </c>
      <c r="F229" s="11">
        <f t="shared" si="26"/>
        <v>-49.102589649099173</v>
      </c>
      <c r="G229" s="11">
        <f t="shared" si="27"/>
        <v>-49.01368546143636</v>
      </c>
    </row>
    <row r="230" spans="5:7" x14ac:dyDescent="0.25">
      <c r="E230" s="11">
        <f t="shared" si="25"/>
        <v>-192</v>
      </c>
      <c r="F230" s="11">
        <f t="shared" si="26"/>
        <v>-48.982799222727408</v>
      </c>
      <c r="G230" s="11">
        <f t="shared" si="27"/>
        <v>-48.867215939063392</v>
      </c>
    </row>
    <row r="231" spans="5:7" x14ac:dyDescent="0.25">
      <c r="E231" s="11">
        <f t="shared" si="25"/>
        <v>-191</v>
      </c>
      <c r="F231" s="11">
        <f t="shared" si="26"/>
        <v>-48.855146799860449</v>
      </c>
      <c r="G231" s="11">
        <f t="shared" si="27"/>
        <v>-48.718519438516303</v>
      </c>
    </row>
    <row r="232" spans="5:7" x14ac:dyDescent="0.25">
      <c r="E232" s="11">
        <f t="shared" si="25"/>
        <v>-190</v>
      </c>
      <c r="F232" s="11">
        <f t="shared" si="26"/>
        <v>-48.719101213482645</v>
      </c>
      <c r="G232" s="11">
        <f t="shared" si="27"/>
        <v>-48.567317587523327</v>
      </c>
    </row>
    <row r="233" spans="5:7" x14ac:dyDescent="0.25">
      <c r="E233" s="11">
        <f t="shared" si="25"/>
        <v>-189</v>
      </c>
      <c r="F233" s="11">
        <f t="shared" si="26"/>
        <v>-48.574280837106926</v>
      </c>
      <c r="G233" s="11">
        <f t="shared" si="27"/>
        <v>-48.413332013812699</v>
      </c>
    </row>
    <row r="234" spans="5:7" x14ac:dyDescent="0.25">
      <c r="E234" s="11">
        <f t="shared" si="25"/>
        <v>-188</v>
      </c>
      <c r="F234" s="11">
        <f t="shared" si="26"/>
        <v>-48.420440580338436</v>
      </c>
      <c r="G234" s="11">
        <f t="shared" si="27"/>
        <v>-48.256284345112647</v>
      </c>
    </row>
    <row r="235" spans="5:7" x14ac:dyDescent="0.25">
      <c r="E235" s="11">
        <f t="shared" si="25"/>
        <v>-187</v>
      </c>
      <c r="F235" s="11">
        <f t="shared" si="26"/>
        <v>-48.257459502990969</v>
      </c>
      <c r="G235" s="11">
        <f t="shared" si="27"/>
        <v>-48.095896209151419</v>
      </c>
    </row>
    <row r="236" spans="5:7" x14ac:dyDescent="0.25">
      <c r="E236" s="11">
        <f t="shared" si="25"/>
        <v>-186</v>
      </c>
      <c r="F236" s="11">
        <f t="shared" si="26"/>
        <v>-48.085329031368929</v>
      </c>
      <c r="G236" s="11">
        <f t="shared" si="27"/>
        <v>-47.931889233657245</v>
      </c>
    </row>
    <row r="237" spans="5:7" x14ac:dyDescent="0.25">
      <c r="E237" s="11">
        <f t="shared" si="25"/>
        <v>-185</v>
      </c>
      <c r="F237" s="11">
        <f t="shared" si="26"/>
        <v>-47.904141760541279</v>
      </c>
      <c r="G237" s="11">
        <f t="shared" si="27"/>
        <v>-47.76398504635835</v>
      </c>
    </row>
    <row r="238" spans="5:7" x14ac:dyDescent="0.25">
      <c r="E238" s="11">
        <f t="shared" si="25"/>
        <v>-184</v>
      </c>
      <c r="F238" s="11">
        <f t="shared" si="26"/>
        <v>-47.714080826478494</v>
      </c>
      <c r="G238" s="11">
        <f t="shared" si="27"/>
        <v>-47.591905274982977</v>
      </c>
    </row>
    <row r="239" spans="5:7" x14ac:dyDescent="0.25">
      <c r="E239" s="11">
        <f t="shared" si="25"/>
        <v>-183</v>
      </c>
      <c r="F239" s="11">
        <f t="shared" si="26"/>
        <v>-47.515409832161822</v>
      </c>
      <c r="G239" s="11">
        <f t="shared" si="27"/>
        <v>-47.415371547259369</v>
      </c>
    </row>
    <row r="240" spans="5:7" x14ac:dyDescent="0.25">
      <c r="E240" s="11">
        <f t="shared" si="25"/>
        <v>-182</v>
      </c>
      <c r="F240" s="11">
        <f t="shared" si="26"/>
        <v>-47.308463312084314</v>
      </c>
      <c r="G240" s="11">
        <f t="shared" si="27"/>
        <v>-47.234105490915738</v>
      </c>
    </row>
    <row r="241" spans="5:7" x14ac:dyDescent="0.25">
      <c r="E241" s="11">
        <f t="shared" si="25"/>
        <v>-181</v>
      </c>
      <c r="F241" s="11">
        <f t="shared" si="26"/>
        <v>-47.093637719519393</v>
      </c>
      <c r="G241" s="11">
        <f t="shared" si="27"/>
        <v>-47.047828733680348</v>
      </c>
    </row>
    <row r="242" spans="5:7" x14ac:dyDescent="0.25">
      <c r="E242" s="11">
        <f t="shared" si="25"/>
        <v>-180</v>
      </c>
      <c r="F242" s="11">
        <f t="shared" si="26"/>
        <v>-46.871382921433906</v>
      </c>
      <c r="G242" s="11">
        <f t="shared" si="27"/>
        <v>-46.856262903281404</v>
      </c>
    </row>
    <row r="243" spans="5:7" x14ac:dyDescent="0.25">
      <c r="E243" s="11">
        <f t="shared" si="25"/>
        <v>-179</v>
      </c>
      <c r="F243" s="11">
        <f t="shared" si="26"/>
        <v>-46.6421941858016</v>
      </c>
      <c r="G243" s="11">
        <f t="shared" si="27"/>
        <v>-46.659129627447172</v>
      </c>
    </row>
    <row r="244" spans="5:7" x14ac:dyDescent="0.25">
      <c r="E244" s="11">
        <f t="shared" si="25"/>
        <v>-178</v>
      </c>
      <c r="F244" s="11">
        <f t="shared" si="26"/>
        <v>-46.40660464654411</v>
      </c>
      <c r="G244" s="11">
        <f t="shared" si="27"/>
        <v>-46.456150533905856</v>
      </c>
    </row>
    <row r="245" spans="5:7" x14ac:dyDescent="0.25">
      <c r="E245" s="11">
        <f t="shared" si="25"/>
        <v>-177</v>
      </c>
      <c r="F245" s="11">
        <f t="shared" si="26"/>
        <v>-46.165178231290156</v>
      </c>
      <c r="G245" s="11">
        <f t="shared" si="27"/>
        <v>-46.247047250385705</v>
      </c>
    </row>
    <row r="246" spans="5:7" x14ac:dyDescent="0.25">
      <c r="E246" s="11">
        <f t="shared" si="25"/>
        <v>-176</v>
      </c>
      <c r="F246" s="11">
        <f t="shared" si="26"/>
        <v>-45.91850303758838</v>
      </c>
      <c r="G246" s="11">
        <f t="shared" si="27"/>
        <v>-46.031541404614963</v>
      </c>
    </row>
    <row r="247" spans="5:7" x14ac:dyDescent="0.25">
      <c r="E247" s="11">
        <f t="shared" si="25"/>
        <v>-175</v>
      </c>
      <c r="F247" s="11">
        <f t="shared" si="26"/>
        <v>-45.667185143110146</v>
      </c>
      <c r="G247" s="11">
        <f t="shared" si="27"/>
        <v>-45.809354624321848</v>
      </c>
    </row>
    <row r="248" spans="5:7" x14ac:dyDescent="0.25">
      <c r="E248" s="11">
        <f t="shared" si="25"/>
        <v>-174</v>
      </c>
      <c r="F248" s="11">
        <f t="shared" si="26"/>
        <v>-45.411842835732386</v>
      </c>
      <c r="G248" s="11">
        <f t="shared" si="27"/>
        <v>-45.580208537234604</v>
      </c>
    </row>
    <row r="249" spans="5:7" x14ac:dyDescent="0.25">
      <c r="E249" s="11">
        <f t="shared" si="25"/>
        <v>-173</v>
      </c>
      <c r="F249" s="11">
        <f t="shared" si="26"/>
        <v>-45.153101249817155</v>
      </c>
      <c r="G249" s="11">
        <f t="shared" si="27"/>
        <v>-45.343824771081465</v>
      </c>
    </row>
    <row r="250" spans="5:7" x14ac:dyDescent="0.25">
      <c r="E250" s="11">
        <f t="shared" si="25"/>
        <v>-172</v>
      </c>
      <c r="F250" s="11">
        <f t="shared" si="26"/>
        <v>-44.891587394559792</v>
      </c>
      <c r="G250" s="11">
        <f t="shared" si="27"/>
        <v>-45.099924953590659</v>
      </c>
    </row>
    <row r="251" spans="5:7" x14ac:dyDescent="0.25">
      <c r="E251" s="11">
        <f t="shared" si="25"/>
        <v>-171</v>
      </c>
      <c r="F251" s="11">
        <f t="shared" si="26"/>
        <v>-44.627925561255324</v>
      </c>
      <c r="G251" s="11">
        <f t="shared" si="27"/>
        <v>-44.848230712490427</v>
      </c>
    </row>
    <row r="252" spans="5:7" x14ac:dyDescent="0.25">
      <c r="E252" s="11">
        <f t="shared" si="25"/>
        <v>-170</v>
      </c>
      <c r="F252" s="11">
        <f t="shared" si="26"/>
        <v>-44.362733095892963</v>
      </c>
      <c r="G252" s="11">
        <f t="shared" si="27"/>
        <v>-44.588463675509011</v>
      </c>
    </row>
    <row r="253" spans="5:7" x14ac:dyDescent="0.25">
      <c r="E253" s="11">
        <f t="shared" si="25"/>
        <v>-169</v>
      </c>
      <c r="F253" s="11">
        <f t="shared" si="26"/>
        <v>-44.096616524037472</v>
      </c>
      <c r="G253" s="11">
        <f t="shared" si="27"/>
        <v>-44.320345470374626</v>
      </c>
    </row>
    <row r="254" spans="5:7" x14ac:dyDescent="0.25">
      <c r="E254" s="11">
        <f t="shared" si="25"/>
        <v>-168</v>
      </c>
      <c r="F254" s="11">
        <f t="shared" si="26"/>
        <v>-43.830168015079835</v>
      </c>
      <c r="G254" s="11">
        <f t="shared" si="27"/>
        <v>-44.043597724815527</v>
      </c>
    </row>
    <row r="255" spans="5:7" x14ac:dyDescent="0.25">
      <c r="E255" s="11">
        <f t="shared" si="25"/>
        <v>-167</v>
      </c>
      <c r="F255" s="11">
        <f t="shared" si="26"/>
        <v>-43.563962172935589</v>
      </c>
      <c r="G255" s="11">
        <f t="shared" si="27"/>
        <v>-43.757942066559941</v>
      </c>
    </row>
    <row r="256" spans="5:7" x14ac:dyDescent="0.25">
      <c r="E256" s="11">
        <f t="shared" si="25"/>
        <v>-166</v>
      </c>
      <c r="F256" s="11">
        <f t="shared" si="26"/>
        <v>-43.298553140879449</v>
      </c>
      <c r="G256" s="11">
        <f t="shared" si="27"/>
        <v>-43.463100123336098</v>
      </c>
    </row>
    <row r="257" spans="5:7" x14ac:dyDescent="0.25">
      <c r="E257" s="11">
        <f t="shared" si="25"/>
        <v>-165</v>
      </c>
      <c r="F257" s="11">
        <f t="shared" si="26"/>
        <v>-43.034472007946079</v>
      </c>
      <c r="G257" s="11">
        <f t="shared" si="27"/>
        <v>-43.158793522872244</v>
      </c>
    </row>
    <row r="258" spans="5:7" x14ac:dyDescent="0.25">
      <c r="E258" s="11">
        <f t="shared" si="25"/>
        <v>-164</v>
      </c>
      <c r="F258" s="11">
        <f t="shared" si="26"/>
        <v>-42.772224504821679</v>
      </c>
      <c r="G258" s="11">
        <f t="shared" si="27"/>
        <v>-42.844743892896595</v>
      </c>
    </row>
    <row r="259" spans="5:7" x14ac:dyDescent="0.25">
      <c r="E259" s="11">
        <f t="shared" si="25"/>
        <v>-163</v>
      </c>
      <c r="F259" s="11">
        <f t="shared" si="26"/>
        <v>-42.512288977229218</v>
      </c>
      <c r="G259" s="11">
        <f t="shared" si="27"/>
        <v>-42.520672861137406</v>
      </c>
    </row>
    <row r="260" spans="5:7" x14ac:dyDescent="0.25">
      <c r="E260" s="11">
        <f t="shared" si="25"/>
        <v>-162</v>
      </c>
      <c r="F260" s="11">
        <f t="shared" si="26"/>
        <v>-42.255114625012084</v>
      </c>
      <c r="G260" s="11">
        <f t="shared" si="27"/>
        <v>-42.186302055322898</v>
      </c>
    </row>
    <row r="261" spans="5:7" x14ac:dyDescent="0.25">
      <c r="E261" s="11">
        <f t="shared" si="25"/>
        <v>-161</v>
      </c>
      <c r="F261" s="11">
        <f t="shared" si="26"/>
        <v>-42.001119995365116</v>
      </c>
      <c r="G261" s="11">
        <f t="shared" si="27"/>
        <v>-41.841353103181312</v>
      </c>
    </row>
    <row r="262" spans="5:7" x14ac:dyDescent="0.25">
      <c r="E262" s="11">
        <f t="shared" si="25"/>
        <v>-160</v>
      </c>
      <c r="F262" s="11">
        <f t="shared" si="26"/>
        <v>-41.750691718782036</v>
      </c>
      <c r="G262" s="11">
        <f t="shared" si="27"/>
        <v>-41.485547632440884</v>
      </c>
    </row>
    <row r="263" spans="5:7" x14ac:dyDescent="0.25">
      <c r="E263" s="11">
        <f t="shared" si="25"/>
        <v>-159</v>
      </c>
      <c r="F263" s="11">
        <f t="shared" si="26"/>
        <v>-41.504183476549997</v>
      </c>
      <c r="G263" s="11">
        <f t="shared" si="27"/>
        <v>-41.335937516357326</v>
      </c>
    </row>
    <row r="264" spans="5:7" x14ac:dyDescent="0.25">
      <c r="E264" s="11">
        <f t="shared" si="25"/>
        <v>-158</v>
      </c>
      <c r="F264" s="11">
        <f t="shared" si="26"/>
        <v>-41.261915188790908</v>
      </c>
      <c r="G264" s="11">
        <f t="shared" si="27"/>
        <v>-41.176090643569381</v>
      </c>
    </row>
    <row r="265" spans="5:7" x14ac:dyDescent="0.25">
      <c r="E265" s="11">
        <f t="shared" si="25"/>
        <v>-157</v>
      </c>
      <c r="F265" s="11">
        <f t="shared" si="26"/>
        <v>-41.024172412192229</v>
      </c>
      <c r="G265" s="11">
        <f t="shared" si="27"/>
        <v>-41.006905148243256</v>
      </c>
    </row>
    <row r="266" spans="5:7" x14ac:dyDescent="0.25">
      <c r="E266" s="11">
        <f t="shared" si="25"/>
        <v>-156</v>
      </c>
      <c r="F266" s="11">
        <f t="shared" si="26"/>
        <v>-40.791205936895949</v>
      </c>
      <c r="G266" s="11">
        <f t="shared" si="27"/>
        <v>-40.829279164545177</v>
      </c>
    </row>
    <row r="267" spans="5:7" x14ac:dyDescent="0.25">
      <c r="E267" s="11">
        <f t="shared" si="25"/>
        <v>-155</v>
      </c>
      <c r="F267" s="11">
        <f t="shared" si="26"/>
        <v>-40.563231572051791</v>
      </c>
      <c r="G267" s="11">
        <f t="shared" si="27"/>
        <v>-40.644110826641352</v>
      </c>
    </row>
    <row r="268" spans="5:7" x14ac:dyDescent="0.25">
      <c r="E268" s="11">
        <f t="shared" si="25"/>
        <v>-154</v>
      </c>
      <c r="F268" s="11">
        <f t="shared" si="26"/>
        <v>-40.340430109859881</v>
      </c>
      <c r="G268" s="11">
        <f t="shared" si="27"/>
        <v>-40.452298268698001</v>
      </c>
    </row>
    <row r="269" spans="5:7" x14ac:dyDescent="0.25">
      <c r="E269" s="11">
        <f t="shared" si="25"/>
        <v>-153</v>
      </c>
      <c r="F269" s="11">
        <f t="shared" si="26"/>
        <v>-40.122947458054568</v>
      </c>
      <c r="G269" s="11">
        <f t="shared" si="27"/>
        <v>-40.254739624881353</v>
      </c>
    </row>
    <row r="270" spans="5:7" x14ac:dyDescent="0.25">
      <c r="E270" s="11">
        <f t="shared" si="25"/>
        <v>-152</v>
      </c>
      <c r="F270" s="11">
        <f t="shared" si="26"/>
        <v>-39.910894930978429</v>
      </c>
      <c r="G270" s="11">
        <f t="shared" si="27"/>
        <v>-40.052333029357612</v>
      </c>
    </row>
    <row r="271" spans="5:7" x14ac:dyDescent="0.25">
      <c r="E271" s="11">
        <f t="shared" si="25"/>
        <v>-151</v>
      </c>
      <c r="F271" s="11">
        <f t="shared" si="26"/>
        <v>-39.704349689655828</v>
      </c>
      <c r="G271" s="11">
        <f t="shared" si="27"/>
        <v>-39.845976616292994</v>
      </c>
    </row>
    <row r="272" spans="5:7" x14ac:dyDescent="0.25">
      <c r="E272" s="11">
        <f t="shared" si="25"/>
        <v>-150</v>
      </c>
      <c r="F272" s="11">
        <f t="shared" si="26"/>
        <v>-39.503355321377967</v>
      </c>
      <c r="G272" s="11">
        <f t="shared" si="27"/>
        <v>-39.636568519853725</v>
      </c>
    </row>
    <row r="273" spans="5:7" x14ac:dyDescent="0.25">
      <c r="E273" s="11">
        <f t="shared" si="25"/>
        <v>-149</v>
      </c>
      <c r="F273" s="11">
        <f t="shared" si="26"/>
        <v>-39.307922549556451</v>
      </c>
      <c r="G273" s="11">
        <f t="shared" si="27"/>
        <v>-39.425006874206005</v>
      </c>
    </row>
    <row r="274" spans="5:7" x14ac:dyDescent="0.25">
      <c r="E274" s="11">
        <f t="shared" si="25"/>
        <v>-148</v>
      </c>
      <c r="F274" s="11">
        <f t="shared" si="26"/>
        <v>-39.118030064794311</v>
      </c>
      <c r="G274" s="11">
        <f t="shared" si="27"/>
        <v>-39.212189813516076</v>
      </c>
    </row>
    <row r="275" spans="5:7" x14ac:dyDescent="0.25">
      <c r="E275" s="11">
        <f t="shared" si="25"/>
        <v>-147</v>
      </c>
      <c r="F275" s="11">
        <f t="shared" si="26"/>
        <v>-38.933625468342598</v>
      </c>
      <c r="G275" s="11">
        <f t="shared" si="27"/>
        <v>-38.999015471950138</v>
      </c>
    </row>
    <row r="276" spans="5:7" x14ac:dyDescent="0.25">
      <c r="E276" s="11">
        <f t="shared" si="25"/>
        <v>-146</v>
      </c>
      <c r="F276" s="11">
        <f t="shared" si="26"/>
        <v>-38.754626319207318</v>
      </c>
      <c r="G276" s="11">
        <f t="shared" si="27"/>
        <v>-38.786381983674417</v>
      </c>
    </row>
    <row r="277" spans="5:7" x14ac:dyDescent="0.25">
      <c r="E277" s="11">
        <f t="shared" si="25"/>
        <v>-145</v>
      </c>
      <c r="F277" s="11">
        <f t="shared" si="26"/>
        <v>-38.580921276521053</v>
      </c>
      <c r="G277" s="11">
        <f t="shared" si="27"/>
        <v>-38.575187482855114</v>
      </c>
    </row>
    <row r="278" spans="5:7" x14ac:dyDescent="0.25">
      <c r="E278" s="11">
        <f t="shared" si="25"/>
        <v>-144</v>
      </c>
      <c r="F278" s="11">
        <f t="shared" si="26"/>
        <v>-38.412371328823951</v>
      </c>
      <c r="G278" s="11">
        <f t="shared" si="27"/>
        <v>-38.36633010365847</v>
      </c>
    </row>
    <row r="279" spans="5:7" x14ac:dyDescent="0.25">
      <c r="E279" s="11">
        <f t="shared" si="25"/>
        <v>-143</v>
      </c>
      <c r="F279" s="11">
        <f t="shared" si="26"/>
        <v>-38.248811102217701</v>
      </c>
      <c r="G279" s="11">
        <f t="shared" si="27"/>
        <v>-38.160707980250692</v>
      </c>
    </row>
    <row r="280" spans="5:7" x14ac:dyDescent="0.25">
      <c r="E280" s="11">
        <f t="shared" si="25"/>
        <v>-142</v>
      </c>
      <c r="F280" s="11">
        <f t="shared" si="26"/>
        <v>-38.090050239519883</v>
      </c>
      <c r="G280" s="11">
        <f t="shared" si="27"/>
        <v>-37.959219246797986</v>
      </c>
    </row>
    <row r="281" spans="5:7" x14ac:dyDescent="0.25">
      <c r="E281" s="11">
        <f t="shared" si="25"/>
        <v>-141</v>
      </c>
      <c r="F281" s="11">
        <f t="shared" si="26"/>
        <v>-37.935874842655153</v>
      </c>
      <c r="G281" s="11">
        <f t="shared" si="27"/>
        <v>-37.76276203746658</v>
      </c>
    </row>
    <row r="282" spans="5:7" x14ac:dyDescent="0.25">
      <c r="E282" s="11">
        <f t="shared" si="25"/>
        <v>-140</v>
      </c>
      <c r="F282" s="11">
        <f t="shared" si="26"/>
        <v>-37.786048970881325</v>
      </c>
      <c r="G282" s="11">
        <f t="shared" si="27"/>
        <v>-37.572234486422687</v>
      </c>
    </row>
    <row r="283" spans="5:7" x14ac:dyDescent="0.25">
      <c r="E283" s="11">
        <f t="shared" si="25"/>
        <v>-139</v>
      </c>
      <c r="F283" s="11">
        <f t="shared" si="26"/>
        <v>-37.64031618744616</v>
      </c>
      <c r="G283" s="11">
        <f t="shared" si="27"/>
        <v>-37.388534727832536</v>
      </c>
    </row>
    <row r="284" spans="5:7" x14ac:dyDescent="0.25">
      <c r="E284" s="11">
        <f t="shared" si="25"/>
        <v>-138</v>
      </c>
      <c r="F284" s="11">
        <f t="shared" si="26"/>
        <v>-37.498401147667323</v>
      </c>
      <c r="G284" s="11">
        <f t="shared" si="27"/>
        <v>-37.212560895862325</v>
      </c>
    </row>
    <row r="285" spans="5:7" x14ac:dyDescent="0.25">
      <c r="E285" s="11">
        <f t="shared" si="25"/>
        <v>-137</v>
      </c>
      <c r="F285" s="11">
        <f t="shared" si="26"/>
        <v>-37.360011221435343</v>
      </c>
      <c r="G285" s="11">
        <f t="shared" si="27"/>
        <v>-37.045211124678282</v>
      </c>
    </row>
    <row r="286" spans="5:7" x14ac:dyDescent="0.25">
      <c r="E286" s="11">
        <f t="shared" si="25"/>
        <v>-136</v>
      </c>
      <c r="F286" s="11">
        <f t="shared" si="26"/>
        <v>-37.224838143470834</v>
      </c>
      <c r="G286" s="11">
        <f t="shared" si="27"/>
        <v>-36.887383548446621</v>
      </c>
    </row>
    <row r="287" spans="5:7" x14ac:dyDescent="0.25">
      <c r="E287" s="11">
        <f t="shared" ref="E287:E350" si="28">E80</f>
        <v>-135</v>
      </c>
      <c r="F287" s="11">
        <f t="shared" ref="F287:F350" si="29">$H$217*0+E287*$I$217+E287^2*$J$217+E287^3*$K$217+E287^4*$L$217+E287^5*$M$217+E287^6*$N$217+E287^7*$O$217+E287^8*$P$217</f>
        <v>-37.092559684802723</v>
      </c>
      <c r="G287" s="11">
        <f t="shared" ref="G287:G350" si="30">F80</f>
        <v>-36.73997630133357</v>
      </c>
    </row>
    <row r="288" spans="5:7" x14ac:dyDescent="0.25">
      <c r="E288" s="11">
        <f t="shared" si="28"/>
        <v>-134</v>
      </c>
      <c r="F288" s="11">
        <f t="shared" si="29"/>
        <v>-36.962841339130307</v>
      </c>
      <c r="G288" s="11">
        <f t="shared" si="30"/>
        <v>-36.603572406687732</v>
      </c>
    </row>
    <row r="289" spans="5:7" x14ac:dyDescent="0.25">
      <c r="E289" s="11">
        <f t="shared" si="28"/>
        <v>-133</v>
      </c>
      <c r="F289" s="11">
        <f t="shared" si="29"/>
        <v>-36.83533801792646</v>
      </c>
      <c r="G289" s="11">
        <f t="shared" si="30"/>
        <v>-36.477494444587322</v>
      </c>
    </row>
    <row r="290" spans="5:7" x14ac:dyDescent="0.25">
      <c r="E290" s="11">
        <f t="shared" si="28"/>
        <v>-132</v>
      </c>
      <c r="F290" s="11">
        <f t="shared" si="29"/>
        <v>-36.709695748362776</v>
      </c>
      <c r="G290" s="11">
        <f t="shared" si="30"/>
        <v>-36.360749884292957</v>
      </c>
    </row>
    <row r="291" spans="5:7" x14ac:dyDescent="0.25">
      <c r="E291" s="11">
        <f t="shared" si="28"/>
        <v>-131</v>
      </c>
      <c r="F291" s="11">
        <f t="shared" si="29"/>
        <v>-36.585553368309832</v>
      </c>
      <c r="G291" s="11">
        <f t="shared" si="30"/>
        <v>-36.25234619506525</v>
      </c>
    </row>
    <row r="292" spans="5:7" x14ac:dyDescent="0.25">
      <c r="E292" s="11">
        <f t="shared" si="28"/>
        <v>-130</v>
      </c>
      <c r="F292" s="11">
        <f t="shared" si="29"/>
        <v>-36.462544212816397</v>
      </c>
      <c r="G292" s="11">
        <f t="shared" si="30"/>
        <v>-36.151290846164819</v>
      </c>
    </row>
    <row r="293" spans="5:7" x14ac:dyDescent="0.25">
      <c r="E293" s="11">
        <f t="shared" si="28"/>
        <v>-129</v>
      </c>
      <c r="F293" s="11">
        <f t="shared" si="29"/>
        <v>-36.340297786799795</v>
      </c>
      <c r="G293" s="11">
        <f t="shared" si="30"/>
        <v>-36.056591306852269</v>
      </c>
    </row>
    <row r="294" spans="5:7" x14ac:dyDescent="0.25">
      <c r="E294" s="11">
        <f t="shared" si="28"/>
        <v>-128</v>
      </c>
      <c r="F294" s="11">
        <f t="shared" si="29"/>
        <v>-36.218441418686155</v>
      </c>
      <c r="G294" s="11">
        <f t="shared" si="30"/>
        <v>-35.967255046388217</v>
      </c>
    </row>
    <row r="295" spans="5:7" x14ac:dyDescent="0.25">
      <c r="E295" s="11">
        <f t="shared" si="28"/>
        <v>-127</v>
      </c>
      <c r="F295" s="11">
        <f t="shared" si="29"/>
        <v>-36.096601890107593</v>
      </c>
      <c r="G295" s="11">
        <f t="shared" si="30"/>
        <v>-35.882289534033283</v>
      </c>
    </row>
    <row r="296" spans="5:7" x14ac:dyDescent="0.25">
      <c r="E296" s="11">
        <f t="shared" si="28"/>
        <v>-126</v>
      </c>
      <c r="F296" s="11">
        <f t="shared" si="29"/>
        <v>-35.97440703685379</v>
      </c>
      <c r="G296" s="11">
        <f t="shared" si="30"/>
        <v>-35.800702239048064</v>
      </c>
    </row>
    <row r="297" spans="5:7" x14ac:dyDescent="0.25">
      <c r="E297" s="11">
        <f t="shared" si="28"/>
        <v>-125</v>
      </c>
      <c r="F297" s="11">
        <f t="shared" si="29"/>
        <v>-35.851487316494854</v>
      </c>
      <c r="G297" s="11">
        <f t="shared" si="30"/>
        <v>-35.721500630693193</v>
      </c>
    </row>
    <row r="298" spans="5:7" x14ac:dyDescent="0.25">
      <c r="E298" s="11">
        <f t="shared" si="28"/>
        <v>-124</v>
      </c>
      <c r="F298" s="11">
        <f t="shared" si="29"/>
        <v>-35.727477338314543</v>
      </c>
      <c r="G298" s="11">
        <f t="shared" si="30"/>
        <v>-35.643692178229266</v>
      </c>
    </row>
    <row r="299" spans="5:7" x14ac:dyDescent="0.25">
      <c r="E299" s="11">
        <f t="shared" si="28"/>
        <v>-123</v>
      </c>
      <c r="F299" s="11">
        <f t="shared" si="29"/>
        <v>-35.60201735134558</v>
      </c>
      <c r="G299" s="11">
        <f t="shared" si="30"/>
        <v>-35.566284350916909</v>
      </c>
    </row>
    <row r="300" spans="5:7" x14ac:dyDescent="0.25">
      <c r="E300" s="11">
        <f t="shared" si="28"/>
        <v>-122</v>
      </c>
      <c r="F300" s="11">
        <f t="shared" si="29"/>
        <v>-35.474754686532009</v>
      </c>
      <c r="G300" s="11">
        <f t="shared" si="30"/>
        <v>-35.488284618016735</v>
      </c>
    </row>
    <row r="301" spans="5:7" x14ac:dyDescent="0.25">
      <c r="E301" s="11">
        <f t="shared" si="28"/>
        <v>-121</v>
      </c>
      <c r="F301" s="11">
        <f t="shared" si="29"/>
        <v>-35.345345149191189</v>
      </c>
      <c r="G301" s="11">
        <f t="shared" si="30"/>
        <v>-35.408700448789347</v>
      </c>
    </row>
    <row r="302" spans="5:7" x14ac:dyDescent="0.25">
      <c r="E302" s="11">
        <f t="shared" si="28"/>
        <v>-120</v>
      </c>
      <c r="F302" s="11">
        <f t="shared" si="29"/>
        <v>-35.213454358216325</v>
      </c>
      <c r="G302" s="11">
        <f t="shared" si="30"/>
        <v>-35.326539312495363</v>
      </c>
    </row>
    <row r="303" spans="5:7" x14ac:dyDescent="0.25">
      <c r="E303" s="11">
        <f t="shared" si="28"/>
        <v>-119</v>
      </c>
      <c r="F303" s="11">
        <f t="shared" si="29"/>
        <v>-35.078759028557272</v>
      </c>
      <c r="G303" s="11">
        <f t="shared" si="30"/>
        <v>-35.240808678395403</v>
      </c>
    </row>
    <row r="304" spans="5:7" x14ac:dyDescent="0.25">
      <c r="E304" s="11">
        <f t="shared" si="28"/>
        <v>-118</v>
      </c>
      <c r="F304" s="11">
        <f t="shared" si="29"/>
        <v>-34.940948193817235</v>
      </c>
      <c r="G304" s="11">
        <f t="shared" si="30"/>
        <v>-35.150516015750071</v>
      </c>
    </row>
    <row r="305" spans="5:7" x14ac:dyDescent="0.25">
      <c r="E305" s="11">
        <f t="shared" si="28"/>
        <v>-117</v>
      </c>
      <c r="F305" s="11">
        <f t="shared" si="29"/>
        <v>-34.799724365901056</v>
      </c>
      <c r="G305" s="11">
        <f t="shared" si="30"/>
        <v>-35.054668793819985</v>
      </c>
    </row>
    <row r="306" spans="5:7" x14ac:dyDescent="0.25">
      <c r="E306" s="11">
        <f t="shared" si="28"/>
        <v>-116</v>
      </c>
      <c r="F306" s="11">
        <f t="shared" si="29"/>
        <v>-34.654804628917617</v>
      </c>
      <c r="G306" s="11">
        <f t="shared" si="30"/>
        <v>-34.952274481865764</v>
      </c>
    </row>
    <row r="307" spans="5:7" x14ac:dyDescent="0.25">
      <c r="E307" s="11">
        <f t="shared" si="28"/>
        <v>-115</v>
      </c>
      <c r="F307" s="11">
        <f t="shared" si="29"/>
        <v>-34.505921664703635</v>
      </c>
      <c r="G307" s="11">
        <f t="shared" si="30"/>
        <v>-34.84234054914802</v>
      </c>
    </row>
    <row r="308" spans="5:7" x14ac:dyDescent="0.25">
      <c r="E308" s="11">
        <f t="shared" si="28"/>
        <v>-114</v>
      </c>
      <c r="F308" s="11">
        <f t="shared" si="29"/>
        <v>-34.352824707511445</v>
      </c>
      <c r="G308" s="11">
        <f t="shared" si="30"/>
        <v>-34.723874464927349</v>
      </c>
    </row>
    <row r="309" spans="5:7" x14ac:dyDescent="0.25">
      <c r="E309" s="11">
        <f t="shared" si="28"/>
        <v>-113</v>
      </c>
      <c r="F309" s="11">
        <f t="shared" si="29"/>
        <v>-34.195280425654829</v>
      </c>
      <c r="G309" s="11">
        <f t="shared" si="30"/>
        <v>-34.595883698464384</v>
      </c>
    </row>
    <row r="310" spans="5:7" x14ac:dyDescent="0.25">
      <c r="E310" s="11">
        <f t="shared" si="28"/>
        <v>-112</v>
      </c>
      <c r="F310" s="11">
        <f t="shared" si="29"/>
        <v>-34.033073728028825</v>
      </c>
      <c r="G310" s="11">
        <f t="shared" si="30"/>
        <v>-34.45737571901973</v>
      </c>
    </row>
    <row r="311" spans="5:7" x14ac:dyDescent="0.25">
      <c r="E311" s="11">
        <f t="shared" si="28"/>
        <v>-111</v>
      </c>
      <c r="F311" s="11">
        <f t="shared" si="29"/>
        <v>-33.866008493685669</v>
      </c>
      <c r="G311" s="11">
        <f t="shared" si="30"/>
        <v>-34.307357995854005</v>
      </c>
    </row>
    <row r="312" spans="5:7" x14ac:dyDescent="0.25">
      <c r="E312" s="11">
        <f t="shared" si="28"/>
        <v>-110</v>
      </c>
      <c r="F312" s="11">
        <f t="shared" si="29"/>
        <v>-33.693908222785524</v>
      </c>
      <c r="G312" s="11">
        <f t="shared" si="30"/>
        <v>-34.144837998227821</v>
      </c>
    </row>
    <row r="313" spans="5:7" x14ac:dyDescent="0.25">
      <c r="E313" s="11">
        <f t="shared" si="28"/>
        <v>-109</v>
      </c>
      <c r="F313" s="11">
        <f t="shared" si="29"/>
        <v>-33.516616607471704</v>
      </c>
      <c r="G313" s="11">
        <f t="shared" si="30"/>
        <v>-33.969090740631437</v>
      </c>
    </row>
    <row r="314" spans="5:7" x14ac:dyDescent="0.25">
      <c r="E314" s="11">
        <f t="shared" si="28"/>
        <v>-108</v>
      </c>
      <c r="F314" s="11">
        <f t="shared" si="29"/>
        <v>-33.333998021400305</v>
      </c>
      <c r="G314" s="11">
        <f t="shared" si="30"/>
        <v>-33.78046141847377</v>
      </c>
    </row>
    <row r="315" spans="5:7" x14ac:dyDescent="0.25">
      <c r="E315" s="11">
        <f t="shared" si="28"/>
        <v>-107</v>
      </c>
      <c r="F315" s="11">
        <f t="shared" si="29"/>
        <v>-33.145937926848077</v>
      </c>
      <c r="G315" s="11">
        <f t="shared" si="30"/>
        <v>-33.579562772393359</v>
      </c>
    </row>
    <row r="316" spans="5:7" x14ac:dyDescent="0.25">
      <c r="E316" s="11">
        <f t="shared" si="28"/>
        <v>-106</v>
      </c>
      <c r="F316" s="11">
        <f t="shared" si="29"/>
        <v>-32.952343198532162</v>
      </c>
      <c r="G316" s="11">
        <f t="shared" si="30"/>
        <v>-33.367007543028755</v>
      </c>
    </row>
    <row r="317" spans="5:7" x14ac:dyDescent="0.25">
      <c r="E317" s="11">
        <f t="shared" si="28"/>
        <v>-105</v>
      </c>
      <c r="F317" s="11">
        <f t="shared" si="29"/>
        <v>-32.753142363437348</v>
      </c>
      <c r="G317" s="11">
        <f t="shared" si="30"/>
        <v>-33.143408471018518</v>
      </c>
    </row>
    <row r="318" spans="5:7" x14ac:dyDescent="0.25">
      <c r="E318" s="11">
        <f t="shared" si="28"/>
        <v>-104</v>
      </c>
      <c r="F318" s="11">
        <f t="shared" si="29"/>
        <v>-32.548285756184541</v>
      </c>
      <c r="G318" s="11">
        <f t="shared" si="30"/>
        <v>-32.909378297001197</v>
      </c>
    </row>
    <row r="319" spans="5:7" x14ac:dyDescent="0.25">
      <c r="E319" s="11">
        <f t="shared" si="28"/>
        <v>-103</v>
      </c>
      <c r="F319" s="11">
        <f t="shared" si="29"/>
        <v>-32.337745589631353</v>
      </c>
      <c r="G319" s="11">
        <f t="shared" si="30"/>
        <v>-32.665529761615332</v>
      </c>
    </row>
    <row r="320" spans="5:7" x14ac:dyDescent="0.25">
      <c r="E320" s="11">
        <f t="shared" si="28"/>
        <v>-102</v>
      </c>
      <c r="F320" s="11">
        <f t="shared" si="29"/>
        <v>-32.121515940607964</v>
      </c>
      <c r="G320" s="11">
        <f t="shared" si="30"/>
        <v>-32.412475605499502</v>
      </c>
    </row>
    <row r="321" spans="5:7" x14ac:dyDescent="0.25">
      <c r="E321" s="11">
        <f t="shared" si="28"/>
        <v>-101</v>
      </c>
      <c r="F321" s="11">
        <f t="shared" si="29"/>
        <v>-31.899612650895214</v>
      </c>
      <c r="G321" s="11">
        <f t="shared" si="30"/>
        <v>-32.150828569292237</v>
      </c>
    </row>
    <row r="322" spans="5:7" x14ac:dyDescent="0.25">
      <c r="E322" s="11">
        <f t="shared" si="28"/>
        <v>-100</v>
      </c>
      <c r="F322" s="11">
        <f t="shared" si="29"/>
        <v>-31.672073143716148</v>
      </c>
      <c r="G322" s="11">
        <f t="shared" si="30"/>
        <v>-31.881201393632097</v>
      </c>
    </row>
    <row r="323" spans="5:7" x14ac:dyDescent="0.25">
      <c r="E323" s="11">
        <f t="shared" si="28"/>
        <v>-99</v>
      </c>
      <c r="F323" s="11">
        <f t="shared" si="29"/>
        <v>-31.438956156235207</v>
      </c>
      <c r="G323" s="11">
        <f t="shared" si="30"/>
        <v>-31.604206819157636</v>
      </c>
    </row>
    <row r="324" spans="5:7" x14ac:dyDescent="0.25">
      <c r="E324" s="11">
        <f t="shared" si="28"/>
        <v>-98</v>
      </c>
      <c r="F324" s="11">
        <f t="shared" si="29"/>
        <v>-31.200341388756677</v>
      </c>
      <c r="G324" s="11">
        <f t="shared" si="30"/>
        <v>-31.320457586507409</v>
      </c>
    </row>
    <row r="325" spans="5:7" x14ac:dyDescent="0.25">
      <c r="E325" s="11">
        <f t="shared" si="28"/>
        <v>-97</v>
      </c>
      <c r="F325" s="11">
        <f t="shared" si="29"/>
        <v>-30.956329071466712</v>
      </c>
      <c r="G325" s="11">
        <f t="shared" si="30"/>
        <v>-31.030566436319958</v>
      </c>
    </row>
    <row r="326" spans="5:7" x14ac:dyDescent="0.25">
      <c r="E326" s="11">
        <f t="shared" si="28"/>
        <v>-96</v>
      </c>
      <c r="F326" s="11">
        <f t="shared" si="29"/>
        <v>-30.707039449823263</v>
      </c>
      <c r="G326" s="11">
        <f t="shared" si="30"/>
        <v>-30.735146109233842</v>
      </c>
    </row>
    <row r="327" spans="5:7" x14ac:dyDescent="0.25">
      <c r="E327" s="11">
        <f t="shared" si="28"/>
        <v>-95</v>
      </c>
      <c r="F327" s="11">
        <f t="shared" si="29"/>
        <v>-30.452612189823569</v>
      </c>
      <c r="G327" s="11">
        <f t="shared" si="30"/>
        <v>-30.434809345887615</v>
      </c>
    </row>
    <row r="328" spans="5:7" x14ac:dyDescent="0.25">
      <c r="E328" s="11">
        <f t="shared" si="28"/>
        <v>-94</v>
      </c>
      <c r="F328" s="11">
        <f t="shared" si="29"/>
        <v>-30.193205704636679</v>
      </c>
      <c r="G328" s="11">
        <f t="shared" si="30"/>
        <v>-30.130168886919826</v>
      </c>
    </row>
    <row r="329" spans="5:7" x14ac:dyDescent="0.25">
      <c r="E329" s="11">
        <f t="shared" si="28"/>
        <v>-93</v>
      </c>
      <c r="F329" s="11">
        <f t="shared" si="29"/>
        <v>-29.928996404231885</v>
      </c>
      <c r="G329" s="11">
        <f t="shared" si="30"/>
        <v>-29.82183747296903</v>
      </c>
    </row>
    <row r="330" spans="5:7" x14ac:dyDescent="0.25">
      <c r="E330" s="11">
        <f t="shared" si="28"/>
        <v>-92</v>
      </c>
      <c r="F330" s="11">
        <f t="shared" si="29"/>
        <v>-29.660177869864359</v>
      </c>
      <c r="G330" s="11">
        <f t="shared" si="30"/>
        <v>-29.510427844673778</v>
      </c>
    </row>
    <row r="331" spans="5:7" x14ac:dyDescent="0.25">
      <c r="E331" s="11">
        <f t="shared" si="28"/>
        <v>-91</v>
      </c>
      <c r="F331" s="11">
        <f t="shared" si="29"/>
        <v>-29.386959955453829</v>
      </c>
      <c r="G331" s="11">
        <f t="shared" si="30"/>
        <v>-29.196552742672623</v>
      </c>
    </row>
    <row r="332" spans="5:7" x14ac:dyDescent="0.25">
      <c r="E332" s="11">
        <f t="shared" si="28"/>
        <v>-90</v>
      </c>
      <c r="F332" s="11">
        <f t="shared" si="29"/>
        <v>-29.109567818095321</v>
      </c>
      <c r="G332" s="11">
        <f t="shared" si="30"/>
        <v>-28.880824907604115</v>
      </c>
    </row>
    <row r="333" spans="5:7" x14ac:dyDescent="0.25">
      <c r="E333" s="11">
        <f t="shared" si="28"/>
        <v>-89</v>
      </c>
      <c r="F333" s="11">
        <f t="shared" si="29"/>
        <v>-28.828240880134199</v>
      </c>
      <c r="G333" s="11">
        <f t="shared" si="30"/>
        <v>-28.563857080106814</v>
      </c>
    </row>
    <row r="334" spans="5:7" x14ac:dyDescent="0.25">
      <c r="E334" s="11">
        <f t="shared" si="28"/>
        <v>-88</v>
      </c>
      <c r="F334" s="11">
        <f t="shared" si="29"/>
        <v>-28.543231725427489</v>
      </c>
      <c r="G334" s="11">
        <f t="shared" si="30"/>
        <v>-28.246262000819257</v>
      </c>
    </row>
    <row r="335" spans="5:7" x14ac:dyDescent="0.25">
      <c r="E335" s="11">
        <f t="shared" si="28"/>
        <v>-87</v>
      </c>
      <c r="F335" s="11">
        <f t="shared" si="29"/>
        <v>-28.254804932623486</v>
      </c>
      <c r="G335" s="11">
        <f t="shared" si="30"/>
        <v>-27.928652410380018</v>
      </c>
    </row>
    <row r="336" spans="5:7" x14ac:dyDescent="0.25">
      <c r="E336" s="11">
        <f t="shared" si="28"/>
        <v>-86</v>
      </c>
      <c r="F336" s="11">
        <f t="shared" si="29"/>
        <v>-27.963235848459892</v>
      </c>
      <c r="G336" s="11">
        <f t="shared" si="30"/>
        <v>-27.611641049427632</v>
      </c>
    </row>
    <row r="337" spans="5:7" x14ac:dyDescent="0.25">
      <c r="E337" s="11">
        <f t="shared" si="28"/>
        <v>-85</v>
      </c>
      <c r="F337" s="11">
        <f t="shared" si="29"/>
        <v>-27.66880930430478</v>
      </c>
      <c r="G337" s="11">
        <f t="shared" si="30"/>
        <v>-27.295840658600653</v>
      </c>
    </row>
    <row r="338" spans="5:7" x14ac:dyDescent="0.25">
      <c r="E338" s="11">
        <f t="shared" si="28"/>
        <v>-84</v>
      </c>
      <c r="F338" s="11">
        <f t="shared" si="29"/>
        <v>-27.371818279337944</v>
      </c>
      <c r="G338" s="11">
        <f t="shared" si="30"/>
        <v>-26.981863978537646</v>
      </c>
    </row>
    <row r="339" spans="5:7" x14ac:dyDescent="0.25">
      <c r="E339" s="11">
        <f t="shared" si="28"/>
        <v>-83</v>
      </c>
      <c r="F339" s="11">
        <f t="shared" si="29"/>
        <v>-27.072562513975441</v>
      </c>
      <c r="G339" s="11">
        <f t="shared" si="30"/>
        <v>-26.670323749877152</v>
      </c>
    </row>
    <row r="340" spans="5:7" x14ac:dyDescent="0.25">
      <c r="E340" s="11">
        <f t="shared" si="28"/>
        <v>-82</v>
      </c>
      <c r="F340" s="11">
        <f t="shared" si="29"/>
        <v>-26.771347077330727</v>
      </c>
      <c r="G340" s="11">
        <f t="shared" si="30"/>
        <v>-26.361832713257723</v>
      </c>
    </row>
    <row r="341" spans="5:7" x14ac:dyDescent="0.25">
      <c r="E341" s="11">
        <f t="shared" si="28"/>
        <v>-81</v>
      </c>
      <c r="F341" s="11">
        <f t="shared" si="29"/>
        <v>-26.468480892701834</v>
      </c>
      <c r="G341" s="11">
        <f t="shared" si="30"/>
        <v>-26.057003609317917</v>
      </c>
    </row>
    <row r="342" spans="5:7" x14ac:dyDescent="0.25">
      <c r="E342" s="11">
        <f t="shared" si="28"/>
        <v>-80</v>
      </c>
      <c r="F342" s="11">
        <f t="shared" si="29"/>
        <v>-26.164275225269591</v>
      </c>
      <c r="G342" s="11">
        <f t="shared" si="30"/>
        <v>-25.756449178696286</v>
      </c>
    </row>
    <row r="343" spans="5:7" x14ac:dyDescent="0.25">
      <c r="E343" s="11">
        <f t="shared" si="28"/>
        <v>-79</v>
      </c>
      <c r="F343" s="11">
        <f t="shared" si="29"/>
        <v>-25.859042136383575</v>
      </c>
      <c r="G343" s="11">
        <f t="shared" si="30"/>
        <v>-25.460640083762978</v>
      </c>
    </row>
    <row r="344" spans="5:7" x14ac:dyDescent="0.25">
      <c r="E344" s="11">
        <f t="shared" si="28"/>
        <v>-78</v>
      </c>
      <c r="F344" s="11">
        <f t="shared" si="29"/>
        <v>-25.553092909012328</v>
      </c>
      <c r="G344" s="11">
        <f t="shared" si="30"/>
        <v>-25.169478673814549</v>
      </c>
    </row>
    <row r="345" spans="5:7" x14ac:dyDescent="0.25">
      <c r="E345" s="11">
        <f t="shared" si="28"/>
        <v>-77</v>
      </c>
      <c r="F345" s="11">
        <f t="shared" si="29"/>
        <v>-25.246736449121933</v>
      </c>
      <c r="G345" s="11">
        <f t="shared" si="30"/>
        <v>-24.882725219879159</v>
      </c>
    </row>
    <row r="346" spans="5:7" x14ac:dyDescent="0.25">
      <c r="E346" s="11">
        <f t="shared" si="28"/>
        <v>-76</v>
      </c>
      <c r="F346" s="11">
        <f t="shared" si="29"/>
        <v>-24.940277667949317</v>
      </c>
      <c r="G346" s="11">
        <f t="shared" si="30"/>
        <v>-24.60013999298495</v>
      </c>
    </row>
    <row r="347" spans="5:7" x14ac:dyDescent="0.25">
      <c r="E347" s="11">
        <f t="shared" si="28"/>
        <v>-75</v>
      </c>
      <c r="F347" s="11">
        <f t="shared" si="29"/>
        <v>-24.634015850325113</v>
      </c>
      <c r="G347" s="11">
        <f t="shared" si="30"/>
        <v>-24.321483264160076</v>
      </c>
    </row>
    <row r="348" spans="5:7" x14ac:dyDescent="0.25">
      <c r="E348" s="11">
        <f t="shared" si="28"/>
        <v>-74</v>
      </c>
      <c r="F348" s="11">
        <f t="shared" si="29"/>
        <v>-24.328243014400563</v>
      </c>
      <c r="G348" s="11">
        <f t="shared" si="30"/>
        <v>-24.046515304432702</v>
      </c>
    </row>
    <row r="349" spans="5:7" x14ac:dyDescent="0.25">
      <c r="E349" s="11">
        <f t="shared" si="28"/>
        <v>-73</v>
      </c>
      <c r="F349" s="11">
        <f t="shared" si="29"/>
        <v>-24.023242268322505</v>
      </c>
      <c r="G349" s="11">
        <f t="shared" si="30"/>
        <v>-23.774996384830974</v>
      </c>
    </row>
    <row r="350" spans="5:7" x14ac:dyDescent="0.25">
      <c r="E350" s="11">
        <f t="shared" si="28"/>
        <v>-72</v>
      </c>
      <c r="F350" s="11">
        <f t="shared" si="29"/>
        <v>-23.719286169601837</v>
      </c>
      <c r="G350" s="11">
        <f t="shared" si="30"/>
        <v>-23.506686776383038</v>
      </c>
    </row>
    <row r="351" spans="5:7" x14ac:dyDescent="0.25">
      <c r="E351" s="11">
        <f t="shared" ref="E351:E414" si="31">E144</f>
        <v>-71</v>
      </c>
      <c r="F351" s="11">
        <f t="shared" ref="F351:F414" si="32">$H$217*0+E351*$I$217+E351^2*$J$217+E351^3*$K$217+E351^4*$L$217+E351^5*$M$217+E351^6*$N$217+E351^7*$O$217+E351^8*$P$217</f>
        <v>-23.416635093107082</v>
      </c>
      <c r="G351" s="11">
        <f t="shared" ref="G351:G414" si="33">F144</f>
        <v>-23.24134675011706</v>
      </c>
    </row>
    <row r="352" spans="5:7" x14ac:dyDescent="0.25">
      <c r="E352" s="11">
        <f t="shared" si="31"/>
        <v>-70</v>
      </c>
      <c r="F352" s="11">
        <f t="shared" si="32"/>
        <v>-23.115535613818388</v>
      </c>
      <c r="G352" s="11">
        <f t="shared" si="33"/>
        <v>-22.978736577061191</v>
      </c>
    </row>
    <row r="353" spans="5:7" x14ac:dyDescent="0.25">
      <c r="E353" s="11">
        <f t="shared" si="31"/>
        <v>-69</v>
      </c>
      <c r="F353" s="11">
        <f t="shared" si="32"/>
        <v>-22.816218910664993</v>
      </c>
      <c r="G353" s="11">
        <f t="shared" si="33"/>
        <v>-22.718616528243583</v>
      </c>
    </row>
    <row r="354" spans="5:7" x14ac:dyDescent="0.25">
      <c r="E354" s="11">
        <f t="shared" si="31"/>
        <v>-68</v>
      </c>
      <c r="F354" s="11">
        <f t="shared" si="32"/>
        <v>-22.518899197966846</v>
      </c>
      <c r="G354" s="11">
        <f t="shared" si="33"/>
        <v>-22.460746874692383</v>
      </c>
    </row>
    <row r="355" spans="5:7" x14ac:dyDescent="0.25">
      <c r="E355" s="11">
        <f t="shared" si="31"/>
        <v>-67</v>
      </c>
      <c r="F355" s="11">
        <f t="shared" si="32"/>
        <v>-22.223772191195842</v>
      </c>
      <c r="G355" s="11">
        <f t="shared" si="33"/>
        <v>-22.204887887435753</v>
      </c>
    </row>
    <row r="356" spans="5:7" x14ac:dyDescent="0.25">
      <c r="E356" s="11">
        <f t="shared" si="31"/>
        <v>-66</v>
      </c>
      <c r="F356" s="11">
        <f t="shared" si="32"/>
        <v>-21.931013613967433</v>
      </c>
      <c r="G356" s="11">
        <f t="shared" si="33"/>
        <v>-21.950799837501847</v>
      </c>
    </row>
    <row r="357" spans="5:7" x14ac:dyDescent="0.25">
      <c r="E357" s="11">
        <f t="shared" si="31"/>
        <v>-65</v>
      </c>
      <c r="F357" s="11">
        <f t="shared" si="32"/>
        <v>-21.640777753364564</v>
      </c>
      <c r="G357" s="11">
        <f t="shared" si="33"/>
        <v>-21.698242995918811</v>
      </c>
    </row>
    <row r="358" spans="5:7" x14ac:dyDescent="0.25">
      <c r="E358" s="11">
        <f t="shared" si="31"/>
        <v>-64</v>
      </c>
      <c r="F358" s="11">
        <f t="shared" si="32"/>
        <v>-21.353196070895216</v>
      </c>
      <c r="G358" s="11">
        <f t="shared" si="33"/>
        <v>-21.446977633714802</v>
      </c>
    </row>
    <row r="359" spans="5:7" x14ac:dyDescent="0.25">
      <c r="E359" s="11">
        <f t="shared" si="31"/>
        <v>-63</v>
      </c>
      <c r="F359" s="11">
        <f t="shared" si="32"/>
        <v>-21.068375876576912</v>
      </c>
      <c r="G359" s="11">
        <f t="shared" si="33"/>
        <v>-21.196764021917978</v>
      </c>
    </row>
    <row r="360" spans="5:7" x14ac:dyDescent="0.25">
      <c r="E360" s="11">
        <f t="shared" si="31"/>
        <v>-62</v>
      </c>
      <c r="F360" s="11">
        <f t="shared" si="32"/>
        <v>-20.786399073835803</v>
      </c>
      <c r="G360" s="11">
        <f t="shared" si="33"/>
        <v>-20.947362431556485</v>
      </c>
    </row>
    <row r="361" spans="5:7" x14ac:dyDescent="0.25">
      <c r="E361" s="11">
        <f t="shared" si="31"/>
        <v>-61</v>
      </c>
      <c r="F361" s="11">
        <f t="shared" si="32"/>
        <v>-20.507320983104858</v>
      </c>
      <c r="G361" s="11">
        <f t="shared" si="33"/>
        <v>-20.698533133658483</v>
      </c>
    </row>
    <row r="362" spans="5:7" x14ac:dyDescent="0.25">
      <c r="E362" s="11">
        <f t="shared" si="31"/>
        <v>-60</v>
      </c>
      <c r="F362" s="11">
        <f t="shared" si="32"/>
        <v>-20.23116925219832</v>
      </c>
      <c r="G362" s="11">
        <f t="shared" si="33"/>
        <v>-20.45003639925212</v>
      </c>
    </row>
    <row r="363" spans="5:7" x14ac:dyDescent="0.25">
      <c r="E363" s="11">
        <f t="shared" si="31"/>
        <v>-59</v>
      </c>
      <c r="F363" s="11">
        <f t="shared" si="32"/>
        <v>-19.957942861735042</v>
      </c>
      <c r="G363" s="11">
        <f t="shared" si="33"/>
        <v>-20.201632499365552</v>
      </c>
    </row>
    <row r="364" spans="5:7" x14ac:dyDescent="0.25">
      <c r="E364" s="11">
        <f t="shared" si="31"/>
        <v>-58</v>
      </c>
      <c r="F364" s="11">
        <f t="shared" si="32"/>
        <v>-19.68761123407851</v>
      </c>
      <c r="G364" s="11">
        <f t="shared" si="33"/>
        <v>-19.953081705026932</v>
      </c>
    </row>
    <row r="365" spans="5:7" x14ac:dyDescent="0.25">
      <c r="E365" s="11">
        <f t="shared" si="31"/>
        <v>-57</v>
      </c>
      <c r="F365" s="11">
        <f t="shared" si="32"/>
        <v>-19.420113454454977</v>
      </c>
      <c r="G365" s="11">
        <f t="shared" si="33"/>
        <v>-19.704144287264413</v>
      </c>
    </row>
    <row r="366" spans="5:7" x14ac:dyDescent="0.25">
      <c r="E366" s="11">
        <f t="shared" si="31"/>
        <v>-56</v>
      </c>
      <c r="F366" s="11">
        <f t="shared" si="32"/>
        <v>-19.155357613107014</v>
      </c>
      <c r="G366" s="11">
        <f t="shared" si="33"/>
        <v>-19.454580517106152</v>
      </c>
    </row>
    <row r="367" spans="5:7" x14ac:dyDescent="0.25">
      <c r="E367" s="11">
        <f t="shared" si="31"/>
        <v>-55</v>
      </c>
      <c r="F367" s="11">
        <f t="shared" si="32"/>
        <v>-18.893220277533405</v>
      </c>
      <c r="G367" s="11">
        <f t="shared" si="33"/>
        <v>-19.2041506655803</v>
      </c>
    </row>
    <row r="368" spans="5:7" x14ac:dyDescent="0.25">
      <c r="E368" s="11">
        <f t="shared" si="31"/>
        <v>-54</v>
      </c>
      <c r="F368" s="11">
        <f t="shared" si="32"/>
        <v>-18.633546104062034</v>
      </c>
      <c r="G368" s="11">
        <f t="shared" si="33"/>
        <v>-18.952615003715007</v>
      </c>
    </row>
    <row r="369" spans="5:7" x14ac:dyDescent="0.25">
      <c r="E369" s="11">
        <f t="shared" si="31"/>
        <v>-53</v>
      </c>
      <c r="F369" s="11">
        <f t="shared" si="32"/>
        <v>-18.376147598195555</v>
      </c>
      <c r="G369" s="11">
        <f t="shared" si="33"/>
        <v>-18.699733802538432</v>
      </c>
    </row>
    <row r="370" spans="5:7" x14ac:dyDescent="0.25">
      <c r="E370" s="11">
        <f t="shared" si="31"/>
        <v>-52</v>
      </c>
      <c r="F370" s="11">
        <f t="shared" si="32"/>
        <v>-18.120805033367002</v>
      </c>
      <c r="G370" s="11">
        <f t="shared" si="33"/>
        <v>-18.445267333078725</v>
      </c>
    </row>
    <row r="371" spans="5:7" x14ac:dyDescent="0.25">
      <c r="E371" s="11">
        <f t="shared" si="31"/>
        <v>-51</v>
      </c>
      <c r="F371" s="11">
        <f t="shared" si="32"/>
        <v>-17.867266537933741</v>
      </c>
      <c r="G371" s="11">
        <f t="shared" si="33"/>
        <v>-18.188975866364039</v>
      </c>
    </row>
    <row r="372" spans="5:7" x14ac:dyDescent="0.25">
      <c r="E372" s="11">
        <f t="shared" si="31"/>
        <v>-50</v>
      </c>
      <c r="F372" s="11">
        <f t="shared" si="32"/>
        <v>-17.615248360436095</v>
      </c>
      <c r="G372" s="11">
        <f t="shared" si="33"/>
        <v>-17.93061967342253</v>
      </c>
    </row>
    <row r="373" spans="5:7" x14ac:dyDescent="0.25">
      <c r="E373" s="11">
        <f t="shared" si="31"/>
        <v>-49</v>
      </c>
      <c r="F373" s="11">
        <f t="shared" si="32"/>
        <v>-17.364435323339237</v>
      </c>
      <c r="G373" s="11">
        <f t="shared" si="33"/>
        <v>-17.669959025282353</v>
      </c>
    </row>
    <row r="374" spans="5:7" x14ac:dyDescent="0.25">
      <c r="E374" s="11">
        <f t="shared" si="31"/>
        <v>-48</v>
      </c>
      <c r="F374" s="11">
        <f t="shared" si="32"/>
        <v>-17.11448147567344</v>
      </c>
      <c r="G374" s="11">
        <f t="shared" si="33"/>
        <v>-17.406754192971658</v>
      </c>
    </row>
    <row r="375" spans="5:7" x14ac:dyDescent="0.25">
      <c r="E375" s="11">
        <f t="shared" si="31"/>
        <v>-47</v>
      </c>
      <c r="F375" s="11">
        <f t="shared" si="32"/>
        <v>-16.865010955181187</v>
      </c>
      <c r="G375" s="11">
        <f t="shared" si="33"/>
        <v>-17.140765447518596</v>
      </c>
    </row>
    <row r="376" spans="5:7" x14ac:dyDescent="0.25">
      <c r="E376" s="11">
        <f t="shared" si="31"/>
        <v>-46</v>
      </c>
      <c r="F376" s="11">
        <f t="shared" si="32"/>
        <v>-16.61561907077478</v>
      </c>
      <c r="G376" s="11">
        <f t="shared" si="33"/>
        <v>-16.871753059951327</v>
      </c>
    </row>
    <row r="377" spans="5:7" x14ac:dyDescent="0.25">
      <c r="E377" s="11">
        <f t="shared" si="31"/>
        <v>-45</v>
      </c>
      <c r="F377" s="11">
        <f t="shared" si="32"/>
        <v>-16.365873616303237</v>
      </c>
      <c r="G377" s="11">
        <f t="shared" si="33"/>
        <v>-16.599477301298002</v>
      </c>
    </row>
    <row r="378" spans="5:7" x14ac:dyDescent="0.25">
      <c r="E378" s="11">
        <f t="shared" si="31"/>
        <v>-44</v>
      </c>
      <c r="F378" s="11">
        <f t="shared" si="32"/>
        <v>-16.115316426821323</v>
      </c>
      <c r="G378" s="11">
        <f t="shared" si="33"/>
        <v>-16.323698442586771</v>
      </c>
    </row>
    <row r="379" spans="5:7" x14ac:dyDescent="0.25">
      <c r="E379" s="11">
        <f t="shared" si="31"/>
        <v>-43</v>
      </c>
      <c r="F379" s="11">
        <f t="shared" si="32"/>
        <v>-15.863465188748419</v>
      </c>
      <c r="G379" s="11">
        <f t="shared" si="33"/>
        <v>-16.044176754845793</v>
      </c>
    </row>
    <row r="380" spans="5:7" x14ac:dyDescent="0.25">
      <c r="E380" s="11">
        <f t="shared" si="31"/>
        <v>-42</v>
      </c>
      <c r="F380" s="11">
        <f t="shared" si="32"/>
        <v>-15.609815515499893</v>
      </c>
      <c r="G380" s="11">
        <f t="shared" si="33"/>
        <v>-15.760672509103218</v>
      </c>
    </row>
    <row r="381" spans="5:7" x14ac:dyDescent="0.25">
      <c r="E381" s="11">
        <f t="shared" si="31"/>
        <v>-41</v>
      </c>
      <c r="F381" s="11">
        <f t="shared" si="32"/>
        <v>-15.353843300367965</v>
      </c>
      <c r="G381" s="11">
        <f t="shared" si="33"/>
        <v>-15.472945976387198</v>
      </c>
    </row>
    <row r="382" spans="5:7" x14ac:dyDescent="0.25">
      <c r="E382" s="11">
        <f t="shared" si="31"/>
        <v>-40</v>
      </c>
      <c r="F382" s="11">
        <f t="shared" si="32"/>
        <v>-15.095007358624244</v>
      </c>
      <c r="G382" s="11">
        <f t="shared" si="33"/>
        <v>-15.18075742772589</v>
      </c>
    </row>
    <row r="383" spans="5:7" x14ac:dyDescent="0.25">
      <c r="E383" s="11">
        <f t="shared" si="31"/>
        <v>-39</v>
      </c>
      <c r="F383" s="11">
        <f t="shared" si="32"/>
        <v>-14.832752371010058</v>
      </c>
      <c r="G383" s="11">
        <f t="shared" si="33"/>
        <v>-14.883867134147447</v>
      </c>
    </row>
    <row r="384" spans="5:7" x14ac:dyDescent="0.25">
      <c r="E384" s="11">
        <f t="shared" si="31"/>
        <v>-38</v>
      </c>
      <c r="F384" s="11">
        <f t="shared" si="32"/>
        <v>-14.566512140976281</v>
      </c>
      <c r="G384" s="11">
        <f t="shared" si="33"/>
        <v>-14.582035366680021</v>
      </c>
    </row>
    <row r="385" spans="5:7" x14ac:dyDescent="0.25">
      <c r="E385" s="11">
        <f t="shared" si="31"/>
        <v>-37</v>
      </c>
      <c r="F385" s="11">
        <f t="shared" si="32"/>
        <v>-14.295713178228381</v>
      </c>
      <c r="G385" s="11">
        <f t="shared" si="33"/>
        <v>-14.275022396351766</v>
      </c>
    </row>
    <row r="386" spans="5:7" x14ac:dyDescent="0.25">
      <c r="E386" s="11">
        <f t="shared" si="31"/>
        <v>-36</v>
      </c>
      <c r="F386" s="11">
        <f t="shared" si="32"/>
        <v>-14.019778621327356</v>
      </c>
      <c r="G386" s="11">
        <f t="shared" si="33"/>
        <v>-13.962588494190836</v>
      </c>
    </row>
    <row r="387" spans="5:7" x14ac:dyDescent="0.25">
      <c r="E387" s="11">
        <f t="shared" si="31"/>
        <v>-35</v>
      </c>
      <c r="F387" s="11">
        <f t="shared" si="32"/>
        <v>-13.738132512292049</v>
      </c>
      <c r="G387" s="11">
        <f t="shared" si="33"/>
        <v>-13.644493931225382</v>
      </c>
    </row>
    <row r="388" spans="5:7" x14ac:dyDescent="0.25">
      <c r="E388" s="11">
        <f t="shared" si="31"/>
        <v>-34</v>
      </c>
      <c r="F388" s="11">
        <f t="shared" si="32"/>
        <v>-13.450204436342839</v>
      </c>
      <c r="G388" s="11">
        <f t="shared" si="33"/>
        <v>-13.320567030406375</v>
      </c>
    </row>
    <row r="389" spans="5:7" x14ac:dyDescent="0.25">
      <c r="E389" s="11">
        <f t="shared" si="31"/>
        <v>-33</v>
      </c>
      <c r="F389" s="11">
        <f t="shared" si="32"/>
        <v>-13.155434540121339</v>
      </c>
      <c r="G389" s="11">
        <f t="shared" si="33"/>
        <v>-12.990908322376038</v>
      </c>
    </row>
    <row r="390" spans="5:7" x14ac:dyDescent="0.25">
      <c r="E390" s="11">
        <f t="shared" si="31"/>
        <v>-32</v>
      </c>
      <c r="F390" s="11">
        <f t="shared" si="32"/>
        <v>-12.853278941915757</v>
      </c>
      <c r="G390" s="11">
        <f t="shared" si="33"/>
        <v>-12.655686389699412</v>
      </c>
    </row>
    <row r="391" spans="5:7" x14ac:dyDescent="0.25">
      <c r="E391" s="11">
        <f t="shared" si="31"/>
        <v>-31</v>
      </c>
      <c r="F391" s="11">
        <f t="shared" si="32"/>
        <v>-12.54321554761597</v>
      </c>
      <c r="G391" s="11">
        <f t="shared" si="33"/>
        <v>-12.315069814941534</v>
      </c>
    </row>
    <row r="392" spans="5:7" x14ac:dyDescent="0.25">
      <c r="E392" s="11">
        <f t="shared" si="31"/>
        <v>-30</v>
      </c>
      <c r="F392" s="11">
        <f t="shared" si="32"/>
        <v>-12.22475028631712</v>
      </c>
      <c r="G392" s="11">
        <f t="shared" si="33"/>
        <v>-11.969227180667444</v>
      </c>
    </row>
    <row r="393" spans="5:7" x14ac:dyDescent="0.25">
      <c r="E393" s="11">
        <f t="shared" si="31"/>
        <v>-29</v>
      </c>
      <c r="F393" s="11">
        <f t="shared" si="32"/>
        <v>-11.897423779685338</v>
      </c>
      <c r="G393" s="11">
        <f t="shared" si="33"/>
        <v>-11.618327069442177</v>
      </c>
    </row>
    <row r="394" spans="5:7" x14ac:dyDescent="0.25">
      <c r="E394" s="11">
        <f t="shared" si="31"/>
        <v>-28</v>
      </c>
      <c r="F394" s="11">
        <f t="shared" si="32"/>
        <v>-11.560818459393833</v>
      </c>
      <c r="G394" s="11">
        <f t="shared" si="33"/>
        <v>-11.26253806383078</v>
      </c>
    </row>
    <row r="395" spans="5:7" x14ac:dyDescent="0.25">
      <c r="E395" s="11">
        <f t="shared" si="31"/>
        <v>-27</v>
      </c>
      <c r="F395" s="11">
        <f t="shared" si="32"/>
        <v>-11.214566147132244</v>
      </c>
      <c r="G395" s="11">
        <f t="shared" si="33"/>
        <v>-10.902028746398289</v>
      </c>
    </row>
    <row r="396" spans="5:7" x14ac:dyDescent="0.25">
      <c r="E396" s="11">
        <f t="shared" si="31"/>
        <v>-26</v>
      </c>
      <c r="F396" s="11">
        <f t="shared" si="32"/>
        <v>-10.85835611188695</v>
      </c>
      <c r="G396" s="11">
        <f t="shared" si="33"/>
        <v>-10.53696769970974</v>
      </c>
    </row>
    <row r="397" spans="5:7" x14ac:dyDescent="0.25">
      <c r="E397" s="11">
        <f t="shared" si="31"/>
        <v>-25</v>
      </c>
      <c r="F397" s="11">
        <f t="shared" si="32"/>
        <v>-10.491943619384578</v>
      </c>
      <c r="G397" s="11">
        <f t="shared" si="33"/>
        <v>-10.167523506330173</v>
      </c>
    </row>
    <row r="398" spans="5:7" x14ac:dyDescent="0.25">
      <c r="E398" s="11">
        <f t="shared" si="31"/>
        <v>-24</v>
      </c>
      <c r="F398" s="11">
        <f t="shared" si="32"/>
        <v>-10.115158988785861</v>
      </c>
      <c r="G398" s="11">
        <f t="shared" si="33"/>
        <v>-9.7938647488246318</v>
      </c>
    </row>
    <row r="399" spans="5:7" x14ac:dyDescent="0.25">
      <c r="E399" s="11">
        <f t="shared" si="31"/>
        <v>-23</v>
      </c>
      <c r="F399" s="11">
        <f t="shared" si="32"/>
        <v>-9.727917171911475</v>
      </c>
      <c r="G399" s="11">
        <f t="shared" si="33"/>
        <v>-9.4161600097581513</v>
      </c>
    </row>
    <row r="400" spans="5:7" x14ac:dyDescent="0.25">
      <c r="E400" s="11">
        <f t="shared" si="31"/>
        <v>-22</v>
      </c>
      <c r="F400" s="11">
        <f t="shared" si="32"/>
        <v>-9.3302278704763175</v>
      </c>
      <c r="G400" s="11">
        <f t="shared" si="33"/>
        <v>-9.0345778716957703</v>
      </c>
    </row>
    <row r="401" spans="5:7" x14ac:dyDescent="0.25">
      <c r="E401" s="11">
        <f t="shared" si="31"/>
        <v>-21</v>
      </c>
      <c r="F401" s="11">
        <f t="shared" si="32"/>
        <v>-8.9222062070033346</v>
      </c>
      <c r="G401" s="11">
        <f t="shared" si="33"/>
        <v>-8.6492869172025291</v>
      </c>
    </row>
    <row r="402" spans="5:7" x14ac:dyDescent="0.25">
      <c r="E402" s="11">
        <f t="shared" si="31"/>
        <v>-20</v>
      </c>
      <c r="F402" s="11">
        <f t="shared" si="32"/>
        <v>-8.5040839652827493</v>
      </c>
      <c r="G402" s="11">
        <f t="shared" si="33"/>
        <v>-8.2604557288434659</v>
      </c>
    </row>
    <row r="403" spans="5:7" x14ac:dyDescent="0.25">
      <c r="E403" s="11">
        <f t="shared" si="31"/>
        <v>-19</v>
      </c>
      <c r="F403" s="11">
        <f t="shared" si="32"/>
        <v>-8.076221416437166</v>
      </c>
      <c r="G403" s="11">
        <f t="shared" si="33"/>
        <v>-7.8682528891836228</v>
      </c>
    </row>
    <row r="404" spans="5:7" x14ac:dyDescent="0.25">
      <c r="E404" s="11">
        <f t="shared" si="31"/>
        <v>-18</v>
      </c>
      <c r="F404" s="11">
        <f t="shared" si="32"/>
        <v>-7.6391197468477845</v>
      </c>
      <c r="G404" s="11">
        <f t="shared" si="33"/>
        <v>-7.4728469807880362</v>
      </c>
    </row>
    <row r="405" spans="5:7" x14ac:dyDescent="0.25">
      <c r="E405" s="11">
        <f t="shared" si="31"/>
        <v>-17</v>
      </c>
      <c r="F405" s="11">
        <f t="shared" si="32"/>
        <v>-7.1934341043916143</v>
      </c>
      <c r="G405" s="11">
        <f t="shared" si="33"/>
        <v>-7.0744065862217447</v>
      </c>
    </row>
    <row r="406" spans="5:7" x14ac:dyDescent="0.25">
      <c r="E406" s="11">
        <f t="shared" si="31"/>
        <v>-16</v>
      </c>
      <c r="F406" s="11">
        <f t="shared" si="32"/>
        <v>-6.739987279634347</v>
      </c>
      <c r="G406" s="11">
        <f t="shared" si="33"/>
        <v>-6.6731002880497892</v>
      </c>
    </row>
    <row r="407" spans="5:7" x14ac:dyDescent="0.25">
      <c r="E407" s="11">
        <f t="shared" si="31"/>
        <v>-15</v>
      </c>
      <c r="F407" s="11">
        <f t="shared" si="32"/>
        <v>-6.279784038818125</v>
      </c>
      <c r="G407" s="11">
        <f t="shared" si="33"/>
        <v>-6.2690966688372081</v>
      </c>
    </row>
    <row r="408" spans="5:7" x14ac:dyDescent="0.25">
      <c r="E408" s="11">
        <f t="shared" si="31"/>
        <v>-14</v>
      </c>
      <c r="F408" s="11">
        <f t="shared" si="32"/>
        <v>-5.8140261256782395</v>
      </c>
      <c r="G408" s="11">
        <f t="shared" si="33"/>
        <v>-5.8625643111490398</v>
      </c>
    </row>
    <row r="409" spans="5:7" x14ac:dyDescent="0.25">
      <c r="E409" s="11">
        <f t="shared" si="31"/>
        <v>-13</v>
      </c>
      <c r="F409" s="11">
        <f t="shared" si="32"/>
        <v>-5.3441279493174845</v>
      </c>
      <c r="G409" s="11">
        <f t="shared" si="33"/>
        <v>-5.4536717975503253</v>
      </c>
    </row>
    <row r="410" spans="5:7" x14ac:dyDescent="0.25">
      <c r="E410" s="11">
        <f t="shared" si="31"/>
        <v>-12</v>
      </c>
      <c r="F410" s="11">
        <f t="shared" si="32"/>
        <v>-4.871732975561498</v>
      </c>
      <c r="G410" s="11">
        <f t="shared" si="33"/>
        <v>-5.0425877106061012</v>
      </c>
    </row>
    <row r="411" spans="5:7" x14ac:dyDescent="0.25">
      <c r="E411" s="11">
        <f t="shared" si="31"/>
        <v>-11</v>
      </c>
      <c r="F411" s="11">
        <f t="shared" si="32"/>
        <v>-4.3987308394132505</v>
      </c>
      <c r="G411" s="11">
        <f t="shared" si="33"/>
        <v>-4.6294806328814087</v>
      </c>
    </row>
    <row r="412" spans="5:7" x14ac:dyDescent="0.25">
      <c r="E412" s="11">
        <f t="shared" si="31"/>
        <v>-10</v>
      </c>
      <c r="F412" s="11">
        <f t="shared" si="32"/>
        <v>-3.9272751964194184</v>
      </c>
      <c r="G412" s="11">
        <f t="shared" si="33"/>
        <v>-4.214519146941285</v>
      </c>
    </row>
    <row r="413" spans="5:7" x14ac:dyDescent="0.25">
      <c r="E413" s="11">
        <f t="shared" si="31"/>
        <v>-9</v>
      </c>
      <c r="F413" s="11">
        <f t="shared" si="32"/>
        <v>-3.4598023309561663</v>
      </c>
      <c r="G413" s="11">
        <f t="shared" si="33"/>
        <v>-3.797871835350771</v>
      </c>
    </row>
    <row r="414" spans="5:7" x14ac:dyDescent="0.25">
      <c r="E414" s="11">
        <f t="shared" si="31"/>
        <v>-8</v>
      </c>
      <c r="F414" s="11">
        <f t="shared" si="32"/>
        <v>-2.9990505396365039</v>
      </c>
      <c r="G414" s="11">
        <f t="shared" si="33"/>
        <v>-3.3797072806749053</v>
      </c>
    </row>
    <row r="415" spans="5:7" x14ac:dyDescent="0.25">
      <c r="E415" s="11">
        <f t="shared" ref="E415:E422" si="34">E208</f>
        <v>-7</v>
      </c>
      <c r="F415" s="11">
        <f t="shared" ref="F415:F422" si="35">$H$217*0+E415*$I$217+E415^2*$J$217+E415^3*$K$217+E415^4*$L$217+E415^5*$M$217+E415^6*$N$217+E415^7*$O$217+E415^8*$P$217</f>
        <v>-2.548080308236107</v>
      </c>
      <c r="G415" s="11">
        <f t="shared" ref="G415:G422" si="36">F208</f>
        <v>-2.9601940654787264</v>
      </c>
    </row>
    <row r="416" spans="5:7" x14ac:dyDescent="0.25">
      <c r="E416" s="11">
        <f t="shared" si="34"/>
        <v>-6</v>
      </c>
      <c r="F416" s="11">
        <f t="shared" si="35"/>
        <v>-2.110295300729168</v>
      </c>
      <c r="G416" s="11">
        <f t="shared" si="36"/>
        <v>-2.5395007723272736</v>
      </c>
    </row>
    <row r="417" spans="5:7" x14ac:dyDescent="0.25">
      <c r="E417" s="11">
        <f t="shared" si="34"/>
        <v>-5</v>
      </c>
      <c r="F417" s="11">
        <f t="shared" si="35"/>
        <v>-1.6894641792205813</v>
      </c>
      <c r="G417" s="11">
        <f t="shared" si="36"/>
        <v>-2.1177959837855864</v>
      </c>
    </row>
    <row r="418" spans="5:7" x14ac:dyDescent="0.25">
      <c r="E418" s="11">
        <f t="shared" si="34"/>
        <v>-4</v>
      </c>
      <c r="F418" s="11">
        <f t="shared" si="35"/>
        <v>-1.2897432737554033</v>
      </c>
      <c r="G418" s="11">
        <f t="shared" si="36"/>
        <v>-1.6952482824187038</v>
      </c>
    </row>
    <row r="419" spans="5:7" x14ac:dyDescent="0.25">
      <c r="E419" s="11">
        <f t="shared" si="34"/>
        <v>-3</v>
      </c>
      <c r="F419" s="11">
        <f t="shared" si="35"/>
        <v>-0.91570012118128274</v>
      </c>
      <c r="G419" s="11">
        <f t="shared" si="36"/>
        <v>-1.2720262507916646</v>
      </c>
    </row>
    <row r="420" spans="5:7" x14ac:dyDescent="0.25">
      <c r="E420" s="11">
        <f t="shared" si="34"/>
        <v>-2</v>
      </c>
      <c r="F420" s="11">
        <f t="shared" si="35"/>
        <v>-0.57233789243421374</v>
      </c>
      <c r="G420" s="11">
        <f t="shared" si="36"/>
        <v>-0.84829847146950832</v>
      </c>
    </row>
    <row r="421" spans="5:7" x14ac:dyDescent="0.25">
      <c r="E421" s="11">
        <f t="shared" si="34"/>
        <v>-1</v>
      </c>
      <c r="F421" s="11">
        <f t="shared" si="35"/>
        <v>-0.26512072781268847</v>
      </c>
      <c r="G421" s="11">
        <f t="shared" si="36"/>
        <v>-0.42423352701727374</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2022-01-12T17:14:39Z</dcterms:modified>
</cp:coreProperties>
</file>