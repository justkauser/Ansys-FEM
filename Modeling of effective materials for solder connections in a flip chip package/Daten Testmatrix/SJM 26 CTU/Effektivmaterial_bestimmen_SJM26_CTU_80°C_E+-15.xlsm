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<sst xmlns="http://schemas.openxmlformats.org/spreadsheetml/2006/main" count="311" uniqueCount="164">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</sst>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230072"/>
        <c:axId val="5442386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00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8696"/>
        <c:crossesAt val="-8.0000000000000019E-3"/>
        <c:crossBetween val="midCat"/>
      </c:valAx>
      <c:valAx>
        <c:axId val="544238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0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4237128"/>
        <c:axId val="54423124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71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1248"/>
        <c:crosses val="autoZero"/>
        <c:crossBetween val="midCat"/>
      </c:valAx>
      <c:valAx>
        <c:axId val="54423124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71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237912"/>
        <c:axId val="5442328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2379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2816"/>
        <c:crosses val="autoZero"/>
        <c:crossBetween val="midCat"/>
        <c:majorUnit val="10000"/>
      </c:valAx>
      <c:valAx>
        <c:axId val="5442328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791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239872"/>
        <c:axId val="5442402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39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240264"/>
        <c:crosses val="autoZero"/>
        <c:crossBetween val="midCat"/>
        <c:majorUnit val="10000"/>
      </c:valAx>
      <c:valAx>
        <c:axId val="54424026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23987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240656"/>
        <c:axId val="5442332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24065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33208"/>
        <c:crosses val="autoZero"/>
        <c:crossBetween val="midCat"/>
        <c:majorUnit val="10000"/>
      </c:valAx>
      <c:valAx>
        <c:axId val="544233208"/>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065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8.7731154907948854E-3</c:v>
                </c:pt>
                <c:pt idx="1">
                  <c:v>1.1684286154477587E-2</c:v>
                </c:pt>
                <c:pt idx="2">
                  <c:v>3.148995047273413E-3</c:v>
                </c:pt>
                <c:pt idx="3">
                  <c:v>5.2408270907313272E-4</c:v>
                </c:pt>
                <c:pt idx="4">
                  <c:v>7.4799162489973245E-5</c:v>
                </c:pt>
                <c:pt idx="5">
                  <c:v>1.0481626755951572E-5</c:v>
                </c:pt>
                <c:pt idx="6">
                  <c:v>6.5244818218098236E-6</c:v>
                </c:pt>
                <c:pt idx="7">
                  <c:v>1.7346556369328856E-5</c:v>
                </c:pt>
                <c:pt idx="8">
                  <c:v>4.1244258408310483E-5</c:v>
                </c:pt>
                <c:pt idx="9">
                  <c:v>8.4494524574639336E-5</c:v>
                </c:pt>
                <c:pt idx="10">
                  <c:v>1.4908407776215193E-4</c:v>
                </c:pt>
                <c:pt idx="11">
                  <c:v>2.2451879703232016E-4</c:v>
                </c:pt>
                <c:pt idx="12">
                  <c:v>2.8779267751687527E-4</c:v>
                </c:pt>
                <c:pt idx="13">
                  <c:v>3.1436130756891352E-4</c:v>
                </c:pt>
                <c:pt idx="14">
                  <c:v>2.925955496016643E-4</c:v>
                </c:pt>
                <c:pt idx="15">
                  <c:v>2.3439078826980233E-4</c:v>
                </c:pt>
                <c:pt idx="16">
                  <c:v>1.6479813271642012E-4</c:v>
                </c:pt>
                <c:pt idx="17">
                  <c:v>1.0987265822029954E-4</c:v>
                </c:pt>
                <c:pt idx="18">
                  <c:v>6.6234051028853753E-5</c:v>
                </c:pt>
                <c:pt idx="19">
                  <c:v>3.3141453188064549E-5</c:v>
                </c:pt>
                <c:pt idx="20">
                  <c:v>1.2767853698910537E-5</c:v>
                </c:pt>
                <c:pt idx="21">
                  <c:v>3.8240580613040846E-6</c:v>
                </c:pt>
                <c:pt idx="22">
                  <c:v>2.4815955462385755E-6</c:v>
                </c:pt>
                <c:pt idx="23">
                  <c:v>4.3423981362459218E-6</c:v>
                </c:pt>
                <c:pt idx="24">
                  <c:v>4.5227790959513018E-7</c:v>
                </c:pt>
                <c:pt idx="25">
                  <c:v>1.0705488422414316E-5</c:v>
                </c:pt>
                <c:pt idx="26">
                  <c:v>2.3928283696285243E-5</c:v>
                </c:pt>
                <c:pt idx="27">
                  <c:v>6.2834634778921255E-5</c:v>
                </c:pt>
                <c:pt idx="28">
                  <c:v>1.029089809826047E-4</c:v>
                </c:pt>
                <c:pt idx="29">
                  <c:v>1.2491193841579026E-4</c:v>
                </c:pt>
                <c:pt idx="30">
                  <c:v>5.4012964321181152E-5</c:v>
                </c:pt>
              </c:numCache>
            </c:numRef>
          </c:yVal>
          <c:smooth val="1"/>
        </c:ser>
        <c:dLbls>
          <c:showLegendKey val="0"/>
          <c:showVal val="0"/>
          <c:showCatName val="0"/>
          <c:showSerName val="0"/>
          <c:showPercent val="0"/>
          <c:showBubbleSize val="0"/>
        </c:dLbls>
        <c:axId val="544242224"/>
        <c:axId val="544242616"/>
      </c:scatterChart>
      <c:valAx>
        <c:axId val="5442422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2616"/>
        <c:crossesAt val="-1.5000000000000005E-3"/>
        <c:crossBetween val="midCat"/>
      </c:valAx>
      <c:valAx>
        <c:axId val="5442426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222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6780.5730659016481</c:v>
                </c:pt>
                <c:pt idx="1">
                  <c:v>6721.2222394293585</c:v>
                </c:pt>
                <c:pt idx="2">
                  <c:v>6506.6037704297296</c:v>
                </c:pt>
                <c:pt idx="3">
                  <c:v>6416.3604718630731</c:v>
                </c:pt>
                <c:pt idx="4">
                  <c:v>6286.3326516749657</c:v>
                </c:pt>
                <c:pt idx="5">
                  <c:v>6151.4810401735467</c:v>
                </c:pt>
                <c:pt idx="6">
                  <c:v>5999.0181091272252</c:v>
                </c:pt>
                <c:pt idx="7">
                  <c:v>5834.2930572498381</c:v>
                </c:pt>
                <c:pt idx="8">
                  <c:v>5660.434471427935</c:v>
                </c:pt>
                <c:pt idx="9">
                  <c:v>5501.098578467765</c:v>
                </c:pt>
                <c:pt idx="10">
                  <c:v>5315.2617748595594</c:v>
                </c:pt>
                <c:pt idx="11">
                  <c:v>5096.1057346270163</c:v>
                </c:pt>
                <c:pt idx="12">
                  <c:v>4858.2767950304988</c:v>
                </c:pt>
                <c:pt idx="13">
                  <c:v>4655.2805681799773</c:v>
                </c:pt>
                <c:pt idx="14">
                  <c:v>4467.8676733168213</c:v>
                </c:pt>
                <c:pt idx="15">
                  <c:v>4268.965628864833</c:v>
                </c:pt>
                <c:pt idx="16">
                  <c:v>3976.1231745563819</c:v>
                </c:pt>
                <c:pt idx="17">
                  <c:v>3446.0377273762615</c:v>
                </c:pt>
                <c:pt idx="18">
                  <c:v>2839.1776762165127</c:v>
                </c:pt>
                <c:pt idx="19">
                  <c:v>2338.6496127071741</c:v>
                </c:pt>
                <c:pt idx="20">
                  <c:v>1960.302204333115</c:v>
                </c:pt>
                <c:pt idx="21">
                  <c:v>1656.3249214196153</c:v>
                </c:pt>
                <c:pt idx="22">
                  <c:v>1387.2074056891579</c:v>
                </c:pt>
                <c:pt idx="23">
                  <c:v>1120.1097846174816</c:v>
                </c:pt>
                <c:pt idx="24">
                  <c:v>849.29741015599336</c:v>
                </c:pt>
                <c:pt idx="25">
                  <c:v>602.01412462561314</c:v>
                </c:pt>
                <c:pt idx="26">
                  <c:v>414.56144951255766</c:v>
                </c:pt>
                <c:pt idx="27">
                  <c:v>296.74560141018856</c:v>
                </c:pt>
                <c:pt idx="28">
                  <c:v>236.52828141405783</c:v>
                </c:pt>
                <c:pt idx="29">
                  <c:v>206.62201720776227</c:v>
                </c:pt>
                <c:pt idx="30">
                  <c:v>191.81706588739681</c:v>
                </c:pt>
              </c:numCache>
            </c:numRef>
          </c:yVal>
          <c:smooth val="1"/>
        </c:ser>
        <c:dLbls>
          <c:showLegendKey val="0"/>
          <c:showVal val="0"/>
          <c:showCatName val="0"/>
          <c:showSerName val="0"/>
          <c:showPercent val="0"/>
          <c:showBubbleSize val="0"/>
        </c:dLbls>
        <c:axId val="544243792"/>
        <c:axId val="544244184"/>
      </c:scatterChart>
      <c:valAx>
        <c:axId val="544243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4184"/>
        <c:crosses val="autoZero"/>
        <c:crossBetween val="midCat"/>
      </c:valAx>
      <c:valAx>
        <c:axId val="5442441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2437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1.4198800648174055E-2</c:v>
                </c:pt>
                <c:pt idx="1">
                  <c:v>1.4217623558679797E-2</c:v>
                </c:pt>
                <c:pt idx="2">
                  <c:v>1.4301367293612413E-2</c:v>
                </c:pt>
                <c:pt idx="3">
                  <c:v>1.5174116611636684E-2</c:v>
                </c:pt>
                <c:pt idx="4">
                  <c:v>2.2577165796366653E-2</c:v>
                </c:pt>
                <c:pt idx="5">
                  <c:v>4.2085516339492757E-2</c:v>
                </c:pt>
                <c:pt idx="6">
                  <c:v>4.3014412135587897E-2</c:v>
                </c:pt>
                <c:pt idx="7">
                  <c:v>4.301768022569176E-2</c:v>
                </c:pt>
                <c:pt idx="8">
                  <c:v>4.3050556553555198E-2</c:v>
                </c:pt>
                <c:pt idx="9">
                  <c:v>4.3377959467687403E-2</c:v>
                </c:pt>
                <c:pt idx="10">
                  <c:v>4.6516096530318192E-2</c:v>
                </c:pt>
                <c:pt idx="11">
                  <c:v>6.7564808677139376E-2</c:v>
                </c:pt>
                <c:pt idx="12">
                  <c:v>8.9552638778064228E-2</c:v>
                </c:pt>
                <c:pt idx="13">
                  <c:v>0.10194617038357365</c:v>
                </c:pt>
                <c:pt idx="14">
                  <c:v>0.10892060699437575</c:v>
                </c:pt>
                <c:pt idx="15">
                  <c:v>0.10854158652040412</c:v>
                </c:pt>
                <c:pt idx="16">
                  <c:v>0.11692646855302702</c:v>
                </c:pt>
                <c:pt idx="17">
                  <c:v>0.12707031548508207</c:v>
                </c:pt>
                <c:pt idx="18">
                  <c:v>0.13584015535630231</c:v>
                </c:pt>
                <c:pt idx="19">
                  <c:v>0.1400271564804203</c:v>
                </c:pt>
                <c:pt idx="20">
                  <c:v>0.13594250691543033</c:v>
                </c:pt>
                <c:pt idx="21">
                  <c:v>7.9534758872982295E-2</c:v>
                </c:pt>
                <c:pt idx="22">
                  <c:v>3.3259547959860296E-2</c:v>
                </c:pt>
                <c:pt idx="23">
                  <c:v>0.16357167501852793</c:v>
                </c:pt>
                <c:pt idx="24">
                  <c:v>0.26414482669982342</c:v>
                </c:pt>
                <c:pt idx="25">
                  <c:v>0.34466668143648937</c:v>
                </c:pt>
                <c:pt idx="26">
                  <c:v>0.31920197016055329</c:v>
                </c:pt>
                <c:pt idx="27">
                  <c:v>0.19251617407420943</c:v>
                </c:pt>
                <c:pt idx="28">
                  <c:v>4.6886695206883662E-2</c:v>
                </c:pt>
                <c:pt idx="29">
                  <c:v>7.0321832089792896E-2</c:v>
                </c:pt>
                <c:pt idx="30">
                  <c:v>0.1745248682105083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2.3563864754108713E-2</c:v>
                </c:pt>
                <c:pt idx="1">
                  <c:v>2.3504196232114055E-2</c:v>
                </c:pt>
                <c:pt idx="2">
                  <c:v>2.2855247976784815E-2</c:v>
                </c:pt>
                <c:pt idx="3">
                  <c:v>1.8917004483075355E-2</c:v>
                </c:pt>
                <c:pt idx="4">
                  <c:v>2.6557638929361492E-2</c:v>
                </c:pt>
                <c:pt idx="5">
                  <c:v>2.3945142029843595E-2</c:v>
                </c:pt>
                <c:pt idx="6">
                  <c:v>2.6356297688864265E-2</c:v>
                </c:pt>
                <c:pt idx="7">
                  <c:v>2.8061712516945714E-2</c:v>
                </c:pt>
                <c:pt idx="8">
                  <c:v>3.1151233298995742E-2</c:v>
                </c:pt>
                <c:pt idx="9">
                  <c:v>3.3747069010942592E-2</c:v>
                </c:pt>
                <c:pt idx="10">
                  <c:v>3.6007408955411817E-2</c:v>
                </c:pt>
                <c:pt idx="11">
                  <c:v>3.4510731492878033E-2</c:v>
                </c:pt>
                <c:pt idx="12">
                  <c:v>3.9286018665618552E-2</c:v>
                </c:pt>
                <c:pt idx="13">
                  <c:v>4.6995647756323457E-2</c:v>
                </c:pt>
                <c:pt idx="14">
                  <c:v>5.2162551061985564E-2</c:v>
                </c:pt>
                <c:pt idx="15">
                  <c:v>4.7963012109362387E-2</c:v>
                </c:pt>
                <c:pt idx="16">
                  <c:v>3.8608413094351597E-2</c:v>
                </c:pt>
                <c:pt idx="17">
                  <c:v>4.2579286296077065E-3</c:v>
                </c:pt>
                <c:pt idx="18">
                  <c:v>8.9779874329640574E-2</c:v>
                </c:pt>
                <c:pt idx="19">
                  <c:v>0.13932223224898829</c:v>
                </c:pt>
                <c:pt idx="20">
                  <c:v>0.10957451616776838</c:v>
                </c:pt>
                <c:pt idx="21">
                  <c:v>5.0725086306670129E-2</c:v>
                </c:pt>
                <c:pt idx="22">
                  <c:v>8.3742423994433298E-5</c:v>
                </c:pt>
                <c:pt idx="23">
                  <c:v>4.8130488545448651E-2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8.7812230618200624E-3</c:v>
                </c:pt>
                <c:pt idx="1">
                  <c:v>1.1617688333542745E-2</c:v>
                </c:pt>
                <c:pt idx="2">
                  <c:v>3.2303408498240318E-3</c:v>
                </c:pt>
                <c:pt idx="3">
                  <c:v>4.759669201606594E-4</c:v>
                </c:pt>
                <c:pt idx="4">
                  <c:v>1.4878825639742818E-4</c:v>
                </c:pt>
                <c:pt idx="5">
                  <c:v>6.8649560286889773E-5</c:v>
                </c:pt>
                <c:pt idx="6">
                  <c:v>1.0162112417317621E-4</c:v>
                </c:pt>
                <c:pt idx="7">
                  <c:v>8.8562707318302585E-5</c:v>
                </c:pt>
                <c:pt idx="8">
                  <c:v>1.543485072337389E-4</c:v>
                </c:pt>
                <c:pt idx="9">
                  <c:v>2.1040685263443509E-5</c:v>
                </c:pt>
                <c:pt idx="10">
                  <c:v>2.9232138021900841E-4</c:v>
                </c:pt>
                <c:pt idx="11">
                  <c:v>6.070181542143447E-5</c:v>
                </c:pt>
                <c:pt idx="12">
                  <c:v>4.6335689896165181E-4</c:v>
                </c:pt>
                <c:pt idx="13">
                  <c:v>1.9141709157930115E-4</c:v>
                </c:pt>
                <c:pt idx="14">
                  <c:v>4.5154237100259657E-4</c:v>
                </c:pt>
                <c:pt idx="15">
                  <c:v>9.2543640634508737E-5</c:v>
                </c:pt>
                <c:pt idx="16">
                  <c:v>5.3108619727442678E-4</c:v>
                </c:pt>
                <c:pt idx="17">
                  <c:v>4.3497809342307671E-4</c:v>
                </c:pt>
                <c:pt idx="18">
                  <c:v>6.241857020526393E-4</c:v>
                </c:pt>
                <c:pt idx="19">
                  <c:v>4.6036304856190345E-4</c:v>
                </c:pt>
                <c:pt idx="20">
                  <c:v>5.0017024090805075E-4</c:v>
                </c:pt>
                <c:pt idx="21">
                  <c:v>3.901145571330856E-4</c:v>
                </c:pt>
                <c:pt idx="22">
                  <c:v>7.7779886026850119E-4</c:v>
                </c:pt>
                <c:pt idx="23">
                  <c:v>7.9131858485228764E-4</c:v>
                </c:pt>
                <c:pt idx="24">
                  <c:v>1.1723648456244853E-3</c:v>
                </c:pt>
                <c:pt idx="25">
                  <c:v>1.2596222961532703E-3</c:v>
                </c:pt>
                <c:pt idx="26">
                  <c:v>1.3303779580208397E-3</c:v>
                </c:pt>
                <c:pt idx="27">
                  <c:v>9.9982393752364677E-4</c:v>
                </c:pt>
                <c:pt idx="28">
                  <c:v>5.2611957844338013E-4</c:v>
                </c:pt>
                <c:pt idx="29">
                  <c:v>4.3854716689061278E-4</c:v>
                </c:pt>
                <c:pt idx="30">
                  <c:v>2.3810344267815187E-4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0.10966516976229108</c:v>
                </c:pt>
                <c:pt idx="1">
                  <c:v>0.11426475727749175</c:v>
                </c:pt>
                <c:pt idx="2">
                  <c:v>0.11698075138174396</c:v>
                </c:pt>
                <c:pt idx="3">
                  <c:v>0.11832703630319058</c:v>
                </c:pt>
                <c:pt idx="4">
                  <c:v>0.11990528775592425</c:v>
                </c:pt>
                <c:pt idx="5">
                  <c:v>8.5749631693622805E-2</c:v>
                </c:pt>
                <c:pt idx="6">
                  <c:v>7.3933762363163243E-3</c:v>
                </c:pt>
                <c:pt idx="7">
                  <c:v>0.11049778049822823</c:v>
                </c:pt>
                <c:pt idx="8">
                  <c:v>0.18053885657928309</c:v>
                </c:pt>
                <c:pt idx="9">
                  <c:v>0.20694088193663837</c:v>
                </c:pt>
                <c:pt idx="10">
                  <c:v>0.17431579678710293</c:v>
                </c:pt>
                <c:pt idx="11">
                  <c:v>0.11600228278144586</c:v>
                </c:pt>
                <c:pt idx="12">
                  <c:v>1.1395787119689403E-2</c:v>
                </c:pt>
                <c:pt idx="13">
                  <c:v>2.6337755560791976E-2</c:v>
                </c:pt>
                <c:pt idx="14">
                  <c:v>4.8249288029233041E-2</c:v>
                </c:pt>
                <c:pt idx="15">
                  <c:v>0.20825900550494417</c:v>
                </c:pt>
                <c:pt idx="16">
                  <c:v>0.3166712900198293</c:v>
                </c:pt>
                <c:pt idx="17">
                  <c:v>0.32106968891838478</c:v>
                </c:pt>
                <c:pt idx="18">
                  <c:v>0.25232946353762287</c:v>
                </c:pt>
                <c:pt idx="19">
                  <c:v>0.18980164922131984</c:v>
                </c:pt>
                <c:pt idx="20">
                  <c:v>0.33670633807133782</c:v>
                </c:pt>
                <c:pt idx="21">
                  <c:v>0.35664890616428152</c:v>
                </c:pt>
                <c:pt idx="22">
                  <c:v>0.32698739634834612</c:v>
                </c:pt>
                <c:pt idx="23">
                  <c:v>0.30813436152949752</c:v>
                </c:pt>
                <c:pt idx="24">
                  <c:v>0.29558089412850169</c:v>
                </c:pt>
                <c:pt idx="25">
                  <c:v>0.29254356647754842</c:v>
                </c:pt>
                <c:pt idx="26">
                  <c:v>0.28883029363489693</c:v>
                </c:pt>
                <c:pt idx="27">
                  <c:v>0.27886929934438698</c:v>
                </c:pt>
                <c:pt idx="28">
                  <c:v>0.27858703430308485</c:v>
                </c:pt>
                <c:pt idx="29">
                  <c:v>0.27420903165343624</c:v>
                </c:pt>
                <c:pt idx="30">
                  <c:v>0.272570148306086</c:v>
                </c:pt>
              </c:numCache>
            </c:numRef>
          </c:yVal>
          <c:smooth val="1"/>
        </c:ser>
        <c:dLbls>
          <c:showLegendKey val="0"/>
          <c:showVal val="0"/>
          <c:showCatName val="0"/>
          <c:showSerName val="0"/>
          <c:showPercent val="0"/>
          <c:showBubbleSize val="0"/>
        </c:dLbls>
        <c:axId val="682918664"/>
        <c:axId val="682916704"/>
      </c:scatterChart>
      <c:valAx>
        <c:axId val="6829186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6704"/>
        <c:crossesAt val="1.0000000000000005E-9"/>
        <c:crossBetween val="midCat"/>
      </c:valAx>
      <c:valAx>
        <c:axId val="682916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866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-21.791859757314405</c:v>
                </c:pt>
                <c:pt idx="1">
                  <c:v>-13.12367018372645</c:v>
                </c:pt>
                <c:pt idx="2">
                  <c:v>-8.6942835956142055</c:v>
                </c:pt>
                <c:pt idx="3">
                  <c:v>-4.7516856973294708</c:v>
                </c:pt>
                <c:pt idx="4">
                  <c:v>0</c:v>
                </c:pt>
                <c:pt idx="5">
                  <c:v>12.423351740542923</c:v>
                </c:pt>
                <c:pt idx="6">
                  <c:v>25.880554145835621</c:v>
                </c:pt>
              </c:numCache>
            </c:numRef>
          </c:yVal>
          <c:smooth val="0"/>
        </c:ser>
        <c:dLbls>
          <c:showLegendKey val="0"/>
          <c:showVal val="0"/>
          <c:showCatName val="0"/>
          <c:showSerName val="0"/>
          <c:showPercent val="0"/>
          <c:showBubbleSize val="0"/>
        </c:dLbls>
        <c:axId val="682927680"/>
        <c:axId val="682919840"/>
      </c:scatterChart>
      <c:valAx>
        <c:axId val="682927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9840"/>
        <c:crossesAt val="-100"/>
        <c:crossBetween val="midCat"/>
      </c:valAx>
      <c:valAx>
        <c:axId val="68291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76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682917096"/>
        <c:axId val="682922192"/>
      </c:scatterChart>
      <c:valAx>
        <c:axId val="68291709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2192"/>
        <c:crosses val="autoZero"/>
        <c:crossBetween val="midCat"/>
      </c:valAx>
      <c:valAx>
        <c:axId val="68292219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709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3.4349115394182919E-25</c:v>
                </c:pt>
                <c:pt idx="1">
                  <c:v>3.4349115394182918E-24</c:v>
                </c:pt>
                <c:pt idx="2">
                  <c:v>3.4349115394182919E-23</c:v>
                </c:pt>
                <c:pt idx="3">
                  <c:v>3.4349115394182919E-22</c:v>
                </c:pt>
                <c:pt idx="4">
                  <c:v>3.4349115394182918E-21</c:v>
                </c:pt>
                <c:pt idx="5">
                  <c:v>3.4349115394182918E-20</c:v>
                </c:pt>
                <c:pt idx="6">
                  <c:v>3.4349115394182922E-19</c:v>
                </c:pt>
                <c:pt idx="7">
                  <c:v>3.4349115394182919E-18</c:v>
                </c:pt>
                <c:pt idx="8">
                  <c:v>3.4349115394182916E-17</c:v>
                </c:pt>
                <c:pt idx="9">
                  <c:v>3.4349115394182916E-16</c:v>
                </c:pt>
                <c:pt idx="10">
                  <c:v>3.4349115394182922E-15</c:v>
                </c:pt>
                <c:pt idx="11">
                  <c:v>3.4349115394182922E-14</c:v>
                </c:pt>
                <c:pt idx="12">
                  <c:v>3.4349115394182919E-13</c:v>
                </c:pt>
                <c:pt idx="13">
                  <c:v>3.4349115394182921E-12</c:v>
                </c:pt>
                <c:pt idx="14">
                  <c:v>3.434911539418292E-11</c:v>
                </c:pt>
                <c:pt idx="15">
                  <c:v>3.434911539418292E-10</c:v>
                </c:pt>
                <c:pt idx="16">
                  <c:v>3.4349115394182918E-9</c:v>
                </c:pt>
                <c:pt idx="17">
                  <c:v>3.4349115394182921E-8</c:v>
                </c:pt>
                <c:pt idx="18">
                  <c:v>3.4349115394182918E-7</c:v>
                </c:pt>
                <c:pt idx="19">
                  <c:v>3.4349115394182919E-6</c:v>
                </c:pt>
                <c:pt idx="20">
                  <c:v>3.4349115394182917E-5</c:v>
                </c:pt>
                <c:pt idx="21">
                  <c:v>3.434911539418292E-4</c:v>
                </c:pt>
                <c:pt idx="22">
                  <c:v>3.4349115394182918E-3</c:v>
                </c:pt>
                <c:pt idx="23">
                  <c:v>3.4349115394182915E-2</c:v>
                </c:pt>
                <c:pt idx="24">
                  <c:v>0.34349115394182916</c:v>
                </c:pt>
                <c:pt idx="25">
                  <c:v>3.4349115394182919</c:v>
                </c:pt>
                <c:pt idx="26">
                  <c:v>34.349115394182917</c:v>
                </c:pt>
                <c:pt idx="27">
                  <c:v>343.49115394182917</c:v>
                </c:pt>
                <c:pt idx="28">
                  <c:v>3434.9115394182918</c:v>
                </c:pt>
                <c:pt idx="29">
                  <c:v>34349.115394182918</c:v>
                </c:pt>
                <c:pt idx="30">
                  <c:v>343491.15394182916</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1.9973880943548683E-21</c:v>
                </c:pt>
                <c:pt idx="1">
                  <c:v>1.9973880943548683E-20</c:v>
                </c:pt>
                <c:pt idx="2">
                  <c:v>1.9973880943548683E-19</c:v>
                </c:pt>
                <c:pt idx="3">
                  <c:v>1.9973880943548682E-18</c:v>
                </c:pt>
                <c:pt idx="4">
                  <c:v>1.9973880943548682E-17</c:v>
                </c:pt>
                <c:pt idx="5">
                  <c:v>1.9973880943548683E-16</c:v>
                </c:pt>
                <c:pt idx="6">
                  <c:v>1.9973880943548682E-15</c:v>
                </c:pt>
                <c:pt idx="7">
                  <c:v>1.9973880943548682E-14</c:v>
                </c:pt>
                <c:pt idx="8">
                  <c:v>1.9973880943548681E-13</c:v>
                </c:pt>
                <c:pt idx="9">
                  <c:v>1.9973880943548683E-12</c:v>
                </c:pt>
                <c:pt idx="10">
                  <c:v>1.9973880943548685E-11</c:v>
                </c:pt>
                <c:pt idx="11">
                  <c:v>1.9973880943548684E-10</c:v>
                </c:pt>
                <c:pt idx="12">
                  <c:v>1.9973880943548684E-9</c:v>
                </c:pt>
                <c:pt idx="13">
                  <c:v>1.9973880943548684E-8</c:v>
                </c:pt>
                <c:pt idx="14">
                  <c:v>1.9973880943548683E-7</c:v>
                </c:pt>
                <c:pt idx="15">
                  <c:v>1.9973880943548682E-6</c:v>
                </c:pt>
                <c:pt idx="16">
                  <c:v>1.9973880943548683E-5</c:v>
                </c:pt>
                <c:pt idx="17">
                  <c:v>1.9973880943548682E-4</c:v>
                </c:pt>
                <c:pt idx="18">
                  <c:v>1.9973880943548682E-3</c:v>
                </c:pt>
                <c:pt idx="19">
                  <c:v>1.9973880943548683E-2</c:v>
                </c:pt>
                <c:pt idx="20">
                  <c:v>0.19973880943548683</c:v>
                </c:pt>
                <c:pt idx="21">
                  <c:v>1.9973880943548683</c:v>
                </c:pt>
                <c:pt idx="22">
                  <c:v>19.973880943548682</c:v>
                </c:pt>
                <c:pt idx="23">
                  <c:v>199.73880943548681</c:v>
                </c:pt>
                <c:pt idx="24">
                  <c:v>1997.3880943548681</c:v>
                </c:pt>
                <c:pt idx="25">
                  <c:v>19973.880943548684</c:v>
                </c:pt>
                <c:pt idx="26">
                  <c:v>199738.80943548682</c:v>
                </c:pt>
                <c:pt idx="27">
                  <c:v>1997388.0943548682</c:v>
                </c:pt>
                <c:pt idx="28">
                  <c:v>19973880.943548683</c:v>
                </c:pt>
                <c:pt idx="29">
                  <c:v>199738809.43548682</c:v>
                </c:pt>
                <c:pt idx="30">
                  <c:v>1997388094.3548682</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1.6754080982739006E-19</c:v>
                </c:pt>
                <c:pt idx="1">
                  <c:v>1.6754080982739004E-18</c:v>
                </c:pt>
                <c:pt idx="2">
                  <c:v>1.6754080982739003E-17</c:v>
                </c:pt>
                <c:pt idx="3">
                  <c:v>1.6754080982739004E-16</c:v>
                </c:pt>
                <c:pt idx="4">
                  <c:v>1.6754080982739002E-15</c:v>
                </c:pt>
                <c:pt idx="5">
                  <c:v>1.6754080982739006E-14</c:v>
                </c:pt>
                <c:pt idx="6">
                  <c:v>1.6754080982739004E-13</c:v>
                </c:pt>
                <c:pt idx="7">
                  <c:v>1.6754080982739004E-12</c:v>
                </c:pt>
                <c:pt idx="8">
                  <c:v>1.6754080982739003E-11</c:v>
                </c:pt>
                <c:pt idx="9">
                  <c:v>1.6754080982739004E-10</c:v>
                </c:pt>
                <c:pt idx="10">
                  <c:v>1.6754080982739004E-9</c:v>
                </c:pt>
                <c:pt idx="11">
                  <c:v>1.6754080982739005E-8</c:v>
                </c:pt>
                <c:pt idx="12">
                  <c:v>1.6754080982739004E-7</c:v>
                </c:pt>
                <c:pt idx="13">
                  <c:v>1.6754080982739004E-6</c:v>
                </c:pt>
                <c:pt idx="14">
                  <c:v>1.6754080982739004E-5</c:v>
                </c:pt>
                <c:pt idx="15">
                  <c:v>1.6754080982739003E-4</c:v>
                </c:pt>
                <c:pt idx="16">
                  <c:v>1.6754080982739003E-3</c:v>
                </c:pt>
                <c:pt idx="17">
                  <c:v>1.6754080982739002E-2</c:v>
                </c:pt>
                <c:pt idx="18">
                  <c:v>0.16754080982739003</c:v>
                </c:pt>
                <c:pt idx="19">
                  <c:v>1.6754080982739004</c:v>
                </c:pt>
                <c:pt idx="20">
                  <c:v>16.754080982739005</c:v>
                </c:pt>
                <c:pt idx="21">
                  <c:v>167.54080982739004</c:v>
                </c:pt>
                <c:pt idx="22">
                  <c:v>1675.4080982739004</c:v>
                </c:pt>
                <c:pt idx="23">
                  <c:v>16754.080982739004</c:v>
                </c:pt>
                <c:pt idx="24">
                  <c:v>167540.80982739004</c:v>
                </c:pt>
                <c:pt idx="25">
                  <c:v>1675408.0982739003</c:v>
                </c:pt>
                <c:pt idx="26">
                  <c:v>16754080.982739003</c:v>
                </c:pt>
                <c:pt idx="27">
                  <c:v>167540809.82739004</c:v>
                </c:pt>
                <c:pt idx="28">
                  <c:v>1675408098.2739003</c:v>
                </c:pt>
                <c:pt idx="29">
                  <c:v>16754080982.739004</c:v>
                </c:pt>
                <c:pt idx="30">
                  <c:v>167540809827.39005</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8.6371233489397635E-18</c:v>
                </c:pt>
                <c:pt idx="1">
                  <c:v>8.6371233489397629E-17</c:v>
                </c:pt>
                <c:pt idx="2">
                  <c:v>8.6371233489397637E-16</c:v>
                </c:pt>
                <c:pt idx="3">
                  <c:v>8.6371233489397635E-15</c:v>
                </c:pt>
                <c:pt idx="4">
                  <c:v>8.6371233489397631E-14</c:v>
                </c:pt>
                <c:pt idx="5">
                  <c:v>8.6371233489397636E-13</c:v>
                </c:pt>
                <c:pt idx="6">
                  <c:v>8.6371233489397634E-12</c:v>
                </c:pt>
                <c:pt idx="7">
                  <c:v>8.6371233489397638E-11</c:v>
                </c:pt>
                <c:pt idx="8">
                  <c:v>8.637123348939763E-10</c:v>
                </c:pt>
                <c:pt idx="9">
                  <c:v>8.6371233489397632E-9</c:v>
                </c:pt>
                <c:pt idx="10">
                  <c:v>8.6371233489397635E-8</c:v>
                </c:pt>
                <c:pt idx="11">
                  <c:v>8.6371233489397641E-7</c:v>
                </c:pt>
                <c:pt idx="12">
                  <c:v>8.637123348939763E-6</c:v>
                </c:pt>
                <c:pt idx="13">
                  <c:v>8.6371233489397633E-5</c:v>
                </c:pt>
                <c:pt idx="14">
                  <c:v>8.6371233489397636E-4</c:v>
                </c:pt>
                <c:pt idx="15">
                  <c:v>8.6371233489397625E-3</c:v>
                </c:pt>
                <c:pt idx="16">
                  <c:v>8.6371233489397625E-2</c:v>
                </c:pt>
                <c:pt idx="17">
                  <c:v>0.86371233489397636</c:v>
                </c:pt>
                <c:pt idx="18">
                  <c:v>8.6371233489397632</c:v>
                </c:pt>
                <c:pt idx="19">
                  <c:v>86.371233489397639</c:v>
                </c:pt>
                <c:pt idx="20">
                  <c:v>863.71233489397628</c:v>
                </c:pt>
                <c:pt idx="21">
                  <c:v>8637.1233489397637</c:v>
                </c:pt>
                <c:pt idx="22">
                  <c:v>86371.233489397637</c:v>
                </c:pt>
                <c:pt idx="23">
                  <c:v>863712.33489397634</c:v>
                </c:pt>
                <c:pt idx="24">
                  <c:v>8637123.3489397634</c:v>
                </c:pt>
                <c:pt idx="25">
                  <c:v>86371233.48939763</c:v>
                </c:pt>
                <c:pt idx="26">
                  <c:v>863712334.89397633</c:v>
                </c:pt>
                <c:pt idx="27">
                  <c:v>8637123348.939764</c:v>
                </c:pt>
                <c:pt idx="28">
                  <c:v>86371233489.397629</c:v>
                </c:pt>
                <c:pt idx="29">
                  <c:v>863712334893.97632</c:v>
                </c:pt>
                <c:pt idx="30">
                  <c:v>8637123348939.7637</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2.4853817651417664E-10</c:v>
                </c:pt>
                <c:pt idx="1">
                  <c:v>2.4853817651417662E-9</c:v>
                </c:pt>
                <c:pt idx="2">
                  <c:v>2.4853817651417663E-8</c:v>
                </c:pt>
                <c:pt idx="3">
                  <c:v>2.4853817651417661E-7</c:v>
                </c:pt>
                <c:pt idx="4">
                  <c:v>2.485381765141766E-6</c:v>
                </c:pt>
                <c:pt idx="5">
                  <c:v>2.4853817651417663E-5</c:v>
                </c:pt>
                <c:pt idx="6">
                  <c:v>2.4853817651417667E-4</c:v>
                </c:pt>
                <c:pt idx="7">
                  <c:v>2.4853817651417664E-3</c:v>
                </c:pt>
                <c:pt idx="8">
                  <c:v>2.4853817651417663E-2</c:v>
                </c:pt>
                <c:pt idx="9">
                  <c:v>0.24853817651417662</c:v>
                </c:pt>
                <c:pt idx="10">
                  <c:v>2.4853817651417667</c:v>
                </c:pt>
                <c:pt idx="11">
                  <c:v>24.853817651417664</c:v>
                </c:pt>
                <c:pt idx="12">
                  <c:v>248.53817651417663</c:v>
                </c:pt>
                <c:pt idx="13">
                  <c:v>2485.3817651417662</c:v>
                </c:pt>
                <c:pt idx="14">
                  <c:v>24853.817651417663</c:v>
                </c:pt>
                <c:pt idx="15">
                  <c:v>248538.17651417662</c:v>
                </c:pt>
                <c:pt idx="16">
                  <c:v>2485381.7651417665</c:v>
                </c:pt>
                <c:pt idx="17">
                  <c:v>24853817.651417661</c:v>
                </c:pt>
                <c:pt idx="18">
                  <c:v>248538176.51417664</c:v>
                </c:pt>
                <c:pt idx="19">
                  <c:v>2485381765.1417665</c:v>
                </c:pt>
                <c:pt idx="20">
                  <c:v>24853817651.417664</c:v>
                </c:pt>
                <c:pt idx="21">
                  <c:v>248538176514.17664</c:v>
                </c:pt>
                <c:pt idx="22">
                  <c:v>2485381765141.7661</c:v>
                </c:pt>
                <c:pt idx="23">
                  <c:v>24853817651417.664</c:v>
                </c:pt>
                <c:pt idx="24">
                  <c:v>248538176514176.62</c:v>
                </c:pt>
                <c:pt idx="25">
                  <c:v>2485381765141766.5</c:v>
                </c:pt>
                <c:pt idx="26">
                  <c:v>2.4853817651417664E+16</c:v>
                </c:pt>
                <c:pt idx="27">
                  <c:v>2.4853817651417664E+17</c:v>
                </c:pt>
                <c:pt idx="28">
                  <c:v>2.4853817651417661E+18</c:v>
                </c:pt>
                <c:pt idx="29">
                  <c:v>2.4853817651417661E+19</c:v>
                </c:pt>
                <c:pt idx="30">
                  <c:v>2.4853817651417665E+20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1.7369281515964075E-4</c:v>
                </c:pt>
                <c:pt idx="1">
                  <c:v>1.7369281515964073E-3</c:v>
                </c:pt>
                <c:pt idx="2">
                  <c:v>1.7369281515964074E-2</c:v>
                </c:pt>
                <c:pt idx="3">
                  <c:v>0.17369281515964072</c:v>
                </c:pt>
                <c:pt idx="4">
                  <c:v>1.7369281515964072</c:v>
                </c:pt>
                <c:pt idx="5">
                  <c:v>17.369281515964072</c:v>
                </c:pt>
                <c:pt idx="6">
                  <c:v>173.69281515964073</c:v>
                </c:pt>
                <c:pt idx="7">
                  <c:v>1736.9281515964074</c:v>
                </c:pt>
                <c:pt idx="8">
                  <c:v>17369.28151596407</c:v>
                </c:pt>
                <c:pt idx="9">
                  <c:v>173692.81515964071</c:v>
                </c:pt>
                <c:pt idx="10">
                  <c:v>1736928.1515964074</c:v>
                </c:pt>
                <c:pt idx="11">
                  <c:v>17369281.515964072</c:v>
                </c:pt>
                <c:pt idx="12">
                  <c:v>173692815.15964073</c:v>
                </c:pt>
                <c:pt idx="13">
                  <c:v>1736928151.5964074</c:v>
                </c:pt>
                <c:pt idx="14">
                  <c:v>17369281515.964073</c:v>
                </c:pt>
                <c:pt idx="15">
                  <c:v>173692815159.64072</c:v>
                </c:pt>
                <c:pt idx="16">
                  <c:v>1736928151596.4072</c:v>
                </c:pt>
                <c:pt idx="17">
                  <c:v>17369281515964.072</c:v>
                </c:pt>
                <c:pt idx="18">
                  <c:v>173692815159640.72</c:v>
                </c:pt>
                <c:pt idx="19">
                  <c:v>1736928151596407.2</c:v>
                </c:pt>
                <c:pt idx="20">
                  <c:v>1.7369281515964072E+16</c:v>
                </c:pt>
                <c:pt idx="21">
                  <c:v>1.7369281515964074E+17</c:v>
                </c:pt>
                <c:pt idx="22">
                  <c:v>1.7369281515964073E+18</c:v>
                </c:pt>
                <c:pt idx="23">
                  <c:v>1.7369281515964072E+19</c:v>
                </c:pt>
                <c:pt idx="24">
                  <c:v>1.7369281515964072E+20</c:v>
                </c:pt>
                <c:pt idx="25">
                  <c:v>1.7369281515964072E+21</c:v>
                </c:pt>
                <c:pt idx="26">
                  <c:v>1.7369281515964072E+22</c:v>
                </c:pt>
                <c:pt idx="27">
                  <c:v>1.7369281515964074E+23</c:v>
                </c:pt>
                <c:pt idx="28">
                  <c:v>1.7369281515964073E+24</c:v>
                </c:pt>
                <c:pt idx="29">
                  <c:v>1.7369281515964073E+25</c:v>
                </c:pt>
                <c:pt idx="30">
                  <c:v>1.7369281515964072E+26</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20624"/>
        <c:axId val="682926504"/>
      </c:scatterChart>
      <c:valAx>
        <c:axId val="6829206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6504"/>
        <c:crosses val="autoZero"/>
        <c:crossBetween val="midCat"/>
      </c:valAx>
      <c:valAx>
        <c:axId val="682926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06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3.4349115394182919E-25</c:v>
                </c:pt>
                <c:pt idx="1">
                  <c:v>3.4349115394182918E-24</c:v>
                </c:pt>
                <c:pt idx="2">
                  <c:v>3.4349115394182919E-23</c:v>
                </c:pt>
                <c:pt idx="3">
                  <c:v>3.4349115394182919E-22</c:v>
                </c:pt>
                <c:pt idx="4">
                  <c:v>3.4349115394182918E-21</c:v>
                </c:pt>
                <c:pt idx="5">
                  <c:v>3.4349115394182918E-20</c:v>
                </c:pt>
                <c:pt idx="6">
                  <c:v>3.4349115394182922E-19</c:v>
                </c:pt>
                <c:pt idx="7">
                  <c:v>3.4349115394182919E-18</c:v>
                </c:pt>
                <c:pt idx="8">
                  <c:v>3.4349115394182916E-17</c:v>
                </c:pt>
                <c:pt idx="9">
                  <c:v>3.4349115394182916E-16</c:v>
                </c:pt>
                <c:pt idx="10">
                  <c:v>3.4349115394182922E-15</c:v>
                </c:pt>
                <c:pt idx="11">
                  <c:v>3.4349115394182922E-14</c:v>
                </c:pt>
                <c:pt idx="12">
                  <c:v>3.4349115394182919E-13</c:v>
                </c:pt>
                <c:pt idx="13">
                  <c:v>3.4349115394182921E-12</c:v>
                </c:pt>
                <c:pt idx="14">
                  <c:v>3.434911539418292E-11</c:v>
                </c:pt>
                <c:pt idx="15">
                  <c:v>3.434911539418292E-10</c:v>
                </c:pt>
                <c:pt idx="16">
                  <c:v>3.4349115394182918E-9</c:v>
                </c:pt>
                <c:pt idx="17">
                  <c:v>3.4349115394182921E-8</c:v>
                </c:pt>
                <c:pt idx="18">
                  <c:v>3.4349115394182918E-7</c:v>
                </c:pt>
                <c:pt idx="19">
                  <c:v>3.4349115394182919E-6</c:v>
                </c:pt>
                <c:pt idx="20">
                  <c:v>3.4349115394182917E-5</c:v>
                </c:pt>
                <c:pt idx="21">
                  <c:v>3.434911539418292E-4</c:v>
                </c:pt>
                <c:pt idx="22">
                  <c:v>3.4349115394182918E-3</c:v>
                </c:pt>
                <c:pt idx="23">
                  <c:v>3.4349115394182915E-2</c:v>
                </c:pt>
                <c:pt idx="24">
                  <c:v>0.34349115394182916</c:v>
                </c:pt>
                <c:pt idx="25">
                  <c:v>3.4349115394182919</c:v>
                </c:pt>
                <c:pt idx="26">
                  <c:v>34.349115394182917</c:v>
                </c:pt>
                <c:pt idx="27">
                  <c:v>343.49115394182917</c:v>
                </c:pt>
                <c:pt idx="28">
                  <c:v>3434.9115394182918</c:v>
                </c:pt>
                <c:pt idx="29">
                  <c:v>34349.115394182918</c:v>
                </c:pt>
                <c:pt idx="30">
                  <c:v>343491.15394182916</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1.9973880943548683E-21</c:v>
                </c:pt>
                <c:pt idx="1">
                  <c:v>1.9973880943548683E-20</c:v>
                </c:pt>
                <c:pt idx="2">
                  <c:v>1.9973880943548683E-19</c:v>
                </c:pt>
                <c:pt idx="3">
                  <c:v>1.9973880943548682E-18</c:v>
                </c:pt>
                <c:pt idx="4">
                  <c:v>1.9973880943548682E-17</c:v>
                </c:pt>
                <c:pt idx="5">
                  <c:v>1.9973880943548683E-16</c:v>
                </c:pt>
                <c:pt idx="6">
                  <c:v>1.9973880943548682E-15</c:v>
                </c:pt>
                <c:pt idx="7">
                  <c:v>1.9973880943548682E-14</c:v>
                </c:pt>
                <c:pt idx="8">
                  <c:v>1.9973880943548681E-13</c:v>
                </c:pt>
                <c:pt idx="9">
                  <c:v>1.9973880943548683E-12</c:v>
                </c:pt>
                <c:pt idx="10">
                  <c:v>1.9973880943548685E-11</c:v>
                </c:pt>
                <c:pt idx="11">
                  <c:v>1.9973880943548684E-10</c:v>
                </c:pt>
                <c:pt idx="12">
                  <c:v>1.9973880943548684E-9</c:v>
                </c:pt>
                <c:pt idx="13">
                  <c:v>1.9973880943548684E-8</c:v>
                </c:pt>
                <c:pt idx="14">
                  <c:v>1.9973880943548683E-7</c:v>
                </c:pt>
                <c:pt idx="15">
                  <c:v>1.9973880943548682E-6</c:v>
                </c:pt>
                <c:pt idx="16">
                  <c:v>1.9973880943548683E-5</c:v>
                </c:pt>
                <c:pt idx="17">
                  <c:v>1.9973880943548682E-4</c:v>
                </c:pt>
                <c:pt idx="18">
                  <c:v>1.9973880943548682E-3</c:v>
                </c:pt>
                <c:pt idx="19">
                  <c:v>1.9973880943548683E-2</c:v>
                </c:pt>
                <c:pt idx="20">
                  <c:v>0.19973880943548683</c:v>
                </c:pt>
                <c:pt idx="21">
                  <c:v>1.9973880943548683</c:v>
                </c:pt>
                <c:pt idx="22">
                  <c:v>19.973880943548682</c:v>
                </c:pt>
                <c:pt idx="23">
                  <c:v>199.73880943548681</c:v>
                </c:pt>
                <c:pt idx="24">
                  <c:v>1997.3880943548681</c:v>
                </c:pt>
                <c:pt idx="25">
                  <c:v>19973.880943548684</c:v>
                </c:pt>
                <c:pt idx="26">
                  <c:v>199738.80943548682</c:v>
                </c:pt>
                <c:pt idx="27">
                  <c:v>1997388.0943548682</c:v>
                </c:pt>
                <c:pt idx="28">
                  <c:v>19973880.943548683</c:v>
                </c:pt>
                <c:pt idx="29">
                  <c:v>199738809.43548682</c:v>
                </c:pt>
                <c:pt idx="30">
                  <c:v>1997388094.3548682</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1.6754080982739006E-19</c:v>
                </c:pt>
                <c:pt idx="1">
                  <c:v>1.6754080982739004E-18</c:v>
                </c:pt>
                <c:pt idx="2">
                  <c:v>1.6754080982739003E-17</c:v>
                </c:pt>
                <c:pt idx="3">
                  <c:v>1.6754080982739004E-16</c:v>
                </c:pt>
                <c:pt idx="4">
                  <c:v>1.6754080982739002E-15</c:v>
                </c:pt>
                <c:pt idx="5">
                  <c:v>1.6754080982739006E-14</c:v>
                </c:pt>
                <c:pt idx="6">
                  <c:v>1.6754080982739004E-13</c:v>
                </c:pt>
                <c:pt idx="7">
                  <c:v>1.6754080982739004E-12</c:v>
                </c:pt>
                <c:pt idx="8">
                  <c:v>1.6754080982739003E-11</c:v>
                </c:pt>
                <c:pt idx="9">
                  <c:v>1.6754080982739004E-10</c:v>
                </c:pt>
                <c:pt idx="10">
                  <c:v>1.6754080982739004E-9</c:v>
                </c:pt>
                <c:pt idx="11">
                  <c:v>1.6754080982739005E-8</c:v>
                </c:pt>
                <c:pt idx="12">
                  <c:v>1.6754080982739004E-7</c:v>
                </c:pt>
                <c:pt idx="13">
                  <c:v>1.6754080982739004E-6</c:v>
                </c:pt>
                <c:pt idx="14">
                  <c:v>1.6754080982739004E-5</c:v>
                </c:pt>
                <c:pt idx="15">
                  <c:v>1.6754080982739003E-4</c:v>
                </c:pt>
                <c:pt idx="16">
                  <c:v>1.6754080982739003E-3</c:v>
                </c:pt>
                <c:pt idx="17">
                  <c:v>1.6754080982739002E-2</c:v>
                </c:pt>
                <c:pt idx="18">
                  <c:v>0.16754080982739003</c:v>
                </c:pt>
                <c:pt idx="19">
                  <c:v>1.6754080982739004</c:v>
                </c:pt>
                <c:pt idx="20">
                  <c:v>16.754080982739005</c:v>
                </c:pt>
                <c:pt idx="21">
                  <c:v>167.54080982739004</c:v>
                </c:pt>
                <c:pt idx="22">
                  <c:v>1675.4080982739004</c:v>
                </c:pt>
                <c:pt idx="23">
                  <c:v>16754.080982739004</c:v>
                </c:pt>
                <c:pt idx="24">
                  <c:v>167540.80982739004</c:v>
                </c:pt>
                <c:pt idx="25">
                  <c:v>1675408.0982739003</c:v>
                </c:pt>
                <c:pt idx="26">
                  <c:v>16754080.982739003</c:v>
                </c:pt>
                <c:pt idx="27">
                  <c:v>167540809.82739004</c:v>
                </c:pt>
                <c:pt idx="28">
                  <c:v>1675408098.2739003</c:v>
                </c:pt>
                <c:pt idx="29">
                  <c:v>16754080982.739004</c:v>
                </c:pt>
                <c:pt idx="30">
                  <c:v>167540809827.39005</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8.6371233489397635E-18</c:v>
                </c:pt>
                <c:pt idx="1">
                  <c:v>8.6371233489397629E-17</c:v>
                </c:pt>
                <c:pt idx="2">
                  <c:v>8.6371233489397637E-16</c:v>
                </c:pt>
                <c:pt idx="3">
                  <c:v>8.6371233489397635E-15</c:v>
                </c:pt>
                <c:pt idx="4">
                  <c:v>8.6371233489397631E-14</c:v>
                </c:pt>
                <c:pt idx="5">
                  <c:v>8.6371233489397636E-13</c:v>
                </c:pt>
                <c:pt idx="6">
                  <c:v>8.6371233489397634E-12</c:v>
                </c:pt>
                <c:pt idx="7">
                  <c:v>8.6371233489397638E-11</c:v>
                </c:pt>
                <c:pt idx="8">
                  <c:v>8.637123348939763E-10</c:v>
                </c:pt>
                <c:pt idx="9">
                  <c:v>8.6371233489397632E-9</c:v>
                </c:pt>
                <c:pt idx="10">
                  <c:v>8.6371233489397635E-8</c:v>
                </c:pt>
                <c:pt idx="11">
                  <c:v>8.6371233489397641E-7</c:v>
                </c:pt>
                <c:pt idx="12">
                  <c:v>8.637123348939763E-6</c:v>
                </c:pt>
                <c:pt idx="13">
                  <c:v>8.6371233489397633E-5</c:v>
                </c:pt>
                <c:pt idx="14">
                  <c:v>8.6371233489397636E-4</c:v>
                </c:pt>
                <c:pt idx="15">
                  <c:v>8.6371233489397625E-3</c:v>
                </c:pt>
                <c:pt idx="16">
                  <c:v>8.6371233489397625E-2</c:v>
                </c:pt>
                <c:pt idx="17">
                  <c:v>0.86371233489397636</c:v>
                </c:pt>
                <c:pt idx="18">
                  <c:v>8.6371233489397632</c:v>
                </c:pt>
                <c:pt idx="19">
                  <c:v>86.371233489397639</c:v>
                </c:pt>
                <c:pt idx="20">
                  <c:v>863.71233489397628</c:v>
                </c:pt>
                <c:pt idx="21">
                  <c:v>8637.1233489397637</c:v>
                </c:pt>
                <c:pt idx="22">
                  <c:v>86371.233489397637</c:v>
                </c:pt>
                <c:pt idx="23">
                  <c:v>863712.33489397634</c:v>
                </c:pt>
                <c:pt idx="24">
                  <c:v>8637123.3489397634</c:v>
                </c:pt>
                <c:pt idx="25">
                  <c:v>86371233.48939763</c:v>
                </c:pt>
                <c:pt idx="26">
                  <c:v>863712334.89397633</c:v>
                </c:pt>
                <c:pt idx="27">
                  <c:v>8637123348.939764</c:v>
                </c:pt>
                <c:pt idx="28">
                  <c:v>86371233489.397629</c:v>
                </c:pt>
                <c:pt idx="29">
                  <c:v>863712334893.97632</c:v>
                </c:pt>
                <c:pt idx="30">
                  <c:v>8637123348939.7637</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2.4853817651417664E-10</c:v>
                </c:pt>
                <c:pt idx="1">
                  <c:v>2.4853817651417662E-9</c:v>
                </c:pt>
                <c:pt idx="2">
                  <c:v>2.4853817651417663E-8</c:v>
                </c:pt>
                <c:pt idx="3">
                  <c:v>2.4853817651417661E-7</c:v>
                </c:pt>
                <c:pt idx="4">
                  <c:v>2.485381765141766E-6</c:v>
                </c:pt>
                <c:pt idx="5">
                  <c:v>2.4853817651417663E-5</c:v>
                </c:pt>
                <c:pt idx="6">
                  <c:v>2.4853817651417667E-4</c:v>
                </c:pt>
                <c:pt idx="7">
                  <c:v>2.4853817651417664E-3</c:v>
                </c:pt>
                <c:pt idx="8">
                  <c:v>2.4853817651417663E-2</c:v>
                </c:pt>
                <c:pt idx="9">
                  <c:v>0.24853817651417662</c:v>
                </c:pt>
                <c:pt idx="10">
                  <c:v>2.4853817651417667</c:v>
                </c:pt>
                <c:pt idx="11">
                  <c:v>24.853817651417664</c:v>
                </c:pt>
                <c:pt idx="12">
                  <c:v>248.53817651417663</c:v>
                </c:pt>
                <c:pt idx="13">
                  <c:v>2485.3817651417662</c:v>
                </c:pt>
                <c:pt idx="14">
                  <c:v>24853.817651417663</c:v>
                </c:pt>
                <c:pt idx="15">
                  <c:v>248538.17651417662</c:v>
                </c:pt>
                <c:pt idx="16">
                  <c:v>2485381.7651417665</c:v>
                </c:pt>
                <c:pt idx="17">
                  <c:v>24853817.651417661</c:v>
                </c:pt>
                <c:pt idx="18">
                  <c:v>248538176.51417664</c:v>
                </c:pt>
                <c:pt idx="19">
                  <c:v>2485381765.1417665</c:v>
                </c:pt>
                <c:pt idx="20">
                  <c:v>24853817651.417664</c:v>
                </c:pt>
                <c:pt idx="21">
                  <c:v>248538176514.17664</c:v>
                </c:pt>
                <c:pt idx="22">
                  <c:v>2485381765141.7661</c:v>
                </c:pt>
                <c:pt idx="23">
                  <c:v>24853817651417.664</c:v>
                </c:pt>
                <c:pt idx="24">
                  <c:v>248538176514176.62</c:v>
                </c:pt>
                <c:pt idx="25">
                  <c:v>2485381765141766.5</c:v>
                </c:pt>
                <c:pt idx="26">
                  <c:v>2.4853817651417664E+16</c:v>
                </c:pt>
                <c:pt idx="27">
                  <c:v>2.4853817651417664E+17</c:v>
                </c:pt>
                <c:pt idx="28">
                  <c:v>2.4853817651417661E+18</c:v>
                </c:pt>
                <c:pt idx="29">
                  <c:v>2.4853817651417661E+19</c:v>
                </c:pt>
                <c:pt idx="30">
                  <c:v>2.4853817651417665E+20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1.7369281515964075E-4</c:v>
                </c:pt>
                <c:pt idx="1">
                  <c:v>1.7369281515964073E-3</c:v>
                </c:pt>
                <c:pt idx="2">
                  <c:v>1.7369281515964074E-2</c:v>
                </c:pt>
                <c:pt idx="3">
                  <c:v>0.17369281515964072</c:v>
                </c:pt>
                <c:pt idx="4">
                  <c:v>1.7369281515964072</c:v>
                </c:pt>
                <c:pt idx="5">
                  <c:v>17.369281515964072</c:v>
                </c:pt>
                <c:pt idx="6">
                  <c:v>173.69281515964073</c:v>
                </c:pt>
                <c:pt idx="7">
                  <c:v>1736.9281515964074</c:v>
                </c:pt>
                <c:pt idx="8">
                  <c:v>17369.28151596407</c:v>
                </c:pt>
                <c:pt idx="9">
                  <c:v>173692.81515964071</c:v>
                </c:pt>
                <c:pt idx="10">
                  <c:v>1736928.1515964074</c:v>
                </c:pt>
                <c:pt idx="11">
                  <c:v>17369281.515964072</c:v>
                </c:pt>
                <c:pt idx="12">
                  <c:v>173692815.15964073</c:v>
                </c:pt>
                <c:pt idx="13">
                  <c:v>1736928151.5964074</c:v>
                </c:pt>
                <c:pt idx="14">
                  <c:v>17369281515.964073</c:v>
                </c:pt>
                <c:pt idx="15">
                  <c:v>173692815159.64072</c:v>
                </c:pt>
                <c:pt idx="16">
                  <c:v>1736928151596.4072</c:v>
                </c:pt>
                <c:pt idx="17">
                  <c:v>17369281515964.072</c:v>
                </c:pt>
                <c:pt idx="18">
                  <c:v>173692815159640.72</c:v>
                </c:pt>
                <c:pt idx="19">
                  <c:v>1736928151596407.2</c:v>
                </c:pt>
                <c:pt idx="20">
                  <c:v>1.7369281515964072E+16</c:v>
                </c:pt>
                <c:pt idx="21">
                  <c:v>1.7369281515964074E+17</c:v>
                </c:pt>
                <c:pt idx="22">
                  <c:v>1.7369281515964073E+18</c:v>
                </c:pt>
                <c:pt idx="23">
                  <c:v>1.7369281515964072E+19</c:v>
                </c:pt>
                <c:pt idx="24">
                  <c:v>1.7369281515964072E+20</c:v>
                </c:pt>
                <c:pt idx="25">
                  <c:v>1.7369281515964072E+21</c:v>
                </c:pt>
                <c:pt idx="26">
                  <c:v>1.7369281515964072E+22</c:v>
                </c:pt>
                <c:pt idx="27">
                  <c:v>1.7369281515964074E+23</c:v>
                </c:pt>
                <c:pt idx="28">
                  <c:v>1.7369281515964073E+24</c:v>
                </c:pt>
                <c:pt idx="29">
                  <c:v>1.7369281515964073E+25</c:v>
                </c:pt>
                <c:pt idx="30">
                  <c:v>1.7369281515964072E+26</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682922584"/>
        <c:axId val="682918272"/>
      </c:scatterChart>
      <c:valAx>
        <c:axId val="68292258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18272"/>
        <c:crosses val="autoZero"/>
        <c:crossBetween val="midCat"/>
      </c:valAx>
      <c:valAx>
        <c:axId val="682918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258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-21.791859757314405</c:v>
                </c:pt>
                <c:pt idx="1">
                  <c:v>-21.61812017205536</c:v>
                </c:pt>
                <c:pt idx="2">
                  <c:v>-21.444219366705951</c:v>
                </c:pt>
                <c:pt idx="3">
                  <c:v>-21.269996121175826</c:v>
                </c:pt>
                <c:pt idx="4">
                  <c:v>-21.095289215374628</c:v>
                </c:pt>
                <c:pt idx="5">
                  <c:v>-20.919937429211995</c:v>
                </c:pt>
                <c:pt idx="6">
                  <c:v>-20.743779542597565</c:v>
                </c:pt>
                <c:pt idx="7">
                  <c:v>-20.566654335440976</c:v>
                </c:pt>
                <c:pt idx="8">
                  <c:v>-20.38840058765188</c:v>
                </c:pt>
                <c:pt idx="9">
                  <c:v>-20.208857079139911</c:v>
                </c:pt>
                <c:pt idx="10">
                  <c:v>-20.02786258981471</c:v>
                </c:pt>
                <c:pt idx="11">
                  <c:v>-19.845255899585926</c:v>
                </c:pt>
                <c:pt idx="12">
                  <c:v>-19.660875788363192</c:v>
                </c:pt>
                <c:pt idx="13">
                  <c:v>-19.474561036056148</c:v>
                </c:pt>
                <c:pt idx="14">
                  <c:v>-19.286150422574437</c:v>
                </c:pt>
                <c:pt idx="15">
                  <c:v>-19.095482727827704</c:v>
                </c:pt>
                <c:pt idx="16">
                  <c:v>-18.902396731725588</c:v>
                </c:pt>
                <c:pt idx="17">
                  <c:v>-18.706731214177729</c:v>
                </c:pt>
                <c:pt idx="18">
                  <c:v>-18.508324955093769</c:v>
                </c:pt>
                <c:pt idx="19">
                  <c:v>-18.307016734383343</c:v>
                </c:pt>
                <c:pt idx="20">
                  <c:v>-18.102645331956104</c:v>
                </c:pt>
                <c:pt idx="21">
                  <c:v>-17.895049527721682</c:v>
                </c:pt>
                <c:pt idx="22">
                  <c:v>-17.684068101589723</c:v>
                </c:pt>
                <c:pt idx="23">
                  <c:v>-17.469539833469874</c:v>
                </c:pt>
                <c:pt idx="24">
                  <c:v>-17.251303503271764</c:v>
                </c:pt>
                <c:pt idx="25">
                  <c:v>-17.029197890905042</c:v>
                </c:pt>
                <c:pt idx="26">
                  <c:v>-16.803061776279346</c:v>
                </c:pt>
                <c:pt idx="27">
                  <c:v>-16.572733939304317</c:v>
                </c:pt>
                <c:pt idx="28">
                  <c:v>-16.338053159889601</c:v>
                </c:pt>
                <c:pt idx="29">
                  <c:v>-16.098858217944834</c:v>
                </c:pt>
                <c:pt idx="30">
                  <c:v>-15.854987893379654</c:v>
                </c:pt>
                <c:pt idx="31">
                  <c:v>-15.606280966103709</c:v>
                </c:pt>
                <c:pt idx="32">
                  <c:v>-15.352576216026639</c:v>
                </c:pt>
                <c:pt idx="33">
                  <c:v>-15.093712423058085</c:v>
                </c:pt>
                <c:pt idx="34">
                  <c:v>-14.829528367107683</c:v>
                </c:pt>
                <c:pt idx="35">
                  <c:v>-14.559862828085079</c:v>
                </c:pt>
                <c:pt idx="36">
                  <c:v>-14.284554585899913</c:v>
                </c:pt>
                <c:pt idx="37">
                  <c:v>-14.003442420461827</c:v>
                </c:pt>
                <c:pt idx="38">
                  <c:v>-13.716365111680458</c:v>
                </c:pt>
                <c:pt idx="39">
                  <c:v>-13.423161439465453</c:v>
                </c:pt>
                <c:pt idx="40">
                  <c:v>-13.12367018372645</c:v>
                </c:pt>
                <c:pt idx="41">
                  <c:v>-12.985921405712947</c:v>
                </c:pt>
                <c:pt idx="42">
                  <c:v>-12.842088814064521</c:v>
                </c:pt>
                <c:pt idx="43">
                  <c:v>-12.692537398760612</c:v>
                </c:pt>
                <c:pt idx="44">
                  <c:v>-12.53763214978065</c:v>
                </c:pt>
                <c:pt idx="45">
                  <c:v>-12.377738057104077</c:v>
                </c:pt>
                <c:pt idx="46">
                  <c:v>-12.213220110710321</c:v>
                </c:pt>
                <c:pt idx="47">
                  <c:v>-12.044443300578822</c:v>
                </c:pt>
                <c:pt idx="48">
                  <c:v>-11.871772616689018</c:v>
                </c:pt>
                <c:pt idx="49">
                  <c:v>-11.695573049020339</c:v>
                </c:pt>
                <c:pt idx="50">
                  <c:v>-11.516209587552224</c:v>
                </c:pt>
                <c:pt idx="51">
                  <c:v>-11.334047222264106</c:v>
                </c:pt>
                <c:pt idx="52">
                  <c:v>-11.149450943135424</c:v>
                </c:pt>
                <c:pt idx="53">
                  <c:v>-10.962785740145609</c:v>
                </c:pt>
                <c:pt idx="54">
                  <c:v>-10.774416603274101</c:v>
                </c:pt>
                <c:pt idx="55">
                  <c:v>-10.584708522500334</c:v>
                </c:pt>
                <c:pt idx="56">
                  <c:v>-10.394026487803741</c:v>
                </c:pt>
                <c:pt idx="57">
                  <c:v>-10.202735489163761</c:v>
                </c:pt>
                <c:pt idx="58">
                  <c:v>-10.011200516559828</c:v>
                </c:pt>
                <c:pt idx="59">
                  <c:v>-9.8197865599713783</c:v>
                </c:pt>
                <c:pt idx="60">
                  <c:v>-9.628858609377847</c:v>
                </c:pt>
                <c:pt idx="61">
                  <c:v>-9.4387816547586691</c:v>
                </c:pt>
                <c:pt idx="62">
                  <c:v>-9.2499206860932794</c:v>
                </c:pt>
                <c:pt idx="63">
                  <c:v>-9.0626406933611161</c:v>
                </c:pt>
                <c:pt idx="64">
                  <c:v>-8.877306666541612</c:v>
                </c:pt>
                <c:pt idx="65">
                  <c:v>-8.6942835956142055</c:v>
                </c:pt>
                <c:pt idx="66">
                  <c:v>-8.5138605871996162</c:v>
                </c:pt>
                <c:pt idx="67">
                  <c:v>-8.3360232144837205</c:v>
                </c:pt>
                <c:pt idx="68">
                  <c:v>-8.1606811672936814</c:v>
                </c:pt>
                <c:pt idx="69">
                  <c:v>-7.9877441354566576</c:v>
                </c:pt>
                <c:pt idx="70">
                  <c:v>-7.8171218087998131</c:v>
                </c:pt>
                <c:pt idx="71">
                  <c:v>-7.6487238771503065</c:v>
                </c:pt>
                <c:pt idx="72">
                  <c:v>-7.4824600303353037</c:v>
                </c:pt>
                <c:pt idx="73">
                  <c:v>-7.3182399581819642</c:v>
                </c:pt>
                <c:pt idx="74">
                  <c:v>-7.155973350517451</c:v>
                </c:pt>
                <c:pt idx="75">
                  <c:v>-6.9955698971689237</c:v>
                </c:pt>
                <c:pt idx="76">
                  <c:v>-6.8369392879635456</c:v>
                </c:pt>
                <c:pt idx="77">
                  <c:v>-6.6799912127284786</c:v>
                </c:pt>
                <c:pt idx="78">
                  <c:v>-6.5246353612908834</c:v>
                </c:pt>
                <c:pt idx="79">
                  <c:v>-6.370781423477923</c:v>
                </c:pt>
                <c:pt idx="80">
                  <c:v>-6.2183390891167587</c:v>
                </c:pt>
                <c:pt idx="81">
                  <c:v>-6.067218048034551</c:v>
                </c:pt>
                <c:pt idx="82">
                  <c:v>-5.9173279900584639</c:v>
                </c:pt>
                <c:pt idx="83">
                  <c:v>-5.7685786050156569</c:v>
                </c:pt>
                <c:pt idx="84">
                  <c:v>-5.6208795827332931</c:v>
                </c:pt>
                <c:pt idx="85">
                  <c:v>-5.4741406130385339</c:v>
                </c:pt>
                <c:pt idx="86">
                  <c:v>-5.3282713857585415</c:v>
                </c:pt>
                <c:pt idx="87">
                  <c:v>-5.1831815907204772</c:v>
                </c:pt>
                <c:pt idx="88">
                  <c:v>-5.0387809177515033</c:v>
                </c:pt>
                <c:pt idx="89">
                  <c:v>-4.8949790566787792</c:v>
                </c:pt>
                <c:pt idx="90">
                  <c:v>-4.7516856973294699</c:v>
                </c:pt>
                <c:pt idx="91">
                  <c:v>-4.6088015887988485</c:v>
                </c:pt>
                <c:pt idx="92">
                  <c:v>-4.4661917172546399</c:v>
                </c:pt>
                <c:pt idx="93">
                  <c:v>-4.3237121281326809</c:v>
                </c:pt>
                <c:pt idx="94">
                  <c:v>-4.1812188668688082</c:v>
                </c:pt>
                <c:pt idx="95">
                  <c:v>-4.0385679788988611</c:v>
                </c:pt>
                <c:pt idx="96">
                  <c:v>-3.895615509658676</c:v>
                </c:pt>
                <c:pt idx="97">
                  <c:v>-3.75221750458409</c:v>
                </c:pt>
                <c:pt idx="98">
                  <c:v>-3.6082300091109412</c:v>
                </c:pt>
                <c:pt idx="99">
                  <c:v>-3.4635090686750658</c:v>
                </c:pt>
                <c:pt idx="100">
                  <c:v>-3.3179107287123024</c:v>
                </c:pt>
                <c:pt idx="101">
                  <c:v>-3.1712910346584877</c:v>
                </c:pt>
                <c:pt idx="102">
                  <c:v>-3.0235060319494589</c:v>
                </c:pt>
                <c:pt idx="103">
                  <c:v>-2.8744117660210544</c:v>
                </c:pt>
                <c:pt idx="104">
                  <c:v>-2.7238642823091102</c:v>
                </c:pt>
                <c:pt idx="105">
                  <c:v>-2.571719626249465</c:v>
                </c:pt>
                <c:pt idx="106">
                  <c:v>-2.4178338432779549</c:v>
                </c:pt>
                <c:pt idx="107">
                  <c:v>-2.2620629788304187</c:v>
                </c:pt>
                <c:pt idx="108">
                  <c:v>-2.1042630783426923</c:v>
                </c:pt>
                <c:pt idx="109">
                  <c:v>-1.9442901872506142</c:v>
                </c:pt>
                <c:pt idx="110">
                  <c:v>-1.7820003509900213</c:v>
                </c:pt>
                <c:pt idx="111">
                  <c:v>-1.6172496149967508</c:v>
                </c:pt>
                <c:pt idx="112">
                  <c:v>-1.4498940247066403</c:v>
                </c:pt>
                <c:pt idx="113">
                  <c:v>-1.2797896255555272</c:v>
                </c:pt>
                <c:pt idx="114">
                  <c:v>-1.1067924629792487</c:v>
                </c:pt>
                <c:pt idx="115">
                  <c:v>-0.9307585824136424</c:v>
                </c:pt>
                <c:pt idx="116">
                  <c:v>-0.75154402929454556</c:v>
                </c:pt>
                <c:pt idx="117">
                  <c:v>-0.56900484905779547</c:v>
                </c:pt>
                <c:pt idx="118">
                  <c:v>-0.38299708713922953</c:v>
                </c:pt>
                <c:pt idx="119">
                  <c:v>-0.19337678897468535</c:v>
                </c:pt>
                <c:pt idx="120">
                  <c:v>0</c:v>
                </c:pt>
                <c:pt idx="121">
                  <c:v>0.19724979078235311</c:v>
                </c:pt>
                <c:pt idx="122">
                  <c:v>0.39837932010335597</c:v>
                </c:pt>
                <c:pt idx="123">
                  <c:v>0.60336788112735507</c:v>
                </c:pt>
                <c:pt idx="124">
                  <c:v>0.81219476701869675</c:v>
                </c:pt>
                <c:pt idx="125">
                  <c:v>1.0248392709417269</c:v>
                </c:pt>
                <c:pt idx="126">
                  <c:v>1.2412806860607923</c:v>
                </c:pt>
                <c:pt idx="127">
                  <c:v>1.4614983055402391</c:v>
                </c:pt>
                <c:pt idx="128">
                  <c:v>1.6854714225444136</c:v>
                </c:pt>
                <c:pt idx="129">
                  <c:v>1.9131793302376616</c:v>
                </c:pt>
                <c:pt idx="130">
                  <c:v>2.1446013217843301</c:v>
                </c:pt>
                <c:pt idx="131">
                  <c:v>2.379716690348765</c:v>
                </c:pt>
                <c:pt idx="132">
                  <c:v>2.6185047290953118</c:v>
                </c:pt>
                <c:pt idx="133">
                  <c:v>2.8609447311883178</c:v>
                </c:pt>
                <c:pt idx="134">
                  <c:v>3.1070159897921297</c:v>
                </c:pt>
                <c:pt idx="135">
                  <c:v>3.3566977980710924</c:v>
                </c:pt>
                <c:pt idx="136">
                  <c:v>3.6099694491895535</c:v>
                </c:pt>
                <c:pt idx="137">
                  <c:v>3.8668102363118577</c:v>
                </c:pt>
                <c:pt idx="138">
                  <c:v>4.127199452602353</c:v>
                </c:pt>
                <c:pt idx="139">
                  <c:v>4.3911163912253839</c:v>
                </c:pt>
                <c:pt idx="140">
                  <c:v>4.6585403453452994</c:v>
                </c:pt>
                <c:pt idx="141">
                  <c:v>4.9294506081264426</c:v>
                </c:pt>
                <c:pt idx="142">
                  <c:v>5.2038264727331613</c:v>
                </c:pt>
                <c:pt idx="143">
                  <c:v>5.4816472323298022</c:v>
                </c:pt>
                <c:pt idx="144">
                  <c:v>5.7628921800807102</c:v>
                </c:pt>
                <c:pt idx="145">
                  <c:v>6.0475406091502331</c:v>
                </c:pt>
                <c:pt idx="146">
                  <c:v>6.3355718127027156</c:v>
                </c:pt>
                <c:pt idx="147">
                  <c:v>6.6269650839025056</c:v>
                </c:pt>
                <c:pt idx="148">
                  <c:v>6.9216997159139488</c:v>
                </c:pt>
                <c:pt idx="149">
                  <c:v>7.2197550019013912</c:v>
                </c:pt>
                <c:pt idx="150">
                  <c:v>7.5211102350291785</c:v>
                </c:pt>
                <c:pt idx="151">
                  <c:v>7.8257447084616585</c:v>
                </c:pt>
                <c:pt idx="152">
                  <c:v>8.1336377153631751</c:v>
                </c:pt>
                <c:pt idx="153">
                  <c:v>8.444768548898077</c:v>
                </c:pt>
                <c:pt idx="154">
                  <c:v>8.7591165022307091</c:v>
                </c:pt>
                <c:pt idx="155">
                  <c:v>9.0766608685254191</c:v>
                </c:pt>
                <c:pt idx="156">
                  <c:v>9.397380940946551</c:v>
                </c:pt>
                <c:pt idx="157">
                  <c:v>9.7212560126584542</c:v>
                </c:pt>
                <c:pt idx="158">
                  <c:v>10.048265376825471</c:v>
                </c:pt>
                <c:pt idx="159">
                  <c:v>10.378388326611951</c:v>
                </c:pt>
                <c:pt idx="160">
                  <c:v>10.71160415518224</c:v>
                </c:pt>
                <c:pt idx="161">
                  <c:v>11.04789215570068</c:v>
                </c:pt>
                <c:pt idx="162">
                  <c:v>11.387231621331624</c:v>
                </c:pt>
                <c:pt idx="163">
                  <c:v>11.729601845239415</c:v>
                </c:pt>
                <c:pt idx="164">
                  <c:v>12.074982120588398</c:v>
                </c:pt>
                <c:pt idx="165">
                  <c:v>12.423351740542921</c:v>
                </c:pt>
                <c:pt idx="166">
                  <c:v>12.774679313036277</c:v>
                </c:pt>
                <c:pt idx="167">
                  <c:v>13.128890705077517</c:v>
                </c:pt>
                <c:pt idx="168">
                  <c:v>13.485901098444652</c:v>
                </c:pt>
                <c:pt idx="169">
                  <c:v>13.845625674915681</c:v>
                </c:pt>
                <c:pt idx="170">
                  <c:v>14.207979616268608</c:v>
                </c:pt>
                <c:pt idx="171">
                  <c:v>14.57287810428144</c:v>
                </c:pt>
                <c:pt idx="172">
                  <c:v>14.940236320732176</c:v>
                </c:pt>
                <c:pt idx="173">
                  <c:v>15.309969447398819</c:v>
                </c:pt>
                <c:pt idx="174">
                  <c:v>15.681992666059376</c:v>
                </c:pt>
                <c:pt idx="175">
                  <c:v>16.056221158491844</c:v>
                </c:pt>
                <c:pt idx="176">
                  <c:v>16.432570106474238</c:v>
                </c:pt>
                <c:pt idx="177">
                  <c:v>16.810954691784548</c:v>
                </c:pt>
                <c:pt idx="178">
                  <c:v>17.191290096200785</c:v>
                </c:pt>
                <c:pt idx="179">
                  <c:v>17.573491501500953</c:v>
                </c:pt>
                <c:pt idx="180">
                  <c:v>17.957474089463048</c:v>
                </c:pt>
                <c:pt idx="181">
                  <c:v>18.343153041865079</c:v>
                </c:pt>
                <c:pt idx="182">
                  <c:v>18.730443540485048</c:v>
                </c:pt>
                <c:pt idx="183">
                  <c:v>19.119260767100958</c:v>
                </c:pt>
                <c:pt idx="184">
                  <c:v>19.509519903490816</c:v>
                </c:pt>
                <c:pt idx="185">
                  <c:v>19.901136131432615</c:v>
                </c:pt>
                <c:pt idx="186">
                  <c:v>20.294024632704371</c:v>
                </c:pt>
                <c:pt idx="187">
                  <c:v>20.68810058908408</c:v>
                </c:pt>
                <c:pt idx="188">
                  <c:v>21.083279182349749</c:v>
                </c:pt>
                <c:pt idx="189">
                  <c:v>21.479475594279375</c:v>
                </c:pt>
                <c:pt idx="190">
                  <c:v>21.876605006650962</c:v>
                </c:pt>
                <c:pt idx="191">
                  <c:v>22.274582601242525</c:v>
                </c:pt>
                <c:pt idx="192">
                  <c:v>22.673323559832053</c:v>
                </c:pt>
                <c:pt idx="193">
                  <c:v>23.072743064197557</c:v>
                </c:pt>
                <c:pt idx="194">
                  <c:v>23.472756296117037</c:v>
                </c:pt>
                <c:pt idx="195">
                  <c:v>23.873278437368498</c:v>
                </c:pt>
                <c:pt idx="196">
                  <c:v>24.274224669729943</c:v>
                </c:pt>
                <c:pt idx="197">
                  <c:v>24.675510174979372</c:v>
                </c:pt>
                <c:pt idx="198">
                  <c:v>25.077050134894797</c:v>
                </c:pt>
                <c:pt idx="199">
                  <c:v>25.478759731254211</c:v>
                </c:pt>
                <c:pt idx="200">
                  <c:v>25.880554145835621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-21.791859757314405</c:v>
                </c:pt>
                <c:pt idx="1">
                  <c:v>-13.12367018372645</c:v>
                </c:pt>
                <c:pt idx="2">
                  <c:v>-8.6942835956142055</c:v>
                </c:pt>
                <c:pt idx="3">
                  <c:v>-4.7516856973294708</c:v>
                </c:pt>
                <c:pt idx="4">
                  <c:v>0</c:v>
                </c:pt>
                <c:pt idx="5">
                  <c:v>12.423351740542923</c:v>
                </c:pt>
                <c:pt idx="6">
                  <c:v>25.880554145835621</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-21.686687864982467</c:v>
                </c:pt>
                <c:pt idx="1">
                  <c:v>-21.560027806027943</c:v>
                </c:pt>
                <c:pt idx="2">
                  <c:v>-21.424858355208745</c:v>
                </c:pt>
                <c:pt idx="3">
                  <c:v>-21.281676160494492</c:v>
                </c:pt>
                <c:pt idx="4">
                  <c:v>-21.130958938299365</c:v>
                </c:pt>
                <c:pt idx="5">
                  <c:v>-20.973166176669785</c:v>
                </c:pt>
                <c:pt idx="6">
                  <c:v>-20.808739810735734</c:v>
                </c:pt>
                <c:pt idx="7">
                  <c:v>-20.638104871195267</c:v>
                </c:pt>
                <c:pt idx="8">
                  <c:v>-20.461670106591644</c:v>
                </c:pt>
                <c:pt idx="9">
                  <c:v>-20.279828580133312</c:v>
                </c:pt>
                <c:pt idx="10">
                  <c:v>-20.092958241796754</c:v>
                </c:pt>
                <c:pt idx="11">
                  <c:v>-19.90142247644291</c:v>
                </c:pt>
                <c:pt idx="12">
                  <c:v>-19.705570628667864</c:v>
                </c:pt>
                <c:pt idx="13">
                  <c:v>-19.505738505099011</c:v>
                </c:pt>
                <c:pt idx="14">
                  <c:v>-19.302248854837988</c:v>
                </c:pt>
                <c:pt idx="15">
                  <c:v>-19.095411828742169</c:v>
                </c:pt>
                <c:pt idx="16">
                  <c:v>-18.885525418226599</c:v>
                </c:pt>
                <c:pt idx="17">
                  <c:v>-18.672875874258608</c:v>
                </c:pt>
                <c:pt idx="18">
                  <c:v>-18.457738107207785</c:v>
                </c:pt>
                <c:pt idx="19">
                  <c:v>-18.240376068203933</c:v>
                </c:pt>
                <c:pt idx="20">
                  <c:v>-18.021043112646304</c:v>
                </c:pt>
                <c:pt idx="21">
                  <c:v>-17.799982346497348</c:v>
                </c:pt>
                <c:pt idx="22">
                  <c:v>-17.577426955984848</c:v>
                </c:pt>
                <c:pt idx="23">
                  <c:v>-17.353600521326179</c:v>
                </c:pt>
                <c:pt idx="24">
                  <c:v>-17.128717315079225</c:v>
                </c:pt>
                <c:pt idx="25">
                  <c:v>-16.902982585714199</c:v>
                </c:pt>
                <c:pt idx="26">
                  <c:v>-16.676592826991467</c:v>
                </c:pt>
                <c:pt idx="27">
                  <c:v>-16.449736033720278</c:v>
                </c:pt>
                <c:pt idx="28">
                  <c:v>-16.222591944464014</c:v>
                </c:pt>
                <c:pt idx="29">
                  <c:v>-15.995332271747381</c:v>
                </c:pt>
                <c:pt idx="30">
                  <c:v>-15.768120920311821</c:v>
                </c:pt>
                <c:pt idx="31">
                  <c:v>-15.541114193955147</c:v>
                </c:pt>
                <c:pt idx="32">
                  <c:v>-15.31446099148212</c:v>
                </c:pt>
                <c:pt idx="33">
                  <c:v>-15.088302992282705</c:v>
                </c:pt>
                <c:pt idx="34">
                  <c:v>-14.862774832045213</c:v>
                </c:pt>
                <c:pt idx="35">
                  <c:v>-14.638004269101627</c:v>
                </c:pt>
                <c:pt idx="36">
                  <c:v>-14.414112341892913</c:v>
                </c:pt>
                <c:pt idx="37">
                  <c:v>-14.191213518032237</c:v>
                </c:pt>
                <c:pt idx="38">
                  <c:v>-13.969415835434381</c:v>
                </c:pt>
                <c:pt idx="39">
                  <c:v>-13.748821035969884</c:v>
                </c:pt>
                <c:pt idx="40">
                  <c:v>-13.529524692092789</c:v>
                </c:pt>
                <c:pt idx="41">
                  <c:v>-13.311616326881069</c:v>
                </c:pt>
                <c:pt idx="42">
                  <c:v>-13.095179527919194</c:v>
                </c:pt>
                <c:pt idx="43">
                  <c:v>-12.88029205544254</c:v>
                </c:pt>
                <c:pt idx="44">
                  <c:v>-12.66702594515356</c:v>
                </c:pt>
                <c:pt idx="45">
                  <c:v>-12.455447606110058</c:v>
                </c:pt>
                <c:pt idx="46">
                  <c:v>-12.245617914076115</c:v>
                </c:pt>
                <c:pt idx="47">
                  <c:v>-12.037592300716481</c:v>
                </c:pt>
                <c:pt idx="48">
                  <c:v>-11.83142083900556</c:v>
                </c:pt>
                <c:pt idx="49">
                  <c:v>-11.627148325212492</c:v>
                </c:pt>
                <c:pt idx="50">
                  <c:v>-11.424814357813901</c:v>
                </c:pt>
                <c:pt idx="51">
                  <c:v>-11.224453413676404</c:v>
                </c:pt>
                <c:pt idx="52">
                  <c:v>-11.026094921841141</c:v>
                </c:pt>
                <c:pt idx="53">
                  <c:v>-10.829763335232824</c:v>
                </c:pt>
                <c:pt idx="54">
                  <c:v>-10.635478200606247</c:v>
                </c:pt>
                <c:pt idx="55">
                  <c:v>-10.443254227033345</c:v>
                </c:pt>
                <c:pt idx="56">
                  <c:v>-10.253101353224196</c:v>
                </c:pt>
                <c:pt idx="57">
                  <c:v>-10.065024813965747</c:v>
                </c:pt>
                <c:pt idx="58">
                  <c:v>-9.8790252059522032</c:v>
                </c:pt>
                <c:pt idx="59">
                  <c:v>-9.6950985532713894</c:v>
                </c:pt>
                <c:pt idx="60">
                  <c:v>-9.5132363728016252</c:v>
                </c:pt>
                <c:pt idx="61">
                  <c:v>-9.3334257397639977</c:v>
                </c:pt>
                <c:pt idx="62">
                  <c:v>-9.1556493536651811</c:v>
                </c:pt>
                <c:pt idx="63">
                  <c:v>-8.9798856048561664</c:v>
                </c:pt>
                <c:pt idx="64">
                  <c:v>-8.8061086419227106</c:v>
                </c:pt>
                <c:pt idx="65">
                  <c:v>-8.6342884401133961</c:v>
                </c:pt>
                <c:pt idx="66">
                  <c:v>-8.4643908710017168</c:v>
                </c:pt>
                <c:pt idx="67">
                  <c:v>-8.2963777735686328</c:v>
                </c:pt>
                <c:pt idx="68">
                  <c:v>-8.1302070268825446</c:v>
                </c:pt>
                <c:pt idx="69">
                  <c:v>-7.9658326245437943</c:v>
                </c:pt>
                <c:pt idx="70">
                  <c:v>-7.8032047510511306</c:v>
                </c:pt>
                <c:pt idx="71">
                  <c:v>-7.6422698602378754</c:v>
                </c:pt>
                <c:pt idx="72">
                  <c:v>-7.4829707559157539</c:v>
                </c:pt>
                <c:pt idx="73">
                  <c:v>-7.3252466748547365</c:v>
                </c:pt>
                <c:pt idx="74">
                  <c:v>-7.1690333722174211</c:v>
                </c:pt>
                <c:pt idx="75">
                  <c:v>-7.0142632095568516</c:v>
                </c:pt>
                <c:pt idx="76">
                  <c:v>-6.8608652454769175</c:v>
                </c:pt>
                <c:pt idx="77">
                  <c:v>-6.7087653290447387</c:v>
                </c:pt>
                <c:pt idx="78">
                  <c:v>-6.5578861960348318</c:v>
                </c:pt>
                <c:pt idx="79">
                  <c:v>-6.4081475680749866</c:v>
                </c:pt>
                <c:pt idx="80">
                  <c:v>-6.2594662547542015</c:v>
                </c:pt>
                <c:pt idx="81">
                  <c:v>-6.1117562587432488</c:v>
                </c:pt>
                <c:pt idx="82">
                  <c:v>-5.9649288839687307</c:v>
                </c:pt>
                <c:pt idx="83">
                  <c:v>-5.8188928468717878</c:v>
                </c:pt>
                <c:pt idx="84">
                  <c:v>-5.6735543907728925</c:v>
                </c:pt>
                <c:pt idx="85">
                  <c:v>-5.5288174033544975</c:v>
                </c:pt>
                <c:pt idx="86">
                  <c:v>-5.38458353726348</c:v>
                </c:pt>
                <c:pt idx="87">
                  <c:v>-5.2407523338257498</c:v>
                </c:pt>
                <c:pt idx="88">
                  <c:v>-5.0972213498555785</c:v>
                </c:pt>
                <c:pt idx="89">
                  <c:v>-4.9538862875325345</c:v>
                </c:pt>
                <c:pt idx="90">
                  <c:v>-4.810641127309168</c:v>
                </c:pt>
                <c:pt idx="91">
                  <c:v>-4.667378263802914</c:v>
                </c:pt>
                <c:pt idx="92">
                  <c:v>-4.5239886446159385</c:v>
                </c:pt>
                <c:pt idx="93">
                  <c:v>-4.3803619120169399</c:v>
                </c:pt>
                <c:pt idx="94">
                  <c:v>-4.2363865474092206</c:v>
                </c:pt>
                <c:pt idx="95">
                  <c:v>-4.0919500184996194</c:v>
                </c:pt>
                <c:pt idx="96">
                  <c:v>-3.9469389290731933</c:v>
                </c:pt>
                <c:pt idx="97">
                  <c:v>-3.8012391712687892</c:v>
                </c:pt>
                <c:pt idx="98">
                  <c:v>-3.654736080240979</c:v>
                </c:pt>
                <c:pt idx="99">
                  <c:v>-3.5073145910840973</c:v>
                </c:pt>
                <c:pt idx="100">
                  <c:v>-3.3588593978843861</c:v>
                </c:pt>
                <c:pt idx="101">
                  <c:v>-3.2092551147565844</c:v>
                </c:pt>
                <c:pt idx="102">
                  <c:v>-3.0583864387115378</c:v>
                </c:pt>
                <c:pt idx="103">
                  <c:v>-2.9061383141917214</c:v>
                </c:pt>
                <c:pt idx="104">
                  <c:v>-2.7523960991018543</c:v>
                </c:pt>
                <c:pt idx="105">
                  <c:v>-2.5970457321520377</c:v>
                </c:pt>
                <c:pt idx="106">
                  <c:v>-2.4399739013211974</c:v>
                </c:pt>
                <c:pt idx="107">
                  <c:v>-2.2810682132388185</c:v>
                </c:pt>
                <c:pt idx="108">
                  <c:v>-2.1202173632733237</c:v>
                </c:pt>
                <c:pt idx="109">
                  <c:v>-1.9573113061056753</c:v>
                </c:pt>
                <c:pt idx="110">
                  <c:v>-1.7922414265570967</c:v>
                </c:pt>
                <c:pt idx="111">
                  <c:v>-1.6249007104300937</c:v>
                </c:pt>
                <c:pt idx="112">
                  <c:v>-1.4551839151122274</c:v>
                </c:pt>
                <c:pt idx="113">
                  <c:v>-1.282987739682397</c:v>
                </c:pt>
                <c:pt idx="114">
                  <c:v>-1.1082109942496552</c:v>
                </c:pt>
                <c:pt idx="115">
                  <c:v>-0.93075476824489001</c:v>
                </c:pt>
                <c:pt idx="116">
                  <c:v>-0.7505225973759696</c:v>
                </c:pt>
                <c:pt idx="117">
                  <c:v>-0.56742062894725032</c:v>
                </c:pt>
                <c:pt idx="118">
                  <c:v>-0.38135778523462505</c:v>
                </c:pt>
                <c:pt idx="119">
                  <c:v>-0.19224592459757761</c:v>
                </c:pt>
                <c:pt idx="120">
                  <c:v>0</c:v>
                </c:pt>
                <c:pt idx="121">
                  <c:v>0.19546178539819192</c:v>
                </c:pt>
                <c:pt idx="122">
                  <c:v>0.3942178259263176</c:v>
                </c:pt>
                <c:pt idx="123">
                  <c:v>0.59634296472245274</c:v>
                </c:pt>
                <c:pt idx="124">
                  <c:v>0.80190834905431496</c:v>
                </c:pt>
                <c:pt idx="125">
                  <c:v>1.0109812900183273</c:v>
                </c:pt>
                <c:pt idx="126">
                  <c:v>1.2236251270033911</c:v>
                </c:pt>
                <c:pt idx="127">
                  <c:v>1.4398990973156067</c:v>
                </c:pt>
                <c:pt idx="128">
                  <c:v>1.6598582113699003</c:v>
                </c:pt>
                <c:pt idx="129">
                  <c:v>1.8835531338642295</c:v>
                </c:pt>
                <c:pt idx="130">
                  <c:v>2.1110300713617405</c:v>
                </c:pt>
                <c:pt idx="131">
                  <c:v>2.3423306667159838</c:v>
                </c:pt>
                <c:pt idx="132">
                  <c:v>2.5774919007839978</c:v>
                </c:pt>
                <c:pt idx="133">
                  <c:v>2.816546001881775</c:v>
                </c:pt>
                <c:pt idx="134">
                  <c:v>3.0595203634463557</c:v>
                </c:pt>
                <c:pt idx="135">
                  <c:v>3.3064374703785062</c:v>
                </c:pt>
                <c:pt idx="136">
                  <c:v>3.5573148345496217</c:v>
                </c:pt>
                <c:pt idx="137">
                  <c:v>3.8121649399662716</c:v>
                </c:pt>
                <c:pt idx="138">
                  <c:v>4.0709951980954369</c:v>
                </c:pt>
                <c:pt idx="139">
                  <c:v>4.333807913863275</c:v>
                </c:pt>
                <c:pt idx="140">
                  <c:v>4.6006002628499134</c:v>
                </c:pt>
                <c:pt idx="141">
                  <c:v>4.8713642802125214</c:v>
                </c:pt>
                <c:pt idx="142">
                  <c:v>5.1460868618785796</c:v>
                </c:pt>
                <c:pt idx="143">
                  <c:v>5.4247497785610452</c:v>
                </c:pt>
                <c:pt idx="144">
                  <c:v>5.7073297031567511</c:v>
                </c:pt>
                <c:pt idx="145">
                  <c:v>5.9937982520991264</c:v>
                </c:pt>
                <c:pt idx="146">
                  <c:v>6.2841220412460883</c:v>
                </c:pt>
                <c:pt idx="147">
                  <c:v>6.5782627568935448</c:v>
                </c:pt>
                <c:pt idx="148">
                  <c:v>6.8761772425147925</c:v>
                </c:pt>
                <c:pt idx="149">
                  <c:v>7.1778176018357351</c:v>
                </c:pt>
                <c:pt idx="150">
                  <c:v>7.4831313188655564</c:v>
                </c:pt>
                <c:pt idx="151">
                  <c:v>7.7920613955122553</c:v>
                </c:pt>
                <c:pt idx="152">
                  <c:v>8.1045465074220857</c:v>
                </c:pt>
                <c:pt idx="153">
                  <c:v>8.420521178691736</c:v>
                </c:pt>
                <c:pt idx="154">
                  <c:v>8.7399159761116962</c:v>
                </c:pt>
                <c:pt idx="155">
                  <c:v>9.0626577236091403</c:v>
                </c:pt>
                <c:pt idx="156">
                  <c:v>9.3886697375681134</c:v>
                </c:pt>
                <c:pt idx="157">
                  <c:v>9.7178720837148287</c:v>
                </c:pt>
                <c:pt idx="158">
                  <c:v>10.050181856265333</c:v>
                </c:pt>
                <c:pt idx="159">
                  <c:v>10.385513480042635</c:v>
                </c:pt>
                <c:pt idx="160">
                  <c:v>10.723779036280121</c:v>
                </c:pt>
                <c:pt idx="161">
                  <c:v>11.064888612837761</c:v>
                </c:pt>
                <c:pt idx="162">
                  <c:v>11.408750679567255</c:v>
                </c:pt>
                <c:pt idx="163">
                  <c:v>11.755272489572137</c:v>
                </c:pt>
                <c:pt idx="164">
                  <c:v>12.104360507118459</c:v>
                </c:pt>
                <c:pt idx="165">
                  <c:v>12.455920862961339</c:v>
                </c:pt>
                <c:pt idx="166">
                  <c:v>12.809859837862595</c:v>
                </c:pt>
                <c:pt idx="167">
                  <c:v>13.166084375084074</c:v>
                </c:pt>
                <c:pt idx="168">
                  <c:v>13.524502622651324</c:v>
                </c:pt>
                <c:pt idx="169">
                  <c:v>13.885024506191751</c:v>
                </c:pt>
                <c:pt idx="170">
                  <c:v>14.247562333161161</c:v>
                </c:pt>
                <c:pt idx="171">
                  <c:v>14.612031429282428</c:v>
                </c:pt>
                <c:pt idx="172">
                  <c:v>14.978350808029525</c:v>
                </c:pt>
                <c:pt idx="173">
                  <c:v>15.346443874000059</c:v>
                </c:pt>
                <c:pt idx="174">
                  <c:v>15.716239161029078</c:v>
                </c:pt>
                <c:pt idx="175">
                  <c:v>16.087671105906644</c:v>
                </c:pt>
                <c:pt idx="176">
                  <c:v>16.460680858571319</c:v>
                </c:pt>
                <c:pt idx="177">
                  <c:v>16.835217129661633</c:v>
                </c:pt>
                <c:pt idx="178">
                  <c:v>17.21123707631698</c:v>
                </c:pt>
                <c:pt idx="179">
                  <c:v>17.588707227129472</c:v>
                </c:pt>
                <c:pt idx="180">
                  <c:v>17.967604447157683</c:v>
                </c:pt>
                <c:pt idx="181">
                  <c:v>18.347916943923078</c:v>
                </c:pt>
                <c:pt idx="182">
                  <c:v>18.729645315319743</c:v>
                </c:pt>
                <c:pt idx="183">
                  <c:v>19.11280364037739</c:v>
                </c:pt>
                <c:pt idx="184">
                  <c:v>19.497420613827824</c:v>
                </c:pt>
                <c:pt idx="185">
                  <c:v>19.883540725434216</c:v>
                </c:pt>
                <c:pt idx="186">
                  <c:v>20.271225485052828</c:v>
                </c:pt>
                <c:pt idx="187">
                  <c:v>20.660554694405924</c:v>
                </c:pt>
                <c:pt idx="188">
                  <c:v>21.051627766554994</c:v>
                </c:pt>
                <c:pt idx="189">
                  <c:v>21.444565094072381</c:v>
                </c:pt>
                <c:pt idx="190">
                  <c:v>21.839509466919953</c:v>
                </c:pt>
                <c:pt idx="191">
                  <c:v>22.236627541052247</c:v>
                </c:pt>
                <c:pt idx="192">
                  <c:v>22.636111358772169</c:v>
                </c:pt>
                <c:pt idx="193">
                  <c:v>23.038179921876274</c:v>
                </c:pt>
                <c:pt idx="194">
                  <c:v>23.443080818636748</c:v>
                </c:pt>
                <c:pt idx="195">
                  <c:v>23.85109190567707</c:v>
                </c:pt>
                <c:pt idx="196">
                  <c:v>24.262523045807409</c:v>
                </c:pt>
                <c:pt idx="197">
                  <c:v>24.677717902896447</c:v>
                </c:pt>
                <c:pt idx="198">
                  <c:v>25.097055794865085</c:v>
                </c:pt>
                <c:pt idx="199">
                  <c:v>25.52095360589799</c:v>
                </c:pt>
                <c:pt idx="200">
                  <c:v>25.94986775897814</c:v>
                </c:pt>
              </c:numCache>
            </c:numRef>
          </c:yVal>
          <c:smooth val="1"/>
        </c:ser>
        <c:dLbls>
          <c:showLegendKey val="0"/>
          <c:showVal val="0"/>
          <c:showCatName val="0"/>
          <c:showSerName val="0"/>
          <c:showPercent val="0"/>
          <c:showBubbleSize val="0"/>
        </c:dLbls>
        <c:axId val="682924152"/>
        <c:axId val="682921408"/>
      </c:scatterChart>
      <c:valAx>
        <c:axId val="68292415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1408"/>
        <c:crossesAt val="-1000"/>
        <c:crossBetween val="midCat"/>
      </c:valAx>
      <c:valAx>
        <c:axId val="682921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92415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0.19384050071459333</v>
      </c>
      <c r="D59" s="55">
        <v>1</v>
      </c>
    </row>
    <row r="60" spans="1:4" s="11" customFormat="1" x14ac:dyDescent="0.25">
      <c r="A60" s="54">
        <v>2</v>
      </c>
      <c r="B60" s="56">
        <f>'Shiftfunktion bestimmen'!N2</f>
        <v>1.6080721917707086E-3</v>
      </c>
      <c r="D60" s="55">
        <v>2</v>
      </c>
    </row>
    <row r="61" spans="1:4" s="11" customFormat="1" x14ac:dyDescent="0.25">
      <c r="A61" s="54">
        <v>3</v>
      </c>
      <c r="B61" s="56">
        <f>'Shiftfunktion bestimmen'!N3</f>
        <v>1.3355538372542509E-5</v>
      </c>
      <c r="D61" s="55">
        <v>3</v>
      </c>
    </row>
    <row r="62" spans="1:4" s="11" customFormat="1" x14ac:dyDescent="0.25">
      <c r="A62" s="54">
        <v>4</v>
      </c>
      <c r="B62" s="56">
        <f>'Shiftfunktion bestimmen'!N4</f>
        <v>-1.4179650799823378E-7</v>
      </c>
      <c r="D62" s="55">
        <v>4</v>
      </c>
    </row>
    <row r="63" spans="1:4" s="11" customFormat="1" x14ac:dyDescent="0.25">
      <c r="A63" s="54">
        <v>5</v>
      </c>
      <c r="B63" s="56">
        <f>'Shiftfunktion bestimmen'!N5</f>
        <v>-1.25515298482418E-9</v>
      </c>
      <c r="D63" s="55">
        <v>5</v>
      </c>
    </row>
    <row r="64" spans="1:4" s="11" customFormat="1" x14ac:dyDescent="0.25">
      <c r="A64" s="54">
        <v>6</v>
      </c>
      <c r="B64" s="56">
        <f>'Shiftfunktion bestimmen'!N6</f>
        <v>5.0442139867659582E-12</v>
      </c>
      <c r="D64" s="55">
        <v>6</v>
      </c>
    </row>
    <row r="65" spans="1:5" s="11" customFormat="1" x14ac:dyDescent="0.25">
      <c r="A65" s="54">
        <v>7</v>
      </c>
      <c r="B65" s="56">
        <f>'Shiftfunktion bestimmen'!N7</f>
        <v>7.1873942484765387E-14</v>
      </c>
      <c r="D65" s="55">
        <v>7</v>
      </c>
    </row>
    <row r="66" spans="1:5" x14ac:dyDescent="0.25">
      <c r="A66" s="54">
        <v>8</v>
      </c>
      <c r="B66" s="56">
        <f>'Shiftfunktion bestimmen'!N8</f>
        <v>2.4091246269406107E-16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2.9228453767140686E-2</v>
      </c>
      <c r="D74" s="51">
        <v>1</v>
      </c>
      <c r="E74" s="56">
        <f>'Mastercurve bestimmen'!A18</f>
        <v>1.0000000000000001E-20</v>
      </c>
    </row>
    <row r="75" spans="1:5" x14ac:dyDescent="0.25">
      <c r="A75" s="50">
        <f>A74+1</f>
        <v>2</v>
      </c>
      <c r="B75" s="56">
        <f>'Mastercurve bestimmen'!C19</f>
        <v>4.1218430693432902E-2</v>
      </c>
      <c r="D75" s="51">
        <v>2</v>
      </c>
      <c r="E75" s="56">
        <f>'Mastercurve bestimmen'!A19</f>
        <v>3.9038946506297401E-14</v>
      </c>
    </row>
    <row r="76" spans="1:5" x14ac:dyDescent="0.25">
      <c r="A76" s="50">
        <f t="shared" ref="A76:A104" si="0">A75+1</f>
        <v>3</v>
      </c>
      <c r="B76" s="56">
        <f>'Mastercurve bestimmen'!C20</f>
        <v>8.420564221639372E-3</v>
      </c>
      <c r="D76" s="51">
        <v>3</v>
      </c>
      <c r="E76" s="56">
        <f>'Mastercurve bestimmen'!A20</f>
        <v>4.3276437088188502E-13</v>
      </c>
    </row>
    <row r="77" spans="1:5" x14ac:dyDescent="0.25">
      <c r="A77" s="50">
        <f t="shared" si="0"/>
        <v>4</v>
      </c>
      <c r="B77" s="56">
        <f>'Mastercurve bestimmen'!C21</f>
        <v>2.0972499021433853E-2</v>
      </c>
      <c r="D77" s="51">
        <v>4</v>
      </c>
      <c r="E77" s="56">
        <f>'Mastercurve bestimmen'!A21</f>
        <v>4.7973886968128502E-12</v>
      </c>
    </row>
    <row r="78" spans="1:5" x14ac:dyDescent="0.25">
      <c r="A78" s="50">
        <f t="shared" si="0"/>
        <v>5</v>
      </c>
      <c r="B78" s="56">
        <f>'Mastercurve bestimmen'!C22</f>
        <v>1.9327833781388304E-2</v>
      </c>
      <c r="D78" s="51">
        <v>5</v>
      </c>
      <c r="E78" s="56">
        <f>'Mastercurve bestimmen'!A22</f>
        <v>5.31812225239524E-11</v>
      </c>
    </row>
    <row r="79" spans="1:5" x14ac:dyDescent="0.25">
      <c r="A79" s="50">
        <f t="shared" si="0"/>
        <v>6</v>
      </c>
      <c r="B79" s="56">
        <f>'Mastercurve bestimmen'!C23</f>
        <v>2.3246647212008399E-2</v>
      </c>
      <c r="D79" s="51">
        <v>6</v>
      </c>
      <c r="E79" s="56">
        <f>'Mastercurve bestimmen'!A23</f>
        <v>5.8953789402578301E-10</v>
      </c>
    </row>
    <row r="80" spans="1:5" x14ac:dyDescent="0.25">
      <c r="A80" s="50">
        <f t="shared" si="0"/>
        <v>7</v>
      </c>
      <c r="B80" s="56">
        <f>'Mastercurve bestimmen'!C24</f>
        <v>2.4740814098249582E-2</v>
      </c>
      <c r="D80" s="51">
        <v>7</v>
      </c>
      <c r="E80" s="56">
        <f>'Mastercurve bestimmen'!A24</f>
        <v>6.5352940755699598E-9</v>
      </c>
    </row>
    <row r="81" spans="1:5" x14ac:dyDescent="0.25">
      <c r="A81" s="50">
        <f t="shared" si="0"/>
        <v>8</v>
      </c>
      <c r="B81" s="56">
        <f>'Mastercurve bestimmen'!C25</f>
        <v>2.7333416296139789E-2</v>
      </c>
      <c r="D81" s="51">
        <v>8</v>
      </c>
      <c r="E81" s="56">
        <f>'Mastercurve bestimmen'!A25</f>
        <v>7.2446689325643296E-8</v>
      </c>
    </row>
    <row r="82" spans="1:5" x14ac:dyDescent="0.25">
      <c r="A82" s="50">
        <f t="shared" si="0"/>
        <v>9</v>
      </c>
      <c r="B82" s="56">
        <f>'Mastercurve bestimmen'!C26</f>
        <v>2.1342745356983432E-2</v>
      </c>
      <c r="D82" s="51">
        <f>A82</f>
        <v>9</v>
      </c>
      <c r="E82" s="56">
        <f>'Mastercurve bestimmen'!A26</f>
        <v>8.03104303120212E-7</v>
      </c>
    </row>
    <row r="83" spans="1:5" x14ac:dyDescent="0.25">
      <c r="A83" s="50">
        <f t="shared" si="0"/>
        <v>10</v>
      </c>
      <c r="B83" s="56">
        <f>'Mastercurve bestimmen'!C27</f>
        <v>3.0213098985838894E-2</v>
      </c>
      <c r="C83" s="11"/>
      <c r="D83" s="51">
        <f t="shared" ref="D83:D104" si="1">A83</f>
        <v>10</v>
      </c>
      <c r="E83" s="56">
        <f>'Mastercurve bestimmen'!A27</f>
        <v>8.9027742702096099E-6</v>
      </c>
    </row>
    <row r="84" spans="1:5" x14ac:dyDescent="0.25">
      <c r="A84" s="50">
        <f t="shared" si="0"/>
        <v>11</v>
      </c>
      <c r="B84" s="56">
        <f>'Mastercurve bestimmen'!C28</f>
        <v>3.3824388307374977E-2</v>
      </c>
      <c r="C84" s="11"/>
      <c r="D84" s="51">
        <f t="shared" si="1"/>
        <v>11</v>
      </c>
      <c r="E84" s="56">
        <f>'Mastercurve bestimmen'!A28</f>
        <v>9.86912775817142E-5</v>
      </c>
    </row>
    <row r="85" spans="1:5" x14ac:dyDescent="0.25">
      <c r="A85" s="50">
        <f t="shared" si="0"/>
        <v>12</v>
      </c>
      <c r="B85" s="56">
        <f>'Mastercurve bestimmen'!C29</f>
        <v>3.8791797530712095E-2</v>
      </c>
      <c r="C85" s="11"/>
      <c r="D85" s="51">
        <f t="shared" si="1"/>
        <v>12</v>
      </c>
      <c r="E85" s="56">
        <f>'Mastercurve bestimmen'!A29</f>
        <v>1.0940374286813801E-3</v>
      </c>
    </row>
    <row r="86" spans="1:5" x14ac:dyDescent="0.25">
      <c r="A86" s="50">
        <f t="shared" si="0"/>
        <v>13</v>
      </c>
      <c r="B86" s="56">
        <f>'Mastercurve bestimmen'!C30</f>
        <v>2.3183984286354733E-2</v>
      </c>
      <c r="C86" s="11"/>
      <c r="D86" s="51">
        <f t="shared" si="1"/>
        <v>13</v>
      </c>
      <c r="E86" s="56">
        <f>'Mastercurve bestimmen'!A30</f>
        <v>1.2127899493091E-2</v>
      </c>
    </row>
    <row r="87" spans="1:5" x14ac:dyDescent="0.25">
      <c r="A87" s="50">
        <f t="shared" si="0"/>
        <v>14</v>
      </c>
      <c r="B87" s="56">
        <f>'Mastercurve bestimmen'!C31</f>
        <v>3.3195679421044622E-2</v>
      </c>
      <c r="C87" s="11"/>
      <c r="D87" s="51">
        <f t="shared" si="1"/>
        <v>14</v>
      </c>
      <c r="E87" s="56">
        <f>'Mastercurve bestimmen'!A31</f>
        <v>0.13444324870292301</v>
      </c>
    </row>
    <row r="88" spans="1:5" x14ac:dyDescent="0.25">
      <c r="A88" s="50">
        <f t="shared" si="0"/>
        <v>15</v>
      </c>
      <c r="B88" s="56">
        <f>'Mastercurve bestimmen'!C32</f>
        <v>2.038442434974385E-2</v>
      </c>
      <c r="C88" s="11"/>
      <c r="D88" s="51">
        <f t="shared" si="1"/>
        <v>15</v>
      </c>
      <c r="E88" s="56">
        <f>'Mastercurve bestimmen'!A32</f>
        <v>1.49036419143257</v>
      </c>
    </row>
    <row r="89" spans="1:5" x14ac:dyDescent="0.25">
      <c r="A89" s="50">
        <f t="shared" si="0"/>
        <v>16</v>
      </c>
      <c r="B89" s="56">
        <f>'Mastercurve bestimmen'!C33</f>
        <v>6.6925069366004494E-2</v>
      </c>
      <c r="C89" s="11"/>
      <c r="D89" s="51">
        <f t="shared" si="1"/>
        <v>16</v>
      </c>
      <c r="E89" s="56">
        <f>'Mastercurve bestimmen'!A33</f>
        <v>16.521360830937301</v>
      </c>
    </row>
    <row r="90" spans="1:5" x14ac:dyDescent="0.25">
      <c r="A90" s="50">
        <f t="shared" si="0"/>
        <v>17</v>
      </c>
      <c r="B90" s="56">
        <f>'Mastercurve bestimmen'!C34</f>
        <v>9.6671799143506223E-2</v>
      </c>
      <c r="C90" s="11"/>
      <c r="D90" s="51">
        <f t="shared" si="1"/>
        <v>17</v>
      </c>
      <c r="E90" s="56">
        <f>'Mastercurve bestimmen'!A34</f>
        <v>183.146753843879</v>
      </c>
    </row>
    <row r="91" spans="1:5" x14ac:dyDescent="0.25">
      <c r="A91" s="50">
        <f t="shared" si="0"/>
        <v>18</v>
      </c>
      <c r="B91" s="56">
        <f>'Mastercurve bestimmen'!C35</f>
        <v>8.3708796522492912E-2</v>
      </c>
      <c r="C91" s="11"/>
      <c r="D91" s="51">
        <f t="shared" si="1"/>
        <v>18</v>
      </c>
      <c r="E91" s="56">
        <f>'Mastercurve bestimmen'!A35</f>
        <v>2030.26456396616</v>
      </c>
    </row>
    <row r="92" spans="1:5" x14ac:dyDescent="0.25">
      <c r="A92" s="50">
        <f t="shared" si="0"/>
        <v>19</v>
      </c>
      <c r="B92" s="56">
        <f>'Mastercurve bestimmen'!C36</f>
        <v>5.9251655732023817E-2</v>
      </c>
      <c r="C92" s="11"/>
      <c r="D92" s="51">
        <f t="shared" si="1"/>
        <v>19</v>
      </c>
      <c r="E92" s="56">
        <f>'Mastercurve bestimmen'!A36</f>
        <v>22506.400540467101</v>
      </c>
    </row>
    <row r="93" spans="1:5" x14ac:dyDescent="0.25">
      <c r="A93" s="50">
        <f t="shared" si="0"/>
        <v>20</v>
      </c>
      <c r="B93" s="56">
        <f>'Mastercurve bestimmen'!C37</f>
        <v>5.2327746974864794E-2</v>
      </c>
      <c r="C93" s="11"/>
      <c r="D93" s="51">
        <f t="shared" si="1"/>
        <v>20</v>
      </c>
      <c r="E93" s="56">
        <f>'Mastercurve bestimmen'!A37</f>
        <v>249493.62476110301</v>
      </c>
    </row>
    <row r="94" spans="1:5" x14ac:dyDescent="0.25">
      <c r="A94" s="50">
        <f t="shared" si="0"/>
        <v>21</v>
      </c>
      <c r="B94" s="56">
        <f>'Mastercurve bestimmen'!C38</f>
        <v>1.7967891452015796E-2</v>
      </c>
      <c r="C94" s="11"/>
      <c r="D94" s="51">
        <f t="shared" si="1"/>
        <v>21</v>
      </c>
      <c r="E94" s="56">
        <f>'Mastercurve bestimmen'!A38</f>
        <v>2765749.6224023802</v>
      </c>
    </row>
    <row r="95" spans="1:5" x14ac:dyDescent="0.25">
      <c r="A95" s="50">
        <f t="shared" si="0"/>
        <v>22</v>
      </c>
      <c r="B95" s="56">
        <f>'Mastercurve bestimmen'!C39</f>
        <v>4.123109123431553E-2</v>
      </c>
      <c r="C95" s="11"/>
      <c r="D95" s="51">
        <f t="shared" si="1"/>
        <v>22</v>
      </c>
      <c r="E95" s="56">
        <f>'Mastercurve bestimmen'!A39</f>
        <v>10000000</v>
      </c>
    </row>
    <row r="96" spans="1:5" x14ac:dyDescent="0.25">
      <c r="A96" s="50">
        <f t="shared" si="0"/>
        <v>23</v>
      </c>
      <c r="B96" s="56">
        <f>'Mastercurve bestimmen'!C40</f>
        <v>3.4610685556715946E-2</v>
      </c>
      <c r="C96" s="11"/>
      <c r="D96" s="51">
        <f t="shared" si="1"/>
        <v>23</v>
      </c>
      <c r="E96" s="56">
        <f>'Mastercurve bestimmen'!A40</f>
        <v>100000000</v>
      </c>
    </row>
    <row r="97" spans="1:5" x14ac:dyDescent="0.25">
      <c r="A97" s="50">
        <f t="shared" si="0"/>
        <v>24</v>
      </c>
      <c r="B97" s="56">
        <f>'Mastercurve bestimmen'!C41</f>
        <v>4.2854236942630193E-2</v>
      </c>
      <c r="C97" s="11"/>
      <c r="D97" s="51">
        <f t="shared" si="1"/>
        <v>24</v>
      </c>
      <c r="E97" s="56">
        <f>'Mastercurve bestimmen'!A41</f>
        <v>1000000000</v>
      </c>
    </row>
    <row r="98" spans="1:5" x14ac:dyDescent="0.25">
      <c r="A98" s="50">
        <f t="shared" si="0"/>
        <v>25</v>
      </c>
      <c r="B98" s="56">
        <f>'Mastercurve bestimmen'!C42</f>
        <v>3.2192937025108795E-2</v>
      </c>
      <c r="C98" s="11"/>
      <c r="D98" s="51">
        <f t="shared" si="1"/>
        <v>25</v>
      </c>
      <c r="E98" s="56">
        <f>'Mastercurve bestimmen'!A42</f>
        <v>10000000000</v>
      </c>
    </row>
    <row r="99" spans="1:5" x14ac:dyDescent="0.25">
      <c r="A99" s="50">
        <f t="shared" si="0"/>
        <v>26</v>
      </c>
      <c r="B99" s="56">
        <f>'Mastercurve bestimmen'!C43</f>
        <v>2.5751010749186929E-2</v>
      </c>
      <c r="C99" s="11"/>
      <c r="D99" s="51">
        <f t="shared" si="1"/>
        <v>26</v>
      </c>
      <c r="E99" s="56">
        <f>'Mastercurve bestimmen'!A43</f>
        <v>100000000000</v>
      </c>
    </row>
    <row r="100" spans="1:5" x14ac:dyDescent="0.25">
      <c r="A100" s="50">
        <f t="shared" si="0"/>
        <v>27</v>
      </c>
      <c r="B100" s="56">
        <f>'Mastercurve bestimmen'!C44</f>
        <v>1.2586213635594824E-2</v>
      </c>
      <c r="C100" s="11"/>
      <c r="D100" s="51">
        <f t="shared" si="1"/>
        <v>27</v>
      </c>
      <c r="E100" s="56">
        <f>'Mastercurve bestimmen'!A44</f>
        <v>1000000000000</v>
      </c>
    </row>
    <row r="101" spans="1:5" x14ac:dyDescent="0.25">
      <c r="A101" s="50">
        <f t="shared" si="0"/>
        <v>28</v>
      </c>
      <c r="B101" s="56">
        <f>'Mastercurve bestimmen'!C45</f>
        <v>6.9130744193958088E-3</v>
      </c>
      <c r="C101" s="11"/>
      <c r="D101" s="51">
        <f t="shared" si="1"/>
        <v>28</v>
      </c>
      <c r="E101" s="56">
        <f>'Mastercurve bestimmen'!A45</f>
        <v>10000000000000</v>
      </c>
    </row>
    <row r="102" spans="1:5" x14ac:dyDescent="0.25">
      <c r="A102" s="50">
        <f t="shared" si="0"/>
        <v>29</v>
      </c>
      <c r="B102" s="56">
        <f>'Mastercurve bestimmen'!C46</f>
        <v>3.0323866622783903E-3</v>
      </c>
      <c r="C102" s="11"/>
      <c r="D102" s="51">
        <f t="shared" si="1"/>
        <v>29</v>
      </c>
      <c r="E102" s="56">
        <f>'Mastercurve bestimmen'!A46</f>
        <v>100000000000000</v>
      </c>
    </row>
    <row r="103" spans="1:5" x14ac:dyDescent="0.25">
      <c r="A103" s="50">
        <f t="shared" si="0"/>
        <v>30</v>
      </c>
      <c r="B103" s="56">
        <f>'Mastercurve bestimmen'!C47</f>
        <v>2.0349292815546579E-6</v>
      </c>
      <c r="C103" s="11"/>
      <c r="D103" s="51">
        <f t="shared" si="1"/>
        <v>30</v>
      </c>
      <c r="E103" s="56">
        <f>'Mastercurve bestimmen'!A47</f>
        <v>1000000000000000</v>
      </c>
    </row>
    <row r="104" spans="1:5" x14ac:dyDescent="0.25">
      <c r="A104" s="50">
        <f t="shared" si="0"/>
        <v>31</v>
      </c>
      <c r="B104" s="56">
        <f>'Mastercurve bestimmen'!C48</f>
        <v>1.1740866771866395E-2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0" zoomScale="120" zoomScaleNormal="120" zoomScaleSheetLayoutView="110" workbookViewId="0">
      <selection activeCell="D11" sqref="D1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110</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6840.5863197092085</v>
      </c>
      <c r="G16" s="26">
        <f>INDEX(Comparison!$AM$3:$AS$33,G14,$B$3)</f>
        <v>6643.5965561721414</v>
      </c>
      <c r="H16" s="26">
        <f>INDEX(Comparison!$AM$3:$AS$33,H14,$B$3)</f>
        <v>6527.1577578820725</v>
      </c>
      <c r="I16" s="26">
        <f>INDEX(Comparison!$AM$3:$AS$33,I14,$B$3)</f>
        <v>6412.9995296962652</v>
      </c>
      <c r="J16" s="26">
        <f>INDEX(Comparison!$AM$3:$AS$33,J14,$B$3)</f>
        <v>6286.8028992665704</v>
      </c>
      <c r="K16" s="26">
        <f>INDEX(Comparison!$AM$3:$AS$33,K14,$B$3)</f>
        <v>6151.4165633211096</v>
      </c>
      <c r="L16" s="26">
        <f>INDEX(Comparison!$AM$3:$AS$33,L14,$B$3)</f>
        <v>5999.0572498672</v>
      </c>
      <c r="M16" s="26">
        <f>INDEX(Comparison!$AM$3:$AS$33,M14,$B$3)</f>
        <v>5834.1918541119712</v>
      </c>
      <c r="N16" s="26">
        <f>INDEX(Comparison!$AM$3:$AS$33,N14,$B$3)</f>
        <v>5660.667941479277</v>
      </c>
      <c r="O16" s="26">
        <f>INDEX(Comparison!$AM$3:$AS$33,O14,$B$3)</f>
        <v>5500.6338050295499</v>
      </c>
      <c r="P16" s="26">
        <f>INDEX(Comparison!$AM$3:$AS$33,P14,$B$3)</f>
        <v>5316.0543139142828</v>
      </c>
      <c r="Q16" s="26">
        <f>INDEX(Comparison!$AM$3:$AS$33,Q14,$B$3)</f>
        <v>5094.9618199282804</v>
      </c>
      <c r="R16" s="26">
        <f>INDEX(Comparison!$AM$3:$AS$33,R14,$B$3)</f>
        <v>4859.6753740182503</v>
      </c>
      <c r="S16" s="26">
        <f>INDEX(Comparison!$AM$3:$AS$33,S14,$B$3)</f>
        <v>4653.8175879978271</v>
      </c>
      <c r="T16" s="26">
        <f>INDEX(Comparison!$AM$3:$AS$33,T14,$B$3)</f>
        <v>4469.1753341299773</v>
      </c>
      <c r="U16" s="26">
        <f>INDEX(Comparison!$AM$3:$AS$33,U14,$B$3)</f>
        <v>4267.9652571239076</v>
      </c>
      <c r="V16" s="26">
        <f>INDEX(Comparison!$AM$3:$AS$33,V14,$B$3)</f>
        <v>3976.7785402340392</v>
      </c>
      <c r="W16" s="26">
        <f>INDEX(Comparison!$AM$3:$AS$33,W14,$B$3)</f>
        <v>3445.6591436468279</v>
      </c>
      <c r="X16" s="26">
        <f>INDEX(Comparison!$AM$3:$AS$33,X14,$B$3)</f>
        <v>2839.3657389117534</v>
      </c>
      <c r="Y16" s="26">
        <f>INDEX(Comparison!$AM$3:$AS$33,Y14,$B$3)</f>
        <v>2338.5721090290958</v>
      </c>
      <c r="Z16" s="26">
        <f>INDEX(Comparison!$AM$3:$AS$33,Z14,$B$3)</f>
        <v>1960.3272335044344</v>
      </c>
      <c r="AA16" s="26">
        <f>INDEX(Comparison!$AM$3:$AS$33,AA14,$B$3)</f>
        <v>1656.3185875611684</v>
      </c>
      <c r="AB16" s="26">
        <f>INDEX(Comparison!$AM$3:$AS$33,AB14,$B$3)</f>
        <v>1387.2108481854204</v>
      </c>
      <c r="AC16" s="26">
        <f>INDEX(Comparison!$AM$3:$AS$33,AC14,$B$3)</f>
        <v>1120.1049206759617</v>
      </c>
      <c r="AD16" s="26">
        <f>INDEX(Comparison!$AM$3:$AS$33,AD14,$B$3)</f>
        <v>849.29779427462438</v>
      </c>
      <c r="AE16" s="26">
        <f>INDEX(Comparison!$AM$3:$AS$33,AE14,$B$3)</f>
        <v>602.02056954985051</v>
      </c>
      <c r="AF16" s="26">
        <f>INDEX(Comparison!$AM$3:$AS$33,AF14,$B$3)</f>
        <v>414.55153000594095</v>
      </c>
      <c r="AG16" s="26">
        <f>INDEX(Comparison!$AM$3:$AS$33,AG14,$B$3)</f>
        <v>296.76424848335745</v>
      </c>
      <c r="AH16" s="26">
        <f>INDEX(Comparison!$AM$3:$AS$33,AH14,$B$3)</f>
        <v>236.5039430342818</v>
      </c>
      <c r="AI16" s="26">
        <f>INDEX(Comparison!$AM$3:$AS$33,AI14,$B$3)</f>
        <v>206.64782998877558</v>
      </c>
      <c r="AJ16" s="26">
        <f>INDEX(Comparison!$AM$3:$AS$33,AJ14,$B$3)</f>
        <v>191.80670583863778</v>
      </c>
    </row>
    <row r="17" spans="1:36" x14ac:dyDescent="0.25">
      <c r="A17" s="14" t="s">
        <v>20</v>
      </c>
      <c r="B17" s="105">
        <v>2.431217604712451E-2</v>
      </c>
      <c r="C17" s="18">
        <f t="shared" ref="C17:C48" si="3">ABS(B17/$B$49)</f>
        <v>1.6807725553232171E-2</v>
      </c>
      <c r="D17" s="66"/>
      <c r="E17" s="65" t="s">
        <v>22</v>
      </c>
      <c r="F17" s="27">
        <f>($C$17+SUM(F18:F48))*$B$51</f>
        <v>6780.5730659016481</v>
      </c>
      <c r="G17" s="27">
        <f t="shared" ref="G17:M17" si="4">($C$17+SUM(G18:G48))*$B$51</f>
        <v>6721.2222394293585</v>
      </c>
      <c r="H17" s="27">
        <f t="shared" si="4"/>
        <v>6506.6037704297296</v>
      </c>
      <c r="I17" s="27">
        <f t="shared" si="4"/>
        <v>6416.3604718630731</v>
      </c>
      <c r="J17" s="27">
        <f t="shared" si="4"/>
        <v>6286.3326516749657</v>
      </c>
      <c r="K17" s="27">
        <f t="shared" si="4"/>
        <v>6151.4810401735467</v>
      </c>
      <c r="L17" s="27">
        <f t="shared" si="4"/>
        <v>5999.0181091272252</v>
      </c>
      <c r="M17" s="27">
        <f t="shared" si="4"/>
        <v>5834.2930572498381</v>
      </c>
      <c r="N17" s="27">
        <f t="shared" ref="N17" si="5">($C$17+SUM(N18:N48))*$B$51</f>
        <v>5660.434471427935</v>
      </c>
      <c r="O17" s="27">
        <f t="shared" ref="O17" si="6">($C$17+SUM(O18:O48))*$B$51</f>
        <v>5501.098578467765</v>
      </c>
      <c r="P17" s="27">
        <f t="shared" ref="P17" si="7">($C$17+SUM(P18:P48))*$B$51</f>
        <v>5315.2617748595594</v>
      </c>
      <c r="Q17" s="27">
        <f t="shared" ref="Q17" si="8">($C$17+SUM(Q18:Q48))*$B$51</f>
        <v>5096.1057346270163</v>
      </c>
      <c r="R17" s="27">
        <f t="shared" ref="R17" si="9">($C$17+SUM(R18:R48))*$B$51</f>
        <v>4858.2767950304988</v>
      </c>
      <c r="S17" s="27">
        <f t="shared" ref="S17:T17" si="10">($C$17+SUM(S18:S48))*$B$51</f>
        <v>4655.2805681799773</v>
      </c>
      <c r="T17" s="27">
        <f t="shared" si="10"/>
        <v>4467.8676733168213</v>
      </c>
      <c r="U17" s="27">
        <f t="shared" ref="U17" si="11">($C$17+SUM(U18:U48))*$B$51</f>
        <v>4268.965628864833</v>
      </c>
      <c r="V17" s="27">
        <f t="shared" ref="V17" si="12">($C$17+SUM(V18:V48))*$B$51</f>
        <v>3976.1231745563819</v>
      </c>
      <c r="W17" s="27">
        <f t="shared" ref="W17" si="13">($C$17+SUM(W18:W48))*$B$51</f>
        <v>3446.0377273762615</v>
      </c>
      <c r="X17" s="27">
        <f t="shared" ref="X17" si="14">($C$17+SUM(X18:X48))*$B$51</f>
        <v>2839.1776762165127</v>
      </c>
      <c r="Y17" s="27">
        <f t="shared" ref="Y17" si="15">($C$17+SUM(Y18:Y48))*$B$51</f>
        <v>2338.6496127071741</v>
      </c>
      <c r="Z17" s="27">
        <f t="shared" ref="Z17:AA17" si="16">($C$17+SUM(Z18:Z48))*$B$51</f>
        <v>1960.302204333115</v>
      </c>
      <c r="AA17" s="27">
        <f t="shared" si="16"/>
        <v>1656.3249214196153</v>
      </c>
      <c r="AB17" s="27">
        <f t="shared" ref="AB17" si="17">($C$17+SUM(AB18:AB48))*$B$51</f>
        <v>1387.2074056891579</v>
      </c>
      <c r="AC17" s="27">
        <f t="shared" ref="AC17" si="18">($C$17+SUM(AC18:AC48))*$B$51</f>
        <v>1120.1097846174816</v>
      </c>
      <c r="AD17" s="27">
        <f t="shared" ref="AD17" si="19">($C$17+SUM(AD18:AD48))*$B$51</f>
        <v>849.29741015599336</v>
      </c>
      <c r="AE17" s="27">
        <f t="shared" ref="AE17" si="20">($C$17+SUM(AE18:AE48))*$B$51</f>
        <v>602.01412462561314</v>
      </c>
      <c r="AF17" s="27">
        <f t="shared" ref="AF17" si="21">($C$17+SUM(AF18:AF48))*$B$51</f>
        <v>414.56144951255766</v>
      </c>
      <c r="AG17" s="27">
        <f t="shared" ref="AG17:AH17" si="22">($C$17+SUM(AG18:AG48))*$B$51</f>
        <v>296.74560141018856</v>
      </c>
      <c r="AH17" s="27">
        <f t="shared" si="22"/>
        <v>236.52828141405783</v>
      </c>
      <c r="AI17" s="27">
        <f t="shared" ref="AI17" si="23">($C$17+SUM(AI18:AI48))*$B$51</f>
        <v>206.62201720776227</v>
      </c>
      <c r="AJ17" s="27">
        <f t="shared" ref="AJ17" si="24">($C$17+SUM(AJ18:AJ48))*$B$51</f>
        <v>191.81706588739681</v>
      </c>
    </row>
    <row r="18" spans="1:36" x14ac:dyDescent="0.25">
      <c r="A18" s="3">
        <f>0.000000000000001/10^5</f>
        <v>1.0000000000000001E-20</v>
      </c>
      <c r="B18" s="106">
        <v>4.2278612375087968E-2</v>
      </c>
      <c r="C18" s="18">
        <f t="shared" si="3"/>
        <v>2.9228453767140686E-2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5.9621972064639803E-2</v>
      </c>
      <c r="C19" s="18">
        <f t="shared" si="3"/>
        <v>4.1218430693432902E-2</v>
      </c>
      <c r="D19" s="17"/>
      <c r="F19" s="3">
        <f t="shared" si="25"/>
        <v>4.0176010265279997E-2</v>
      </c>
      <c r="G19" s="3">
        <f t="shared" si="25"/>
        <v>3.1903989030362678E-2</v>
      </c>
      <c r="H19" s="3">
        <f t="shared" si="25"/>
        <v>3.1814624155508064E-3</v>
      </c>
      <c r="I19" s="3">
        <f t="shared" si="25"/>
        <v>3.0934627746223275E-13</v>
      </c>
      <c r="J19" s="3">
        <f t="shared" si="25"/>
        <v>2.3368232595810831E-113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1.2180246466080935E-2</v>
      </c>
      <c r="C20" s="18">
        <f t="shared" si="3"/>
        <v>8.420564221639372E-3</v>
      </c>
      <c r="D20" s="17"/>
      <c r="F20" s="3">
        <f t="shared" si="25"/>
        <v>8.4011290660043585E-3</v>
      </c>
      <c r="G20" s="3">
        <f t="shared" si="25"/>
        <v>8.2282188778012282E-3</v>
      </c>
      <c r="H20" s="3">
        <f t="shared" si="25"/>
        <v>6.6832487478644164E-3</v>
      </c>
      <c r="I20" s="3">
        <f t="shared" si="25"/>
        <v>8.3522892243528303E-4</v>
      </c>
      <c r="J20" s="3">
        <f t="shared" si="25"/>
        <v>7.7621943989341184E-13</v>
      </c>
      <c r="K20" s="3">
        <f t="shared" si="25"/>
        <v>3.7305633503867556E-103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3.0336471567337896E-2</v>
      </c>
      <c r="C21" s="18">
        <f t="shared" si="3"/>
        <v>2.0972499021433853E-2</v>
      </c>
      <c r="D21" s="17"/>
      <c r="F21" s="3">
        <f t="shared" si="25"/>
        <v>2.0968127828129717E-2</v>
      </c>
      <c r="G21" s="3">
        <f t="shared" si="25"/>
        <v>2.0928828063584353E-2</v>
      </c>
      <c r="H21" s="3">
        <f t="shared" si="25"/>
        <v>2.0539858917277776E-2</v>
      </c>
      <c r="I21" s="3">
        <f t="shared" si="25"/>
        <v>1.7026403329943977E-2</v>
      </c>
      <c r="J21" s="3">
        <f t="shared" si="25"/>
        <v>2.6084200173856907E-3</v>
      </c>
      <c r="K21" s="3">
        <f t="shared" si="25"/>
        <v>1.8574776575988247E-11</v>
      </c>
      <c r="L21" s="3">
        <f t="shared" si="25"/>
        <v>6.2285125078091533E-93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2.7957482766745281E-2</v>
      </c>
      <c r="C22" s="18">
        <f t="shared" si="3"/>
        <v>1.9327833781388304E-2</v>
      </c>
      <c r="D22" s="17"/>
      <c r="F22" s="3">
        <f t="shared" si="25"/>
        <v>1.9327470351381461E-2</v>
      </c>
      <c r="G22" s="3">
        <f t="shared" si="25"/>
        <v>1.9324199788822702E-2</v>
      </c>
      <c r="H22" s="3">
        <f t="shared" si="25"/>
        <v>1.9291524586942971E-2</v>
      </c>
      <c r="I22" s="3">
        <f t="shared" si="25"/>
        <v>1.8967795974723881E-2</v>
      </c>
      <c r="J22" s="3">
        <f t="shared" si="25"/>
        <v>1.6014746078595817E-2</v>
      </c>
      <c r="K22" s="3">
        <f t="shared" si="25"/>
        <v>2.9481659957472975E-3</v>
      </c>
      <c r="L22" s="3">
        <f t="shared" si="25"/>
        <v>1.3178642859849632E-10</v>
      </c>
      <c r="M22" s="3">
        <f t="shared" si="25"/>
        <v>4.1981528781594104E-84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3.3626000004209934E-2</v>
      </c>
      <c r="C23" s="18">
        <f t="shared" si="3"/>
        <v>2.3246647212008399E-2</v>
      </c>
      <c r="D23" s="17"/>
      <c r="F23" s="3">
        <f t="shared" si="25"/>
        <v>2.3246607780060543E-2</v>
      </c>
      <c r="G23" s="3">
        <f t="shared" si="25"/>
        <v>2.3246252895539707E-2</v>
      </c>
      <c r="H23" s="3">
        <f t="shared" si="25"/>
        <v>2.3242704348290906E-2</v>
      </c>
      <c r="I23" s="3">
        <f t="shared" si="25"/>
        <v>2.3207248654935619E-2</v>
      </c>
      <c r="J23" s="3">
        <f t="shared" si="25"/>
        <v>2.2855652882404015E-2</v>
      </c>
      <c r="K23" s="3">
        <f t="shared" si="25"/>
        <v>1.9619746533924225E-2</v>
      </c>
      <c r="L23" s="3">
        <f t="shared" si="25"/>
        <v>4.2627611672393989E-3</v>
      </c>
      <c r="M23" s="3">
        <f t="shared" si="25"/>
        <v>9.9923372679808408E-10</v>
      </c>
      <c r="N23" s="3">
        <f t="shared" si="25"/>
        <v>5.0052747092980233E-76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3.5787294717586175E-2</v>
      </c>
      <c r="C24" s="18">
        <f t="shared" si="3"/>
        <v>2.4740814098249582E-2</v>
      </c>
      <c r="D24" s="17"/>
      <c r="F24" s="3">
        <f t="shared" si="25"/>
        <v>2.4740810312526718E-2</v>
      </c>
      <c r="G24" s="3">
        <f t="shared" si="25"/>
        <v>2.4740776241047008E-2</v>
      </c>
      <c r="H24" s="3">
        <f t="shared" si="25"/>
        <v>2.4740435528830564E-2</v>
      </c>
      <c r="I24" s="3">
        <f t="shared" si="25"/>
        <v>2.4737028664717876E-2</v>
      </c>
      <c r="J24" s="3">
        <f t="shared" si="25"/>
        <v>2.4702985815623767E-2</v>
      </c>
      <c r="K24" s="3">
        <f t="shared" si="25"/>
        <v>2.4365123434131858E-2</v>
      </c>
      <c r="L24" s="3">
        <f t="shared" si="25"/>
        <v>2.1230503036934321E-2</v>
      </c>
      <c r="M24" s="3">
        <f t="shared" si="25"/>
        <v>5.3564489565645019E-3</v>
      </c>
      <c r="N24" s="3">
        <f t="shared" si="25"/>
        <v>5.5981410037220474E-9</v>
      </c>
      <c r="O24" s="3">
        <f t="shared" si="25"/>
        <v>8.7038712229879405E-69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3.9537463106261911E-2</v>
      </c>
      <c r="C25" s="18">
        <f t="shared" si="3"/>
        <v>2.7333416296139789E-2</v>
      </c>
      <c r="D25" s="17"/>
      <c r="F25" s="3">
        <f t="shared" si="25"/>
        <v>2.7333415918849722E-2</v>
      </c>
      <c r="G25" s="3">
        <f t="shared" si="25"/>
        <v>2.7333412523239377E-2</v>
      </c>
      <c r="H25" s="3">
        <f t="shared" si="25"/>
        <v>2.7333378567159092E-2</v>
      </c>
      <c r="I25" s="3">
        <f t="shared" si="25"/>
        <v>2.7333039008676323E-2</v>
      </c>
      <c r="J25" s="3">
        <f t="shared" si="25"/>
        <v>2.7329643655845663E-2</v>
      </c>
      <c r="K25" s="3">
        <f t="shared" si="25"/>
        <v>2.72957133165782E-2</v>
      </c>
      <c r="L25" s="3">
        <f t="shared" si="25"/>
        <v>2.6958718204344249E-2</v>
      </c>
      <c r="M25" s="3">
        <f t="shared" si="25"/>
        <v>2.3809328586553904E-2</v>
      </c>
      <c r="N25" s="3">
        <f t="shared" si="25"/>
        <v>6.8742645869402973E-3</v>
      </c>
      <c r="O25" s="3">
        <f t="shared" si="25"/>
        <v>2.7670512077020382E-8</v>
      </c>
      <c r="P25" s="3">
        <f t="shared" si="25"/>
        <v>3.0897740483323038E-62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3.0872028508827403E-2</v>
      </c>
      <c r="C26" s="18">
        <f t="shared" si="3"/>
        <v>2.1342745356983432E-2</v>
      </c>
      <c r="D26" s="17"/>
      <c r="F26" s="3">
        <f t="shared" si="25"/>
        <v>2.1342745330408121E-2</v>
      </c>
      <c r="G26" s="3">
        <f t="shared" si="25"/>
        <v>2.1342745091230339E-2</v>
      </c>
      <c r="H26" s="3">
        <f t="shared" si="25"/>
        <v>2.1342742699452657E-2</v>
      </c>
      <c r="I26" s="3">
        <f t="shared" si="25"/>
        <v>2.1342718781690549E-2</v>
      </c>
      <c r="J26" s="3">
        <f t="shared" si="25"/>
        <v>2.13424796055437E-2</v>
      </c>
      <c r="K26" s="3">
        <f t="shared" si="25"/>
        <v>2.1340087991487601E-2</v>
      </c>
      <c r="L26" s="3">
        <f t="shared" si="25"/>
        <v>2.1316186586058151E-2</v>
      </c>
      <c r="M26" s="3">
        <f t="shared" si="25"/>
        <v>2.1078639953400088E-2</v>
      </c>
      <c r="N26" s="3">
        <f t="shared" si="25"/>
        <v>1.8844009377484549E-2</v>
      </c>
      <c r="O26" s="3">
        <f t="shared" si="25"/>
        <v>6.1444154397597107E-3</v>
      </c>
      <c r="P26" s="3">
        <f t="shared" si="25"/>
        <v>8.3474374371165249E-8</v>
      </c>
      <c r="Q26" s="3">
        <f t="shared" si="25"/>
        <v>1.787636372464567E-56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4.3702890027952593E-2</v>
      </c>
      <c r="C27" s="18">
        <f t="shared" si="3"/>
        <v>3.0213098985838894E-2</v>
      </c>
      <c r="D27" s="17"/>
      <c r="F27" s="3">
        <f t="shared" si="25"/>
        <v>3.0213098982445223E-2</v>
      </c>
      <c r="G27" s="3">
        <f t="shared" si="25"/>
        <v>3.0213098951902169E-2</v>
      </c>
      <c r="H27" s="3">
        <f t="shared" si="25"/>
        <v>3.0213098646471662E-2</v>
      </c>
      <c r="I27" s="3">
        <f t="shared" si="25"/>
        <v>3.0213095592166724E-2</v>
      </c>
      <c r="J27" s="3">
        <f t="shared" si="25"/>
        <v>3.0213065049134333E-2</v>
      </c>
      <c r="K27" s="3">
        <f t="shared" si="25"/>
        <v>3.0212759620508654E-2</v>
      </c>
      <c r="L27" s="3">
        <f t="shared" si="25"/>
        <v>3.0209705504066108E-2</v>
      </c>
      <c r="M27" s="3">
        <f t="shared" si="25"/>
        <v>3.0179181314718667E-2</v>
      </c>
      <c r="N27" s="3">
        <f t="shared" si="25"/>
        <v>2.987563059680708E-2</v>
      </c>
      <c r="O27" s="3">
        <f t="shared" si="25"/>
        <v>2.7003082721607549E-2</v>
      </c>
      <c r="P27" s="3">
        <f t="shared" si="25"/>
        <v>9.8259829569045266E-3</v>
      </c>
      <c r="Q27" s="3">
        <f t="shared" si="25"/>
        <v>3.99947147112951E-7</v>
      </c>
      <c r="R27" s="3">
        <f t="shared" si="25"/>
        <v>4.9919309623585757E-51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4.8926577282020246E-2</v>
      </c>
      <c r="C28" s="18">
        <f t="shared" si="3"/>
        <v>3.3824388307374977E-2</v>
      </c>
      <c r="D28" s="17"/>
      <c r="F28" s="3">
        <f t="shared" si="25"/>
        <v>3.3824388307032251E-2</v>
      </c>
      <c r="G28" s="3">
        <f t="shared" si="25"/>
        <v>3.3824388303947683E-2</v>
      </c>
      <c r="H28" s="3">
        <f t="shared" si="25"/>
        <v>3.3824388273102052E-2</v>
      </c>
      <c r="I28" s="3">
        <f t="shared" si="25"/>
        <v>3.3824387964645722E-2</v>
      </c>
      <c r="J28" s="3">
        <f t="shared" si="25"/>
        <v>3.3824384880082575E-2</v>
      </c>
      <c r="K28" s="3">
        <f t="shared" si="25"/>
        <v>3.3824354034466569E-2</v>
      </c>
      <c r="L28" s="3">
        <f t="shared" si="25"/>
        <v>3.3824045579853641E-2</v>
      </c>
      <c r="M28" s="3">
        <f t="shared" si="25"/>
        <v>3.3820961188429137E-2</v>
      </c>
      <c r="N28" s="3">
        <f t="shared" si="25"/>
        <v>3.3790132739447067E-2</v>
      </c>
      <c r="O28" s="3">
        <f t="shared" si="25"/>
        <v>3.3483389570403026E-2</v>
      </c>
      <c r="P28" s="3">
        <f t="shared" si="25"/>
        <v>3.0565013732462461E-2</v>
      </c>
      <c r="Q28" s="3">
        <f t="shared" si="25"/>
        <v>1.2279378601932648E-2</v>
      </c>
      <c r="R28" s="3">
        <f t="shared" si="25"/>
        <v>1.3449134481917142E-6</v>
      </c>
      <c r="S28" s="3">
        <f t="shared" si="25"/>
        <v>3.3409794155751961E-46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5.6111875920636933E-2</v>
      </c>
      <c r="C29" s="18">
        <f t="shared" si="3"/>
        <v>3.8791797530712095E-2</v>
      </c>
      <c r="D29" s="17"/>
      <c r="F29" s="3">
        <f t="shared" si="25"/>
        <v>3.8791797530676637E-2</v>
      </c>
      <c r="G29" s="3">
        <f t="shared" si="25"/>
        <v>3.8791797530357518E-2</v>
      </c>
      <c r="H29" s="3">
        <f t="shared" si="25"/>
        <v>3.8791797527166348E-2</v>
      </c>
      <c r="I29" s="3">
        <f t="shared" si="25"/>
        <v>3.8791797495254625E-2</v>
      </c>
      <c r="J29" s="3">
        <f t="shared" si="25"/>
        <v>3.8791797176137413E-2</v>
      </c>
      <c r="K29" s="3">
        <f t="shared" si="25"/>
        <v>3.879179398496542E-2</v>
      </c>
      <c r="L29" s="3">
        <f t="shared" si="25"/>
        <v>3.8791762073259926E-2</v>
      </c>
      <c r="M29" s="3">
        <f t="shared" si="25"/>
        <v>3.879144295764881E-2</v>
      </c>
      <c r="N29" s="3">
        <f t="shared" si="25"/>
        <v>3.8788251945918159E-2</v>
      </c>
      <c r="O29" s="3">
        <f t="shared" si="25"/>
        <v>3.8756356262268796E-2</v>
      </c>
      <c r="P29" s="3">
        <f t="shared" si="25"/>
        <v>3.8438838407863621E-2</v>
      </c>
      <c r="Q29" s="3">
        <f t="shared" si="25"/>
        <v>3.5403272854500588E-2</v>
      </c>
      <c r="R29" s="3">
        <f t="shared" si="25"/>
        <v>1.5551596620866096E-2</v>
      </c>
      <c r="S29" s="3">
        <f t="shared" si="25"/>
        <v>4.159974708062983E-6</v>
      </c>
      <c r="T29" s="3">
        <f t="shared" si="25"/>
        <v>7.8027512641381426E-42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3.3535358824039851E-2</v>
      </c>
      <c r="C30" s="18">
        <f t="shared" si="3"/>
        <v>2.3183984286354733E-2</v>
      </c>
      <c r="D30" s="17"/>
      <c r="F30" s="3">
        <f t="shared" si="25"/>
        <v>2.3183984286352821E-2</v>
      </c>
      <c r="G30" s="3">
        <f t="shared" si="25"/>
        <v>2.3183984286335616E-2</v>
      </c>
      <c r="H30" s="3">
        <f t="shared" si="25"/>
        <v>2.318398428616357E-2</v>
      </c>
      <c r="I30" s="3">
        <f t="shared" si="25"/>
        <v>2.3183984284443109E-2</v>
      </c>
      <c r="J30" s="3">
        <f t="shared" si="25"/>
        <v>2.3183984267238493E-2</v>
      </c>
      <c r="K30" s="3">
        <f t="shared" si="25"/>
        <v>2.3183984095192331E-2</v>
      </c>
      <c r="L30" s="3">
        <f t="shared" si="25"/>
        <v>2.3183982374730766E-2</v>
      </c>
      <c r="M30" s="3">
        <f t="shared" si="25"/>
        <v>2.3183965170122164E-2</v>
      </c>
      <c r="N30" s="3">
        <f t="shared" si="25"/>
        <v>2.3183793124738339E-2</v>
      </c>
      <c r="O30" s="3">
        <f t="shared" si="25"/>
        <v>2.3182072741118574E-2</v>
      </c>
      <c r="P30" s="3">
        <f t="shared" si="25"/>
        <v>2.3164875924840175E-2</v>
      </c>
      <c r="Q30" s="3">
        <f t="shared" si="25"/>
        <v>2.2993607830316377E-2</v>
      </c>
      <c r="R30" s="3">
        <f t="shared" si="25"/>
        <v>2.1349049069780062E-2</v>
      </c>
      <c r="S30" s="3">
        <f t="shared" si="25"/>
        <v>1.0164656113599867E-2</v>
      </c>
      <c r="T30" s="3">
        <f t="shared" si="25"/>
        <v>6.0846309137135879E-6</v>
      </c>
      <c r="U30" s="3">
        <f t="shared" si="25"/>
        <v>3.5945930640222117E-38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4.8017157320440977E-2</v>
      </c>
      <c r="C31" s="18">
        <f t="shared" si="3"/>
        <v>3.3195679421044622E-2</v>
      </c>
      <c r="D31" s="17"/>
      <c r="F31" s="3">
        <f t="shared" si="25"/>
        <v>3.3195679421044372E-2</v>
      </c>
      <c r="G31" s="3">
        <f t="shared" si="25"/>
        <v>3.3195679421042151E-2</v>
      </c>
      <c r="H31" s="3">
        <f t="shared" si="25"/>
        <v>3.3195679421019926E-2</v>
      </c>
      <c r="I31" s="3">
        <f t="shared" si="25"/>
        <v>3.3195679420797708E-2</v>
      </c>
      <c r="J31" s="3">
        <f t="shared" si="25"/>
        <v>3.3195679418575499E-2</v>
      </c>
      <c r="K31" s="3">
        <f t="shared" si="25"/>
        <v>3.31956793963534E-2</v>
      </c>
      <c r="L31" s="3">
        <f t="shared" si="25"/>
        <v>3.3195679174132416E-2</v>
      </c>
      <c r="M31" s="3">
        <f t="shared" si="25"/>
        <v>3.3195676951922631E-2</v>
      </c>
      <c r="N31" s="3">
        <f t="shared" si="25"/>
        <v>3.3195654729832977E-2</v>
      </c>
      <c r="O31" s="3">
        <f t="shared" si="25"/>
        <v>3.3195432509754652E-2</v>
      </c>
      <c r="P31" s="3">
        <f t="shared" si="25"/>
        <v>3.3193210390787556E-2</v>
      </c>
      <c r="Q31" s="3">
        <f t="shared" si="25"/>
        <v>3.3170997380710776E-2</v>
      </c>
      <c r="R31" s="3">
        <f t="shared" si="25"/>
        <v>3.2949683216996484E-2</v>
      </c>
      <c r="S31" s="3">
        <f t="shared" si="25"/>
        <v>3.081614998459371E-2</v>
      </c>
      <c r="T31" s="3">
        <f t="shared" si="25"/>
        <v>1.5777919478412967E-2</v>
      </c>
      <c r="U31" s="3">
        <f t="shared" si="25"/>
        <v>1.9532745736049151E-5</v>
      </c>
      <c r="V31" s="3">
        <f t="shared" si="26"/>
        <v>1.651577322143543E-34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2.9485828516218296E-2</v>
      </c>
      <c r="C32" s="18">
        <f t="shared" si="3"/>
        <v>2.038442434974385E-2</v>
      </c>
      <c r="D32" s="17"/>
      <c r="F32" s="3">
        <f t="shared" si="25"/>
        <v>2.0384424349743836E-2</v>
      </c>
      <c r="G32" s="3">
        <f t="shared" si="25"/>
        <v>2.0384424349743715E-2</v>
      </c>
      <c r="H32" s="3">
        <f t="shared" si="25"/>
        <v>2.0384424349742483E-2</v>
      </c>
      <c r="I32" s="3">
        <f t="shared" si="25"/>
        <v>2.038442434973017E-2</v>
      </c>
      <c r="J32" s="3">
        <f t="shared" si="25"/>
        <v>2.0384424349607078E-2</v>
      </c>
      <c r="K32" s="3">
        <f t="shared" si="25"/>
        <v>2.0384424348376104E-2</v>
      </c>
      <c r="L32" s="3">
        <f t="shared" si="25"/>
        <v>2.0384424336066371E-2</v>
      </c>
      <c r="M32" s="3">
        <f t="shared" si="25"/>
        <v>2.0384424212969064E-2</v>
      </c>
      <c r="N32" s="3">
        <f t="shared" si="25"/>
        <v>2.0384422981996036E-2</v>
      </c>
      <c r="O32" s="3">
        <f t="shared" si="25"/>
        <v>2.0384410672269829E-2</v>
      </c>
      <c r="P32" s="3">
        <f t="shared" si="25"/>
        <v>2.0384287575416611E-2</v>
      </c>
      <c r="Q32" s="3">
        <f t="shared" si="25"/>
        <v>2.0383056647768166E-2</v>
      </c>
      <c r="R32" s="3">
        <f t="shared" si="25"/>
        <v>2.0370751458743872E-2</v>
      </c>
      <c r="S32" s="3">
        <f t="shared" si="25"/>
        <v>2.0248107402706356E-2</v>
      </c>
      <c r="T32" s="3">
        <f t="shared" si="25"/>
        <v>1.9061553549466415E-2</v>
      </c>
      <c r="U32" s="3">
        <f t="shared" si="25"/>
        <v>1.0420699453008126E-2</v>
      </c>
      <c r="V32" s="3">
        <f t="shared" si="26"/>
        <v>2.4847496603382837E-5</v>
      </c>
      <c r="W32" s="3">
        <f t="shared" si="26"/>
        <v>1.4761834587458596E-31</v>
      </c>
      <c r="X32" s="3">
        <f t="shared" si="26"/>
        <v>8.0856936196899736E-294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9.6806320595794484E-2</v>
      </c>
      <c r="C33" s="18">
        <f t="shared" si="3"/>
        <v>6.6925069366004494E-2</v>
      </c>
      <c r="D33" s="17"/>
      <c r="F33" s="3">
        <f t="shared" si="25"/>
        <v>6.692506936600448E-2</v>
      </c>
      <c r="G33" s="3">
        <f t="shared" si="25"/>
        <v>6.6925069366004453E-2</v>
      </c>
      <c r="H33" s="3">
        <f t="shared" si="25"/>
        <v>6.6925069366004092E-2</v>
      </c>
      <c r="I33" s="3">
        <f t="shared" si="25"/>
        <v>6.6925069366000442E-2</v>
      </c>
      <c r="J33" s="3">
        <f t="shared" si="25"/>
        <v>6.6925069365963985E-2</v>
      </c>
      <c r="K33" s="3">
        <f t="shared" si="25"/>
        <v>6.6925069365599402E-2</v>
      </c>
      <c r="L33" s="3">
        <f t="shared" si="25"/>
        <v>6.6925069361953679E-2</v>
      </c>
      <c r="M33" s="3">
        <f t="shared" si="25"/>
        <v>6.6925069325496286E-2</v>
      </c>
      <c r="N33" s="3">
        <f t="shared" si="25"/>
        <v>6.6925068960922429E-2</v>
      </c>
      <c r="O33" s="3">
        <f t="shared" si="25"/>
        <v>6.6925065315183982E-2</v>
      </c>
      <c r="P33" s="3">
        <f t="shared" si="25"/>
        <v>6.6925028857810404E-2</v>
      </c>
      <c r="Q33" s="3">
        <f t="shared" si="25"/>
        <v>6.6924664285166968E-2</v>
      </c>
      <c r="R33" s="3">
        <f t="shared" si="25"/>
        <v>6.6921018667960824E-2</v>
      </c>
      <c r="S33" s="3">
        <f t="shared" si="25"/>
        <v>6.6884573416528356E-2</v>
      </c>
      <c r="T33" s="3">
        <f t="shared" si="25"/>
        <v>6.6521210767162609E-2</v>
      </c>
      <c r="U33" s="3">
        <f t="shared" ref="P33:AE48" si="27">$C33*EXP(-U$15/$A33)</f>
        <v>6.2994405709247525E-2</v>
      </c>
      <c r="V33" s="3">
        <f t="shared" si="27"/>
        <v>3.6535946402787407E-2</v>
      </c>
      <c r="W33" s="3">
        <f t="shared" si="27"/>
        <v>1.5736355025505391E-4</v>
      </c>
      <c r="X33" s="3">
        <f t="shared" si="27"/>
        <v>3.4573391241386783E-28</v>
      </c>
      <c r="Y33" s="3">
        <f t="shared" si="27"/>
        <v>9.0598360369267452E-265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0.1398346130846487</v>
      </c>
      <c r="C34" s="18">
        <f t="shared" si="3"/>
        <v>9.6671799143506223E-2</v>
      </c>
      <c r="D34" s="17"/>
      <c r="F34" s="3">
        <f t="shared" ref="F34:O48" si="28">$C34*EXP(-F$15/$A34)</f>
        <v>9.6671799143506223E-2</v>
      </c>
      <c r="G34" s="3">
        <f t="shared" si="28"/>
        <v>9.6671799143506223E-2</v>
      </c>
      <c r="H34" s="3">
        <f t="shared" si="28"/>
        <v>9.6671799143506168E-2</v>
      </c>
      <c r="I34" s="3">
        <f t="shared" si="28"/>
        <v>9.6671799143505696E-2</v>
      </c>
      <c r="J34" s="3">
        <f t="shared" si="28"/>
        <v>9.6671799143500936E-2</v>
      </c>
      <c r="K34" s="3">
        <f t="shared" si="28"/>
        <v>9.6671799143453446E-2</v>
      </c>
      <c r="L34" s="3">
        <f t="shared" si="28"/>
        <v>9.6671799142978382E-2</v>
      </c>
      <c r="M34" s="3">
        <f t="shared" si="28"/>
        <v>9.6671799138227849E-2</v>
      </c>
      <c r="N34" s="3">
        <f t="shared" si="28"/>
        <v>9.6671799090722432E-2</v>
      </c>
      <c r="O34" s="3">
        <f t="shared" si="28"/>
        <v>9.6671798615668311E-2</v>
      </c>
      <c r="P34" s="3">
        <f t="shared" si="27"/>
        <v>9.6671793865127309E-2</v>
      </c>
      <c r="Q34" s="3">
        <f t="shared" si="27"/>
        <v>9.6671746359729971E-2</v>
      </c>
      <c r="R34" s="3">
        <f t="shared" si="27"/>
        <v>9.6671271307040674E-2</v>
      </c>
      <c r="S34" s="3">
        <f t="shared" si="27"/>
        <v>9.6666520908540374E-2</v>
      </c>
      <c r="T34" s="3">
        <f t="shared" si="27"/>
        <v>9.6619029760471833E-2</v>
      </c>
      <c r="U34" s="3">
        <f t="shared" si="27"/>
        <v>9.6145399642268384E-2</v>
      </c>
      <c r="V34" s="3">
        <f t="shared" si="27"/>
        <v>9.1534935224157857E-2</v>
      </c>
      <c r="W34" s="3">
        <f t="shared" si="27"/>
        <v>5.5997749587419272E-2</v>
      </c>
      <c r="X34" s="3">
        <f t="shared" si="27"/>
        <v>4.1115684983008069E-4</v>
      </c>
      <c r="Y34" s="3">
        <f t="shared" si="27"/>
        <v>1.8723071175868912E-25</v>
      </c>
      <c r="Z34" s="3">
        <f t="shared" si="27"/>
        <v>7.179144114736067E-239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0.12108378324611614</v>
      </c>
      <c r="C35" s="18">
        <f t="shared" si="3"/>
        <v>8.3708796522492912E-2</v>
      </c>
      <c r="D35" s="17"/>
      <c r="F35" s="3">
        <f t="shared" si="28"/>
        <v>8.3708796522492912E-2</v>
      </c>
      <c r="G35" s="3">
        <f t="shared" si="28"/>
        <v>8.3708796522492912E-2</v>
      </c>
      <c r="H35" s="3">
        <f t="shared" si="28"/>
        <v>8.3708796522492912E-2</v>
      </c>
      <c r="I35" s="3">
        <f t="shared" si="28"/>
        <v>8.370879652249287E-2</v>
      </c>
      <c r="J35" s="3">
        <f t="shared" si="28"/>
        <v>8.370879652249251E-2</v>
      </c>
      <c r="K35" s="3">
        <f t="shared" si="28"/>
        <v>8.370879652248879E-2</v>
      </c>
      <c r="L35" s="3">
        <f t="shared" si="28"/>
        <v>8.3708796522451681E-2</v>
      </c>
      <c r="M35" s="3">
        <f t="shared" si="28"/>
        <v>8.3708796522080603E-2</v>
      </c>
      <c r="N35" s="3">
        <f t="shared" si="28"/>
        <v>8.3708796518369863E-2</v>
      </c>
      <c r="O35" s="3">
        <f t="shared" si="28"/>
        <v>8.3708796481262421E-2</v>
      </c>
      <c r="P35" s="3">
        <f t="shared" si="27"/>
        <v>8.3708796110188041E-2</v>
      </c>
      <c r="Q35" s="3">
        <f t="shared" si="27"/>
        <v>8.3708792399444315E-2</v>
      </c>
      <c r="R35" s="3">
        <f t="shared" si="27"/>
        <v>8.3708755292016157E-2</v>
      </c>
      <c r="S35" s="3">
        <f t="shared" si="27"/>
        <v>8.3708384218639242E-2</v>
      </c>
      <c r="T35" s="3">
        <f t="shared" si="27"/>
        <v>8.3704673575340227E-2</v>
      </c>
      <c r="U35" s="3">
        <f t="shared" si="27"/>
        <v>8.3667576187887949E-2</v>
      </c>
      <c r="V35" s="3">
        <f t="shared" si="27"/>
        <v>8.329750538527235E-2</v>
      </c>
      <c r="W35" s="3">
        <f t="shared" si="27"/>
        <v>7.9685640748262204E-2</v>
      </c>
      <c r="X35" s="3">
        <f t="shared" si="27"/>
        <v>5.1151786708372206E-2</v>
      </c>
      <c r="Y35" s="3">
        <f t="shared" si="27"/>
        <v>6.0767056063999443E-4</v>
      </c>
      <c r="Z35" s="3">
        <f t="shared" si="27"/>
        <v>3.4020609179111786E-23</v>
      </c>
      <c r="AA35" s="3">
        <f t="shared" si="27"/>
        <v>1.0291554440541977E-215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8.5706818610181201E-2</v>
      </c>
      <c r="C36" s="18">
        <f t="shared" si="3"/>
        <v>5.9251655732023817E-2</v>
      </c>
      <c r="D36" s="17"/>
      <c r="F36" s="3">
        <f t="shared" si="28"/>
        <v>5.9251655732023817E-2</v>
      </c>
      <c r="G36" s="3">
        <f t="shared" si="28"/>
        <v>5.9251655732023817E-2</v>
      </c>
      <c r="H36" s="3">
        <f t="shared" si="28"/>
        <v>5.9251655732023817E-2</v>
      </c>
      <c r="I36" s="3">
        <f t="shared" si="28"/>
        <v>5.9251655732023817E-2</v>
      </c>
      <c r="J36" s="3">
        <f t="shared" si="28"/>
        <v>5.9251655732023789E-2</v>
      </c>
      <c r="K36" s="3">
        <f t="shared" si="28"/>
        <v>5.9251655732023553E-2</v>
      </c>
      <c r="L36" s="3">
        <f t="shared" si="28"/>
        <v>5.9251655732021187E-2</v>
      </c>
      <c r="M36" s="3">
        <f t="shared" si="28"/>
        <v>5.9251655731997491E-2</v>
      </c>
      <c r="N36" s="3">
        <f t="shared" si="28"/>
        <v>5.9251655731760548E-2</v>
      </c>
      <c r="O36" s="3">
        <f t="shared" si="28"/>
        <v>5.9251655729391159E-2</v>
      </c>
      <c r="P36" s="3">
        <f t="shared" si="27"/>
        <v>5.9251655705697237E-2</v>
      </c>
      <c r="Q36" s="3">
        <f t="shared" si="27"/>
        <v>5.9251655468758019E-2</v>
      </c>
      <c r="R36" s="3">
        <f t="shared" si="27"/>
        <v>5.9251653099365864E-2</v>
      </c>
      <c r="S36" s="3">
        <f t="shared" si="27"/>
        <v>5.9251629405449535E-2</v>
      </c>
      <c r="T36" s="3">
        <f t="shared" si="27"/>
        <v>5.9251392466807364E-2</v>
      </c>
      <c r="U36" s="3">
        <f t="shared" si="27"/>
        <v>5.9249023132496588E-2</v>
      </c>
      <c r="V36" s="3">
        <f t="shared" si="27"/>
        <v>5.9225334999712671E-2</v>
      </c>
      <c r="W36" s="3">
        <f t="shared" si="27"/>
        <v>5.8988973934172829E-2</v>
      </c>
      <c r="X36" s="3">
        <f t="shared" si="27"/>
        <v>5.6676627903848045E-2</v>
      </c>
      <c r="Y36" s="3">
        <f t="shared" si="27"/>
        <v>3.7995801793259502E-2</v>
      </c>
      <c r="Z36" s="3">
        <f t="shared" si="27"/>
        <v>6.9670947637446082E-4</v>
      </c>
      <c r="AA36" s="3">
        <f t="shared" si="27"/>
        <v>2.9937308972839164E-21</v>
      </c>
      <c r="AB36" s="3">
        <f t="shared" si="27"/>
        <v>6.4242610251088099E-195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7.5691466556440296E-2</v>
      </c>
      <c r="C37" s="18">
        <f t="shared" si="3"/>
        <v>5.2327746974864794E-2</v>
      </c>
      <c r="D37" s="17"/>
      <c r="F37" s="3">
        <f t="shared" si="28"/>
        <v>5.2327746974864794E-2</v>
      </c>
      <c r="G37" s="3">
        <f t="shared" si="28"/>
        <v>5.2327746974864794E-2</v>
      </c>
      <c r="H37" s="3">
        <f t="shared" si="28"/>
        <v>5.2327746974864794E-2</v>
      </c>
      <c r="I37" s="3">
        <f t="shared" si="28"/>
        <v>5.2327746974864794E-2</v>
      </c>
      <c r="J37" s="3">
        <f t="shared" si="28"/>
        <v>5.2327746974864794E-2</v>
      </c>
      <c r="K37" s="3">
        <f t="shared" si="28"/>
        <v>5.2327746974864774E-2</v>
      </c>
      <c r="L37" s="3">
        <f t="shared" si="28"/>
        <v>5.2327746974864586E-2</v>
      </c>
      <c r="M37" s="3">
        <f t="shared" si="28"/>
        <v>5.2327746974862699E-2</v>
      </c>
      <c r="N37" s="3">
        <f t="shared" si="28"/>
        <v>5.2327746974843825E-2</v>
      </c>
      <c r="O37" s="3">
        <f t="shared" si="28"/>
        <v>5.2327746974655059E-2</v>
      </c>
      <c r="P37" s="3">
        <f t="shared" si="27"/>
        <v>5.2327746972767437E-2</v>
      </c>
      <c r="Q37" s="3">
        <f t="shared" si="27"/>
        <v>5.2327746953891217E-2</v>
      </c>
      <c r="R37" s="3">
        <f t="shared" si="27"/>
        <v>5.2327746765128989E-2</v>
      </c>
      <c r="S37" s="3">
        <f t="shared" si="27"/>
        <v>5.2327744877506757E-2</v>
      </c>
      <c r="T37" s="3">
        <f t="shared" si="27"/>
        <v>5.2327726001288197E-2</v>
      </c>
      <c r="U37" s="3">
        <f t="shared" si="27"/>
        <v>5.232753723947714E-2</v>
      </c>
      <c r="V37" s="3">
        <f t="shared" si="27"/>
        <v>5.2325649658816746E-2</v>
      </c>
      <c r="W37" s="3">
        <f t="shared" si="27"/>
        <v>5.2306777596735195E-2</v>
      </c>
      <c r="X37" s="3">
        <f t="shared" si="27"/>
        <v>5.2118430928860572E-2</v>
      </c>
      <c r="Y37" s="3">
        <f t="shared" si="27"/>
        <v>5.0271865207303833E-2</v>
      </c>
      <c r="Z37" s="3">
        <f t="shared" si="27"/>
        <v>3.5047872775747349E-2</v>
      </c>
      <c r="AA37" s="3">
        <f t="shared" si="27"/>
        <v>9.5066676520259733E-4</v>
      </c>
      <c r="AB37" s="3">
        <f t="shared" si="27"/>
        <v>2.0497211832380188E-19</v>
      </c>
      <c r="AC37" s="3">
        <f t="shared" si="27"/>
        <v>4.4499954719897162E-176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2.5990342285963045E-2</v>
      </c>
      <c r="C38" s="18">
        <f t="shared" si="3"/>
        <v>1.7967891452015796E-2</v>
      </c>
      <c r="D38" s="17"/>
      <c r="F38" s="3">
        <f t="shared" si="28"/>
        <v>1.7967891452015796E-2</v>
      </c>
      <c r="G38" s="3">
        <f t="shared" si="28"/>
        <v>1.7967891452015796E-2</v>
      </c>
      <c r="H38" s="3">
        <f t="shared" si="28"/>
        <v>1.7967891452015796E-2</v>
      </c>
      <c r="I38" s="3">
        <f t="shared" si="28"/>
        <v>1.7967891452015796E-2</v>
      </c>
      <c r="J38" s="3">
        <f t="shared" si="28"/>
        <v>1.7967891452015796E-2</v>
      </c>
      <c r="K38" s="3">
        <f t="shared" si="28"/>
        <v>1.7967891452015796E-2</v>
      </c>
      <c r="L38" s="3">
        <f t="shared" si="28"/>
        <v>1.7967891452015789E-2</v>
      </c>
      <c r="M38" s="3">
        <f t="shared" si="28"/>
        <v>1.796789145201573E-2</v>
      </c>
      <c r="N38" s="3">
        <f t="shared" si="28"/>
        <v>1.7967891452015147E-2</v>
      </c>
      <c r="O38" s="3">
        <f t="shared" si="28"/>
        <v>1.7967891452009298E-2</v>
      </c>
      <c r="P38" s="3">
        <f t="shared" si="27"/>
        <v>1.7967891451950831E-2</v>
      </c>
      <c r="Q38" s="3">
        <f t="shared" si="27"/>
        <v>1.7967891451366139E-2</v>
      </c>
      <c r="R38" s="3">
        <f t="shared" si="27"/>
        <v>1.7967891445519222E-2</v>
      </c>
      <c r="S38" s="3">
        <f t="shared" si="27"/>
        <v>1.7967891387050076E-2</v>
      </c>
      <c r="T38" s="3">
        <f t="shared" si="27"/>
        <v>1.796789080235861E-2</v>
      </c>
      <c r="U38" s="3">
        <f t="shared" si="27"/>
        <v>1.7967884955445008E-2</v>
      </c>
      <c r="V38" s="3">
        <f t="shared" si="27"/>
        <v>1.7967826486413617E-2</v>
      </c>
      <c r="W38" s="3">
        <f t="shared" si="27"/>
        <v>1.7967241806564095E-2</v>
      </c>
      <c r="X38" s="3">
        <f t="shared" si="27"/>
        <v>1.7961396054380387E-2</v>
      </c>
      <c r="Y38" s="3">
        <f t="shared" si="27"/>
        <v>1.7903043037826319E-2</v>
      </c>
      <c r="Z38" s="3">
        <f t="shared" si="27"/>
        <v>1.7329838662521233E-2</v>
      </c>
      <c r="AA38" s="3">
        <f t="shared" si="27"/>
        <v>1.2516161490830182E-2</v>
      </c>
      <c r="AB38" s="3">
        <f t="shared" si="27"/>
        <v>4.8332308959257221E-4</v>
      </c>
      <c r="AC38" s="3">
        <f t="shared" si="27"/>
        <v>3.56370209799879E-18</v>
      </c>
      <c r="AD38" s="3">
        <f t="shared" si="27"/>
        <v>1.6925436974609281E-159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5.9640285387154227E-2</v>
      </c>
      <c r="C39" s="18">
        <f t="shared" si="3"/>
        <v>4.123109123431553E-2</v>
      </c>
      <c r="D39" s="17"/>
      <c r="F39" s="3">
        <f t="shared" si="28"/>
        <v>4.123109123431553E-2</v>
      </c>
      <c r="G39" s="3">
        <f t="shared" si="28"/>
        <v>4.123109123431553E-2</v>
      </c>
      <c r="H39" s="3">
        <f t="shared" si="28"/>
        <v>4.123109123431553E-2</v>
      </c>
      <c r="I39" s="3">
        <f t="shared" si="28"/>
        <v>4.123109123431553E-2</v>
      </c>
      <c r="J39" s="3">
        <f t="shared" si="28"/>
        <v>4.123109123431553E-2</v>
      </c>
      <c r="K39" s="3">
        <f t="shared" si="28"/>
        <v>4.123109123431553E-2</v>
      </c>
      <c r="L39" s="3">
        <f t="shared" si="28"/>
        <v>4.1231091234315523E-2</v>
      </c>
      <c r="M39" s="3">
        <f t="shared" si="28"/>
        <v>4.1231091234315488E-2</v>
      </c>
      <c r="N39" s="3">
        <f t="shared" si="28"/>
        <v>4.123109123431512E-2</v>
      </c>
      <c r="O39" s="3">
        <f t="shared" si="28"/>
        <v>4.1231091234311408E-2</v>
      </c>
      <c r="P39" s="3">
        <f t="shared" si="27"/>
        <v>4.1231091234274299E-2</v>
      </c>
      <c r="Q39" s="3">
        <f t="shared" si="27"/>
        <v>4.1231091233903221E-2</v>
      </c>
      <c r="R39" s="3">
        <f t="shared" si="27"/>
        <v>4.1231091230192418E-2</v>
      </c>
      <c r="S39" s="3">
        <f t="shared" si="27"/>
        <v>4.1231091193084442E-2</v>
      </c>
      <c r="T39" s="3">
        <f t="shared" si="27"/>
        <v>4.1231090822004622E-2</v>
      </c>
      <c r="U39" s="3">
        <f t="shared" si="27"/>
        <v>4.1231087111206613E-2</v>
      </c>
      <c r="V39" s="3">
        <f t="shared" si="27"/>
        <v>4.123105000324491E-2</v>
      </c>
      <c r="W39" s="3">
        <f t="shared" si="27"/>
        <v>4.1230678925464732E-2</v>
      </c>
      <c r="X39" s="3">
        <f t="shared" si="27"/>
        <v>4.122696833134068E-2</v>
      </c>
      <c r="Y39" s="3">
        <f t="shared" si="27"/>
        <v>4.1189880751756704E-2</v>
      </c>
      <c r="Z39" s="3">
        <f t="shared" si="27"/>
        <v>4.082083502183087E-2</v>
      </c>
      <c r="AA39" s="3">
        <f t="shared" si="27"/>
        <v>3.7307434135263148E-2</v>
      </c>
      <c r="AB39" s="3">
        <f t="shared" si="27"/>
        <v>1.5168070802168752E-2</v>
      </c>
      <c r="AC39" s="3">
        <f t="shared" si="27"/>
        <v>1.87188864606853E-6</v>
      </c>
      <c r="AD39" s="3">
        <f t="shared" si="27"/>
        <v>1.5338279196590049E-45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5.006394694520297E-2</v>
      </c>
      <c r="C40" s="18">
        <f t="shared" si="3"/>
        <v>3.4610685556715946E-2</v>
      </c>
      <c r="D40" s="17"/>
      <c r="F40" s="3">
        <f t="shared" si="28"/>
        <v>3.4610685556715946E-2</v>
      </c>
      <c r="G40" s="3">
        <f t="shared" si="28"/>
        <v>3.4610685556715946E-2</v>
      </c>
      <c r="H40" s="3">
        <f t="shared" si="28"/>
        <v>3.4610685556715946E-2</v>
      </c>
      <c r="I40" s="3">
        <f t="shared" si="28"/>
        <v>3.4610685556715946E-2</v>
      </c>
      <c r="J40" s="3">
        <f t="shared" si="28"/>
        <v>3.4610685556715946E-2</v>
      </c>
      <c r="K40" s="3">
        <f t="shared" si="28"/>
        <v>3.4610685556715946E-2</v>
      </c>
      <c r="L40" s="3">
        <f t="shared" si="28"/>
        <v>3.4610685556715946E-2</v>
      </c>
      <c r="M40" s="3">
        <f t="shared" si="28"/>
        <v>3.4610685556715939E-2</v>
      </c>
      <c r="N40" s="3">
        <f t="shared" si="28"/>
        <v>3.4610685556715912E-2</v>
      </c>
      <c r="O40" s="3">
        <f t="shared" si="28"/>
        <v>3.4610685556715599E-2</v>
      </c>
      <c r="P40" s="3">
        <f t="shared" si="27"/>
        <v>3.4610685556712484E-2</v>
      </c>
      <c r="Q40" s="3">
        <f t="shared" si="27"/>
        <v>3.4610685556681335E-2</v>
      </c>
      <c r="R40" s="3">
        <f t="shared" si="27"/>
        <v>3.4610685556369841E-2</v>
      </c>
      <c r="S40" s="3">
        <f t="shared" si="27"/>
        <v>3.4610685553254875E-2</v>
      </c>
      <c r="T40" s="3">
        <f t="shared" si="27"/>
        <v>3.4610685522105264E-2</v>
      </c>
      <c r="U40" s="3">
        <f t="shared" si="27"/>
        <v>3.4610685210609095E-2</v>
      </c>
      <c r="V40" s="3">
        <f t="shared" si="27"/>
        <v>3.4610682095647563E-2</v>
      </c>
      <c r="W40" s="3">
        <f t="shared" si="27"/>
        <v>3.4610650946047698E-2</v>
      </c>
      <c r="X40" s="3">
        <f t="shared" si="27"/>
        <v>3.4610339451590907E-2</v>
      </c>
      <c r="Y40" s="3">
        <f t="shared" si="27"/>
        <v>3.4607224661207935E-2</v>
      </c>
      <c r="Z40" s="3">
        <f t="shared" si="27"/>
        <v>3.4576092170735005E-2</v>
      </c>
      <c r="AA40" s="3">
        <f t="shared" si="27"/>
        <v>3.4266303481371357E-2</v>
      </c>
      <c r="AB40" s="3">
        <f t="shared" si="27"/>
        <v>3.1317043355593335E-2</v>
      </c>
      <c r="AC40" s="3">
        <f t="shared" si="27"/>
        <v>1.2732559661165172E-2</v>
      </c>
      <c r="AD40" s="3">
        <f t="shared" si="27"/>
        <v>1.5713226933063529E-6</v>
      </c>
      <c r="AE40" s="3">
        <f t="shared" si="27"/>
        <v>1.2875437985315033E-45</v>
      </c>
      <c r="AF40" s="3">
        <f t="shared" si="29"/>
        <v>0</v>
      </c>
      <c r="AG40" s="3">
        <f t="shared" si="29"/>
        <v>0</v>
      </c>
      <c r="AH40" s="3">
        <f t="shared" si="29"/>
        <v>0</v>
      </c>
      <c r="AI40" s="3">
        <f t="shared" si="29"/>
        <v>0</v>
      </c>
      <c r="AJ40" s="3">
        <f t="shared" si="29"/>
        <v>0</v>
      </c>
    </row>
    <row r="41" spans="1:36" x14ac:dyDescent="0.25">
      <c r="A41" s="3">
        <f t="shared" si="30"/>
        <v>1000000000</v>
      </c>
      <c r="B41" s="106">
        <v>6.1988146439840922E-2</v>
      </c>
      <c r="C41" s="18">
        <f t="shared" si="3"/>
        <v>4.2854236942630193E-2</v>
      </c>
      <c r="D41" s="17"/>
      <c r="F41" s="3">
        <f t="shared" si="28"/>
        <v>4.2854236942630193E-2</v>
      </c>
      <c r="G41" s="3">
        <f t="shared" si="28"/>
        <v>4.2854236942630193E-2</v>
      </c>
      <c r="H41" s="3">
        <f t="shared" si="28"/>
        <v>4.2854236942630193E-2</v>
      </c>
      <c r="I41" s="3">
        <f t="shared" si="28"/>
        <v>4.2854236942630193E-2</v>
      </c>
      <c r="J41" s="3">
        <f t="shared" si="28"/>
        <v>4.2854236942630193E-2</v>
      </c>
      <c r="K41" s="3">
        <f t="shared" si="28"/>
        <v>4.2854236942630193E-2</v>
      </c>
      <c r="L41" s="3">
        <f t="shared" si="28"/>
        <v>4.2854236942630193E-2</v>
      </c>
      <c r="M41" s="3">
        <f t="shared" si="28"/>
        <v>4.2854236942630193E-2</v>
      </c>
      <c r="N41" s="3">
        <f t="shared" si="28"/>
        <v>4.2854236942630186E-2</v>
      </c>
      <c r="O41" s="3">
        <f t="shared" si="28"/>
        <v>4.2854236942630151E-2</v>
      </c>
      <c r="P41" s="3">
        <f t="shared" si="27"/>
        <v>4.2854236942629763E-2</v>
      </c>
      <c r="Q41" s="3">
        <f t="shared" si="27"/>
        <v>4.2854236942625905E-2</v>
      </c>
      <c r="R41" s="3">
        <f t="shared" si="27"/>
        <v>4.2854236942587338E-2</v>
      </c>
      <c r="S41" s="3">
        <f t="shared" si="27"/>
        <v>4.2854236942201654E-2</v>
      </c>
      <c r="T41" s="3">
        <f t="shared" si="27"/>
        <v>4.2854236938344767E-2</v>
      </c>
      <c r="U41" s="3">
        <f t="shared" si="27"/>
        <v>4.2854236899775959E-2</v>
      </c>
      <c r="V41" s="3">
        <f t="shared" si="27"/>
        <v>4.2854236514087825E-2</v>
      </c>
      <c r="W41" s="3">
        <f t="shared" si="27"/>
        <v>4.2854232657206712E-2</v>
      </c>
      <c r="X41" s="3">
        <f t="shared" si="27"/>
        <v>4.2854194088414677E-2</v>
      </c>
      <c r="Y41" s="3">
        <f t="shared" si="27"/>
        <v>4.2853808402403472E-2</v>
      </c>
      <c r="Z41" s="3">
        <f t="shared" si="27"/>
        <v>4.284995173319997E-2</v>
      </c>
      <c r="AA41" s="3">
        <f t="shared" si="27"/>
        <v>4.2811404125665448E-2</v>
      </c>
      <c r="AB41" s="3">
        <f t="shared" si="27"/>
        <v>4.2427830160498482E-2</v>
      </c>
      <c r="AC41" s="3">
        <f t="shared" si="27"/>
        <v>3.8776117107070733E-2</v>
      </c>
      <c r="AD41" s="3">
        <f t="shared" si="27"/>
        <v>1.5765192738283376E-2</v>
      </c>
      <c r="AE41" s="3">
        <f t="shared" si="27"/>
        <v>1.9455793472202944E-6</v>
      </c>
      <c r="AF41" s="3">
        <f t="shared" si="29"/>
        <v>1.594210173209832E-45</v>
      </c>
      <c r="AG41" s="3">
        <f t="shared" si="29"/>
        <v>0</v>
      </c>
      <c r="AH41" s="3">
        <f t="shared" si="29"/>
        <v>0</v>
      </c>
      <c r="AI41" s="3">
        <f t="shared" si="29"/>
        <v>0</v>
      </c>
      <c r="AJ41" s="3">
        <f t="shared" si="29"/>
        <v>0</v>
      </c>
    </row>
    <row r="42" spans="1:36" x14ac:dyDescent="0.25">
      <c r="A42" s="3">
        <f t="shared" si="30"/>
        <v>10000000000</v>
      </c>
      <c r="B42" s="106">
        <v>4.6566702314931971E-2</v>
      </c>
      <c r="C42" s="18">
        <f t="shared" si="3"/>
        <v>3.2192937025108795E-2</v>
      </c>
      <c r="D42" s="17"/>
      <c r="F42" s="3">
        <f t="shared" si="28"/>
        <v>3.2192937025108795E-2</v>
      </c>
      <c r="G42" s="3">
        <f t="shared" si="28"/>
        <v>3.2192937025108795E-2</v>
      </c>
      <c r="H42" s="3">
        <f t="shared" si="28"/>
        <v>3.2192937025108795E-2</v>
      </c>
      <c r="I42" s="3">
        <f t="shared" si="28"/>
        <v>3.2192937025108795E-2</v>
      </c>
      <c r="J42" s="3">
        <f t="shared" si="28"/>
        <v>3.2192937025108795E-2</v>
      </c>
      <c r="K42" s="3">
        <f t="shared" si="28"/>
        <v>3.2192937025108795E-2</v>
      </c>
      <c r="L42" s="3">
        <f t="shared" si="28"/>
        <v>3.2192937025108795E-2</v>
      </c>
      <c r="M42" s="3">
        <f t="shared" si="28"/>
        <v>3.2192937025108795E-2</v>
      </c>
      <c r="N42" s="3">
        <f t="shared" si="28"/>
        <v>3.2192937025108795E-2</v>
      </c>
      <c r="O42" s="3">
        <f t="shared" si="28"/>
        <v>3.2192937025108788E-2</v>
      </c>
      <c r="P42" s="3">
        <f t="shared" si="27"/>
        <v>3.219293702510876E-2</v>
      </c>
      <c r="Q42" s="3">
        <f t="shared" si="27"/>
        <v>3.2192937025108476E-2</v>
      </c>
      <c r="R42" s="3">
        <f t="shared" si="27"/>
        <v>3.2192937025105575E-2</v>
      </c>
      <c r="S42" s="3">
        <f t="shared" si="27"/>
        <v>3.2192937025076605E-2</v>
      </c>
      <c r="T42" s="3">
        <f t="shared" si="27"/>
        <v>3.2192937024786865E-2</v>
      </c>
      <c r="U42" s="3">
        <f t="shared" si="27"/>
        <v>3.2192937021889502E-2</v>
      </c>
      <c r="V42" s="3">
        <f t="shared" si="27"/>
        <v>3.2192936992915859E-2</v>
      </c>
      <c r="W42" s="3">
        <f t="shared" si="27"/>
        <v>3.219293670317943E-2</v>
      </c>
      <c r="X42" s="3">
        <f t="shared" si="27"/>
        <v>3.2192933805815255E-2</v>
      </c>
      <c r="Y42" s="3">
        <f t="shared" si="27"/>
        <v>3.2192904832187869E-2</v>
      </c>
      <c r="Z42" s="3">
        <f t="shared" si="27"/>
        <v>3.2192615097348186E-2</v>
      </c>
      <c r="AA42" s="3">
        <f t="shared" si="27"/>
        <v>3.2189717892365605E-2</v>
      </c>
      <c r="AB42" s="3">
        <f t="shared" si="27"/>
        <v>3.216076017918805E-2</v>
      </c>
      <c r="AC42" s="3">
        <f t="shared" si="27"/>
        <v>3.1872611949606403E-2</v>
      </c>
      <c r="AD42" s="3">
        <f t="shared" si="27"/>
        <v>2.9129374016793684E-2</v>
      </c>
      <c r="AE42" s="3">
        <f t="shared" si="27"/>
        <v>1.1843119682464459E-2</v>
      </c>
      <c r="AF42" s="3">
        <f t="shared" si="29"/>
        <v>1.4615570797880375E-6</v>
      </c>
      <c r="AG42" s="3">
        <f t="shared" si="29"/>
        <v>1.1976017162465892E-45</v>
      </c>
      <c r="AH42" s="3">
        <f t="shared" si="29"/>
        <v>0</v>
      </c>
      <c r="AI42" s="3">
        <f t="shared" si="29"/>
        <v>0</v>
      </c>
      <c r="AJ42" s="3">
        <f t="shared" si="29"/>
        <v>0</v>
      </c>
    </row>
    <row r="43" spans="1:36" x14ac:dyDescent="0.25">
      <c r="A43" s="3">
        <f t="shared" si="30"/>
        <v>100000000000</v>
      </c>
      <c r="B43" s="106">
        <v>3.724853221471329E-2</v>
      </c>
      <c r="C43" s="18">
        <f t="shared" si="3"/>
        <v>2.5751010749186929E-2</v>
      </c>
      <c r="D43" s="17"/>
      <c r="F43" s="3">
        <f t="shared" si="28"/>
        <v>2.5751010749186929E-2</v>
      </c>
      <c r="G43" s="3">
        <f t="shared" si="28"/>
        <v>2.5751010749186929E-2</v>
      </c>
      <c r="H43" s="3">
        <f t="shared" si="28"/>
        <v>2.5751010749186929E-2</v>
      </c>
      <c r="I43" s="3">
        <f t="shared" si="28"/>
        <v>2.5751010749186929E-2</v>
      </c>
      <c r="J43" s="3">
        <f t="shared" si="28"/>
        <v>2.5751010749186929E-2</v>
      </c>
      <c r="K43" s="3">
        <f t="shared" si="28"/>
        <v>2.5751010749186929E-2</v>
      </c>
      <c r="L43" s="3">
        <f t="shared" si="28"/>
        <v>2.5751010749186929E-2</v>
      </c>
      <c r="M43" s="3">
        <f t="shared" si="28"/>
        <v>2.5751010749186929E-2</v>
      </c>
      <c r="N43" s="3">
        <f t="shared" si="28"/>
        <v>2.5751010749186929E-2</v>
      </c>
      <c r="O43" s="3">
        <f t="shared" si="28"/>
        <v>2.5751010749186929E-2</v>
      </c>
      <c r="P43" s="3">
        <f t="shared" si="27"/>
        <v>2.5751010749186926E-2</v>
      </c>
      <c r="Q43" s="3">
        <f t="shared" si="27"/>
        <v>2.5751010749186905E-2</v>
      </c>
      <c r="R43" s="3">
        <f t="shared" si="27"/>
        <v>2.5751010749186672E-2</v>
      </c>
      <c r="S43" s="3">
        <f t="shared" si="27"/>
        <v>2.5751010749184355E-2</v>
      </c>
      <c r="T43" s="3">
        <f t="shared" si="27"/>
        <v>2.5751010749161179E-2</v>
      </c>
      <c r="U43" s="3">
        <f t="shared" si="27"/>
        <v>2.575101074892942E-2</v>
      </c>
      <c r="V43" s="3">
        <f t="shared" si="27"/>
        <v>2.5751010746611829E-2</v>
      </c>
      <c r="W43" s="3">
        <f t="shared" si="27"/>
        <v>2.575101072343592E-2</v>
      </c>
      <c r="X43" s="3">
        <f t="shared" si="27"/>
        <v>2.5751010491676822E-2</v>
      </c>
      <c r="Y43" s="3">
        <f t="shared" si="27"/>
        <v>2.5751008174085984E-2</v>
      </c>
      <c r="Z43" s="3">
        <f t="shared" si="27"/>
        <v>2.5750984998189057E-2</v>
      </c>
      <c r="AA43" s="3">
        <f t="shared" si="27"/>
        <v>2.5750753240366984E-2</v>
      </c>
      <c r="AB43" s="3">
        <f t="shared" si="27"/>
        <v>2.5748435776862772E-2</v>
      </c>
      <c r="AC43" s="3">
        <f t="shared" si="27"/>
        <v>2.5725272609652357E-2</v>
      </c>
      <c r="AD43" s="3">
        <f t="shared" si="27"/>
        <v>2.5494783911105559E-2</v>
      </c>
      <c r="AE43" s="3">
        <f t="shared" si="27"/>
        <v>2.3300478078110542E-2</v>
      </c>
      <c r="AF43" s="3">
        <f t="shared" si="29"/>
        <v>9.4732674440106916E-3</v>
      </c>
      <c r="AG43" s="3">
        <f t="shared" si="29"/>
        <v>1.1690940793260791E-6</v>
      </c>
      <c r="AH43" s="3">
        <f t="shared" si="29"/>
        <v>9.5795716446304613E-46</v>
      </c>
      <c r="AI43" s="3">
        <f t="shared" si="29"/>
        <v>0</v>
      </c>
      <c r="AJ43" s="3">
        <f t="shared" si="29"/>
        <v>0</v>
      </c>
    </row>
    <row r="44" spans="1:36" x14ac:dyDescent="0.25">
      <c r="A44" s="3">
        <f t="shared" si="30"/>
        <v>1000000000000</v>
      </c>
      <c r="B44" s="106">
        <v>1.8205809031457923E-2</v>
      </c>
      <c r="C44" s="18">
        <f t="shared" si="3"/>
        <v>1.2586213635594824E-2</v>
      </c>
      <c r="D44" s="17"/>
      <c r="F44" s="3">
        <f t="shared" si="28"/>
        <v>1.2586213635594824E-2</v>
      </c>
      <c r="G44" s="3">
        <f t="shared" si="28"/>
        <v>1.2586213635594824E-2</v>
      </c>
      <c r="H44" s="3">
        <f t="shared" si="28"/>
        <v>1.2586213635594824E-2</v>
      </c>
      <c r="I44" s="3">
        <f t="shared" si="28"/>
        <v>1.2586213635594824E-2</v>
      </c>
      <c r="J44" s="3">
        <f t="shared" si="28"/>
        <v>1.2586213635594824E-2</v>
      </c>
      <c r="K44" s="3">
        <f t="shared" si="28"/>
        <v>1.2586213635594824E-2</v>
      </c>
      <c r="L44" s="3">
        <f t="shared" si="28"/>
        <v>1.2586213635594824E-2</v>
      </c>
      <c r="M44" s="3">
        <f t="shared" si="28"/>
        <v>1.2586213635594824E-2</v>
      </c>
      <c r="N44" s="3">
        <f t="shared" si="28"/>
        <v>1.2586213635594824E-2</v>
      </c>
      <c r="O44" s="3">
        <f t="shared" si="28"/>
        <v>1.2586213635594824E-2</v>
      </c>
      <c r="P44" s="3">
        <f t="shared" si="27"/>
        <v>1.2586213635594824E-2</v>
      </c>
      <c r="Q44" s="3">
        <f t="shared" si="27"/>
        <v>1.2586213635594822E-2</v>
      </c>
      <c r="R44" s="3">
        <f t="shared" si="27"/>
        <v>1.2586213635594812E-2</v>
      </c>
      <c r="S44" s="3">
        <f t="shared" si="27"/>
        <v>1.2586213635594699E-2</v>
      </c>
      <c r="T44" s="3">
        <f t="shared" si="27"/>
        <v>1.2586213635593564E-2</v>
      </c>
      <c r="U44" s="3">
        <f t="shared" si="27"/>
        <v>1.2586213635582238E-2</v>
      </c>
      <c r="V44" s="3">
        <f t="shared" si="27"/>
        <v>1.2586213635468961E-2</v>
      </c>
      <c r="W44" s="3">
        <f t="shared" si="27"/>
        <v>1.2586213634336202E-2</v>
      </c>
      <c r="X44" s="3">
        <f t="shared" si="27"/>
        <v>1.2586213623008611E-2</v>
      </c>
      <c r="Y44" s="3">
        <f t="shared" si="27"/>
        <v>1.2586213509732689E-2</v>
      </c>
      <c r="Z44" s="3">
        <f t="shared" si="27"/>
        <v>1.2586212376973525E-2</v>
      </c>
      <c r="AA44" s="3">
        <f t="shared" si="27"/>
        <v>1.2586201049387482E-2</v>
      </c>
      <c r="AB44" s="3">
        <f t="shared" si="27"/>
        <v>1.2586087774087776E-2</v>
      </c>
      <c r="AC44" s="3">
        <f t="shared" si="27"/>
        <v>1.2584955077160235E-2</v>
      </c>
      <c r="AD44" s="3">
        <f t="shared" si="27"/>
        <v>1.2573633712968869E-2</v>
      </c>
      <c r="AE44" s="3">
        <f t="shared" si="27"/>
        <v>1.2460978717452168E-2</v>
      </c>
      <c r="AF44" s="3">
        <f t="shared" si="29"/>
        <v>1.1388477048880607E-2</v>
      </c>
      <c r="AG44" s="3">
        <f t="shared" si="29"/>
        <v>4.630209238727011E-3</v>
      </c>
      <c r="AH44" s="3">
        <f t="shared" si="29"/>
        <v>5.7141321503163416E-7</v>
      </c>
      <c r="AI44" s="3">
        <f t="shared" si="29"/>
        <v>4.6821670974842173E-46</v>
      </c>
      <c r="AJ44" s="3">
        <f t="shared" si="29"/>
        <v>0</v>
      </c>
    </row>
    <row r="45" spans="1:36" x14ac:dyDescent="0.25">
      <c r="A45" s="3">
        <f t="shared" si="30"/>
        <v>10000000000000</v>
      </c>
      <c r="B45" s="106">
        <v>9.9996803124205759E-3</v>
      </c>
      <c r="C45" s="18">
        <f t="shared" si="3"/>
        <v>6.9130744193958088E-3</v>
      </c>
      <c r="D45" s="17"/>
      <c r="F45" s="3">
        <f t="shared" si="28"/>
        <v>6.9130744193958088E-3</v>
      </c>
      <c r="G45" s="3">
        <f t="shared" si="28"/>
        <v>6.9130744193958088E-3</v>
      </c>
      <c r="H45" s="3">
        <f t="shared" si="28"/>
        <v>6.9130744193958088E-3</v>
      </c>
      <c r="I45" s="3">
        <f t="shared" si="28"/>
        <v>6.9130744193958088E-3</v>
      </c>
      <c r="J45" s="3">
        <f t="shared" si="28"/>
        <v>6.9130744193958088E-3</v>
      </c>
      <c r="K45" s="3">
        <f t="shared" si="28"/>
        <v>6.9130744193958088E-3</v>
      </c>
      <c r="L45" s="3">
        <f t="shared" si="28"/>
        <v>6.9130744193958088E-3</v>
      </c>
      <c r="M45" s="3">
        <f t="shared" si="28"/>
        <v>6.9130744193958088E-3</v>
      </c>
      <c r="N45" s="3">
        <f t="shared" si="28"/>
        <v>6.9130744193958088E-3</v>
      </c>
      <c r="O45" s="3">
        <f t="shared" si="28"/>
        <v>6.9130744193958088E-3</v>
      </c>
      <c r="P45" s="3">
        <f t="shared" si="27"/>
        <v>6.9130744193958088E-3</v>
      </c>
      <c r="Q45" s="3">
        <f t="shared" si="27"/>
        <v>6.9130744193958088E-3</v>
      </c>
      <c r="R45" s="3">
        <f t="shared" si="27"/>
        <v>6.913074419395808E-3</v>
      </c>
      <c r="S45" s="3">
        <f t="shared" si="27"/>
        <v>6.9130744193958019E-3</v>
      </c>
      <c r="T45" s="3">
        <f t="shared" si="27"/>
        <v>6.9130744193957394E-3</v>
      </c>
      <c r="U45" s="3">
        <f t="shared" si="27"/>
        <v>6.9130744193951175E-3</v>
      </c>
      <c r="V45" s="3">
        <f t="shared" si="27"/>
        <v>6.913074419388896E-3</v>
      </c>
      <c r="W45" s="3">
        <f t="shared" si="27"/>
        <v>6.9130744193266784E-3</v>
      </c>
      <c r="X45" s="3">
        <f t="shared" si="27"/>
        <v>6.9130744187045016E-3</v>
      </c>
      <c r="Y45" s="3">
        <f t="shared" si="27"/>
        <v>6.9130744124827346E-3</v>
      </c>
      <c r="Z45" s="3">
        <f t="shared" si="27"/>
        <v>6.9130743502650652E-3</v>
      </c>
      <c r="AA45" s="3">
        <f t="shared" si="27"/>
        <v>6.9130737280884017E-3</v>
      </c>
      <c r="AB45" s="3">
        <f t="shared" si="27"/>
        <v>6.9130675063248459E-3</v>
      </c>
      <c r="AC45" s="3">
        <f t="shared" si="27"/>
        <v>6.9130052889972678E-3</v>
      </c>
      <c r="AD45" s="3">
        <f t="shared" si="27"/>
        <v>6.9123831465180896E-3</v>
      </c>
      <c r="AE45" s="3">
        <f t="shared" si="27"/>
        <v>6.906164800361732E-3</v>
      </c>
      <c r="AF45" s="3">
        <f t="shared" si="29"/>
        <v>6.8442881796184473E-3</v>
      </c>
      <c r="AG45" s="3">
        <f t="shared" si="29"/>
        <v>6.2552084083365433E-3</v>
      </c>
      <c r="AH45" s="3">
        <f t="shared" si="29"/>
        <v>2.5431779541839235E-3</v>
      </c>
      <c r="AI45" s="3">
        <f t="shared" si="29"/>
        <v>3.1385309308340047E-7</v>
      </c>
      <c r="AJ45" s="3">
        <f t="shared" si="29"/>
        <v>2.5717162068038538E-46</v>
      </c>
    </row>
    <row r="46" spans="1:36" x14ac:dyDescent="0.25">
      <c r="A46" s="3">
        <f t="shared" si="30"/>
        <v>100000000000000</v>
      </c>
      <c r="B46" s="106">
        <v>4.3863114103554132E-3</v>
      </c>
      <c r="C46" s="18">
        <f t="shared" si="3"/>
        <v>3.0323866622783903E-3</v>
      </c>
      <c r="D46" s="17"/>
      <c r="F46" s="3">
        <f t="shared" si="28"/>
        <v>3.0323866622783903E-3</v>
      </c>
      <c r="G46" s="3">
        <f t="shared" si="28"/>
        <v>3.0323866622783903E-3</v>
      </c>
      <c r="H46" s="3">
        <f t="shared" si="28"/>
        <v>3.0323866622783903E-3</v>
      </c>
      <c r="I46" s="3">
        <f t="shared" si="28"/>
        <v>3.0323866622783903E-3</v>
      </c>
      <c r="J46" s="3">
        <f t="shared" si="28"/>
        <v>3.0323866622783903E-3</v>
      </c>
      <c r="K46" s="3">
        <f t="shared" si="28"/>
        <v>3.0323866622783903E-3</v>
      </c>
      <c r="L46" s="3">
        <f t="shared" si="28"/>
        <v>3.0323866622783903E-3</v>
      </c>
      <c r="M46" s="3">
        <f t="shared" si="28"/>
        <v>3.0323866622783903E-3</v>
      </c>
      <c r="N46" s="3">
        <f t="shared" si="28"/>
        <v>3.0323866622783903E-3</v>
      </c>
      <c r="O46" s="3">
        <f t="shared" si="28"/>
        <v>3.0323866622783903E-3</v>
      </c>
      <c r="P46" s="3">
        <f t="shared" si="27"/>
        <v>3.0323866622783903E-3</v>
      </c>
      <c r="Q46" s="3">
        <f t="shared" si="27"/>
        <v>3.0323866622783903E-3</v>
      </c>
      <c r="R46" s="3">
        <f t="shared" si="27"/>
        <v>3.0323866622783903E-3</v>
      </c>
      <c r="S46" s="3">
        <f t="shared" si="27"/>
        <v>3.0323866622783899E-3</v>
      </c>
      <c r="T46" s="3">
        <f t="shared" si="27"/>
        <v>3.0323866622783873E-3</v>
      </c>
      <c r="U46" s="3">
        <f t="shared" si="27"/>
        <v>3.03238666227836E-3</v>
      </c>
      <c r="V46" s="3">
        <f t="shared" si="27"/>
        <v>3.0323866622780872E-3</v>
      </c>
      <c r="W46" s="3">
        <f t="shared" si="27"/>
        <v>3.032386662275358E-3</v>
      </c>
      <c r="X46" s="3">
        <f t="shared" si="27"/>
        <v>3.0323866622480665E-3</v>
      </c>
      <c r="Y46" s="3">
        <f t="shared" si="27"/>
        <v>3.0323866619751515E-3</v>
      </c>
      <c r="Z46" s="3">
        <f t="shared" si="27"/>
        <v>3.0323866592460039E-3</v>
      </c>
      <c r="AA46" s="3">
        <f t="shared" si="27"/>
        <v>3.0323866319545241E-3</v>
      </c>
      <c r="AB46" s="3">
        <f t="shared" si="27"/>
        <v>3.0323863590397395E-3</v>
      </c>
      <c r="AC46" s="3">
        <f t="shared" si="27"/>
        <v>3.0323836298932444E-3</v>
      </c>
      <c r="AD46" s="3">
        <f t="shared" si="27"/>
        <v>3.0323563385633865E-3</v>
      </c>
      <c r="AE46" s="3">
        <f t="shared" si="27"/>
        <v>3.0320834387735905E-3</v>
      </c>
      <c r="AF46" s="3">
        <f t="shared" si="29"/>
        <v>3.0293557913041716E-3</v>
      </c>
      <c r="AG46" s="3">
        <f t="shared" si="29"/>
        <v>3.0022139108519153E-3</v>
      </c>
      <c r="AH46" s="3">
        <f t="shared" si="29"/>
        <v>2.74381691798266E-3</v>
      </c>
      <c r="AI46" s="3">
        <f t="shared" si="29"/>
        <v>1.1155527107347095E-3</v>
      </c>
      <c r="AJ46" s="3">
        <f t="shared" si="29"/>
        <v>1.376701414801348E-7</v>
      </c>
    </row>
    <row r="47" spans="1:36" x14ac:dyDescent="0.25">
      <c r="A47" s="3">
        <f t="shared" si="30"/>
        <v>1000000000000000</v>
      </c>
      <c r="B47" s="106">
        <v>2.9435011167880203E-6</v>
      </c>
      <c r="C47" s="18">
        <f t="shared" si="3"/>
        <v>2.0349292815546579E-6</v>
      </c>
      <c r="D47" s="17"/>
      <c r="F47" s="3">
        <f t="shared" si="28"/>
        <v>2.0349292815546579E-6</v>
      </c>
      <c r="G47" s="3">
        <f t="shared" si="28"/>
        <v>2.0349292815546579E-6</v>
      </c>
      <c r="H47" s="3">
        <f t="shared" si="28"/>
        <v>2.0349292815546579E-6</v>
      </c>
      <c r="I47" s="3">
        <f t="shared" si="28"/>
        <v>2.0349292815546579E-6</v>
      </c>
      <c r="J47" s="3">
        <f t="shared" si="28"/>
        <v>2.0349292815546579E-6</v>
      </c>
      <c r="K47" s="3">
        <f t="shared" si="28"/>
        <v>2.0349292815546579E-6</v>
      </c>
      <c r="L47" s="3">
        <f t="shared" si="28"/>
        <v>2.0349292815546579E-6</v>
      </c>
      <c r="M47" s="3">
        <f t="shared" si="28"/>
        <v>2.0349292815546579E-6</v>
      </c>
      <c r="N47" s="3">
        <f t="shared" si="28"/>
        <v>2.0349292815546579E-6</v>
      </c>
      <c r="O47" s="3">
        <f t="shared" si="28"/>
        <v>2.0349292815546579E-6</v>
      </c>
      <c r="P47" s="3">
        <f t="shared" si="27"/>
        <v>2.0349292815546579E-6</v>
      </c>
      <c r="Q47" s="3">
        <f t="shared" si="27"/>
        <v>2.0349292815546579E-6</v>
      </c>
      <c r="R47" s="3">
        <f t="shared" si="27"/>
        <v>2.0349292815546579E-6</v>
      </c>
      <c r="S47" s="3">
        <f t="shared" si="27"/>
        <v>2.0349292815546579E-6</v>
      </c>
      <c r="T47" s="3">
        <f t="shared" si="27"/>
        <v>2.0349292815546575E-6</v>
      </c>
      <c r="U47" s="3">
        <f t="shared" si="27"/>
        <v>2.0349292815546558E-6</v>
      </c>
      <c r="V47" s="3">
        <f t="shared" si="27"/>
        <v>2.0349292815546376E-6</v>
      </c>
      <c r="W47" s="3">
        <f t="shared" si="27"/>
        <v>2.0349292815544542E-6</v>
      </c>
      <c r="X47" s="3">
        <f t="shared" si="27"/>
        <v>2.0349292815526229E-6</v>
      </c>
      <c r="Y47" s="3">
        <f t="shared" si="27"/>
        <v>2.0349292815343088E-6</v>
      </c>
      <c r="Z47" s="3">
        <f t="shared" si="27"/>
        <v>2.034929281351165E-6</v>
      </c>
      <c r="AA47" s="3">
        <f t="shared" si="27"/>
        <v>2.0349292795197286E-6</v>
      </c>
      <c r="AB47" s="3">
        <f t="shared" si="27"/>
        <v>2.0349292612053652E-6</v>
      </c>
      <c r="AC47" s="3">
        <f t="shared" si="27"/>
        <v>2.0349290780617402E-6</v>
      </c>
      <c r="AD47" s="3">
        <f t="shared" si="27"/>
        <v>2.0349272466263937E-6</v>
      </c>
      <c r="AE47" s="3">
        <f t="shared" si="27"/>
        <v>2.0349089323635885E-6</v>
      </c>
      <c r="AF47" s="3">
        <f t="shared" si="29"/>
        <v>2.0347257988008099E-6</v>
      </c>
      <c r="AG47" s="3">
        <f t="shared" si="29"/>
        <v>2.0328953693986739E-6</v>
      </c>
      <c r="AH47" s="3">
        <f t="shared" si="29"/>
        <v>2.014681396894503E-6</v>
      </c>
      <c r="AI47" s="3">
        <f t="shared" si="29"/>
        <v>1.8412801570076868E-6</v>
      </c>
      <c r="AJ47" s="3">
        <f t="shared" si="29"/>
        <v>7.4860864692173219E-7</v>
      </c>
    </row>
    <row r="48" spans="1:36" x14ac:dyDescent="0.25">
      <c r="A48" s="3">
        <f t="shared" si="30"/>
        <v>1E+16</v>
      </c>
      <c r="B48" s="106">
        <v>1.6983024800078211E-2</v>
      </c>
      <c r="C48" s="18">
        <f t="shared" si="3"/>
        <v>1.1740866771866395E-2</v>
      </c>
      <c r="D48" s="17"/>
      <c r="F48" s="3">
        <f t="shared" si="28"/>
        <v>1.1740866771866395E-2</v>
      </c>
      <c r="G48" s="3">
        <f t="shared" si="28"/>
        <v>1.1740866771866395E-2</v>
      </c>
      <c r="H48" s="3">
        <f t="shared" si="28"/>
        <v>1.1740866771866395E-2</v>
      </c>
      <c r="I48" s="3">
        <f t="shared" si="28"/>
        <v>1.1740866771866395E-2</v>
      </c>
      <c r="J48" s="3">
        <f t="shared" si="28"/>
        <v>1.1740866771866395E-2</v>
      </c>
      <c r="K48" s="3">
        <f t="shared" si="28"/>
        <v>1.1740866771866395E-2</v>
      </c>
      <c r="L48" s="3">
        <f t="shared" si="28"/>
        <v>1.1740866771866395E-2</v>
      </c>
      <c r="M48" s="3">
        <f t="shared" si="28"/>
        <v>1.1740866771866395E-2</v>
      </c>
      <c r="N48" s="3">
        <f t="shared" si="28"/>
        <v>1.1740866771866395E-2</v>
      </c>
      <c r="O48" s="3">
        <f t="shared" si="28"/>
        <v>1.1740866771866395E-2</v>
      </c>
      <c r="P48" s="3">
        <f t="shared" si="27"/>
        <v>1.1740866771866395E-2</v>
      </c>
      <c r="Q48" s="3">
        <f t="shared" si="27"/>
        <v>1.1740866771866395E-2</v>
      </c>
      <c r="R48" s="3">
        <f t="shared" si="27"/>
        <v>1.1740866771866395E-2</v>
      </c>
      <c r="S48" s="3">
        <f t="shared" si="27"/>
        <v>1.1740866771866395E-2</v>
      </c>
      <c r="T48" s="3">
        <f t="shared" si="27"/>
        <v>1.1740866771866395E-2</v>
      </c>
      <c r="U48" s="3">
        <f t="shared" si="27"/>
        <v>1.1740866771866393E-2</v>
      </c>
      <c r="V48" s="3">
        <f t="shared" si="27"/>
        <v>1.1740866771866382E-2</v>
      </c>
      <c r="W48" s="3">
        <f t="shared" si="27"/>
        <v>1.1740866771866277E-2</v>
      </c>
      <c r="X48" s="3">
        <f t="shared" si="27"/>
        <v>1.174086677186522E-2</v>
      </c>
      <c r="Y48" s="3">
        <f t="shared" si="27"/>
        <v>1.1740866771854654E-2</v>
      </c>
      <c r="Z48" s="3">
        <f t="shared" si="27"/>
        <v>1.1740866771748987E-2</v>
      </c>
      <c r="AA48" s="3">
        <f t="shared" si="27"/>
        <v>1.1740866770692308E-2</v>
      </c>
      <c r="AB48" s="3">
        <f t="shared" si="27"/>
        <v>1.1740866760125528E-2</v>
      </c>
      <c r="AC48" s="3">
        <f t="shared" si="27"/>
        <v>1.1740866654457727E-2</v>
      </c>
      <c r="AD48" s="3">
        <f t="shared" si="27"/>
        <v>1.1740865597779777E-2</v>
      </c>
      <c r="AE48" s="3">
        <f t="shared" si="27"/>
        <v>1.1740855031005493E-2</v>
      </c>
      <c r="AF48" s="3">
        <f t="shared" si="29"/>
        <v>1.1740749363785717E-2</v>
      </c>
      <c r="AG48" s="3">
        <f t="shared" si="29"/>
        <v>1.1739692743891585E-2</v>
      </c>
      <c r="AH48" s="3">
        <f t="shared" si="29"/>
        <v>1.1729131773571592E-2</v>
      </c>
      <c r="AI48" s="3">
        <f t="shared" si="29"/>
        <v>1.1624043195557456E-2</v>
      </c>
      <c r="AJ48" s="3">
        <f t="shared" si="29"/>
        <v>1.0623575575359779E-2</v>
      </c>
    </row>
    <row r="49" spans="1:36" x14ac:dyDescent="0.25">
      <c r="B49" s="16">
        <f>SUM(B17:B48)</f>
        <v>1.4464881622516268</v>
      </c>
      <c r="C49" s="18">
        <f>SUM(C17:C48)</f>
        <v>1.0000000000000004</v>
      </c>
      <c r="F49" s="3">
        <f t="shared" ref="F49:AJ49" si="31">F16-F17</f>
        <v>60.013253807560432</v>
      </c>
      <c r="G49" s="3">
        <f t="shared" si="31"/>
        <v>-77.625683257217133</v>
      </c>
      <c r="H49" s="3">
        <f t="shared" si="31"/>
        <v>20.553987452342881</v>
      </c>
      <c r="I49" s="3">
        <f t="shared" si="31"/>
        <v>-3.3609421668079449</v>
      </c>
      <c r="J49" s="3">
        <f t="shared" si="31"/>
        <v>0.47024759160467511</v>
      </c>
      <c r="K49" s="3">
        <f t="shared" si="31"/>
        <v>-6.447685243711021E-2</v>
      </c>
      <c r="L49" s="3">
        <f t="shared" si="31"/>
        <v>3.9140739974754979E-2</v>
      </c>
      <c r="M49" s="3">
        <f t="shared" si="31"/>
        <v>-0.10120313786683255</v>
      </c>
      <c r="N49" s="3">
        <f t="shared" si="31"/>
        <v>0.23347005134201027</v>
      </c>
      <c r="O49" s="3">
        <f t="shared" si="31"/>
        <v>-0.46477343821516115</v>
      </c>
      <c r="P49" s="3">
        <f t="shared" si="31"/>
        <v>0.79253905472342012</v>
      </c>
      <c r="Q49" s="3">
        <f t="shared" si="31"/>
        <v>-1.1439146987358981</v>
      </c>
      <c r="R49" s="3">
        <f t="shared" si="31"/>
        <v>1.3985789877515344</v>
      </c>
      <c r="S49" s="3">
        <f t="shared" si="31"/>
        <v>-1.4629801821502042</v>
      </c>
      <c r="T49" s="3">
        <f t="shared" si="31"/>
        <v>1.3076608131559624</v>
      </c>
      <c r="U49" s="3">
        <f t="shared" si="31"/>
        <v>-1.0003717409254023</v>
      </c>
      <c r="V49" s="3">
        <f t="shared" si="31"/>
        <v>0.65536567765730069</v>
      </c>
      <c r="W49" s="3">
        <f t="shared" si="31"/>
        <v>-0.37858372943355789</v>
      </c>
      <c r="X49" s="3">
        <f t="shared" si="31"/>
        <v>0.1880626952406601</v>
      </c>
      <c r="Y49" s="3">
        <f t="shared" si="31"/>
        <v>-7.7503678078301164E-2</v>
      </c>
      <c r="Z49" s="3">
        <f t="shared" si="31"/>
        <v>2.5029171319374655E-2</v>
      </c>
      <c r="AA49" s="3">
        <f t="shared" si="31"/>
        <v>-6.3338584468510817E-3</v>
      </c>
      <c r="AB49" s="3">
        <f t="shared" si="31"/>
        <v>3.442496262550776E-3</v>
      </c>
      <c r="AC49" s="3">
        <f t="shared" si="31"/>
        <v>-4.8639415199431824E-3</v>
      </c>
      <c r="AD49" s="3">
        <f t="shared" si="31"/>
        <v>3.8411863101828203E-4</v>
      </c>
      <c r="AE49" s="3">
        <f t="shared" si="31"/>
        <v>6.4449242373711968E-3</v>
      </c>
      <c r="AF49" s="3">
        <f t="shared" si="31"/>
        <v>-9.91950661671126E-3</v>
      </c>
      <c r="AG49" s="3">
        <f t="shared" si="31"/>
        <v>1.8647073168892803E-2</v>
      </c>
      <c r="AH49" s="3">
        <f t="shared" si="31"/>
        <v>-2.4338379776025931E-2</v>
      </c>
      <c r="AI49" s="3">
        <f t="shared" si="31"/>
        <v>2.5812781013314634E-2</v>
      </c>
      <c r="AJ49" s="3">
        <f t="shared" si="31"/>
        <v>-1.0360048759025631E-2</v>
      </c>
    </row>
    <row r="50" spans="1:36" x14ac:dyDescent="0.25">
      <c r="F50" s="57">
        <f t="shared" ref="F50:AJ50" si="32">F49/F17</f>
        <v>8.850764267898964E-3</v>
      </c>
      <c r="G50" s="57">
        <f t="shared" si="32"/>
        <v>-1.1549340356852665E-2</v>
      </c>
      <c r="H50" s="57">
        <f t="shared" si="32"/>
        <v>3.1589425416918217E-3</v>
      </c>
      <c r="I50" s="57">
        <f t="shared" si="32"/>
        <v>-5.2380819025774777E-4</v>
      </c>
      <c r="J50" s="57">
        <f t="shared" si="32"/>
        <v>7.4804757823208683E-5</v>
      </c>
      <c r="K50" s="57">
        <f t="shared" si="32"/>
        <v>-1.0481516892603667E-5</v>
      </c>
      <c r="L50" s="57">
        <f t="shared" si="32"/>
        <v>6.5245243909506087E-6</v>
      </c>
      <c r="M50" s="57">
        <f t="shared" si="32"/>
        <v>-1.7346255471530523E-5</v>
      </c>
      <c r="N50" s="57">
        <f t="shared" si="32"/>
        <v>4.1245959567325178E-5</v>
      </c>
      <c r="O50" s="57">
        <f t="shared" si="32"/>
        <v>-8.4487385853139119E-5</v>
      </c>
      <c r="P50" s="57">
        <f t="shared" si="32"/>
        <v>1.4910630713844017E-4</v>
      </c>
      <c r="Q50" s="57">
        <f t="shared" si="32"/>
        <v>-2.2446839965725734E-4</v>
      </c>
      <c r="R50" s="57">
        <f t="shared" si="32"/>
        <v>2.8787552598529014E-4</v>
      </c>
      <c r="S50" s="57">
        <f t="shared" si="32"/>
        <v>-3.1426251559359163E-4</v>
      </c>
      <c r="T50" s="57">
        <f t="shared" si="32"/>
        <v>2.926811868143783E-4</v>
      </c>
      <c r="U50" s="57">
        <f t="shared" si="32"/>
        <v>-2.3433586210236428E-4</v>
      </c>
      <c r="V50" s="57">
        <f t="shared" si="32"/>
        <v>1.648252956173623E-4</v>
      </c>
      <c r="W50" s="57">
        <f t="shared" si="32"/>
        <v>-1.0986058754551227E-4</v>
      </c>
      <c r="X50" s="57">
        <f t="shared" si="32"/>
        <v>6.6238438268954126E-5</v>
      </c>
      <c r="Y50" s="57">
        <f t="shared" si="32"/>
        <v>-3.3140354868545036E-5</v>
      </c>
      <c r="Z50" s="57">
        <f t="shared" si="32"/>
        <v>1.2768016719080033E-5</v>
      </c>
      <c r="AA50" s="57">
        <f t="shared" si="32"/>
        <v>-3.8240434379399491E-6</v>
      </c>
      <c r="AB50" s="57">
        <f t="shared" si="32"/>
        <v>2.4816017045703131E-6</v>
      </c>
      <c r="AC50" s="57">
        <f t="shared" si="32"/>
        <v>-4.3423792799062304E-6</v>
      </c>
      <c r="AD50" s="57">
        <f t="shared" si="32"/>
        <v>4.5227811415053021E-7</v>
      </c>
      <c r="AE50" s="57">
        <f t="shared" si="32"/>
        <v>1.070560303112362E-5</v>
      </c>
      <c r="AF50" s="57">
        <f t="shared" si="32"/>
        <v>-2.3927711147224712E-5</v>
      </c>
      <c r="AG50" s="57">
        <f t="shared" si="32"/>
        <v>6.2838583218347813E-5</v>
      </c>
      <c r="AH50" s="57">
        <f t="shared" si="32"/>
        <v>-1.0289839181395837E-4</v>
      </c>
      <c r="AI50" s="57">
        <f t="shared" si="32"/>
        <v>1.2492754335739257E-4</v>
      </c>
      <c r="AJ50" s="57">
        <f t="shared" si="32"/>
        <v>-5.401004707843532E-5</v>
      </c>
    </row>
    <row r="51" spans="1:36" x14ac:dyDescent="0.25">
      <c r="A51" s="13" t="s">
        <v>21</v>
      </c>
      <c r="B51" s="3">
        <f>STUTT!D8</f>
        <v>6992.4087</v>
      </c>
      <c r="E51" s="11" t="s">
        <v>24</v>
      </c>
      <c r="F51" s="20">
        <f t="shared" ref="F51:AJ51" si="33">(F16-F17)^2</f>
        <v>3601.5906325706665</v>
      </c>
      <c r="G51" s="20">
        <f t="shared" si="33"/>
        <v>6025.7467011498002</v>
      </c>
      <c r="H51" s="20">
        <f t="shared" si="33"/>
        <v>422.4664001910686</v>
      </c>
      <c r="I51" s="20">
        <f t="shared" si="33"/>
        <v>11.295932248627684</v>
      </c>
      <c r="J51" s="20">
        <f t="shared" si="33"/>
        <v>0.22113279740999731</v>
      </c>
      <c r="K51" s="20">
        <f t="shared" si="33"/>
        <v>4.1572645001968847E-3</v>
      </c>
      <c r="L51" s="20">
        <f t="shared" si="33"/>
        <v>1.5319975257713824E-3</v>
      </c>
      <c r="M51" s="20">
        <f t="shared" si="33"/>
        <v>1.0242075114093117E-2</v>
      </c>
      <c r="N51" s="20">
        <f t="shared" si="33"/>
        <v>5.450826487364091E-2</v>
      </c>
      <c r="O51" s="20">
        <f t="shared" si="33"/>
        <v>0.21601434887034221</v>
      </c>
      <c r="P51" s="20">
        <f t="shared" si="33"/>
        <v>0.62811815326189235</v>
      </c>
      <c r="Q51" s="20">
        <f t="shared" si="33"/>
        <v>1.3085408379840406</v>
      </c>
      <c r="R51" s="20">
        <f t="shared" si="33"/>
        <v>1.9560231849801066</v>
      </c>
      <c r="S51" s="20">
        <f t="shared" si="33"/>
        <v>2.1403110133642445</v>
      </c>
      <c r="T51" s="20">
        <f t="shared" si="33"/>
        <v>1.7099768022637127</v>
      </c>
      <c r="U51" s="20">
        <f t="shared" si="33"/>
        <v>1.0007436200421203</v>
      </c>
      <c r="V51" s="20">
        <f t="shared" si="33"/>
        <v>0.42950417145121295</v>
      </c>
      <c r="W51" s="20">
        <f t="shared" si="33"/>
        <v>0.14332564019182137</v>
      </c>
      <c r="X51" s="20">
        <f t="shared" si="33"/>
        <v>3.53675773411814E-2</v>
      </c>
      <c r="Y51" s="20">
        <f t="shared" si="33"/>
        <v>6.0068201156649407E-3</v>
      </c>
      <c r="Z51" s="20">
        <f t="shared" si="33"/>
        <v>6.2645941693460674E-4</v>
      </c>
      <c r="AA51" s="20">
        <f t="shared" si="33"/>
        <v>4.0117762824746799E-5</v>
      </c>
      <c r="AB51" s="20">
        <f t="shared" si="33"/>
        <v>1.1850780517676062E-5</v>
      </c>
      <c r="AC51" s="20">
        <f t="shared" si="33"/>
        <v>2.3657927109427194E-5</v>
      </c>
      <c r="AD51" s="20">
        <f t="shared" si="33"/>
        <v>1.4754712269535911E-7</v>
      </c>
      <c r="AE51" s="20">
        <f t="shared" si="33"/>
        <v>4.1537048425454705E-5</v>
      </c>
      <c r="AF51" s="20">
        <f t="shared" si="33"/>
        <v>9.8396611518978465E-5</v>
      </c>
      <c r="AG51" s="20">
        <f t="shared" si="33"/>
        <v>3.4771333776604184E-4</v>
      </c>
      <c r="AH51" s="20">
        <f t="shared" si="33"/>
        <v>5.923567301220681E-4</v>
      </c>
      <c r="AI51" s="20">
        <f t="shared" si="33"/>
        <v>6.6629966364133652E-4</v>
      </c>
      <c r="AJ51" s="20">
        <f t="shared" si="33"/>
        <v>1.0733061028938851E-4</v>
      </c>
    </row>
    <row r="52" spans="1:36" x14ac:dyDescent="0.25">
      <c r="A52" s="13"/>
    </row>
    <row r="53" spans="1:36" x14ac:dyDescent="0.25">
      <c r="E53" s="118" t="s">
        <v>25</v>
      </c>
      <c r="F53" s="118"/>
      <c r="G53" s="104">
        <f>SUM(F51:AJ51)</f>
        <v>10070.967726596888</v>
      </c>
      <c r="I53" s="3">
        <f>G53+C123</f>
        <v>10070.967726596888</v>
      </c>
      <c r="K53" s="3">
        <f>SUM(Z51:AJ51)</f>
        <v>2.5558674362724204E-3</v>
      </c>
    </row>
    <row r="55" spans="1:36" x14ac:dyDescent="0.25">
      <c r="E55" s="30" t="s">
        <v>30</v>
      </c>
      <c r="F55" s="31">
        <f t="shared" ref="F55:AJ55" si="34">ABS(F17-F16)/F16</f>
        <v>8.7731154907948854E-3</v>
      </c>
      <c r="G55" s="31">
        <f t="shared" si="34"/>
        <v>1.1684286154477587E-2</v>
      </c>
      <c r="H55" s="31">
        <f t="shared" si="34"/>
        <v>3.148995047273413E-3</v>
      </c>
      <c r="I55" s="31">
        <f t="shared" si="34"/>
        <v>5.2408270907313272E-4</v>
      </c>
      <c r="J55" s="31">
        <f t="shared" si="34"/>
        <v>7.4799162489973245E-5</v>
      </c>
      <c r="K55" s="31">
        <f t="shared" si="34"/>
        <v>1.0481626755951572E-5</v>
      </c>
      <c r="L55" s="31">
        <f t="shared" si="34"/>
        <v>6.5244818218098236E-6</v>
      </c>
      <c r="M55" s="31">
        <f t="shared" si="34"/>
        <v>1.7346556369328856E-5</v>
      </c>
      <c r="N55" s="31">
        <f t="shared" si="34"/>
        <v>4.1244258408310483E-5</v>
      </c>
      <c r="O55" s="31">
        <f t="shared" si="34"/>
        <v>8.4494524574639336E-5</v>
      </c>
      <c r="P55" s="31">
        <f t="shared" si="34"/>
        <v>1.4908407776215193E-4</v>
      </c>
      <c r="Q55" s="31">
        <f t="shared" si="34"/>
        <v>2.2451879703232016E-4</v>
      </c>
      <c r="R55" s="31">
        <f t="shared" si="34"/>
        <v>2.8779267751687527E-4</v>
      </c>
      <c r="S55" s="31">
        <f t="shared" si="34"/>
        <v>3.1436130756891352E-4</v>
      </c>
      <c r="T55" s="31">
        <f t="shared" si="34"/>
        <v>2.925955496016643E-4</v>
      </c>
      <c r="U55" s="31">
        <f t="shared" si="34"/>
        <v>2.3439078826980233E-4</v>
      </c>
      <c r="V55" s="31">
        <f t="shared" si="34"/>
        <v>1.6479813271642012E-4</v>
      </c>
      <c r="W55" s="31">
        <f t="shared" si="34"/>
        <v>1.0987265822029954E-4</v>
      </c>
      <c r="X55" s="31">
        <f t="shared" si="34"/>
        <v>6.6234051028853753E-5</v>
      </c>
      <c r="Y55" s="31">
        <f t="shared" si="34"/>
        <v>3.3141453188064549E-5</v>
      </c>
      <c r="Z55" s="31">
        <f t="shared" si="34"/>
        <v>1.2767853698910537E-5</v>
      </c>
      <c r="AA55" s="31">
        <f t="shared" si="34"/>
        <v>3.8240580613040846E-6</v>
      </c>
      <c r="AB55" s="31">
        <f t="shared" si="34"/>
        <v>2.4815955462385755E-6</v>
      </c>
      <c r="AC55" s="31">
        <f t="shared" si="34"/>
        <v>4.3423981362459218E-6</v>
      </c>
      <c r="AD55" s="31">
        <f t="shared" si="34"/>
        <v>4.5227790959513018E-7</v>
      </c>
      <c r="AE55" s="31">
        <f t="shared" si="34"/>
        <v>1.0705488422414316E-5</v>
      </c>
      <c r="AF55" s="31">
        <f t="shared" si="34"/>
        <v>2.3928283696285243E-5</v>
      </c>
      <c r="AG55" s="31">
        <f t="shared" si="34"/>
        <v>6.2834634778921255E-5</v>
      </c>
      <c r="AH55" s="31">
        <f t="shared" si="34"/>
        <v>1.029089809826047E-4</v>
      </c>
      <c r="AI55" s="31">
        <f t="shared" si="34"/>
        <v>1.2491193841579026E-4</v>
      </c>
      <c r="AJ55" s="31">
        <f t="shared" si="34"/>
        <v>5.4012964321181152E-5</v>
      </c>
    </row>
    <row r="56" spans="1:36" x14ac:dyDescent="0.25">
      <c r="E56" s="13" t="s">
        <v>31</v>
      </c>
      <c r="F56" s="32">
        <f>AVERAGE(F55:AJ55)</f>
        <v>8.5952677351335124E-4</v>
      </c>
    </row>
    <row r="57" spans="1:36" x14ac:dyDescent="0.25">
      <c r="A57" s="42"/>
      <c r="B57" s="15"/>
      <c r="C57" s="15"/>
      <c r="D57" s="15"/>
      <c r="F57" s="60">
        <f>AVERAGE(S55:X55)</f>
        <v>1.9704208123432558E-4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-21.791859757314405</v>
      </c>
    </row>
    <row r="119" spans="1:14" x14ac:dyDescent="0.25">
      <c r="L119" s="11">
        <f>L118+1</f>
        <v>2</v>
      </c>
      <c r="M119" s="11">
        <f t="shared" ref="M119:M124" si="35">INDEX($B$125:$K$126,1,L119)</f>
        <v>0</v>
      </c>
      <c r="N119" s="11">
        <f t="shared" ref="N119:N124" si="36">IF(L119=$B$3,0,INDEX($B$125:$K$126,2,L119))</f>
        <v>-13.12367018372645</v>
      </c>
    </row>
    <row r="120" spans="1:14" x14ac:dyDescent="0.25">
      <c r="L120" s="11">
        <f t="shared" ref="L120:L124" si="37">L119+1</f>
        <v>3</v>
      </c>
      <c r="M120" s="11">
        <f t="shared" si="35"/>
        <v>25</v>
      </c>
      <c r="N120" s="11">
        <f t="shared" si="36"/>
        <v>-8.6942835956142055</v>
      </c>
    </row>
    <row r="121" spans="1:14" x14ac:dyDescent="0.25">
      <c r="A121" s="103">
        <f>(A165+A204+A243+A282+A321+A360+A399)*10^9</f>
        <v>2.5888911915197636E+16</v>
      </c>
      <c r="L121" s="11">
        <f t="shared" si="37"/>
        <v>4</v>
      </c>
      <c r="M121" s="11">
        <f t="shared" si="35"/>
        <v>50</v>
      </c>
      <c r="N121" s="11">
        <f t="shared" si="36"/>
        <v>-4.7516856973294708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12.423351740542923</v>
      </c>
    </row>
    <row r="124" spans="1:14" x14ac:dyDescent="0.25">
      <c r="B124" s="3"/>
      <c r="C124" s="3"/>
      <c r="D124" s="3"/>
      <c r="E124" s="3"/>
      <c r="F124" s="3"/>
      <c r="G124" s="3"/>
      <c r="H124" s="3"/>
      <c r="I124" s="3"/>
      <c r="J124" s="3"/>
      <c r="K124" s="3"/>
      <c r="L124" s="11">
        <f t="shared" si="37"/>
        <v>7</v>
      </c>
      <c r="M124" s="11">
        <f t="shared" si="35"/>
        <v>160</v>
      </c>
      <c r="N124" s="11">
        <f t="shared" si="36"/>
        <v>25.880554145835621</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-21.791859757314405</v>
      </c>
      <c r="C126" s="107">
        <v>-13.12367018372645</v>
      </c>
      <c r="D126" s="107">
        <v>-8.6942835956142055</v>
      </c>
      <c r="E126" s="107">
        <v>-4.7516856973294708</v>
      </c>
      <c r="F126" s="107">
        <v>7.5025527042847139E-3</v>
      </c>
      <c r="G126" s="107">
        <v>12.423351740542923</v>
      </c>
      <c r="H126" s="107">
        <v>25.880554145835621</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6992.4016799387045</v>
      </c>
      <c r="C131" s="27">
        <f t="shared" ref="C131:AF131" si="40">($C$17+SUM(C132:C162))*$B$51</f>
        <v>6992.338510236832</v>
      </c>
      <c r="D131" s="27">
        <f t="shared" si="40"/>
        <v>6991.7078861190785</v>
      </c>
      <c r="E131" s="27">
        <f t="shared" si="40"/>
        <v>6985.5077179102382</v>
      </c>
      <c r="F131" s="27">
        <f t="shared" si="40"/>
        <v>6932.994100837991</v>
      </c>
      <c r="G131" s="27">
        <f t="shared" si="40"/>
        <v>6794.6178709721062</v>
      </c>
      <c r="H131" s="27">
        <f t="shared" si="40"/>
        <v>6788.0288114696978</v>
      </c>
      <c r="I131" s="27">
        <f t="shared" si="40"/>
        <v>6788.0054653828201</v>
      </c>
      <c r="J131" s="27">
        <f t="shared" si="40"/>
        <v>6787.772104053648</v>
      </c>
      <c r="K131" s="27">
        <f t="shared" si="40"/>
        <v>6785.4484156627623</v>
      </c>
      <c r="L131" s="27">
        <f t="shared" si="40"/>
        <v>6763.1755919891193</v>
      </c>
      <c r="M131" s="27">
        <f t="shared" si="40"/>
        <v>6613.7414848607177</v>
      </c>
      <c r="N131" s="27">
        <f t="shared" si="40"/>
        <v>6456.494374893141</v>
      </c>
      <c r="O131" s="27">
        <f t="shared" si="40"/>
        <v>6356.4776189026925</v>
      </c>
      <c r="P131" s="27">
        <f t="shared" si="40"/>
        <v>6219.8920041346673</v>
      </c>
      <c r="Q131" s="27">
        <f t="shared" si="40"/>
        <v>6077.7368870176115</v>
      </c>
      <c r="R131" s="27">
        <f t="shared" si="40"/>
        <v>5916.7693036446217</v>
      </c>
      <c r="S131" s="27">
        <f t="shared" si="40"/>
        <v>5745.1758726588296</v>
      </c>
      <c r="T131" s="27">
        <f t="shared" si="40"/>
        <v>5573.2907027688025</v>
      </c>
      <c r="U131" s="27">
        <f t="shared" si="40"/>
        <v>5408.6792548442718</v>
      </c>
      <c r="V131" s="27">
        <f t="shared" si="40"/>
        <v>5197.9980737129554</v>
      </c>
      <c r="W131" s="27">
        <f t="shared" si="40"/>
        <v>4964.4812550821871</v>
      </c>
      <c r="X131" s="27">
        <f t="shared" si="40"/>
        <v>4729.6680550539486</v>
      </c>
      <c r="Y131" s="27">
        <f t="shared" si="40"/>
        <v>4554.9452290739209</v>
      </c>
      <c r="Z131" s="27">
        <f t="shared" si="40"/>
        <v>4347.6669922183064</v>
      </c>
      <c r="AA131" s="27">
        <f t="shared" si="40"/>
        <v>4140.1965349376715</v>
      </c>
      <c r="AB131" s="27">
        <f t="shared" si="40"/>
        <v>3691.8838725194878</v>
      </c>
      <c r="AC131" s="27">
        <f t="shared" si="40"/>
        <v>3089.2028669158535</v>
      </c>
      <c r="AD131" s="27">
        <f t="shared" si="40"/>
        <v>2542.0682754456343</v>
      </c>
      <c r="AE131" s="27">
        <f t="shared" si="40"/>
        <v>2124.2237845362492</v>
      </c>
      <c r="AF131" s="27">
        <f t="shared" si="40"/>
        <v>1784.9676325982052</v>
      </c>
    </row>
    <row r="132" spans="1:33" x14ac:dyDescent="0.25">
      <c r="B132" s="3">
        <f t="shared" ref="B132:Z133" si="41">$C18*EXP(-B$129/$A18/EXP(-$B$126))</f>
        <v>2.9227449812852017E-2</v>
      </c>
      <c r="C132" s="3">
        <f t="shared" ref="C132:AF132" si="42">$C18*EXP(-C$129/$A18/EXP(-$B$126))</f>
        <v>2.9218415775907568E-2</v>
      </c>
      <c r="D132" s="3">
        <f t="shared" si="42"/>
        <v>2.9128228844431295E-2</v>
      </c>
      <c r="E132" s="3">
        <f t="shared" si="42"/>
        <v>2.8241529262051222E-2</v>
      </c>
      <c r="F132" s="3">
        <f t="shared" si="42"/>
        <v>2.0731442827164433E-2</v>
      </c>
      <c r="G132" s="3">
        <f t="shared" si="42"/>
        <v>9.4198223770190249E-4</v>
      </c>
      <c r="H132" s="3">
        <f t="shared" si="42"/>
        <v>3.5332516230325497E-17</v>
      </c>
      <c r="I132" s="3">
        <f t="shared" si="42"/>
        <v>1.9475701140251888E-151</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4.1218430693070233E-2</v>
      </c>
      <c r="C133" s="3">
        <f t="shared" si="41"/>
        <v>4.1218430689806219E-2</v>
      </c>
      <c r="D133" s="3">
        <f t="shared" si="41"/>
        <v>4.1218430657166127E-2</v>
      </c>
      <c r="E133" s="3">
        <f t="shared" si="41"/>
        <v>4.1218430330765173E-2</v>
      </c>
      <c r="F133" s="3">
        <f t="shared" si="41"/>
        <v>4.1218427066755707E-2</v>
      </c>
      <c r="G133" s="3">
        <f t="shared" si="41"/>
        <v>4.1218394426675319E-2</v>
      </c>
      <c r="H133" s="3">
        <f t="shared" si="41"/>
        <v>4.1218068027292977E-2</v>
      </c>
      <c r="I133" s="3">
        <f t="shared" si="41"/>
        <v>4.1214804175623884E-2</v>
      </c>
      <c r="J133" s="3">
        <f t="shared" si="41"/>
        <v>4.1182179870197379E-2</v>
      </c>
      <c r="K133" s="3">
        <f t="shared" si="41"/>
        <v>4.0857353787334585E-2</v>
      </c>
      <c r="L133" s="3">
        <f t="shared" si="41"/>
        <v>3.7746724906961779E-2</v>
      </c>
      <c r="M133" s="3">
        <f t="shared" si="41"/>
        <v>1.7098959534405402E-2</v>
      </c>
      <c r="N133" s="3">
        <f t="shared" si="41"/>
        <v>6.2211943553407755E-6</v>
      </c>
      <c r="O133" s="3">
        <f t="shared" si="41"/>
        <v>2.528800779807033E-40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8.4205642216326881E-3</v>
      </c>
      <c r="C134" s="3">
        <f t="shared" si="44"/>
        <v>8.4205642215725365E-3</v>
      </c>
      <c r="D134" s="3">
        <f t="shared" si="44"/>
        <v>8.4205642209710194E-3</v>
      </c>
      <c r="E134" s="3">
        <f t="shared" si="44"/>
        <v>8.4205642149558519E-3</v>
      </c>
      <c r="F134" s="3">
        <f t="shared" si="44"/>
        <v>8.4205641548041731E-3</v>
      </c>
      <c r="G134" s="3">
        <f t="shared" si="44"/>
        <v>8.4205635532873992E-3</v>
      </c>
      <c r="H134" s="3">
        <f t="shared" si="44"/>
        <v>8.4205575381220404E-3</v>
      </c>
      <c r="I134" s="3">
        <f t="shared" si="44"/>
        <v>8.4204973867047662E-3</v>
      </c>
      <c r="J134" s="3">
        <f t="shared" si="44"/>
        <v>8.4198958961642454E-3</v>
      </c>
      <c r="K134" s="3">
        <f t="shared" si="44"/>
        <v>8.4138833533551442E-3</v>
      </c>
      <c r="L134" s="3">
        <f t="shared" si="44"/>
        <v>8.3539935616158811E-3</v>
      </c>
      <c r="M134" s="3">
        <f t="shared" si="44"/>
        <v>7.7780481982370024E-3</v>
      </c>
      <c r="N134" s="3">
        <f t="shared" si="44"/>
        <v>3.8074619152989012E-3</v>
      </c>
      <c r="O134" s="3">
        <f t="shared" si="44"/>
        <v>3.0080492817957402E-6</v>
      </c>
      <c r="P134" s="3">
        <f t="shared" si="44"/>
        <v>2.8495661252057962E-37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2.0972499021432351E-2</v>
      </c>
      <c r="C135" s="3">
        <f t="shared" si="47"/>
        <v>2.0972499021418838E-2</v>
      </c>
      <c r="D135" s="3">
        <f t="shared" si="47"/>
        <v>2.0972499021283692E-2</v>
      </c>
      <c r="E135" s="3">
        <f t="shared" si="47"/>
        <v>2.0972499019932232E-2</v>
      </c>
      <c r="F135" s="3">
        <f t="shared" si="47"/>
        <v>2.0972499006417625E-2</v>
      </c>
      <c r="G135" s="3">
        <f t="shared" si="47"/>
        <v>2.0972498871271582E-2</v>
      </c>
      <c r="H135" s="3">
        <f t="shared" si="47"/>
        <v>2.097249751981118E-2</v>
      </c>
      <c r="I135" s="3">
        <f t="shared" si="47"/>
        <v>2.0972484005211976E-2</v>
      </c>
      <c r="J135" s="3">
        <f t="shared" si="47"/>
        <v>2.0972348859698887E-2</v>
      </c>
      <c r="K135" s="3">
        <f t="shared" si="47"/>
        <v>2.0970997452464928E-2</v>
      </c>
      <c r="L135" s="3">
        <f t="shared" si="47"/>
        <v>2.0957488168676628E-2</v>
      </c>
      <c r="M135" s="3">
        <f t="shared" si="47"/>
        <v>2.0822873046168911E-2</v>
      </c>
      <c r="N135" s="3">
        <f t="shared" si="47"/>
        <v>1.9523373724177215E-2</v>
      </c>
      <c r="O135" s="3">
        <f t="shared" si="47"/>
        <v>1.0249366728627E-2</v>
      </c>
      <c r="P135" s="3">
        <f t="shared" si="47"/>
        <v>1.6297413403209241E-5</v>
      </c>
      <c r="Q135" s="3">
        <f t="shared" si="47"/>
        <v>1.6839732001613142E-33</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1.9327833781388179E-2</v>
      </c>
      <c r="C136" s="3">
        <f t="shared" si="49"/>
        <v>1.9327833781387055E-2</v>
      </c>
      <c r="D136" s="3">
        <f t="shared" si="49"/>
        <v>1.9327833781375821E-2</v>
      </c>
      <c r="E136" s="3">
        <f t="shared" si="49"/>
        <v>1.932783378126347E-2</v>
      </c>
      <c r="F136" s="3">
        <f t="shared" si="49"/>
        <v>1.9327833780139941E-2</v>
      </c>
      <c r="G136" s="3">
        <f t="shared" si="49"/>
        <v>1.9327833768904689E-2</v>
      </c>
      <c r="H136" s="3">
        <f t="shared" si="49"/>
        <v>1.9327833656552138E-2</v>
      </c>
      <c r="I136" s="3">
        <f t="shared" si="49"/>
        <v>1.9327832533026685E-2</v>
      </c>
      <c r="J136" s="3">
        <f t="shared" si="49"/>
        <v>1.9327821297775726E-2</v>
      </c>
      <c r="K136" s="3">
        <f t="shared" si="49"/>
        <v>1.9327708945625348E-2</v>
      </c>
      <c r="L136" s="3">
        <f t="shared" si="49"/>
        <v>1.932658546004146E-2</v>
      </c>
      <c r="M136" s="3">
        <f t="shared" si="49"/>
        <v>1.9315354195419104E-2</v>
      </c>
      <c r="N136" s="3">
        <f t="shared" si="49"/>
        <v>1.9203399899644352E-2</v>
      </c>
      <c r="O136" s="3">
        <f t="shared" si="49"/>
        <v>1.8118933081684375E-2</v>
      </c>
      <c r="P136" s="3">
        <f t="shared" si="49"/>
        <v>1.0131589188133625E-2</v>
      </c>
      <c r="Q136" s="3">
        <f t="shared" si="49"/>
        <v>3.027799272455414E-5</v>
      </c>
      <c r="R136" s="3">
        <f t="shared" si="49"/>
        <v>1.7203712035789881E-30</v>
      </c>
      <c r="S136" s="3">
        <f t="shared" si="49"/>
        <v>6.0335512590138995E-283</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2.3246647212008385E-2</v>
      </c>
      <c r="C137" s="3">
        <f t="shared" si="51"/>
        <v>2.3246647212008264E-2</v>
      </c>
      <c r="D137" s="3">
        <f t="shared" si="51"/>
        <v>2.3246647212007043E-2</v>
      </c>
      <c r="E137" s="3">
        <f t="shared" si="51"/>
        <v>2.3246647211994854E-2</v>
      </c>
      <c r="F137" s="3">
        <f t="shared" si="51"/>
        <v>2.3246647211872955E-2</v>
      </c>
      <c r="G137" s="3">
        <f t="shared" si="51"/>
        <v>2.3246647210653944E-2</v>
      </c>
      <c r="H137" s="3">
        <f t="shared" si="51"/>
        <v>2.3246647198463862E-2</v>
      </c>
      <c r="I137" s="3">
        <f t="shared" si="51"/>
        <v>2.3246647076563032E-2</v>
      </c>
      <c r="J137" s="3">
        <f t="shared" si="51"/>
        <v>2.3246645857554763E-2</v>
      </c>
      <c r="K137" s="3">
        <f t="shared" si="51"/>
        <v>2.3246633667475584E-2</v>
      </c>
      <c r="L137" s="3">
        <f t="shared" si="51"/>
        <v>2.3246511767035394E-2</v>
      </c>
      <c r="M137" s="3">
        <f t="shared" si="51"/>
        <v>2.3245292797790054E-2</v>
      </c>
      <c r="N137" s="3">
        <f t="shared" si="51"/>
        <v>2.3233106620310282E-2</v>
      </c>
      <c r="O137" s="3">
        <f t="shared" si="51"/>
        <v>2.3111595661856495E-2</v>
      </c>
      <c r="P137" s="3">
        <f t="shared" si="51"/>
        <v>2.1930896497149924E-2</v>
      </c>
      <c r="Q137" s="3">
        <f t="shared" si="51"/>
        <v>1.2981381960709878E-2</v>
      </c>
      <c r="R137" s="3">
        <f t="shared" si="51"/>
        <v>6.8543513587651951E-5</v>
      </c>
      <c r="S137" s="3">
        <f t="shared" si="51"/>
        <v>1.1545711602723807E-27</v>
      </c>
      <c r="T137" s="3">
        <f t="shared" si="51"/>
        <v>2.1230690922973068E-255</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2.4740814098249582E-2</v>
      </c>
      <c r="C138" s="3">
        <f t="shared" si="53"/>
        <v>2.4740814098249568E-2</v>
      </c>
      <c r="D138" s="3">
        <f t="shared" si="53"/>
        <v>2.4740814098249454E-2</v>
      </c>
      <c r="E138" s="3">
        <f t="shared" si="53"/>
        <v>2.4740814098248284E-2</v>
      </c>
      <c r="F138" s="3">
        <f t="shared" si="53"/>
        <v>2.4740814098236578E-2</v>
      </c>
      <c r="G138" s="3">
        <f t="shared" si="53"/>
        <v>2.4740814098119547E-2</v>
      </c>
      <c r="H138" s="3">
        <f t="shared" si="53"/>
        <v>2.4740814096949219E-2</v>
      </c>
      <c r="I138" s="3">
        <f t="shared" si="53"/>
        <v>2.4740814085245959E-2</v>
      </c>
      <c r="J138" s="3">
        <f t="shared" si="53"/>
        <v>2.4740813968213343E-2</v>
      </c>
      <c r="K138" s="3">
        <f t="shared" si="53"/>
        <v>2.4740812797887202E-2</v>
      </c>
      <c r="L138" s="3">
        <f t="shared" si="53"/>
        <v>2.4740801094628853E-2</v>
      </c>
      <c r="M138" s="3">
        <f t="shared" si="53"/>
        <v>2.4740684062349857E-2</v>
      </c>
      <c r="N138" s="3">
        <f t="shared" si="53"/>
        <v>2.4739513770007545E-2</v>
      </c>
      <c r="O138" s="3">
        <f t="shared" si="53"/>
        <v>2.4727813890818798E-2</v>
      </c>
      <c r="P138" s="3">
        <f t="shared" si="53"/>
        <v>2.4611118990231249E-2</v>
      </c>
      <c r="Q138" s="3">
        <f t="shared" si="53"/>
        <v>2.347403389805908E-2</v>
      </c>
      <c r="R138" s="3">
        <f t="shared" si="53"/>
        <v>1.4626869942479222E-2</v>
      </c>
      <c r="S138" s="3">
        <f t="shared" si="53"/>
        <v>1.2905894892368804E-4</v>
      </c>
      <c r="T138" s="3">
        <f t="shared" si="53"/>
        <v>3.6910961984885261E-25</v>
      </c>
      <c r="U138" s="3">
        <f t="shared" si="53"/>
        <v>1.3515364612497552E-230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2.7333416296139789E-2</v>
      </c>
      <c r="C139" s="3">
        <f t="shared" si="55"/>
        <v>2.7333416296139789E-2</v>
      </c>
      <c r="D139" s="3">
        <f t="shared" si="55"/>
        <v>2.7333416296139779E-2</v>
      </c>
      <c r="E139" s="3">
        <f t="shared" si="55"/>
        <v>2.7333416296139657E-2</v>
      </c>
      <c r="F139" s="3">
        <f t="shared" si="55"/>
        <v>2.7333416296138495E-2</v>
      </c>
      <c r="G139" s="3">
        <f t="shared" si="55"/>
        <v>2.7333416296126827E-2</v>
      </c>
      <c r="H139" s="3">
        <f t="shared" si="55"/>
        <v>2.7333416296010191E-2</v>
      </c>
      <c r="I139" s="3">
        <f t="shared" si="55"/>
        <v>2.7333416294843829E-2</v>
      </c>
      <c r="J139" s="3">
        <f t="shared" si="55"/>
        <v>2.7333416283180211E-2</v>
      </c>
      <c r="K139" s="3">
        <f t="shared" si="55"/>
        <v>2.733341616654399E-2</v>
      </c>
      <c r="L139" s="3">
        <f t="shared" si="55"/>
        <v>2.7333415000181813E-2</v>
      </c>
      <c r="M139" s="3">
        <f t="shared" si="55"/>
        <v>2.7333403336562798E-2</v>
      </c>
      <c r="N139" s="3">
        <f t="shared" si="55"/>
        <v>2.7333286700646404E-2</v>
      </c>
      <c r="O139" s="3">
        <f t="shared" si="55"/>
        <v>2.7332120368855798E-2</v>
      </c>
      <c r="P139" s="3">
        <f t="shared" si="55"/>
        <v>2.7320459787853107E-2</v>
      </c>
      <c r="Q139" s="3">
        <f t="shared" si="55"/>
        <v>2.7204127236540449E-2</v>
      </c>
      <c r="R139" s="3">
        <f t="shared" si="55"/>
        <v>2.6067701040092085E-2</v>
      </c>
      <c r="S139" s="3">
        <f t="shared" si="55"/>
        <v>1.7013045890293451E-2</v>
      </c>
      <c r="T139" s="3">
        <f t="shared" si="55"/>
        <v>2.3854784191983995E-4</v>
      </c>
      <c r="U139" s="3">
        <f t="shared" si="55"/>
        <v>7.0066379503909527E-23</v>
      </c>
      <c r="V139" s="3">
        <f t="shared" si="55"/>
        <v>3.3485094419842535E-208</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2.1342745356983432E-2</v>
      </c>
      <c r="C140" s="3">
        <f t="shared" si="57"/>
        <v>2.1342745356983432E-2</v>
      </c>
      <c r="D140" s="3">
        <f t="shared" si="57"/>
        <v>2.1342745356983432E-2</v>
      </c>
      <c r="E140" s="3">
        <f t="shared" si="57"/>
        <v>2.1342745356983422E-2</v>
      </c>
      <c r="F140" s="3">
        <f t="shared" si="57"/>
        <v>2.1342745356983338E-2</v>
      </c>
      <c r="G140" s="3">
        <f t="shared" si="57"/>
        <v>2.134274535698252E-2</v>
      </c>
      <c r="H140" s="3">
        <f t="shared" si="57"/>
        <v>2.1342745356974304E-2</v>
      </c>
      <c r="I140" s="3">
        <f t="shared" si="57"/>
        <v>2.1342745356892148E-2</v>
      </c>
      <c r="J140" s="3">
        <f t="shared" si="57"/>
        <v>2.1342745356070593E-2</v>
      </c>
      <c r="K140" s="3">
        <f t="shared" si="57"/>
        <v>2.1342745347855047E-2</v>
      </c>
      <c r="L140" s="3">
        <f t="shared" si="57"/>
        <v>2.1342745265699598E-2</v>
      </c>
      <c r="M140" s="3">
        <f t="shared" si="57"/>
        <v>2.1342744444145082E-2</v>
      </c>
      <c r="N140" s="3">
        <f t="shared" si="57"/>
        <v>2.1342736228601684E-2</v>
      </c>
      <c r="O140" s="3">
        <f t="shared" si="57"/>
        <v>2.134265407334163E-2</v>
      </c>
      <c r="P140" s="3">
        <f t="shared" si="57"/>
        <v>2.1341832538134278E-2</v>
      </c>
      <c r="Q140" s="3">
        <f t="shared" si="57"/>
        <v>2.1333618925128389E-2</v>
      </c>
      <c r="R140" s="3">
        <f t="shared" si="57"/>
        <v>2.1251656454400671E-2</v>
      </c>
      <c r="S140" s="3">
        <f t="shared" si="57"/>
        <v>2.0449152871038902E-2</v>
      </c>
      <c r="T140" s="3">
        <f t="shared" si="57"/>
        <v>1.3915559440076259E-2</v>
      </c>
      <c r="U140" s="3">
        <f t="shared" si="57"/>
        <v>2.9631535853714546E-4</v>
      </c>
      <c r="V140" s="3">
        <f t="shared" si="57"/>
        <v>5.6792250384761202E-21</v>
      </c>
      <c r="W140" s="3">
        <f t="shared" si="57"/>
        <v>3.7987283131598943E-188</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3.0213098985838894E-2</v>
      </c>
      <c r="C141" s="3">
        <f t="shared" si="59"/>
        <v>3.0213098985838894E-2</v>
      </c>
      <c r="D141" s="3">
        <f t="shared" si="59"/>
        <v>3.0213098985838894E-2</v>
      </c>
      <c r="E141" s="3">
        <f t="shared" si="59"/>
        <v>3.0213098985838894E-2</v>
      </c>
      <c r="F141" s="3">
        <f t="shared" si="59"/>
        <v>3.0213098985838883E-2</v>
      </c>
      <c r="G141" s="3">
        <f t="shared" si="59"/>
        <v>3.0213098985838776E-2</v>
      </c>
      <c r="H141" s="3">
        <f t="shared" si="59"/>
        <v>3.0213098985837728E-2</v>
      </c>
      <c r="I141" s="3">
        <f t="shared" si="59"/>
        <v>3.0213098985827237E-2</v>
      </c>
      <c r="J141" s="3">
        <f t="shared" si="59"/>
        <v>3.0213098985722324E-2</v>
      </c>
      <c r="K141" s="3">
        <f t="shared" si="59"/>
        <v>3.0213098984673198E-2</v>
      </c>
      <c r="L141" s="3">
        <f t="shared" si="59"/>
        <v>3.021309897418193E-2</v>
      </c>
      <c r="M141" s="3">
        <f t="shared" si="59"/>
        <v>3.0213098869269251E-2</v>
      </c>
      <c r="N141" s="3">
        <f t="shared" si="59"/>
        <v>3.0213097820142479E-2</v>
      </c>
      <c r="O141" s="3">
        <f t="shared" si="59"/>
        <v>3.0213087328876786E-2</v>
      </c>
      <c r="P141" s="3">
        <f t="shared" si="59"/>
        <v>3.02129824164202E-2</v>
      </c>
      <c r="Q141" s="3">
        <f t="shared" si="59"/>
        <v>3.0211933311890617E-2</v>
      </c>
      <c r="R141" s="3">
        <f t="shared" si="59"/>
        <v>3.0201444269965769E-2</v>
      </c>
      <c r="S141" s="3">
        <f t="shared" si="59"/>
        <v>3.0096753930660462E-2</v>
      </c>
      <c r="T141" s="3">
        <f t="shared" si="59"/>
        <v>2.9069603840051961E-2</v>
      </c>
      <c r="U141" s="3">
        <f t="shared" si="59"/>
        <v>2.0541571739645881E-2</v>
      </c>
      <c r="V141" s="3">
        <f t="shared" si="59"/>
        <v>6.3764541917443903E-4</v>
      </c>
      <c r="W141" s="3">
        <f t="shared" si="59"/>
        <v>5.2970610559634995E-19</v>
      </c>
      <c r="X141" s="3">
        <f t="shared" si="59"/>
        <v>8.2907214901094233E-170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3.3824388307374977E-2</v>
      </c>
      <c r="C142" s="3">
        <f t="shared" si="61"/>
        <v>3.3824388307374977E-2</v>
      </c>
      <c r="D142" s="3">
        <f t="shared" si="61"/>
        <v>3.3824388307374977E-2</v>
      </c>
      <c r="E142" s="3">
        <f t="shared" si="61"/>
        <v>3.3824388307374977E-2</v>
      </c>
      <c r="F142" s="3">
        <f t="shared" si="61"/>
        <v>3.3824388307374977E-2</v>
      </c>
      <c r="G142" s="3">
        <f t="shared" si="61"/>
        <v>3.3824388307374963E-2</v>
      </c>
      <c r="H142" s="3">
        <f t="shared" si="61"/>
        <v>3.3824388307374859E-2</v>
      </c>
      <c r="I142" s="3">
        <f t="shared" si="61"/>
        <v>3.3824388307373804E-2</v>
      </c>
      <c r="J142" s="3">
        <f t="shared" si="61"/>
        <v>3.3824388307363201E-2</v>
      </c>
      <c r="K142" s="3">
        <f t="shared" si="61"/>
        <v>3.3824388307257251E-2</v>
      </c>
      <c r="L142" s="3">
        <f t="shared" si="61"/>
        <v>3.3824388306197731E-2</v>
      </c>
      <c r="M142" s="3">
        <f t="shared" si="61"/>
        <v>3.3824388295602525E-2</v>
      </c>
      <c r="N142" s="3">
        <f t="shared" si="61"/>
        <v>3.3824388189650507E-2</v>
      </c>
      <c r="O142" s="3">
        <f t="shared" si="61"/>
        <v>3.3824387130130314E-2</v>
      </c>
      <c r="P142" s="3">
        <f t="shared" si="61"/>
        <v>3.3824376534930201E-2</v>
      </c>
      <c r="Q142" s="3">
        <f t="shared" si="61"/>
        <v>3.3824270583111625E-2</v>
      </c>
      <c r="R142" s="3">
        <f t="shared" si="61"/>
        <v>3.382321108317933E-2</v>
      </c>
      <c r="S142" s="3">
        <f t="shared" si="61"/>
        <v>3.3812617908992676E-2</v>
      </c>
      <c r="T142" s="3">
        <f t="shared" si="61"/>
        <v>3.3706868469402372E-2</v>
      </c>
      <c r="U142" s="3">
        <f t="shared" si="61"/>
        <v>3.2667394772604726E-2</v>
      </c>
      <c r="V142" s="3">
        <f t="shared" si="61"/>
        <v>2.3882261301912112E-2</v>
      </c>
      <c r="W142" s="3">
        <f t="shared" si="61"/>
        <v>1.0415614439120272E-3</v>
      </c>
      <c r="X142" s="3">
        <f t="shared" si="61"/>
        <v>2.5928619067418969E-17</v>
      </c>
      <c r="Y142" s="3">
        <f t="shared" si="61"/>
        <v>2.3698688377661141E-153</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3.8791797530712095E-2</v>
      </c>
      <c r="C143" s="3">
        <f t="shared" si="63"/>
        <v>3.8791797530712095E-2</v>
      </c>
      <c r="D143" s="3">
        <f t="shared" si="63"/>
        <v>3.8791797530712095E-2</v>
      </c>
      <c r="E143" s="3">
        <f t="shared" si="63"/>
        <v>3.8791797530712095E-2</v>
      </c>
      <c r="F143" s="3">
        <f t="shared" si="63"/>
        <v>3.8791797530712095E-2</v>
      </c>
      <c r="G143" s="3">
        <f t="shared" si="63"/>
        <v>3.8791797530712095E-2</v>
      </c>
      <c r="H143" s="3">
        <f t="shared" si="63"/>
        <v>3.8791797530712081E-2</v>
      </c>
      <c r="I143" s="3">
        <f t="shared" si="63"/>
        <v>3.8791797530711977E-2</v>
      </c>
      <c r="J143" s="3">
        <f t="shared" si="63"/>
        <v>3.8791797530710874E-2</v>
      </c>
      <c r="K143" s="3">
        <f t="shared" si="63"/>
        <v>3.8791797530699917E-2</v>
      </c>
      <c r="L143" s="3">
        <f t="shared" si="63"/>
        <v>3.8791797530590297E-2</v>
      </c>
      <c r="M143" s="3">
        <f t="shared" si="63"/>
        <v>3.879179752949416E-2</v>
      </c>
      <c r="N143" s="3">
        <f t="shared" si="63"/>
        <v>3.8791797518532768E-2</v>
      </c>
      <c r="O143" s="3">
        <f t="shared" si="63"/>
        <v>3.8791797408918832E-2</v>
      </c>
      <c r="P143" s="3">
        <f t="shared" si="63"/>
        <v>3.8791796312779438E-2</v>
      </c>
      <c r="Q143" s="3">
        <f t="shared" si="63"/>
        <v>3.8791785351387276E-2</v>
      </c>
      <c r="R143" s="3">
        <f t="shared" si="63"/>
        <v>3.8791675737636006E-2</v>
      </c>
      <c r="S143" s="3">
        <f t="shared" si="63"/>
        <v>3.8790579617158531E-2</v>
      </c>
      <c r="T143" s="3">
        <f t="shared" si="63"/>
        <v>3.877962011573393E-2</v>
      </c>
      <c r="U143" s="3">
        <f t="shared" si="63"/>
        <v>3.8670195258544184E-2</v>
      </c>
      <c r="V143" s="3">
        <f t="shared" si="63"/>
        <v>3.7592785828246503E-2</v>
      </c>
      <c r="W143" s="3">
        <f t="shared" si="63"/>
        <v>2.8339094240152764E-2</v>
      </c>
      <c r="X143" s="3">
        <f t="shared" si="63"/>
        <v>1.6795793058616889E-3</v>
      </c>
      <c r="Y143" s="3">
        <f t="shared" si="63"/>
        <v>8.9814407904807316E-16</v>
      </c>
      <c r="Z143" s="3">
        <f t="shared" si="63"/>
        <v>1.7171212886073588E-138</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2.3183984286354733E-2</v>
      </c>
      <c r="C144" s="3">
        <f t="shared" si="65"/>
        <v>2.3183984286354733E-2</v>
      </c>
      <c r="D144" s="3">
        <f t="shared" si="65"/>
        <v>2.3183984286354733E-2</v>
      </c>
      <c r="E144" s="3">
        <f t="shared" si="65"/>
        <v>2.3183984286354733E-2</v>
      </c>
      <c r="F144" s="3">
        <f t="shared" si="65"/>
        <v>2.3183984286354733E-2</v>
      </c>
      <c r="G144" s="3">
        <f t="shared" si="65"/>
        <v>2.3183984286354733E-2</v>
      </c>
      <c r="H144" s="3">
        <f t="shared" si="65"/>
        <v>2.3183984286354733E-2</v>
      </c>
      <c r="I144" s="3">
        <f t="shared" si="65"/>
        <v>2.3183984286354726E-2</v>
      </c>
      <c r="J144" s="3">
        <f t="shared" si="65"/>
        <v>2.3183984286354667E-2</v>
      </c>
      <c r="K144" s="3">
        <f t="shared" si="65"/>
        <v>2.3183984286354077E-2</v>
      </c>
      <c r="L144" s="3">
        <f t="shared" si="65"/>
        <v>2.3183984286348165E-2</v>
      </c>
      <c r="M144" s="3">
        <f t="shared" si="65"/>
        <v>2.318398428628907E-2</v>
      </c>
      <c r="N144" s="3">
        <f t="shared" si="65"/>
        <v>2.3183984285698109E-2</v>
      </c>
      <c r="O144" s="3">
        <f t="shared" si="65"/>
        <v>2.3183984279788471E-2</v>
      </c>
      <c r="P144" s="3">
        <f t="shared" si="65"/>
        <v>2.3183984220692139E-2</v>
      </c>
      <c r="Q144" s="3">
        <f t="shared" si="65"/>
        <v>2.3183983629728792E-2</v>
      </c>
      <c r="R144" s="3">
        <f t="shared" si="65"/>
        <v>2.3183977720096172E-2</v>
      </c>
      <c r="S144" s="3">
        <f t="shared" si="65"/>
        <v>2.3183918623852807E-2</v>
      </c>
      <c r="T144" s="3">
        <f t="shared" si="65"/>
        <v>2.3183327669704133E-2</v>
      </c>
      <c r="U144" s="3">
        <f t="shared" si="65"/>
        <v>2.3177418956636706E-2</v>
      </c>
      <c r="V144" s="3">
        <f t="shared" si="65"/>
        <v>2.3118414589814368E-2</v>
      </c>
      <c r="W144" s="3">
        <f t="shared" si="65"/>
        <v>2.2536569778599125E-2</v>
      </c>
      <c r="X144" s="3">
        <f t="shared" si="65"/>
        <v>1.746567913108029E-2</v>
      </c>
      <c r="Y144" s="3">
        <f t="shared" si="65"/>
        <v>1.3650925894709857E-3</v>
      </c>
      <c r="Z144" s="3">
        <f t="shared" si="65"/>
        <v>1.161257218481358E-14</v>
      </c>
      <c r="AA144" s="3">
        <f t="shared" ref="AA144" si="66">$C30*EXP(-AA$129/$A30/EXP(-$B$126))</f>
        <v>2.3045790114459612E-125</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3.3195679421044622E-2</v>
      </c>
      <c r="C145" s="3">
        <f t="shared" si="68"/>
        <v>3.3195679421044622E-2</v>
      </c>
      <c r="D145" s="3">
        <f t="shared" si="68"/>
        <v>3.3195679421044622E-2</v>
      </c>
      <c r="E145" s="3">
        <f t="shared" si="68"/>
        <v>3.3195679421044622E-2</v>
      </c>
      <c r="F145" s="3">
        <f t="shared" si="68"/>
        <v>3.3195679421044622E-2</v>
      </c>
      <c r="G145" s="3">
        <f t="shared" si="68"/>
        <v>3.3195679421044622E-2</v>
      </c>
      <c r="H145" s="3">
        <f t="shared" si="68"/>
        <v>3.3195679421044622E-2</v>
      </c>
      <c r="I145" s="3">
        <f t="shared" si="68"/>
        <v>3.3195679421044622E-2</v>
      </c>
      <c r="J145" s="3">
        <f t="shared" si="68"/>
        <v>3.3195679421044615E-2</v>
      </c>
      <c r="K145" s="3">
        <f t="shared" si="68"/>
        <v>3.3195679421044538E-2</v>
      </c>
      <c r="L145" s="3">
        <f t="shared" si="68"/>
        <v>3.3195679421043775E-2</v>
      </c>
      <c r="M145" s="3">
        <f t="shared" si="68"/>
        <v>3.3195679421036142E-2</v>
      </c>
      <c r="N145" s="3">
        <f t="shared" si="68"/>
        <v>3.3195679420959807E-2</v>
      </c>
      <c r="O145" s="3">
        <f t="shared" si="68"/>
        <v>3.3195679420196501E-2</v>
      </c>
      <c r="P145" s="3">
        <f t="shared" si="68"/>
        <v>3.3195679412563406E-2</v>
      </c>
      <c r="Q145" s="3">
        <f t="shared" si="68"/>
        <v>3.3195679336232464E-2</v>
      </c>
      <c r="R145" s="3">
        <f t="shared" si="68"/>
        <v>3.3195678572923042E-2</v>
      </c>
      <c r="S145" s="3">
        <f t="shared" si="68"/>
        <v>3.3195670939829773E-2</v>
      </c>
      <c r="T145" s="3">
        <f t="shared" si="68"/>
        <v>3.3195594608993635E-2</v>
      </c>
      <c r="U145" s="3">
        <f t="shared" si="68"/>
        <v>3.3194831310285597E-2</v>
      </c>
      <c r="V145" s="3">
        <f t="shared" si="68"/>
        <v>3.3187199288458619E-2</v>
      </c>
      <c r="W145" s="3">
        <f t="shared" si="68"/>
        <v>3.3110975513455432E-2</v>
      </c>
      <c r="X145" s="3">
        <f t="shared" si="68"/>
        <v>3.2358300539648853E-2</v>
      </c>
      <c r="Y145" s="3">
        <f t="shared" si="68"/>
        <v>2.5711237911584753E-2</v>
      </c>
      <c r="Z145" s="3">
        <f t="shared" si="68"/>
        <v>2.5792641000158623E-3</v>
      </c>
      <c r="AA145" s="3">
        <f t="shared" ref="AA145" si="69">$C31*EXP(-AA$129/$A31/EXP(-$B$126))</f>
        <v>2.6620982325849066E-13</v>
      </c>
      <c r="AB145" s="3">
        <f t="shared" si="67"/>
        <v>3.6517977297301406E-113</v>
      </c>
      <c r="AC145" s="3">
        <f t="shared" si="67"/>
        <v>0</v>
      </c>
      <c r="AD145" s="3">
        <f t="shared" si="67"/>
        <v>0</v>
      </c>
      <c r="AE145" s="3">
        <f t="shared" si="67"/>
        <v>0</v>
      </c>
      <c r="AF145" s="3">
        <f t="shared" si="67"/>
        <v>0</v>
      </c>
    </row>
    <row r="146" spans="1:32" x14ac:dyDescent="0.25">
      <c r="B146" s="3">
        <f t="shared" ref="B146:Z146" si="70">$C32*EXP(-B$129/$A32/EXP(-$B$126))</f>
        <v>2.038442434974385E-2</v>
      </c>
      <c r="C146" s="3">
        <f t="shared" si="70"/>
        <v>2.038442434974385E-2</v>
      </c>
      <c r="D146" s="3">
        <f t="shared" si="70"/>
        <v>2.038442434974385E-2</v>
      </c>
      <c r="E146" s="3">
        <f t="shared" si="70"/>
        <v>2.038442434974385E-2</v>
      </c>
      <c r="F146" s="3">
        <f t="shared" si="70"/>
        <v>2.038442434974385E-2</v>
      </c>
      <c r="G146" s="3">
        <f t="shared" si="70"/>
        <v>2.038442434974385E-2</v>
      </c>
      <c r="H146" s="3">
        <f t="shared" si="70"/>
        <v>2.038442434974385E-2</v>
      </c>
      <c r="I146" s="3">
        <f t="shared" si="70"/>
        <v>2.038442434974385E-2</v>
      </c>
      <c r="J146" s="3">
        <f t="shared" si="70"/>
        <v>2.038442434974385E-2</v>
      </c>
      <c r="K146" s="3">
        <f t="shared" si="70"/>
        <v>2.0384424349743847E-2</v>
      </c>
      <c r="L146" s="3">
        <f t="shared" si="70"/>
        <v>2.0384424349743802E-2</v>
      </c>
      <c r="M146" s="3">
        <f t="shared" si="70"/>
        <v>2.0384424349743378E-2</v>
      </c>
      <c r="N146" s="3">
        <f t="shared" si="70"/>
        <v>2.0384424349739153E-2</v>
      </c>
      <c r="O146" s="3">
        <f t="shared" si="70"/>
        <v>2.038442434969687E-2</v>
      </c>
      <c r="P146" s="3">
        <f t="shared" si="70"/>
        <v>2.0384424349274042E-2</v>
      </c>
      <c r="Q146" s="3">
        <f t="shared" si="70"/>
        <v>2.0384424345045758E-2</v>
      </c>
      <c r="R146" s="3">
        <f t="shared" si="70"/>
        <v>2.0384424302762921E-2</v>
      </c>
      <c r="S146" s="3">
        <f t="shared" si="70"/>
        <v>2.0384423879934565E-2</v>
      </c>
      <c r="T146" s="3">
        <f t="shared" si="70"/>
        <v>2.038441965165148E-2</v>
      </c>
      <c r="U146" s="3">
        <f t="shared" si="70"/>
        <v>2.0384377368868882E-2</v>
      </c>
      <c r="V146" s="3">
        <f t="shared" si="70"/>
        <v>2.0383954545866681E-2</v>
      </c>
      <c r="W146" s="3">
        <f t="shared" si="70"/>
        <v>2.0379726798187066E-2</v>
      </c>
      <c r="X146" s="3">
        <f t="shared" si="70"/>
        <v>2.0337497518630947E-2</v>
      </c>
      <c r="Y146" s="3">
        <f t="shared" si="70"/>
        <v>1.9919987660971462E-2</v>
      </c>
      <c r="Z146" s="3">
        <f t="shared" si="70"/>
        <v>1.6188424578419507E-2</v>
      </c>
      <c r="AA146" s="3">
        <f t="shared" ref="AA146" si="71">$C32*EXP(-AA$129/$A32/EXP(-$B$126))</f>
        <v>2.0340414455455509E-3</v>
      </c>
      <c r="AB146" s="3">
        <f t="shared" si="67"/>
        <v>1.9948576656330917E-12</v>
      </c>
      <c r="AC146" s="3">
        <f t="shared" si="67"/>
        <v>1.6422265718613072E-102</v>
      </c>
      <c r="AD146" s="3">
        <f t="shared" si="67"/>
        <v>0</v>
      </c>
      <c r="AE146" s="3">
        <f t="shared" si="67"/>
        <v>0</v>
      </c>
      <c r="AF146" s="3">
        <f t="shared" si="67"/>
        <v>0</v>
      </c>
    </row>
    <row r="147" spans="1:32" x14ac:dyDescent="0.25">
      <c r="B147" s="3">
        <f t="shared" ref="B147:Z147" si="72">$C33*EXP(-B$129/$A33/EXP(-$B$126))</f>
        <v>6.6925069366004494E-2</v>
      </c>
      <c r="C147" s="3">
        <f t="shared" si="72"/>
        <v>6.6925069366004494E-2</v>
      </c>
      <c r="D147" s="3">
        <f t="shared" si="72"/>
        <v>6.6925069366004494E-2</v>
      </c>
      <c r="E147" s="3">
        <f t="shared" si="72"/>
        <v>6.6925069366004494E-2</v>
      </c>
      <c r="F147" s="3">
        <f t="shared" si="72"/>
        <v>6.6925069366004494E-2</v>
      </c>
      <c r="G147" s="3">
        <f t="shared" si="72"/>
        <v>6.6925069366004494E-2</v>
      </c>
      <c r="H147" s="3">
        <f t="shared" si="72"/>
        <v>6.6925069366004494E-2</v>
      </c>
      <c r="I147" s="3">
        <f t="shared" si="72"/>
        <v>6.6925069366004494E-2</v>
      </c>
      <c r="J147" s="3">
        <f t="shared" si="72"/>
        <v>6.6925069366004494E-2</v>
      </c>
      <c r="K147" s="3">
        <f t="shared" si="72"/>
        <v>6.6925069366004494E-2</v>
      </c>
      <c r="L147" s="3">
        <f t="shared" si="72"/>
        <v>6.692506936600448E-2</v>
      </c>
      <c r="M147" s="3">
        <f t="shared" si="72"/>
        <v>6.6925069366004356E-2</v>
      </c>
      <c r="N147" s="3">
        <f t="shared" si="72"/>
        <v>6.6925069366003107E-2</v>
      </c>
      <c r="O147" s="3">
        <f t="shared" si="72"/>
        <v>6.6925069365990575E-2</v>
      </c>
      <c r="P147" s="3">
        <f t="shared" si="72"/>
        <v>6.6925069365865356E-2</v>
      </c>
      <c r="Q147" s="3">
        <f t="shared" si="72"/>
        <v>6.692506936461308E-2</v>
      </c>
      <c r="R147" s="3">
        <f t="shared" si="72"/>
        <v>6.6925069352090291E-2</v>
      </c>
      <c r="S147" s="3">
        <f t="shared" si="72"/>
        <v>6.6925069226862394E-2</v>
      </c>
      <c r="T147" s="3">
        <f t="shared" si="72"/>
        <v>6.6925067974583446E-2</v>
      </c>
      <c r="U147" s="3">
        <f t="shared" si="72"/>
        <v>6.6925055451795404E-2</v>
      </c>
      <c r="V147" s="3">
        <f t="shared" si="72"/>
        <v>6.6924930224043722E-2</v>
      </c>
      <c r="W147" s="3">
        <f t="shared" si="72"/>
        <v>6.6923677959414521E-2</v>
      </c>
      <c r="X147" s="3">
        <f t="shared" si="72"/>
        <v>6.6911156601795266E-2</v>
      </c>
      <c r="Y147" s="3">
        <f t="shared" si="72"/>
        <v>6.6786071803693434E-2</v>
      </c>
      <c r="Z147" s="3">
        <f t="shared" si="72"/>
        <v>6.5548012919142112E-2</v>
      </c>
      <c r="AA147" s="3">
        <f t="shared" ref="AA147" si="73">$C33*EXP(-AA$129/$A33/EXP(-$B$126))</f>
        <v>5.4362051345044717E-2</v>
      </c>
      <c r="AB147" s="3">
        <f t="shared" si="67"/>
        <v>8.3687172388729036E-3</v>
      </c>
      <c r="AC147" s="3">
        <f t="shared" si="67"/>
        <v>6.2558953086667912E-11</v>
      </c>
      <c r="AD147" s="3">
        <f t="shared" si="67"/>
        <v>3.4087507990133902E-92</v>
      </c>
      <c r="AE147" s="3">
        <f t="shared" si="67"/>
        <v>0</v>
      </c>
      <c r="AF147" s="3">
        <f t="shared" si="67"/>
        <v>0</v>
      </c>
    </row>
    <row r="148" spans="1:32" x14ac:dyDescent="0.25">
      <c r="B148" s="3">
        <f t="shared" ref="B148:Z148" si="74">$C34*EXP(-B$129/$A34/EXP(-$B$126))</f>
        <v>9.6671799143506223E-2</v>
      </c>
      <c r="C148" s="3">
        <f t="shared" si="74"/>
        <v>9.6671799143506223E-2</v>
      </c>
      <c r="D148" s="3">
        <f t="shared" si="74"/>
        <v>9.6671799143506223E-2</v>
      </c>
      <c r="E148" s="3">
        <f t="shared" si="74"/>
        <v>9.6671799143506223E-2</v>
      </c>
      <c r="F148" s="3">
        <f t="shared" si="74"/>
        <v>9.6671799143506223E-2</v>
      </c>
      <c r="G148" s="3">
        <f t="shared" si="74"/>
        <v>9.6671799143506223E-2</v>
      </c>
      <c r="H148" s="3">
        <f t="shared" si="74"/>
        <v>9.6671799143506223E-2</v>
      </c>
      <c r="I148" s="3">
        <f t="shared" si="74"/>
        <v>9.6671799143506223E-2</v>
      </c>
      <c r="J148" s="3">
        <f t="shared" si="74"/>
        <v>9.6671799143506223E-2</v>
      </c>
      <c r="K148" s="3">
        <f t="shared" si="74"/>
        <v>9.6671799143506223E-2</v>
      </c>
      <c r="L148" s="3">
        <f t="shared" si="74"/>
        <v>9.6671799143506223E-2</v>
      </c>
      <c r="M148" s="3">
        <f t="shared" si="74"/>
        <v>9.6671799143506196E-2</v>
      </c>
      <c r="N148" s="3">
        <f t="shared" si="74"/>
        <v>9.6671799143506043E-2</v>
      </c>
      <c r="O148" s="3">
        <f t="shared" si="74"/>
        <v>9.6671799143504406E-2</v>
      </c>
      <c r="P148" s="3">
        <f t="shared" si="74"/>
        <v>9.6671799143488099E-2</v>
      </c>
      <c r="Q148" s="3">
        <f t="shared" si="74"/>
        <v>9.667179914332491E-2</v>
      </c>
      <c r="R148" s="3">
        <f t="shared" si="74"/>
        <v>9.6671799141693146E-2</v>
      </c>
      <c r="S148" s="3">
        <f t="shared" si="74"/>
        <v>9.6671799125375463E-2</v>
      </c>
      <c r="T148" s="3">
        <f t="shared" si="74"/>
        <v>9.667179896219856E-2</v>
      </c>
      <c r="U148" s="3">
        <f t="shared" si="74"/>
        <v>9.6671797330429715E-2</v>
      </c>
      <c r="V148" s="3">
        <f t="shared" si="74"/>
        <v>9.6671781012742763E-2</v>
      </c>
      <c r="W148" s="3">
        <f t="shared" si="74"/>
        <v>9.6671617836024626E-2</v>
      </c>
      <c r="X148" s="3">
        <f t="shared" si="74"/>
        <v>9.6669986083992007E-2</v>
      </c>
      <c r="Y148" s="3">
        <f t="shared" si="74"/>
        <v>9.6653670078447468E-2</v>
      </c>
      <c r="Z148" s="3">
        <f t="shared" si="74"/>
        <v>9.6490661406605616E-2</v>
      </c>
      <c r="AA148" s="3">
        <f>$C34*EXP(-AA$129/$A34/EXP(-$B$126))</f>
        <v>9.4875618928726577E-2</v>
      </c>
      <c r="AB148" s="3">
        <f t="shared" si="67"/>
        <v>8.0139754815902214E-2</v>
      </c>
      <c r="AC148" s="3">
        <f t="shared" si="67"/>
        <v>1.4817737014668446E-2</v>
      </c>
      <c r="AD148" s="3">
        <f t="shared" si="67"/>
        <v>6.9202313764124018E-10</v>
      </c>
      <c r="AE148" s="3">
        <f t="shared" si="67"/>
        <v>3.4159219667411288E-83</v>
      </c>
      <c r="AF148" s="3">
        <f t="shared" si="67"/>
        <v>0</v>
      </c>
    </row>
    <row r="149" spans="1:32" x14ac:dyDescent="0.25">
      <c r="B149" s="3">
        <f t="shared" ref="B149:Z149" si="75">$C35*EXP(-B$129/$A35/EXP(-$B$126))</f>
        <v>8.3708796522492912E-2</v>
      </c>
      <c r="C149" s="3">
        <f t="shared" si="75"/>
        <v>8.3708796522492912E-2</v>
      </c>
      <c r="D149" s="3">
        <f t="shared" si="75"/>
        <v>8.3708796522492912E-2</v>
      </c>
      <c r="E149" s="3">
        <f t="shared" si="75"/>
        <v>8.3708796522492912E-2</v>
      </c>
      <c r="F149" s="3">
        <f t="shared" si="75"/>
        <v>8.3708796522492912E-2</v>
      </c>
      <c r="G149" s="3">
        <f t="shared" si="75"/>
        <v>8.3708796522492912E-2</v>
      </c>
      <c r="H149" s="3">
        <f t="shared" si="75"/>
        <v>8.3708796522492912E-2</v>
      </c>
      <c r="I149" s="3">
        <f t="shared" si="75"/>
        <v>8.3708796522492912E-2</v>
      </c>
      <c r="J149" s="3">
        <f t="shared" si="75"/>
        <v>8.3708796522492912E-2</v>
      </c>
      <c r="K149" s="3">
        <f t="shared" si="75"/>
        <v>8.3708796522492912E-2</v>
      </c>
      <c r="L149" s="3">
        <f t="shared" si="75"/>
        <v>8.3708796522492912E-2</v>
      </c>
      <c r="M149" s="3">
        <f t="shared" si="75"/>
        <v>8.3708796522492912E-2</v>
      </c>
      <c r="N149" s="3">
        <f t="shared" si="75"/>
        <v>8.3708796522492898E-2</v>
      </c>
      <c r="O149" s="3">
        <f t="shared" si="75"/>
        <v>8.3708796522492773E-2</v>
      </c>
      <c r="P149" s="3">
        <f t="shared" si="75"/>
        <v>8.3708796522491496E-2</v>
      </c>
      <c r="Q149" s="3">
        <f t="shared" si="75"/>
        <v>8.3708796522478743E-2</v>
      </c>
      <c r="R149" s="3">
        <f t="shared" si="75"/>
        <v>8.3708796522351289E-2</v>
      </c>
      <c r="S149" s="3">
        <f t="shared" si="75"/>
        <v>8.3708796521076684E-2</v>
      </c>
      <c r="T149" s="3">
        <f t="shared" si="75"/>
        <v>8.3708796508330602E-2</v>
      </c>
      <c r="U149" s="3">
        <f t="shared" si="75"/>
        <v>8.3708796380869838E-2</v>
      </c>
      <c r="V149" s="3">
        <f t="shared" si="75"/>
        <v>8.3708795106262168E-2</v>
      </c>
      <c r="W149" s="3">
        <f t="shared" si="75"/>
        <v>8.3708782360186584E-2</v>
      </c>
      <c r="X149" s="3">
        <f t="shared" si="75"/>
        <v>8.3708654899537466E-2</v>
      </c>
      <c r="Y149" s="3">
        <f t="shared" si="75"/>
        <v>8.3707380303720602E-2</v>
      </c>
      <c r="Z149" s="3">
        <f t="shared" si="75"/>
        <v>8.3694635412928001E-2</v>
      </c>
      <c r="AA149" s="3">
        <f t="shared" ref="AA149" si="76">$C35*EXP(-AA$129/$A35/EXP(-$B$126))</f>
        <v>8.3567293182499794E-2</v>
      </c>
      <c r="AB149" s="3">
        <f t="shared" si="67"/>
        <v>8.2304478771233772E-2</v>
      </c>
      <c r="AC149" s="3">
        <f t="shared" si="67"/>
        <v>7.067971762086199E-2</v>
      </c>
      <c r="AD149" s="3">
        <f t="shared" si="67"/>
        <v>1.5417294707870203E-2</v>
      </c>
      <c r="AE149" s="3">
        <f t="shared" si="67"/>
        <v>3.7596018854059738E-9</v>
      </c>
      <c r="AF149" s="3">
        <f t="shared" si="67"/>
        <v>2.7956236381972371E-75</v>
      </c>
    </row>
    <row r="150" spans="1:32" x14ac:dyDescent="0.25">
      <c r="B150" s="3">
        <f t="shared" ref="B150:Z150" si="77">$C36*EXP(-B$129/$A36/EXP(-$B$126))</f>
        <v>5.9251655732023817E-2</v>
      </c>
      <c r="C150" s="3">
        <f t="shared" si="77"/>
        <v>5.9251655732023817E-2</v>
      </c>
      <c r="D150" s="3">
        <f t="shared" si="77"/>
        <v>5.9251655732023817E-2</v>
      </c>
      <c r="E150" s="3">
        <f t="shared" si="77"/>
        <v>5.9251655732023817E-2</v>
      </c>
      <c r="F150" s="3">
        <f t="shared" si="77"/>
        <v>5.9251655732023817E-2</v>
      </c>
      <c r="G150" s="3">
        <f t="shared" si="77"/>
        <v>5.9251655732023817E-2</v>
      </c>
      <c r="H150" s="3">
        <f t="shared" si="77"/>
        <v>5.9251655732023817E-2</v>
      </c>
      <c r="I150" s="3">
        <f t="shared" si="77"/>
        <v>5.9251655732023817E-2</v>
      </c>
      <c r="J150" s="3">
        <f t="shared" si="77"/>
        <v>5.9251655732023817E-2</v>
      </c>
      <c r="K150" s="3">
        <f t="shared" si="77"/>
        <v>5.9251655732023817E-2</v>
      </c>
      <c r="L150" s="3">
        <f t="shared" si="77"/>
        <v>5.9251655732023817E-2</v>
      </c>
      <c r="M150" s="3">
        <f t="shared" si="77"/>
        <v>5.9251655732023817E-2</v>
      </c>
      <c r="N150" s="3">
        <f t="shared" si="77"/>
        <v>5.9251655732023817E-2</v>
      </c>
      <c r="O150" s="3">
        <f t="shared" si="77"/>
        <v>5.925165573202381E-2</v>
      </c>
      <c r="P150" s="3">
        <f t="shared" si="77"/>
        <v>5.9251655732023727E-2</v>
      </c>
      <c r="Q150" s="3">
        <f t="shared" si="77"/>
        <v>5.9251655732022915E-2</v>
      </c>
      <c r="R150" s="3">
        <f t="shared" si="77"/>
        <v>5.9251655732014769E-2</v>
      </c>
      <c r="S150" s="3">
        <f t="shared" si="77"/>
        <v>5.9251655731933382E-2</v>
      </c>
      <c r="T150" s="3">
        <f t="shared" si="77"/>
        <v>5.9251655731119526E-2</v>
      </c>
      <c r="U150" s="3">
        <f t="shared" si="77"/>
        <v>5.925165572298087E-2</v>
      </c>
      <c r="V150" s="3">
        <f t="shared" si="77"/>
        <v>5.9251655641594347E-2</v>
      </c>
      <c r="W150" s="3">
        <f t="shared" si="77"/>
        <v>5.9251654827729087E-2</v>
      </c>
      <c r="X150" s="3">
        <f t="shared" si="77"/>
        <v>5.925164668907712E-2</v>
      </c>
      <c r="Y150" s="3">
        <f t="shared" si="77"/>
        <v>5.9251565302618929E-2</v>
      </c>
      <c r="Z150" s="3">
        <f t="shared" si="77"/>
        <v>5.9250751444185519E-2</v>
      </c>
      <c r="AA150" s="3">
        <f t="shared" ref="AA150" si="78">$C36*EXP(-AA$129/$A36/EXP(-$B$126))</f>
        <v>5.9242613474663933E-2</v>
      </c>
      <c r="AB150" s="3">
        <f t="shared" si="67"/>
        <v>5.9161295229465262E-2</v>
      </c>
      <c r="AC150" s="3">
        <f t="shared" si="67"/>
        <v>5.8354226663341092E-2</v>
      </c>
      <c r="AD150" s="3">
        <f t="shared" si="67"/>
        <v>5.0864966455649446E-2</v>
      </c>
      <c r="AE150" s="3">
        <f t="shared" si="67"/>
        <v>1.2879031547694278E-2</v>
      </c>
      <c r="AF150" s="3">
        <f t="shared" si="67"/>
        <v>1.3948504696000296E-8</v>
      </c>
    </row>
    <row r="151" spans="1:32" x14ac:dyDescent="0.25">
      <c r="B151" s="3">
        <f t="shared" ref="B151:Z151" si="79">$C37*EXP(-B$129/$A37/EXP(-$B$126))</f>
        <v>5.2327746974864794E-2</v>
      </c>
      <c r="C151" s="3">
        <f t="shared" si="79"/>
        <v>5.2327746974864794E-2</v>
      </c>
      <c r="D151" s="3">
        <f t="shared" si="79"/>
        <v>5.2327746974864794E-2</v>
      </c>
      <c r="E151" s="3">
        <f t="shared" si="79"/>
        <v>5.2327746974864794E-2</v>
      </c>
      <c r="F151" s="3">
        <f t="shared" si="79"/>
        <v>5.2327746974864794E-2</v>
      </c>
      <c r="G151" s="3">
        <f t="shared" si="79"/>
        <v>5.2327746974864794E-2</v>
      </c>
      <c r="H151" s="3">
        <f t="shared" si="79"/>
        <v>5.2327746974864794E-2</v>
      </c>
      <c r="I151" s="3">
        <f t="shared" si="79"/>
        <v>5.2327746974864794E-2</v>
      </c>
      <c r="J151" s="3">
        <f t="shared" si="79"/>
        <v>5.2327746974864794E-2</v>
      </c>
      <c r="K151" s="3">
        <f t="shared" si="79"/>
        <v>5.2327746974864794E-2</v>
      </c>
      <c r="L151" s="3">
        <f t="shared" si="79"/>
        <v>5.2327746974864794E-2</v>
      </c>
      <c r="M151" s="3">
        <f t="shared" si="79"/>
        <v>5.2327746974864794E-2</v>
      </c>
      <c r="N151" s="3">
        <f t="shared" si="79"/>
        <v>5.2327746974864794E-2</v>
      </c>
      <c r="O151" s="3">
        <f t="shared" si="79"/>
        <v>5.2327746974864794E-2</v>
      </c>
      <c r="P151" s="3">
        <f t="shared" si="79"/>
        <v>5.2327746974864787E-2</v>
      </c>
      <c r="Q151" s="3">
        <f t="shared" si="79"/>
        <v>5.2327746974864725E-2</v>
      </c>
      <c r="R151" s="3">
        <f t="shared" si="79"/>
        <v>5.2327746974864073E-2</v>
      </c>
      <c r="S151" s="3">
        <f t="shared" si="79"/>
        <v>5.2327746974857592E-2</v>
      </c>
      <c r="T151" s="3">
        <f t="shared" si="79"/>
        <v>5.2327746974792748E-2</v>
      </c>
      <c r="U151" s="3">
        <f t="shared" si="79"/>
        <v>5.2327746974144371E-2</v>
      </c>
      <c r="V151" s="3">
        <f t="shared" si="79"/>
        <v>5.2327746967660557E-2</v>
      </c>
      <c r="W151" s="3">
        <f t="shared" si="79"/>
        <v>5.2327746902822395E-2</v>
      </c>
      <c r="X151" s="3">
        <f t="shared" si="79"/>
        <v>5.2327746254440852E-2</v>
      </c>
      <c r="Y151" s="3">
        <f t="shared" si="79"/>
        <v>5.2327739770625818E-2</v>
      </c>
      <c r="Z151" s="3">
        <f t="shared" si="79"/>
        <v>5.2327674932519677E-2</v>
      </c>
      <c r="AA151" s="3">
        <f t="shared" ref="AA151" si="80">$C37*EXP(-AA$129/$A37/EXP(-$B$126))</f>
        <v>5.2327026555876947E-2</v>
      </c>
      <c r="AB151" s="3">
        <f t="shared" si="67"/>
        <v>5.2320543231294474E-2</v>
      </c>
      <c r="AC151" s="3">
        <f t="shared" si="67"/>
        <v>5.225575414970806E-2</v>
      </c>
      <c r="AD151" s="3">
        <f t="shared" si="67"/>
        <v>5.1612259577123364E-2</v>
      </c>
      <c r="AE151" s="3">
        <f t="shared" si="67"/>
        <v>4.5597433963379654E-2</v>
      </c>
      <c r="AF151" s="3">
        <f t="shared" si="67"/>
        <v>1.3207350550997638E-2</v>
      </c>
    </row>
    <row r="152" spans="1:32" x14ac:dyDescent="0.25">
      <c r="B152" s="3">
        <f t="shared" ref="B152:Z152" si="81">$C38*EXP(-B$129/$A38/EXP(-$B$126))</f>
        <v>1.7967891452015796E-2</v>
      </c>
      <c r="C152" s="3">
        <f t="shared" si="81"/>
        <v>1.7967891452015796E-2</v>
      </c>
      <c r="D152" s="3">
        <f t="shared" si="81"/>
        <v>1.7967891452015796E-2</v>
      </c>
      <c r="E152" s="3">
        <f t="shared" si="81"/>
        <v>1.7967891452015796E-2</v>
      </c>
      <c r="F152" s="3">
        <f t="shared" si="81"/>
        <v>1.7967891452015796E-2</v>
      </c>
      <c r="G152" s="3">
        <f t="shared" si="81"/>
        <v>1.7967891452015796E-2</v>
      </c>
      <c r="H152" s="3">
        <f t="shared" si="81"/>
        <v>1.7967891452015796E-2</v>
      </c>
      <c r="I152" s="3">
        <f t="shared" si="81"/>
        <v>1.7967891452015796E-2</v>
      </c>
      <c r="J152" s="3">
        <f t="shared" si="81"/>
        <v>1.7967891452015796E-2</v>
      </c>
      <c r="K152" s="3">
        <f t="shared" si="81"/>
        <v>1.7967891452015796E-2</v>
      </c>
      <c r="L152" s="3">
        <f t="shared" si="81"/>
        <v>1.7967891452015796E-2</v>
      </c>
      <c r="M152" s="3">
        <f t="shared" si="81"/>
        <v>1.7967891452015796E-2</v>
      </c>
      <c r="N152" s="3">
        <f t="shared" si="81"/>
        <v>1.7967891452015796E-2</v>
      </c>
      <c r="O152" s="3">
        <f t="shared" si="81"/>
        <v>1.7967891452015796E-2</v>
      </c>
      <c r="P152" s="3">
        <f t="shared" si="81"/>
        <v>1.7967891452015796E-2</v>
      </c>
      <c r="Q152" s="3">
        <f t="shared" si="81"/>
        <v>1.7967891452015793E-2</v>
      </c>
      <c r="R152" s="3">
        <f t="shared" si="81"/>
        <v>1.7967891452015775E-2</v>
      </c>
      <c r="S152" s="3">
        <f t="shared" si="81"/>
        <v>1.7967891452015574E-2</v>
      </c>
      <c r="T152" s="3">
        <f t="shared" si="81"/>
        <v>1.7967891452013565E-2</v>
      </c>
      <c r="U152" s="3">
        <f t="shared" si="81"/>
        <v>1.7967891451993481E-2</v>
      </c>
      <c r="V152" s="3">
        <f t="shared" si="81"/>
        <v>1.7967891451792645E-2</v>
      </c>
      <c r="W152" s="3">
        <f t="shared" si="81"/>
        <v>1.7967891449784282E-2</v>
      </c>
      <c r="X152" s="3">
        <f t="shared" si="81"/>
        <v>1.7967891429700646E-2</v>
      </c>
      <c r="Y152" s="3">
        <f t="shared" si="81"/>
        <v>1.7967891228864295E-2</v>
      </c>
      <c r="Z152" s="3">
        <f t="shared" si="81"/>
        <v>1.7967889220500934E-2</v>
      </c>
      <c r="AA152" s="3">
        <f t="shared" ref="AA152" si="82">$C38*EXP(-AA$129/$A38/EXP(-$B$126))</f>
        <v>1.7967869136879651E-2</v>
      </c>
      <c r="AB152" s="3">
        <f t="shared" si="67"/>
        <v>1.7967668301901496E-2</v>
      </c>
      <c r="AC152" s="3">
        <f t="shared" si="67"/>
        <v>1.7965660075581067E-2</v>
      </c>
      <c r="AD152" s="3">
        <f t="shared" si="67"/>
        <v>1.7945590153385628E-2</v>
      </c>
      <c r="AE152" s="3">
        <f t="shared" si="67"/>
        <v>1.774611994369403E-2</v>
      </c>
      <c r="AF152" s="3">
        <f t="shared" si="67"/>
        <v>1.5869384690111225E-2</v>
      </c>
    </row>
    <row r="153" spans="1:32" x14ac:dyDescent="0.25">
      <c r="B153" s="3">
        <f t="shared" ref="B153:Z153" si="83">$C39*EXP(-B$129/$A39/EXP(-$B$126))</f>
        <v>4.123109123431553E-2</v>
      </c>
      <c r="C153" s="3">
        <f t="shared" si="83"/>
        <v>4.123109123431553E-2</v>
      </c>
      <c r="D153" s="3">
        <f t="shared" si="83"/>
        <v>4.123109123431553E-2</v>
      </c>
      <c r="E153" s="3">
        <f t="shared" si="83"/>
        <v>4.123109123431553E-2</v>
      </c>
      <c r="F153" s="3">
        <f t="shared" si="83"/>
        <v>4.123109123431553E-2</v>
      </c>
      <c r="G153" s="3">
        <f t="shared" si="83"/>
        <v>4.123109123431553E-2</v>
      </c>
      <c r="H153" s="3">
        <f t="shared" si="83"/>
        <v>4.123109123431553E-2</v>
      </c>
      <c r="I153" s="3">
        <f t="shared" si="83"/>
        <v>4.123109123431553E-2</v>
      </c>
      <c r="J153" s="3">
        <f t="shared" si="83"/>
        <v>4.123109123431553E-2</v>
      </c>
      <c r="K153" s="3">
        <f t="shared" si="83"/>
        <v>4.123109123431553E-2</v>
      </c>
      <c r="L153" s="3">
        <f t="shared" si="83"/>
        <v>4.123109123431553E-2</v>
      </c>
      <c r="M153" s="3">
        <f t="shared" si="83"/>
        <v>4.123109123431553E-2</v>
      </c>
      <c r="N153" s="3">
        <f t="shared" si="83"/>
        <v>4.123109123431553E-2</v>
      </c>
      <c r="O153" s="3">
        <f t="shared" si="83"/>
        <v>4.123109123431553E-2</v>
      </c>
      <c r="P153" s="3">
        <f t="shared" si="83"/>
        <v>4.123109123431553E-2</v>
      </c>
      <c r="Q153" s="3">
        <f t="shared" si="83"/>
        <v>4.123109123431553E-2</v>
      </c>
      <c r="R153" s="3">
        <f t="shared" si="83"/>
        <v>4.1231091234315516E-2</v>
      </c>
      <c r="S153" s="3">
        <f t="shared" si="83"/>
        <v>4.1231091234315391E-2</v>
      </c>
      <c r="T153" s="3">
        <f t="shared" si="83"/>
        <v>4.1231091234314114E-2</v>
      </c>
      <c r="U153" s="3">
        <f t="shared" si="83"/>
        <v>4.1231091234301367E-2</v>
      </c>
      <c r="V153" s="3">
        <f t="shared" si="83"/>
        <v>4.1231091234173907E-2</v>
      </c>
      <c r="W153" s="3">
        <f t="shared" si="83"/>
        <v>4.1231091232899281E-2</v>
      </c>
      <c r="X153" s="3">
        <f t="shared" si="83"/>
        <v>4.1231091220153018E-2</v>
      </c>
      <c r="Y153" s="3">
        <f t="shared" si="83"/>
        <v>4.1231091092690374E-2</v>
      </c>
      <c r="Z153" s="3">
        <f t="shared" si="83"/>
        <v>4.1231089818064046E-2</v>
      </c>
      <c r="AA153" s="3">
        <f t="shared" ref="AA153" si="84">$C39*EXP(-AA$129/$A39/EXP(-$B$126))</f>
        <v>4.123107707180286E-2</v>
      </c>
      <c r="AB153" s="3">
        <f t="shared" si="67"/>
        <v>4.1230949609407701E-2</v>
      </c>
      <c r="AC153" s="3">
        <f t="shared" si="67"/>
        <v>4.1229675007128111E-2</v>
      </c>
      <c r="AD153" s="3">
        <f t="shared" si="67"/>
        <v>4.1216931151280028E-2</v>
      </c>
      <c r="AE153" s="3">
        <f t="shared" si="67"/>
        <v>4.108970903992696E-2</v>
      </c>
      <c r="AF153" s="3">
        <f t="shared" si="67"/>
        <v>3.9838887095331198E-2</v>
      </c>
    </row>
    <row r="154" spans="1:32" x14ac:dyDescent="0.25">
      <c r="B154" s="3">
        <f t="shared" ref="B154:Z154" si="85">$C40*EXP(-B$129/$A40/EXP(-$B$126))</f>
        <v>3.4610685556715946E-2</v>
      </c>
      <c r="C154" s="3">
        <f t="shared" si="85"/>
        <v>3.4610685556715946E-2</v>
      </c>
      <c r="D154" s="3">
        <f t="shared" si="85"/>
        <v>3.4610685556715946E-2</v>
      </c>
      <c r="E154" s="3">
        <f t="shared" si="85"/>
        <v>3.4610685556715946E-2</v>
      </c>
      <c r="F154" s="3">
        <f t="shared" si="85"/>
        <v>3.4610685556715946E-2</v>
      </c>
      <c r="G154" s="3">
        <f t="shared" si="85"/>
        <v>3.4610685556715946E-2</v>
      </c>
      <c r="H154" s="3">
        <f t="shared" si="85"/>
        <v>3.4610685556715946E-2</v>
      </c>
      <c r="I154" s="3">
        <f t="shared" si="85"/>
        <v>3.4610685556715946E-2</v>
      </c>
      <c r="J154" s="3">
        <f t="shared" si="85"/>
        <v>3.4610685556715946E-2</v>
      </c>
      <c r="K154" s="3">
        <f t="shared" si="85"/>
        <v>3.4610685556715946E-2</v>
      </c>
      <c r="L154" s="3">
        <f t="shared" si="85"/>
        <v>3.4610685556715946E-2</v>
      </c>
      <c r="M154" s="3">
        <f t="shared" si="85"/>
        <v>3.4610685556715946E-2</v>
      </c>
      <c r="N154" s="3">
        <f t="shared" si="85"/>
        <v>3.4610685556715946E-2</v>
      </c>
      <c r="O154" s="3">
        <f t="shared" si="85"/>
        <v>3.4610685556715946E-2</v>
      </c>
      <c r="P154" s="3">
        <f t="shared" si="85"/>
        <v>3.4610685556715946E-2</v>
      </c>
      <c r="Q154" s="3">
        <f t="shared" si="85"/>
        <v>3.4610685556715946E-2</v>
      </c>
      <c r="R154" s="3">
        <f t="shared" si="85"/>
        <v>3.4610685556715946E-2</v>
      </c>
      <c r="S154" s="3">
        <f t="shared" si="85"/>
        <v>3.4610685556715932E-2</v>
      </c>
      <c r="T154" s="3">
        <f t="shared" si="85"/>
        <v>3.4610685556715828E-2</v>
      </c>
      <c r="U154" s="3">
        <f t="shared" si="85"/>
        <v>3.461068555671476E-2</v>
      </c>
      <c r="V154" s="3">
        <f t="shared" si="85"/>
        <v>3.461068555670406E-2</v>
      </c>
      <c r="W154" s="3">
        <f t="shared" si="85"/>
        <v>3.4610685556597062E-2</v>
      </c>
      <c r="X154" s="3">
        <f t="shared" si="85"/>
        <v>3.4610685555527099E-2</v>
      </c>
      <c r="Y154" s="3">
        <f t="shared" si="85"/>
        <v>3.4610685544827484E-2</v>
      </c>
      <c r="Z154" s="3">
        <f t="shared" si="85"/>
        <v>3.4610685437831301E-2</v>
      </c>
      <c r="AA154" s="3">
        <f t="shared" ref="AA154:AF154" si="86">$C40*EXP(-AA$129/$A40/EXP(-$B$126))</f>
        <v>3.4610684367869536E-2</v>
      </c>
      <c r="AB154" s="3">
        <f t="shared" si="86"/>
        <v>3.4610673668253669E-2</v>
      </c>
      <c r="AC154" s="3">
        <f t="shared" si="86"/>
        <v>3.4610566672276917E-2</v>
      </c>
      <c r="AD154" s="3">
        <f t="shared" si="86"/>
        <v>3.4609496730701565E-2</v>
      </c>
      <c r="AE154" s="3">
        <f t="shared" si="86"/>
        <v>3.4598799133952758E-2</v>
      </c>
      <c r="AF154" s="3">
        <f t="shared" si="86"/>
        <v>3.4492004859047957E-2</v>
      </c>
    </row>
    <row r="155" spans="1:32" x14ac:dyDescent="0.25">
      <c r="B155" s="3">
        <f t="shared" ref="B155:Z155" si="87">$C41*EXP(-B$129/$A41/EXP(-$B$126))</f>
        <v>4.2854236942630193E-2</v>
      </c>
      <c r="C155" s="3">
        <f t="shared" si="87"/>
        <v>4.2854236942630193E-2</v>
      </c>
      <c r="D155" s="3">
        <f t="shared" si="87"/>
        <v>4.2854236942630193E-2</v>
      </c>
      <c r="E155" s="3">
        <f t="shared" si="87"/>
        <v>4.2854236942630193E-2</v>
      </c>
      <c r="F155" s="3">
        <f t="shared" si="87"/>
        <v>4.2854236942630193E-2</v>
      </c>
      <c r="G155" s="3">
        <f t="shared" si="87"/>
        <v>4.2854236942630193E-2</v>
      </c>
      <c r="H155" s="3">
        <f t="shared" si="87"/>
        <v>4.2854236942630193E-2</v>
      </c>
      <c r="I155" s="3">
        <f t="shared" si="87"/>
        <v>4.2854236942630193E-2</v>
      </c>
      <c r="J155" s="3">
        <f t="shared" si="87"/>
        <v>4.2854236942630193E-2</v>
      </c>
      <c r="K155" s="3">
        <f t="shared" si="87"/>
        <v>4.2854236942630193E-2</v>
      </c>
      <c r="L155" s="3">
        <f t="shared" si="87"/>
        <v>4.2854236942630193E-2</v>
      </c>
      <c r="M155" s="3">
        <f t="shared" si="87"/>
        <v>4.2854236942630193E-2</v>
      </c>
      <c r="N155" s="3">
        <f t="shared" si="87"/>
        <v>4.2854236942630193E-2</v>
      </c>
      <c r="O155" s="3">
        <f t="shared" si="87"/>
        <v>4.2854236942630193E-2</v>
      </c>
      <c r="P155" s="3">
        <f t="shared" si="87"/>
        <v>4.2854236942630193E-2</v>
      </c>
      <c r="Q155" s="3">
        <f t="shared" si="87"/>
        <v>4.2854236942630193E-2</v>
      </c>
      <c r="R155" s="3">
        <f t="shared" si="87"/>
        <v>4.2854236942630193E-2</v>
      </c>
      <c r="S155" s="3">
        <f t="shared" si="87"/>
        <v>4.2854236942630193E-2</v>
      </c>
      <c r="T155" s="3">
        <f t="shared" si="87"/>
        <v>4.2854236942630179E-2</v>
      </c>
      <c r="U155" s="3">
        <f t="shared" si="87"/>
        <v>4.2854236942630047E-2</v>
      </c>
      <c r="V155" s="3">
        <f t="shared" si="87"/>
        <v>4.2854236942628722E-2</v>
      </c>
      <c r="W155" s="3">
        <f t="shared" si="87"/>
        <v>4.2854236942615476E-2</v>
      </c>
      <c r="X155" s="3">
        <f t="shared" si="87"/>
        <v>4.2854236942482991E-2</v>
      </c>
      <c r="Y155" s="3">
        <f t="shared" si="87"/>
        <v>4.285423694115819E-2</v>
      </c>
      <c r="Z155" s="3">
        <f t="shared" si="87"/>
        <v>4.2854236927910141E-2</v>
      </c>
      <c r="AA155" s="3">
        <f t="shared" ref="AA155:AF155" si="88">$C41*EXP(-AA$129/$A41/EXP(-$B$126))</f>
        <v>4.2854236795429677E-2</v>
      </c>
      <c r="AB155" s="3">
        <f t="shared" si="88"/>
        <v>4.2854235470625092E-2</v>
      </c>
      <c r="AC155" s="3">
        <f t="shared" si="88"/>
        <v>4.2854222222581423E-2</v>
      </c>
      <c r="AD155" s="3">
        <f t="shared" si="88"/>
        <v>4.2854089742370018E-2</v>
      </c>
      <c r="AE155" s="3">
        <f t="shared" si="88"/>
        <v>4.2852764962781072E-2</v>
      </c>
      <c r="AF155" s="3">
        <f t="shared" si="88"/>
        <v>4.2839519419145738E-2</v>
      </c>
    </row>
    <row r="156" spans="1:32" x14ac:dyDescent="0.25">
      <c r="B156" s="3">
        <f t="shared" ref="B156:Z156" si="89">$C42*EXP(-B$129/$A42/EXP(-$B$126))</f>
        <v>3.2192937025108795E-2</v>
      </c>
      <c r="C156" s="3">
        <f t="shared" si="89"/>
        <v>3.2192937025108795E-2</v>
      </c>
      <c r="D156" s="3">
        <f t="shared" si="89"/>
        <v>3.2192937025108795E-2</v>
      </c>
      <c r="E156" s="3">
        <f t="shared" si="89"/>
        <v>3.2192937025108795E-2</v>
      </c>
      <c r="F156" s="3">
        <f t="shared" si="89"/>
        <v>3.2192937025108795E-2</v>
      </c>
      <c r="G156" s="3">
        <f t="shared" si="89"/>
        <v>3.2192937025108795E-2</v>
      </c>
      <c r="H156" s="3">
        <f t="shared" si="89"/>
        <v>3.2192937025108795E-2</v>
      </c>
      <c r="I156" s="3">
        <f t="shared" si="89"/>
        <v>3.2192937025108795E-2</v>
      </c>
      <c r="J156" s="3">
        <f t="shared" si="89"/>
        <v>3.2192937025108795E-2</v>
      </c>
      <c r="K156" s="3">
        <f t="shared" si="89"/>
        <v>3.2192937025108795E-2</v>
      </c>
      <c r="L156" s="3">
        <f t="shared" si="89"/>
        <v>3.2192937025108795E-2</v>
      </c>
      <c r="M156" s="3">
        <f t="shared" si="89"/>
        <v>3.2192937025108795E-2</v>
      </c>
      <c r="N156" s="3">
        <f t="shared" si="89"/>
        <v>3.2192937025108795E-2</v>
      </c>
      <c r="O156" s="3">
        <f t="shared" si="89"/>
        <v>3.2192937025108795E-2</v>
      </c>
      <c r="P156" s="3">
        <f t="shared" si="89"/>
        <v>3.2192937025108795E-2</v>
      </c>
      <c r="Q156" s="3">
        <f t="shared" si="89"/>
        <v>3.2192937025108795E-2</v>
      </c>
      <c r="R156" s="3">
        <f t="shared" si="89"/>
        <v>3.2192937025108795E-2</v>
      </c>
      <c r="S156" s="3">
        <f t="shared" si="89"/>
        <v>3.2192937025108795E-2</v>
      </c>
      <c r="T156" s="3">
        <f t="shared" si="89"/>
        <v>3.2192937025108795E-2</v>
      </c>
      <c r="U156" s="3">
        <f t="shared" si="89"/>
        <v>3.2192937025108781E-2</v>
      </c>
      <c r="V156" s="3">
        <f t="shared" si="89"/>
        <v>3.2192937025108684E-2</v>
      </c>
      <c r="W156" s="3">
        <f t="shared" si="89"/>
        <v>3.2192937025107692E-2</v>
      </c>
      <c r="X156" s="3">
        <f t="shared" si="89"/>
        <v>3.2192937025097734E-2</v>
      </c>
      <c r="Y156" s="3">
        <f t="shared" si="89"/>
        <v>3.2192937024998217E-2</v>
      </c>
      <c r="Z156" s="3">
        <f t="shared" si="89"/>
        <v>3.2192937024002999E-2</v>
      </c>
      <c r="AA156" s="3">
        <f t="shared" ref="AA156:AF156" si="90">$C42*EXP(-AA$129/$A42/EXP(-$B$126))</f>
        <v>3.2192937014050807E-2</v>
      </c>
      <c r="AB156" s="3">
        <f t="shared" si="90"/>
        <v>3.2192936914528902E-2</v>
      </c>
      <c r="AC156" s="3">
        <f t="shared" si="90"/>
        <v>3.2192935919309905E-2</v>
      </c>
      <c r="AD156" s="3">
        <f t="shared" si="90"/>
        <v>3.2192925967121609E-2</v>
      </c>
      <c r="AE156" s="3">
        <f t="shared" si="90"/>
        <v>3.2192826445407836E-2</v>
      </c>
      <c r="AF156" s="3">
        <f t="shared" si="90"/>
        <v>3.2191831245191434E-2</v>
      </c>
    </row>
    <row r="157" spans="1:32" x14ac:dyDescent="0.25">
      <c r="B157" s="3">
        <f t="shared" ref="B157:Z157" si="91">$C43*EXP(-B$129/$A43/EXP(-$B$126))</f>
        <v>2.5751010749186929E-2</v>
      </c>
      <c r="C157" s="3">
        <f t="shared" si="91"/>
        <v>2.5751010749186929E-2</v>
      </c>
      <c r="D157" s="3">
        <f t="shared" si="91"/>
        <v>2.5751010749186929E-2</v>
      </c>
      <c r="E157" s="3">
        <f t="shared" si="91"/>
        <v>2.5751010749186929E-2</v>
      </c>
      <c r="F157" s="3">
        <f t="shared" si="91"/>
        <v>2.5751010749186929E-2</v>
      </c>
      <c r="G157" s="3">
        <f t="shared" si="91"/>
        <v>2.5751010749186929E-2</v>
      </c>
      <c r="H157" s="3">
        <f t="shared" si="91"/>
        <v>2.5751010749186929E-2</v>
      </c>
      <c r="I157" s="3">
        <f t="shared" si="91"/>
        <v>2.5751010749186929E-2</v>
      </c>
      <c r="J157" s="3">
        <f t="shared" si="91"/>
        <v>2.5751010749186929E-2</v>
      </c>
      <c r="K157" s="3">
        <f t="shared" si="91"/>
        <v>2.5751010749186929E-2</v>
      </c>
      <c r="L157" s="3">
        <f t="shared" si="91"/>
        <v>2.5751010749186929E-2</v>
      </c>
      <c r="M157" s="3">
        <f t="shared" si="91"/>
        <v>2.5751010749186929E-2</v>
      </c>
      <c r="N157" s="3">
        <f t="shared" si="91"/>
        <v>2.5751010749186929E-2</v>
      </c>
      <c r="O157" s="3">
        <f t="shared" si="91"/>
        <v>2.5751010749186929E-2</v>
      </c>
      <c r="P157" s="3">
        <f t="shared" si="91"/>
        <v>2.5751010749186929E-2</v>
      </c>
      <c r="Q157" s="3">
        <f t="shared" si="91"/>
        <v>2.5751010749186929E-2</v>
      </c>
      <c r="R157" s="3">
        <f t="shared" si="91"/>
        <v>2.5751010749186929E-2</v>
      </c>
      <c r="S157" s="3">
        <f t="shared" si="91"/>
        <v>2.5751010749186929E-2</v>
      </c>
      <c r="T157" s="3">
        <f t="shared" si="91"/>
        <v>2.5751010749186929E-2</v>
      </c>
      <c r="U157" s="3">
        <f t="shared" si="91"/>
        <v>2.5751010749186929E-2</v>
      </c>
      <c r="V157" s="3">
        <f t="shared" si="91"/>
        <v>2.5751010749186922E-2</v>
      </c>
      <c r="W157" s="3">
        <f t="shared" si="91"/>
        <v>2.5751010749186839E-2</v>
      </c>
      <c r="X157" s="3">
        <f t="shared" si="91"/>
        <v>2.5751010749186044E-2</v>
      </c>
      <c r="Y157" s="3">
        <f t="shared" si="91"/>
        <v>2.5751010749178082E-2</v>
      </c>
      <c r="Z157" s="3">
        <f t="shared" si="91"/>
        <v>2.5751010749098475E-2</v>
      </c>
      <c r="AA157" s="3">
        <f t="shared" ref="AA157:AF157" si="92">$C43*EXP(-AA$129/$A43/EXP(-$B$126))</f>
        <v>2.5751010748302404E-2</v>
      </c>
      <c r="AB157" s="3">
        <f t="shared" si="92"/>
        <v>2.5751010740341685E-2</v>
      </c>
      <c r="AC157" s="3">
        <f t="shared" si="92"/>
        <v>2.5751010660734486E-2</v>
      </c>
      <c r="AD157" s="3">
        <f t="shared" si="92"/>
        <v>2.5751009864662507E-2</v>
      </c>
      <c r="AE157" s="3">
        <f t="shared" si="92"/>
        <v>2.5751001903944051E-2</v>
      </c>
      <c r="AF157" s="3">
        <f t="shared" si="92"/>
        <v>2.5750922296894869E-2</v>
      </c>
    </row>
    <row r="158" spans="1:32" x14ac:dyDescent="0.25">
      <c r="B158" s="3">
        <f t="shared" ref="B158:Z158" si="93">$C44*EXP(-B$129/$A44/EXP(-$B$126))</f>
        <v>1.2586213635594824E-2</v>
      </c>
      <c r="C158" s="3">
        <f t="shared" si="93"/>
        <v>1.2586213635594824E-2</v>
      </c>
      <c r="D158" s="3">
        <f t="shared" si="93"/>
        <v>1.2586213635594824E-2</v>
      </c>
      <c r="E158" s="3">
        <f t="shared" si="93"/>
        <v>1.2586213635594824E-2</v>
      </c>
      <c r="F158" s="3">
        <f t="shared" si="93"/>
        <v>1.2586213635594824E-2</v>
      </c>
      <c r="G158" s="3">
        <f t="shared" si="93"/>
        <v>1.2586213635594824E-2</v>
      </c>
      <c r="H158" s="3">
        <f t="shared" si="93"/>
        <v>1.2586213635594824E-2</v>
      </c>
      <c r="I158" s="3">
        <f t="shared" si="93"/>
        <v>1.2586213635594824E-2</v>
      </c>
      <c r="J158" s="3">
        <f t="shared" si="93"/>
        <v>1.2586213635594824E-2</v>
      </c>
      <c r="K158" s="3">
        <f t="shared" si="93"/>
        <v>1.2586213635594824E-2</v>
      </c>
      <c r="L158" s="3">
        <f t="shared" si="93"/>
        <v>1.2586213635594824E-2</v>
      </c>
      <c r="M158" s="3">
        <f t="shared" si="93"/>
        <v>1.2586213635594824E-2</v>
      </c>
      <c r="N158" s="3">
        <f t="shared" si="93"/>
        <v>1.2586213635594824E-2</v>
      </c>
      <c r="O158" s="3">
        <f t="shared" si="93"/>
        <v>1.2586213635594824E-2</v>
      </c>
      <c r="P158" s="3">
        <f t="shared" si="93"/>
        <v>1.2586213635594824E-2</v>
      </c>
      <c r="Q158" s="3">
        <f t="shared" si="93"/>
        <v>1.2586213635594824E-2</v>
      </c>
      <c r="R158" s="3">
        <f t="shared" si="93"/>
        <v>1.2586213635594824E-2</v>
      </c>
      <c r="S158" s="3">
        <f t="shared" si="93"/>
        <v>1.2586213635594824E-2</v>
      </c>
      <c r="T158" s="3">
        <f t="shared" si="93"/>
        <v>1.2586213635594824E-2</v>
      </c>
      <c r="U158" s="3">
        <f t="shared" si="93"/>
        <v>1.2586213635594824E-2</v>
      </c>
      <c r="V158" s="3">
        <f t="shared" si="93"/>
        <v>1.2586213635594824E-2</v>
      </c>
      <c r="W158" s="3">
        <f t="shared" si="93"/>
        <v>1.258621363559482E-2</v>
      </c>
      <c r="X158" s="3">
        <f t="shared" si="93"/>
        <v>1.2586213635594781E-2</v>
      </c>
      <c r="Y158" s="3">
        <f t="shared" si="93"/>
        <v>1.2586213635594392E-2</v>
      </c>
      <c r="Z158" s="3">
        <f t="shared" si="93"/>
        <v>1.2586213635590501E-2</v>
      </c>
      <c r="AA158" s="3">
        <f t="shared" ref="AA158:AF158" si="94">$C44*EXP(-AA$129/$A44/EXP(-$B$126))</f>
        <v>1.2586213635551591E-2</v>
      </c>
      <c r="AB158" s="3">
        <f t="shared" si="94"/>
        <v>1.25862136351625E-2</v>
      </c>
      <c r="AC158" s="3">
        <f t="shared" si="94"/>
        <v>1.2586213631271572E-2</v>
      </c>
      <c r="AD158" s="3">
        <f t="shared" si="94"/>
        <v>1.2586213592362294E-2</v>
      </c>
      <c r="AE158" s="3">
        <f t="shared" si="94"/>
        <v>1.2586213203269527E-2</v>
      </c>
      <c r="AF158" s="3">
        <f t="shared" si="94"/>
        <v>1.2586209312342521E-2</v>
      </c>
    </row>
    <row r="159" spans="1:32" x14ac:dyDescent="0.25">
      <c r="A159" s="11" t="s">
        <v>75</v>
      </c>
      <c r="B159" s="3">
        <f t="shared" ref="B159:Z159" si="95">$C45*EXP(-B$129/$A45/EXP(-$B$126))</f>
        <v>6.9130744193958088E-3</v>
      </c>
      <c r="C159" s="3">
        <f t="shared" si="95"/>
        <v>6.9130744193958088E-3</v>
      </c>
      <c r="D159" s="3">
        <f t="shared" si="95"/>
        <v>6.9130744193958088E-3</v>
      </c>
      <c r="E159" s="3">
        <f t="shared" si="95"/>
        <v>6.9130744193958088E-3</v>
      </c>
      <c r="F159" s="3">
        <f t="shared" si="95"/>
        <v>6.9130744193958088E-3</v>
      </c>
      <c r="G159" s="3">
        <f t="shared" si="95"/>
        <v>6.9130744193958088E-3</v>
      </c>
      <c r="H159" s="3">
        <f t="shared" si="95"/>
        <v>6.9130744193958088E-3</v>
      </c>
      <c r="I159" s="3">
        <f t="shared" si="95"/>
        <v>6.9130744193958088E-3</v>
      </c>
      <c r="J159" s="3">
        <f t="shared" si="95"/>
        <v>6.9130744193958088E-3</v>
      </c>
      <c r="K159" s="3">
        <f t="shared" si="95"/>
        <v>6.9130744193958088E-3</v>
      </c>
      <c r="L159" s="3">
        <f t="shared" si="95"/>
        <v>6.9130744193958088E-3</v>
      </c>
      <c r="M159" s="3">
        <f t="shared" si="95"/>
        <v>6.9130744193958088E-3</v>
      </c>
      <c r="N159" s="3">
        <f t="shared" si="95"/>
        <v>6.9130744193958088E-3</v>
      </c>
      <c r="O159" s="3">
        <f t="shared" si="95"/>
        <v>6.9130744193958088E-3</v>
      </c>
      <c r="P159" s="3">
        <f t="shared" si="95"/>
        <v>6.9130744193958088E-3</v>
      </c>
      <c r="Q159" s="3">
        <f t="shared" si="95"/>
        <v>6.9130744193958088E-3</v>
      </c>
      <c r="R159" s="3">
        <f t="shared" si="95"/>
        <v>6.9130744193958088E-3</v>
      </c>
      <c r="S159" s="3">
        <f t="shared" si="95"/>
        <v>6.9130744193958088E-3</v>
      </c>
      <c r="T159" s="3">
        <f t="shared" si="95"/>
        <v>6.9130744193958088E-3</v>
      </c>
      <c r="U159" s="3">
        <f t="shared" si="95"/>
        <v>6.9130744193958088E-3</v>
      </c>
      <c r="V159" s="3">
        <f t="shared" si="95"/>
        <v>6.9130744193958088E-3</v>
      </c>
      <c r="W159" s="3">
        <f t="shared" si="95"/>
        <v>6.9130744193958088E-3</v>
      </c>
      <c r="X159" s="3">
        <f t="shared" si="95"/>
        <v>6.9130744193958062E-3</v>
      </c>
      <c r="Y159" s="3">
        <f t="shared" si="95"/>
        <v>6.9130744193957854E-3</v>
      </c>
      <c r="Z159" s="3">
        <f t="shared" si="95"/>
        <v>6.913074419395572E-3</v>
      </c>
      <c r="AA159" s="3">
        <f t="shared" ref="AA159:AF159" si="96">$C45*EXP(-AA$129/$A45/EXP(-$B$126))</f>
        <v>6.913074419393434E-3</v>
      </c>
      <c r="AB159" s="3">
        <f t="shared" si="96"/>
        <v>6.9130744193720631E-3</v>
      </c>
      <c r="AC159" s="3">
        <f t="shared" si="96"/>
        <v>6.9130744191583512E-3</v>
      </c>
      <c r="AD159" s="3">
        <f t="shared" si="96"/>
        <v>6.9130744170212291E-3</v>
      </c>
      <c r="AE159" s="3">
        <f t="shared" si="96"/>
        <v>6.9130743956500092E-3</v>
      </c>
      <c r="AF159" s="3">
        <f t="shared" si="96"/>
        <v>6.9130741819378224E-3</v>
      </c>
    </row>
    <row r="160" spans="1:32" x14ac:dyDescent="0.25">
      <c r="B160" s="3">
        <f t="shared" ref="B160:Z160" si="97">$C46*EXP(-B$129/$A46/EXP(-$B$126))</f>
        <v>3.0323866622783903E-3</v>
      </c>
      <c r="C160" s="3">
        <f t="shared" si="97"/>
        <v>3.0323866622783903E-3</v>
      </c>
      <c r="D160" s="3">
        <f t="shared" si="97"/>
        <v>3.0323866622783903E-3</v>
      </c>
      <c r="E160" s="3">
        <f t="shared" si="97"/>
        <v>3.0323866622783903E-3</v>
      </c>
      <c r="F160" s="3">
        <f t="shared" si="97"/>
        <v>3.0323866622783903E-3</v>
      </c>
      <c r="G160" s="3">
        <f t="shared" si="97"/>
        <v>3.0323866622783903E-3</v>
      </c>
      <c r="H160" s="3">
        <f t="shared" si="97"/>
        <v>3.0323866622783903E-3</v>
      </c>
      <c r="I160" s="3">
        <f t="shared" si="97"/>
        <v>3.0323866622783903E-3</v>
      </c>
      <c r="J160" s="3">
        <f t="shared" si="97"/>
        <v>3.0323866622783903E-3</v>
      </c>
      <c r="K160" s="3">
        <f t="shared" si="97"/>
        <v>3.0323866622783903E-3</v>
      </c>
      <c r="L160" s="3">
        <f t="shared" si="97"/>
        <v>3.0323866622783903E-3</v>
      </c>
      <c r="M160" s="3">
        <f t="shared" si="97"/>
        <v>3.0323866622783903E-3</v>
      </c>
      <c r="N160" s="3">
        <f t="shared" si="97"/>
        <v>3.0323866622783903E-3</v>
      </c>
      <c r="O160" s="3">
        <f t="shared" si="97"/>
        <v>3.0323866622783903E-3</v>
      </c>
      <c r="P160" s="3">
        <f t="shared" si="97"/>
        <v>3.0323866622783903E-3</v>
      </c>
      <c r="Q160" s="3">
        <f t="shared" si="97"/>
        <v>3.0323866622783903E-3</v>
      </c>
      <c r="R160" s="3">
        <f t="shared" si="97"/>
        <v>3.0323866622783903E-3</v>
      </c>
      <c r="S160" s="3">
        <f t="shared" si="97"/>
        <v>3.0323866622783903E-3</v>
      </c>
      <c r="T160" s="3">
        <f t="shared" si="97"/>
        <v>3.0323866622783903E-3</v>
      </c>
      <c r="U160" s="3">
        <f t="shared" si="97"/>
        <v>3.0323866622783903E-3</v>
      </c>
      <c r="V160" s="3">
        <f t="shared" si="97"/>
        <v>3.0323866622783903E-3</v>
      </c>
      <c r="W160" s="3">
        <f t="shared" si="97"/>
        <v>3.0323866622783903E-3</v>
      </c>
      <c r="X160" s="3">
        <f t="shared" si="97"/>
        <v>3.0323866622783903E-3</v>
      </c>
      <c r="Y160" s="3">
        <f t="shared" si="97"/>
        <v>3.0323866622783894E-3</v>
      </c>
      <c r="Z160" s="3">
        <f t="shared" si="97"/>
        <v>3.0323866622783799E-3</v>
      </c>
      <c r="AA160" s="3">
        <f t="shared" ref="AA160:AF160" si="98">$C46*EXP(-AA$129/$A46/EXP(-$B$126))</f>
        <v>3.0323866622782862E-3</v>
      </c>
      <c r="AB160" s="3">
        <f t="shared" si="98"/>
        <v>3.0323866622773486E-3</v>
      </c>
      <c r="AC160" s="3">
        <f t="shared" si="98"/>
        <v>3.0323866622679742E-3</v>
      </c>
      <c r="AD160" s="3">
        <f t="shared" si="98"/>
        <v>3.0323866621742306E-3</v>
      </c>
      <c r="AE160" s="3">
        <f t="shared" si="98"/>
        <v>3.0323866612367925E-3</v>
      </c>
      <c r="AF160" s="3">
        <f t="shared" si="98"/>
        <v>3.0323866518624102E-3</v>
      </c>
    </row>
    <row r="161" spans="1:34" x14ac:dyDescent="0.25">
      <c r="A161" s="11" t="s">
        <v>75</v>
      </c>
      <c r="B161" s="3">
        <f t="shared" ref="B161:Z161" si="99">$C47*EXP(-B$129/$A47/EXP(-$B$126))</f>
        <v>2.0349292815546579E-6</v>
      </c>
      <c r="C161" s="3">
        <f t="shared" si="99"/>
        <v>2.0349292815546579E-6</v>
      </c>
      <c r="D161" s="3">
        <f t="shared" si="99"/>
        <v>2.0349292815546579E-6</v>
      </c>
      <c r="E161" s="3">
        <f t="shared" si="99"/>
        <v>2.0349292815546579E-6</v>
      </c>
      <c r="F161" s="3">
        <f t="shared" si="99"/>
        <v>2.0349292815546579E-6</v>
      </c>
      <c r="G161" s="3">
        <f t="shared" si="99"/>
        <v>2.0349292815546579E-6</v>
      </c>
      <c r="H161" s="3">
        <f t="shared" si="99"/>
        <v>2.0349292815546579E-6</v>
      </c>
      <c r="I161" s="3">
        <f t="shared" si="99"/>
        <v>2.0349292815546579E-6</v>
      </c>
      <c r="J161" s="3">
        <f t="shared" si="99"/>
        <v>2.0349292815546579E-6</v>
      </c>
      <c r="K161" s="3">
        <f t="shared" si="99"/>
        <v>2.0349292815546579E-6</v>
      </c>
      <c r="L161" s="3">
        <f t="shared" si="99"/>
        <v>2.0349292815546579E-6</v>
      </c>
      <c r="M161" s="3">
        <f t="shared" si="99"/>
        <v>2.0349292815546579E-6</v>
      </c>
      <c r="N161" s="3">
        <f t="shared" si="99"/>
        <v>2.0349292815546579E-6</v>
      </c>
      <c r="O161" s="3">
        <f t="shared" si="99"/>
        <v>2.0349292815546579E-6</v>
      </c>
      <c r="P161" s="3">
        <f t="shared" si="99"/>
        <v>2.0349292815546579E-6</v>
      </c>
      <c r="Q161" s="3">
        <f t="shared" si="99"/>
        <v>2.0349292815546579E-6</v>
      </c>
      <c r="R161" s="3">
        <f t="shared" si="99"/>
        <v>2.0349292815546579E-6</v>
      </c>
      <c r="S161" s="3">
        <f t="shared" si="99"/>
        <v>2.0349292815546579E-6</v>
      </c>
      <c r="T161" s="3">
        <f t="shared" si="99"/>
        <v>2.0349292815546579E-6</v>
      </c>
      <c r="U161" s="3">
        <f t="shared" si="99"/>
        <v>2.0349292815546579E-6</v>
      </c>
      <c r="V161" s="3">
        <f t="shared" si="99"/>
        <v>2.0349292815546579E-6</v>
      </c>
      <c r="W161" s="3">
        <f t="shared" si="99"/>
        <v>2.0349292815546579E-6</v>
      </c>
      <c r="X161" s="3">
        <f t="shared" si="99"/>
        <v>2.0349292815546579E-6</v>
      </c>
      <c r="Y161" s="3">
        <f t="shared" si="99"/>
        <v>2.0349292815546579E-6</v>
      </c>
      <c r="Z161" s="3">
        <f t="shared" si="99"/>
        <v>2.0349292815546571E-6</v>
      </c>
      <c r="AA161" s="3">
        <f t="shared" ref="AA161:AF161" si="100">$C47*EXP(-AA$129/$A47/EXP(-$B$126))</f>
        <v>2.0349292815546507E-6</v>
      </c>
      <c r="AB161" s="3">
        <f t="shared" si="100"/>
        <v>2.0349292815545881E-6</v>
      </c>
      <c r="AC161" s="3">
        <f t="shared" si="100"/>
        <v>2.0349292815539591E-6</v>
      </c>
      <c r="AD161" s="3">
        <f t="shared" si="100"/>
        <v>2.0349292815476682E-6</v>
      </c>
      <c r="AE161" s="3">
        <f t="shared" si="100"/>
        <v>2.0349292814847599E-6</v>
      </c>
      <c r="AF161" s="3">
        <f t="shared" si="100"/>
        <v>2.0349292808556779E-6</v>
      </c>
    </row>
    <row r="162" spans="1:34" x14ac:dyDescent="0.25">
      <c r="B162" s="3">
        <f t="shared" ref="B162:Z162" si="101">$C48*EXP(-B$129/$A48/EXP(-$B$126))</f>
        <v>1.1740866771866395E-2</v>
      </c>
      <c r="C162" s="3">
        <f t="shared" si="101"/>
        <v>1.1740866771866395E-2</v>
      </c>
      <c r="D162" s="3">
        <f t="shared" si="101"/>
        <v>1.1740866771866395E-2</v>
      </c>
      <c r="E162" s="3">
        <f t="shared" si="101"/>
        <v>1.1740866771866395E-2</v>
      </c>
      <c r="F162" s="3">
        <f t="shared" si="101"/>
        <v>1.1740866771866395E-2</v>
      </c>
      <c r="G162" s="3">
        <f t="shared" si="101"/>
        <v>1.1740866771866395E-2</v>
      </c>
      <c r="H162" s="3">
        <f t="shared" si="101"/>
        <v>1.1740866771866395E-2</v>
      </c>
      <c r="I162" s="3">
        <f t="shared" si="101"/>
        <v>1.1740866771866395E-2</v>
      </c>
      <c r="J162" s="3">
        <f t="shared" si="101"/>
        <v>1.1740866771866395E-2</v>
      </c>
      <c r="K162" s="3">
        <f t="shared" si="101"/>
        <v>1.1740866771866395E-2</v>
      </c>
      <c r="L162" s="3">
        <f t="shared" si="101"/>
        <v>1.1740866771866395E-2</v>
      </c>
      <c r="M162" s="3">
        <f t="shared" si="101"/>
        <v>1.1740866771866395E-2</v>
      </c>
      <c r="N162" s="3">
        <f t="shared" si="101"/>
        <v>1.1740866771866395E-2</v>
      </c>
      <c r="O162" s="3">
        <f t="shared" si="101"/>
        <v>1.1740866771866395E-2</v>
      </c>
      <c r="P162" s="3">
        <f t="shared" si="101"/>
        <v>1.1740866771866395E-2</v>
      </c>
      <c r="Q162" s="3">
        <f t="shared" si="101"/>
        <v>1.1740866771866395E-2</v>
      </c>
      <c r="R162" s="3">
        <f t="shared" si="101"/>
        <v>1.1740866771866395E-2</v>
      </c>
      <c r="S162" s="3">
        <f t="shared" si="101"/>
        <v>1.1740866771866395E-2</v>
      </c>
      <c r="T162" s="3">
        <f t="shared" si="101"/>
        <v>1.1740866771866395E-2</v>
      </c>
      <c r="U162" s="3">
        <f t="shared" si="101"/>
        <v>1.1740866771866395E-2</v>
      </c>
      <c r="V162" s="3">
        <f t="shared" si="101"/>
        <v>1.1740866771866395E-2</v>
      </c>
      <c r="W162" s="3">
        <f t="shared" si="101"/>
        <v>1.1740866771866395E-2</v>
      </c>
      <c r="X162" s="3">
        <f t="shared" si="101"/>
        <v>1.1740866771866395E-2</v>
      </c>
      <c r="Y162" s="3">
        <f t="shared" si="101"/>
        <v>1.1740866771866395E-2</v>
      </c>
      <c r="Z162" s="3">
        <f t="shared" si="101"/>
        <v>1.1740866771866395E-2</v>
      </c>
      <c r="AA162" s="3">
        <f t="shared" ref="AA162:AF162" si="102">$C48*EXP(-AA$129/$A48/EXP(-$B$126))</f>
        <v>1.1740866771866391E-2</v>
      </c>
      <c r="AB162" s="3">
        <f t="shared" si="102"/>
        <v>1.1740866771866355E-2</v>
      </c>
      <c r="AC162" s="3">
        <f t="shared" si="102"/>
        <v>1.1740866771865992E-2</v>
      </c>
      <c r="AD162" s="3">
        <f t="shared" si="102"/>
        <v>1.1740866771862361E-2</v>
      </c>
      <c r="AE162" s="3">
        <f t="shared" si="102"/>
        <v>1.1740866771826066E-2</v>
      </c>
      <c r="AF162" s="3">
        <f t="shared" si="102"/>
        <v>1.1740866771463106E-2</v>
      </c>
    </row>
    <row r="163" spans="1:34" x14ac:dyDescent="0.25">
      <c r="A163" s="79">
        <f>AVERAGE(B163:AF163)</f>
        <v>0.10201589480755657</v>
      </c>
      <c r="B163" s="80">
        <f>IF($A$64&lt;=B129,IF($B$64&gt;=B129,ABS((B131-B130)/B130),0),0)</f>
        <v>1.4198800648174055E-2</v>
      </c>
      <c r="C163" s="80">
        <f t="shared" ref="C163:AF163" si="103">IF($A$64&lt;=C129,IF($B$64&gt;=C129,ABS((C131-C130)/C130),0),0)</f>
        <v>1.4217623558679797E-2</v>
      </c>
      <c r="D163" s="80">
        <f t="shared" si="103"/>
        <v>1.4301367293612413E-2</v>
      </c>
      <c r="E163" s="80">
        <f t="shared" si="103"/>
        <v>1.5174116611636684E-2</v>
      </c>
      <c r="F163" s="80">
        <f t="shared" si="103"/>
        <v>2.2577165796366653E-2</v>
      </c>
      <c r="G163" s="80">
        <f t="shared" si="103"/>
        <v>4.2085516339492757E-2</v>
      </c>
      <c r="H163" s="80">
        <f t="shared" si="103"/>
        <v>4.3014412135587897E-2</v>
      </c>
      <c r="I163" s="80">
        <f t="shared" si="103"/>
        <v>4.301768022569176E-2</v>
      </c>
      <c r="J163" s="80">
        <f t="shared" si="103"/>
        <v>4.3050556553555198E-2</v>
      </c>
      <c r="K163" s="80">
        <f t="shared" si="103"/>
        <v>4.3377959467687403E-2</v>
      </c>
      <c r="L163" s="80">
        <f t="shared" si="103"/>
        <v>4.6516096530318192E-2</v>
      </c>
      <c r="M163" s="80">
        <f t="shared" si="103"/>
        <v>6.7564808677139376E-2</v>
      </c>
      <c r="N163" s="80">
        <f t="shared" si="103"/>
        <v>8.9552638778064228E-2</v>
      </c>
      <c r="O163" s="80">
        <f t="shared" si="103"/>
        <v>0.10194617038357365</v>
      </c>
      <c r="P163" s="80">
        <f t="shared" si="103"/>
        <v>0.10892060699437575</v>
      </c>
      <c r="Q163" s="80">
        <f t="shared" si="103"/>
        <v>0.10854158652040412</v>
      </c>
      <c r="R163" s="80">
        <f t="shared" si="103"/>
        <v>0.11692646855302702</v>
      </c>
      <c r="S163" s="80">
        <f t="shared" si="103"/>
        <v>0.12707031548508207</v>
      </c>
      <c r="T163" s="80">
        <f t="shared" si="103"/>
        <v>0.13584015535630231</v>
      </c>
      <c r="U163" s="80">
        <f t="shared" si="103"/>
        <v>0.1400271564804203</v>
      </c>
      <c r="V163" s="80">
        <f t="shared" si="103"/>
        <v>0.13594250691543033</v>
      </c>
      <c r="W163" s="80">
        <f t="shared" si="103"/>
        <v>7.9534758872982295E-2</v>
      </c>
      <c r="X163" s="80">
        <f t="shared" si="103"/>
        <v>3.3259547959860296E-2</v>
      </c>
      <c r="Y163" s="80">
        <f t="shared" si="103"/>
        <v>0.16357167501852793</v>
      </c>
      <c r="Z163" s="80">
        <f t="shared" si="103"/>
        <v>0.26414482669982342</v>
      </c>
      <c r="AA163" s="80">
        <f t="shared" si="103"/>
        <v>0.34466668143648937</v>
      </c>
      <c r="AB163" s="80">
        <f t="shared" si="103"/>
        <v>0.31920197016055329</v>
      </c>
      <c r="AC163" s="80">
        <f t="shared" si="103"/>
        <v>0.19251617407420943</v>
      </c>
      <c r="AD163" s="80">
        <f t="shared" si="103"/>
        <v>4.6886695206883662E-2</v>
      </c>
      <c r="AE163" s="80">
        <f t="shared" si="103"/>
        <v>7.0321832089792896E-2</v>
      </c>
      <c r="AF163" s="80">
        <f t="shared" si="103"/>
        <v>0.1745248682105083</v>
      </c>
    </row>
    <row r="164" spans="1:34" x14ac:dyDescent="0.25">
      <c r="B164" s="21">
        <f>(B131-B130)^2</f>
        <v>10143.255753828214</v>
      </c>
      <c r="C164" s="21">
        <f t="shared" ref="C164:AF164" si="104">(C131-C130)^2</f>
        <v>10170.371408071835</v>
      </c>
      <c r="D164" s="21">
        <f t="shared" si="104"/>
        <v>10290.426217326805</v>
      </c>
      <c r="E164" s="21">
        <f t="shared" si="104"/>
        <v>11584.675669505576</v>
      </c>
      <c r="F164" s="21">
        <f t="shared" si="104"/>
        <v>25645.758278541598</v>
      </c>
      <c r="G164" s="21">
        <f t="shared" si="104"/>
        <v>89113.174326530134</v>
      </c>
      <c r="H164" s="21">
        <f t="shared" si="104"/>
        <v>93090.324252785533</v>
      </c>
      <c r="I164" s="21">
        <f t="shared" si="104"/>
        <v>93104.465640036899</v>
      </c>
      <c r="J164" s="21">
        <f t="shared" si="104"/>
        <v>93246.825945475328</v>
      </c>
      <c r="K164" s="21">
        <f t="shared" si="104"/>
        <v>94670.479800212503</v>
      </c>
      <c r="L164" s="21">
        <f t="shared" si="104"/>
        <v>108863.20621942848</v>
      </c>
      <c r="M164" s="21">
        <f t="shared" si="104"/>
        <v>229666.80110555628</v>
      </c>
      <c r="N164" s="21">
        <f t="shared" si="104"/>
        <v>403311.53723706387</v>
      </c>
      <c r="O164" s="21">
        <f t="shared" si="104"/>
        <v>520679.09126710705</v>
      </c>
      <c r="P164" s="21">
        <f t="shared" si="104"/>
        <v>578033.4795445085</v>
      </c>
      <c r="Q164" s="21">
        <f t="shared" si="104"/>
        <v>547613.24548702524</v>
      </c>
      <c r="R164" s="21">
        <f t="shared" si="104"/>
        <v>613763.70610528556</v>
      </c>
      <c r="S164" s="21">
        <f t="shared" si="104"/>
        <v>699417.26380853995</v>
      </c>
      <c r="T164" s="21">
        <f t="shared" si="104"/>
        <v>767523.29990554042</v>
      </c>
      <c r="U164" s="21">
        <f t="shared" si="104"/>
        <v>775599.50009512657</v>
      </c>
      <c r="V164" s="21">
        <f t="shared" si="104"/>
        <v>668801.89647418098</v>
      </c>
      <c r="W164" s="21">
        <f t="shared" si="104"/>
        <v>184012.32028582302</v>
      </c>
      <c r="X164" s="21">
        <f t="shared" si="104"/>
        <v>23177.957025845688</v>
      </c>
      <c r="Y164" s="21">
        <f t="shared" si="104"/>
        <v>410011.68987443059</v>
      </c>
      <c r="Z164" s="21">
        <f t="shared" si="104"/>
        <v>825283.38072998379</v>
      </c>
      <c r="AA164" s="21">
        <f t="shared" si="104"/>
        <v>1126188.8741475039</v>
      </c>
      <c r="AB164" s="21">
        <f t="shared" si="104"/>
        <v>798003.15392857627</v>
      </c>
      <c r="AC164" s="21">
        <f t="shared" si="104"/>
        <v>248713.14930123548</v>
      </c>
      <c r="AD164" s="21">
        <f t="shared" si="104"/>
        <v>12962.068316891198</v>
      </c>
      <c r="AE164" s="21">
        <f t="shared" si="104"/>
        <v>25817.585476271608</v>
      </c>
      <c r="AF164" s="21">
        <f t="shared" si="104"/>
        <v>142418.80570741952</v>
      </c>
    </row>
    <row r="165" spans="1:34" x14ac:dyDescent="0.25">
      <c r="A165" s="71">
        <f>SUM(B165:AF165)</f>
        <v>10240921.769335657</v>
      </c>
      <c r="B165" s="60">
        <f>IF($A$64&lt;=B129,IF($B$64&gt;=B129,ABS(B164),0),0)</f>
        <v>10143.255753828214</v>
      </c>
      <c r="C165" s="60">
        <f t="shared" ref="C165:AF165" si="105">IF($A$64&lt;=C129,IF($B$64&gt;=C129,ABS(C164),0),0)</f>
        <v>10170.371408071835</v>
      </c>
      <c r="D165" s="60">
        <f t="shared" si="105"/>
        <v>10290.426217326805</v>
      </c>
      <c r="E165" s="60">
        <f t="shared" si="105"/>
        <v>11584.675669505576</v>
      </c>
      <c r="F165" s="60">
        <f t="shared" si="105"/>
        <v>25645.758278541598</v>
      </c>
      <c r="G165" s="60">
        <f t="shared" si="105"/>
        <v>89113.174326530134</v>
      </c>
      <c r="H165" s="60">
        <f t="shared" si="105"/>
        <v>93090.324252785533</v>
      </c>
      <c r="I165" s="60">
        <f t="shared" si="105"/>
        <v>93104.465640036899</v>
      </c>
      <c r="J165" s="60">
        <f t="shared" si="105"/>
        <v>93246.825945475328</v>
      </c>
      <c r="K165" s="60">
        <f t="shared" si="105"/>
        <v>94670.479800212503</v>
      </c>
      <c r="L165" s="60">
        <f t="shared" si="105"/>
        <v>108863.20621942848</v>
      </c>
      <c r="M165" s="60">
        <f t="shared" si="105"/>
        <v>229666.80110555628</v>
      </c>
      <c r="N165" s="60">
        <f t="shared" si="105"/>
        <v>403311.53723706387</v>
      </c>
      <c r="O165" s="60">
        <f t="shared" si="105"/>
        <v>520679.09126710705</v>
      </c>
      <c r="P165" s="60">
        <f t="shared" si="105"/>
        <v>578033.4795445085</v>
      </c>
      <c r="Q165" s="60">
        <f t="shared" si="105"/>
        <v>547613.24548702524</v>
      </c>
      <c r="R165" s="60">
        <f t="shared" si="105"/>
        <v>613763.70610528556</v>
      </c>
      <c r="S165" s="60">
        <f t="shared" si="105"/>
        <v>699417.26380853995</v>
      </c>
      <c r="T165" s="60">
        <f t="shared" si="105"/>
        <v>767523.29990554042</v>
      </c>
      <c r="U165" s="60">
        <f t="shared" si="105"/>
        <v>775599.50009512657</v>
      </c>
      <c r="V165" s="60">
        <f t="shared" si="105"/>
        <v>668801.89647418098</v>
      </c>
      <c r="W165" s="60">
        <f t="shared" si="105"/>
        <v>184012.32028582302</v>
      </c>
      <c r="X165" s="60">
        <f t="shared" si="105"/>
        <v>23177.957025845688</v>
      </c>
      <c r="Y165" s="60">
        <f t="shared" si="105"/>
        <v>410011.68987443059</v>
      </c>
      <c r="Z165" s="60">
        <f t="shared" si="105"/>
        <v>825283.38072998379</v>
      </c>
      <c r="AA165" s="60">
        <f t="shared" si="105"/>
        <v>1126188.8741475039</v>
      </c>
      <c r="AB165" s="60">
        <f t="shared" si="105"/>
        <v>798003.15392857627</v>
      </c>
      <c r="AC165" s="60">
        <f t="shared" si="105"/>
        <v>248713.14930123548</v>
      </c>
      <c r="AD165" s="60">
        <f t="shared" si="105"/>
        <v>12962.068316891198</v>
      </c>
      <c r="AE165" s="60">
        <f t="shared" si="105"/>
        <v>25817.585476271608</v>
      </c>
      <c r="AF165" s="60">
        <f t="shared" si="105"/>
        <v>142418.80570741952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6955.4050773888575</v>
      </c>
      <c r="C170" s="27">
        <f t="shared" ref="C170:AF170" si="106">($C$17+SUM(C171:C201))*$B$51</f>
        <v>6815.7630520957573</v>
      </c>
      <c r="D170" s="27">
        <f t="shared" si="106"/>
        <v>6788.0298975489759</v>
      </c>
      <c r="E170" s="27">
        <f t="shared" si="106"/>
        <v>6788.0163211859553</v>
      </c>
      <c r="F170" s="27">
        <f t="shared" si="106"/>
        <v>6787.8805955424177</v>
      </c>
      <c r="G170" s="27">
        <f t="shared" si="106"/>
        <v>6786.5266996558703</v>
      </c>
      <c r="H170" s="27">
        <f t="shared" si="106"/>
        <v>6773.3181486743397</v>
      </c>
      <c r="I170" s="27">
        <f t="shared" si="106"/>
        <v>6669.2822715849625</v>
      </c>
      <c r="J170" s="27">
        <f t="shared" si="106"/>
        <v>6473.2287151474438</v>
      </c>
      <c r="K170" s="27">
        <f t="shared" si="106"/>
        <v>6385.9868704399651</v>
      </c>
      <c r="L170" s="27">
        <f t="shared" si="106"/>
        <v>6248.2516785164544</v>
      </c>
      <c r="M170" s="27">
        <f t="shared" si="106"/>
        <v>6109.8093578560747</v>
      </c>
      <c r="N170" s="27">
        <f t="shared" si="106"/>
        <v>5950.9004061254254</v>
      </c>
      <c r="O170" s="27">
        <f t="shared" si="106"/>
        <v>5781.485580021139</v>
      </c>
      <c r="P170" s="27">
        <f t="shared" si="106"/>
        <v>5606.5183266103031</v>
      </c>
      <c r="Q170" s="27">
        <f t="shared" si="106"/>
        <v>5447.9156828697633</v>
      </c>
      <c r="R170" s="27">
        <f t="shared" si="106"/>
        <v>5245.8302572381435</v>
      </c>
      <c r="S170" s="27">
        <f t="shared" si="106"/>
        <v>5018.4221341704633</v>
      </c>
      <c r="T170" s="27">
        <f t="shared" si="106"/>
        <v>4779.6075391760214</v>
      </c>
      <c r="U170" s="27">
        <f t="shared" si="106"/>
        <v>4598.7315801211962</v>
      </c>
      <c r="V170" s="27">
        <f t="shared" si="106"/>
        <v>4398.2132073361818</v>
      </c>
      <c r="W170" s="27">
        <f t="shared" si="106"/>
        <v>4203.5148552790206</v>
      </c>
      <c r="X170" s="27">
        <f t="shared" si="106"/>
        <v>3823.188179021789</v>
      </c>
      <c r="Y170" s="27">
        <f t="shared" si="106"/>
        <v>3251.8286554165629</v>
      </c>
      <c r="Z170" s="27">
        <f t="shared" si="106"/>
        <v>2678.7757248373878</v>
      </c>
      <c r="AA170" s="27">
        <f t="shared" si="106"/>
        <v>2224.7786349038715</v>
      </c>
      <c r="AB170" s="27">
        <f t="shared" si="106"/>
        <v>1867.3345958830892</v>
      </c>
      <c r="AC170" s="27">
        <f t="shared" si="106"/>
        <v>1595.8388341540815</v>
      </c>
      <c r="AD170" s="27">
        <f t="shared" si="106"/>
        <v>1293.003638998646</v>
      </c>
      <c r="AE170" s="27">
        <f t="shared" si="106"/>
        <v>1035.765320102611</v>
      </c>
      <c r="AF170" s="27">
        <f t="shared" si="106"/>
        <v>758.51272823460931</v>
      </c>
      <c r="AG170" s="27"/>
      <c r="AH170" s="27"/>
    </row>
    <row r="171" spans="1:34" x14ac:dyDescent="0.25">
      <c r="B171" s="3">
        <f t="shared" ref="B171:AF171" si="107">$C18*EXP(-B$168/$A18/EXP(-$C$126))</f>
        <v>2.3936485131731546E-2</v>
      </c>
      <c r="C171" s="3">
        <f t="shared" si="107"/>
        <v>3.9659863349305645E-3</v>
      </c>
      <c r="D171" s="3">
        <f t="shared" si="107"/>
        <v>6.1838588085889396E-11</v>
      </c>
      <c r="E171" s="3">
        <f t="shared" si="107"/>
        <v>5.2522220826401159E-89</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4.1218428584533763E-2</v>
      </c>
      <c r="C172" s="3">
        <f t="shared" si="108"/>
        <v>4.1218409604446379E-2</v>
      </c>
      <c r="D172" s="3">
        <f t="shared" si="108"/>
        <v>4.121821980405322E-2</v>
      </c>
      <c r="E172" s="3">
        <f t="shared" si="108"/>
        <v>4.1216321848190046E-2</v>
      </c>
      <c r="F172" s="3">
        <f t="shared" si="108"/>
        <v>4.1197347095579519E-2</v>
      </c>
      <c r="G172" s="3">
        <f t="shared" si="108"/>
        <v>4.1008079353773014E-2</v>
      </c>
      <c r="H172" s="3">
        <f t="shared" si="108"/>
        <v>3.9162572898720417E-2</v>
      </c>
      <c r="I172" s="3">
        <f t="shared" si="108"/>
        <v>2.4710929802947885E-2</v>
      </c>
      <c r="J172" s="3">
        <f t="shared" si="108"/>
        <v>2.4721100142085107E-4</v>
      </c>
      <c r="K172" s="3">
        <f t="shared" si="108"/>
        <v>2.4823034038703223E-24</v>
      </c>
      <c r="L172" s="3">
        <f t="shared" si="108"/>
        <v>2.5865778372019849E-224</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8.4205641827749551E-3</v>
      </c>
      <c r="C173" s="3">
        <f t="shared" si="109"/>
        <v>8.4205638329952169E-3</v>
      </c>
      <c r="D173" s="3">
        <f t="shared" si="109"/>
        <v>8.4205603351986263E-3</v>
      </c>
      <c r="E173" s="3">
        <f t="shared" si="109"/>
        <v>8.4205253573126342E-3</v>
      </c>
      <c r="F173" s="3">
        <f t="shared" si="109"/>
        <v>8.4201755864437549E-3</v>
      </c>
      <c r="G173" s="3">
        <f t="shared" si="109"/>
        <v>8.4166786767363288E-3</v>
      </c>
      <c r="H173" s="3">
        <f t="shared" si="109"/>
        <v>8.3817893551376872E-3</v>
      </c>
      <c r="I173" s="3">
        <f t="shared" si="109"/>
        <v>8.0407524274745974E-3</v>
      </c>
      <c r="J173" s="3">
        <f t="shared" si="109"/>
        <v>5.3075754055002628E-3</v>
      </c>
      <c r="K173" s="3">
        <f t="shared" si="109"/>
        <v>8.3347196725306049E-5</v>
      </c>
      <c r="L173" s="3">
        <f t="shared" si="109"/>
        <v>7.6004488847264718E-23</v>
      </c>
      <c r="M173" s="3">
        <f t="shared" si="109"/>
        <v>3.0221895097678394E-203</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2.0972499012701974E-2</v>
      </c>
      <c r="C174" s="3">
        <f t="shared" si="110"/>
        <v>2.0972498934115059E-2</v>
      </c>
      <c r="D174" s="3">
        <f t="shared" si="110"/>
        <v>2.0972498148245925E-2</v>
      </c>
      <c r="E174" s="3">
        <f t="shared" si="110"/>
        <v>2.0972490289556205E-2</v>
      </c>
      <c r="F174" s="3">
        <f t="shared" si="110"/>
        <v>2.0972411702820964E-2</v>
      </c>
      <c r="G174" s="3">
        <f t="shared" si="110"/>
        <v>2.0971625851664503E-2</v>
      </c>
      <c r="H174" s="3">
        <f t="shared" si="110"/>
        <v>2.0963768959469897E-2</v>
      </c>
      <c r="I174" s="3">
        <f t="shared" si="110"/>
        <v>2.0885361750232256E-2</v>
      </c>
      <c r="J174" s="3">
        <f t="shared" si="110"/>
        <v>2.0117238952851051E-2</v>
      </c>
      <c r="K174" s="3">
        <f t="shared" si="110"/>
        <v>1.3830315893618016E-2</v>
      </c>
      <c r="L174" s="3">
        <f t="shared" si="110"/>
        <v>3.2618903109461761E-4</v>
      </c>
      <c r="M174" s="3">
        <f t="shared" si="110"/>
        <v>1.7371682455094168E-20</v>
      </c>
      <c r="N174" s="3">
        <f t="shared" si="110"/>
        <v>3.1883587058799795E-183</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1.9327833780662385E-2</v>
      </c>
      <c r="C175" s="3">
        <f t="shared" si="111"/>
        <v>1.9327833774129128E-2</v>
      </c>
      <c r="D175" s="3">
        <f t="shared" si="111"/>
        <v>1.9327833708796545E-2</v>
      </c>
      <c r="E175" s="3">
        <f t="shared" si="111"/>
        <v>1.9327833055470724E-2</v>
      </c>
      <c r="F175" s="3">
        <f t="shared" si="111"/>
        <v>1.932782652221373E-2</v>
      </c>
      <c r="G175" s="3">
        <f t="shared" si="111"/>
        <v>1.9327761189765254E-2</v>
      </c>
      <c r="H175" s="3">
        <f t="shared" si="111"/>
        <v>1.9327107877426492E-2</v>
      </c>
      <c r="I175" s="3">
        <f t="shared" si="111"/>
        <v>1.9320575968486586E-2</v>
      </c>
      <c r="J175" s="3">
        <f t="shared" si="111"/>
        <v>1.9255378172106558E-2</v>
      </c>
      <c r="K175" s="3">
        <f t="shared" si="111"/>
        <v>1.8615379172544098E-2</v>
      </c>
      <c r="L175" s="3">
        <f t="shared" si="111"/>
        <v>1.3276091243547852E-2</v>
      </c>
      <c r="M175" s="3">
        <f t="shared" si="111"/>
        <v>4.5191176430328873E-4</v>
      </c>
      <c r="N175" s="3">
        <f t="shared" si="111"/>
        <v>9.4381708189350054E-19</v>
      </c>
      <c r="O175" s="3">
        <f t="shared" si="111"/>
        <v>1.4901489949093297E-165</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2.3246647211929639E-2</v>
      </c>
      <c r="C176" s="3">
        <f t="shared" si="112"/>
        <v>2.324664721122079E-2</v>
      </c>
      <c r="D176" s="3">
        <f t="shared" si="112"/>
        <v>2.32466472041323E-2</v>
      </c>
      <c r="E176" s="3">
        <f t="shared" si="112"/>
        <v>2.3246647133247429E-2</v>
      </c>
      <c r="F176" s="3">
        <f t="shared" si="112"/>
        <v>2.3246646424398713E-2</v>
      </c>
      <c r="G176" s="3">
        <f t="shared" si="112"/>
        <v>2.3246639335912735E-2</v>
      </c>
      <c r="H176" s="3">
        <f t="shared" si="112"/>
        <v>2.3246568451171842E-2</v>
      </c>
      <c r="I176" s="3">
        <f t="shared" si="112"/>
        <v>2.3245859615650757E-2</v>
      </c>
      <c r="J176" s="3">
        <f t="shared" si="112"/>
        <v>2.3238772449092823E-2</v>
      </c>
      <c r="K176" s="3">
        <f t="shared" si="112"/>
        <v>2.3168019514806341E-2</v>
      </c>
      <c r="L176" s="3">
        <f t="shared" si="112"/>
        <v>2.2472230431408582E-2</v>
      </c>
      <c r="M176" s="3">
        <f t="shared" si="112"/>
        <v>1.6566046311778302E-2</v>
      </c>
      <c r="N176" s="3">
        <f t="shared" si="112"/>
        <v>7.8513762063554826E-4</v>
      </c>
      <c r="O176" s="3">
        <f t="shared" si="112"/>
        <v>4.4896754849859683E-17</v>
      </c>
      <c r="P176" s="3">
        <f t="shared" si="112"/>
        <v>1.6784429656466242E-149</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2.4740814098242019E-2</v>
      </c>
      <c r="C177" s="3">
        <f t="shared" si="113"/>
        <v>2.4740814098173965E-2</v>
      </c>
      <c r="D177" s="3">
        <f t="shared" si="113"/>
        <v>2.4740814097493426E-2</v>
      </c>
      <c r="E177" s="3">
        <f t="shared" si="113"/>
        <v>2.4740814090688023E-2</v>
      </c>
      <c r="F177" s="3">
        <f t="shared" si="113"/>
        <v>2.4740814022633999E-2</v>
      </c>
      <c r="G177" s="3">
        <f t="shared" si="113"/>
        <v>2.474081334209376E-2</v>
      </c>
      <c r="H177" s="3">
        <f t="shared" si="113"/>
        <v>2.4740806536692382E-2</v>
      </c>
      <c r="I177" s="3">
        <f t="shared" si="113"/>
        <v>2.4740738482781577E-2</v>
      </c>
      <c r="J177" s="3">
        <f t="shared" si="113"/>
        <v>2.4740057953969122E-2</v>
      </c>
      <c r="K177" s="3">
        <f t="shared" si="113"/>
        <v>2.4733253695299214E-2</v>
      </c>
      <c r="L177" s="3">
        <f t="shared" si="113"/>
        <v>2.4665313949371374E-2</v>
      </c>
      <c r="M177" s="3">
        <f t="shared" si="113"/>
        <v>2.3996096666551225E-2</v>
      </c>
      <c r="N177" s="3">
        <f t="shared" si="113"/>
        <v>1.8225529465518704E-2</v>
      </c>
      <c r="O177" s="3">
        <f t="shared" si="113"/>
        <v>1.1643288628118956E-3</v>
      </c>
      <c r="P177" s="3">
        <f t="shared" si="113"/>
        <v>1.3183501107221718E-15</v>
      </c>
      <c r="Q177" s="3">
        <f t="shared" si="113"/>
        <v>4.5664817450282091E-135</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2.7333416296139036E-2</v>
      </c>
      <c r="C178" s="3">
        <f t="shared" si="114"/>
        <v>2.7333416296132253E-2</v>
      </c>
      <c r="D178" s="3">
        <f t="shared" si="114"/>
        <v>2.7333416296064429E-2</v>
      </c>
      <c r="E178" s="3">
        <f t="shared" si="114"/>
        <v>2.7333416295386194E-2</v>
      </c>
      <c r="F178" s="3">
        <f t="shared" si="114"/>
        <v>2.7333416288603841E-2</v>
      </c>
      <c r="G178" s="3">
        <f t="shared" si="114"/>
        <v>2.733341622078032E-2</v>
      </c>
      <c r="H178" s="3">
        <f t="shared" si="114"/>
        <v>2.7333415542545109E-2</v>
      </c>
      <c r="I178" s="3">
        <f t="shared" si="114"/>
        <v>2.7333408760193939E-2</v>
      </c>
      <c r="J178" s="3">
        <f t="shared" si="114"/>
        <v>2.7333340936774805E-2</v>
      </c>
      <c r="K178" s="3">
        <f t="shared" si="114"/>
        <v>2.7332662711839491E-2</v>
      </c>
      <c r="L178" s="3">
        <f t="shared" si="114"/>
        <v>2.732588138800494E-2</v>
      </c>
      <c r="M178" s="3">
        <f t="shared" si="114"/>
        <v>2.725816061660372E-2</v>
      </c>
      <c r="N178" s="3">
        <f t="shared" si="114"/>
        <v>2.6590115263995746E-2</v>
      </c>
      <c r="O178" s="3">
        <f t="shared" si="114"/>
        <v>2.0747078814362826E-2</v>
      </c>
      <c r="P178" s="3">
        <f t="shared" si="114"/>
        <v>1.7350992615149691E-3</v>
      </c>
      <c r="Q178" s="3">
        <f t="shared" si="114"/>
        <v>2.9040093268728172E-14</v>
      </c>
      <c r="R178" s="3">
        <f t="shared" si="114"/>
        <v>5.0088130933034504E-122</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2.134274535698338E-2</v>
      </c>
      <c r="C179" s="3">
        <f t="shared" si="115"/>
        <v>2.1342745356982901E-2</v>
      </c>
      <c r="D179" s="3">
        <f t="shared" si="115"/>
        <v>2.1342745356978124E-2</v>
      </c>
      <c r="E179" s="3">
        <f t="shared" si="115"/>
        <v>2.134274535693035E-2</v>
      </c>
      <c r="F179" s="3">
        <f t="shared" si="115"/>
        <v>2.1342745356452621E-2</v>
      </c>
      <c r="G179" s="3">
        <f t="shared" si="115"/>
        <v>2.1342745351675314E-2</v>
      </c>
      <c r="H179" s="3">
        <f t="shared" si="115"/>
        <v>2.1342745303902226E-2</v>
      </c>
      <c r="I179" s="3">
        <f t="shared" si="115"/>
        <v>2.1342744826171371E-2</v>
      </c>
      <c r="J179" s="3">
        <f t="shared" si="115"/>
        <v>2.134274004886343E-2</v>
      </c>
      <c r="K179" s="3">
        <f t="shared" si="115"/>
        <v>2.1342692275842789E-2</v>
      </c>
      <c r="L179" s="3">
        <f t="shared" si="115"/>
        <v>2.1342214551517729E-2</v>
      </c>
      <c r="M179" s="3">
        <f t="shared" si="115"/>
        <v>2.1337437896350706E-2</v>
      </c>
      <c r="N179" s="3">
        <f t="shared" si="115"/>
        <v>2.1289730104360083E-2</v>
      </c>
      <c r="O179" s="3">
        <f t="shared" si="115"/>
        <v>2.0818479777704693E-2</v>
      </c>
      <c r="P179" s="3">
        <f t="shared" si="115"/>
        <v>1.6643228835263608E-2</v>
      </c>
      <c r="Q179" s="3">
        <f t="shared" si="115"/>
        <v>1.7746932612986671E-3</v>
      </c>
      <c r="R179" s="3">
        <f t="shared" si="115"/>
        <v>3.3727213153469402E-13</v>
      </c>
      <c r="S179" s="3">
        <f t="shared" si="115"/>
        <v>2.0727743625028238E-110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3.0213098985838887E-2</v>
      </c>
      <c r="C180" s="3">
        <f t="shared" si="116"/>
        <v>3.0213098985838828E-2</v>
      </c>
      <c r="D180" s="3">
        <f t="shared" si="116"/>
        <v>3.0213098985838217E-2</v>
      </c>
      <c r="E180" s="3">
        <f t="shared" si="116"/>
        <v>3.0213098985832115E-2</v>
      </c>
      <c r="F180" s="3">
        <f t="shared" si="116"/>
        <v>3.0213098985771111E-2</v>
      </c>
      <c r="G180" s="3">
        <f t="shared" si="116"/>
        <v>3.0213098985161044E-2</v>
      </c>
      <c r="H180" s="3">
        <f t="shared" si="116"/>
        <v>3.0213098979060413E-2</v>
      </c>
      <c r="I180" s="3">
        <f t="shared" si="116"/>
        <v>3.0213098918054088E-2</v>
      </c>
      <c r="J180" s="3">
        <f t="shared" si="116"/>
        <v>3.0213098307990825E-2</v>
      </c>
      <c r="K180" s="3">
        <f t="shared" si="116"/>
        <v>3.0213092207358884E-2</v>
      </c>
      <c r="L180" s="3">
        <f t="shared" si="116"/>
        <v>3.0213031201107212E-2</v>
      </c>
      <c r="M180" s="3">
        <f t="shared" si="116"/>
        <v>3.0212421145365594E-2</v>
      </c>
      <c r="N180" s="3">
        <f t="shared" si="116"/>
        <v>3.0206321265405428E-2</v>
      </c>
      <c r="O180" s="3">
        <f t="shared" si="116"/>
        <v>3.0145390160822329E-2</v>
      </c>
      <c r="P180" s="3">
        <f t="shared" si="116"/>
        <v>2.9542798313596526E-2</v>
      </c>
      <c r="Q180" s="3">
        <f t="shared" si="116"/>
        <v>2.4141198883744358E-2</v>
      </c>
      <c r="R180" s="3">
        <f t="shared" si="116"/>
        <v>3.2050209847151699E-3</v>
      </c>
      <c r="S180" s="3">
        <f t="shared" si="116"/>
        <v>5.4519430661377332E-12</v>
      </c>
      <c r="T180" s="3">
        <f t="shared" si="116"/>
        <v>1.1060013502326721E-99</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3.3824388307374977E-2</v>
      </c>
      <c r="C181" s="3">
        <f t="shared" si="117"/>
        <v>3.382438830737497E-2</v>
      </c>
      <c r="D181" s="3">
        <f t="shared" si="117"/>
        <v>3.3824388307374907E-2</v>
      </c>
      <c r="E181" s="3">
        <f t="shared" si="117"/>
        <v>3.3824388307374297E-2</v>
      </c>
      <c r="F181" s="3">
        <f t="shared" si="117"/>
        <v>3.3824388307368128E-2</v>
      </c>
      <c r="G181" s="3">
        <f t="shared" si="117"/>
        <v>3.3824388307306524E-2</v>
      </c>
      <c r="H181" s="3">
        <f t="shared" si="117"/>
        <v>3.3824388306690413E-2</v>
      </c>
      <c r="I181" s="3">
        <f t="shared" si="117"/>
        <v>3.3824388300529341E-2</v>
      </c>
      <c r="J181" s="3">
        <f t="shared" si="117"/>
        <v>3.3824388238918646E-2</v>
      </c>
      <c r="K181" s="3">
        <f t="shared" si="117"/>
        <v>3.3824387622811647E-2</v>
      </c>
      <c r="L181" s="3">
        <f t="shared" si="117"/>
        <v>3.3824381461742277E-2</v>
      </c>
      <c r="M181" s="3">
        <f t="shared" si="117"/>
        <v>3.3824319851110361E-2</v>
      </c>
      <c r="N181" s="3">
        <f t="shared" si="117"/>
        <v>3.3823703750963358E-2</v>
      </c>
      <c r="O181" s="3">
        <f t="shared" si="117"/>
        <v>3.3817543366674321E-2</v>
      </c>
      <c r="P181" s="3">
        <f t="shared" si="117"/>
        <v>3.3756001200303969E-2</v>
      </c>
      <c r="Q181" s="3">
        <f t="shared" si="117"/>
        <v>3.3146705823437435E-2</v>
      </c>
      <c r="R181" s="3">
        <f t="shared" si="117"/>
        <v>2.7627028578122974E-2</v>
      </c>
      <c r="S181" s="3">
        <f t="shared" si="117"/>
        <v>4.4696365189747954E-3</v>
      </c>
      <c r="T181" s="3">
        <f t="shared" si="117"/>
        <v>5.4910134172970898E-11</v>
      </c>
      <c r="U181" s="3">
        <f t="shared" si="117"/>
        <v>4.2998715935074762E-90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3.8791797530712095E-2</v>
      </c>
      <c r="C182" s="3">
        <f t="shared" si="118"/>
        <v>3.8791797530712095E-2</v>
      </c>
      <c r="D182" s="3">
        <f t="shared" si="118"/>
        <v>3.8791797530712088E-2</v>
      </c>
      <c r="E182" s="3">
        <f t="shared" si="118"/>
        <v>3.8791797530712026E-2</v>
      </c>
      <c r="F182" s="3">
        <f t="shared" si="118"/>
        <v>3.8791797530711387E-2</v>
      </c>
      <c r="G182" s="3">
        <f t="shared" si="118"/>
        <v>3.8791797530705018E-2</v>
      </c>
      <c r="H182" s="3">
        <f t="shared" si="118"/>
        <v>3.8791797530641277E-2</v>
      </c>
      <c r="I182" s="3">
        <f t="shared" si="118"/>
        <v>3.879179753000387E-2</v>
      </c>
      <c r="J182" s="3">
        <f t="shared" si="118"/>
        <v>3.8791797523629858E-2</v>
      </c>
      <c r="K182" s="3">
        <f t="shared" si="118"/>
        <v>3.8791797459889768E-2</v>
      </c>
      <c r="L182" s="3">
        <f t="shared" si="118"/>
        <v>3.8791796822488851E-2</v>
      </c>
      <c r="M182" s="3">
        <f t="shared" si="118"/>
        <v>3.8791790448480225E-2</v>
      </c>
      <c r="N182" s="3">
        <f t="shared" si="118"/>
        <v>3.8791726708451553E-2</v>
      </c>
      <c r="O182" s="3">
        <f t="shared" si="118"/>
        <v>3.8791089313925164E-2</v>
      </c>
      <c r="P182" s="3">
        <f t="shared" si="118"/>
        <v>3.8784715944656413E-2</v>
      </c>
      <c r="Q182" s="3">
        <f t="shared" si="118"/>
        <v>3.8721039816481548E-2</v>
      </c>
      <c r="R182" s="3">
        <f t="shared" si="118"/>
        <v>3.8090000142400528E-2</v>
      </c>
      <c r="S182" s="3">
        <f t="shared" si="118"/>
        <v>3.231845594059695E-2</v>
      </c>
      <c r="T182" s="3">
        <f t="shared" si="118"/>
        <v>6.2495233701911649E-3</v>
      </c>
      <c r="U182" s="3">
        <f t="shared" si="118"/>
        <v>4.5688807743788771E-10</v>
      </c>
      <c r="V182" s="3">
        <f t="shared" si="118"/>
        <v>1.9926871167093329E-81</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2.3183984286354733E-2</v>
      </c>
      <c r="C183" s="3">
        <f t="shared" si="119"/>
        <v>2.3183984286354733E-2</v>
      </c>
      <c r="D183" s="3">
        <f t="shared" si="119"/>
        <v>2.3183984286354733E-2</v>
      </c>
      <c r="E183" s="3">
        <f t="shared" si="119"/>
        <v>2.3183984286354729E-2</v>
      </c>
      <c r="F183" s="3">
        <f t="shared" si="119"/>
        <v>2.3183984286354695E-2</v>
      </c>
      <c r="G183" s="3">
        <f t="shared" si="119"/>
        <v>2.3183984286354351E-2</v>
      </c>
      <c r="H183" s="3">
        <f t="shared" si="119"/>
        <v>2.3183984286350916E-2</v>
      </c>
      <c r="I183" s="3">
        <f t="shared" si="119"/>
        <v>2.3183984286316552E-2</v>
      </c>
      <c r="J183" s="3">
        <f t="shared" si="119"/>
        <v>2.3183984285972906E-2</v>
      </c>
      <c r="K183" s="3">
        <f t="shared" si="119"/>
        <v>2.3183984282536478E-2</v>
      </c>
      <c r="L183" s="3">
        <f t="shared" si="119"/>
        <v>2.3183984248172182E-2</v>
      </c>
      <c r="M183" s="3">
        <f t="shared" si="119"/>
        <v>2.3183983904529228E-2</v>
      </c>
      <c r="N183" s="3">
        <f t="shared" si="119"/>
        <v>2.3183980468099937E-2</v>
      </c>
      <c r="O183" s="3">
        <f t="shared" si="119"/>
        <v>2.3183946103835094E-2</v>
      </c>
      <c r="P183" s="3">
        <f t="shared" si="119"/>
        <v>2.3183602463988089E-2</v>
      </c>
      <c r="Q183" s="3">
        <f t="shared" si="119"/>
        <v>2.3180166345650299E-2</v>
      </c>
      <c r="R183" s="3">
        <f t="shared" si="119"/>
        <v>2.3145833160136558E-2</v>
      </c>
      <c r="S183" s="3">
        <f t="shared" si="119"/>
        <v>2.2805285797242111E-2</v>
      </c>
      <c r="T183" s="3">
        <f t="shared" si="119"/>
        <v>1.966357722907653E-2</v>
      </c>
      <c r="U183" s="3">
        <f t="shared" si="119"/>
        <v>4.4661429361882842E-3</v>
      </c>
      <c r="V183" s="3">
        <f t="shared" si="119"/>
        <v>1.6316744720624267E-9</v>
      </c>
      <c r="W183" s="3">
        <f t="shared" si="119"/>
        <v>6.9126174850221882E-74</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3.3195679421044622E-2</v>
      </c>
      <c r="C184" s="3">
        <f t="shared" si="120"/>
        <v>3.3195679421044622E-2</v>
      </c>
      <c r="D184" s="3">
        <f t="shared" si="120"/>
        <v>3.3195679421044622E-2</v>
      </c>
      <c r="E184" s="3">
        <f t="shared" si="120"/>
        <v>3.3195679421044622E-2</v>
      </c>
      <c r="F184" s="3">
        <f t="shared" si="120"/>
        <v>3.3195679421044615E-2</v>
      </c>
      <c r="G184" s="3">
        <f t="shared" si="120"/>
        <v>3.3195679421044573E-2</v>
      </c>
      <c r="H184" s="3">
        <f t="shared" si="120"/>
        <v>3.3195679421044129E-2</v>
      </c>
      <c r="I184" s="3">
        <f t="shared" si="120"/>
        <v>3.3195679421039688E-2</v>
      </c>
      <c r="J184" s="3">
        <f t="shared" si="120"/>
        <v>3.31956794209953E-2</v>
      </c>
      <c r="K184" s="3">
        <f t="shared" si="120"/>
        <v>3.319567942055144E-2</v>
      </c>
      <c r="L184" s="3">
        <f t="shared" si="120"/>
        <v>3.3195679416112824E-2</v>
      </c>
      <c r="M184" s="3">
        <f t="shared" si="120"/>
        <v>3.3195679371726669E-2</v>
      </c>
      <c r="N184" s="3">
        <f t="shared" si="120"/>
        <v>3.3195678927865117E-2</v>
      </c>
      <c r="O184" s="3">
        <f t="shared" si="120"/>
        <v>3.3195674489249934E-2</v>
      </c>
      <c r="P184" s="3">
        <f t="shared" si="120"/>
        <v>3.3195630103130751E-2</v>
      </c>
      <c r="Q184" s="3">
        <f t="shared" si="120"/>
        <v>3.3195186245203019E-2</v>
      </c>
      <c r="R184" s="3">
        <f t="shared" si="120"/>
        <v>3.3190747992327387E-2</v>
      </c>
      <c r="S184" s="3">
        <f t="shared" si="120"/>
        <v>3.3146398087591476E-2</v>
      </c>
      <c r="T184" s="3">
        <f t="shared" si="120"/>
        <v>3.2706145359776187E-2</v>
      </c>
      <c r="U184" s="3">
        <f t="shared" si="120"/>
        <v>2.8612747965575079E-2</v>
      </c>
      <c r="V184" s="3">
        <f t="shared" si="120"/>
        <v>7.513834715092987E-3</v>
      </c>
      <c r="W184" s="3">
        <f t="shared" si="120"/>
        <v>1.1718777759694342E-8</v>
      </c>
      <c r="X184" s="3">
        <f t="shared" si="120"/>
        <v>9.9790483106959203E-67</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2.038442434974385E-2</v>
      </c>
      <c r="C185" s="3">
        <f t="shared" si="121"/>
        <v>2.038442434974385E-2</v>
      </c>
      <c r="D185" s="3">
        <f t="shared" si="121"/>
        <v>2.038442434974385E-2</v>
      </c>
      <c r="E185" s="3">
        <f t="shared" si="121"/>
        <v>2.038442434974385E-2</v>
      </c>
      <c r="F185" s="3">
        <f t="shared" si="121"/>
        <v>2.038442434974385E-2</v>
      </c>
      <c r="G185" s="3">
        <f t="shared" si="121"/>
        <v>2.0384424349743847E-2</v>
      </c>
      <c r="H185" s="3">
        <f t="shared" si="121"/>
        <v>2.0384424349743822E-2</v>
      </c>
      <c r="I185" s="3">
        <f t="shared" si="121"/>
        <v>2.0384424349743576E-2</v>
      </c>
      <c r="J185" s="3">
        <f t="shared" si="121"/>
        <v>2.038442434974112E-2</v>
      </c>
      <c r="K185" s="3">
        <f t="shared" si="121"/>
        <v>2.0384424349716532E-2</v>
      </c>
      <c r="L185" s="3">
        <f t="shared" si="121"/>
        <v>2.0384424349470655E-2</v>
      </c>
      <c r="M185" s="3">
        <f t="shared" si="121"/>
        <v>2.0384424347011928E-2</v>
      </c>
      <c r="N185" s="3">
        <f t="shared" si="121"/>
        <v>2.0384424322424616E-2</v>
      </c>
      <c r="O185" s="3">
        <f t="shared" si="121"/>
        <v>2.0384424076551524E-2</v>
      </c>
      <c r="P185" s="3">
        <f t="shared" si="121"/>
        <v>2.0384421617820739E-2</v>
      </c>
      <c r="Q185" s="3">
        <f t="shared" si="121"/>
        <v>2.038439703052922E-2</v>
      </c>
      <c r="R185" s="3">
        <f t="shared" si="121"/>
        <v>2.0384151159245138E-2</v>
      </c>
      <c r="S185" s="3">
        <f t="shared" si="121"/>
        <v>2.0381692609508353E-2</v>
      </c>
      <c r="T185" s="3">
        <f t="shared" si="121"/>
        <v>2.0357123415267936E-2</v>
      </c>
      <c r="U185" s="3">
        <f t="shared" si="121"/>
        <v>2.0113054533147174E-2</v>
      </c>
      <c r="V185" s="3">
        <f t="shared" si="121"/>
        <v>1.7827656053842969E-2</v>
      </c>
      <c r="W185" s="3">
        <f t="shared" si="121"/>
        <v>5.3364986353513881E-3</v>
      </c>
      <c r="X185" s="3">
        <f t="shared" si="121"/>
        <v>3.0823216911806457E-8</v>
      </c>
      <c r="Y185" s="3">
        <f t="shared" si="121"/>
        <v>1.2737774641219299E-60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6.6925069366004494E-2</v>
      </c>
      <c r="C186" s="3">
        <f t="shared" si="122"/>
        <v>6.6925069366004494E-2</v>
      </c>
      <c r="D186" s="3">
        <f t="shared" si="122"/>
        <v>6.6925069366004494E-2</v>
      </c>
      <c r="E186" s="3">
        <f t="shared" si="122"/>
        <v>6.6925069366004494E-2</v>
      </c>
      <c r="F186" s="3">
        <f t="shared" si="122"/>
        <v>6.6925069366004494E-2</v>
      </c>
      <c r="G186" s="3">
        <f t="shared" si="122"/>
        <v>6.6925069366004494E-2</v>
      </c>
      <c r="H186" s="3">
        <f t="shared" si="122"/>
        <v>6.692506936600448E-2</v>
      </c>
      <c r="I186" s="3">
        <f t="shared" si="122"/>
        <v>6.6925069366004411E-2</v>
      </c>
      <c r="J186" s="3">
        <f t="shared" si="122"/>
        <v>6.6925069366003689E-2</v>
      </c>
      <c r="K186" s="3">
        <f t="shared" si="122"/>
        <v>6.6925069365996404E-2</v>
      </c>
      <c r="L186" s="3">
        <f t="shared" si="122"/>
        <v>6.6925069365923587E-2</v>
      </c>
      <c r="M186" s="3">
        <f t="shared" si="122"/>
        <v>6.6925069365195392E-2</v>
      </c>
      <c r="N186" s="3">
        <f t="shared" si="122"/>
        <v>6.6925069357913439E-2</v>
      </c>
      <c r="O186" s="3">
        <f t="shared" si="122"/>
        <v>6.6925069285093883E-2</v>
      </c>
      <c r="P186" s="3">
        <f t="shared" si="122"/>
        <v>6.6925068556898407E-2</v>
      </c>
      <c r="Q186" s="3">
        <f t="shared" si="122"/>
        <v>6.6925061274944075E-2</v>
      </c>
      <c r="R186" s="3">
        <f t="shared" si="122"/>
        <v>6.6924988455444326E-2</v>
      </c>
      <c r="S186" s="3">
        <f t="shared" si="122"/>
        <v>6.6924260264804622E-2</v>
      </c>
      <c r="T186" s="3">
        <f t="shared" si="122"/>
        <v>6.6916978794170578E-2</v>
      </c>
      <c r="U186" s="3">
        <f t="shared" si="122"/>
        <v>6.6844207646596029E-2</v>
      </c>
      <c r="V186" s="3">
        <f t="shared" si="122"/>
        <v>6.6120834562121367E-2</v>
      </c>
      <c r="W186" s="3">
        <f t="shared" si="122"/>
        <v>5.9303973774434429E-2</v>
      </c>
      <c r="X186" s="3">
        <f t="shared" si="122"/>
        <v>1.9977377700812742E-2</v>
      </c>
      <c r="Y186" s="3">
        <f t="shared" si="122"/>
        <v>3.7591126156533012E-7</v>
      </c>
      <c r="Z186" s="3">
        <f t="shared" si="122"/>
        <v>2.0919625002787856E-54</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9.6671799143506223E-2</v>
      </c>
      <c r="C187" s="3">
        <f t="shared" si="123"/>
        <v>9.6671799143506223E-2</v>
      </c>
      <c r="D187" s="3">
        <f t="shared" si="123"/>
        <v>9.6671799143506223E-2</v>
      </c>
      <c r="E187" s="3">
        <f t="shared" si="123"/>
        <v>9.6671799143506223E-2</v>
      </c>
      <c r="F187" s="3">
        <f t="shared" si="123"/>
        <v>9.6671799143506223E-2</v>
      </c>
      <c r="G187" s="3">
        <f t="shared" si="123"/>
        <v>9.6671799143506223E-2</v>
      </c>
      <c r="H187" s="3">
        <f t="shared" si="123"/>
        <v>9.6671799143506223E-2</v>
      </c>
      <c r="I187" s="3">
        <f t="shared" si="123"/>
        <v>9.667179914350621E-2</v>
      </c>
      <c r="J187" s="3">
        <f t="shared" si="123"/>
        <v>9.6671799143506112E-2</v>
      </c>
      <c r="K187" s="3">
        <f t="shared" si="123"/>
        <v>9.6671799143505169E-2</v>
      </c>
      <c r="L187" s="3">
        <f t="shared" si="123"/>
        <v>9.667179914349569E-2</v>
      </c>
      <c r="M187" s="3">
        <f t="shared" si="123"/>
        <v>9.6671799143400794E-2</v>
      </c>
      <c r="N187" s="3">
        <f t="shared" si="123"/>
        <v>9.6671799142451928E-2</v>
      </c>
      <c r="O187" s="3">
        <f t="shared" si="123"/>
        <v>9.6671799132963254E-2</v>
      </c>
      <c r="P187" s="3">
        <f t="shared" si="123"/>
        <v>9.6671799038076517E-2</v>
      </c>
      <c r="Q187" s="3">
        <f t="shared" si="123"/>
        <v>9.6671798089209074E-2</v>
      </c>
      <c r="R187" s="3">
        <f t="shared" si="123"/>
        <v>9.6671788600535297E-2</v>
      </c>
      <c r="S187" s="3">
        <f t="shared" si="123"/>
        <v>9.6671693713848678E-2</v>
      </c>
      <c r="T187" s="3">
        <f t="shared" si="123"/>
        <v>9.6670744852104931E-2</v>
      </c>
      <c r="U187" s="3">
        <f t="shared" si="123"/>
        <v>9.6661256746887303E-2</v>
      </c>
      <c r="V187" s="3">
        <f t="shared" si="123"/>
        <v>9.6566426898103852E-2</v>
      </c>
      <c r="W187" s="3">
        <f t="shared" si="123"/>
        <v>9.5623230202843107E-2</v>
      </c>
      <c r="X187" s="3">
        <f t="shared" si="123"/>
        <v>8.6683390887447767E-2</v>
      </c>
      <c r="Y187" s="3">
        <f t="shared" si="123"/>
        <v>3.2483342116377288E-2</v>
      </c>
      <c r="Z187" s="3">
        <f t="shared" si="123"/>
        <v>1.7738171532954484E-6</v>
      </c>
      <c r="AA187" s="3">
        <f t="shared" si="123"/>
        <v>4.1820603143922291E-49</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8.3708796522492912E-2</v>
      </c>
      <c r="C188" s="3">
        <f t="shared" si="124"/>
        <v>8.3708796522492912E-2</v>
      </c>
      <c r="D188" s="3">
        <f t="shared" si="124"/>
        <v>8.3708796522492912E-2</v>
      </c>
      <c r="E188" s="3">
        <f t="shared" si="124"/>
        <v>8.3708796522492912E-2</v>
      </c>
      <c r="F188" s="3">
        <f t="shared" si="124"/>
        <v>8.3708796522492912E-2</v>
      </c>
      <c r="G188" s="3">
        <f t="shared" si="124"/>
        <v>8.3708796522492912E-2</v>
      </c>
      <c r="H188" s="3">
        <f t="shared" si="124"/>
        <v>8.3708796522492912E-2</v>
      </c>
      <c r="I188" s="3">
        <f t="shared" si="124"/>
        <v>8.3708796522492912E-2</v>
      </c>
      <c r="J188" s="3">
        <f t="shared" si="124"/>
        <v>8.3708796522492898E-2</v>
      </c>
      <c r="K188" s="3">
        <f t="shared" si="124"/>
        <v>8.3708796522492829E-2</v>
      </c>
      <c r="L188" s="3">
        <f t="shared" si="124"/>
        <v>8.3708796522492079E-2</v>
      </c>
      <c r="M188" s="3">
        <f t="shared" si="124"/>
        <v>8.3708796522484683E-2</v>
      </c>
      <c r="N188" s="3">
        <f t="shared" si="124"/>
        <v>8.3708796522410561E-2</v>
      </c>
      <c r="O188" s="3">
        <f t="shared" si="124"/>
        <v>8.3708796521669376E-2</v>
      </c>
      <c r="P188" s="3">
        <f t="shared" si="124"/>
        <v>8.3708796514257583E-2</v>
      </c>
      <c r="Q188" s="3">
        <f t="shared" si="124"/>
        <v>8.3708796440139621E-2</v>
      </c>
      <c r="R188" s="3">
        <f t="shared" si="124"/>
        <v>8.3708795698960073E-2</v>
      </c>
      <c r="S188" s="3">
        <f t="shared" si="124"/>
        <v>8.3708788287164951E-2</v>
      </c>
      <c r="T188" s="3">
        <f t="shared" si="124"/>
        <v>8.3708714169249743E-2</v>
      </c>
      <c r="U188" s="3">
        <f t="shared" si="124"/>
        <v>8.370797299370715E-2</v>
      </c>
      <c r="V188" s="3">
        <f t="shared" si="124"/>
        <v>8.3700561599210965E-2</v>
      </c>
      <c r="W188" s="3">
        <f t="shared" si="124"/>
        <v>8.3626483735399382E-2</v>
      </c>
      <c r="X188" s="3">
        <f t="shared" si="124"/>
        <v>8.2889301419796002E-2</v>
      </c>
      <c r="Y188" s="3">
        <f t="shared" si="124"/>
        <v>7.5865602546937763E-2</v>
      </c>
      <c r="Z188" s="3">
        <f t="shared" si="124"/>
        <v>3.1297469969601248E-2</v>
      </c>
      <c r="AA188" s="3">
        <f t="shared" si="124"/>
        <v>4.4684039869045187E-6</v>
      </c>
      <c r="AB188" s="3">
        <f t="shared" si="124"/>
        <v>1.5724774387714751E-44</v>
      </c>
      <c r="AC188" s="3">
        <f t="shared" si="124"/>
        <v>0</v>
      </c>
      <c r="AD188" s="3">
        <f t="shared" si="124"/>
        <v>0</v>
      </c>
      <c r="AE188" s="3">
        <f t="shared" si="124"/>
        <v>0</v>
      </c>
      <c r="AF188" s="3">
        <f t="shared" si="124"/>
        <v>0</v>
      </c>
      <c r="AG188" s="3"/>
      <c r="AH188" s="3"/>
    </row>
    <row r="189" spans="2:34" x14ac:dyDescent="0.25">
      <c r="B189" s="3">
        <f t="shared" ref="B189:AF189" si="125">$C36*EXP(-B$168/$A36/EXP(-$C$126))</f>
        <v>5.9251655732023817E-2</v>
      </c>
      <c r="C189" s="3">
        <f t="shared" si="125"/>
        <v>5.9251655732023817E-2</v>
      </c>
      <c r="D189" s="3">
        <f t="shared" si="125"/>
        <v>5.9251655732023817E-2</v>
      </c>
      <c r="E189" s="3">
        <f t="shared" si="125"/>
        <v>5.9251655732023817E-2</v>
      </c>
      <c r="F189" s="3">
        <f t="shared" si="125"/>
        <v>5.9251655732023817E-2</v>
      </c>
      <c r="G189" s="3">
        <f t="shared" si="125"/>
        <v>5.9251655732023817E-2</v>
      </c>
      <c r="H189" s="3">
        <f t="shared" si="125"/>
        <v>5.9251655732023817E-2</v>
      </c>
      <c r="I189" s="3">
        <f t="shared" si="125"/>
        <v>5.9251655732023817E-2</v>
      </c>
      <c r="J189" s="3">
        <f t="shared" si="125"/>
        <v>5.9251655732023817E-2</v>
      </c>
      <c r="K189" s="3">
        <f t="shared" si="125"/>
        <v>5.925165573202381E-2</v>
      </c>
      <c r="L189" s="3">
        <f t="shared" si="125"/>
        <v>5.9251655732023761E-2</v>
      </c>
      <c r="M189" s="3">
        <f t="shared" si="125"/>
        <v>5.925165573202329E-2</v>
      </c>
      <c r="N189" s="3">
        <f t="shared" si="125"/>
        <v>5.9251655732018564E-2</v>
      </c>
      <c r="O189" s="3">
        <f t="shared" si="125"/>
        <v>5.9251655731971227E-2</v>
      </c>
      <c r="P189" s="3">
        <f t="shared" si="125"/>
        <v>5.9251655731497974E-2</v>
      </c>
      <c r="Q189" s="3">
        <f t="shared" si="125"/>
        <v>5.9251655726765377E-2</v>
      </c>
      <c r="R189" s="3">
        <f t="shared" si="125"/>
        <v>5.9251655679439422E-2</v>
      </c>
      <c r="S189" s="3">
        <f t="shared" si="125"/>
        <v>5.9251655206179837E-2</v>
      </c>
      <c r="T189" s="3">
        <f t="shared" si="125"/>
        <v>5.9251650473584279E-2</v>
      </c>
      <c r="U189" s="3">
        <f t="shared" si="125"/>
        <v>5.9251603147649427E-2</v>
      </c>
      <c r="V189" s="3">
        <f t="shared" si="125"/>
        <v>5.9251129890379964E-2</v>
      </c>
      <c r="W189" s="3">
        <f t="shared" si="125"/>
        <v>5.9246397525581605E-2</v>
      </c>
      <c r="X189" s="3">
        <f t="shared" si="125"/>
        <v>5.9199094661085659E-2</v>
      </c>
      <c r="Y189" s="3">
        <f t="shared" si="125"/>
        <v>5.8728138235856264E-2</v>
      </c>
      <c r="Z189" s="3">
        <f t="shared" si="125"/>
        <v>5.421980058390808E-2</v>
      </c>
      <c r="AA189" s="3">
        <f t="shared" si="125"/>
        <v>2.4393535077466368E-2</v>
      </c>
      <c r="AB189" s="3">
        <f t="shared" si="125"/>
        <v>8.2878714271769398E-6</v>
      </c>
      <c r="AC189" s="3">
        <f t="shared" si="125"/>
        <v>1.698734994870722E-40</v>
      </c>
      <c r="AD189" s="3">
        <f t="shared" si="125"/>
        <v>0</v>
      </c>
      <c r="AE189" s="3">
        <f t="shared" si="125"/>
        <v>0</v>
      </c>
      <c r="AF189" s="3">
        <f t="shared" si="125"/>
        <v>0</v>
      </c>
      <c r="AG189" s="3"/>
      <c r="AH189" s="3"/>
    </row>
    <row r="190" spans="2:34" x14ac:dyDescent="0.25">
      <c r="B190" s="3">
        <f t="shared" ref="B190:AF190" si="126">$C37*EXP(-B$168/$A37/EXP(-$C$126))</f>
        <v>5.2327746974864794E-2</v>
      </c>
      <c r="C190" s="3">
        <f t="shared" si="126"/>
        <v>5.2327746974864794E-2</v>
      </c>
      <c r="D190" s="3">
        <f t="shared" si="126"/>
        <v>5.2327746974864794E-2</v>
      </c>
      <c r="E190" s="3">
        <f t="shared" si="126"/>
        <v>5.2327746974864794E-2</v>
      </c>
      <c r="F190" s="3">
        <f t="shared" si="126"/>
        <v>5.2327746974864794E-2</v>
      </c>
      <c r="G190" s="3">
        <f t="shared" si="126"/>
        <v>5.2327746974864794E-2</v>
      </c>
      <c r="H190" s="3">
        <f t="shared" si="126"/>
        <v>5.2327746974864794E-2</v>
      </c>
      <c r="I190" s="3">
        <f t="shared" si="126"/>
        <v>5.2327746974864794E-2</v>
      </c>
      <c r="J190" s="3">
        <f t="shared" si="126"/>
        <v>5.2327746974864794E-2</v>
      </c>
      <c r="K190" s="3">
        <f t="shared" si="126"/>
        <v>5.2327746974864794E-2</v>
      </c>
      <c r="L190" s="3">
        <f t="shared" si="126"/>
        <v>5.2327746974864787E-2</v>
      </c>
      <c r="M190" s="3">
        <f t="shared" si="126"/>
        <v>5.2327746974864753E-2</v>
      </c>
      <c r="N190" s="3">
        <f t="shared" si="126"/>
        <v>5.2327746974864378E-2</v>
      </c>
      <c r="O190" s="3">
        <f t="shared" si="126"/>
        <v>5.2327746974860603E-2</v>
      </c>
      <c r="P190" s="3">
        <f t="shared" si="126"/>
        <v>5.2327746974822904E-2</v>
      </c>
      <c r="Q190" s="3">
        <f t="shared" si="126"/>
        <v>5.2327746974445866E-2</v>
      </c>
      <c r="R190" s="3">
        <f t="shared" si="126"/>
        <v>5.2327746970675562E-2</v>
      </c>
      <c r="S190" s="3">
        <f t="shared" si="126"/>
        <v>5.2327746932972416E-2</v>
      </c>
      <c r="T190" s="3">
        <f t="shared" si="126"/>
        <v>5.2327746555940989E-2</v>
      </c>
      <c r="U190" s="3">
        <f t="shared" si="126"/>
        <v>5.23277427856269E-2</v>
      </c>
      <c r="V190" s="3">
        <f t="shared" si="126"/>
        <v>5.2327705082500987E-2</v>
      </c>
      <c r="W190" s="3">
        <f t="shared" si="126"/>
        <v>5.2327328052735878E-2</v>
      </c>
      <c r="X190" s="3">
        <f t="shared" si="126"/>
        <v>5.2323557904492488E-2</v>
      </c>
      <c r="Y190" s="3">
        <f t="shared" si="126"/>
        <v>5.2285871358843154E-2</v>
      </c>
      <c r="Z190" s="3">
        <f t="shared" si="126"/>
        <v>5.1910495606437047E-2</v>
      </c>
      <c r="AA190" s="3">
        <f t="shared" si="126"/>
        <v>4.8301812440200605E-2</v>
      </c>
      <c r="AB190" s="3">
        <f t="shared" si="126"/>
        <v>2.349881415646916E-2</v>
      </c>
      <c r="AC190" s="3">
        <f t="shared" si="126"/>
        <v>1.745304227691864E-5</v>
      </c>
      <c r="AD190" s="3">
        <f t="shared" si="126"/>
        <v>8.9150355962536025E-37</v>
      </c>
      <c r="AE190" s="3">
        <f t="shared" si="126"/>
        <v>0</v>
      </c>
      <c r="AF190" s="3">
        <f t="shared" si="126"/>
        <v>0</v>
      </c>
      <c r="AG190" s="3"/>
      <c r="AH190" s="3"/>
    </row>
    <row r="191" spans="2:34" x14ac:dyDescent="0.25">
      <c r="B191" s="3">
        <f t="shared" ref="B191:AF191" si="127">$C38*EXP(-B$168/$A38/EXP(-$C$126))</f>
        <v>1.7967891452015796E-2</v>
      </c>
      <c r="C191" s="3">
        <f t="shared" si="127"/>
        <v>1.7967891452015796E-2</v>
      </c>
      <c r="D191" s="3">
        <f t="shared" si="127"/>
        <v>1.7967891452015796E-2</v>
      </c>
      <c r="E191" s="3">
        <f t="shared" si="127"/>
        <v>1.7967891452015796E-2</v>
      </c>
      <c r="F191" s="3">
        <f t="shared" si="127"/>
        <v>1.7967891452015796E-2</v>
      </c>
      <c r="G191" s="3">
        <f t="shared" si="127"/>
        <v>1.7967891452015796E-2</v>
      </c>
      <c r="H191" s="3">
        <f t="shared" si="127"/>
        <v>1.7967891452015796E-2</v>
      </c>
      <c r="I191" s="3">
        <f t="shared" si="127"/>
        <v>1.7967891452015796E-2</v>
      </c>
      <c r="J191" s="3">
        <f t="shared" si="127"/>
        <v>1.7967891452015796E-2</v>
      </c>
      <c r="K191" s="3">
        <f t="shared" si="127"/>
        <v>1.7967891452015796E-2</v>
      </c>
      <c r="L191" s="3">
        <f t="shared" si="127"/>
        <v>1.7967891452015796E-2</v>
      </c>
      <c r="M191" s="3">
        <f t="shared" si="127"/>
        <v>1.7967891452015793E-2</v>
      </c>
      <c r="N191" s="3">
        <f t="shared" si="127"/>
        <v>1.7967891452015782E-2</v>
      </c>
      <c r="O191" s="3">
        <f t="shared" si="127"/>
        <v>1.7967891452015668E-2</v>
      </c>
      <c r="P191" s="3">
        <f t="shared" si="127"/>
        <v>1.7967891452014498E-2</v>
      </c>
      <c r="Q191" s="3">
        <f t="shared" si="127"/>
        <v>1.796789145200282E-2</v>
      </c>
      <c r="R191" s="3">
        <f t="shared" si="127"/>
        <v>1.7967891451886035E-2</v>
      </c>
      <c r="S191" s="3">
        <f t="shared" si="127"/>
        <v>1.7967891450718178E-2</v>
      </c>
      <c r="T191" s="3">
        <f t="shared" si="127"/>
        <v>1.796789143903962E-2</v>
      </c>
      <c r="U191" s="3">
        <f t="shared" si="127"/>
        <v>1.7967891322254043E-2</v>
      </c>
      <c r="V191" s="3">
        <f t="shared" si="127"/>
        <v>1.7967890154398293E-2</v>
      </c>
      <c r="W191" s="3">
        <f t="shared" si="127"/>
        <v>1.7967878475844992E-2</v>
      </c>
      <c r="X191" s="3">
        <f t="shared" si="127"/>
        <v>1.7967761690729438E-2</v>
      </c>
      <c r="Y191" s="3">
        <f t="shared" si="127"/>
        <v>1.7966593881321598E-2</v>
      </c>
      <c r="Z191" s="3">
        <f t="shared" si="127"/>
        <v>1.7954919961008006E-2</v>
      </c>
      <c r="AA191" s="3">
        <f t="shared" si="127"/>
        <v>1.7838597132353511E-2</v>
      </c>
      <c r="AB191" s="3">
        <f t="shared" si="127"/>
        <v>1.6716022133256885E-2</v>
      </c>
      <c r="AC191" s="3">
        <f t="shared" si="127"/>
        <v>8.7268063262703702E-3</v>
      </c>
      <c r="AD191" s="3">
        <f t="shared" si="127"/>
        <v>1.3124396447020708E-5</v>
      </c>
      <c r="AE191" s="3">
        <f t="shared" si="127"/>
        <v>7.7681815804425685E-34</v>
      </c>
      <c r="AF191" s="3">
        <f t="shared" si="127"/>
        <v>0</v>
      </c>
      <c r="AG191" s="3"/>
      <c r="AH191" s="3"/>
    </row>
    <row r="192" spans="2:34" x14ac:dyDescent="0.25">
      <c r="B192" s="3">
        <f t="shared" ref="B192:AF192" si="128">$C39*EXP(-B$168/$A39/EXP(-$C$126))</f>
        <v>4.123109123431553E-2</v>
      </c>
      <c r="C192" s="3">
        <f t="shared" si="128"/>
        <v>4.123109123431553E-2</v>
      </c>
      <c r="D192" s="3">
        <f t="shared" si="128"/>
        <v>4.123109123431553E-2</v>
      </c>
      <c r="E192" s="3">
        <f t="shared" si="128"/>
        <v>4.123109123431553E-2</v>
      </c>
      <c r="F192" s="3">
        <f t="shared" si="128"/>
        <v>4.123109123431553E-2</v>
      </c>
      <c r="G192" s="3">
        <f t="shared" si="128"/>
        <v>4.123109123431553E-2</v>
      </c>
      <c r="H192" s="3">
        <f t="shared" si="128"/>
        <v>4.123109123431553E-2</v>
      </c>
      <c r="I192" s="3">
        <f t="shared" si="128"/>
        <v>4.123109123431553E-2</v>
      </c>
      <c r="J192" s="3">
        <f t="shared" si="128"/>
        <v>4.123109123431553E-2</v>
      </c>
      <c r="K192" s="3">
        <f t="shared" si="128"/>
        <v>4.123109123431553E-2</v>
      </c>
      <c r="L192" s="3">
        <f t="shared" si="128"/>
        <v>4.123109123431553E-2</v>
      </c>
      <c r="M192" s="3">
        <f t="shared" si="128"/>
        <v>4.123109123431553E-2</v>
      </c>
      <c r="N192" s="3">
        <f t="shared" si="128"/>
        <v>4.1231091234315523E-2</v>
      </c>
      <c r="O192" s="3">
        <f t="shared" si="128"/>
        <v>4.1231091234315446E-2</v>
      </c>
      <c r="P192" s="3">
        <f t="shared" si="128"/>
        <v>4.1231091234314704E-2</v>
      </c>
      <c r="Q192" s="3">
        <f t="shared" si="128"/>
        <v>4.1231091234307293E-2</v>
      </c>
      <c r="R192" s="3">
        <f t="shared" si="128"/>
        <v>4.1231091234233172E-2</v>
      </c>
      <c r="S192" s="3">
        <f t="shared" si="128"/>
        <v>4.123109123349198E-2</v>
      </c>
      <c r="T192" s="3">
        <f t="shared" si="128"/>
        <v>4.1231091226080083E-2</v>
      </c>
      <c r="U192" s="3">
        <f t="shared" si="128"/>
        <v>4.1231091151961038E-2</v>
      </c>
      <c r="V192" s="3">
        <f t="shared" si="128"/>
        <v>4.1231090410770631E-2</v>
      </c>
      <c r="W192" s="3">
        <f t="shared" si="128"/>
        <v>4.1231082998867276E-2</v>
      </c>
      <c r="X192" s="3">
        <f t="shared" si="128"/>
        <v>4.1231008879907029E-2</v>
      </c>
      <c r="Y192" s="3">
        <f t="shared" si="128"/>
        <v>4.1230267697632682E-2</v>
      </c>
      <c r="Z192" s="3">
        <f t="shared" si="128"/>
        <v>4.1222856607655303E-2</v>
      </c>
      <c r="AA192" s="3">
        <f t="shared" si="128"/>
        <v>4.1148818935774163E-2</v>
      </c>
      <c r="AB192" s="3">
        <f t="shared" si="128"/>
        <v>4.0415716533461744E-2</v>
      </c>
      <c r="AC192" s="3">
        <f t="shared" si="128"/>
        <v>3.3765980580361302E-2</v>
      </c>
      <c r="AD192" s="3">
        <f t="shared" si="128"/>
        <v>5.594614949950105E-3</v>
      </c>
      <c r="AE192" s="3">
        <f t="shared" si="128"/>
        <v>8.7232547006539375E-11</v>
      </c>
      <c r="AF192" s="3">
        <f t="shared" si="128"/>
        <v>7.4090422161048837E-89</v>
      </c>
      <c r="AG192" s="3"/>
      <c r="AH192" s="3"/>
    </row>
    <row r="193" spans="1:34" x14ac:dyDescent="0.25">
      <c r="B193" s="3">
        <f t="shared" ref="B193:AF193" si="129">$C40*EXP(-B$168/$A40/EXP(-$C$126))</f>
        <v>3.4610685556715946E-2</v>
      </c>
      <c r="C193" s="3">
        <f t="shared" si="129"/>
        <v>3.4610685556715946E-2</v>
      </c>
      <c r="D193" s="3">
        <f t="shared" si="129"/>
        <v>3.4610685556715946E-2</v>
      </c>
      <c r="E193" s="3">
        <f t="shared" si="129"/>
        <v>3.4610685556715946E-2</v>
      </c>
      <c r="F193" s="3">
        <f t="shared" si="129"/>
        <v>3.4610685556715946E-2</v>
      </c>
      <c r="G193" s="3">
        <f t="shared" si="129"/>
        <v>3.4610685556715946E-2</v>
      </c>
      <c r="H193" s="3">
        <f t="shared" si="129"/>
        <v>3.4610685556715946E-2</v>
      </c>
      <c r="I193" s="3">
        <f t="shared" si="129"/>
        <v>3.4610685556715946E-2</v>
      </c>
      <c r="J193" s="3">
        <f t="shared" si="129"/>
        <v>3.4610685556715946E-2</v>
      </c>
      <c r="K193" s="3">
        <f t="shared" si="129"/>
        <v>3.4610685556715946E-2</v>
      </c>
      <c r="L193" s="3">
        <f t="shared" si="129"/>
        <v>3.4610685556715946E-2</v>
      </c>
      <c r="M193" s="3">
        <f t="shared" si="129"/>
        <v>3.4610685556715946E-2</v>
      </c>
      <c r="N193" s="3">
        <f t="shared" si="129"/>
        <v>3.4610685556715946E-2</v>
      </c>
      <c r="O193" s="3">
        <f t="shared" si="129"/>
        <v>3.4610685556715939E-2</v>
      </c>
      <c r="P193" s="3">
        <f t="shared" si="129"/>
        <v>3.4610685556715877E-2</v>
      </c>
      <c r="Q193" s="3">
        <f t="shared" si="129"/>
        <v>3.4610685556715252E-2</v>
      </c>
      <c r="R193" s="3">
        <f t="shared" si="129"/>
        <v>3.4610685556709035E-2</v>
      </c>
      <c r="S193" s="3">
        <f t="shared" si="129"/>
        <v>3.4610685556646814E-2</v>
      </c>
      <c r="T193" s="3">
        <f t="shared" si="129"/>
        <v>3.4610685556024638E-2</v>
      </c>
      <c r="U193" s="3">
        <f t="shared" si="129"/>
        <v>3.4610685549802851E-2</v>
      </c>
      <c r="V193" s="3">
        <f t="shared" si="129"/>
        <v>3.4610685487584975E-2</v>
      </c>
      <c r="W193" s="3">
        <f t="shared" si="129"/>
        <v>3.4610684865406242E-2</v>
      </c>
      <c r="X193" s="3">
        <f t="shared" si="129"/>
        <v>3.4610678643619511E-2</v>
      </c>
      <c r="Y193" s="3">
        <f t="shared" si="129"/>
        <v>3.4610616425813714E-2</v>
      </c>
      <c r="Z193" s="3">
        <f t="shared" si="129"/>
        <v>3.4609994253907289E-2</v>
      </c>
      <c r="AA193" s="3">
        <f t="shared" si="129"/>
        <v>3.4603773149950029E-2</v>
      </c>
      <c r="AB193" s="3">
        <f t="shared" si="129"/>
        <v>3.4541623580192908E-2</v>
      </c>
      <c r="AC193" s="3">
        <f t="shared" si="129"/>
        <v>3.3926234174583611E-2</v>
      </c>
      <c r="AD193" s="3">
        <f t="shared" si="129"/>
        <v>2.8344234930372511E-2</v>
      </c>
      <c r="AE193" s="3">
        <f t="shared" si="129"/>
        <v>4.6962972127807586E-3</v>
      </c>
      <c r="AF193" s="3">
        <f t="shared" si="129"/>
        <v>7.3225766390630875E-11</v>
      </c>
      <c r="AG193" s="3"/>
      <c r="AH193" s="3"/>
    </row>
    <row r="194" spans="1:34" x14ac:dyDescent="0.25">
      <c r="B194" s="3">
        <f t="shared" ref="B194:AF194" si="130">$C41*EXP(-B$168/$A41/EXP(-$C$126))</f>
        <v>4.2854236942630193E-2</v>
      </c>
      <c r="C194" s="3">
        <f t="shared" si="130"/>
        <v>4.2854236942630193E-2</v>
      </c>
      <c r="D194" s="3">
        <f t="shared" si="130"/>
        <v>4.2854236942630193E-2</v>
      </c>
      <c r="E194" s="3">
        <f t="shared" si="130"/>
        <v>4.2854236942630193E-2</v>
      </c>
      <c r="F194" s="3">
        <f t="shared" si="130"/>
        <v>4.2854236942630193E-2</v>
      </c>
      <c r="G194" s="3">
        <f t="shared" si="130"/>
        <v>4.2854236942630193E-2</v>
      </c>
      <c r="H194" s="3">
        <f t="shared" si="130"/>
        <v>4.2854236942630193E-2</v>
      </c>
      <c r="I194" s="3">
        <f t="shared" si="130"/>
        <v>4.2854236942630193E-2</v>
      </c>
      <c r="J194" s="3">
        <f t="shared" si="130"/>
        <v>4.2854236942630193E-2</v>
      </c>
      <c r="K194" s="3">
        <f t="shared" si="130"/>
        <v>4.2854236942630193E-2</v>
      </c>
      <c r="L194" s="3">
        <f t="shared" si="130"/>
        <v>4.2854236942630193E-2</v>
      </c>
      <c r="M194" s="3">
        <f t="shared" si="130"/>
        <v>4.2854236942630193E-2</v>
      </c>
      <c r="N194" s="3">
        <f t="shared" si="130"/>
        <v>4.2854236942630193E-2</v>
      </c>
      <c r="O194" s="3">
        <f t="shared" si="130"/>
        <v>4.2854236942630193E-2</v>
      </c>
      <c r="P194" s="3">
        <f t="shared" si="130"/>
        <v>4.2854236942630186E-2</v>
      </c>
      <c r="Q194" s="3">
        <f t="shared" si="130"/>
        <v>4.285423694263011E-2</v>
      </c>
      <c r="R194" s="3">
        <f t="shared" si="130"/>
        <v>4.285423694262934E-2</v>
      </c>
      <c r="S194" s="3">
        <f t="shared" si="130"/>
        <v>4.285423694262163E-2</v>
      </c>
      <c r="T194" s="3">
        <f t="shared" si="130"/>
        <v>4.2854236942544595E-2</v>
      </c>
      <c r="U194" s="3">
        <f t="shared" si="130"/>
        <v>4.2854236941774225E-2</v>
      </c>
      <c r="V194" s="3">
        <f t="shared" si="130"/>
        <v>4.285423693407054E-2</v>
      </c>
      <c r="W194" s="3">
        <f t="shared" si="130"/>
        <v>4.2854236857033649E-2</v>
      </c>
      <c r="X194" s="3">
        <f t="shared" si="130"/>
        <v>4.2854236086664776E-2</v>
      </c>
      <c r="Y194" s="3">
        <f t="shared" si="130"/>
        <v>4.2854228382976783E-2</v>
      </c>
      <c r="Z194" s="3">
        <f t="shared" si="130"/>
        <v>4.2854151346173014E-2</v>
      </c>
      <c r="AA194" s="3">
        <f t="shared" si="130"/>
        <v>4.2853380985751997E-2</v>
      </c>
      <c r="AB194" s="3">
        <f t="shared" si="130"/>
        <v>4.2845678143154667E-2</v>
      </c>
      <c r="AC194" s="3">
        <f t="shared" si="130"/>
        <v>4.276872582783893E-2</v>
      </c>
      <c r="AD194" s="3">
        <f t="shared" si="130"/>
        <v>4.2006763359434492E-2</v>
      </c>
      <c r="AE194" s="3">
        <f t="shared" si="130"/>
        <v>3.5095247035003066E-2</v>
      </c>
      <c r="AF194" s="3">
        <f t="shared" si="130"/>
        <v>5.8148583384667494E-3</v>
      </c>
      <c r="AG194" s="3"/>
      <c r="AH194" s="3"/>
    </row>
    <row r="195" spans="1:34" x14ac:dyDescent="0.25">
      <c r="B195" s="3">
        <f t="shared" ref="B195:AF195" si="131">$C42*EXP(-B$168/$A42/EXP(-$C$126))</f>
        <v>3.2192937025108795E-2</v>
      </c>
      <c r="C195" s="3">
        <f t="shared" si="131"/>
        <v>3.2192937025108795E-2</v>
      </c>
      <c r="D195" s="3">
        <f t="shared" si="131"/>
        <v>3.2192937025108795E-2</v>
      </c>
      <c r="E195" s="3">
        <f t="shared" si="131"/>
        <v>3.2192937025108795E-2</v>
      </c>
      <c r="F195" s="3">
        <f t="shared" si="131"/>
        <v>3.2192937025108795E-2</v>
      </c>
      <c r="G195" s="3">
        <f t="shared" si="131"/>
        <v>3.2192937025108795E-2</v>
      </c>
      <c r="H195" s="3">
        <f t="shared" si="131"/>
        <v>3.2192937025108795E-2</v>
      </c>
      <c r="I195" s="3">
        <f t="shared" si="131"/>
        <v>3.2192937025108795E-2</v>
      </c>
      <c r="J195" s="3">
        <f t="shared" si="131"/>
        <v>3.2192937025108795E-2</v>
      </c>
      <c r="K195" s="3">
        <f t="shared" si="131"/>
        <v>3.2192937025108795E-2</v>
      </c>
      <c r="L195" s="3">
        <f t="shared" si="131"/>
        <v>3.2192937025108795E-2</v>
      </c>
      <c r="M195" s="3">
        <f t="shared" si="131"/>
        <v>3.2192937025108795E-2</v>
      </c>
      <c r="N195" s="3">
        <f t="shared" si="131"/>
        <v>3.2192937025108795E-2</v>
      </c>
      <c r="O195" s="3">
        <f t="shared" si="131"/>
        <v>3.2192937025108795E-2</v>
      </c>
      <c r="P195" s="3">
        <f t="shared" si="131"/>
        <v>3.2192937025108795E-2</v>
      </c>
      <c r="Q195" s="3">
        <f t="shared" si="131"/>
        <v>3.2192937025108788E-2</v>
      </c>
      <c r="R195" s="3">
        <f t="shared" si="131"/>
        <v>3.2192937025108732E-2</v>
      </c>
      <c r="S195" s="3">
        <f t="shared" si="131"/>
        <v>3.219293702510815E-2</v>
      </c>
      <c r="T195" s="3">
        <f t="shared" si="131"/>
        <v>3.2192937025102362E-2</v>
      </c>
      <c r="U195" s="3">
        <f t="shared" si="131"/>
        <v>3.2192937025044492E-2</v>
      </c>
      <c r="V195" s="3">
        <f t="shared" si="131"/>
        <v>3.2192937024465774E-2</v>
      </c>
      <c r="W195" s="3">
        <f t="shared" si="131"/>
        <v>3.2192937018678619E-2</v>
      </c>
      <c r="X195" s="3">
        <f t="shared" si="131"/>
        <v>3.2192936960807002E-2</v>
      </c>
      <c r="Y195" s="3">
        <f t="shared" si="131"/>
        <v>3.2192936382090906E-2</v>
      </c>
      <c r="Z195" s="3">
        <f t="shared" si="131"/>
        <v>3.2192930594930523E-2</v>
      </c>
      <c r="AA195" s="3">
        <f t="shared" si="131"/>
        <v>3.2192872723383878E-2</v>
      </c>
      <c r="AB195" s="3">
        <f t="shared" si="131"/>
        <v>3.2192294013639169E-2</v>
      </c>
      <c r="AC195" s="3">
        <f t="shared" si="131"/>
        <v>3.2186507488330553E-2</v>
      </c>
      <c r="AD195" s="3">
        <f t="shared" si="131"/>
        <v>3.2128699411051932E-2</v>
      </c>
      <c r="AE195" s="3">
        <f t="shared" si="131"/>
        <v>3.1556298371834289E-2</v>
      </c>
      <c r="AF195" s="3">
        <f t="shared" si="131"/>
        <v>2.6364232763985525E-2</v>
      </c>
      <c r="AG195" s="3"/>
      <c r="AH195" s="3"/>
    </row>
    <row r="196" spans="1:34" x14ac:dyDescent="0.25">
      <c r="B196" s="3">
        <f t="shared" ref="B196:AF196" si="132">$C43*EXP(-B$168/$A43/EXP(-$C$126))</f>
        <v>2.5751010749186929E-2</v>
      </c>
      <c r="C196" s="3">
        <f t="shared" si="132"/>
        <v>2.5751010749186929E-2</v>
      </c>
      <c r="D196" s="3">
        <f t="shared" si="132"/>
        <v>2.5751010749186929E-2</v>
      </c>
      <c r="E196" s="3">
        <f t="shared" si="132"/>
        <v>2.5751010749186929E-2</v>
      </c>
      <c r="F196" s="3">
        <f t="shared" si="132"/>
        <v>2.5751010749186929E-2</v>
      </c>
      <c r="G196" s="3">
        <f t="shared" si="132"/>
        <v>2.5751010749186929E-2</v>
      </c>
      <c r="H196" s="3">
        <f t="shared" si="132"/>
        <v>2.5751010749186929E-2</v>
      </c>
      <c r="I196" s="3">
        <f t="shared" si="132"/>
        <v>2.5751010749186929E-2</v>
      </c>
      <c r="J196" s="3">
        <f t="shared" si="132"/>
        <v>2.5751010749186929E-2</v>
      </c>
      <c r="K196" s="3">
        <f t="shared" si="132"/>
        <v>2.5751010749186929E-2</v>
      </c>
      <c r="L196" s="3">
        <f t="shared" si="132"/>
        <v>2.5751010749186929E-2</v>
      </c>
      <c r="M196" s="3">
        <f t="shared" si="132"/>
        <v>2.5751010749186929E-2</v>
      </c>
      <c r="N196" s="3">
        <f t="shared" si="132"/>
        <v>2.5751010749186929E-2</v>
      </c>
      <c r="O196" s="3">
        <f t="shared" si="132"/>
        <v>2.5751010749186929E-2</v>
      </c>
      <c r="P196" s="3">
        <f t="shared" si="132"/>
        <v>2.5751010749186929E-2</v>
      </c>
      <c r="Q196" s="3">
        <f t="shared" si="132"/>
        <v>2.5751010749186929E-2</v>
      </c>
      <c r="R196" s="3">
        <f t="shared" si="132"/>
        <v>2.5751010749186922E-2</v>
      </c>
      <c r="S196" s="3">
        <f t="shared" si="132"/>
        <v>2.5751010749186877E-2</v>
      </c>
      <c r="T196" s="3">
        <f t="shared" si="132"/>
        <v>2.5751010749186416E-2</v>
      </c>
      <c r="U196" s="3">
        <f t="shared" si="132"/>
        <v>2.5751010749181787E-2</v>
      </c>
      <c r="V196" s="3">
        <f t="shared" si="132"/>
        <v>2.5751010749135494E-2</v>
      </c>
      <c r="W196" s="3">
        <f t="shared" si="132"/>
        <v>2.575101074867258E-2</v>
      </c>
      <c r="X196" s="3">
        <f t="shared" si="132"/>
        <v>2.5751010744043453E-2</v>
      </c>
      <c r="Y196" s="3">
        <f t="shared" si="132"/>
        <v>2.5751010697752166E-2</v>
      </c>
      <c r="Z196" s="3">
        <f t="shared" si="132"/>
        <v>2.5751010234839309E-2</v>
      </c>
      <c r="AA196" s="3">
        <f t="shared" si="132"/>
        <v>2.5751005605711214E-2</v>
      </c>
      <c r="AB196" s="3">
        <f t="shared" si="132"/>
        <v>2.5750959314476008E-2</v>
      </c>
      <c r="AC196" s="3">
        <f t="shared" si="132"/>
        <v>2.5750496406700775E-2</v>
      </c>
      <c r="AD196" s="3">
        <f t="shared" si="132"/>
        <v>2.5745867786599836E-2</v>
      </c>
      <c r="AE196" s="3">
        <f t="shared" si="132"/>
        <v>2.5699627320306548E-2</v>
      </c>
      <c r="AF196" s="3">
        <f t="shared" si="132"/>
        <v>2.5241765855158371E-2</v>
      </c>
      <c r="AG196" s="3"/>
      <c r="AH196" s="3"/>
    </row>
    <row r="197" spans="1:34" x14ac:dyDescent="0.25">
      <c r="B197" s="3">
        <f t="shared" ref="B197:AF197" si="133">$C44*EXP(-B$168/$A44/EXP(-$C$126))</f>
        <v>1.2586213635594824E-2</v>
      </c>
      <c r="C197" s="3">
        <f t="shared" si="133"/>
        <v>1.2586213635594824E-2</v>
      </c>
      <c r="D197" s="3">
        <f t="shared" si="133"/>
        <v>1.2586213635594824E-2</v>
      </c>
      <c r="E197" s="3">
        <f t="shared" si="133"/>
        <v>1.2586213635594824E-2</v>
      </c>
      <c r="F197" s="3">
        <f t="shared" si="133"/>
        <v>1.2586213635594824E-2</v>
      </c>
      <c r="G197" s="3">
        <f t="shared" si="133"/>
        <v>1.2586213635594824E-2</v>
      </c>
      <c r="H197" s="3">
        <f t="shared" si="133"/>
        <v>1.2586213635594824E-2</v>
      </c>
      <c r="I197" s="3">
        <f t="shared" si="133"/>
        <v>1.2586213635594824E-2</v>
      </c>
      <c r="J197" s="3">
        <f t="shared" si="133"/>
        <v>1.2586213635594824E-2</v>
      </c>
      <c r="K197" s="3">
        <f t="shared" si="133"/>
        <v>1.2586213635594824E-2</v>
      </c>
      <c r="L197" s="3">
        <f t="shared" si="133"/>
        <v>1.2586213635594824E-2</v>
      </c>
      <c r="M197" s="3">
        <f t="shared" si="133"/>
        <v>1.2586213635594824E-2</v>
      </c>
      <c r="N197" s="3">
        <f t="shared" si="133"/>
        <v>1.2586213635594824E-2</v>
      </c>
      <c r="O197" s="3">
        <f t="shared" si="133"/>
        <v>1.2586213635594824E-2</v>
      </c>
      <c r="P197" s="3">
        <f t="shared" si="133"/>
        <v>1.2586213635594824E-2</v>
      </c>
      <c r="Q197" s="3">
        <f t="shared" si="133"/>
        <v>1.2586213635594824E-2</v>
      </c>
      <c r="R197" s="3">
        <f t="shared" si="133"/>
        <v>1.2586213635594824E-2</v>
      </c>
      <c r="S197" s="3">
        <f t="shared" si="133"/>
        <v>1.258621363559482E-2</v>
      </c>
      <c r="T197" s="3">
        <f t="shared" si="133"/>
        <v>1.25862136355948E-2</v>
      </c>
      <c r="U197" s="3">
        <f t="shared" si="133"/>
        <v>1.2586213635594572E-2</v>
      </c>
      <c r="V197" s="3">
        <f t="shared" si="133"/>
        <v>1.258621363559231E-2</v>
      </c>
      <c r="W197" s="3">
        <f t="shared" si="133"/>
        <v>1.2586213635569684E-2</v>
      </c>
      <c r="X197" s="3">
        <f t="shared" si="133"/>
        <v>1.2586213635343428E-2</v>
      </c>
      <c r="Y197" s="3">
        <f t="shared" si="133"/>
        <v>1.258621363308087E-2</v>
      </c>
      <c r="Z197" s="3">
        <f t="shared" si="133"/>
        <v>1.258621361045527E-2</v>
      </c>
      <c r="AA197" s="3">
        <f t="shared" si="133"/>
        <v>1.2586213384199293E-2</v>
      </c>
      <c r="AB197" s="3">
        <f t="shared" si="133"/>
        <v>1.2586211121639749E-2</v>
      </c>
      <c r="AC197" s="3">
        <f t="shared" si="133"/>
        <v>1.2586188496066662E-2</v>
      </c>
      <c r="AD197" s="3">
        <f t="shared" si="133"/>
        <v>1.2585962242572793E-2</v>
      </c>
      <c r="AE197" s="3">
        <f t="shared" si="133"/>
        <v>1.2583699931318457E-2</v>
      </c>
      <c r="AF197" s="3">
        <f t="shared" si="133"/>
        <v>1.2561099172340665E-2</v>
      </c>
      <c r="AG197" s="3"/>
      <c r="AH197" s="3"/>
    </row>
    <row r="198" spans="1:34" x14ac:dyDescent="0.25">
      <c r="B198" s="3">
        <f t="shared" ref="B198:AF198" si="134">$C45*EXP(-B$168/$A45/EXP(-$C$126))</f>
        <v>6.9130744193958088E-3</v>
      </c>
      <c r="C198" s="3">
        <f t="shared" si="134"/>
        <v>6.9130744193958088E-3</v>
      </c>
      <c r="D198" s="3">
        <f t="shared" si="134"/>
        <v>6.9130744193958088E-3</v>
      </c>
      <c r="E198" s="3">
        <f t="shared" si="134"/>
        <v>6.9130744193958088E-3</v>
      </c>
      <c r="F198" s="3">
        <f t="shared" si="134"/>
        <v>6.9130744193958088E-3</v>
      </c>
      <c r="G198" s="3">
        <f t="shared" si="134"/>
        <v>6.9130744193958088E-3</v>
      </c>
      <c r="H198" s="3">
        <f t="shared" si="134"/>
        <v>6.9130744193958088E-3</v>
      </c>
      <c r="I198" s="3">
        <f t="shared" si="134"/>
        <v>6.9130744193958088E-3</v>
      </c>
      <c r="J198" s="3">
        <f t="shared" si="134"/>
        <v>6.9130744193958088E-3</v>
      </c>
      <c r="K198" s="3">
        <f t="shared" si="134"/>
        <v>6.9130744193958088E-3</v>
      </c>
      <c r="L198" s="3">
        <f t="shared" si="134"/>
        <v>6.9130744193958088E-3</v>
      </c>
      <c r="M198" s="3">
        <f t="shared" si="134"/>
        <v>6.9130744193958088E-3</v>
      </c>
      <c r="N198" s="3">
        <f t="shared" si="134"/>
        <v>6.9130744193958088E-3</v>
      </c>
      <c r="O198" s="3">
        <f t="shared" si="134"/>
        <v>6.9130744193958088E-3</v>
      </c>
      <c r="P198" s="3">
        <f t="shared" si="134"/>
        <v>6.9130744193958088E-3</v>
      </c>
      <c r="Q198" s="3">
        <f t="shared" si="134"/>
        <v>6.9130744193958088E-3</v>
      </c>
      <c r="R198" s="3">
        <f t="shared" si="134"/>
        <v>6.9130744193958088E-3</v>
      </c>
      <c r="S198" s="3">
        <f t="shared" si="134"/>
        <v>6.9130744193958088E-3</v>
      </c>
      <c r="T198" s="3">
        <f t="shared" si="134"/>
        <v>6.9130744193958071E-3</v>
      </c>
      <c r="U198" s="3">
        <f t="shared" si="134"/>
        <v>6.913074419395795E-3</v>
      </c>
      <c r="V198" s="3">
        <f t="shared" si="134"/>
        <v>6.9130744193956709E-3</v>
      </c>
      <c r="W198" s="3">
        <f t="shared" si="134"/>
        <v>6.913074419394428E-3</v>
      </c>
      <c r="X198" s="3">
        <f t="shared" si="134"/>
        <v>6.9130744193820004E-3</v>
      </c>
      <c r="Y198" s="3">
        <f t="shared" si="134"/>
        <v>6.9130744192577274E-3</v>
      </c>
      <c r="Z198" s="3">
        <f t="shared" si="134"/>
        <v>6.9130744180150002E-3</v>
      </c>
      <c r="AA198" s="3">
        <f t="shared" si="134"/>
        <v>6.9130744055877161E-3</v>
      </c>
      <c r="AB198" s="3">
        <f t="shared" si="134"/>
        <v>6.9130742813148845E-3</v>
      </c>
      <c r="AC198" s="3">
        <f t="shared" si="134"/>
        <v>6.9130730385866925E-3</v>
      </c>
      <c r="AD198" s="3">
        <f t="shared" si="134"/>
        <v>6.9130606113170581E-3</v>
      </c>
      <c r="AE198" s="3">
        <f t="shared" si="134"/>
        <v>6.9129363398493992E-3</v>
      </c>
      <c r="AF198" s="3">
        <f t="shared" si="134"/>
        <v>6.9116937480331571E-3</v>
      </c>
      <c r="AG198" s="3"/>
      <c r="AH198" s="3"/>
    </row>
    <row r="199" spans="1:34" x14ac:dyDescent="0.25">
      <c r="B199" s="3">
        <f t="shared" ref="B199:AF199" si="135">$C46*EXP(-B$168/$A46/EXP(-$C$126))</f>
        <v>3.0323866622783903E-3</v>
      </c>
      <c r="C199" s="3">
        <f t="shared" si="135"/>
        <v>3.0323866622783903E-3</v>
      </c>
      <c r="D199" s="3">
        <f t="shared" si="135"/>
        <v>3.0323866622783903E-3</v>
      </c>
      <c r="E199" s="3">
        <f t="shared" si="135"/>
        <v>3.0323866622783903E-3</v>
      </c>
      <c r="F199" s="3">
        <f t="shared" si="135"/>
        <v>3.0323866622783903E-3</v>
      </c>
      <c r="G199" s="3">
        <f t="shared" si="135"/>
        <v>3.0323866622783903E-3</v>
      </c>
      <c r="H199" s="3">
        <f t="shared" si="135"/>
        <v>3.0323866622783903E-3</v>
      </c>
      <c r="I199" s="3">
        <f t="shared" si="135"/>
        <v>3.0323866622783903E-3</v>
      </c>
      <c r="J199" s="3">
        <f t="shared" si="135"/>
        <v>3.0323866622783903E-3</v>
      </c>
      <c r="K199" s="3">
        <f t="shared" si="135"/>
        <v>3.0323866622783903E-3</v>
      </c>
      <c r="L199" s="3">
        <f t="shared" si="135"/>
        <v>3.0323866622783903E-3</v>
      </c>
      <c r="M199" s="3">
        <f t="shared" si="135"/>
        <v>3.0323866622783903E-3</v>
      </c>
      <c r="N199" s="3">
        <f t="shared" si="135"/>
        <v>3.0323866622783903E-3</v>
      </c>
      <c r="O199" s="3">
        <f t="shared" si="135"/>
        <v>3.0323866622783903E-3</v>
      </c>
      <c r="P199" s="3">
        <f t="shared" si="135"/>
        <v>3.0323866622783903E-3</v>
      </c>
      <c r="Q199" s="3">
        <f t="shared" si="135"/>
        <v>3.0323866622783903E-3</v>
      </c>
      <c r="R199" s="3">
        <f t="shared" si="135"/>
        <v>3.0323866622783903E-3</v>
      </c>
      <c r="S199" s="3">
        <f t="shared" si="135"/>
        <v>3.0323866622783903E-3</v>
      </c>
      <c r="T199" s="3">
        <f t="shared" si="135"/>
        <v>3.0323866622783903E-3</v>
      </c>
      <c r="U199" s="3">
        <f t="shared" si="135"/>
        <v>3.0323866622783894E-3</v>
      </c>
      <c r="V199" s="3">
        <f t="shared" si="135"/>
        <v>3.0323866622783842E-3</v>
      </c>
      <c r="W199" s="3">
        <f t="shared" si="135"/>
        <v>3.0323866622783296E-3</v>
      </c>
      <c r="X199" s="3">
        <f t="shared" si="135"/>
        <v>3.0323866622777845E-3</v>
      </c>
      <c r="Y199" s="3">
        <f t="shared" si="135"/>
        <v>3.0323866622723335E-3</v>
      </c>
      <c r="Z199" s="3">
        <f t="shared" si="135"/>
        <v>3.0323866622178216E-3</v>
      </c>
      <c r="AA199" s="3">
        <f t="shared" si="135"/>
        <v>3.0323866616727051E-3</v>
      </c>
      <c r="AB199" s="3">
        <f t="shared" si="135"/>
        <v>3.0323866562215369E-3</v>
      </c>
      <c r="AC199" s="3">
        <f t="shared" si="135"/>
        <v>3.0323866017098605E-3</v>
      </c>
      <c r="AD199" s="3">
        <f t="shared" si="135"/>
        <v>3.0323860565931492E-3</v>
      </c>
      <c r="AE199" s="3">
        <f t="shared" si="135"/>
        <v>3.0323806054314223E-3</v>
      </c>
      <c r="AF199" s="3">
        <f t="shared" si="135"/>
        <v>3.0323260943531135E-3</v>
      </c>
      <c r="AG199" s="3"/>
      <c r="AH199" s="3"/>
    </row>
    <row r="200" spans="1:34" x14ac:dyDescent="0.25">
      <c r="B200" s="3">
        <f t="shared" ref="B200:AF200" si="136">$C47*EXP(-B$168/$A47/EXP(-$C$126))</f>
        <v>2.0349292815546579E-6</v>
      </c>
      <c r="C200" s="3">
        <f t="shared" si="136"/>
        <v>2.0349292815546579E-6</v>
      </c>
      <c r="D200" s="3">
        <f t="shared" si="136"/>
        <v>2.0349292815546579E-6</v>
      </c>
      <c r="E200" s="3">
        <f t="shared" si="136"/>
        <v>2.0349292815546579E-6</v>
      </c>
      <c r="F200" s="3">
        <f t="shared" si="136"/>
        <v>2.0349292815546579E-6</v>
      </c>
      <c r="G200" s="3">
        <f t="shared" si="136"/>
        <v>2.0349292815546579E-6</v>
      </c>
      <c r="H200" s="3">
        <f t="shared" si="136"/>
        <v>2.0349292815546579E-6</v>
      </c>
      <c r="I200" s="3">
        <f t="shared" si="136"/>
        <v>2.0349292815546579E-6</v>
      </c>
      <c r="J200" s="3">
        <f t="shared" si="136"/>
        <v>2.0349292815546579E-6</v>
      </c>
      <c r="K200" s="3">
        <f t="shared" si="136"/>
        <v>2.0349292815546579E-6</v>
      </c>
      <c r="L200" s="3">
        <f t="shared" si="136"/>
        <v>2.0349292815546579E-6</v>
      </c>
      <c r="M200" s="3">
        <f t="shared" si="136"/>
        <v>2.0349292815546579E-6</v>
      </c>
      <c r="N200" s="3">
        <f t="shared" si="136"/>
        <v>2.0349292815546579E-6</v>
      </c>
      <c r="O200" s="3">
        <f t="shared" si="136"/>
        <v>2.0349292815546579E-6</v>
      </c>
      <c r="P200" s="3">
        <f t="shared" si="136"/>
        <v>2.0349292815546579E-6</v>
      </c>
      <c r="Q200" s="3">
        <f t="shared" si="136"/>
        <v>2.0349292815546579E-6</v>
      </c>
      <c r="R200" s="3">
        <f t="shared" si="136"/>
        <v>2.0349292815546579E-6</v>
      </c>
      <c r="S200" s="3">
        <f t="shared" si="136"/>
        <v>2.0349292815546579E-6</v>
      </c>
      <c r="T200" s="3">
        <f t="shared" si="136"/>
        <v>2.0349292815546579E-6</v>
      </c>
      <c r="U200" s="3">
        <f t="shared" si="136"/>
        <v>2.0349292815546579E-6</v>
      </c>
      <c r="V200" s="3">
        <f t="shared" si="136"/>
        <v>2.0349292815546575E-6</v>
      </c>
      <c r="W200" s="3">
        <f t="shared" si="136"/>
        <v>2.0349292815546537E-6</v>
      </c>
      <c r="X200" s="3">
        <f t="shared" si="136"/>
        <v>2.0349292815546173E-6</v>
      </c>
      <c r="Y200" s="3">
        <f t="shared" si="136"/>
        <v>2.0349292815542514E-6</v>
      </c>
      <c r="Z200" s="3">
        <f t="shared" si="136"/>
        <v>2.0349292815505934E-6</v>
      </c>
      <c r="AA200" s="3">
        <f t="shared" si="136"/>
        <v>2.0349292815140126E-6</v>
      </c>
      <c r="AB200" s="3">
        <f t="shared" si="136"/>
        <v>2.0349292811482037E-6</v>
      </c>
      <c r="AC200" s="3">
        <f t="shared" si="136"/>
        <v>2.0349292774901144E-6</v>
      </c>
      <c r="AD200" s="3">
        <f t="shared" si="136"/>
        <v>2.0349292409092229E-6</v>
      </c>
      <c r="AE200" s="3">
        <f t="shared" si="136"/>
        <v>2.0349288751003463E-6</v>
      </c>
      <c r="AF200" s="3">
        <f t="shared" si="136"/>
        <v>2.0349252170151971E-6</v>
      </c>
      <c r="AG200" s="3"/>
      <c r="AH200" s="3"/>
    </row>
    <row r="201" spans="1:34" x14ac:dyDescent="0.25">
      <c r="B201" s="3">
        <f t="shared" ref="B201:AF201" si="137">$C48*EXP(-B$168/$A48/EXP(-$C$126))</f>
        <v>1.1740866771866395E-2</v>
      </c>
      <c r="C201" s="3">
        <f t="shared" si="137"/>
        <v>1.1740866771866395E-2</v>
      </c>
      <c r="D201" s="3">
        <f t="shared" si="137"/>
        <v>1.1740866771866395E-2</v>
      </c>
      <c r="E201" s="3">
        <f t="shared" si="137"/>
        <v>1.1740866771866395E-2</v>
      </c>
      <c r="F201" s="3">
        <f t="shared" si="137"/>
        <v>1.1740866771866395E-2</v>
      </c>
      <c r="G201" s="3">
        <f t="shared" si="137"/>
        <v>1.1740866771866395E-2</v>
      </c>
      <c r="H201" s="3">
        <f t="shared" si="137"/>
        <v>1.1740866771866395E-2</v>
      </c>
      <c r="I201" s="3">
        <f t="shared" si="137"/>
        <v>1.1740866771866395E-2</v>
      </c>
      <c r="J201" s="3">
        <f t="shared" si="137"/>
        <v>1.1740866771866395E-2</v>
      </c>
      <c r="K201" s="3">
        <f t="shared" si="137"/>
        <v>1.1740866771866395E-2</v>
      </c>
      <c r="L201" s="3">
        <f t="shared" si="137"/>
        <v>1.1740866771866395E-2</v>
      </c>
      <c r="M201" s="3">
        <f t="shared" si="137"/>
        <v>1.1740866771866395E-2</v>
      </c>
      <c r="N201" s="3">
        <f t="shared" si="137"/>
        <v>1.1740866771866395E-2</v>
      </c>
      <c r="O201" s="3">
        <f t="shared" si="137"/>
        <v>1.1740866771866395E-2</v>
      </c>
      <c r="P201" s="3">
        <f t="shared" si="137"/>
        <v>1.1740866771866395E-2</v>
      </c>
      <c r="Q201" s="3">
        <f t="shared" si="137"/>
        <v>1.1740866771866395E-2</v>
      </c>
      <c r="R201" s="3">
        <f t="shared" si="137"/>
        <v>1.1740866771866395E-2</v>
      </c>
      <c r="S201" s="3">
        <f t="shared" si="137"/>
        <v>1.1740866771866395E-2</v>
      </c>
      <c r="T201" s="3">
        <f t="shared" si="137"/>
        <v>1.1740866771866395E-2</v>
      </c>
      <c r="U201" s="3">
        <f t="shared" si="137"/>
        <v>1.1740866771866395E-2</v>
      </c>
      <c r="V201" s="3">
        <f t="shared" si="137"/>
        <v>1.1740866771866395E-2</v>
      </c>
      <c r="W201" s="3">
        <f t="shared" si="137"/>
        <v>1.1740866771866391E-2</v>
      </c>
      <c r="X201" s="3">
        <f t="shared" si="137"/>
        <v>1.174086677186637E-2</v>
      </c>
      <c r="Y201" s="3">
        <f t="shared" si="137"/>
        <v>1.174086677186616E-2</v>
      </c>
      <c r="Z201" s="3">
        <f t="shared" si="137"/>
        <v>1.1740866771864049E-2</v>
      </c>
      <c r="AA201" s="3">
        <f t="shared" si="137"/>
        <v>1.1740866771842943E-2</v>
      </c>
      <c r="AB201" s="3">
        <f t="shared" si="137"/>
        <v>1.1740866771631884E-2</v>
      </c>
      <c r="AC201" s="3">
        <f t="shared" si="137"/>
        <v>1.1740866769521288E-2</v>
      </c>
      <c r="AD201" s="3">
        <f t="shared" si="137"/>
        <v>1.1740866748415327E-2</v>
      </c>
      <c r="AE201" s="3">
        <f t="shared" si="137"/>
        <v>1.1740866537355722E-2</v>
      </c>
      <c r="AF201" s="3">
        <f t="shared" si="137"/>
        <v>1.1740864426759878E-2</v>
      </c>
      <c r="AG201" s="3"/>
      <c r="AH201" s="3"/>
    </row>
    <row r="202" spans="1:34" x14ac:dyDescent="0.25">
      <c r="A202" s="79">
        <f>AVERAGE(B202:AF202)</f>
        <v>0.11098213146353123</v>
      </c>
      <c r="B202" s="80">
        <f>IF($A$64&lt;=B168,IF($B$64&gt;=B168,ABS((B170-B169)/B169),0),0)</f>
        <v>1.0881247652195202E-2</v>
      </c>
      <c r="C202" s="80">
        <f t="shared" ref="C202:AF202" si="138">IF($A$64&lt;=C168,IF($B$64&gt;=C168,ABS((C170-C169)/C169),0),0)</f>
        <v>3.07491478674859E-2</v>
      </c>
      <c r="D202" s="80">
        <f t="shared" si="138"/>
        <v>3.4687945180085084E-2</v>
      </c>
      <c r="E202" s="80">
        <f t="shared" si="138"/>
        <v>3.4688425151256252E-2</v>
      </c>
      <c r="F202" s="80">
        <f t="shared" si="138"/>
        <v>3.4705980995552263E-2</v>
      </c>
      <c r="G202" s="80">
        <f t="shared" si="138"/>
        <v>3.4884772753092257E-2</v>
      </c>
      <c r="H202" s="80">
        <f t="shared" si="138"/>
        <v>3.6627971713128184E-2</v>
      </c>
      <c r="I202" s="80">
        <f t="shared" si="138"/>
        <v>5.0140391822026155E-2</v>
      </c>
      <c r="J202" s="80">
        <f t="shared" si="138"/>
        <v>6.8067490492284194E-2</v>
      </c>
      <c r="K202" s="80">
        <f t="shared" si="138"/>
        <v>5.7805279008643205E-2</v>
      </c>
      <c r="L202" s="80">
        <f t="shared" si="138"/>
        <v>6.1743933156973844E-2</v>
      </c>
      <c r="M202" s="80">
        <f t="shared" si="138"/>
        <v>6.6441505460970399E-2</v>
      </c>
      <c r="N202" s="80">
        <f t="shared" si="138"/>
        <v>7.2466961612565634E-2</v>
      </c>
      <c r="O202" s="80">
        <f t="shared" si="138"/>
        <v>7.9261016821783783E-2</v>
      </c>
      <c r="P202" s="80">
        <f t="shared" si="138"/>
        <v>8.4590568633291688E-2</v>
      </c>
      <c r="Q202" s="80">
        <f t="shared" si="138"/>
        <v>8.5433564273517559E-2</v>
      </c>
      <c r="R202" s="80">
        <f t="shared" si="138"/>
        <v>9.2034246949360535E-2</v>
      </c>
      <c r="S202" s="80">
        <f t="shared" si="138"/>
        <v>0.1041981480611965</v>
      </c>
      <c r="T202" s="80">
        <f t="shared" si="138"/>
        <v>0.10641696321839263</v>
      </c>
      <c r="U202" s="80">
        <f t="shared" si="138"/>
        <v>4.0600734632713083E-2</v>
      </c>
      <c r="V202" s="80">
        <f t="shared" si="138"/>
        <v>9.793852424425134E-2</v>
      </c>
      <c r="W202" s="80">
        <f t="shared" si="138"/>
        <v>0.25610127487909434</v>
      </c>
      <c r="X202" s="80">
        <f t="shared" si="138"/>
        <v>0.32190078217844215</v>
      </c>
      <c r="Y202" s="80">
        <f t="shared" si="138"/>
        <v>0.26548890505621986</v>
      </c>
      <c r="Z202" s="80">
        <f t="shared" si="138"/>
        <v>0.14622079383823491</v>
      </c>
      <c r="AA202" s="80">
        <f t="shared" si="138"/>
        <v>3.4179195060109864E-2</v>
      </c>
      <c r="AB202" s="80">
        <f t="shared" si="138"/>
        <v>6.1770280787026094E-2</v>
      </c>
      <c r="AC202" s="80">
        <f t="shared" si="138"/>
        <v>0.12716080100948077</v>
      </c>
      <c r="AD202" s="80">
        <f t="shared" si="138"/>
        <v>0.22350355492118471</v>
      </c>
      <c r="AE202" s="80">
        <f t="shared" si="138"/>
        <v>0.30454346070525756</v>
      </c>
      <c r="AF202" s="80">
        <f t="shared" si="138"/>
        <v>0.41521220723365232</v>
      </c>
    </row>
    <row r="203" spans="1:34" x14ac:dyDescent="0.25">
      <c r="B203" s="21">
        <f>(B170-B169)^2</f>
        <v>5854.7098153821817</v>
      </c>
      <c r="C203" s="21">
        <f t="shared" ref="C203:AF203" si="139">(C170-C169)^2</f>
        <v>46754.428705177699</v>
      </c>
      <c r="D203" s="21">
        <f t="shared" si="139"/>
        <v>59498.93359791972</v>
      </c>
      <c r="E203" s="21">
        <f t="shared" si="139"/>
        <v>59500.401324476377</v>
      </c>
      <c r="F203" s="21">
        <f t="shared" si="139"/>
        <v>59560.427585725942</v>
      </c>
      <c r="G203" s="21">
        <f t="shared" si="139"/>
        <v>60173.958879044279</v>
      </c>
      <c r="H203" s="21">
        <f t="shared" si="139"/>
        <v>66319.405756199776</v>
      </c>
      <c r="I203" s="21">
        <f t="shared" si="139"/>
        <v>123940.94538147558</v>
      </c>
      <c r="J203" s="21">
        <f t="shared" si="139"/>
        <v>223538.56510213509</v>
      </c>
      <c r="K203" s="21">
        <f t="shared" si="139"/>
        <v>153500.47115892626</v>
      </c>
      <c r="L203" s="21">
        <f t="shared" si="139"/>
        <v>169068.55803727222</v>
      </c>
      <c r="M203" s="21">
        <f t="shared" si="139"/>
        <v>189082.43100167823</v>
      </c>
      <c r="N203" s="21">
        <f t="shared" si="139"/>
        <v>216165.65508131543</v>
      </c>
      <c r="O203" s="21">
        <f t="shared" si="139"/>
        <v>247699.48879082169</v>
      </c>
      <c r="P203" s="21">
        <f t="shared" si="139"/>
        <v>268410.57088728214</v>
      </c>
      <c r="Q203" s="21">
        <f t="shared" si="139"/>
        <v>258992.55969757226</v>
      </c>
      <c r="R203" s="21">
        <f t="shared" si="139"/>
        <v>282740.78394359263</v>
      </c>
      <c r="S203" s="21">
        <f t="shared" si="139"/>
        <v>340745.76634666318</v>
      </c>
      <c r="T203" s="21">
        <f t="shared" si="139"/>
        <v>323993.55138392199</v>
      </c>
      <c r="U203" s="21">
        <f t="shared" si="139"/>
        <v>37874.346063040262</v>
      </c>
      <c r="V203" s="21">
        <f t="shared" si="139"/>
        <v>153923.03588276572</v>
      </c>
      <c r="W203" s="21">
        <f t="shared" si="139"/>
        <v>734512.75382070418</v>
      </c>
      <c r="X203" s="21">
        <f t="shared" si="139"/>
        <v>866757.67158242094</v>
      </c>
      <c r="Y203" s="21">
        <f t="shared" si="139"/>
        <v>465405.35548724659</v>
      </c>
      <c r="Z203" s="21">
        <f t="shared" si="139"/>
        <v>116776.22142055002</v>
      </c>
      <c r="AA203" s="21">
        <f t="shared" si="139"/>
        <v>5406.3689273986956</v>
      </c>
      <c r="AB203" s="21">
        <f t="shared" si="139"/>
        <v>15114.196593154416</v>
      </c>
      <c r="AC203" s="21">
        <f t="shared" si="139"/>
        <v>54052.537192599288</v>
      </c>
      <c r="AD203" s="21">
        <f t="shared" si="139"/>
        <v>138512.64452412236</v>
      </c>
      <c r="AE203" s="21">
        <f t="shared" si="139"/>
        <v>205722.26552468995</v>
      </c>
      <c r="AF203" s="21">
        <f t="shared" si="139"/>
        <v>290047.66641437251</v>
      </c>
      <c r="AG203" s="3"/>
      <c r="AH203" s="3"/>
    </row>
    <row r="204" spans="1:34" x14ac:dyDescent="0.25">
      <c r="A204" s="71">
        <f>SUM(B204:AF204)</f>
        <v>6239646.6759096477</v>
      </c>
      <c r="B204" s="60">
        <f>IF($A$64&lt;=B168,IF($B$64&gt;=B168,ABS(B203),0),0)</f>
        <v>5854.7098153821817</v>
      </c>
      <c r="C204" s="60">
        <f t="shared" ref="C204" si="140">IF($A$64&lt;=C168,IF($B$64&gt;=C168,ABS(C203),0),0)</f>
        <v>46754.428705177699</v>
      </c>
      <c r="D204" s="60">
        <f t="shared" ref="D204" si="141">IF($A$64&lt;=D168,IF($B$64&gt;=D168,ABS(D203),0),0)</f>
        <v>59498.93359791972</v>
      </c>
      <c r="E204" s="60">
        <f t="shared" ref="E204" si="142">IF($A$64&lt;=E168,IF($B$64&gt;=E168,ABS(E203),0),0)</f>
        <v>59500.401324476377</v>
      </c>
      <c r="F204" s="60">
        <f t="shared" ref="F204" si="143">IF($A$64&lt;=F168,IF($B$64&gt;=F168,ABS(F203),0),0)</f>
        <v>59560.427585725942</v>
      </c>
      <c r="G204" s="60">
        <f t="shared" ref="G204" si="144">IF($A$64&lt;=G168,IF($B$64&gt;=G168,ABS(G203),0),0)</f>
        <v>60173.958879044279</v>
      </c>
      <c r="H204" s="60">
        <f t="shared" ref="H204" si="145">IF($A$64&lt;=H168,IF($B$64&gt;=H168,ABS(H203),0),0)</f>
        <v>66319.405756199776</v>
      </c>
      <c r="I204" s="60">
        <f t="shared" ref="I204" si="146">IF($A$64&lt;=I168,IF($B$64&gt;=I168,ABS(I203),0),0)</f>
        <v>123940.94538147558</v>
      </c>
      <c r="J204" s="60">
        <f t="shared" ref="J204" si="147">IF($A$64&lt;=J168,IF($B$64&gt;=J168,ABS(J203),0),0)</f>
        <v>223538.56510213509</v>
      </c>
      <c r="K204" s="60">
        <f t="shared" ref="K204" si="148">IF($A$64&lt;=K168,IF($B$64&gt;=K168,ABS(K203),0),0)</f>
        <v>153500.47115892626</v>
      </c>
      <c r="L204" s="60">
        <f t="shared" ref="L204" si="149">IF($A$64&lt;=L168,IF($B$64&gt;=L168,ABS(L203),0),0)</f>
        <v>169068.55803727222</v>
      </c>
      <c r="M204" s="60">
        <f t="shared" ref="M204" si="150">IF($A$64&lt;=M168,IF($B$64&gt;=M168,ABS(M203),0),0)</f>
        <v>189082.43100167823</v>
      </c>
      <c r="N204" s="60">
        <f t="shared" ref="N204" si="151">IF($A$64&lt;=N168,IF($B$64&gt;=N168,ABS(N203),0),0)</f>
        <v>216165.65508131543</v>
      </c>
      <c r="O204" s="60">
        <f t="shared" ref="O204" si="152">IF($A$64&lt;=O168,IF($B$64&gt;=O168,ABS(O203),0),0)</f>
        <v>247699.48879082169</v>
      </c>
      <c r="P204" s="60">
        <f t="shared" ref="P204" si="153">IF($A$64&lt;=P168,IF($B$64&gt;=P168,ABS(P203),0),0)</f>
        <v>268410.57088728214</v>
      </c>
      <c r="Q204" s="60">
        <f t="shared" ref="Q204" si="154">IF($A$64&lt;=Q168,IF($B$64&gt;=Q168,ABS(Q203),0),0)</f>
        <v>258992.55969757226</v>
      </c>
      <c r="R204" s="60">
        <f t="shared" ref="R204" si="155">IF($A$64&lt;=R168,IF($B$64&gt;=R168,ABS(R203),0),0)</f>
        <v>282740.78394359263</v>
      </c>
      <c r="S204" s="60">
        <f t="shared" ref="S204" si="156">IF($A$64&lt;=S168,IF($B$64&gt;=S168,ABS(S203),0),0)</f>
        <v>340745.76634666318</v>
      </c>
      <c r="T204" s="60">
        <f t="shared" ref="T204" si="157">IF($A$64&lt;=T168,IF($B$64&gt;=T168,ABS(T203),0),0)</f>
        <v>323993.55138392199</v>
      </c>
      <c r="U204" s="60">
        <f t="shared" ref="U204" si="158">IF($A$64&lt;=U168,IF($B$64&gt;=U168,ABS(U203),0),0)</f>
        <v>37874.346063040262</v>
      </c>
      <c r="V204" s="60">
        <f t="shared" ref="V204" si="159">IF($A$64&lt;=V168,IF($B$64&gt;=V168,ABS(V203),0),0)</f>
        <v>153923.03588276572</v>
      </c>
      <c r="W204" s="60">
        <f t="shared" ref="W204" si="160">IF($A$64&lt;=W168,IF($B$64&gt;=W168,ABS(W203),0),0)</f>
        <v>734512.75382070418</v>
      </c>
      <c r="X204" s="60">
        <f t="shared" ref="X204" si="161">IF($A$64&lt;=X168,IF($B$64&gt;=X168,ABS(X203),0),0)</f>
        <v>866757.67158242094</v>
      </c>
      <c r="Y204" s="60">
        <f t="shared" ref="Y204" si="162">IF($A$64&lt;=Y168,IF($B$64&gt;=Y168,ABS(Y203),0),0)</f>
        <v>465405.35548724659</v>
      </c>
      <c r="Z204" s="60">
        <f t="shared" ref="Z204" si="163">IF($A$64&lt;=Z168,IF($B$64&gt;=Z168,ABS(Z203),0),0)</f>
        <v>116776.22142055002</v>
      </c>
      <c r="AA204" s="60">
        <f t="shared" ref="AA204" si="164">IF($A$64&lt;=AA168,IF($B$64&gt;=AA168,ABS(AA203),0),0)</f>
        <v>5406.3689273986956</v>
      </c>
      <c r="AB204" s="60">
        <f t="shared" ref="AB204" si="165">IF($A$64&lt;=AB168,IF($B$64&gt;=AB168,ABS(AB203),0),0)</f>
        <v>15114.196593154416</v>
      </c>
      <c r="AC204" s="60">
        <f t="shared" ref="AC204" si="166">IF($A$64&lt;=AC168,IF($B$64&gt;=AC168,ABS(AC203),0),0)</f>
        <v>54052.537192599288</v>
      </c>
      <c r="AD204" s="60">
        <f t="shared" ref="AD204" si="167">IF($A$64&lt;=AD168,IF($B$64&gt;=AD168,ABS(AD203),0),0)</f>
        <v>138512.64452412236</v>
      </c>
      <c r="AE204" s="60">
        <f t="shared" ref="AE204" si="168">IF($A$64&lt;=AE168,IF($B$64&gt;=AE168,ABS(AE203),0),0)</f>
        <v>205722.26552468995</v>
      </c>
      <c r="AF204" s="60">
        <f t="shared" ref="AF204" si="169">IF($A$64&lt;=AF168,IF($B$64&gt;=AF168,ABS(AF203),0),0)</f>
        <v>290047.66641437251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6788.030151102952</v>
      </c>
      <c r="C209" s="27">
        <f t="shared" ref="C209:AF209" si="170">($C$17+SUM(C210:C240))*$B$51</f>
        <v>6788.0187527487888</v>
      </c>
      <c r="D209" s="27">
        <f t="shared" si="170"/>
        <v>6787.9049010925391</v>
      </c>
      <c r="E209" s="27">
        <f t="shared" si="170"/>
        <v>6786.7687496804228</v>
      </c>
      <c r="F209" s="27">
        <f t="shared" si="170"/>
        <v>6775.6404103312625</v>
      </c>
      <c r="G209" s="27">
        <f t="shared" si="170"/>
        <v>6684.6645826993699</v>
      </c>
      <c r="H209" s="27">
        <f t="shared" si="170"/>
        <v>6479.3488207794671</v>
      </c>
      <c r="I209" s="27">
        <f t="shared" si="170"/>
        <v>6394.2322290796137</v>
      </c>
      <c r="J209" s="27">
        <f t="shared" si="170"/>
        <v>6257.1820586662061</v>
      </c>
      <c r="K209" s="27">
        <f t="shared" si="170"/>
        <v>6119.8613266006751</v>
      </c>
      <c r="L209" s="27">
        <f t="shared" si="170"/>
        <v>5962.2217876691848</v>
      </c>
      <c r="M209" s="27">
        <f t="shared" si="170"/>
        <v>5793.9317739498429</v>
      </c>
      <c r="N209" s="27">
        <f t="shared" si="170"/>
        <v>5618.902323038581</v>
      </c>
      <c r="O209" s="27">
        <f t="shared" si="170"/>
        <v>5461.0947363969753</v>
      </c>
      <c r="P209" s="27">
        <f t="shared" si="170"/>
        <v>5262.8353339996229</v>
      </c>
      <c r="Q209" s="27">
        <f t="shared" si="170"/>
        <v>5037.7117288434001</v>
      </c>
      <c r="R209" s="27">
        <f t="shared" si="170"/>
        <v>4798.8498335499708</v>
      </c>
      <c r="S209" s="27">
        <f t="shared" si="170"/>
        <v>4613.4848728020424</v>
      </c>
      <c r="T209" s="27">
        <f t="shared" si="170"/>
        <v>4416.1837766478993</v>
      </c>
      <c r="U209" s="27">
        <f t="shared" si="170"/>
        <v>4221.9507963340229</v>
      </c>
      <c r="V209" s="27">
        <f t="shared" si="170"/>
        <v>3864.9817343412924</v>
      </c>
      <c r="W209" s="27">
        <f t="shared" si="170"/>
        <v>3304.6188430641973</v>
      </c>
      <c r="X209" s="27">
        <f t="shared" si="170"/>
        <v>2722.4017477763668</v>
      </c>
      <c r="Y209" s="27">
        <f t="shared" si="170"/>
        <v>2255.7674769592081</v>
      </c>
      <c r="Z209" s="27">
        <f t="shared" si="170"/>
        <v>1892.5215579406204</v>
      </c>
      <c r="AA209" s="27">
        <f t="shared" si="170"/>
        <v>1612.2893780626525</v>
      </c>
      <c r="AB209" s="27">
        <f t="shared" si="170"/>
        <v>1315.5768106922774</v>
      </c>
      <c r="AC209" s="27">
        <f t="shared" si="170"/>
        <v>1057.0417020066941</v>
      </c>
      <c r="AD209" s="27">
        <f t="shared" si="170"/>
        <v>780.58908446033251</v>
      </c>
      <c r="AE209" s="27">
        <f t="shared" si="170"/>
        <v>550.07422244236591</v>
      </c>
      <c r="AF209" s="27">
        <f t="shared" si="170"/>
        <v>376.48566859712957</v>
      </c>
      <c r="AG209" s="27"/>
      <c r="AH209" s="27"/>
    </row>
    <row r="210" spans="1:34" x14ac:dyDescent="0.25">
      <c r="B210" s="3">
        <f t="shared" ref="B210:AF210" si="171">$C18*EXP(-B$207/$A18/EXP(-$D$126))</f>
        <v>1.5473940440441282E-9</v>
      </c>
      <c r="C210" s="3">
        <f t="shared" si="171"/>
        <v>5.0554129830761156E-75</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4.121825379945758E-2</v>
      </c>
      <c r="C211" s="3">
        <f t="shared" si="172"/>
        <v>4.1216661787841641E-2</v>
      </c>
      <c r="D211" s="3">
        <f t="shared" si="172"/>
        <v>4.1200745053227759E-2</v>
      </c>
      <c r="E211" s="3">
        <f t="shared" si="172"/>
        <v>4.104191537888275E-2</v>
      </c>
      <c r="F211" s="3">
        <f t="shared" si="172"/>
        <v>3.9486908188589485E-2</v>
      </c>
      <c r="G211" s="3">
        <f t="shared" si="172"/>
        <v>2.6835409294445056E-2</v>
      </c>
      <c r="H211" s="3">
        <f t="shared" si="172"/>
        <v>5.6397409942704046E-4</v>
      </c>
      <c r="I211" s="3">
        <f t="shared" si="172"/>
        <v>9.4791308465192006E-21</v>
      </c>
      <c r="J211" s="3">
        <f t="shared" si="172"/>
        <v>1.7055407702645361E-188</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8.4205609616947678E-3</v>
      </c>
      <c r="C212" s="3">
        <f t="shared" si="173"/>
        <v>8.4205316222501214E-3</v>
      </c>
      <c r="D212" s="3">
        <f t="shared" si="173"/>
        <v>8.4202382334260441E-3</v>
      </c>
      <c r="E212" s="3">
        <f t="shared" si="173"/>
        <v>8.4173049073517203E-3</v>
      </c>
      <c r="F212" s="3">
        <f t="shared" si="173"/>
        <v>8.3880277908467832E-3</v>
      </c>
      <c r="G212" s="3">
        <f t="shared" si="173"/>
        <v>8.1007993392586842E-3</v>
      </c>
      <c r="H212" s="3">
        <f t="shared" si="173"/>
        <v>5.7175242332469919E-3</v>
      </c>
      <c r="I212" s="3">
        <f t="shared" si="173"/>
        <v>1.7539184954389343E-4</v>
      </c>
      <c r="J212" s="3">
        <f t="shared" si="173"/>
        <v>1.2942654149907671E-19</v>
      </c>
      <c r="K212" s="3">
        <f t="shared" si="173"/>
        <v>6.1967322307685863E-171</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2.0972498289004271E-2</v>
      </c>
      <c r="C213" s="3">
        <f t="shared" si="174"/>
        <v>2.0972491697139162E-2</v>
      </c>
      <c r="D213" s="3">
        <f t="shared" si="174"/>
        <v>2.0972425778602043E-2</v>
      </c>
      <c r="E213" s="3">
        <f t="shared" si="174"/>
        <v>2.0971766604626085E-2</v>
      </c>
      <c r="F213" s="3">
        <f t="shared" si="174"/>
        <v>2.0965176004258554E-2</v>
      </c>
      <c r="G213" s="3">
        <f t="shared" si="174"/>
        <v>2.0899383807393063E-2</v>
      </c>
      <c r="H213" s="3">
        <f t="shared" si="174"/>
        <v>2.0252711273782965E-2</v>
      </c>
      <c r="I213" s="3">
        <f t="shared" si="174"/>
        <v>1.4790405075578562E-2</v>
      </c>
      <c r="J213" s="3">
        <f t="shared" si="174"/>
        <v>6.3818859653854364E-4</v>
      </c>
      <c r="K213" s="3">
        <f t="shared" si="174"/>
        <v>1.427705893258745E-17</v>
      </c>
      <c r="L213" s="3">
        <f t="shared" si="174"/>
        <v>4.4826607935829765E-154</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1.9327833720498375E-2</v>
      </c>
      <c r="C214" s="3">
        <f t="shared" si="175"/>
        <v>1.9327833172489012E-2</v>
      </c>
      <c r="D214" s="3">
        <f t="shared" si="175"/>
        <v>1.932782769239625E-2</v>
      </c>
      <c r="E214" s="3">
        <f t="shared" si="175"/>
        <v>1.9327772891554081E-2</v>
      </c>
      <c r="F214" s="3">
        <f t="shared" si="175"/>
        <v>1.9327224891678166E-2</v>
      </c>
      <c r="G214" s="3">
        <f t="shared" si="175"/>
        <v>1.9321745747404816E-2</v>
      </c>
      <c r="H214" s="3">
        <f t="shared" si="175"/>
        <v>1.9267039663678445E-2</v>
      </c>
      <c r="I214" s="3">
        <f t="shared" si="175"/>
        <v>1.872842585421856E-2</v>
      </c>
      <c r="J214" s="3">
        <f t="shared" si="175"/>
        <v>1.410470869867945E-2</v>
      </c>
      <c r="K214" s="3">
        <f t="shared" si="175"/>
        <v>8.2792800612894134E-4</v>
      </c>
      <c r="L214" s="3">
        <f t="shared" si="175"/>
        <v>4.0204725179285532E-16</v>
      </c>
      <c r="M214" s="3">
        <f t="shared" si="175"/>
        <v>2.9317189884484815E-139</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2.324664720540193E-2</v>
      </c>
      <c r="C215" s="3">
        <f t="shared" si="176"/>
        <v>2.3246647145943738E-2</v>
      </c>
      <c r="D215" s="3">
        <f t="shared" si="176"/>
        <v>2.3246646551361799E-2</v>
      </c>
      <c r="E215" s="3">
        <f t="shared" si="176"/>
        <v>2.324664060554326E-2</v>
      </c>
      <c r="F215" s="3">
        <f t="shared" si="176"/>
        <v>2.3246581147441474E-2</v>
      </c>
      <c r="G215" s="3">
        <f t="shared" si="176"/>
        <v>2.3245986574787783E-2</v>
      </c>
      <c r="H215" s="3">
        <f t="shared" si="176"/>
        <v>2.3240041684585617E-2</v>
      </c>
      <c r="I215" s="3">
        <f t="shared" si="176"/>
        <v>2.3180676336945327E-2</v>
      </c>
      <c r="J215" s="3">
        <f t="shared" si="176"/>
        <v>2.259529976480637E-2</v>
      </c>
      <c r="K215" s="3">
        <f t="shared" si="176"/>
        <v>1.7495975010973434E-2</v>
      </c>
      <c r="L215" s="3">
        <f t="shared" si="176"/>
        <v>1.3556218917330108E-3</v>
      </c>
      <c r="M215" s="3">
        <f t="shared" si="176"/>
        <v>1.0571650867477026E-14</v>
      </c>
      <c r="N215" s="3">
        <f t="shared" si="176"/>
        <v>8.7939743765282747E-126</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2.4740814097615318E-2</v>
      </c>
      <c r="C216" s="3">
        <f t="shared" si="177"/>
        <v>2.4740814091906951E-2</v>
      </c>
      <c r="D216" s="3">
        <f t="shared" si="177"/>
        <v>2.4740814034823269E-2</v>
      </c>
      <c r="E216" s="3">
        <f t="shared" si="177"/>
        <v>2.4740813463986468E-2</v>
      </c>
      <c r="F216" s="3">
        <f t="shared" si="177"/>
        <v>2.4740807755619165E-2</v>
      </c>
      <c r="G216" s="3">
        <f t="shared" si="177"/>
        <v>2.4740750672018585E-2</v>
      </c>
      <c r="H216" s="3">
        <f t="shared" si="177"/>
        <v>2.4740179843256639E-2</v>
      </c>
      <c r="I216" s="3">
        <f t="shared" si="177"/>
        <v>2.4734472279958775E-2</v>
      </c>
      <c r="J216" s="3">
        <f t="shared" si="177"/>
        <v>2.4677469017346257E-2</v>
      </c>
      <c r="K216" s="3">
        <f t="shared" si="177"/>
        <v>2.411461202548526E-2</v>
      </c>
      <c r="L216" s="3">
        <f t="shared" si="177"/>
        <v>1.9145949819524589E-2</v>
      </c>
      <c r="M216" s="3">
        <f t="shared" si="177"/>
        <v>1.9056506572721012E-3</v>
      </c>
      <c r="N216" s="3">
        <f t="shared" si="177"/>
        <v>1.8184736640745899E-13</v>
      </c>
      <c r="O216" s="3">
        <f t="shared" si="177"/>
        <v>1.1385294891040301E-113</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2.7333416296076579E-2</v>
      </c>
      <c r="C217" s="3">
        <f t="shared" si="178"/>
        <v>2.7333416295507677E-2</v>
      </c>
      <c r="D217" s="3">
        <f t="shared" si="178"/>
        <v>2.7333416289818641E-2</v>
      </c>
      <c r="E217" s="3">
        <f t="shared" si="178"/>
        <v>2.7333416232928304E-2</v>
      </c>
      <c r="F217" s="3">
        <f t="shared" si="178"/>
        <v>2.733341566402496E-2</v>
      </c>
      <c r="G217" s="3">
        <f t="shared" si="178"/>
        <v>2.7333409974992177E-2</v>
      </c>
      <c r="H217" s="3">
        <f t="shared" si="178"/>
        <v>2.7333353084729454E-2</v>
      </c>
      <c r="I217" s="3">
        <f t="shared" si="178"/>
        <v>2.733278418861464E-2</v>
      </c>
      <c r="J217" s="3">
        <f t="shared" si="178"/>
        <v>2.7327095878657792E-2</v>
      </c>
      <c r="K217" s="3">
        <f t="shared" si="178"/>
        <v>2.7270277848100148E-2</v>
      </c>
      <c r="L217" s="3">
        <f t="shared" si="178"/>
        <v>2.6708554611809456E-2</v>
      </c>
      <c r="M217" s="3">
        <f t="shared" si="178"/>
        <v>2.168995328359136E-2</v>
      </c>
      <c r="N217" s="3">
        <f t="shared" si="178"/>
        <v>2.7060818199779822E-3</v>
      </c>
      <c r="O217" s="3">
        <f t="shared" si="178"/>
        <v>2.4726576665464617E-12</v>
      </c>
      <c r="P217" s="3">
        <f t="shared" si="178"/>
        <v>1.003216560153693E-102</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2.1342745356978981E-2</v>
      </c>
      <c r="C218" s="3">
        <f t="shared" si="179"/>
        <v>2.1342745356938905E-2</v>
      </c>
      <c r="D218" s="3">
        <f t="shared" si="179"/>
        <v>2.1342745356538188E-2</v>
      </c>
      <c r="E218" s="3">
        <f t="shared" si="179"/>
        <v>2.1342745352530983E-2</v>
      </c>
      <c r="F218" s="3">
        <f t="shared" si="179"/>
        <v>2.1342745312458944E-2</v>
      </c>
      <c r="G218" s="3">
        <f t="shared" si="179"/>
        <v>2.1342744911738553E-2</v>
      </c>
      <c r="H218" s="3">
        <f t="shared" si="179"/>
        <v>2.1342740904535036E-2</v>
      </c>
      <c r="I218" s="3">
        <f t="shared" si="179"/>
        <v>2.1342700832541247E-2</v>
      </c>
      <c r="J218" s="3">
        <f t="shared" si="179"/>
        <v>2.1342300116741403E-2</v>
      </c>
      <c r="K218" s="3">
        <f t="shared" si="179"/>
        <v>2.1338293372515599E-2</v>
      </c>
      <c r="L218" s="3">
        <f t="shared" si="179"/>
        <v>2.1298267278792828E-2</v>
      </c>
      <c r="M218" s="3">
        <f t="shared" si="179"/>
        <v>2.0902112614245016E-2</v>
      </c>
      <c r="N218" s="3">
        <f t="shared" si="179"/>
        <v>1.7324044374409178E-2</v>
      </c>
      <c r="O218" s="3">
        <f t="shared" si="179"/>
        <v>2.6499661699454207E-3</v>
      </c>
      <c r="P218" s="3">
        <f t="shared" si="179"/>
        <v>1.8584494452773162E-11</v>
      </c>
      <c r="Q218" s="3">
        <f t="shared" si="179"/>
        <v>5.3487829058429131E-93</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3.0213098985838325E-2</v>
      </c>
      <c r="C219" s="3">
        <f t="shared" si="180"/>
        <v>3.0213098985833207E-2</v>
      </c>
      <c r="D219" s="3">
        <f t="shared" si="180"/>
        <v>3.0213098985782033E-2</v>
      </c>
      <c r="E219" s="3">
        <f t="shared" si="180"/>
        <v>3.0213098985270314E-2</v>
      </c>
      <c r="F219" s="3">
        <f t="shared" si="180"/>
        <v>3.0213098980153109E-2</v>
      </c>
      <c r="G219" s="3">
        <f t="shared" si="180"/>
        <v>3.0213098928981032E-2</v>
      </c>
      <c r="H219" s="3">
        <f t="shared" si="180"/>
        <v>3.0213098417260283E-2</v>
      </c>
      <c r="I219" s="3">
        <f t="shared" si="180"/>
        <v>3.021309330005327E-2</v>
      </c>
      <c r="J219" s="3">
        <f t="shared" si="180"/>
        <v>3.0213042128030814E-2</v>
      </c>
      <c r="K219" s="3">
        <f t="shared" si="180"/>
        <v>3.0212530412573067E-2</v>
      </c>
      <c r="L219" s="3">
        <f t="shared" si="180"/>
        <v>3.0207413734649625E-2</v>
      </c>
      <c r="M219" s="3">
        <f t="shared" si="180"/>
        <v>3.015629459095788E-2</v>
      </c>
      <c r="N219" s="3">
        <f t="shared" si="180"/>
        <v>2.9649836991265662E-2</v>
      </c>
      <c r="O219" s="3">
        <f t="shared" si="180"/>
        <v>2.50302760031977E-2</v>
      </c>
      <c r="P219" s="3">
        <f t="shared" si="180"/>
        <v>4.6014946674693864E-3</v>
      </c>
      <c r="Q219" s="3">
        <f t="shared" si="180"/>
        <v>2.0287651163471312E-10</v>
      </c>
      <c r="R219" s="3">
        <f t="shared" si="180"/>
        <v>5.6306719539109686E-84</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3.3824388307374921E-2</v>
      </c>
      <c r="C220" s="3">
        <f t="shared" si="181"/>
        <v>3.3824388307374401E-2</v>
      </c>
      <c r="D220" s="3">
        <f t="shared" si="181"/>
        <v>3.3824388307369238E-2</v>
      </c>
      <c r="E220" s="3">
        <f t="shared" si="181"/>
        <v>3.3824388307317557E-2</v>
      </c>
      <c r="F220" s="3">
        <f t="shared" si="181"/>
        <v>3.3824388306800769E-2</v>
      </c>
      <c r="G220" s="3">
        <f t="shared" si="181"/>
        <v>3.3824388301632861E-2</v>
      </c>
      <c r="H220" s="3">
        <f t="shared" si="181"/>
        <v>3.3824388249953839E-2</v>
      </c>
      <c r="I220" s="3">
        <f t="shared" si="181"/>
        <v>3.3824387733163611E-2</v>
      </c>
      <c r="J220" s="3">
        <f t="shared" si="181"/>
        <v>3.3824382565261726E-2</v>
      </c>
      <c r="K220" s="3">
        <f t="shared" si="181"/>
        <v>3.3824330886286329E-2</v>
      </c>
      <c r="L220" s="3">
        <f t="shared" si="181"/>
        <v>3.3823814100875059E-2</v>
      </c>
      <c r="M220" s="3">
        <f t="shared" si="181"/>
        <v>3.3818646681006558E-2</v>
      </c>
      <c r="N220" s="3">
        <f t="shared" si="181"/>
        <v>3.3767015882206715E-2</v>
      </c>
      <c r="O220" s="3">
        <f t="shared" si="181"/>
        <v>3.325502344831123E-2</v>
      </c>
      <c r="P220" s="3">
        <f t="shared" si="181"/>
        <v>2.8543223709084218E-2</v>
      </c>
      <c r="Q220" s="3">
        <f t="shared" si="181"/>
        <v>6.1938495318178939E-3</v>
      </c>
      <c r="R220" s="3">
        <f t="shared" si="181"/>
        <v>1.4339596964951706E-9</v>
      </c>
      <c r="S220" s="3">
        <f t="shared" si="181"/>
        <v>6.3430756019629275E-76</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3.8791797530712088E-2</v>
      </c>
      <c r="C221" s="3">
        <f t="shared" si="182"/>
        <v>3.8791797530712033E-2</v>
      </c>
      <c r="D221" s="3">
        <f t="shared" si="182"/>
        <v>3.8791797530711498E-2</v>
      </c>
      <c r="E221" s="3">
        <f t="shared" si="182"/>
        <v>3.8791797530706155E-2</v>
      </c>
      <c r="F221" s="3">
        <f t="shared" si="182"/>
        <v>3.8791797530652684E-2</v>
      </c>
      <c r="G221" s="3">
        <f t="shared" si="182"/>
        <v>3.8791797530118036E-2</v>
      </c>
      <c r="H221" s="3">
        <f t="shared" si="182"/>
        <v>3.8791797524771521E-2</v>
      </c>
      <c r="I221" s="3">
        <f t="shared" si="182"/>
        <v>3.8791797471306365E-2</v>
      </c>
      <c r="J221" s="3">
        <f t="shared" si="182"/>
        <v>3.8791796936654806E-2</v>
      </c>
      <c r="K221" s="3">
        <f t="shared" si="182"/>
        <v>3.8791791590139582E-2</v>
      </c>
      <c r="L221" s="3">
        <f t="shared" si="182"/>
        <v>3.8791738125027918E-2</v>
      </c>
      <c r="M221" s="3">
        <f t="shared" si="182"/>
        <v>3.8791203477964137E-2</v>
      </c>
      <c r="N221" s="3">
        <f t="shared" si="182"/>
        <v>3.8785857412592016E-2</v>
      </c>
      <c r="O221" s="3">
        <f t="shared" si="182"/>
        <v>3.8732437264783266E-2</v>
      </c>
      <c r="P221" s="3">
        <f t="shared" si="182"/>
        <v>3.8202265797641778E-2</v>
      </c>
      <c r="Q221" s="3">
        <f t="shared" si="182"/>
        <v>3.3283736869285915E-2</v>
      </c>
      <c r="R221" s="3">
        <f t="shared" si="182"/>
        <v>8.3880625488640375E-3</v>
      </c>
      <c r="S221" s="3">
        <f t="shared" si="182"/>
        <v>8.6687696656818256E-9</v>
      </c>
      <c r="T221" s="3">
        <f t="shared" si="182"/>
        <v>1.2048014933687747E-68</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2.3183984286354733E-2</v>
      </c>
      <c r="C222" s="3">
        <f t="shared" si="183"/>
        <v>2.3183984286354729E-2</v>
      </c>
      <c r="D222" s="3">
        <f t="shared" si="183"/>
        <v>2.3183984286354702E-2</v>
      </c>
      <c r="E222" s="3">
        <f t="shared" si="183"/>
        <v>2.3183984286354414E-2</v>
      </c>
      <c r="F222" s="3">
        <f t="shared" si="183"/>
        <v>2.3183984286351531E-2</v>
      </c>
      <c r="G222" s="3">
        <f t="shared" si="183"/>
        <v>2.3183984286322706E-2</v>
      </c>
      <c r="H222" s="3">
        <f t="shared" si="183"/>
        <v>2.3183984286034458E-2</v>
      </c>
      <c r="I222" s="3">
        <f t="shared" si="183"/>
        <v>2.3183984283151982E-2</v>
      </c>
      <c r="J222" s="3">
        <f t="shared" si="183"/>
        <v>2.3183984254327231E-2</v>
      </c>
      <c r="K222" s="3">
        <f t="shared" si="183"/>
        <v>2.3183983966079694E-2</v>
      </c>
      <c r="L222" s="3">
        <f t="shared" si="183"/>
        <v>2.318398108360455E-2</v>
      </c>
      <c r="M222" s="3">
        <f t="shared" si="183"/>
        <v>2.3183952258872795E-2</v>
      </c>
      <c r="N222" s="3">
        <f t="shared" si="183"/>
        <v>2.3183664013526357E-2</v>
      </c>
      <c r="O222" s="3">
        <f t="shared" si="183"/>
        <v>2.3180781757160599E-2</v>
      </c>
      <c r="P222" s="3">
        <f t="shared" si="183"/>
        <v>2.3151978894302965E-2</v>
      </c>
      <c r="Q222" s="3">
        <f t="shared" si="183"/>
        <v>2.286591131297E-2</v>
      </c>
      <c r="R222" s="3">
        <f t="shared" si="183"/>
        <v>2.0192611201549124E-2</v>
      </c>
      <c r="S222" s="3">
        <f t="shared" si="183"/>
        <v>5.8241448611676154E-3</v>
      </c>
      <c r="T222" s="3">
        <f t="shared" si="183"/>
        <v>2.3207535338969052E-8</v>
      </c>
      <c r="U222" s="3">
        <f t="shared" si="183"/>
        <v>2.342057431098469E-62</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3.3195679421044622E-2</v>
      </c>
      <c r="C223" s="3">
        <f t="shared" si="184"/>
        <v>3.3195679421044622E-2</v>
      </c>
      <c r="D223" s="3">
        <f t="shared" si="184"/>
        <v>3.3195679421044615E-2</v>
      </c>
      <c r="E223" s="3">
        <f t="shared" si="184"/>
        <v>3.319567942104458E-2</v>
      </c>
      <c r="F223" s="3">
        <f t="shared" si="184"/>
        <v>3.3195679421044212E-2</v>
      </c>
      <c r="G223" s="3">
        <f t="shared" si="184"/>
        <v>3.3195679421040486E-2</v>
      </c>
      <c r="H223" s="3">
        <f t="shared" si="184"/>
        <v>3.3195679421003252E-2</v>
      </c>
      <c r="I223" s="3">
        <f t="shared" si="184"/>
        <v>3.3195679420630946E-2</v>
      </c>
      <c r="J223" s="3">
        <f t="shared" si="184"/>
        <v>3.3195679416907833E-2</v>
      </c>
      <c r="K223" s="3">
        <f t="shared" si="184"/>
        <v>3.3195679379676754E-2</v>
      </c>
      <c r="L223" s="3">
        <f t="shared" si="184"/>
        <v>3.3195679007365912E-2</v>
      </c>
      <c r="M223" s="3">
        <f t="shared" si="184"/>
        <v>3.319567528425775E-2</v>
      </c>
      <c r="N223" s="3">
        <f t="shared" si="184"/>
        <v>3.319563805319907E-2</v>
      </c>
      <c r="O223" s="3">
        <f t="shared" si="184"/>
        <v>3.3195265744908949E-2</v>
      </c>
      <c r="P223" s="3">
        <f t="shared" si="184"/>
        <v>3.3191542891660895E-2</v>
      </c>
      <c r="Q223" s="3">
        <f t="shared" si="184"/>
        <v>3.315433731497143E-2</v>
      </c>
      <c r="R223" s="3">
        <f t="shared" si="184"/>
        <v>3.2784567629530602E-2</v>
      </c>
      <c r="S223" s="3">
        <f t="shared" si="184"/>
        <v>2.9306270105656465E-2</v>
      </c>
      <c r="T223" s="3">
        <f t="shared" si="184"/>
        <v>9.5470989482354645E-3</v>
      </c>
      <c r="U223" s="3">
        <f t="shared" si="184"/>
        <v>1.2852280058586567E-7</v>
      </c>
      <c r="V223" s="3">
        <f t="shared" si="184"/>
        <v>2.5122783079552947E-56</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2.038442434974385E-2</v>
      </c>
      <c r="C224" s="3">
        <f t="shared" si="185"/>
        <v>2.038442434974385E-2</v>
      </c>
      <c r="D224" s="3">
        <f t="shared" si="185"/>
        <v>2.038442434974385E-2</v>
      </c>
      <c r="E224" s="3">
        <f t="shared" si="185"/>
        <v>2.0384424349743847E-2</v>
      </c>
      <c r="F224" s="3">
        <f t="shared" si="185"/>
        <v>2.0384424349743826E-2</v>
      </c>
      <c r="G224" s="3">
        <f t="shared" si="185"/>
        <v>2.0384424349743621E-2</v>
      </c>
      <c r="H224" s="3">
        <f t="shared" si="185"/>
        <v>2.0384424349741557E-2</v>
      </c>
      <c r="I224" s="3">
        <f t="shared" si="185"/>
        <v>2.0384424349720934E-2</v>
      </c>
      <c r="J224" s="3">
        <f t="shared" si="185"/>
        <v>2.0384424349514697E-2</v>
      </c>
      <c r="K224" s="3">
        <f t="shared" si="185"/>
        <v>2.0384424347452315E-2</v>
      </c>
      <c r="L224" s="3">
        <f t="shared" si="185"/>
        <v>2.0384424326828493E-2</v>
      </c>
      <c r="M224" s="3">
        <f t="shared" si="185"/>
        <v>2.0384424120590269E-2</v>
      </c>
      <c r="N224" s="3">
        <f t="shared" si="185"/>
        <v>2.0384422058208135E-2</v>
      </c>
      <c r="O224" s="3">
        <f t="shared" si="185"/>
        <v>2.0384401434398305E-2</v>
      </c>
      <c r="P224" s="3">
        <f t="shared" si="185"/>
        <v>2.0384195197447597E-2</v>
      </c>
      <c r="Q224" s="3">
        <f t="shared" si="185"/>
        <v>2.038213294269894E-2</v>
      </c>
      <c r="R224" s="3">
        <f t="shared" si="185"/>
        <v>2.0361521866758079E-2</v>
      </c>
      <c r="S224" s="3">
        <f t="shared" si="185"/>
        <v>2.0156553979196735E-2</v>
      </c>
      <c r="T224" s="3">
        <f t="shared" si="185"/>
        <v>1.8216997331757089E-2</v>
      </c>
      <c r="U224" s="3">
        <f t="shared" si="185"/>
        <v>6.6234137097118612E-3</v>
      </c>
      <c r="V224" s="3">
        <f t="shared" si="185"/>
        <v>2.6738236615363908E-7</v>
      </c>
      <c r="W224" s="3">
        <f t="shared" si="185"/>
        <v>3.0735590218345249E-51</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6.6925069366004494E-2</v>
      </c>
      <c r="C225" s="3">
        <f t="shared" si="186"/>
        <v>6.6925069366004494E-2</v>
      </c>
      <c r="D225" s="3">
        <f t="shared" si="186"/>
        <v>6.6925069366004494E-2</v>
      </c>
      <c r="E225" s="3">
        <f t="shared" si="186"/>
        <v>6.6925069366004494E-2</v>
      </c>
      <c r="F225" s="3">
        <f t="shared" si="186"/>
        <v>6.692506936600448E-2</v>
      </c>
      <c r="G225" s="3">
        <f t="shared" si="186"/>
        <v>6.6925069366004425E-2</v>
      </c>
      <c r="H225" s="3">
        <f t="shared" si="186"/>
        <v>6.6925069366003814E-2</v>
      </c>
      <c r="I225" s="3">
        <f t="shared" si="186"/>
        <v>6.6925069365997708E-2</v>
      </c>
      <c r="J225" s="3">
        <f t="shared" si="186"/>
        <v>6.6925069365936632E-2</v>
      </c>
      <c r="K225" s="3">
        <f t="shared" si="186"/>
        <v>6.6925069365325815E-2</v>
      </c>
      <c r="L225" s="3">
        <f t="shared" si="186"/>
        <v>6.6925069359217715E-2</v>
      </c>
      <c r="M225" s="3">
        <f t="shared" si="186"/>
        <v>6.6925069298136713E-2</v>
      </c>
      <c r="N225" s="3">
        <f t="shared" si="186"/>
        <v>6.6925068687326728E-2</v>
      </c>
      <c r="O225" s="3">
        <f t="shared" si="186"/>
        <v>6.6925062579227146E-2</v>
      </c>
      <c r="P225" s="3">
        <f t="shared" si="186"/>
        <v>6.6925001498261943E-2</v>
      </c>
      <c r="Q225" s="3">
        <f t="shared" si="186"/>
        <v>6.6924390691676078E-2</v>
      </c>
      <c r="R225" s="3">
        <f t="shared" si="186"/>
        <v>6.6918282932415779E-2</v>
      </c>
      <c r="S225" s="3">
        <f t="shared" si="186"/>
        <v>6.6857235989298006E-2</v>
      </c>
      <c r="T225" s="3">
        <f t="shared" si="186"/>
        <v>6.6249821181819379E-2</v>
      </c>
      <c r="U225" s="3">
        <f t="shared" si="186"/>
        <v>6.0471067305026618E-2</v>
      </c>
      <c r="V225" s="3">
        <f t="shared" si="186"/>
        <v>2.4275985482444525E-2</v>
      </c>
      <c r="W225" s="3">
        <f t="shared" si="186"/>
        <v>2.6391812740415755E-6</v>
      </c>
      <c r="X225" s="3">
        <f t="shared" si="186"/>
        <v>6.0868519805885152E-46</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9.6671799143506223E-2</v>
      </c>
      <c r="C226" s="3">
        <f t="shared" si="187"/>
        <v>9.6671799143506223E-2</v>
      </c>
      <c r="D226" s="3">
        <f t="shared" si="187"/>
        <v>9.6671799143506223E-2</v>
      </c>
      <c r="E226" s="3">
        <f t="shared" si="187"/>
        <v>9.6671799143506223E-2</v>
      </c>
      <c r="F226" s="3">
        <f t="shared" si="187"/>
        <v>9.6671799143506223E-2</v>
      </c>
      <c r="G226" s="3">
        <f t="shared" si="187"/>
        <v>9.667179914350621E-2</v>
      </c>
      <c r="H226" s="3">
        <f t="shared" si="187"/>
        <v>9.667179914350614E-2</v>
      </c>
      <c r="I226" s="3">
        <f t="shared" si="187"/>
        <v>9.6671799143505349E-2</v>
      </c>
      <c r="J226" s="3">
        <f t="shared" si="187"/>
        <v>9.6671799143497383E-2</v>
      </c>
      <c r="K226" s="3">
        <f t="shared" si="187"/>
        <v>9.667179914341778E-2</v>
      </c>
      <c r="L226" s="3">
        <f t="shared" si="187"/>
        <v>9.6671799142621875E-2</v>
      </c>
      <c r="M226" s="3">
        <f t="shared" si="187"/>
        <v>9.6671799134662784E-2</v>
      </c>
      <c r="N226" s="3">
        <f t="shared" si="187"/>
        <v>9.6671799055071839E-2</v>
      </c>
      <c r="O226" s="3">
        <f t="shared" si="187"/>
        <v>9.667179825916232E-2</v>
      </c>
      <c r="P226" s="3">
        <f t="shared" si="187"/>
        <v>9.6671790300067603E-2</v>
      </c>
      <c r="Q226" s="3">
        <f t="shared" si="187"/>
        <v>9.6671710709156353E-2</v>
      </c>
      <c r="R226" s="3">
        <f t="shared" si="187"/>
        <v>9.6670914803647923E-2</v>
      </c>
      <c r="S226" s="3">
        <f t="shared" si="187"/>
        <v>9.6662956108955964E-2</v>
      </c>
      <c r="T226" s="3">
        <f t="shared" si="187"/>
        <v>9.658340519029672E-2</v>
      </c>
      <c r="U226" s="3">
        <f t="shared" si="187"/>
        <v>9.5791487878751594E-2</v>
      </c>
      <c r="V226" s="3">
        <f t="shared" si="187"/>
        <v>8.8220797317838204E-2</v>
      </c>
      <c r="W226" s="3">
        <f t="shared" si="187"/>
        <v>3.8726796532838906E-2</v>
      </c>
      <c r="X226" s="3">
        <f t="shared" si="187"/>
        <v>1.0290050983657169E-5</v>
      </c>
      <c r="Y226" s="3">
        <f t="shared" si="187"/>
        <v>1.8049993680441695E-41</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8.3708796522492912E-2</v>
      </c>
      <c r="C227" s="3">
        <f t="shared" si="188"/>
        <v>8.3708796522492912E-2</v>
      </c>
      <c r="D227" s="3">
        <f t="shared" si="188"/>
        <v>8.3708796522492912E-2</v>
      </c>
      <c r="E227" s="3">
        <f t="shared" si="188"/>
        <v>8.3708796522492912E-2</v>
      </c>
      <c r="F227" s="3">
        <f t="shared" si="188"/>
        <v>8.3708796522492912E-2</v>
      </c>
      <c r="G227" s="3">
        <f t="shared" si="188"/>
        <v>8.3708796522492912E-2</v>
      </c>
      <c r="H227" s="3">
        <f t="shared" si="188"/>
        <v>8.3708796522492898E-2</v>
      </c>
      <c r="I227" s="3">
        <f t="shared" si="188"/>
        <v>8.3708796522492843E-2</v>
      </c>
      <c r="J227" s="3">
        <f t="shared" si="188"/>
        <v>8.3708796522492218E-2</v>
      </c>
      <c r="K227" s="3">
        <f t="shared" si="188"/>
        <v>8.3708796522486001E-2</v>
      </c>
      <c r="L227" s="3">
        <f t="shared" si="188"/>
        <v>8.3708796522423828E-2</v>
      </c>
      <c r="M227" s="3">
        <f t="shared" si="188"/>
        <v>8.3708796521802131E-2</v>
      </c>
      <c r="N227" s="3">
        <f t="shared" si="188"/>
        <v>8.3708796515585118E-2</v>
      </c>
      <c r="O227" s="3">
        <f t="shared" si="188"/>
        <v>8.3708796453415016E-2</v>
      </c>
      <c r="P227" s="3">
        <f t="shared" si="188"/>
        <v>8.3708795831713992E-2</v>
      </c>
      <c r="Q227" s="3">
        <f t="shared" si="188"/>
        <v>8.3708789614704029E-2</v>
      </c>
      <c r="R227" s="3">
        <f t="shared" si="188"/>
        <v>8.370872744462976E-2</v>
      </c>
      <c r="S227" s="3">
        <f t="shared" si="188"/>
        <v>8.3708105746426509E-2</v>
      </c>
      <c r="T227" s="3">
        <f t="shared" si="188"/>
        <v>8.370188901834022E-2</v>
      </c>
      <c r="U227" s="3">
        <f t="shared" si="188"/>
        <v>8.3639747125107272E-2</v>
      </c>
      <c r="V227" s="3">
        <f t="shared" si="188"/>
        <v>8.3020859993179486E-2</v>
      </c>
      <c r="W227" s="3">
        <f t="shared" si="188"/>
        <v>7.7078347457070887E-2</v>
      </c>
      <c r="X227" s="3">
        <f t="shared" si="188"/>
        <v>3.6676177488952702E-2</v>
      </c>
      <c r="Y227" s="3">
        <f t="shared" si="188"/>
        <v>2.1822312686959115E-5</v>
      </c>
      <c r="Z227" s="3">
        <f t="shared" si="188"/>
        <v>1.2135784631772353E-37</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5.9251655732023817E-2</v>
      </c>
      <c r="C228" s="3">
        <f t="shared" si="189"/>
        <v>5.9251655732023817E-2</v>
      </c>
      <c r="D228" s="3">
        <f t="shared" si="189"/>
        <v>5.9251655732023817E-2</v>
      </c>
      <c r="E228" s="3">
        <f t="shared" si="189"/>
        <v>5.9251655732023817E-2</v>
      </c>
      <c r="F228" s="3">
        <f t="shared" si="189"/>
        <v>5.9251655732023817E-2</v>
      </c>
      <c r="G228" s="3">
        <f t="shared" si="189"/>
        <v>5.9251655732023817E-2</v>
      </c>
      <c r="H228" s="3">
        <f t="shared" si="189"/>
        <v>5.9251655732023817E-2</v>
      </c>
      <c r="I228" s="3">
        <f t="shared" si="189"/>
        <v>5.925165573202381E-2</v>
      </c>
      <c r="J228" s="3">
        <f t="shared" si="189"/>
        <v>5.9251655732023768E-2</v>
      </c>
      <c r="K228" s="3">
        <f t="shared" si="189"/>
        <v>5.9251655732023373E-2</v>
      </c>
      <c r="L228" s="3">
        <f t="shared" si="189"/>
        <v>5.9251655732019404E-2</v>
      </c>
      <c r="M228" s="3">
        <f t="shared" si="189"/>
        <v>5.9251655731979706E-2</v>
      </c>
      <c r="N228" s="3">
        <f t="shared" si="189"/>
        <v>5.9251655731582739E-2</v>
      </c>
      <c r="O228" s="3">
        <f t="shared" si="189"/>
        <v>5.925165572761304E-2</v>
      </c>
      <c r="P228" s="3">
        <f t="shared" si="189"/>
        <v>5.9251655687916051E-2</v>
      </c>
      <c r="Q228" s="3">
        <f t="shared" si="189"/>
        <v>5.9251655290946163E-2</v>
      </c>
      <c r="R228" s="3">
        <f t="shared" si="189"/>
        <v>5.9251651321247427E-2</v>
      </c>
      <c r="S228" s="3">
        <f t="shared" si="189"/>
        <v>5.9251611624274683E-2</v>
      </c>
      <c r="T228" s="3">
        <f t="shared" si="189"/>
        <v>5.925121465601E-2</v>
      </c>
      <c r="U228" s="3">
        <f t="shared" si="189"/>
        <v>5.9247245119636582E-2</v>
      </c>
      <c r="V228" s="3">
        <f t="shared" si="189"/>
        <v>5.9207564379617578E-2</v>
      </c>
      <c r="W228" s="3">
        <f t="shared" si="189"/>
        <v>5.88122157323605E-2</v>
      </c>
      <c r="X228" s="3">
        <f t="shared" si="189"/>
        <v>5.500105234286453E-2</v>
      </c>
      <c r="Y228" s="3">
        <f t="shared" si="189"/>
        <v>2.8145279943464597E-2</v>
      </c>
      <c r="Z228" s="3">
        <f t="shared" si="189"/>
        <v>3.4653835499954617E-5</v>
      </c>
      <c r="AA228" s="3">
        <f t="shared" si="189"/>
        <v>2.7746529998084971E-34</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5.2327746974864794E-2</v>
      </c>
      <c r="C229" s="3">
        <f t="shared" si="190"/>
        <v>5.2327746974864794E-2</v>
      </c>
      <c r="D229" s="3">
        <f t="shared" si="190"/>
        <v>5.2327746974864794E-2</v>
      </c>
      <c r="E229" s="3">
        <f t="shared" si="190"/>
        <v>5.2327746974864794E-2</v>
      </c>
      <c r="F229" s="3">
        <f t="shared" si="190"/>
        <v>5.2327746974864794E-2</v>
      </c>
      <c r="G229" s="3">
        <f t="shared" si="190"/>
        <v>5.2327746974864794E-2</v>
      </c>
      <c r="H229" s="3">
        <f t="shared" si="190"/>
        <v>5.2327746974864794E-2</v>
      </c>
      <c r="I229" s="3">
        <f t="shared" si="190"/>
        <v>5.2327746974864794E-2</v>
      </c>
      <c r="J229" s="3">
        <f t="shared" si="190"/>
        <v>5.2327746974864787E-2</v>
      </c>
      <c r="K229" s="3">
        <f t="shared" si="190"/>
        <v>5.232774697486476E-2</v>
      </c>
      <c r="L229" s="3">
        <f t="shared" si="190"/>
        <v>5.2327746974864447E-2</v>
      </c>
      <c r="M229" s="3">
        <f t="shared" si="190"/>
        <v>5.2327746974861276E-2</v>
      </c>
      <c r="N229" s="3">
        <f t="shared" si="190"/>
        <v>5.2327746974829656E-2</v>
      </c>
      <c r="O229" s="3">
        <f t="shared" si="190"/>
        <v>5.2327746974513402E-2</v>
      </c>
      <c r="P229" s="3">
        <f t="shared" si="190"/>
        <v>5.2327746971350862E-2</v>
      </c>
      <c r="Q229" s="3">
        <f t="shared" si="190"/>
        <v>5.2327746939725486E-2</v>
      </c>
      <c r="R229" s="3">
        <f t="shared" si="190"/>
        <v>5.2327746623471727E-2</v>
      </c>
      <c r="S229" s="3">
        <f t="shared" si="190"/>
        <v>5.2327743460934203E-2</v>
      </c>
      <c r="T229" s="3">
        <f t="shared" si="190"/>
        <v>5.2327711835569474E-2</v>
      </c>
      <c r="U229" s="3">
        <f t="shared" si="190"/>
        <v>5.2327395582973453E-2</v>
      </c>
      <c r="V229" s="3">
        <f t="shared" si="190"/>
        <v>5.2324233162134637E-2</v>
      </c>
      <c r="W229" s="3">
        <f t="shared" si="190"/>
        <v>5.2292619463539351E-2</v>
      </c>
      <c r="X229" s="3">
        <f t="shared" si="190"/>
        <v>5.197753111049995E-2</v>
      </c>
      <c r="Y229" s="3">
        <f t="shared" si="190"/>
        <v>4.8929203373058117E-2</v>
      </c>
      <c r="Z229" s="3">
        <f t="shared" si="190"/>
        <v>2.6735796347496697E-2</v>
      </c>
      <c r="AA229" s="3">
        <f t="shared" si="190"/>
        <v>6.3437041274348803E-5</v>
      </c>
      <c r="AB229" s="3">
        <f t="shared" si="190"/>
        <v>3.5879044276057443E-31</v>
      </c>
      <c r="AC229" s="3">
        <f t="shared" si="190"/>
        <v>1.2017671686728211E-293</v>
      </c>
      <c r="AD229" s="3">
        <f t="shared" si="190"/>
        <v>0</v>
      </c>
      <c r="AE229" s="3">
        <f t="shared" si="190"/>
        <v>0</v>
      </c>
      <c r="AF229" s="3">
        <f t="shared" si="190"/>
        <v>0</v>
      </c>
      <c r="AG229" s="3"/>
      <c r="AH229" s="3"/>
    </row>
    <row r="230" spans="2:34" x14ac:dyDescent="0.25">
      <c r="B230" s="3">
        <f t="shared" ref="B230:AF230" si="191">$C38*EXP(-B$207/$A38/EXP(-$D$126))</f>
        <v>1.7967891452015796E-2</v>
      </c>
      <c r="C230" s="3">
        <f t="shared" si="191"/>
        <v>1.7967891452015796E-2</v>
      </c>
      <c r="D230" s="3">
        <f t="shared" si="191"/>
        <v>1.7967891452015796E-2</v>
      </c>
      <c r="E230" s="3">
        <f t="shared" si="191"/>
        <v>1.7967891452015796E-2</v>
      </c>
      <c r="F230" s="3">
        <f t="shared" si="191"/>
        <v>1.7967891452015796E-2</v>
      </c>
      <c r="G230" s="3">
        <f t="shared" si="191"/>
        <v>1.7967891452015796E-2</v>
      </c>
      <c r="H230" s="3">
        <f t="shared" si="191"/>
        <v>1.7967891452015796E-2</v>
      </c>
      <c r="I230" s="3">
        <f t="shared" si="191"/>
        <v>1.7967891452015796E-2</v>
      </c>
      <c r="J230" s="3">
        <f t="shared" si="191"/>
        <v>1.7967891452015796E-2</v>
      </c>
      <c r="K230" s="3">
        <f t="shared" si="191"/>
        <v>1.7967891452015793E-2</v>
      </c>
      <c r="L230" s="3">
        <f t="shared" si="191"/>
        <v>1.7967891452015786E-2</v>
      </c>
      <c r="M230" s="3">
        <f t="shared" si="191"/>
        <v>1.7967891452015685E-2</v>
      </c>
      <c r="N230" s="3">
        <f t="shared" si="191"/>
        <v>1.7967891452014707E-2</v>
      </c>
      <c r="O230" s="3">
        <f t="shared" si="191"/>
        <v>1.7967891452004912E-2</v>
      </c>
      <c r="P230" s="3">
        <f t="shared" si="191"/>
        <v>1.7967891451906953E-2</v>
      </c>
      <c r="Q230" s="3">
        <f t="shared" si="191"/>
        <v>1.7967891450927354E-2</v>
      </c>
      <c r="R230" s="3">
        <f t="shared" si="191"/>
        <v>1.7967891441131388E-2</v>
      </c>
      <c r="S230" s="3">
        <f t="shared" si="191"/>
        <v>1.7967891343171703E-2</v>
      </c>
      <c r="T230" s="3">
        <f t="shared" si="191"/>
        <v>1.7967890363574903E-2</v>
      </c>
      <c r="U230" s="3">
        <f t="shared" si="191"/>
        <v>1.7967880567609815E-2</v>
      </c>
      <c r="V230" s="3">
        <f t="shared" si="191"/>
        <v>1.79677826082527E-2</v>
      </c>
      <c r="W230" s="3">
        <f t="shared" si="191"/>
        <v>1.7966803044054683E-2</v>
      </c>
      <c r="X230" s="3">
        <f t="shared" si="191"/>
        <v>1.7957010338797531E-2</v>
      </c>
      <c r="Y230" s="3">
        <f t="shared" si="191"/>
        <v>1.78593763669888E-2</v>
      </c>
      <c r="Z230" s="3">
        <f t="shared" si="191"/>
        <v>1.6911762041242978E-2</v>
      </c>
      <c r="AA230" s="3">
        <f t="shared" si="191"/>
        <v>9.8042540188869043E-3</v>
      </c>
      <c r="AB230" s="3">
        <f t="shared" si="191"/>
        <v>4.2040852256882522E-5</v>
      </c>
      <c r="AC230" s="3">
        <f t="shared" si="191"/>
        <v>8.835702360666673E-29</v>
      </c>
      <c r="AD230" s="3">
        <f t="shared" si="191"/>
        <v>1.4857192170358916E-265</v>
      </c>
      <c r="AE230" s="3">
        <f t="shared" si="191"/>
        <v>0</v>
      </c>
      <c r="AF230" s="3">
        <f t="shared" si="191"/>
        <v>0</v>
      </c>
      <c r="AG230" s="3"/>
      <c r="AH230" s="3"/>
    </row>
    <row r="231" spans="2:34" x14ac:dyDescent="0.25">
      <c r="B231" s="3">
        <f t="shared" ref="B231:AF231" si="192">$C39*EXP(-B$207/$A39/EXP(-$D$126))</f>
        <v>4.123109123431553E-2</v>
      </c>
      <c r="C231" s="3">
        <f t="shared" si="192"/>
        <v>4.123109123431553E-2</v>
      </c>
      <c r="D231" s="3">
        <f t="shared" si="192"/>
        <v>4.123109123431553E-2</v>
      </c>
      <c r="E231" s="3">
        <f t="shared" si="192"/>
        <v>4.123109123431553E-2</v>
      </c>
      <c r="F231" s="3">
        <f t="shared" si="192"/>
        <v>4.123109123431553E-2</v>
      </c>
      <c r="G231" s="3">
        <f t="shared" si="192"/>
        <v>4.123109123431553E-2</v>
      </c>
      <c r="H231" s="3">
        <f t="shared" si="192"/>
        <v>4.123109123431553E-2</v>
      </c>
      <c r="I231" s="3">
        <f t="shared" si="192"/>
        <v>4.123109123431553E-2</v>
      </c>
      <c r="J231" s="3">
        <f t="shared" si="192"/>
        <v>4.123109123431553E-2</v>
      </c>
      <c r="K231" s="3">
        <f t="shared" si="192"/>
        <v>4.123109123431553E-2</v>
      </c>
      <c r="L231" s="3">
        <f t="shared" si="192"/>
        <v>4.1231091234315523E-2</v>
      </c>
      <c r="M231" s="3">
        <f t="shared" si="192"/>
        <v>4.123109123431546E-2</v>
      </c>
      <c r="N231" s="3">
        <f t="shared" si="192"/>
        <v>4.1231091234314836E-2</v>
      </c>
      <c r="O231" s="3">
        <f t="shared" si="192"/>
        <v>4.1231091234308626E-2</v>
      </c>
      <c r="P231" s="3">
        <f t="shared" si="192"/>
        <v>4.1231091234246453E-2</v>
      </c>
      <c r="Q231" s="3">
        <f t="shared" si="192"/>
        <v>4.1231091233624742E-2</v>
      </c>
      <c r="R231" s="3">
        <f t="shared" si="192"/>
        <v>4.1231091227407639E-2</v>
      </c>
      <c r="S231" s="3">
        <f t="shared" si="192"/>
        <v>4.123109116523662E-2</v>
      </c>
      <c r="T231" s="3">
        <f t="shared" si="192"/>
        <v>4.12310905435265E-2</v>
      </c>
      <c r="U231" s="3">
        <f t="shared" si="192"/>
        <v>4.1231084326425693E-2</v>
      </c>
      <c r="V231" s="3">
        <f t="shared" si="192"/>
        <v>4.1231022155469241E-2</v>
      </c>
      <c r="W231" s="3">
        <f t="shared" si="192"/>
        <v>4.1230400451060717E-2</v>
      </c>
      <c r="X231" s="3">
        <f t="shared" si="192"/>
        <v>4.1224183922544524E-2</v>
      </c>
      <c r="Y231" s="3">
        <f t="shared" si="192"/>
        <v>4.116207016553481E-2</v>
      </c>
      <c r="Z231" s="3">
        <f t="shared" si="192"/>
        <v>4.0546056778125304E-2</v>
      </c>
      <c r="AA231" s="3">
        <f t="shared" si="192"/>
        <v>3.4870869768072826E-2</v>
      </c>
      <c r="AB231" s="3">
        <f t="shared" si="192"/>
        <v>7.7197695695889754E-3</v>
      </c>
      <c r="AC231" s="3">
        <f t="shared" si="192"/>
        <v>2.1828299749864363E-9</v>
      </c>
      <c r="AD231" s="3">
        <f t="shared" si="192"/>
        <v>7.1314136420956354E-75</v>
      </c>
      <c r="AE231" s="3">
        <f t="shared" si="192"/>
        <v>0</v>
      </c>
      <c r="AF231" s="3">
        <f t="shared" si="192"/>
        <v>0</v>
      </c>
      <c r="AG231" s="3"/>
      <c r="AH231" s="3"/>
    </row>
    <row r="232" spans="2:34" x14ac:dyDescent="0.25">
      <c r="B232" s="3">
        <f t="shared" ref="B232:AF232" si="193">$C40*EXP(-B$207/$A40/EXP(-$D$126))</f>
        <v>3.4610685556715946E-2</v>
      </c>
      <c r="C232" s="3">
        <f t="shared" si="193"/>
        <v>3.4610685556715946E-2</v>
      </c>
      <c r="D232" s="3">
        <f t="shared" si="193"/>
        <v>3.4610685556715946E-2</v>
      </c>
      <c r="E232" s="3">
        <f t="shared" si="193"/>
        <v>3.4610685556715946E-2</v>
      </c>
      <c r="F232" s="3">
        <f t="shared" si="193"/>
        <v>3.4610685556715946E-2</v>
      </c>
      <c r="G232" s="3">
        <f t="shared" si="193"/>
        <v>3.4610685556715946E-2</v>
      </c>
      <c r="H232" s="3">
        <f t="shared" si="193"/>
        <v>3.4610685556715946E-2</v>
      </c>
      <c r="I232" s="3">
        <f t="shared" si="193"/>
        <v>3.4610685556715946E-2</v>
      </c>
      <c r="J232" s="3">
        <f t="shared" si="193"/>
        <v>3.4610685556715946E-2</v>
      </c>
      <c r="K232" s="3">
        <f t="shared" si="193"/>
        <v>3.4610685556715946E-2</v>
      </c>
      <c r="L232" s="3">
        <f t="shared" si="193"/>
        <v>3.4610685556715946E-2</v>
      </c>
      <c r="M232" s="3">
        <f t="shared" si="193"/>
        <v>3.4610685556715939E-2</v>
      </c>
      <c r="N232" s="3">
        <f t="shared" si="193"/>
        <v>3.4610685556715891E-2</v>
      </c>
      <c r="O232" s="3">
        <f t="shared" si="193"/>
        <v>3.4610685556715363E-2</v>
      </c>
      <c r="P232" s="3">
        <f t="shared" si="193"/>
        <v>3.4610685556710145E-2</v>
      </c>
      <c r="Q232" s="3">
        <f t="shared" si="193"/>
        <v>3.4610685556657958E-2</v>
      </c>
      <c r="R232" s="3">
        <f t="shared" si="193"/>
        <v>3.4610685556136077E-2</v>
      </c>
      <c r="S232" s="3">
        <f t="shared" si="193"/>
        <v>3.4610685550917245E-2</v>
      </c>
      <c r="T232" s="3">
        <f t="shared" si="193"/>
        <v>3.4610685498728921E-2</v>
      </c>
      <c r="U232" s="3">
        <f t="shared" si="193"/>
        <v>3.4610684976845725E-2</v>
      </c>
      <c r="V232" s="3">
        <f t="shared" si="193"/>
        <v>3.4610679758014143E-2</v>
      </c>
      <c r="W232" s="3">
        <f t="shared" si="193"/>
        <v>3.4610627569741655E-2</v>
      </c>
      <c r="X232" s="3">
        <f t="shared" si="193"/>
        <v>3.4610105691344831E-2</v>
      </c>
      <c r="Y232" s="3">
        <f t="shared" si="193"/>
        <v>3.4604887340161608E-2</v>
      </c>
      <c r="Z232" s="3">
        <f t="shared" si="193"/>
        <v>3.4552747082694436E-2</v>
      </c>
      <c r="AA232" s="3">
        <f t="shared" si="193"/>
        <v>3.4035645909475588E-2</v>
      </c>
      <c r="AB232" s="3">
        <f t="shared" si="193"/>
        <v>2.9271713954237683E-2</v>
      </c>
      <c r="AC232" s="3">
        <f t="shared" si="193"/>
        <v>6.4802193962059454E-3</v>
      </c>
      <c r="AD232" s="3">
        <f t="shared" si="193"/>
        <v>1.8323367057807113E-9</v>
      </c>
      <c r="AE232" s="3">
        <f t="shared" si="193"/>
        <v>5.9863347719504991E-75</v>
      </c>
      <c r="AF232" s="3">
        <f t="shared" si="193"/>
        <v>0</v>
      </c>
      <c r="AG232" s="3"/>
      <c r="AH232" s="3"/>
    </row>
    <row r="233" spans="2:34" x14ac:dyDescent="0.25">
      <c r="B233" s="3">
        <f t="shared" ref="B233:AF233" si="194">$C41*EXP(-B$207/$A41/EXP(-$D$126))</f>
        <v>4.2854236942630193E-2</v>
      </c>
      <c r="C233" s="3">
        <f t="shared" si="194"/>
        <v>4.2854236942630193E-2</v>
      </c>
      <c r="D233" s="3">
        <f t="shared" si="194"/>
        <v>4.2854236942630193E-2</v>
      </c>
      <c r="E233" s="3">
        <f t="shared" si="194"/>
        <v>4.2854236942630193E-2</v>
      </c>
      <c r="F233" s="3">
        <f t="shared" si="194"/>
        <v>4.2854236942630193E-2</v>
      </c>
      <c r="G233" s="3">
        <f t="shared" si="194"/>
        <v>4.2854236942630193E-2</v>
      </c>
      <c r="H233" s="3">
        <f t="shared" si="194"/>
        <v>4.2854236942630193E-2</v>
      </c>
      <c r="I233" s="3">
        <f t="shared" si="194"/>
        <v>4.2854236942630193E-2</v>
      </c>
      <c r="J233" s="3">
        <f t="shared" si="194"/>
        <v>4.2854236942630193E-2</v>
      </c>
      <c r="K233" s="3">
        <f t="shared" si="194"/>
        <v>4.2854236942630193E-2</v>
      </c>
      <c r="L233" s="3">
        <f t="shared" si="194"/>
        <v>4.2854236942630193E-2</v>
      </c>
      <c r="M233" s="3">
        <f t="shared" si="194"/>
        <v>4.2854236942630193E-2</v>
      </c>
      <c r="N233" s="3">
        <f t="shared" si="194"/>
        <v>4.2854236942630186E-2</v>
      </c>
      <c r="O233" s="3">
        <f t="shared" si="194"/>
        <v>4.2854236942630124E-2</v>
      </c>
      <c r="P233" s="3">
        <f t="shared" si="194"/>
        <v>4.2854236942629471E-2</v>
      </c>
      <c r="Q233" s="3">
        <f t="shared" si="194"/>
        <v>4.2854236942623011E-2</v>
      </c>
      <c r="R233" s="3">
        <f t="shared" si="194"/>
        <v>4.2854236942558396E-2</v>
      </c>
      <c r="S233" s="3">
        <f t="shared" si="194"/>
        <v>4.2854236941912212E-2</v>
      </c>
      <c r="T233" s="3">
        <f t="shared" si="194"/>
        <v>4.285423693545036E-2</v>
      </c>
      <c r="U233" s="3">
        <f t="shared" si="194"/>
        <v>4.2854236870831855E-2</v>
      </c>
      <c r="V233" s="3">
        <f t="shared" si="194"/>
        <v>4.2854236224646847E-2</v>
      </c>
      <c r="W233" s="3">
        <f t="shared" si="194"/>
        <v>4.2854229762797236E-2</v>
      </c>
      <c r="X233" s="3">
        <f t="shared" si="194"/>
        <v>4.2854165144354715E-2</v>
      </c>
      <c r="Y233" s="3">
        <f t="shared" si="194"/>
        <v>4.2853518965288544E-2</v>
      </c>
      <c r="Z233" s="3">
        <f t="shared" si="194"/>
        <v>4.284705771049227E-2</v>
      </c>
      <c r="AA233" s="3">
        <f t="shared" si="194"/>
        <v>4.2782498719192132E-2</v>
      </c>
      <c r="AB233" s="3">
        <f t="shared" si="194"/>
        <v>4.2142234712744774E-2</v>
      </c>
      <c r="AC233" s="3">
        <f t="shared" si="194"/>
        <v>3.6243632431267631E-2</v>
      </c>
      <c r="AD233" s="3">
        <f t="shared" si="194"/>
        <v>8.0236739890681245E-3</v>
      </c>
      <c r="AE233" s="3">
        <f t="shared" si="194"/>
        <v>2.2687615135369137E-9</v>
      </c>
      <c r="AF233" s="3">
        <f t="shared" si="194"/>
        <v>7.4121562346601113E-75</v>
      </c>
      <c r="AG233" s="3"/>
      <c r="AH233" s="3"/>
    </row>
    <row r="234" spans="2:34" x14ac:dyDescent="0.25">
      <c r="B234" s="3">
        <f t="shared" ref="B234:AF234" si="195">$C42*EXP(-B$207/$A42/EXP(-$D$126))</f>
        <v>3.2192937025108795E-2</v>
      </c>
      <c r="C234" s="3">
        <f t="shared" si="195"/>
        <v>3.2192937025108795E-2</v>
      </c>
      <c r="D234" s="3">
        <f t="shared" si="195"/>
        <v>3.2192937025108795E-2</v>
      </c>
      <c r="E234" s="3">
        <f t="shared" si="195"/>
        <v>3.2192937025108795E-2</v>
      </c>
      <c r="F234" s="3">
        <f t="shared" si="195"/>
        <v>3.2192937025108795E-2</v>
      </c>
      <c r="G234" s="3">
        <f t="shared" si="195"/>
        <v>3.2192937025108795E-2</v>
      </c>
      <c r="H234" s="3">
        <f t="shared" si="195"/>
        <v>3.2192937025108795E-2</v>
      </c>
      <c r="I234" s="3">
        <f t="shared" si="195"/>
        <v>3.2192937025108795E-2</v>
      </c>
      <c r="J234" s="3">
        <f t="shared" si="195"/>
        <v>3.2192937025108795E-2</v>
      </c>
      <c r="K234" s="3">
        <f t="shared" si="195"/>
        <v>3.2192937025108795E-2</v>
      </c>
      <c r="L234" s="3">
        <f t="shared" si="195"/>
        <v>3.2192937025108795E-2</v>
      </c>
      <c r="M234" s="3">
        <f t="shared" si="195"/>
        <v>3.2192937025108795E-2</v>
      </c>
      <c r="N234" s="3">
        <f t="shared" si="195"/>
        <v>3.2192937025108795E-2</v>
      </c>
      <c r="O234" s="3">
        <f t="shared" si="195"/>
        <v>3.2192937025108788E-2</v>
      </c>
      <c r="P234" s="3">
        <f t="shared" si="195"/>
        <v>3.2192937025108739E-2</v>
      </c>
      <c r="Q234" s="3">
        <f t="shared" si="195"/>
        <v>3.2192937025108254E-2</v>
      </c>
      <c r="R234" s="3">
        <f t="shared" si="195"/>
        <v>3.2192937025103403E-2</v>
      </c>
      <c r="S234" s="3">
        <f t="shared" si="195"/>
        <v>3.2192937025054859E-2</v>
      </c>
      <c r="T234" s="3">
        <f t="shared" si="195"/>
        <v>3.2192937024569435E-2</v>
      </c>
      <c r="U234" s="3">
        <f t="shared" si="195"/>
        <v>3.2192937019715165E-2</v>
      </c>
      <c r="V234" s="3">
        <f t="shared" si="195"/>
        <v>3.2192936971172488E-2</v>
      </c>
      <c r="W234" s="3">
        <f t="shared" si="195"/>
        <v>3.2192936485745727E-2</v>
      </c>
      <c r="X234" s="3">
        <f t="shared" si="195"/>
        <v>3.2192931631478509E-2</v>
      </c>
      <c r="Y234" s="3">
        <f t="shared" si="195"/>
        <v>3.2192883088846574E-2</v>
      </c>
      <c r="Z234" s="3">
        <f t="shared" si="195"/>
        <v>3.2192397666553046E-2</v>
      </c>
      <c r="AA234" s="3">
        <f t="shared" si="195"/>
        <v>3.2187543846170286E-2</v>
      </c>
      <c r="AB234" s="3">
        <f t="shared" si="195"/>
        <v>3.2139045875150242E-2</v>
      </c>
      <c r="AC234" s="3">
        <f t="shared" si="195"/>
        <v>3.1658067089631384E-2</v>
      </c>
      <c r="AD234" s="3">
        <f t="shared" si="195"/>
        <v>2.7226922229020036E-2</v>
      </c>
      <c r="AE234" s="3">
        <f t="shared" si="195"/>
        <v>6.0275400956473083E-3</v>
      </c>
      <c r="AF234" s="3">
        <f t="shared" si="195"/>
        <v>1.7043378144397231E-9</v>
      </c>
      <c r="AG234" s="3"/>
      <c r="AH234" s="3"/>
    </row>
    <row r="235" spans="2:34" x14ac:dyDescent="0.25">
      <c r="B235" s="3">
        <f t="shared" ref="B235:AF235" si="196">$C43*EXP(-B$207/$A43/EXP(-$D$126))</f>
        <v>2.5751010749186929E-2</v>
      </c>
      <c r="C235" s="3">
        <f t="shared" si="196"/>
        <v>2.5751010749186929E-2</v>
      </c>
      <c r="D235" s="3">
        <f t="shared" si="196"/>
        <v>2.5751010749186929E-2</v>
      </c>
      <c r="E235" s="3">
        <f t="shared" si="196"/>
        <v>2.5751010749186929E-2</v>
      </c>
      <c r="F235" s="3">
        <f t="shared" si="196"/>
        <v>2.5751010749186929E-2</v>
      </c>
      <c r="G235" s="3">
        <f t="shared" si="196"/>
        <v>2.5751010749186929E-2</v>
      </c>
      <c r="H235" s="3">
        <f t="shared" si="196"/>
        <v>2.5751010749186929E-2</v>
      </c>
      <c r="I235" s="3">
        <f t="shared" si="196"/>
        <v>2.5751010749186929E-2</v>
      </c>
      <c r="J235" s="3">
        <f t="shared" si="196"/>
        <v>2.5751010749186929E-2</v>
      </c>
      <c r="K235" s="3">
        <f t="shared" si="196"/>
        <v>2.5751010749186929E-2</v>
      </c>
      <c r="L235" s="3">
        <f t="shared" si="196"/>
        <v>2.5751010749186929E-2</v>
      </c>
      <c r="M235" s="3">
        <f t="shared" si="196"/>
        <v>2.5751010749186929E-2</v>
      </c>
      <c r="N235" s="3">
        <f t="shared" si="196"/>
        <v>2.5751010749186929E-2</v>
      </c>
      <c r="O235" s="3">
        <f t="shared" si="196"/>
        <v>2.5751010749186929E-2</v>
      </c>
      <c r="P235" s="3">
        <f t="shared" si="196"/>
        <v>2.5751010749186922E-2</v>
      </c>
      <c r="Q235" s="3">
        <f t="shared" si="196"/>
        <v>2.5751010749186887E-2</v>
      </c>
      <c r="R235" s="3">
        <f t="shared" si="196"/>
        <v>2.5751010749186499E-2</v>
      </c>
      <c r="S235" s="3">
        <f t="shared" si="196"/>
        <v>2.5751010749182617E-2</v>
      </c>
      <c r="T235" s="3">
        <f t="shared" si="196"/>
        <v>2.5751010749143786E-2</v>
      </c>
      <c r="U235" s="3">
        <f t="shared" si="196"/>
        <v>2.5751010748755496E-2</v>
      </c>
      <c r="V235" s="3">
        <f t="shared" si="196"/>
        <v>2.5751010744872585E-2</v>
      </c>
      <c r="W235" s="3">
        <f t="shared" si="196"/>
        <v>2.5751010706043475E-2</v>
      </c>
      <c r="X235" s="3">
        <f t="shared" si="196"/>
        <v>2.5751010317752416E-2</v>
      </c>
      <c r="Y235" s="3">
        <f t="shared" si="196"/>
        <v>2.5751006434842096E-2</v>
      </c>
      <c r="Z235" s="3">
        <f t="shared" si="196"/>
        <v>2.575096760577112E-2</v>
      </c>
      <c r="AA235" s="3">
        <f t="shared" si="196"/>
        <v>2.5750579318281574E-2</v>
      </c>
      <c r="AB235" s="3">
        <f t="shared" si="196"/>
        <v>2.5746696765386396E-2</v>
      </c>
      <c r="AC235" s="3">
        <f t="shared" si="196"/>
        <v>2.5707903418507955E-2</v>
      </c>
      <c r="AD235" s="3">
        <f t="shared" si="196"/>
        <v>2.5323170274515319E-2</v>
      </c>
      <c r="AE235" s="3">
        <f t="shared" si="196"/>
        <v>2.1778713959522682E-2</v>
      </c>
      <c r="AF235" s="3">
        <f t="shared" si="196"/>
        <v>4.821406933859726E-3</v>
      </c>
      <c r="AG235" s="3"/>
      <c r="AH235" s="3"/>
    </row>
    <row r="236" spans="2:34" x14ac:dyDescent="0.25">
      <c r="B236" s="3">
        <f t="shared" ref="B236:AF236" si="197">$C44*EXP(-B$207/$A44/EXP(-$D$126))</f>
        <v>1.2586213635594824E-2</v>
      </c>
      <c r="C236" s="3">
        <f t="shared" si="197"/>
        <v>1.2586213635594824E-2</v>
      </c>
      <c r="D236" s="3">
        <f t="shared" si="197"/>
        <v>1.2586213635594824E-2</v>
      </c>
      <c r="E236" s="3">
        <f t="shared" si="197"/>
        <v>1.2586213635594824E-2</v>
      </c>
      <c r="F236" s="3">
        <f t="shared" si="197"/>
        <v>1.2586213635594824E-2</v>
      </c>
      <c r="G236" s="3">
        <f t="shared" si="197"/>
        <v>1.2586213635594824E-2</v>
      </c>
      <c r="H236" s="3">
        <f t="shared" si="197"/>
        <v>1.2586213635594824E-2</v>
      </c>
      <c r="I236" s="3">
        <f t="shared" si="197"/>
        <v>1.2586213635594824E-2</v>
      </c>
      <c r="J236" s="3">
        <f t="shared" si="197"/>
        <v>1.2586213635594824E-2</v>
      </c>
      <c r="K236" s="3">
        <f t="shared" si="197"/>
        <v>1.2586213635594824E-2</v>
      </c>
      <c r="L236" s="3">
        <f t="shared" si="197"/>
        <v>1.2586213635594824E-2</v>
      </c>
      <c r="M236" s="3">
        <f t="shared" si="197"/>
        <v>1.2586213635594824E-2</v>
      </c>
      <c r="N236" s="3">
        <f t="shared" si="197"/>
        <v>1.2586213635594824E-2</v>
      </c>
      <c r="O236" s="3">
        <f t="shared" si="197"/>
        <v>1.2586213635594824E-2</v>
      </c>
      <c r="P236" s="3">
        <f t="shared" si="197"/>
        <v>1.2586213635594824E-2</v>
      </c>
      <c r="Q236" s="3">
        <f t="shared" si="197"/>
        <v>1.258621363559482E-2</v>
      </c>
      <c r="R236" s="3">
        <f t="shared" si="197"/>
        <v>1.2586213635594803E-2</v>
      </c>
      <c r="S236" s="3">
        <f t="shared" si="197"/>
        <v>1.2586213635594612E-2</v>
      </c>
      <c r="T236" s="3">
        <f t="shared" si="197"/>
        <v>1.2586213635592714E-2</v>
      </c>
      <c r="U236" s="3">
        <f t="shared" si="197"/>
        <v>1.2586213635573737E-2</v>
      </c>
      <c r="V236" s="3">
        <f t="shared" si="197"/>
        <v>1.2586213635383954E-2</v>
      </c>
      <c r="W236" s="3">
        <f t="shared" si="197"/>
        <v>1.258621363348612E-2</v>
      </c>
      <c r="X236" s="3">
        <f t="shared" si="197"/>
        <v>1.2586213614507779E-2</v>
      </c>
      <c r="Y236" s="3">
        <f t="shared" si="197"/>
        <v>1.2586213424724383E-2</v>
      </c>
      <c r="Z236" s="3">
        <f t="shared" si="197"/>
        <v>1.2586211526890576E-2</v>
      </c>
      <c r="AA236" s="3">
        <f t="shared" si="197"/>
        <v>1.2586192548568235E-2</v>
      </c>
      <c r="AB236" s="3">
        <f t="shared" si="197"/>
        <v>1.2586002766918767E-2</v>
      </c>
      <c r="AC236" s="3">
        <f t="shared" si="197"/>
        <v>1.2584105107806814E-2</v>
      </c>
      <c r="AD236" s="3">
        <f t="shared" si="197"/>
        <v>1.2565144246184433E-2</v>
      </c>
      <c r="AE236" s="3">
        <f t="shared" si="197"/>
        <v>1.2377099839300782E-2</v>
      </c>
      <c r="AF236" s="3">
        <f t="shared" si="197"/>
        <v>1.0644690776330736E-2</v>
      </c>
      <c r="AG236" s="3"/>
      <c r="AH236" s="3"/>
    </row>
    <row r="237" spans="2:34" x14ac:dyDescent="0.25">
      <c r="B237" s="3">
        <f t="shared" ref="B237:AF237" si="198">$C45*EXP(-B$207/$A45/EXP(-$D$126))</f>
        <v>6.9130744193958088E-3</v>
      </c>
      <c r="C237" s="3">
        <f t="shared" si="198"/>
        <v>6.9130744193958088E-3</v>
      </c>
      <c r="D237" s="3">
        <f t="shared" si="198"/>
        <v>6.9130744193958088E-3</v>
      </c>
      <c r="E237" s="3">
        <f t="shared" si="198"/>
        <v>6.9130744193958088E-3</v>
      </c>
      <c r="F237" s="3">
        <f t="shared" si="198"/>
        <v>6.9130744193958088E-3</v>
      </c>
      <c r="G237" s="3">
        <f t="shared" si="198"/>
        <v>6.9130744193958088E-3</v>
      </c>
      <c r="H237" s="3">
        <f t="shared" si="198"/>
        <v>6.9130744193958088E-3</v>
      </c>
      <c r="I237" s="3">
        <f t="shared" si="198"/>
        <v>6.9130744193958088E-3</v>
      </c>
      <c r="J237" s="3">
        <f t="shared" si="198"/>
        <v>6.9130744193958088E-3</v>
      </c>
      <c r="K237" s="3">
        <f t="shared" si="198"/>
        <v>6.9130744193958088E-3</v>
      </c>
      <c r="L237" s="3">
        <f t="shared" si="198"/>
        <v>6.9130744193958088E-3</v>
      </c>
      <c r="M237" s="3">
        <f t="shared" si="198"/>
        <v>6.9130744193958088E-3</v>
      </c>
      <c r="N237" s="3">
        <f t="shared" si="198"/>
        <v>6.9130744193958088E-3</v>
      </c>
      <c r="O237" s="3">
        <f t="shared" si="198"/>
        <v>6.9130744193958088E-3</v>
      </c>
      <c r="P237" s="3">
        <f t="shared" si="198"/>
        <v>6.9130744193958088E-3</v>
      </c>
      <c r="Q237" s="3">
        <f t="shared" si="198"/>
        <v>6.9130744193958088E-3</v>
      </c>
      <c r="R237" s="3">
        <f t="shared" si="198"/>
        <v>6.9130744193958071E-3</v>
      </c>
      <c r="S237" s="3">
        <f t="shared" si="198"/>
        <v>6.9130744193957976E-3</v>
      </c>
      <c r="T237" s="3">
        <f t="shared" si="198"/>
        <v>6.9130744193956926E-3</v>
      </c>
      <c r="U237" s="3">
        <f t="shared" si="198"/>
        <v>6.9130744193946509E-3</v>
      </c>
      <c r="V237" s="3">
        <f t="shared" si="198"/>
        <v>6.9130744193842261E-3</v>
      </c>
      <c r="W237" s="3">
        <f t="shared" si="198"/>
        <v>6.9130744192799866E-3</v>
      </c>
      <c r="X237" s="3">
        <f t="shared" si="198"/>
        <v>6.9130744182375869E-3</v>
      </c>
      <c r="Y237" s="3">
        <f t="shared" si="198"/>
        <v>6.9130744078135875E-3</v>
      </c>
      <c r="Z237" s="3">
        <f t="shared" si="198"/>
        <v>6.9130743035736011E-3</v>
      </c>
      <c r="AA237" s="3">
        <f t="shared" si="198"/>
        <v>6.9130732611738192E-3</v>
      </c>
      <c r="AB237" s="3">
        <f t="shared" si="198"/>
        <v>6.9130628371846447E-3</v>
      </c>
      <c r="AC237" s="3">
        <f t="shared" si="198"/>
        <v>6.9129585981573885E-3</v>
      </c>
      <c r="AD237" s="3">
        <f t="shared" si="198"/>
        <v>6.9119162943285014E-3</v>
      </c>
      <c r="AE237" s="3">
        <f t="shared" si="198"/>
        <v>6.9015018955866352E-3</v>
      </c>
      <c r="AF237" s="3">
        <f t="shared" si="198"/>
        <v>6.7982170621509932E-3</v>
      </c>
      <c r="AG237" s="3"/>
      <c r="AH237" s="3"/>
    </row>
    <row r="238" spans="2:34" x14ac:dyDescent="0.25">
      <c r="B238" s="3">
        <f t="shared" ref="B238:AF238" si="199">$C46*EXP(-B$207/$A46/EXP(-$D$126))</f>
        <v>3.0323866622783903E-3</v>
      </c>
      <c r="C238" s="3">
        <f t="shared" si="199"/>
        <v>3.0323866622783903E-3</v>
      </c>
      <c r="D238" s="3">
        <f t="shared" si="199"/>
        <v>3.0323866622783903E-3</v>
      </c>
      <c r="E238" s="3">
        <f t="shared" si="199"/>
        <v>3.0323866622783903E-3</v>
      </c>
      <c r="F238" s="3">
        <f t="shared" si="199"/>
        <v>3.0323866622783903E-3</v>
      </c>
      <c r="G238" s="3">
        <f t="shared" si="199"/>
        <v>3.0323866622783903E-3</v>
      </c>
      <c r="H238" s="3">
        <f t="shared" si="199"/>
        <v>3.0323866622783903E-3</v>
      </c>
      <c r="I238" s="3">
        <f t="shared" si="199"/>
        <v>3.0323866622783903E-3</v>
      </c>
      <c r="J238" s="3">
        <f t="shared" si="199"/>
        <v>3.0323866622783903E-3</v>
      </c>
      <c r="K238" s="3">
        <f t="shared" si="199"/>
        <v>3.0323866622783903E-3</v>
      </c>
      <c r="L238" s="3">
        <f t="shared" si="199"/>
        <v>3.0323866622783903E-3</v>
      </c>
      <c r="M238" s="3">
        <f t="shared" si="199"/>
        <v>3.0323866622783903E-3</v>
      </c>
      <c r="N238" s="3">
        <f t="shared" si="199"/>
        <v>3.0323866622783903E-3</v>
      </c>
      <c r="O238" s="3">
        <f t="shared" si="199"/>
        <v>3.0323866622783903E-3</v>
      </c>
      <c r="P238" s="3">
        <f t="shared" si="199"/>
        <v>3.0323866622783903E-3</v>
      </c>
      <c r="Q238" s="3">
        <f t="shared" si="199"/>
        <v>3.0323866622783903E-3</v>
      </c>
      <c r="R238" s="3">
        <f t="shared" si="199"/>
        <v>3.0323866622783903E-3</v>
      </c>
      <c r="S238" s="3">
        <f t="shared" si="199"/>
        <v>3.0323866622783894E-3</v>
      </c>
      <c r="T238" s="3">
        <f t="shared" si="199"/>
        <v>3.0323866622783851E-3</v>
      </c>
      <c r="U238" s="3">
        <f t="shared" si="199"/>
        <v>3.0323866622783396E-3</v>
      </c>
      <c r="V238" s="3">
        <f t="shared" si="199"/>
        <v>3.0323866622778825E-3</v>
      </c>
      <c r="W238" s="3">
        <f t="shared" si="199"/>
        <v>3.0323866622733097E-3</v>
      </c>
      <c r="X238" s="3">
        <f t="shared" si="199"/>
        <v>3.0323866622275855E-3</v>
      </c>
      <c r="Y238" s="3">
        <f t="shared" si="199"/>
        <v>3.0323866617703418E-3</v>
      </c>
      <c r="Z238" s="3">
        <f t="shared" si="199"/>
        <v>3.0323866571979048E-3</v>
      </c>
      <c r="AA238" s="3">
        <f t="shared" si="199"/>
        <v>3.0323866114735391E-3</v>
      </c>
      <c r="AB238" s="3">
        <f t="shared" si="199"/>
        <v>3.0323861542299159E-3</v>
      </c>
      <c r="AC238" s="3">
        <f t="shared" si="199"/>
        <v>3.032381581797475E-3</v>
      </c>
      <c r="AD238" s="3">
        <f t="shared" si="199"/>
        <v>3.0323358578522711E-3</v>
      </c>
      <c r="AE238" s="3">
        <f t="shared" si="199"/>
        <v>3.0318786563183356E-3</v>
      </c>
      <c r="AF238" s="3">
        <f t="shared" si="199"/>
        <v>3.0273104306744922E-3</v>
      </c>
      <c r="AG238" s="3"/>
      <c r="AH238" s="3"/>
    </row>
    <row r="239" spans="2:34" x14ac:dyDescent="0.25">
      <c r="B239" s="3">
        <f t="shared" ref="B239:AF239" si="200">$C47*EXP(-B$207/$A47/EXP(-$D$126))</f>
        <v>2.0349292815546579E-6</v>
      </c>
      <c r="C239" s="3">
        <f t="shared" si="200"/>
        <v>2.0349292815546579E-6</v>
      </c>
      <c r="D239" s="3">
        <f t="shared" si="200"/>
        <v>2.0349292815546579E-6</v>
      </c>
      <c r="E239" s="3">
        <f t="shared" si="200"/>
        <v>2.0349292815546579E-6</v>
      </c>
      <c r="F239" s="3">
        <f t="shared" si="200"/>
        <v>2.0349292815546579E-6</v>
      </c>
      <c r="G239" s="3">
        <f t="shared" si="200"/>
        <v>2.0349292815546579E-6</v>
      </c>
      <c r="H239" s="3">
        <f t="shared" si="200"/>
        <v>2.0349292815546579E-6</v>
      </c>
      <c r="I239" s="3">
        <f t="shared" si="200"/>
        <v>2.0349292815546579E-6</v>
      </c>
      <c r="J239" s="3">
        <f t="shared" si="200"/>
        <v>2.0349292815546579E-6</v>
      </c>
      <c r="K239" s="3">
        <f t="shared" si="200"/>
        <v>2.0349292815546579E-6</v>
      </c>
      <c r="L239" s="3">
        <f t="shared" si="200"/>
        <v>2.0349292815546579E-6</v>
      </c>
      <c r="M239" s="3">
        <f t="shared" si="200"/>
        <v>2.0349292815546579E-6</v>
      </c>
      <c r="N239" s="3">
        <f t="shared" si="200"/>
        <v>2.0349292815546579E-6</v>
      </c>
      <c r="O239" s="3">
        <f t="shared" si="200"/>
        <v>2.0349292815546579E-6</v>
      </c>
      <c r="P239" s="3">
        <f t="shared" si="200"/>
        <v>2.0349292815546579E-6</v>
      </c>
      <c r="Q239" s="3">
        <f t="shared" si="200"/>
        <v>2.0349292815546579E-6</v>
      </c>
      <c r="R239" s="3">
        <f t="shared" si="200"/>
        <v>2.0349292815546579E-6</v>
      </c>
      <c r="S239" s="3">
        <f t="shared" si="200"/>
        <v>2.0349292815546579E-6</v>
      </c>
      <c r="T239" s="3">
        <f t="shared" si="200"/>
        <v>2.0349292815546575E-6</v>
      </c>
      <c r="U239" s="3">
        <f t="shared" si="200"/>
        <v>2.0349292815546545E-6</v>
      </c>
      <c r="V239" s="3">
        <f t="shared" si="200"/>
        <v>2.0349292815546236E-6</v>
      </c>
      <c r="W239" s="3">
        <f t="shared" si="200"/>
        <v>2.034929281554317E-6</v>
      </c>
      <c r="X239" s="3">
        <f t="shared" si="200"/>
        <v>2.0349292815512486E-6</v>
      </c>
      <c r="Y239" s="3">
        <f t="shared" si="200"/>
        <v>2.0349292815205644E-6</v>
      </c>
      <c r="Z239" s="3">
        <f t="shared" si="200"/>
        <v>2.0349292812137242E-6</v>
      </c>
      <c r="AA239" s="3">
        <f t="shared" si="200"/>
        <v>2.0349292781453207E-6</v>
      </c>
      <c r="AB239" s="3">
        <f t="shared" si="200"/>
        <v>2.0349292474612883E-6</v>
      </c>
      <c r="AC239" s="3">
        <f t="shared" si="200"/>
        <v>2.0349289406209867E-6</v>
      </c>
      <c r="AD239" s="3">
        <f t="shared" si="200"/>
        <v>2.0349258722205162E-6</v>
      </c>
      <c r="AE239" s="3">
        <f t="shared" si="200"/>
        <v>2.0348951884702804E-6</v>
      </c>
      <c r="AF239" s="3">
        <f t="shared" si="200"/>
        <v>2.0345883764134441E-6</v>
      </c>
      <c r="AG239" s="3"/>
      <c r="AH239" s="3"/>
    </row>
    <row r="240" spans="2:34" x14ac:dyDescent="0.25">
      <c r="B240" s="3">
        <f t="shared" ref="B240:AF240" si="201">$C48*EXP(-B$207/$A48/EXP(-$D$126))</f>
        <v>1.1740866771866395E-2</v>
      </c>
      <c r="C240" s="3">
        <f t="shared" si="201"/>
        <v>1.1740866771866395E-2</v>
      </c>
      <c r="D240" s="3">
        <f t="shared" si="201"/>
        <v>1.1740866771866395E-2</v>
      </c>
      <c r="E240" s="3">
        <f t="shared" si="201"/>
        <v>1.1740866771866395E-2</v>
      </c>
      <c r="F240" s="3">
        <f t="shared" si="201"/>
        <v>1.1740866771866395E-2</v>
      </c>
      <c r="G240" s="3">
        <f t="shared" si="201"/>
        <v>1.1740866771866395E-2</v>
      </c>
      <c r="H240" s="3">
        <f t="shared" si="201"/>
        <v>1.1740866771866395E-2</v>
      </c>
      <c r="I240" s="3">
        <f t="shared" si="201"/>
        <v>1.1740866771866395E-2</v>
      </c>
      <c r="J240" s="3">
        <f t="shared" si="201"/>
        <v>1.1740866771866395E-2</v>
      </c>
      <c r="K240" s="3">
        <f t="shared" si="201"/>
        <v>1.1740866771866395E-2</v>
      </c>
      <c r="L240" s="3">
        <f t="shared" si="201"/>
        <v>1.1740866771866395E-2</v>
      </c>
      <c r="M240" s="3">
        <f t="shared" si="201"/>
        <v>1.1740866771866395E-2</v>
      </c>
      <c r="N240" s="3">
        <f t="shared" si="201"/>
        <v>1.1740866771866395E-2</v>
      </c>
      <c r="O240" s="3">
        <f t="shared" si="201"/>
        <v>1.1740866771866395E-2</v>
      </c>
      <c r="P240" s="3">
        <f t="shared" si="201"/>
        <v>1.1740866771866395E-2</v>
      </c>
      <c r="Q240" s="3">
        <f t="shared" si="201"/>
        <v>1.1740866771866395E-2</v>
      </c>
      <c r="R240" s="3">
        <f t="shared" si="201"/>
        <v>1.1740866771866395E-2</v>
      </c>
      <c r="S240" s="3">
        <f t="shared" si="201"/>
        <v>1.1740866771866395E-2</v>
      </c>
      <c r="T240" s="3">
        <f t="shared" si="201"/>
        <v>1.1740866771866395E-2</v>
      </c>
      <c r="U240" s="3">
        <f t="shared" si="201"/>
        <v>1.1740866771866391E-2</v>
      </c>
      <c r="V240" s="3">
        <f t="shared" si="201"/>
        <v>1.1740866771866375E-2</v>
      </c>
      <c r="W240" s="3">
        <f t="shared" si="201"/>
        <v>1.1740866771866199E-2</v>
      </c>
      <c r="X240" s="3">
        <f t="shared" si="201"/>
        <v>1.1740866771864427E-2</v>
      </c>
      <c r="Y240" s="3">
        <f t="shared" si="201"/>
        <v>1.1740866771846723E-2</v>
      </c>
      <c r="Z240" s="3">
        <f t="shared" si="201"/>
        <v>1.1740866771669687E-2</v>
      </c>
      <c r="AA240" s="3">
        <f t="shared" si="201"/>
        <v>1.174086676989932E-2</v>
      </c>
      <c r="AB240" s="3">
        <f t="shared" si="201"/>
        <v>1.174086675219565E-2</v>
      </c>
      <c r="AC240" s="3">
        <f t="shared" si="201"/>
        <v>1.1740866575158965E-2</v>
      </c>
      <c r="AD240" s="3">
        <f t="shared" si="201"/>
        <v>1.1740864804792233E-2</v>
      </c>
      <c r="AE240" s="3">
        <f t="shared" si="201"/>
        <v>1.1740847101139602E-2</v>
      </c>
      <c r="AF240" s="3">
        <f t="shared" si="201"/>
        <v>1.1740670066081508E-2</v>
      </c>
      <c r="AG240" s="3"/>
      <c r="AH240" s="3"/>
    </row>
    <row r="241" spans="1:34" x14ac:dyDescent="0.25">
      <c r="A241" s="79">
        <f>AVERAGE(B241:AF241)</f>
        <v>0.10431223402271293</v>
      </c>
      <c r="B241" s="80">
        <f>IF($A$64&lt;=B207,IF($B$64&gt;=B207,ABS((B209-B208)/B208),0),0)</f>
        <v>2.9226934987248151E-2</v>
      </c>
      <c r="C241" s="80">
        <f t="shared" ref="C241:AF241" si="202">IF($A$64&lt;=C207,IF($B$64&gt;=C207,ABS((C209-C208)/C208),0),0)</f>
        <v>2.9237253758213882E-2</v>
      </c>
      <c r="D241" s="80">
        <f t="shared" si="202"/>
        <v>2.924018498160685E-2</v>
      </c>
      <c r="E241" s="80">
        <f t="shared" si="202"/>
        <v>2.9318839431979035E-2</v>
      </c>
      <c r="F241" s="80">
        <f t="shared" si="202"/>
        <v>3.0107086385651238E-2</v>
      </c>
      <c r="G241" s="80">
        <f t="shared" si="202"/>
        <v>3.6240760395084864E-2</v>
      </c>
      <c r="H241" s="80">
        <f t="shared" si="202"/>
        <v>4.2557413794825964E-2</v>
      </c>
      <c r="I241" s="80">
        <f t="shared" si="202"/>
        <v>3.7669883754706174E-2</v>
      </c>
      <c r="J241" s="80">
        <f t="shared" si="202"/>
        <v>4.2182600080452187E-2</v>
      </c>
      <c r="K241" s="80">
        <f t="shared" si="202"/>
        <v>4.4705908263445192E-2</v>
      </c>
      <c r="L241" s="80">
        <f t="shared" si="202"/>
        <v>4.9635767981660146E-2</v>
      </c>
      <c r="M241" s="80">
        <f t="shared" si="202"/>
        <v>5.3772269652954771E-2</v>
      </c>
      <c r="N241" s="80">
        <f t="shared" si="202"/>
        <v>5.70867996727452E-2</v>
      </c>
      <c r="O241" s="80">
        <f t="shared" si="202"/>
        <v>5.5371400746252984E-2</v>
      </c>
      <c r="P241" s="80">
        <f t="shared" si="202"/>
        <v>6.3276618068706506E-2</v>
      </c>
      <c r="Q241" s="80">
        <f t="shared" si="202"/>
        <v>7.4118921054177597E-2</v>
      </c>
      <c r="R241" s="80">
        <f t="shared" si="202"/>
        <v>8.0941994489895072E-2</v>
      </c>
      <c r="S241" s="80">
        <f t="shared" si="202"/>
        <v>6.3476100195109381E-2</v>
      </c>
      <c r="T241" s="80">
        <f t="shared" si="202"/>
        <v>6.0316204896606546E-3</v>
      </c>
      <c r="U241" s="80">
        <f t="shared" si="202"/>
        <v>0.12502120698783145</v>
      </c>
      <c r="V241" s="80">
        <f t="shared" si="202"/>
        <v>0.23456687865232348</v>
      </c>
      <c r="W241" s="80">
        <f t="shared" si="202"/>
        <v>0.23040492691718553</v>
      </c>
      <c r="X241" s="80">
        <f t="shared" si="202"/>
        <v>0.1494946242817746</v>
      </c>
      <c r="Y241" s="80">
        <f t="shared" si="202"/>
        <v>5.7841668496225622E-2</v>
      </c>
      <c r="Z241" s="80">
        <f t="shared" si="202"/>
        <v>1.7978393216657434E-2</v>
      </c>
      <c r="AA241" s="80">
        <f t="shared" si="202"/>
        <v>7.3705608620519697E-2</v>
      </c>
      <c r="AB241" s="80">
        <f t="shared" si="202"/>
        <v>0.15254867471757036</v>
      </c>
      <c r="AC241" s="80">
        <f t="shared" si="202"/>
        <v>0.22010661082300237</v>
      </c>
      <c r="AD241" s="80">
        <f t="shared" si="202"/>
        <v>0.31220542788141853</v>
      </c>
      <c r="AE241" s="80">
        <f t="shared" si="202"/>
        <v>0.38366821216975611</v>
      </c>
      <c r="AF241" s="80">
        <f t="shared" si="202"/>
        <v>0.42193866375546035</v>
      </c>
    </row>
    <row r="242" spans="1:34" x14ac:dyDescent="0.25">
      <c r="B242" s="21">
        <f>(B209-B208)^2</f>
        <v>41765.591515011569</v>
      </c>
      <c r="C242" s="21">
        <f t="shared" ref="C242:AF242" si="203">(C209-C208)^2</f>
        <v>41795.836145791523</v>
      </c>
      <c r="D242" s="21">
        <f t="shared" si="203"/>
        <v>41803.067313437568</v>
      </c>
      <c r="E242" s="21">
        <f t="shared" si="203"/>
        <v>42021.006590084675</v>
      </c>
      <c r="F242" s="21">
        <f t="shared" si="203"/>
        <v>44237.500843811467</v>
      </c>
      <c r="G242" s="21">
        <f t="shared" si="203"/>
        <v>63185.399299459255</v>
      </c>
      <c r="H242" s="21">
        <f t="shared" si="203"/>
        <v>82944.519821506168</v>
      </c>
      <c r="I242" s="21">
        <f t="shared" si="203"/>
        <v>62649.443228725817</v>
      </c>
      <c r="J242" s="21">
        <f t="shared" si="203"/>
        <v>75937.943091971159</v>
      </c>
      <c r="K242" s="21">
        <f t="shared" si="203"/>
        <v>82023.599606920383</v>
      </c>
      <c r="L242" s="21">
        <f t="shared" si="203"/>
        <v>96967.361942868403</v>
      </c>
      <c r="M242" s="21">
        <f t="shared" si="203"/>
        <v>108410.69949177174</v>
      </c>
      <c r="N242" s="21">
        <f t="shared" si="203"/>
        <v>115725.99602998731</v>
      </c>
      <c r="O242" s="21">
        <f t="shared" si="203"/>
        <v>102472.71933960369</v>
      </c>
      <c r="P242" s="21">
        <f t="shared" si="203"/>
        <v>126387.27802968714</v>
      </c>
      <c r="Q242" s="21">
        <f t="shared" si="203"/>
        <v>162635.13856577146</v>
      </c>
      <c r="R242" s="21">
        <f t="shared" si="203"/>
        <v>178622.54744119404</v>
      </c>
      <c r="S242" s="21">
        <f t="shared" si="203"/>
        <v>97777.954134231346</v>
      </c>
      <c r="T242" s="21">
        <f t="shared" si="203"/>
        <v>718.1532898585665</v>
      </c>
      <c r="U242" s="21">
        <f t="shared" si="203"/>
        <v>220126.48145777397</v>
      </c>
      <c r="V242" s="21">
        <f t="shared" si="203"/>
        <v>539261.01699177374</v>
      </c>
      <c r="W242" s="21">
        <f t="shared" si="203"/>
        <v>382939.48611443065</v>
      </c>
      <c r="X242" s="21">
        <f t="shared" si="203"/>
        <v>125355.00907931577</v>
      </c>
      <c r="Y242" s="21">
        <f t="shared" si="203"/>
        <v>15213.493244620344</v>
      </c>
      <c r="Z242" s="21">
        <f t="shared" si="203"/>
        <v>1200.4424199596283</v>
      </c>
      <c r="AA242" s="21">
        <f t="shared" si="203"/>
        <v>16458.45218672288</v>
      </c>
      <c r="AB242" s="21">
        <f t="shared" si="203"/>
        <v>56081.519360106482</v>
      </c>
      <c r="AC242" s="21">
        <f t="shared" si="203"/>
        <v>88997.936600773988</v>
      </c>
      <c r="AD242" s="21">
        <f t="shared" si="203"/>
        <v>125547.58352765572</v>
      </c>
      <c r="AE242" s="21">
        <f t="shared" si="203"/>
        <v>117253.30392018556</v>
      </c>
      <c r="AF242" s="21">
        <f t="shared" si="203"/>
        <v>75517.516505138236</v>
      </c>
      <c r="AG242" s="3"/>
      <c r="AH242" s="3"/>
    </row>
    <row r="243" spans="1:34" x14ac:dyDescent="0.25">
      <c r="A243" s="71">
        <f>SUM(B243:AF243)</f>
        <v>3332033.9971301504</v>
      </c>
      <c r="B243" s="60">
        <f>IF($A$64&lt;=B207,IF($B$64&gt;=B207,ABS(B242),0),0)</f>
        <v>41765.591515011569</v>
      </c>
      <c r="C243" s="60">
        <f t="shared" ref="C243" si="204">IF($A$64&lt;=C207,IF($B$64&gt;=C207,ABS(C242),0),0)</f>
        <v>41795.836145791523</v>
      </c>
      <c r="D243" s="60">
        <f t="shared" ref="D243" si="205">IF($A$64&lt;=D207,IF($B$64&gt;=D207,ABS(D242),0),0)</f>
        <v>41803.067313437568</v>
      </c>
      <c r="E243" s="60">
        <f t="shared" ref="E243" si="206">IF($A$64&lt;=E207,IF($B$64&gt;=E207,ABS(E242),0),0)</f>
        <v>42021.006590084675</v>
      </c>
      <c r="F243" s="60">
        <f t="shared" ref="F243" si="207">IF($A$64&lt;=F207,IF($B$64&gt;=F207,ABS(F242),0),0)</f>
        <v>44237.500843811467</v>
      </c>
      <c r="G243" s="60">
        <f t="shared" ref="G243" si="208">IF($A$64&lt;=G207,IF($B$64&gt;=G207,ABS(G242),0),0)</f>
        <v>63185.399299459255</v>
      </c>
      <c r="H243" s="60">
        <f t="shared" ref="H243" si="209">IF($A$64&lt;=H207,IF($B$64&gt;=H207,ABS(H242),0),0)</f>
        <v>82944.519821506168</v>
      </c>
      <c r="I243" s="60">
        <f t="shared" ref="I243" si="210">IF($A$64&lt;=I207,IF($B$64&gt;=I207,ABS(I242),0),0)</f>
        <v>62649.443228725817</v>
      </c>
      <c r="J243" s="60">
        <f t="shared" ref="J243" si="211">IF($A$64&lt;=J207,IF($B$64&gt;=J207,ABS(J242),0),0)</f>
        <v>75937.943091971159</v>
      </c>
      <c r="K243" s="60">
        <f t="shared" ref="K243" si="212">IF($A$64&lt;=K207,IF($B$64&gt;=K207,ABS(K242),0),0)</f>
        <v>82023.599606920383</v>
      </c>
      <c r="L243" s="60">
        <f t="shared" ref="L243" si="213">IF($A$64&lt;=L207,IF($B$64&gt;=L207,ABS(L242),0),0)</f>
        <v>96967.361942868403</v>
      </c>
      <c r="M243" s="60">
        <f t="shared" ref="M243" si="214">IF($A$64&lt;=M207,IF($B$64&gt;=M207,ABS(M242),0),0)</f>
        <v>108410.69949177174</v>
      </c>
      <c r="N243" s="60">
        <f t="shared" ref="N243" si="215">IF($A$64&lt;=N207,IF($B$64&gt;=N207,ABS(N242),0),0)</f>
        <v>115725.99602998731</v>
      </c>
      <c r="O243" s="60">
        <f t="shared" ref="O243" si="216">IF($A$64&lt;=O207,IF($B$64&gt;=O207,ABS(O242),0),0)</f>
        <v>102472.71933960369</v>
      </c>
      <c r="P243" s="60">
        <f t="shared" ref="P243" si="217">IF($A$64&lt;=P207,IF($B$64&gt;=P207,ABS(P242),0),0)</f>
        <v>126387.27802968714</v>
      </c>
      <c r="Q243" s="60">
        <f t="shared" ref="Q243" si="218">IF($A$64&lt;=Q207,IF($B$64&gt;=Q207,ABS(Q242),0),0)</f>
        <v>162635.13856577146</v>
      </c>
      <c r="R243" s="60">
        <f t="shared" ref="R243" si="219">IF($A$64&lt;=R207,IF($B$64&gt;=R207,ABS(R242),0),0)</f>
        <v>178622.54744119404</v>
      </c>
      <c r="S243" s="60">
        <f t="shared" ref="S243" si="220">IF($A$64&lt;=S207,IF($B$64&gt;=S207,ABS(S242),0),0)</f>
        <v>97777.954134231346</v>
      </c>
      <c r="T243" s="60">
        <f t="shared" ref="T243" si="221">IF($A$64&lt;=T207,IF($B$64&gt;=T207,ABS(T242),0),0)</f>
        <v>718.1532898585665</v>
      </c>
      <c r="U243" s="60">
        <f t="shared" ref="U243" si="222">IF($A$64&lt;=U207,IF($B$64&gt;=U207,ABS(U242),0),0)</f>
        <v>220126.48145777397</v>
      </c>
      <c r="V243" s="60">
        <f t="shared" ref="V243" si="223">IF($A$64&lt;=V207,IF($B$64&gt;=V207,ABS(V242),0),0)</f>
        <v>539261.01699177374</v>
      </c>
      <c r="W243" s="60">
        <f t="shared" ref="W243" si="224">IF($A$64&lt;=W207,IF($B$64&gt;=W207,ABS(W242),0),0)</f>
        <v>382939.48611443065</v>
      </c>
      <c r="X243" s="60">
        <f t="shared" ref="X243" si="225">IF($A$64&lt;=X207,IF($B$64&gt;=X207,ABS(X242),0),0)</f>
        <v>125355.00907931577</v>
      </c>
      <c r="Y243" s="60">
        <f t="shared" ref="Y243" si="226">IF($A$64&lt;=Y207,IF($B$64&gt;=Y207,ABS(Y242),0),0)</f>
        <v>15213.493244620344</v>
      </c>
      <c r="Z243" s="60">
        <f t="shared" ref="Z243" si="227">IF($A$64&lt;=Z207,IF($B$64&gt;=Z207,ABS(Z242),0),0)</f>
        <v>1200.4424199596283</v>
      </c>
      <c r="AA243" s="60">
        <f t="shared" ref="AA243" si="228">IF($A$64&lt;=AA207,IF($B$64&gt;=AA207,ABS(AA242),0),0)</f>
        <v>16458.45218672288</v>
      </c>
      <c r="AB243" s="60">
        <f t="shared" ref="AB243" si="229">IF($A$64&lt;=AB207,IF($B$64&gt;=AB207,ABS(AB242),0),0)</f>
        <v>56081.519360106482</v>
      </c>
      <c r="AC243" s="60">
        <f t="shared" ref="AC243" si="230">IF($A$64&lt;=AC207,IF($B$64&gt;=AC207,ABS(AC242),0),0)</f>
        <v>88997.936600773988</v>
      </c>
      <c r="AD243" s="60">
        <f t="shared" ref="AD243" si="231">IF($A$64&lt;=AD207,IF($B$64&gt;=AD207,ABS(AD242),0),0)</f>
        <v>125547.58352765572</v>
      </c>
      <c r="AE243" s="60">
        <f t="shared" ref="AE243" si="232">IF($A$64&lt;=AE207,IF($B$64&gt;=AE207,ABS(AE242),0),0)</f>
        <v>117253.30392018556</v>
      </c>
      <c r="AF243" s="60">
        <f t="shared" ref="AF243" si="233">IF($A$64&lt;=AF207,IF($B$64&gt;=AF207,ABS(AF242),0),0)</f>
        <v>75517.516505138236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6787.9661829036731</v>
      </c>
      <c r="C248" s="27">
        <f t="shared" ref="C248:AF248" si="234">($C$17+SUM(C249:C279))*$B$51</f>
        <v>6787.3798141315001</v>
      </c>
      <c r="D248" s="27">
        <f t="shared" si="234"/>
        <v>6781.5785717151803</v>
      </c>
      <c r="E248" s="27">
        <f t="shared" si="234"/>
        <v>6729.3747918631343</v>
      </c>
      <c r="F248" s="27">
        <f t="shared" si="234"/>
        <v>6517.8406472695988</v>
      </c>
      <c r="G248" s="27">
        <f t="shared" si="234"/>
        <v>6422.3348304520068</v>
      </c>
      <c r="H248" s="27">
        <f t="shared" si="234"/>
        <v>6295.641738317252</v>
      </c>
      <c r="I248" s="27">
        <f t="shared" si="234"/>
        <v>6161.1055690474604</v>
      </c>
      <c r="J248" s="27">
        <f t="shared" si="234"/>
        <v>6010.282580750084</v>
      </c>
      <c r="K248" s="27">
        <f t="shared" si="234"/>
        <v>5846.4258850615306</v>
      </c>
      <c r="L248" s="27">
        <f t="shared" si="234"/>
        <v>5672.9951964394068</v>
      </c>
      <c r="M248" s="27">
        <f t="shared" si="234"/>
        <v>5512.3180275791037</v>
      </c>
      <c r="N248" s="27">
        <f t="shared" si="234"/>
        <v>5329.9578201830627</v>
      </c>
      <c r="O248" s="27">
        <f t="shared" si="234"/>
        <v>5112.1399489805217</v>
      </c>
      <c r="P248" s="27">
        <f t="shared" si="234"/>
        <v>4874.6693190479164</v>
      </c>
      <c r="Q248" s="27">
        <f t="shared" si="234"/>
        <v>4666.1747959157619</v>
      </c>
      <c r="R248" s="27">
        <f t="shared" si="234"/>
        <v>4481.389232124262</v>
      </c>
      <c r="S248" s="27">
        <f t="shared" si="234"/>
        <v>4280.3739928436662</v>
      </c>
      <c r="T248" s="27">
        <f t="shared" si="234"/>
        <v>4003.5501271783746</v>
      </c>
      <c r="U248" s="27">
        <f t="shared" si="234"/>
        <v>3481.7210317176732</v>
      </c>
      <c r="V248" s="27">
        <f t="shared" si="234"/>
        <v>2869.8044023225266</v>
      </c>
      <c r="W248" s="27">
        <f t="shared" si="234"/>
        <v>2361.3305485864726</v>
      </c>
      <c r="X248" s="27">
        <f t="shared" si="234"/>
        <v>1979.1414172196846</v>
      </c>
      <c r="Y248" s="27">
        <f t="shared" si="234"/>
        <v>1669.5273469841463</v>
      </c>
      <c r="Z248" s="27">
        <f t="shared" si="234"/>
        <v>1408.2885674163867</v>
      </c>
      <c r="AA248" s="27">
        <f t="shared" si="234"/>
        <v>1137.1977395325591</v>
      </c>
      <c r="AB248" s="27">
        <f t="shared" si="234"/>
        <v>868.47594673828939</v>
      </c>
      <c r="AC248" s="27">
        <f t="shared" si="234"/>
        <v>616.50657416553145</v>
      </c>
      <c r="AD248" s="27">
        <f t="shared" si="234"/>
        <v>425.42410090096217</v>
      </c>
      <c r="AE248" s="27">
        <f t="shared" si="234"/>
        <v>302.12662330802482</v>
      </c>
      <c r="AF248" s="27">
        <f t="shared" si="234"/>
        <v>239.41087964027597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4.1209312381527453E-2</v>
      </c>
      <c r="C250" s="3">
        <f t="shared" si="236"/>
        <v>4.1127338292442521E-2</v>
      </c>
      <c r="D250" s="3">
        <f t="shared" si="236"/>
        <v>4.0316512607697072E-2</v>
      </c>
      <c r="E250" s="3">
        <f t="shared" si="236"/>
        <v>3.3037449200390083E-2</v>
      </c>
      <c r="F250" s="3">
        <f t="shared" si="236"/>
        <v>4.5106798893035692E-3</v>
      </c>
      <c r="G250" s="3">
        <f t="shared" si="236"/>
        <v>1.0153061080196464E-11</v>
      </c>
      <c r="H250" s="3">
        <f t="shared" si="236"/>
        <v>3.389587994462197E-98</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8.4203961654615075E-3</v>
      </c>
      <c r="C251" s="3">
        <f t="shared" si="237"/>
        <v>8.4188838107843271E-3</v>
      </c>
      <c r="D251" s="3">
        <f t="shared" si="237"/>
        <v>8.4037751955142077E-3</v>
      </c>
      <c r="E251" s="3">
        <f t="shared" si="237"/>
        <v>8.2541723169692674E-3</v>
      </c>
      <c r="F251" s="3">
        <f t="shared" si="237"/>
        <v>6.8970691301003268E-3</v>
      </c>
      <c r="G251" s="3">
        <f t="shared" si="237"/>
        <v>1.1443926444843356E-3</v>
      </c>
      <c r="H251" s="3">
        <f t="shared" si="237"/>
        <v>1.8100052943815808E-11</v>
      </c>
      <c r="I251" s="3">
        <f t="shared" si="237"/>
        <v>1.7730775048219111E-89</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2.0972461262997052E-2</v>
      </c>
      <c r="C252" s="3">
        <f t="shared" si="238"/>
        <v>2.0972121440124898E-2</v>
      </c>
      <c r="D252" s="3">
        <f t="shared" si="238"/>
        <v>2.0968723514232322E-2</v>
      </c>
      <c r="E252" s="3">
        <f t="shared" si="238"/>
        <v>2.0934774520053958E-2</v>
      </c>
      <c r="F252" s="3">
        <f t="shared" si="238"/>
        <v>2.05982929868666E-2</v>
      </c>
      <c r="G252" s="3">
        <f t="shared" si="238"/>
        <v>1.7517037780524308E-2</v>
      </c>
      <c r="H252" s="3">
        <f t="shared" si="238"/>
        <v>3.4654131678074976E-3</v>
      </c>
      <c r="I252" s="3">
        <f t="shared" si="238"/>
        <v>3.1819882207388584E-10</v>
      </c>
      <c r="J252" s="3">
        <f t="shared" si="238"/>
        <v>1.3556077122553134E-80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1.9327830642369249E-2</v>
      </c>
      <c r="C253" s="3">
        <f t="shared" si="239"/>
        <v>1.9327802391220693E-2</v>
      </c>
      <c r="D253" s="3">
        <f t="shared" si="239"/>
        <v>1.932751988200631E-2</v>
      </c>
      <c r="E253" s="3">
        <f t="shared" si="239"/>
        <v>1.9324695016967312E-2</v>
      </c>
      <c r="F253" s="3">
        <f t="shared" si="239"/>
        <v>1.9296469064784532E-2</v>
      </c>
      <c r="G253" s="3">
        <f t="shared" si="239"/>
        <v>1.9016467135814525E-2</v>
      </c>
      <c r="H253" s="3">
        <f t="shared" si="239"/>
        <v>1.6430460426692661E-2</v>
      </c>
      <c r="I253" s="3">
        <f t="shared" si="239"/>
        <v>3.8093308944644666E-3</v>
      </c>
      <c r="J253" s="3">
        <f t="shared" si="239"/>
        <v>1.7093789478565339E-9</v>
      </c>
      <c r="K253" s="3">
        <f t="shared" si="239"/>
        <v>5.6589371679019457E-73</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2.3246646871429515E-2</v>
      </c>
      <c r="C254" s="3">
        <f t="shared" si="240"/>
        <v>2.3246643806219786E-2</v>
      </c>
      <c r="D254" s="3">
        <f t="shared" si="240"/>
        <v>2.324661315414471E-2</v>
      </c>
      <c r="E254" s="3">
        <f t="shared" si="240"/>
        <v>2.3246306635616873E-2</v>
      </c>
      <c r="F254" s="3">
        <f t="shared" si="240"/>
        <v>2.3243241672617921E-2</v>
      </c>
      <c r="G254" s="3">
        <f t="shared" si="240"/>
        <v>2.3212614259731437E-2</v>
      </c>
      <c r="H254" s="3">
        <f t="shared" si="240"/>
        <v>2.2908551040296259E-2</v>
      </c>
      <c r="I254" s="3">
        <f t="shared" si="240"/>
        <v>2.0078593469773115E-2</v>
      </c>
      <c r="J254" s="3">
        <f t="shared" si="240"/>
        <v>5.3714302784938633E-3</v>
      </c>
      <c r="K254" s="3">
        <f t="shared" si="240"/>
        <v>1.0084549580818672E-8</v>
      </c>
      <c r="L254" s="3">
        <f t="shared" si="240"/>
        <v>5.4868379208595819E-66</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2.4740814065551824E-2</v>
      </c>
      <c r="C255" s="3">
        <f t="shared" si="241"/>
        <v>2.4740813771272005E-2</v>
      </c>
      <c r="D255" s="3">
        <f t="shared" si="241"/>
        <v>2.4740810828474014E-2</v>
      </c>
      <c r="E255" s="3">
        <f t="shared" si="241"/>
        <v>2.4740781400513348E-2</v>
      </c>
      <c r="F255" s="3">
        <f t="shared" si="241"/>
        <v>2.4740487122831823E-2</v>
      </c>
      <c r="G255" s="3">
        <f t="shared" si="241"/>
        <v>2.4737544538524454E-2</v>
      </c>
      <c r="H255" s="3">
        <f t="shared" si="241"/>
        <v>2.4708137937765738E-2</v>
      </c>
      <c r="I255" s="3">
        <f t="shared" si="241"/>
        <v>2.4415987720070666E-2</v>
      </c>
      <c r="J255" s="3">
        <f t="shared" si="241"/>
        <v>2.1677894796343484E-2</v>
      </c>
      <c r="K255" s="3">
        <f t="shared" si="241"/>
        <v>6.5984992081927251E-3</v>
      </c>
      <c r="L255" s="3">
        <f t="shared" si="241"/>
        <v>4.5053217832980902E-8</v>
      </c>
      <c r="M255" s="3">
        <f t="shared" si="241"/>
        <v>9.9204706349553604E-60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2.7333416292881087E-2</v>
      </c>
      <c r="C256" s="3">
        <f t="shared" si="242"/>
        <v>2.733341626355278E-2</v>
      </c>
      <c r="D256" s="3">
        <f t="shared" si="242"/>
        <v>2.7333415970269705E-2</v>
      </c>
      <c r="E256" s="3">
        <f t="shared" si="242"/>
        <v>2.7333413037439133E-2</v>
      </c>
      <c r="F256" s="3">
        <f t="shared" si="242"/>
        <v>2.7333383709150713E-2</v>
      </c>
      <c r="G256" s="3">
        <f t="shared" si="242"/>
        <v>2.7333090427997284E-2</v>
      </c>
      <c r="H256" s="3">
        <f t="shared" si="242"/>
        <v>2.7330157789533707E-2</v>
      </c>
      <c r="I256" s="3">
        <f t="shared" si="242"/>
        <v>2.7300848705101865E-2</v>
      </c>
      <c r="J256" s="3">
        <f t="shared" si="242"/>
        <v>2.7009481032592826E-2</v>
      </c>
      <c r="K256" s="3">
        <f t="shared" si="242"/>
        <v>2.4261472368303165E-2</v>
      </c>
      <c r="L256" s="3">
        <f t="shared" si="242"/>
        <v>8.2970994038740996E-3</v>
      </c>
      <c r="M256" s="3">
        <f t="shared" si="242"/>
        <v>1.8155896132395869E-7</v>
      </c>
      <c r="N256" s="3">
        <f t="shared" si="242"/>
        <v>4.5701626085325065E-54</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2.13427453567539E-2</v>
      </c>
      <c r="C257" s="3">
        <f t="shared" si="243"/>
        <v>2.1342745354688088E-2</v>
      </c>
      <c r="D257" s="3">
        <f t="shared" si="243"/>
        <v>2.1342745334030012E-2</v>
      </c>
      <c r="E257" s="3">
        <f t="shared" si="243"/>
        <v>2.1342745127449207E-2</v>
      </c>
      <c r="F257" s="3">
        <f t="shared" si="243"/>
        <v>2.1342743061641301E-2</v>
      </c>
      <c r="G257" s="3">
        <f t="shared" si="243"/>
        <v>2.1342722403573218E-2</v>
      </c>
      <c r="H257" s="3">
        <f t="shared" si="243"/>
        <v>2.1342515823992159E-2</v>
      </c>
      <c r="I257" s="3">
        <f t="shared" si="243"/>
        <v>2.1340450138151765E-2</v>
      </c>
      <c r="J257" s="3">
        <f t="shared" si="243"/>
        <v>2.131980427283129E-2</v>
      </c>
      <c r="K257" s="3">
        <f t="shared" si="243"/>
        <v>2.1114441001187832E-2</v>
      </c>
      <c r="L257" s="3">
        <f t="shared" si="243"/>
        <v>1.9166523051957832E-2</v>
      </c>
      <c r="M257" s="3">
        <f t="shared" si="243"/>
        <v>7.2808286961005613E-3</v>
      </c>
      <c r="N257" s="3">
        <f t="shared" si="243"/>
        <v>4.5557049104539787E-7</v>
      </c>
      <c r="O257" s="3">
        <f t="shared" si="243"/>
        <v>4.1908615127815094E-49</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3.0213098985809584E-2</v>
      </c>
      <c r="C258" s="3">
        <f t="shared" si="244"/>
        <v>3.0213098985545778E-2</v>
      </c>
      <c r="D258" s="3">
        <f t="shared" si="244"/>
        <v>3.0213098982907739E-2</v>
      </c>
      <c r="E258" s="3">
        <f t="shared" si="244"/>
        <v>3.0213098956527327E-2</v>
      </c>
      <c r="F258" s="3">
        <f t="shared" si="244"/>
        <v>3.021309869272323E-2</v>
      </c>
      <c r="G258" s="3">
        <f t="shared" si="244"/>
        <v>3.0213096054682358E-2</v>
      </c>
      <c r="H258" s="3">
        <f t="shared" si="244"/>
        <v>3.0213069674286316E-2</v>
      </c>
      <c r="I258" s="3">
        <f t="shared" si="244"/>
        <v>3.0212805871592772E-2</v>
      </c>
      <c r="J258" s="3">
        <f t="shared" si="244"/>
        <v>3.0210167971339335E-2</v>
      </c>
      <c r="K258" s="3">
        <f t="shared" si="244"/>
        <v>3.0183801632913319E-2</v>
      </c>
      <c r="L258" s="3">
        <f t="shared" si="244"/>
        <v>2.9921400577715047E-2</v>
      </c>
      <c r="M258" s="3">
        <f t="shared" si="244"/>
        <v>2.7419638309026117E-2</v>
      </c>
      <c r="N258" s="3">
        <f t="shared" si="244"/>
        <v>1.14514308629902E-2</v>
      </c>
      <c r="O258" s="3">
        <f t="shared" si="244"/>
        <v>1.8485878412487797E-6</v>
      </c>
      <c r="P258" s="3">
        <f t="shared" si="244"/>
        <v>2.2214853841314281E-44</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3.3824388307372021E-2</v>
      </c>
      <c r="C259" s="3">
        <f t="shared" si="245"/>
        <v>3.3824388307345375E-2</v>
      </c>
      <c r="D259" s="3">
        <f t="shared" si="245"/>
        <v>3.3824388307078956E-2</v>
      </c>
      <c r="E259" s="3">
        <f t="shared" si="245"/>
        <v>3.3824388304414782E-2</v>
      </c>
      <c r="F259" s="3">
        <f t="shared" si="245"/>
        <v>3.3824388277773031E-2</v>
      </c>
      <c r="G259" s="3">
        <f t="shared" si="245"/>
        <v>3.382438801135549E-2</v>
      </c>
      <c r="H259" s="3">
        <f t="shared" si="245"/>
        <v>3.3824385347180234E-2</v>
      </c>
      <c r="I259" s="3">
        <f t="shared" si="245"/>
        <v>3.3824358705439185E-2</v>
      </c>
      <c r="J259" s="3">
        <f t="shared" si="245"/>
        <v>3.3824092289182893E-2</v>
      </c>
      <c r="K259" s="3">
        <f t="shared" si="245"/>
        <v>3.3821428242030195E-2</v>
      </c>
      <c r="L259" s="3">
        <f t="shared" si="245"/>
        <v>3.3794799308163259E-2</v>
      </c>
      <c r="M259" s="3">
        <f t="shared" si="245"/>
        <v>3.3529660380153273E-2</v>
      </c>
      <c r="N259" s="3">
        <f t="shared" si="245"/>
        <v>3.0990028988944721E-2</v>
      </c>
      <c r="O259" s="3">
        <f t="shared" si="245"/>
        <v>1.4097764850747886E-2</v>
      </c>
      <c r="P259" s="3">
        <f t="shared" si="245"/>
        <v>5.3509767066823504E-6</v>
      </c>
      <c r="Q259" s="3">
        <f t="shared" si="245"/>
        <v>3.3209400973329566E-40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3.879179753071179E-2</v>
      </c>
      <c r="C260" s="3">
        <f t="shared" si="246"/>
        <v>3.8791797530709035E-2</v>
      </c>
      <c r="D260" s="3">
        <f t="shared" si="246"/>
        <v>3.8791797530681467E-2</v>
      </c>
      <c r="E260" s="3">
        <f t="shared" si="246"/>
        <v>3.8791797530405847E-2</v>
      </c>
      <c r="F260" s="3">
        <f t="shared" si="246"/>
        <v>3.8791797527649587E-2</v>
      </c>
      <c r="G260" s="3">
        <f t="shared" si="246"/>
        <v>3.8791797500087044E-2</v>
      </c>
      <c r="H260" s="3">
        <f t="shared" si="246"/>
        <v>3.879179722446157E-2</v>
      </c>
      <c r="I260" s="3">
        <f t="shared" si="246"/>
        <v>3.8791794468206936E-2</v>
      </c>
      <c r="J260" s="3">
        <f t="shared" si="246"/>
        <v>3.8791766905671383E-2</v>
      </c>
      <c r="K260" s="3">
        <f t="shared" si="246"/>
        <v>3.8791491281392962E-2</v>
      </c>
      <c r="L260" s="3">
        <f t="shared" si="246"/>
        <v>3.8788735146316949E-2</v>
      </c>
      <c r="M260" s="3">
        <f t="shared" si="246"/>
        <v>3.8761184563546838E-2</v>
      </c>
      <c r="N260" s="3">
        <f t="shared" si="246"/>
        <v>3.8486752709374808E-2</v>
      </c>
      <c r="O260" s="3">
        <f t="shared" si="246"/>
        <v>3.5847060964686601E-2</v>
      </c>
      <c r="P260" s="3">
        <f t="shared" si="246"/>
        <v>1.7614746813854262E-2</v>
      </c>
      <c r="Q260" s="3">
        <f t="shared" si="246"/>
        <v>1.4457889890379947E-5</v>
      </c>
      <c r="R260" s="3">
        <f t="shared" si="246"/>
        <v>2.0062728200553456E-36</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2.3183984286354719E-2</v>
      </c>
      <c r="C261" s="3">
        <f t="shared" si="247"/>
        <v>2.318398428635457E-2</v>
      </c>
      <c r="D261" s="3">
        <f t="shared" si="247"/>
        <v>2.3183984286353081E-2</v>
      </c>
      <c r="E261" s="3">
        <f t="shared" si="247"/>
        <v>2.3183984286338222E-2</v>
      </c>
      <c r="F261" s="3">
        <f t="shared" si="247"/>
        <v>2.3183984286189622E-2</v>
      </c>
      <c r="G261" s="3">
        <f t="shared" si="247"/>
        <v>2.318398428470364E-2</v>
      </c>
      <c r="H261" s="3">
        <f t="shared" si="247"/>
        <v>2.3183984269843801E-2</v>
      </c>
      <c r="I261" s="3">
        <f t="shared" si="247"/>
        <v>2.3183984121245407E-2</v>
      </c>
      <c r="J261" s="3">
        <f t="shared" si="247"/>
        <v>2.3183982635261523E-2</v>
      </c>
      <c r="K261" s="3">
        <f t="shared" si="247"/>
        <v>2.318396777542794E-2</v>
      </c>
      <c r="L261" s="3">
        <f t="shared" si="247"/>
        <v>2.3183819177615927E-2</v>
      </c>
      <c r="M261" s="3">
        <f t="shared" si="247"/>
        <v>2.3182333251878923E-2</v>
      </c>
      <c r="N261" s="3">
        <f t="shared" si="247"/>
        <v>2.3167479231579351E-2</v>
      </c>
      <c r="O261" s="3">
        <f t="shared" si="247"/>
        <v>2.3019461495769559E-2</v>
      </c>
      <c r="P261" s="3">
        <f t="shared" si="247"/>
        <v>2.1590312768638813E-2</v>
      </c>
      <c r="Q261" s="3">
        <f t="shared" si="247"/>
        <v>1.1373566573688865E-2</v>
      </c>
      <c r="R261" s="3">
        <f t="shared" si="247"/>
        <v>1.8718630714139667E-5</v>
      </c>
      <c r="S261" s="3">
        <f t="shared" si="247"/>
        <v>2.7292800526365235E-33</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3.3195679421044615E-2</v>
      </c>
      <c r="C262" s="3">
        <f t="shared" si="248"/>
        <v>3.3195679421044601E-2</v>
      </c>
      <c r="D262" s="3">
        <f t="shared" si="248"/>
        <v>3.3195679421044406E-2</v>
      </c>
      <c r="E262" s="3">
        <f t="shared" si="248"/>
        <v>3.3195679421042484E-2</v>
      </c>
      <c r="F262" s="3">
        <f t="shared" si="248"/>
        <v>3.3195679421023291E-2</v>
      </c>
      <c r="G262" s="3">
        <f t="shared" si="248"/>
        <v>3.3195679420831362E-2</v>
      </c>
      <c r="H262" s="3">
        <f t="shared" si="248"/>
        <v>3.3195679418912008E-2</v>
      </c>
      <c r="I262" s="3">
        <f t="shared" si="248"/>
        <v>3.3195679399718514E-2</v>
      </c>
      <c r="J262" s="3">
        <f t="shared" si="248"/>
        <v>3.3195679207783504E-2</v>
      </c>
      <c r="K262" s="3">
        <f t="shared" si="248"/>
        <v>3.3195677288433492E-2</v>
      </c>
      <c r="L262" s="3">
        <f t="shared" si="248"/>
        <v>3.3195658094939483E-2</v>
      </c>
      <c r="M262" s="3">
        <f t="shared" si="248"/>
        <v>3.3195466160609755E-2</v>
      </c>
      <c r="N262" s="3">
        <f t="shared" si="248"/>
        <v>3.3193546878347524E-2</v>
      </c>
      <c r="O262" s="3">
        <f t="shared" si="248"/>
        <v>3.3174360157923119E-2</v>
      </c>
      <c r="P262" s="3">
        <f t="shared" si="248"/>
        <v>3.2983101870036467E-2</v>
      </c>
      <c r="Q262" s="3">
        <f t="shared" si="248"/>
        <v>3.1130127865764284E-2</v>
      </c>
      <c r="R262" s="3">
        <f t="shared" si="248"/>
        <v>1.7461236264323412E-2</v>
      </c>
      <c r="S262" s="3">
        <f t="shared" si="248"/>
        <v>5.3828940357465859E-5</v>
      </c>
      <c r="T262" s="3">
        <f t="shared" si="248"/>
        <v>4.1727681027661295E-30</v>
      </c>
      <c r="U262" s="3">
        <f t="shared" si="248"/>
        <v>3.2697040300359272E-281</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2.038442434974385E-2</v>
      </c>
      <c r="C263" s="3">
        <f t="shared" si="249"/>
        <v>2.0384424349743847E-2</v>
      </c>
      <c r="D263" s="3">
        <f t="shared" si="249"/>
        <v>2.038442434974384E-2</v>
      </c>
      <c r="E263" s="3">
        <f t="shared" si="249"/>
        <v>2.0384424349743732E-2</v>
      </c>
      <c r="F263" s="3">
        <f t="shared" si="249"/>
        <v>2.0384424349742667E-2</v>
      </c>
      <c r="G263" s="3">
        <f t="shared" si="249"/>
        <v>2.0384424349732037E-2</v>
      </c>
      <c r="H263" s="3">
        <f t="shared" si="249"/>
        <v>2.0384424349625715E-2</v>
      </c>
      <c r="I263" s="3">
        <f t="shared" si="249"/>
        <v>2.038442434856251E-2</v>
      </c>
      <c r="J263" s="3">
        <f t="shared" si="249"/>
        <v>2.0384424337930442E-2</v>
      </c>
      <c r="K263" s="3">
        <f t="shared" si="249"/>
        <v>2.0384424231609782E-2</v>
      </c>
      <c r="L263" s="3">
        <f t="shared" si="249"/>
        <v>2.0384423168403186E-2</v>
      </c>
      <c r="M263" s="3">
        <f t="shared" si="249"/>
        <v>2.0384412536340289E-2</v>
      </c>
      <c r="N263" s="3">
        <f t="shared" si="249"/>
        <v>2.0384306216016303E-2</v>
      </c>
      <c r="O263" s="3">
        <f t="shared" si="249"/>
        <v>2.0383243043275781E-2</v>
      </c>
      <c r="P263" s="3">
        <f t="shared" si="249"/>
        <v>2.0372614365214908E-2</v>
      </c>
      <c r="Q263" s="3">
        <f t="shared" si="249"/>
        <v>2.0266631931385923E-2</v>
      </c>
      <c r="R263" s="3">
        <f t="shared" si="249"/>
        <v>1.9236663035225275E-2</v>
      </c>
      <c r="S263" s="3">
        <f t="shared" si="249"/>
        <v>1.1418559297091372E-2</v>
      </c>
      <c r="T263" s="3">
        <f t="shared" si="249"/>
        <v>6.2005048418334487E-5</v>
      </c>
      <c r="U263" s="3">
        <f t="shared" si="249"/>
        <v>1.3822431461223863E-27</v>
      </c>
      <c r="V263" s="3">
        <f t="shared" si="249"/>
        <v>4.1894632688689731E-254</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6.6925069366004494E-2</v>
      </c>
      <c r="C264" s="3">
        <f t="shared" si="250"/>
        <v>6.6925069366004494E-2</v>
      </c>
      <c r="D264" s="3">
        <f t="shared" si="250"/>
        <v>6.6925069366004494E-2</v>
      </c>
      <c r="E264" s="3">
        <f t="shared" si="250"/>
        <v>6.6925069366004453E-2</v>
      </c>
      <c r="F264" s="3">
        <f t="shared" si="250"/>
        <v>6.6925069366004147E-2</v>
      </c>
      <c r="G264" s="3">
        <f t="shared" si="250"/>
        <v>6.6925069366000997E-2</v>
      </c>
      <c r="H264" s="3">
        <f t="shared" si="250"/>
        <v>6.6925069365969508E-2</v>
      </c>
      <c r="I264" s="3">
        <f t="shared" si="250"/>
        <v>6.6925069365654621E-2</v>
      </c>
      <c r="J264" s="3">
        <f t="shared" si="250"/>
        <v>6.6925069362505751E-2</v>
      </c>
      <c r="K264" s="3">
        <f t="shared" si="250"/>
        <v>6.6925069331017051E-2</v>
      </c>
      <c r="L264" s="3">
        <f t="shared" si="250"/>
        <v>6.6925069016130115E-2</v>
      </c>
      <c r="M264" s="3">
        <f t="shared" si="250"/>
        <v>6.6925065867260838E-2</v>
      </c>
      <c r="N264" s="3">
        <f t="shared" si="250"/>
        <v>6.6925034378576151E-2</v>
      </c>
      <c r="O264" s="3">
        <f t="shared" si="250"/>
        <v>6.692471949254418E-2</v>
      </c>
      <c r="P264" s="3">
        <f t="shared" si="250"/>
        <v>6.6921570713708911E-2</v>
      </c>
      <c r="Q264" s="3">
        <f t="shared" si="250"/>
        <v>6.6890091072383029E-2</v>
      </c>
      <c r="R264" s="3">
        <f t="shared" si="250"/>
        <v>6.6576107945295115E-2</v>
      </c>
      <c r="S264" s="3">
        <f t="shared" si="250"/>
        <v>6.3516207104256844E-2</v>
      </c>
      <c r="T264" s="3">
        <f t="shared" si="250"/>
        <v>3.9677663626261808E-2</v>
      </c>
      <c r="U264" s="3">
        <f t="shared" si="250"/>
        <v>3.5905538380674913E-4</v>
      </c>
      <c r="V264" s="3">
        <f t="shared" si="250"/>
        <v>1.3222542173101634E-24</v>
      </c>
      <c r="W264" s="3">
        <f t="shared" si="250"/>
        <v>6.065270002426847E-229</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9.6671799143506223E-2</v>
      </c>
      <c r="C265" s="3">
        <f t="shared" si="251"/>
        <v>9.6671799143506223E-2</v>
      </c>
      <c r="D265" s="3">
        <f t="shared" si="251"/>
        <v>9.6671799143506223E-2</v>
      </c>
      <c r="E265" s="3">
        <f t="shared" si="251"/>
        <v>9.6671799143506223E-2</v>
      </c>
      <c r="F265" s="3">
        <f t="shared" si="251"/>
        <v>9.6671799143506182E-2</v>
      </c>
      <c r="G265" s="3">
        <f t="shared" si="251"/>
        <v>9.6671799143505779E-2</v>
      </c>
      <c r="H265" s="3">
        <f t="shared" si="251"/>
        <v>9.6671799143501658E-2</v>
      </c>
      <c r="I265" s="3">
        <f t="shared" si="251"/>
        <v>9.6671799143460635E-2</v>
      </c>
      <c r="J265" s="3">
        <f t="shared" si="251"/>
        <v>9.6671799143050324E-2</v>
      </c>
      <c r="K265" s="3">
        <f t="shared" si="251"/>
        <v>9.6671799138947218E-2</v>
      </c>
      <c r="L265" s="3">
        <f t="shared" si="251"/>
        <v>9.667179909791622E-2</v>
      </c>
      <c r="M265" s="3">
        <f t="shared" si="251"/>
        <v>9.6671798687606114E-2</v>
      </c>
      <c r="N265" s="3">
        <f t="shared" si="251"/>
        <v>9.6671794584505227E-2</v>
      </c>
      <c r="O265" s="3">
        <f t="shared" si="251"/>
        <v>9.6671753553505893E-2</v>
      </c>
      <c r="P265" s="3">
        <f t="shared" si="251"/>
        <v>9.6671343244470492E-2</v>
      </c>
      <c r="Q265" s="3">
        <f t="shared" si="251"/>
        <v>9.6667240249897549E-2</v>
      </c>
      <c r="R265" s="3">
        <f t="shared" si="251"/>
        <v>9.6626219880771941E-2</v>
      </c>
      <c r="S265" s="3">
        <f t="shared" si="251"/>
        <v>9.6216972347688334E-2</v>
      </c>
      <c r="T265" s="3">
        <f t="shared" si="251"/>
        <v>9.2218628164911665E-2</v>
      </c>
      <c r="U265" s="3">
        <f t="shared" si="251"/>
        <v>6.0323754359689744E-2</v>
      </c>
      <c r="V265" s="3">
        <f t="shared" si="251"/>
        <v>8.6533728544644175E-4</v>
      </c>
      <c r="W265" s="3">
        <f t="shared" si="251"/>
        <v>3.1926841606704986E-22</v>
      </c>
      <c r="X265" s="3">
        <f t="shared" si="251"/>
        <v>1.4923179588255244E-206</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8.3708796522492912E-2</v>
      </c>
      <c r="C266" s="3">
        <f t="shared" si="252"/>
        <v>8.3708796522492912E-2</v>
      </c>
      <c r="D266" s="3">
        <f t="shared" si="252"/>
        <v>8.3708796522492912E-2</v>
      </c>
      <c r="E266" s="3">
        <f t="shared" si="252"/>
        <v>8.3708796522492912E-2</v>
      </c>
      <c r="F266" s="3">
        <f t="shared" si="252"/>
        <v>8.3708796522492912E-2</v>
      </c>
      <c r="G266" s="3">
        <f t="shared" si="252"/>
        <v>8.370879652249287E-2</v>
      </c>
      <c r="H266" s="3">
        <f t="shared" si="252"/>
        <v>8.3708796522492565E-2</v>
      </c>
      <c r="I266" s="3">
        <f t="shared" si="252"/>
        <v>8.3708796522489359E-2</v>
      </c>
      <c r="J266" s="3">
        <f t="shared" si="252"/>
        <v>8.3708796522457302E-2</v>
      </c>
      <c r="K266" s="3">
        <f t="shared" si="252"/>
        <v>8.3708796522136808E-2</v>
      </c>
      <c r="L266" s="3">
        <f t="shared" si="252"/>
        <v>8.3708796518931788E-2</v>
      </c>
      <c r="M266" s="3">
        <f t="shared" si="252"/>
        <v>8.3708796486881634E-2</v>
      </c>
      <c r="N266" s="3">
        <f t="shared" si="252"/>
        <v>8.3708796166380106E-2</v>
      </c>
      <c r="O266" s="3">
        <f t="shared" si="252"/>
        <v>8.3708792961364978E-2</v>
      </c>
      <c r="P266" s="3">
        <f t="shared" si="252"/>
        <v>8.370876091122037E-2</v>
      </c>
      <c r="Q266" s="3">
        <f t="shared" si="252"/>
        <v>8.3708440410449239E-2</v>
      </c>
      <c r="R266" s="3">
        <f t="shared" si="252"/>
        <v>8.3705235470228817E-2</v>
      </c>
      <c r="S266" s="3">
        <f t="shared" si="252"/>
        <v>8.3673192816154235E-2</v>
      </c>
      <c r="T266" s="3">
        <f t="shared" si="252"/>
        <v>8.3353440133390078E-2</v>
      </c>
      <c r="U266" s="3">
        <f t="shared" si="252"/>
        <v>8.0222354184793981E-2</v>
      </c>
      <c r="V266" s="3">
        <f t="shared" si="252"/>
        <v>5.4703377575453925E-2</v>
      </c>
      <c r="W266" s="3">
        <f t="shared" si="252"/>
        <v>1.1890538864343272E-3</v>
      </c>
      <c r="X266" s="3">
        <f t="shared" si="252"/>
        <v>2.7994678494452164E-20</v>
      </c>
      <c r="Y266" s="3">
        <f t="shared" si="252"/>
        <v>1.4649235429881175E-186</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5.9251655732023817E-2</v>
      </c>
      <c r="C267" s="3">
        <f t="shared" si="253"/>
        <v>5.9251655732023817E-2</v>
      </c>
      <c r="D267" s="3">
        <f t="shared" si="253"/>
        <v>5.9251655732023817E-2</v>
      </c>
      <c r="E267" s="3">
        <f t="shared" si="253"/>
        <v>5.9251655732023817E-2</v>
      </c>
      <c r="F267" s="3">
        <f t="shared" si="253"/>
        <v>5.9251655732023817E-2</v>
      </c>
      <c r="G267" s="3">
        <f t="shared" si="253"/>
        <v>5.9251655732023817E-2</v>
      </c>
      <c r="H267" s="3">
        <f t="shared" si="253"/>
        <v>5.9251655732023796E-2</v>
      </c>
      <c r="I267" s="3">
        <f t="shared" si="253"/>
        <v>5.9251655732023588E-2</v>
      </c>
      <c r="J267" s="3">
        <f t="shared" si="253"/>
        <v>5.9251655732021541E-2</v>
      </c>
      <c r="K267" s="3">
        <f t="shared" si="253"/>
        <v>5.9251655732001078E-2</v>
      </c>
      <c r="L267" s="3">
        <f t="shared" si="253"/>
        <v>5.9251655731796436E-2</v>
      </c>
      <c r="M267" s="3">
        <f t="shared" si="253"/>
        <v>5.9251655729749955E-2</v>
      </c>
      <c r="N267" s="3">
        <f t="shared" si="253"/>
        <v>5.9251655709285221E-2</v>
      </c>
      <c r="O267" s="3">
        <f t="shared" si="253"/>
        <v>5.9251655504637901E-2</v>
      </c>
      <c r="P267" s="3">
        <f t="shared" si="253"/>
        <v>5.9251653458164667E-2</v>
      </c>
      <c r="Q267" s="3">
        <f t="shared" si="253"/>
        <v>5.9251632993436179E-2</v>
      </c>
      <c r="R267" s="3">
        <f t="shared" si="253"/>
        <v>5.9251428346540166E-2</v>
      </c>
      <c r="S267" s="3">
        <f t="shared" si="253"/>
        <v>5.9249381916454819E-2</v>
      </c>
      <c r="T267" s="3">
        <f t="shared" si="253"/>
        <v>5.9228921502584735E-2</v>
      </c>
      <c r="U267" s="3">
        <f t="shared" si="253"/>
        <v>5.9024705565957403E-2</v>
      </c>
      <c r="V267" s="3">
        <f t="shared" si="253"/>
        <v>5.7020874861547964E-2</v>
      </c>
      <c r="W267" s="3">
        <f t="shared" si="253"/>
        <v>4.0367731642285028E-2</v>
      </c>
      <c r="X267" s="3">
        <f t="shared" si="253"/>
        <v>1.2765535669091055E-3</v>
      </c>
      <c r="Y267" s="3">
        <f t="shared" si="253"/>
        <v>1.2766916478072073E-18</v>
      </c>
      <c r="Z267" s="3">
        <f t="shared" si="253"/>
        <v>1.2780732785232329E-168</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5.2327746974864794E-2</v>
      </c>
      <c r="C268" s="3">
        <f t="shared" si="254"/>
        <v>5.2327746974864794E-2</v>
      </c>
      <c r="D268" s="3">
        <f t="shared" si="254"/>
        <v>5.2327746974864794E-2</v>
      </c>
      <c r="E268" s="3">
        <f t="shared" si="254"/>
        <v>5.2327746974864794E-2</v>
      </c>
      <c r="F268" s="3">
        <f t="shared" si="254"/>
        <v>5.2327746974864794E-2</v>
      </c>
      <c r="G268" s="3">
        <f t="shared" si="254"/>
        <v>5.2327746974864794E-2</v>
      </c>
      <c r="H268" s="3">
        <f t="shared" si="254"/>
        <v>5.2327746974864794E-2</v>
      </c>
      <c r="I268" s="3">
        <f t="shared" si="254"/>
        <v>5.2327746974864774E-2</v>
      </c>
      <c r="J268" s="3">
        <f t="shared" si="254"/>
        <v>5.2327746974864614E-2</v>
      </c>
      <c r="K268" s="3">
        <f t="shared" si="254"/>
        <v>5.2327746974862983E-2</v>
      </c>
      <c r="L268" s="3">
        <f t="shared" si="254"/>
        <v>5.2327746974846677E-2</v>
      </c>
      <c r="M268" s="3">
        <f t="shared" si="254"/>
        <v>5.2327746974683641E-2</v>
      </c>
      <c r="N268" s="3">
        <f t="shared" si="254"/>
        <v>5.2327746973053278E-2</v>
      </c>
      <c r="O268" s="3">
        <f t="shared" si="254"/>
        <v>5.232774695674966E-2</v>
      </c>
      <c r="P268" s="3">
        <f t="shared" si="254"/>
        <v>5.2327746793713388E-2</v>
      </c>
      <c r="Q268" s="3">
        <f t="shared" si="254"/>
        <v>5.2327745163350779E-2</v>
      </c>
      <c r="R268" s="3">
        <f t="shared" si="254"/>
        <v>5.2327728859727488E-2</v>
      </c>
      <c r="S268" s="3">
        <f t="shared" si="254"/>
        <v>5.2327565823773931E-2</v>
      </c>
      <c r="T268" s="3">
        <f t="shared" si="254"/>
        <v>5.2325935492176283E-2</v>
      </c>
      <c r="U268" s="3">
        <f t="shared" si="254"/>
        <v>5.2309634969666174E-2</v>
      </c>
      <c r="V268" s="3">
        <f t="shared" si="254"/>
        <v>5.2146908769445117E-2</v>
      </c>
      <c r="W268" s="3">
        <f t="shared" si="254"/>
        <v>5.054723025851441E-2</v>
      </c>
      <c r="X268" s="3">
        <f t="shared" si="254"/>
        <v>3.7015643884514331E-2</v>
      </c>
      <c r="Y268" s="3">
        <f t="shared" si="254"/>
        <v>1.6415902263540838E-3</v>
      </c>
      <c r="Z268" s="3">
        <f t="shared" si="254"/>
        <v>4.8312471181551594E-17</v>
      </c>
      <c r="AA268" s="3">
        <f t="shared" si="254"/>
        <v>2.355072041706376E-152</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1.7967891452015796E-2</v>
      </c>
      <c r="C269" s="3">
        <f t="shared" si="255"/>
        <v>1.7967891452015796E-2</v>
      </c>
      <c r="D269" s="3">
        <f t="shared" si="255"/>
        <v>1.7967891452015796E-2</v>
      </c>
      <c r="E269" s="3">
        <f t="shared" si="255"/>
        <v>1.7967891452015796E-2</v>
      </c>
      <c r="F269" s="3">
        <f t="shared" si="255"/>
        <v>1.7967891452015796E-2</v>
      </c>
      <c r="G269" s="3">
        <f t="shared" si="255"/>
        <v>1.7967891452015796E-2</v>
      </c>
      <c r="H269" s="3">
        <f t="shared" si="255"/>
        <v>1.7967891452015796E-2</v>
      </c>
      <c r="I269" s="3">
        <f t="shared" si="255"/>
        <v>1.7967891452015796E-2</v>
      </c>
      <c r="J269" s="3">
        <f t="shared" si="255"/>
        <v>1.7967891452015789E-2</v>
      </c>
      <c r="K269" s="3">
        <f t="shared" si="255"/>
        <v>1.7967891452015741E-2</v>
      </c>
      <c r="L269" s="3">
        <f t="shared" si="255"/>
        <v>1.7967891452015234E-2</v>
      </c>
      <c r="M269" s="3">
        <f t="shared" si="255"/>
        <v>1.7967891452010186E-2</v>
      </c>
      <c r="N269" s="3">
        <f t="shared" si="255"/>
        <v>1.7967891451959685E-2</v>
      </c>
      <c r="O269" s="3">
        <f t="shared" si="255"/>
        <v>1.7967891451454679E-2</v>
      </c>
      <c r="P269" s="3">
        <f t="shared" si="255"/>
        <v>1.7967891446404628E-2</v>
      </c>
      <c r="Q269" s="3">
        <f t="shared" si="255"/>
        <v>1.7967891395904101E-2</v>
      </c>
      <c r="R269" s="3">
        <f t="shared" si="255"/>
        <v>1.7967890890898872E-2</v>
      </c>
      <c r="S269" s="3">
        <f t="shared" si="255"/>
        <v>1.7967885840847336E-2</v>
      </c>
      <c r="T269" s="3">
        <f t="shared" si="255"/>
        <v>1.7967835340410028E-2</v>
      </c>
      <c r="U269" s="3">
        <f t="shared" si="255"/>
        <v>1.7967330343843381E-2</v>
      </c>
      <c r="V269" s="3">
        <f t="shared" si="255"/>
        <v>1.7962281158738488E-2</v>
      </c>
      <c r="W269" s="3">
        <f t="shared" si="255"/>
        <v>1.7911867282734938E-2</v>
      </c>
      <c r="X269" s="3">
        <f t="shared" si="255"/>
        <v>1.7415445545330654E-2</v>
      </c>
      <c r="Y269" s="3">
        <f t="shared" si="255"/>
        <v>1.3148368253534427E-2</v>
      </c>
      <c r="Z269" s="3">
        <f t="shared" si="255"/>
        <v>7.9112398905637003E-4</v>
      </c>
      <c r="AA269" s="3">
        <f t="shared" si="255"/>
        <v>4.9200724713294468E-16</v>
      </c>
      <c r="AB269" s="3">
        <f t="shared" si="255"/>
        <v>4.2583461501119008E-138</v>
      </c>
      <c r="AC269" s="3">
        <f t="shared" si="255"/>
        <v>0</v>
      </c>
      <c r="AD269" s="3">
        <f t="shared" si="255"/>
        <v>0</v>
      </c>
      <c r="AE269" s="3">
        <f t="shared" si="255"/>
        <v>0</v>
      </c>
      <c r="AF269" s="3">
        <f t="shared" si="255"/>
        <v>0</v>
      </c>
      <c r="AG269" s="3"/>
      <c r="AH269" s="3"/>
    </row>
    <row r="270" spans="2:34" x14ac:dyDescent="0.25">
      <c r="B270" s="3">
        <f t="shared" ref="B270:AF270" si="256">$C39*EXP(-B$246/$A39/EXP(-$E$126))</f>
        <v>4.123109123431553E-2</v>
      </c>
      <c r="C270" s="3">
        <f t="shared" si="256"/>
        <v>4.123109123431553E-2</v>
      </c>
      <c r="D270" s="3">
        <f t="shared" si="256"/>
        <v>4.123109123431553E-2</v>
      </c>
      <c r="E270" s="3">
        <f t="shared" si="256"/>
        <v>4.123109123431553E-2</v>
      </c>
      <c r="F270" s="3">
        <f t="shared" si="256"/>
        <v>4.123109123431553E-2</v>
      </c>
      <c r="G270" s="3">
        <f t="shared" si="256"/>
        <v>4.123109123431553E-2</v>
      </c>
      <c r="H270" s="3">
        <f t="shared" si="256"/>
        <v>4.123109123431553E-2</v>
      </c>
      <c r="I270" s="3">
        <f t="shared" si="256"/>
        <v>4.123109123431553E-2</v>
      </c>
      <c r="J270" s="3">
        <f t="shared" si="256"/>
        <v>4.1231091234315523E-2</v>
      </c>
      <c r="K270" s="3">
        <f t="shared" si="256"/>
        <v>4.1231091234315495E-2</v>
      </c>
      <c r="L270" s="3">
        <f t="shared" si="256"/>
        <v>4.1231091234315176E-2</v>
      </c>
      <c r="M270" s="3">
        <f t="shared" si="256"/>
        <v>4.123109123431197E-2</v>
      </c>
      <c r="N270" s="3">
        <f t="shared" si="256"/>
        <v>4.1231091234279919E-2</v>
      </c>
      <c r="O270" s="3">
        <f t="shared" si="256"/>
        <v>4.1231091233959412E-2</v>
      </c>
      <c r="P270" s="3">
        <f t="shared" si="256"/>
        <v>4.1231091230754351E-2</v>
      </c>
      <c r="Q270" s="3">
        <f t="shared" si="256"/>
        <v>4.1231091198703732E-2</v>
      </c>
      <c r="R270" s="3">
        <f t="shared" si="256"/>
        <v>4.1231090878197506E-2</v>
      </c>
      <c r="S270" s="3">
        <f t="shared" si="256"/>
        <v>4.1231087673135478E-2</v>
      </c>
      <c r="T270" s="3">
        <f t="shared" si="256"/>
        <v>4.123105562252883E-2</v>
      </c>
      <c r="U270" s="3">
        <f t="shared" si="256"/>
        <v>4.1230735117832637E-2</v>
      </c>
      <c r="V270" s="3">
        <f t="shared" si="256"/>
        <v>4.1227530207894846E-2</v>
      </c>
      <c r="W270" s="3">
        <f t="shared" si="256"/>
        <v>4.1195494806984902E-2</v>
      </c>
      <c r="X270" s="3">
        <f t="shared" si="256"/>
        <v>4.0876506712965686E-2</v>
      </c>
      <c r="Y270" s="3">
        <f t="shared" si="256"/>
        <v>3.7819369040836305E-2</v>
      </c>
      <c r="Z270" s="3">
        <f t="shared" si="256"/>
        <v>1.7382783779994426E-2</v>
      </c>
      <c r="AA270" s="3">
        <f t="shared" si="256"/>
        <v>7.3142503162895237E-6</v>
      </c>
      <c r="AB270" s="3">
        <f t="shared" si="256"/>
        <v>1.2725496314095495E-39</v>
      </c>
      <c r="AC270" s="3">
        <f t="shared" si="256"/>
        <v>0</v>
      </c>
      <c r="AD270" s="3">
        <f t="shared" si="256"/>
        <v>0</v>
      </c>
      <c r="AE270" s="3">
        <f t="shared" si="256"/>
        <v>0</v>
      </c>
      <c r="AF270" s="3">
        <f t="shared" si="256"/>
        <v>0</v>
      </c>
      <c r="AG270" s="3"/>
      <c r="AH270" s="3"/>
    </row>
    <row r="271" spans="2:34" x14ac:dyDescent="0.25">
      <c r="B271" s="3">
        <f t="shared" ref="B271:AF271" si="257">$C40*EXP(-B$246/$A40/EXP(-$E$126))</f>
        <v>3.4610685556715946E-2</v>
      </c>
      <c r="C271" s="3">
        <f t="shared" si="257"/>
        <v>3.4610685556715946E-2</v>
      </c>
      <c r="D271" s="3">
        <f t="shared" si="257"/>
        <v>3.4610685556715946E-2</v>
      </c>
      <c r="E271" s="3">
        <f t="shared" si="257"/>
        <v>3.4610685556715946E-2</v>
      </c>
      <c r="F271" s="3">
        <f t="shared" si="257"/>
        <v>3.4610685556715946E-2</v>
      </c>
      <c r="G271" s="3">
        <f t="shared" si="257"/>
        <v>3.4610685556715946E-2</v>
      </c>
      <c r="H271" s="3">
        <f t="shared" si="257"/>
        <v>3.4610685556715946E-2</v>
      </c>
      <c r="I271" s="3">
        <f t="shared" si="257"/>
        <v>3.4610685556715946E-2</v>
      </c>
      <c r="J271" s="3">
        <f t="shared" si="257"/>
        <v>3.4610685556715946E-2</v>
      </c>
      <c r="K271" s="3">
        <f t="shared" si="257"/>
        <v>3.4610685556715939E-2</v>
      </c>
      <c r="L271" s="3">
        <f t="shared" si="257"/>
        <v>3.4610685556715919E-2</v>
      </c>
      <c r="M271" s="3">
        <f t="shared" si="257"/>
        <v>3.4610685556715648E-2</v>
      </c>
      <c r="N271" s="3">
        <f t="shared" si="257"/>
        <v>3.4610685556712956E-2</v>
      </c>
      <c r="O271" s="3">
        <f t="shared" si="257"/>
        <v>3.4610685556686054E-2</v>
      </c>
      <c r="P271" s="3">
        <f t="shared" si="257"/>
        <v>3.4610685556417012E-2</v>
      </c>
      <c r="Q271" s="3">
        <f t="shared" si="257"/>
        <v>3.4610685553726581E-2</v>
      </c>
      <c r="R271" s="3">
        <f t="shared" si="257"/>
        <v>3.4610685526822269E-2</v>
      </c>
      <c r="S271" s="3">
        <f t="shared" si="257"/>
        <v>3.4610685257779189E-2</v>
      </c>
      <c r="T271" s="3">
        <f t="shared" si="257"/>
        <v>3.4610682567348471E-2</v>
      </c>
      <c r="U271" s="3">
        <f t="shared" si="257"/>
        <v>3.4610655663052825E-2</v>
      </c>
      <c r="V271" s="3">
        <f t="shared" si="257"/>
        <v>3.4610386621246575E-2</v>
      </c>
      <c r="W271" s="3">
        <f t="shared" si="257"/>
        <v>3.4607696318206468E-2</v>
      </c>
      <c r="X271" s="3">
        <f t="shared" si="257"/>
        <v>3.4580804786733865E-2</v>
      </c>
      <c r="Y271" s="3">
        <f t="shared" si="257"/>
        <v>3.4313036064443865E-2</v>
      </c>
      <c r="Z271" s="3">
        <f t="shared" si="257"/>
        <v>3.1746777750484949E-2</v>
      </c>
      <c r="AA271" s="3">
        <f t="shared" si="257"/>
        <v>1.4591659970644889E-2</v>
      </c>
      <c r="AB271" s="3">
        <f t="shared" si="257"/>
        <v>6.1398136746261017E-6</v>
      </c>
      <c r="AC271" s="3">
        <f t="shared" si="257"/>
        <v>1.0682185173739523E-39</v>
      </c>
      <c r="AD271" s="3">
        <f t="shared" si="257"/>
        <v>0</v>
      </c>
      <c r="AE271" s="3">
        <f t="shared" si="257"/>
        <v>0</v>
      </c>
      <c r="AF271" s="3">
        <f t="shared" si="257"/>
        <v>0</v>
      </c>
      <c r="AG271" s="3"/>
      <c r="AH271" s="3"/>
    </row>
    <row r="272" spans="2:34" x14ac:dyDescent="0.25">
      <c r="B272" s="3">
        <f t="shared" ref="B272:AF272" si="258">$C41*EXP(-B$246/$A41/EXP(-$E$126))</f>
        <v>4.2854236942630193E-2</v>
      </c>
      <c r="C272" s="3">
        <f t="shared" si="258"/>
        <v>4.2854236942630193E-2</v>
      </c>
      <c r="D272" s="3">
        <f t="shared" si="258"/>
        <v>4.2854236942630193E-2</v>
      </c>
      <c r="E272" s="3">
        <f t="shared" si="258"/>
        <v>4.2854236942630193E-2</v>
      </c>
      <c r="F272" s="3">
        <f t="shared" si="258"/>
        <v>4.2854236942630193E-2</v>
      </c>
      <c r="G272" s="3">
        <f t="shared" si="258"/>
        <v>4.2854236942630193E-2</v>
      </c>
      <c r="H272" s="3">
        <f t="shared" si="258"/>
        <v>4.2854236942630193E-2</v>
      </c>
      <c r="I272" s="3">
        <f t="shared" si="258"/>
        <v>4.2854236942630193E-2</v>
      </c>
      <c r="J272" s="3">
        <f t="shared" si="258"/>
        <v>4.2854236942630193E-2</v>
      </c>
      <c r="K272" s="3">
        <f t="shared" si="258"/>
        <v>4.2854236942630193E-2</v>
      </c>
      <c r="L272" s="3">
        <f t="shared" si="258"/>
        <v>4.2854236942630186E-2</v>
      </c>
      <c r="M272" s="3">
        <f t="shared" si="258"/>
        <v>4.2854236942630158E-2</v>
      </c>
      <c r="N272" s="3">
        <f t="shared" si="258"/>
        <v>4.2854236942629825E-2</v>
      </c>
      <c r="O272" s="3">
        <f t="shared" si="258"/>
        <v>4.2854236942626495E-2</v>
      </c>
      <c r="P272" s="3">
        <f t="shared" si="258"/>
        <v>4.2854236942593181E-2</v>
      </c>
      <c r="Q272" s="3">
        <f t="shared" si="258"/>
        <v>4.2854236942260059E-2</v>
      </c>
      <c r="R272" s="3">
        <f t="shared" si="258"/>
        <v>4.2854236938928821E-2</v>
      </c>
      <c r="S272" s="3">
        <f t="shared" si="258"/>
        <v>4.2854236905616461E-2</v>
      </c>
      <c r="T272" s="3">
        <f t="shared" si="258"/>
        <v>4.2854236572492863E-2</v>
      </c>
      <c r="U272" s="3">
        <f t="shared" si="258"/>
        <v>4.2854233241257048E-2</v>
      </c>
      <c r="V272" s="3">
        <f t="shared" si="258"/>
        <v>4.285419992891313E-2</v>
      </c>
      <c r="W272" s="3">
        <f t="shared" si="258"/>
        <v>4.285386680689815E-2</v>
      </c>
      <c r="X272" s="3">
        <f t="shared" si="258"/>
        <v>4.2850535729166701E-2</v>
      </c>
      <c r="Y272" s="3">
        <f t="shared" si="258"/>
        <v>4.2817239189588227E-2</v>
      </c>
      <c r="Z272" s="3">
        <f t="shared" si="258"/>
        <v>4.2485693480907104E-2</v>
      </c>
      <c r="AA272" s="3">
        <f t="shared" si="258"/>
        <v>3.9308205370705541E-2</v>
      </c>
      <c r="AB272" s="3">
        <f t="shared" si="258"/>
        <v>1.806709239386825E-2</v>
      </c>
      <c r="AC272" s="3">
        <f t="shared" si="258"/>
        <v>7.6021906461477759E-6</v>
      </c>
      <c r="AD272" s="3">
        <f t="shared" si="258"/>
        <v>1.3226461340973253E-39</v>
      </c>
      <c r="AE272" s="3">
        <f t="shared" si="258"/>
        <v>0</v>
      </c>
      <c r="AF272" s="3">
        <f t="shared" si="258"/>
        <v>0</v>
      </c>
      <c r="AG272" s="3"/>
      <c r="AH272" s="3"/>
    </row>
    <row r="273" spans="1:34" x14ac:dyDescent="0.25">
      <c r="B273" s="3">
        <f t="shared" ref="B273:AF273" si="259">$C42*EXP(-B$246/$A42/EXP(-$E$126))</f>
        <v>3.2192937025108795E-2</v>
      </c>
      <c r="C273" s="3">
        <f t="shared" si="259"/>
        <v>3.2192937025108795E-2</v>
      </c>
      <c r="D273" s="3">
        <f t="shared" si="259"/>
        <v>3.2192937025108795E-2</v>
      </c>
      <c r="E273" s="3">
        <f t="shared" si="259"/>
        <v>3.2192937025108795E-2</v>
      </c>
      <c r="F273" s="3">
        <f t="shared" si="259"/>
        <v>3.2192937025108795E-2</v>
      </c>
      <c r="G273" s="3">
        <f t="shared" si="259"/>
        <v>3.2192937025108795E-2</v>
      </c>
      <c r="H273" s="3">
        <f t="shared" si="259"/>
        <v>3.2192937025108795E-2</v>
      </c>
      <c r="I273" s="3">
        <f t="shared" si="259"/>
        <v>3.2192937025108795E-2</v>
      </c>
      <c r="J273" s="3">
        <f t="shared" si="259"/>
        <v>3.2192937025108795E-2</v>
      </c>
      <c r="K273" s="3">
        <f t="shared" si="259"/>
        <v>3.2192937025108795E-2</v>
      </c>
      <c r="L273" s="3">
        <f t="shared" si="259"/>
        <v>3.2192937025108795E-2</v>
      </c>
      <c r="M273" s="3">
        <f t="shared" si="259"/>
        <v>3.2192937025108788E-2</v>
      </c>
      <c r="N273" s="3">
        <f t="shared" si="259"/>
        <v>3.2192937025108767E-2</v>
      </c>
      <c r="O273" s="3">
        <f t="shared" si="259"/>
        <v>3.2192937025108517E-2</v>
      </c>
      <c r="P273" s="3">
        <f t="shared" si="259"/>
        <v>3.2192937025106012E-2</v>
      </c>
      <c r="Q273" s="3">
        <f t="shared" si="259"/>
        <v>3.2192937025080991E-2</v>
      </c>
      <c r="R273" s="3">
        <f t="shared" si="259"/>
        <v>3.2192937024830739E-2</v>
      </c>
      <c r="S273" s="3">
        <f t="shared" si="259"/>
        <v>3.2192937022328248E-2</v>
      </c>
      <c r="T273" s="3">
        <f t="shared" si="259"/>
        <v>3.2192936997303356E-2</v>
      </c>
      <c r="U273" s="3">
        <f t="shared" si="259"/>
        <v>3.2192936747054424E-2</v>
      </c>
      <c r="V273" s="3">
        <f t="shared" si="259"/>
        <v>3.2192934244565236E-2</v>
      </c>
      <c r="W273" s="3">
        <f t="shared" si="259"/>
        <v>3.2192909219683999E-2</v>
      </c>
      <c r="X273" s="3">
        <f t="shared" si="259"/>
        <v>3.2192658971941533E-2</v>
      </c>
      <c r="Y273" s="3">
        <f t="shared" si="259"/>
        <v>3.2190156601504323E-2</v>
      </c>
      <c r="Z273" s="3">
        <f t="shared" si="259"/>
        <v>3.2165143592796722E-2</v>
      </c>
      <c r="AA273" s="3">
        <f t="shared" si="259"/>
        <v>3.1916080002309617E-2</v>
      </c>
      <c r="AB273" s="3">
        <f t="shared" si="259"/>
        <v>2.9529089078478864E-2</v>
      </c>
      <c r="AC273" s="3">
        <f t="shared" si="259"/>
        <v>1.3572351514303379E-2</v>
      </c>
      <c r="AD273" s="3">
        <f t="shared" si="259"/>
        <v>5.7109136035239764E-6</v>
      </c>
      <c r="AE273" s="3">
        <f t="shared" si="259"/>
        <v>9.9359752358912133E-40</v>
      </c>
      <c r="AF273" s="3">
        <f t="shared" si="259"/>
        <v>0</v>
      </c>
      <c r="AG273" s="3"/>
      <c r="AH273" s="3"/>
    </row>
    <row r="274" spans="1:34" x14ac:dyDescent="0.25">
      <c r="B274" s="3">
        <f t="shared" ref="B274:AF274" si="260">$C43*EXP(-B$246/$A43/EXP(-$E$126))</f>
        <v>2.5751010749186929E-2</v>
      </c>
      <c r="C274" s="3">
        <f t="shared" si="260"/>
        <v>2.5751010749186929E-2</v>
      </c>
      <c r="D274" s="3">
        <f t="shared" si="260"/>
        <v>2.5751010749186929E-2</v>
      </c>
      <c r="E274" s="3">
        <f t="shared" si="260"/>
        <v>2.5751010749186929E-2</v>
      </c>
      <c r="F274" s="3">
        <f t="shared" si="260"/>
        <v>2.5751010749186929E-2</v>
      </c>
      <c r="G274" s="3">
        <f t="shared" si="260"/>
        <v>2.5751010749186929E-2</v>
      </c>
      <c r="H274" s="3">
        <f t="shared" si="260"/>
        <v>2.5751010749186929E-2</v>
      </c>
      <c r="I274" s="3">
        <f t="shared" si="260"/>
        <v>2.5751010749186929E-2</v>
      </c>
      <c r="J274" s="3">
        <f t="shared" si="260"/>
        <v>2.5751010749186929E-2</v>
      </c>
      <c r="K274" s="3">
        <f t="shared" si="260"/>
        <v>2.5751010749186929E-2</v>
      </c>
      <c r="L274" s="3">
        <f t="shared" si="260"/>
        <v>2.5751010749186929E-2</v>
      </c>
      <c r="M274" s="3">
        <f t="shared" si="260"/>
        <v>2.5751010749186929E-2</v>
      </c>
      <c r="N274" s="3">
        <f t="shared" si="260"/>
        <v>2.5751010749186926E-2</v>
      </c>
      <c r="O274" s="3">
        <f t="shared" si="260"/>
        <v>2.5751010749186905E-2</v>
      </c>
      <c r="P274" s="3">
        <f t="shared" si="260"/>
        <v>2.5751010749186707E-2</v>
      </c>
      <c r="Q274" s="3">
        <f t="shared" si="260"/>
        <v>2.5751010749184705E-2</v>
      </c>
      <c r="R274" s="3">
        <f t="shared" si="260"/>
        <v>2.5751010749164686E-2</v>
      </c>
      <c r="S274" s="3">
        <f t="shared" si="260"/>
        <v>2.5751010748964517E-2</v>
      </c>
      <c r="T274" s="3">
        <f t="shared" si="260"/>
        <v>2.5751010746962781E-2</v>
      </c>
      <c r="U274" s="3">
        <f t="shared" si="260"/>
        <v>2.5751010726945463E-2</v>
      </c>
      <c r="V274" s="3">
        <f t="shared" si="260"/>
        <v>2.5751010526772273E-2</v>
      </c>
      <c r="W274" s="3">
        <f t="shared" si="260"/>
        <v>2.5751008525040465E-2</v>
      </c>
      <c r="X274" s="3">
        <f t="shared" si="260"/>
        <v>2.5750988507730915E-2</v>
      </c>
      <c r="Y274" s="3">
        <f t="shared" si="260"/>
        <v>2.5750788335491236E-2</v>
      </c>
      <c r="Z274" s="3">
        <f t="shared" si="260"/>
        <v>2.5748786698673299E-2</v>
      </c>
      <c r="AA274" s="3">
        <f t="shared" si="260"/>
        <v>2.5728778885916216E-2</v>
      </c>
      <c r="AB274" s="3">
        <f t="shared" si="260"/>
        <v>2.5529553845005465E-2</v>
      </c>
      <c r="AC274" s="3">
        <f t="shared" si="260"/>
        <v>2.3620208671253966E-2</v>
      </c>
      <c r="AD274" s="3">
        <f t="shared" si="260"/>
        <v>1.0856473563253232E-2</v>
      </c>
      <c r="AE274" s="3">
        <f t="shared" si="260"/>
        <v>4.5681385788852794E-6</v>
      </c>
      <c r="AF274" s="3">
        <f t="shared" si="260"/>
        <v>7.9477496850794111E-40</v>
      </c>
      <c r="AG274" s="3"/>
      <c r="AH274" s="3"/>
    </row>
    <row r="275" spans="1:34" x14ac:dyDescent="0.25">
      <c r="B275" s="3">
        <f t="shared" ref="B275:AF275" si="261">$C44*EXP(-B$246/$A44/EXP(-$E$126))</f>
        <v>1.2586213635594824E-2</v>
      </c>
      <c r="C275" s="3">
        <f t="shared" si="261"/>
        <v>1.2586213635594824E-2</v>
      </c>
      <c r="D275" s="3">
        <f t="shared" si="261"/>
        <v>1.2586213635594824E-2</v>
      </c>
      <c r="E275" s="3">
        <f t="shared" si="261"/>
        <v>1.2586213635594824E-2</v>
      </c>
      <c r="F275" s="3">
        <f t="shared" si="261"/>
        <v>1.2586213635594824E-2</v>
      </c>
      <c r="G275" s="3">
        <f t="shared" si="261"/>
        <v>1.2586213635594824E-2</v>
      </c>
      <c r="H275" s="3">
        <f t="shared" si="261"/>
        <v>1.2586213635594824E-2</v>
      </c>
      <c r="I275" s="3">
        <f t="shared" si="261"/>
        <v>1.2586213635594824E-2</v>
      </c>
      <c r="J275" s="3">
        <f t="shared" si="261"/>
        <v>1.2586213635594824E-2</v>
      </c>
      <c r="K275" s="3">
        <f t="shared" si="261"/>
        <v>1.2586213635594824E-2</v>
      </c>
      <c r="L275" s="3">
        <f t="shared" si="261"/>
        <v>1.2586213635594824E-2</v>
      </c>
      <c r="M275" s="3">
        <f t="shared" si="261"/>
        <v>1.2586213635594824E-2</v>
      </c>
      <c r="N275" s="3">
        <f t="shared" si="261"/>
        <v>1.2586213635594824E-2</v>
      </c>
      <c r="O275" s="3">
        <f t="shared" si="261"/>
        <v>1.2586213635594822E-2</v>
      </c>
      <c r="P275" s="3">
        <f t="shared" si="261"/>
        <v>1.2586213635594814E-2</v>
      </c>
      <c r="Q275" s="3">
        <f t="shared" si="261"/>
        <v>1.2586213635594715E-2</v>
      </c>
      <c r="R275" s="3">
        <f t="shared" si="261"/>
        <v>1.2586213635593736E-2</v>
      </c>
      <c r="S275" s="3">
        <f t="shared" si="261"/>
        <v>1.2586213635583952E-2</v>
      </c>
      <c r="T275" s="3">
        <f t="shared" si="261"/>
        <v>1.2586213635486116E-2</v>
      </c>
      <c r="U275" s="3">
        <f t="shared" si="261"/>
        <v>1.2586213634507737E-2</v>
      </c>
      <c r="V275" s="3">
        <f t="shared" si="261"/>
        <v>1.2586213624723955E-2</v>
      </c>
      <c r="W275" s="3">
        <f t="shared" si="261"/>
        <v>1.2586213526886145E-2</v>
      </c>
      <c r="X275" s="3">
        <f t="shared" si="261"/>
        <v>1.2586212548508075E-2</v>
      </c>
      <c r="Y275" s="3">
        <f t="shared" si="261"/>
        <v>1.2586202764731552E-2</v>
      </c>
      <c r="Z275" s="3">
        <f t="shared" si="261"/>
        <v>1.2586104927384619E-2</v>
      </c>
      <c r="AA275" s="3">
        <f t="shared" si="261"/>
        <v>1.2585126595743318E-2</v>
      </c>
      <c r="AB275" s="3">
        <f t="shared" si="261"/>
        <v>1.2575347460928209E-2</v>
      </c>
      <c r="AC275" s="3">
        <f t="shared" si="261"/>
        <v>1.247797307236981E-2</v>
      </c>
      <c r="AD275" s="3">
        <f t="shared" si="261"/>
        <v>1.1544750431325048E-2</v>
      </c>
      <c r="AE275" s="3">
        <f t="shared" si="261"/>
        <v>5.3062730984494242E-3</v>
      </c>
      <c r="AF275" s="3">
        <f t="shared" si="261"/>
        <v>2.2327499542000713E-6</v>
      </c>
      <c r="AG275" s="3"/>
      <c r="AH275" s="3"/>
    </row>
    <row r="276" spans="1:34" x14ac:dyDescent="0.25">
      <c r="B276" s="3">
        <f t="shared" ref="B276:AF276" si="262">$C45*EXP(-B$246/$A45/EXP(-$E$126))</f>
        <v>6.9130744193958088E-3</v>
      </c>
      <c r="C276" s="3">
        <f t="shared" si="262"/>
        <v>6.9130744193958088E-3</v>
      </c>
      <c r="D276" s="3">
        <f t="shared" si="262"/>
        <v>6.9130744193958088E-3</v>
      </c>
      <c r="E276" s="3">
        <f t="shared" si="262"/>
        <v>6.9130744193958088E-3</v>
      </c>
      <c r="F276" s="3">
        <f t="shared" si="262"/>
        <v>6.9130744193958088E-3</v>
      </c>
      <c r="G276" s="3">
        <f t="shared" si="262"/>
        <v>6.9130744193958088E-3</v>
      </c>
      <c r="H276" s="3">
        <f t="shared" si="262"/>
        <v>6.9130744193958088E-3</v>
      </c>
      <c r="I276" s="3">
        <f t="shared" si="262"/>
        <v>6.9130744193958088E-3</v>
      </c>
      <c r="J276" s="3">
        <f t="shared" si="262"/>
        <v>6.9130744193958088E-3</v>
      </c>
      <c r="K276" s="3">
        <f t="shared" si="262"/>
        <v>6.9130744193958088E-3</v>
      </c>
      <c r="L276" s="3">
        <f t="shared" si="262"/>
        <v>6.9130744193958088E-3</v>
      </c>
      <c r="M276" s="3">
        <f t="shared" si="262"/>
        <v>6.9130744193958088E-3</v>
      </c>
      <c r="N276" s="3">
        <f t="shared" si="262"/>
        <v>6.9130744193958088E-3</v>
      </c>
      <c r="O276" s="3">
        <f t="shared" si="262"/>
        <v>6.9130744193958088E-3</v>
      </c>
      <c r="P276" s="3">
        <f t="shared" si="262"/>
        <v>6.913074419395808E-3</v>
      </c>
      <c r="Q276" s="3">
        <f t="shared" si="262"/>
        <v>6.9130744193958028E-3</v>
      </c>
      <c r="R276" s="3">
        <f t="shared" si="262"/>
        <v>6.913074419395749E-3</v>
      </c>
      <c r="S276" s="3">
        <f t="shared" si="262"/>
        <v>6.9130744193952121E-3</v>
      </c>
      <c r="T276" s="3">
        <f t="shared" si="262"/>
        <v>6.9130744193898379E-3</v>
      </c>
      <c r="U276" s="3">
        <f t="shared" si="262"/>
        <v>6.9130744193360997E-3</v>
      </c>
      <c r="V276" s="3">
        <f t="shared" si="262"/>
        <v>6.9130744187987179E-3</v>
      </c>
      <c r="W276" s="3">
        <f t="shared" si="262"/>
        <v>6.913074413424901E-3</v>
      </c>
      <c r="X276" s="3">
        <f t="shared" si="262"/>
        <v>6.9130743596867326E-3</v>
      </c>
      <c r="Y276" s="3">
        <f t="shared" si="262"/>
        <v>6.91307382230507E-3</v>
      </c>
      <c r="Z276" s="3">
        <f t="shared" si="262"/>
        <v>6.9130684484907398E-3</v>
      </c>
      <c r="AA276" s="3">
        <f t="shared" si="262"/>
        <v>6.9130147105771842E-3</v>
      </c>
      <c r="AB276" s="3">
        <f t="shared" si="262"/>
        <v>6.9124773544159924E-3</v>
      </c>
      <c r="AC276" s="3">
        <f t="shared" si="262"/>
        <v>6.9071060895788076E-3</v>
      </c>
      <c r="AD276" s="3">
        <f t="shared" si="262"/>
        <v>6.8536224594627874E-3</v>
      </c>
      <c r="AE276" s="3">
        <f t="shared" si="262"/>
        <v>6.341042762804663E-3</v>
      </c>
      <c r="AF276" s="3">
        <f t="shared" si="262"/>
        <v>2.9145112168982527E-3</v>
      </c>
      <c r="AG276" s="3"/>
      <c r="AH276" s="3"/>
    </row>
    <row r="277" spans="1:34" x14ac:dyDescent="0.25">
      <c r="B277" s="3">
        <f t="shared" ref="B277:AF277" si="263">$C46*EXP(-B$246/$A46/EXP(-$E$126))</f>
        <v>3.0323866622783903E-3</v>
      </c>
      <c r="C277" s="3">
        <f t="shared" si="263"/>
        <v>3.0323866622783903E-3</v>
      </c>
      <c r="D277" s="3">
        <f t="shared" si="263"/>
        <v>3.0323866622783903E-3</v>
      </c>
      <c r="E277" s="3">
        <f t="shared" si="263"/>
        <v>3.0323866622783903E-3</v>
      </c>
      <c r="F277" s="3">
        <f t="shared" si="263"/>
        <v>3.0323866622783903E-3</v>
      </c>
      <c r="G277" s="3">
        <f t="shared" si="263"/>
        <v>3.0323866622783903E-3</v>
      </c>
      <c r="H277" s="3">
        <f t="shared" si="263"/>
        <v>3.0323866622783903E-3</v>
      </c>
      <c r="I277" s="3">
        <f t="shared" si="263"/>
        <v>3.0323866622783903E-3</v>
      </c>
      <c r="J277" s="3">
        <f t="shared" si="263"/>
        <v>3.0323866622783903E-3</v>
      </c>
      <c r="K277" s="3">
        <f t="shared" si="263"/>
        <v>3.0323866622783903E-3</v>
      </c>
      <c r="L277" s="3">
        <f t="shared" si="263"/>
        <v>3.0323866622783903E-3</v>
      </c>
      <c r="M277" s="3">
        <f t="shared" si="263"/>
        <v>3.0323866622783903E-3</v>
      </c>
      <c r="N277" s="3">
        <f t="shared" si="263"/>
        <v>3.0323866622783903E-3</v>
      </c>
      <c r="O277" s="3">
        <f t="shared" si="263"/>
        <v>3.0323866622783903E-3</v>
      </c>
      <c r="P277" s="3">
        <f t="shared" si="263"/>
        <v>3.0323866622783903E-3</v>
      </c>
      <c r="Q277" s="3">
        <f t="shared" si="263"/>
        <v>3.0323866622783899E-3</v>
      </c>
      <c r="R277" s="3">
        <f t="shared" si="263"/>
        <v>3.0323866622783877E-3</v>
      </c>
      <c r="S277" s="3">
        <f t="shared" si="263"/>
        <v>3.0323866622783639E-3</v>
      </c>
      <c r="T277" s="3">
        <f t="shared" si="263"/>
        <v>3.0323866622781284E-3</v>
      </c>
      <c r="U277" s="3">
        <f t="shared" si="263"/>
        <v>3.0323866622757709E-3</v>
      </c>
      <c r="V277" s="3">
        <f t="shared" si="263"/>
        <v>3.0323866622521995E-3</v>
      </c>
      <c r="W277" s="3">
        <f t="shared" si="263"/>
        <v>3.0323866620164792E-3</v>
      </c>
      <c r="X277" s="3">
        <f t="shared" si="263"/>
        <v>3.0323866596592805E-3</v>
      </c>
      <c r="Y277" s="3">
        <f t="shared" si="263"/>
        <v>3.0323866360872928E-3</v>
      </c>
      <c r="Z277" s="3">
        <f t="shared" si="263"/>
        <v>3.0323864003674252E-3</v>
      </c>
      <c r="AA277" s="3">
        <f t="shared" si="263"/>
        <v>3.0323840431697572E-3</v>
      </c>
      <c r="AB277" s="3">
        <f t="shared" si="263"/>
        <v>3.0323604712938538E-3</v>
      </c>
      <c r="AC277" s="3">
        <f t="shared" si="263"/>
        <v>3.0321247626124139E-3</v>
      </c>
      <c r="AD277" s="3">
        <f t="shared" si="263"/>
        <v>3.0297686832671455E-3</v>
      </c>
      <c r="AE277" s="3">
        <f t="shared" si="263"/>
        <v>3.006308347564839E-3</v>
      </c>
      <c r="AF277" s="3">
        <f t="shared" si="263"/>
        <v>2.7814677424731547E-3</v>
      </c>
      <c r="AG277" s="3"/>
      <c r="AH277" s="3"/>
    </row>
    <row r="278" spans="1:34" x14ac:dyDescent="0.25">
      <c r="B278" s="3">
        <f t="shared" ref="B278:AF278" si="264">$C47*EXP(-B$246/$A47/EXP(-$E$126))</f>
        <v>2.0349292815546579E-6</v>
      </c>
      <c r="C278" s="3">
        <f t="shared" si="264"/>
        <v>2.0349292815546579E-6</v>
      </c>
      <c r="D278" s="3">
        <f t="shared" si="264"/>
        <v>2.0349292815546579E-6</v>
      </c>
      <c r="E278" s="3">
        <f t="shared" si="264"/>
        <v>2.0349292815546579E-6</v>
      </c>
      <c r="F278" s="3">
        <f t="shared" si="264"/>
        <v>2.0349292815546579E-6</v>
      </c>
      <c r="G278" s="3">
        <f t="shared" si="264"/>
        <v>2.0349292815546579E-6</v>
      </c>
      <c r="H278" s="3">
        <f t="shared" si="264"/>
        <v>2.0349292815546579E-6</v>
      </c>
      <c r="I278" s="3">
        <f t="shared" si="264"/>
        <v>2.0349292815546579E-6</v>
      </c>
      <c r="J278" s="3">
        <f t="shared" si="264"/>
        <v>2.0349292815546579E-6</v>
      </c>
      <c r="K278" s="3">
        <f t="shared" si="264"/>
        <v>2.0349292815546579E-6</v>
      </c>
      <c r="L278" s="3">
        <f t="shared" si="264"/>
        <v>2.0349292815546579E-6</v>
      </c>
      <c r="M278" s="3">
        <f t="shared" si="264"/>
        <v>2.0349292815546579E-6</v>
      </c>
      <c r="N278" s="3">
        <f t="shared" si="264"/>
        <v>2.0349292815546579E-6</v>
      </c>
      <c r="O278" s="3">
        <f t="shared" si="264"/>
        <v>2.0349292815546579E-6</v>
      </c>
      <c r="P278" s="3">
        <f t="shared" si="264"/>
        <v>2.0349292815546579E-6</v>
      </c>
      <c r="Q278" s="3">
        <f t="shared" si="264"/>
        <v>2.0349292815546579E-6</v>
      </c>
      <c r="R278" s="3">
        <f t="shared" si="264"/>
        <v>2.0349292815546575E-6</v>
      </c>
      <c r="S278" s="3">
        <f t="shared" si="264"/>
        <v>2.0349292815546562E-6</v>
      </c>
      <c r="T278" s="3">
        <f t="shared" si="264"/>
        <v>2.0349292815546401E-6</v>
      </c>
      <c r="U278" s="3">
        <f t="shared" si="264"/>
        <v>2.0349292815544822E-6</v>
      </c>
      <c r="V278" s="3">
        <f t="shared" si="264"/>
        <v>2.0349292815529003E-6</v>
      </c>
      <c r="W278" s="3">
        <f t="shared" si="264"/>
        <v>2.034929281537082E-6</v>
      </c>
      <c r="X278" s="3">
        <f t="shared" si="264"/>
        <v>2.0349292813788986E-6</v>
      </c>
      <c r="Y278" s="3">
        <f t="shared" si="264"/>
        <v>2.0349292797970646E-6</v>
      </c>
      <c r="Z278" s="3">
        <f t="shared" si="264"/>
        <v>2.0349292639787226E-6</v>
      </c>
      <c r="AA278" s="3">
        <f t="shared" si="264"/>
        <v>2.0349291057953133E-6</v>
      </c>
      <c r="AB278" s="3">
        <f t="shared" si="264"/>
        <v>2.0349275239618959E-6</v>
      </c>
      <c r="AC278" s="3">
        <f t="shared" si="264"/>
        <v>2.034911705695349E-6</v>
      </c>
      <c r="AD278" s="3">
        <f t="shared" si="264"/>
        <v>2.0347535297926037E-6</v>
      </c>
      <c r="AE278" s="3">
        <f t="shared" si="264"/>
        <v>2.033172446842664E-6</v>
      </c>
      <c r="AF278" s="3">
        <f t="shared" si="264"/>
        <v>2.0174290310475769E-6</v>
      </c>
      <c r="AG278" s="3"/>
      <c r="AH278" s="3"/>
    </row>
    <row r="279" spans="1:34" x14ac:dyDescent="0.25">
      <c r="B279" s="3">
        <f t="shared" ref="B279:AF279" si="265">$C48*EXP(-B$246/$A48/EXP(-$E$126))</f>
        <v>1.1740866771866395E-2</v>
      </c>
      <c r="C279" s="3">
        <f t="shared" si="265"/>
        <v>1.1740866771866395E-2</v>
      </c>
      <c r="D279" s="3">
        <f t="shared" si="265"/>
        <v>1.1740866771866395E-2</v>
      </c>
      <c r="E279" s="3">
        <f t="shared" si="265"/>
        <v>1.1740866771866395E-2</v>
      </c>
      <c r="F279" s="3">
        <f t="shared" si="265"/>
        <v>1.1740866771866395E-2</v>
      </c>
      <c r="G279" s="3">
        <f t="shared" si="265"/>
        <v>1.1740866771866395E-2</v>
      </c>
      <c r="H279" s="3">
        <f t="shared" si="265"/>
        <v>1.1740866771866395E-2</v>
      </c>
      <c r="I279" s="3">
        <f t="shared" si="265"/>
        <v>1.1740866771866395E-2</v>
      </c>
      <c r="J279" s="3">
        <f t="shared" si="265"/>
        <v>1.1740866771866395E-2</v>
      </c>
      <c r="K279" s="3">
        <f t="shared" si="265"/>
        <v>1.1740866771866395E-2</v>
      </c>
      <c r="L279" s="3">
        <f t="shared" si="265"/>
        <v>1.1740866771866395E-2</v>
      </c>
      <c r="M279" s="3">
        <f t="shared" si="265"/>
        <v>1.1740866771866395E-2</v>
      </c>
      <c r="N279" s="3">
        <f t="shared" si="265"/>
        <v>1.1740866771866395E-2</v>
      </c>
      <c r="O279" s="3">
        <f t="shared" si="265"/>
        <v>1.1740866771866395E-2</v>
      </c>
      <c r="P279" s="3">
        <f t="shared" si="265"/>
        <v>1.1740866771866395E-2</v>
      </c>
      <c r="Q279" s="3">
        <f t="shared" si="265"/>
        <v>1.1740866771866395E-2</v>
      </c>
      <c r="R279" s="3">
        <f t="shared" si="265"/>
        <v>1.1740866771866395E-2</v>
      </c>
      <c r="S279" s="3">
        <f t="shared" si="265"/>
        <v>1.1740866771866393E-2</v>
      </c>
      <c r="T279" s="3">
        <f t="shared" si="265"/>
        <v>1.1740866771866384E-2</v>
      </c>
      <c r="U279" s="3">
        <f t="shared" si="265"/>
        <v>1.1740866771866292E-2</v>
      </c>
      <c r="V279" s="3">
        <f t="shared" si="265"/>
        <v>1.174086677186538E-2</v>
      </c>
      <c r="W279" s="3">
        <f t="shared" si="265"/>
        <v>1.1740866771856253E-2</v>
      </c>
      <c r="X279" s="3">
        <f t="shared" si="265"/>
        <v>1.1740866771764988E-2</v>
      </c>
      <c r="Y279" s="3">
        <f t="shared" si="265"/>
        <v>1.1740866770852322E-2</v>
      </c>
      <c r="Z279" s="3">
        <f t="shared" si="265"/>
        <v>1.1740866761725663E-2</v>
      </c>
      <c r="AA279" s="3">
        <f t="shared" si="265"/>
        <v>1.174086667045908E-2</v>
      </c>
      <c r="AB279" s="3">
        <f t="shared" si="265"/>
        <v>1.1740865757793293E-2</v>
      </c>
      <c r="AC279" s="3">
        <f t="shared" si="265"/>
        <v>1.1740856631139321E-2</v>
      </c>
      <c r="AD279" s="3">
        <f t="shared" si="265"/>
        <v>1.1740765364989794E-2</v>
      </c>
      <c r="AE279" s="3">
        <f t="shared" si="265"/>
        <v>1.1739852742513187E-2</v>
      </c>
      <c r="AF279" s="3">
        <f t="shared" si="265"/>
        <v>1.173073041849005E-2</v>
      </c>
      <c r="AG279" s="3"/>
      <c r="AH279" s="3"/>
    </row>
    <row r="280" spans="1:34" x14ac:dyDescent="0.25">
      <c r="A280" s="79">
        <f>AVERAGE(B280:AF280)</f>
        <v>3.2131195442228581E-2</v>
      </c>
      <c r="B280" s="80">
        <f>IF($D$61&lt;=B246,IF($E$61&gt;=B246,ABS((B248-B247)/B247),0),0)</f>
        <v>2.3563864754108713E-2</v>
      </c>
      <c r="C280" s="80">
        <f t="shared" ref="C280:AF280" si="266">IF($D$61&lt;=C246,IF($E$61&gt;=C246,ABS((C248-C247)/C247),0),0)</f>
        <v>2.3504196232114055E-2</v>
      </c>
      <c r="D280" s="80">
        <f t="shared" si="266"/>
        <v>2.2855247976784815E-2</v>
      </c>
      <c r="E280" s="80">
        <f t="shared" si="266"/>
        <v>1.8917004483075355E-2</v>
      </c>
      <c r="F280" s="80">
        <f t="shared" si="266"/>
        <v>2.6557638929361492E-2</v>
      </c>
      <c r="G280" s="80">
        <f t="shared" si="266"/>
        <v>2.3945142029843595E-2</v>
      </c>
      <c r="H280" s="80">
        <f t="shared" si="266"/>
        <v>2.6356297688864265E-2</v>
      </c>
      <c r="I280" s="80">
        <f t="shared" si="266"/>
        <v>2.8061712516945714E-2</v>
      </c>
      <c r="J280" s="80">
        <f t="shared" si="266"/>
        <v>3.1151233298995742E-2</v>
      </c>
      <c r="K280" s="80">
        <f t="shared" si="266"/>
        <v>3.3747069010942592E-2</v>
      </c>
      <c r="L280" s="80">
        <f t="shared" si="266"/>
        <v>3.6007408955411817E-2</v>
      </c>
      <c r="M280" s="80">
        <f t="shared" si="266"/>
        <v>3.4510731492878033E-2</v>
      </c>
      <c r="N280" s="80">
        <f t="shared" si="266"/>
        <v>3.9286018665618552E-2</v>
      </c>
      <c r="O280" s="80">
        <f t="shared" si="266"/>
        <v>4.6995647756323457E-2</v>
      </c>
      <c r="P280" s="80">
        <f t="shared" si="266"/>
        <v>5.2162551061985564E-2</v>
      </c>
      <c r="Q280" s="80">
        <f t="shared" si="266"/>
        <v>4.7963012109362387E-2</v>
      </c>
      <c r="R280" s="80">
        <f t="shared" si="266"/>
        <v>3.8608413094351597E-2</v>
      </c>
      <c r="S280" s="80">
        <f t="shared" si="266"/>
        <v>4.2579286296077065E-3</v>
      </c>
      <c r="T280" s="80">
        <f t="shared" si="266"/>
        <v>8.9779874329640574E-2</v>
      </c>
      <c r="U280" s="80">
        <f t="shared" si="266"/>
        <v>0.13932223224898829</v>
      </c>
      <c r="V280" s="80">
        <f t="shared" si="266"/>
        <v>0.10957451616776838</v>
      </c>
      <c r="W280" s="80">
        <f t="shared" si="266"/>
        <v>5.0725086306670129E-2</v>
      </c>
      <c r="X280" s="80">
        <f t="shared" si="266"/>
        <v>8.3742423994433298E-5</v>
      </c>
      <c r="Y280" s="80">
        <f t="shared" si="266"/>
        <v>4.8130488545448651E-2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26833.955590741411</v>
      </c>
      <c r="C281" s="21">
        <f t="shared" ref="C281:AF281" si="267">(C248-C247)^2</f>
        <v>26690.355039771533</v>
      </c>
      <c r="D281" s="21">
        <f t="shared" si="267"/>
        <v>25160.29120733048</v>
      </c>
      <c r="E281" s="21">
        <f t="shared" si="267"/>
        <v>16836.145510980961</v>
      </c>
      <c r="F281" s="21">
        <f t="shared" si="267"/>
        <v>31620.29504253397</v>
      </c>
      <c r="G281" s="21">
        <f t="shared" si="267"/>
        <v>24824.028883725245</v>
      </c>
      <c r="H281" s="21">
        <f t="shared" si="267"/>
        <v>29043.48331582571</v>
      </c>
      <c r="I281" s="21">
        <f t="shared" si="267"/>
        <v>31642.31588775666</v>
      </c>
      <c r="J281" s="21">
        <f t="shared" si="267"/>
        <v>37344.641263743892</v>
      </c>
      <c r="K281" s="21">
        <f t="shared" si="267"/>
        <v>41693.789328184714</v>
      </c>
      <c r="L281" s="21">
        <f t="shared" si="267"/>
        <v>44901.534382774</v>
      </c>
      <c r="M281" s="21">
        <f t="shared" si="267"/>
        <v>38822.362390334762</v>
      </c>
      <c r="N281" s="21">
        <f t="shared" si="267"/>
        <v>47504.566518071755</v>
      </c>
      <c r="O281" s="21">
        <f t="shared" si="267"/>
        <v>63552.257322980055</v>
      </c>
      <c r="P281" s="21">
        <f t="shared" si="267"/>
        <v>71968.133341440262</v>
      </c>
      <c r="Q281" s="21">
        <f t="shared" si="267"/>
        <v>55262.084468635017</v>
      </c>
      <c r="R281" s="21">
        <f t="shared" si="267"/>
        <v>32388.333363829537</v>
      </c>
      <c r="S281" s="21">
        <f t="shared" si="267"/>
        <v>335.01671399554198</v>
      </c>
      <c r="T281" s="21">
        <f t="shared" si="267"/>
        <v>108785.48715525489</v>
      </c>
      <c r="U281" s="21">
        <f t="shared" si="267"/>
        <v>181274.05342186533</v>
      </c>
      <c r="V281" s="21">
        <f t="shared" si="267"/>
        <v>80317.608937242476</v>
      </c>
      <c r="W281" s="21">
        <f t="shared" si="267"/>
        <v>12995.139861893767</v>
      </c>
      <c r="X281" s="21">
        <f t="shared" si="267"/>
        <v>2.7473718933046273E-2</v>
      </c>
      <c r="Y281" s="21">
        <f t="shared" si="267"/>
        <v>7126.4424345273446</v>
      </c>
      <c r="Z281" s="21">
        <f t="shared" si="267"/>
        <v>17687.591567681084</v>
      </c>
      <c r="AA281" s="21">
        <f t="shared" si="267"/>
        <v>35545.176904490552</v>
      </c>
      <c r="AB281" s="21">
        <f t="shared" si="267"/>
        <v>49227.258554235814</v>
      </c>
      <c r="AC281" s="21">
        <f t="shared" si="267"/>
        <v>49344.465720020053</v>
      </c>
      <c r="AD281" s="21">
        <f t="shared" si="267"/>
        <v>30667.912913952008</v>
      </c>
      <c r="AE281" s="21">
        <f t="shared" si="267"/>
        <v>12961.806186490736</v>
      </c>
      <c r="AF281" s="21">
        <f t="shared" si="267"/>
        <v>3396.7362574869335</v>
      </c>
      <c r="AG281" s="3"/>
      <c r="AH281" s="3"/>
    </row>
    <row r="282" spans="1:34" s="3" customFormat="1" x14ac:dyDescent="0.25">
      <c r="A282" s="71">
        <f>SUM(B282:AF282)</f>
        <v>1036922.3488571582</v>
      </c>
      <c r="B282" s="21">
        <f>IF($D$61&lt;=B246,IF($E$61&gt;=B246,ABS(B281),0),0)</f>
        <v>26833.955590741411</v>
      </c>
      <c r="C282" s="21">
        <f t="shared" ref="C282:AF282" si="268">IF($D$61&lt;=C246,IF($E$61&gt;=C246,ABS(C281),0),0)</f>
        <v>26690.355039771533</v>
      </c>
      <c r="D282" s="21">
        <f t="shared" si="268"/>
        <v>25160.29120733048</v>
      </c>
      <c r="E282" s="21">
        <f t="shared" si="268"/>
        <v>16836.145510980961</v>
      </c>
      <c r="F282" s="21">
        <f t="shared" si="268"/>
        <v>31620.29504253397</v>
      </c>
      <c r="G282" s="21">
        <f t="shared" si="268"/>
        <v>24824.028883725245</v>
      </c>
      <c r="H282" s="21">
        <f t="shared" si="268"/>
        <v>29043.48331582571</v>
      </c>
      <c r="I282" s="21">
        <f t="shared" si="268"/>
        <v>31642.31588775666</v>
      </c>
      <c r="J282" s="21">
        <f t="shared" si="268"/>
        <v>37344.641263743892</v>
      </c>
      <c r="K282" s="21">
        <f t="shared" si="268"/>
        <v>41693.789328184714</v>
      </c>
      <c r="L282" s="21">
        <f t="shared" si="268"/>
        <v>44901.534382774</v>
      </c>
      <c r="M282" s="21">
        <f t="shared" si="268"/>
        <v>38822.362390334762</v>
      </c>
      <c r="N282" s="21">
        <f t="shared" si="268"/>
        <v>47504.566518071755</v>
      </c>
      <c r="O282" s="21">
        <f t="shared" si="268"/>
        <v>63552.257322980055</v>
      </c>
      <c r="P282" s="21">
        <f t="shared" si="268"/>
        <v>71968.133341440262</v>
      </c>
      <c r="Q282" s="21">
        <f t="shared" si="268"/>
        <v>55262.084468635017</v>
      </c>
      <c r="R282" s="21">
        <f t="shared" si="268"/>
        <v>32388.333363829537</v>
      </c>
      <c r="S282" s="21">
        <f t="shared" si="268"/>
        <v>335.01671399554198</v>
      </c>
      <c r="T282" s="21">
        <f t="shared" si="268"/>
        <v>108785.48715525489</v>
      </c>
      <c r="U282" s="21">
        <f t="shared" si="268"/>
        <v>181274.05342186533</v>
      </c>
      <c r="V282" s="21">
        <f t="shared" si="268"/>
        <v>80317.608937242476</v>
      </c>
      <c r="W282" s="21">
        <f t="shared" si="268"/>
        <v>12995.139861893767</v>
      </c>
      <c r="X282" s="21">
        <f t="shared" si="268"/>
        <v>2.7473718933046273E-2</v>
      </c>
      <c r="Y282" s="21">
        <f t="shared" si="268"/>
        <v>7126.4424345273446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6780.5176053622072</v>
      </c>
      <c r="C287" s="27">
        <f t="shared" ref="C287:AF287" si="269">($C$17+SUM(C288:C318))*$B$51</f>
        <v>6720.7797903755472</v>
      </c>
      <c r="D287" s="27">
        <f t="shared" si="269"/>
        <v>6506.0728135435402</v>
      </c>
      <c r="E287" s="27">
        <f t="shared" si="269"/>
        <v>6416.0519053314065</v>
      </c>
      <c r="F287" s="27">
        <f t="shared" si="269"/>
        <v>6285.8674968248743</v>
      </c>
      <c r="G287" s="27">
        <f t="shared" si="269"/>
        <v>6150.9942712788961</v>
      </c>
      <c r="H287" s="27">
        <f t="shared" si="269"/>
        <v>5998.4476189254892</v>
      </c>
      <c r="I287" s="27">
        <f t="shared" si="269"/>
        <v>5833.6751622863567</v>
      </c>
      <c r="J287" s="27">
        <f t="shared" si="269"/>
        <v>5659.7942258325638</v>
      </c>
      <c r="K287" s="27">
        <f t="shared" si="269"/>
        <v>5500.5180679249088</v>
      </c>
      <c r="L287" s="27">
        <f t="shared" si="269"/>
        <v>5314.5003175799202</v>
      </c>
      <c r="M287" s="27">
        <f t="shared" si="269"/>
        <v>5095.271093360253</v>
      </c>
      <c r="N287" s="27">
        <f t="shared" si="269"/>
        <v>4857.4236099069849</v>
      </c>
      <c r="O287" s="27">
        <f t="shared" si="269"/>
        <v>4654.7084082252622</v>
      </c>
      <c r="P287" s="27">
        <f t="shared" si="269"/>
        <v>4467.1573121031779</v>
      </c>
      <c r="Q287" s="27">
        <f t="shared" si="269"/>
        <v>4268.3602301669034</v>
      </c>
      <c r="R287" s="27">
        <f t="shared" si="269"/>
        <v>3974.6665280417037</v>
      </c>
      <c r="S287" s="27">
        <f t="shared" si="269"/>
        <v>3444.1603574019387</v>
      </c>
      <c r="T287" s="27">
        <f t="shared" si="269"/>
        <v>2837.5934474146266</v>
      </c>
      <c r="U287" s="27">
        <f t="shared" si="269"/>
        <v>2337.4955168437014</v>
      </c>
      <c r="V287" s="27">
        <f t="shared" si="269"/>
        <v>1959.3467361597939</v>
      </c>
      <c r="W287" s="27">
        <f t="shared" si="269"/>
        <v>1655.6724335689107</v>
      </c>
      <c r="X287" s="27">
        <f t="shared" si="269"/>
        <v>1386.1318771687497</v>
      </c>
      <c r="Y287" s="27">
        <f t="shared" si="269"/>
        <v>1119.2185608352463</v>
      </c>
      <c r="Z287" s="27">
        <f t="shared" si="269"/>
        <v>848.30210739715039</v>
      </c>
      <c r="AA287" s="27">
        <f t="shared" si="269"/>
        <v>601.26225101770262</v>
      </c>
      <c r="AB287" s="27">
        <f t="shared" si="269"/>
        <v>414.00001978795723</v>
      </c>
      <c r="AC287" s="27">
        <f t="shared" si="269"/>
        <v>296.46753648392257</v>
      </c>
      <c r="AD287" s="27">
        <f t="shared" si="269"/>
        <v>236.37951367947241</v>
      </c>
      <c r="AE287" s="27">
        <f t="shared" si="269"/>
        <v>206.55720516838991</v>
      </c>
      <c r="AF287" s="27">
        <f t="shared" si="269"/>
        <v>191.76103600164885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4.0168260901274469E-2</v>
      </c>
      <c r="C289" s="3">
        <f t="shared" si="271"/>
        <v>3.1842504294485138E-2</v>
      </c>
      <c r="D289" s="3">
        <f t="shared" si="271"/>
        <v>3.1206788996713947E-3</v>
      </c>
      <c r="E289" s="3">
        <f t="shared" si="271"/>
        <v>2.5507492579296506E-13</v>
      </c>
      <c r="F289" s="3">
        <f t="shared" si="271"/>
        <v>3.3951159722920611E-114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8.4009828746761783E-3</v>
      </c>
      <c r="C290" s="3">
        <f t="shared" si="272"/>
        <v>8.2267871654122492E-3</v>
      </c>
      <c r="D290" s="3">
        <f t="shared" si="272"/>
        <v>6.6716289775246972E-3</v>
      </c>
      <c r="E290" s="3">
        <f t="shared" si="272"/>
        <v>8.2082038029039205E-4</v>
      </c>
      <c r="F290" s="3">
        <f t="shared" si="272"/>
        <v>6.5224472965349927E-13</v>
      </c>
      <c r="G290" s="3">
        <f t="shared" si="272"/>
        <v>6.5468901396279307E-104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2.0968094913146402E-2</v>
      </c>
      <c r="C291" s="3">
        <f t="shared" si="273"/>
        <v>2.0928499532984948E-2</v>
      </c>
      <c r="D291" s="3">
        <f t="shared" si="273"/>
        <v>2.0536634897522631E-2</v>
      </c>
      <c r="E291" s="3">
        <f t="shared" si="273"/>
        <v>1.6999696864341003E-2</v>
      </c>
      <c r="F291" s="3">
        <f t="shared" si="273"/>
        <v>2.5677936857735856E-3</v>
      </c>
      <c r="G291" s="3">
        <f t="shared" si="273"/>
        <v>1.5876311839616796E-11</v>
      </c>
      <c r="H291" s="3">
        <f t="shared" si="273"/>
        <v>1.2961180575903568E-93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1.9327467614500549E-2</v>
      </c>
      <c r="C292" s="3">
        <f t="shared" si="274"/>
        <v>1.9324172424662337E-2</v>
      </c>
      <c r="D292" s="3">
        <f t="shared" si="274"/>
        <v>1.9291251409779397E-2</v>
      </c>
      <c r="E292" s="3">
        <f t="shared" si="274"/>
        <v>1.8965110215746091E-2</v>
      </c>
      <c r="F292" s="3">
        <f t="shared" si="274"/>
        <v>1.5992084324852489E-2</v>
      </c>
      <c r="G292" s="3">
        <f t="shared" si="274"/>
        <v>2.9067124630980977E-3</v>
      </c>
      <c r="H292" s="3">
        <f t="shared" si="274"/>
        <v>1.1438579347292232E-10</v>
      </c>
      <c r="I292" s="3">
        <f t="shared" si="274"/>
        <v>1.0187608640857901E-84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2.3246607483107969E-2</v>
      </c>
      <c r="C293" s="3">
        <f t="shared" si="275"/>
        <v>2.3246249926059486E-2</v>
      </c>
      <c r="D293" s="3">
        <f t="shared" si="275"/>
        <v>2.3242674658038684E-2</v>
      </c>
      <c r="E293" s="3">
        <f t="shared" si="275"/>
        <v>2.3206952207028824E-2</v>
      </c>
      <c r="F293" s="3">
        <f t="shared" si="275"/>
        <v>2.2852733483773559E-2</v>
      </c>
      <c r="G293" s="3">
        <f t="shared" si="275"/>
        <v>1.9594700235884915E-2</v>
      </c>
      <c r="H293" s="3">
        <f t="shared" si="275"/>
        <v>4.2086548945030654E-3</v>
      </c>
      <c r="I293" s="3">
        <f t="shared" si="275"/>
        <v>8.7940763357267377E-10</v>
      </c>
      <c r="J293" s="3">
        <f t="shared" si="275"/>
        <v>1.39527363369509E-76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2.4740810284017322E-2</v>
      </c>
      <c r="C294" s="3">
        <f t="shared" si="276"/>
        <v>2.4740775955953441E-2</v>
      </c>
      <c r="D294" s="3">
        <f t="shared" si="276"/>
        <v>2.4740432677934313E-2</v>
      </c>
      <c r="E294" s="3">
        <f t="shared" si="276"/>
        <v>2.4737000159695946E-2</v>
      </c>
      <c r="F294" s="3">
        <f t="shared" si="276"/>
        <v>2.4702701159163763E-2</v>
      </c>
      <c r="G294" s="3">
        <f t="shared" si="276"/>
        <v>2.4362315947538002E-2</v>
      </c>
      <c r="H294" s="3">
        <f t="shared" si="276"/>
        <v>2.1206052737495932E-2</v>
      </c>
      <c r="I294" s="3">
        <f t="shared" si="276"/>
        <v>5.2950796474504321E-3</v>
      </c>
      <c r="J294" s="3">
        <f t="shared" si="276"/>
        <v>4.988834494713431E-9</v>
      </c>
      <c r="K294" s="3">
        <f t="shared" si="276"/>
        <v>2.7495719572549565E-69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2.7333415916008439E-2</v>
      </c>
      <c r="C295" s="3">
        <f t="shared" si="277"/>
        <v>2.7333412494826542E-2</v>
      </c>
      <c r="D295" s="3">
        <f t="shared" si="277"/>
        <v>2.7333378283031114E-2</v>
      </c>
      <c r="E295" s="3">
        <f t="shared" si="277"/>
        <v>2.7333036167431962E-2</v>
      </c>
      <c r="F295" s="3">
        <f t="shared" si="277"/>
        <v>2.7329615246944772E-2</v>
      </c>
      <c r="G295" s="3">
        <f t="shared" si="277"/>
        <v>2.7295429581599129E-2</v>
      </c>
      <c r="H295" s="3">
        <f t="shared" si="277"/>
        <v>2.69559160157865E-2</v>
      </c>
      <c r="I295" s="3">
        <f t="shared" si="277"/>
        <v>2.3784591865374394E-2</v>
      </c>
      <c r="J295" s="3">
        <f t="shared" si="277"/>
        <v>6.8031773454869859E-3</v>
      </c>
      <c r="K295" s="3">
        <f t="shared" si="277"/>
        <v>2.4938635090504294E-8</v>
      </c>
      <c r="L295" s="3">
        <f t="shared" si="277"/>
        <v>1.0926512397273704E-62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2.1342745330207989E-2</v>
      </c>
      <c r="C296" s="3">
        <f t="shared" si="278"/>
        <v>2.1342745089229013E-2</v>
      </c>
      <c r="D296" s="3">
        <f t="shared" si="278"/>
        <v>2.1342742679439412E-2</v>
      </c>
      <c r="E296" s="3">
        <f t="shared" si="278"/>
        <v>2.1342718581558326E-2</v>
      </c>
      <c r="F296" s="3">
        <f t="shared" si="278"/>
        <v>2.1342477604243983E-2</v>
      </c>
      <c r="G296" s="3">
        <f t="shared" si="278"/>
        <v>2.1340067980741506E-2</v>
      </c>
      <c r="H296" s="3">
        <f t="shared" si="278"/>
        <v>2.1315986703565777E-2</v>
      </c>
      <c r="I296" s="3">
        <f t="shared" si="278"/>
        <v>2.1076663486693795E-2</v>
      </c>
      <c r="J296" s="3">
        <f t="shared" si="278"/>
        <v>1.8826347495183613E-2</v>
      </c>
      <c r="K296" s="3">
        <f t="shared" si="278"/>
        <v>6.0870681052617942E-3</v>
      </c>
      <c r="L296" s="3">
        <f t="shared" si="278"/>
        <v>7.6002707513324947E-8</v>
      </c>
      <c r="M296" s="3">
        <f t="shared" si="278"/>
        <v>6.9990338371222455E-57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3.0213098982419664E-2</v>
      </c>
      <c r="C297" s="3">
        <f t="shared" si="279"/>
        <v>3.0213098951646599E-2</v>
      </c>
      <c r="D297" s="3">
        <f t="shared" si="279"/>
        <v>3.0213098643915963E-2</v>
      </c>
      <c r="E297" s="3">
        <f t="shared" si="279"/>
        <v>3.0213095566609768E-2</v>
      </c>
      <c r="F297" s="3">
        <f t="shared" si="279"/>
        <v>3.0213064793565052E-2</v>
      </c>
      <c r="G297" s="3">
        <f t="shared" si="279"/>
        <v>3.021275706484176E-2</v>
      </c>
      <c r="H297" s="3">
        <f t="shared" si="279"/>
        <v>3.020967994999034E-2</v>
      </c>
      <c r="I297" s="3">
        <f t="shared" si="279"/>
        <v>3.0178926033133689E-2</v>
      </c>
      <c r="J297" s="3">
        <f t="shared" si="279"/>
        <v>2.9873103554092194E-2</v>
      </c>
      <c r="K297" s="3">
        <f t="shared" si="279"/>
        <v>2.6980250743082343E-2</v>
      </c>
      <c r="L297" s="3">
        <f t="shared" si="279"/>
        <v>9.7432165036962139E-3</v>
      </c>
      <c r="M297" s="3">
        <f t="shared" si="279"/>
        <v>3.6750738371116936E-7</v>
      </c>
      <c r="N297" s="3">
        <f t="shared" si="279"/>
        <v>2.1424131663331515E-51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3.3824388307029662E-2</v>
      </c>
      <c r="C298" s="3">
        <f t="shared" si="280"/>
        <v>3.3824388303921878E-2</v>
      </c>
      <c r="D298" s="3">
        <f t="shared" si="280"/>
        <v>3.3824388272843953E-2</v>
      </c>
      <c r="E298" s="3">
        <f t="shared" si="280"/>
        <v>3.382438796206471E-2</v>
      </c>
      <c r="F298" s="3">
        <f t="shared" si="280"/>
        <v>3.382438485427243E-2</v>
      </c>
      <c r="G298" s="3">
        <f t="shared" si="280"/>
        <v>3.3824353776365397E-2</v>
      </c>
      <c r="H298" s="3">
        <f t="shared" si="280"/>
        <v>3.3824042998865579E-2</v>
      </c>
      <c r="I298" s="3">
        <f t="shared" si="280"/>
        <v>3.3820935380910987E-2</v>
      </c>
      <c r="J298" s="3">
        <f t="shared" si="280"/>
        <v>3.3789874900391363E-2</v>
      </c>
      <c r="K298" s="3">
        <f t="shared" si="280"/>
        <v>3.348083467392704E-2</v>
      </c>
      <c r="L298" s="3">
        <f t="shared" si="280"/>
        <v>3.0541699594084915E-2</v>
      </c>
      <c r="M298" s="3">
        <f t="shared" si="280"/>
        <v>1.218603577831903E-2</v>
      </c>
      <c r="N298" s="3">
        <f t="shared" si="280"/>
        <v>1.2461058251958595E-6</v>
      </c>
      <c r="O298" s="3">
        <f t="shared" si="280"/>
        <v>1.5576852219538636E-46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3.8791797530676374E-2</v>
      </c>
      <c r="C299" s="3">
        <f t="shared" si="281"/>
        <v>3.8791797530354853E-2</v>
      </c>
      <c r="D299" s="3">
        <f t="shared" si="281"/>
        <v>3.8791797527139647E-2</v>
      </c>
      <c r="E299" s="3">
        <f t="shared" si="281"/>
        <v>3.8791797494987602E-2</v>
      </c>
      <c r="F299" s="3">
        <f t="shared" si="281"/>
        <v>3.8791797173467195E-2</v>
      </c>
      <c r="G299" s="3">
        <f t="shared" si="281"/>
        <v>3.8791793958263231E-2</v>
      </c>
      <c r="H299" s="3">
        <f t="shared" si="281"/>
        <v>3.8791761806238223E-2</v>
      </c>
      <c r="I299" s="3">
        <f t="shared" si="281"/>
        <v>3.8791440287453849E-2</v>
      </c>
      <c r="J299" s="3">
        <f t="shared" si="281"/>
        <v>3.8788225246173355E-2</v>
      </c>
      <c r="K299" s="3">
        <f t="shared" si="281"/>
        <v>3.8756089485199818E-2</v>
      </c>
      <c r="L299" s="3">
        <f t="shared" si="281"/>
        <v>3.8436192575283128E-2</v>
      </c>
      <c r="M299" s="3">
        <f t="shared" si="281"/>
        <v>3.537891152419189E-2</v>
      </c>
      <c r="N299" s="3">
        <f t="shared" si="281"/>
        <v>1.5444915353327199E-2</v>
      </c>
      <c r="O299" s="3">
        <f t="shared" si="281"/>
        <v>3.8832574617916373E-6</v>
      </c>
      <c r="P299" s="3">
        <f t="shared" si="281"/>
        <v>3.9201502698743323E-42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2.3183984286352807E-2</v>
      </c>
      <c r="C300" s="3">
        <f t="shared" si="282"/>
        <v>2.318398428633547E-2</v>
      </c>
      <c r="D300" s="3">
        <f t="shared" si="282"/>
        <v>2.318398428616213E-2</v>
      </c>
      <c r="E300" s="3">
        <f t="shared" si="282"/>
        <v>2.3183984284428714E-2</v>
      </c>
      <c r="F300" s="3">
        <f t="shared" si="282"/>
        <v>2.3183984267094532E-2</v>
      </c>
      <c r="G300" s="3">
        <f t="shared" si="282"/>
        <v>2.3183984093752729E-2</v>
      </c>
      <c r="H300" s="3">
        <f t="shared" si="282"/>
        <v>2.3183982360334771E-2</v>
      </c>
      <c r="I300" s="3">
        <f t="shared" si="282"/>
        <v>2.3183965026162323E-2</v>
      </c>
      <c r="J300" s="3">
        <f t="shared" si="282"/>
        <v>2.3183791685150657E-2</v>
      </c>
      <c r="K300" s="3">
        <f t="shared" si="282"/>
        <v>2.3182058346314031E-2</v>
      </c>
      <c r="L300" s="3">
        <f t="shared" si="282"/>
        <v>2.3164732083979511E-2</v>
      </c>
      <c r="M300" s="3">
        <f t="shared" si="282"/>
        <v>2.2992180096390737E-2</v>
      </c>
      <c r="N300" s="3">
        <f t="shared" si="282"/>
        <v>2.1335796583944827E-2</v>
      </c>
      <c r="O300" s="3">
        <f t="shared" si="282"/>
        <v>1.0101734671959744E-2</v>
      </c>
      <c r="P300" s="3">
        <f t="shared" si="282"/>
        <v>5.7182996475520868E-6</v>
      </c>
      <c r="Q300" s="3">
        <f t="shared" si="282"/>
        <v>1.9318634643061647E-38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3.3195679421044372E-2</v>
      </c>
      <c r="C301" s="3">
        <f t="shared" si="283"/>
        <v>3.319567942104213E-2</v>
      </c>
      <c r="D301" s="3">
        <f t="shared" si="283"/>
        <v>3.3195679421019746E-2</v>
      </c>
      <c r="E301" s="3">
        <f t="shared" si="283"/>
        <v>3.3195679420795848E-2</v>
      </c>
      <c r="F301" s="3">
        <f t="shared" si="283"/>
        <v>3.3195679418556903E-2</v>
      </c>
      <c r="G301" s="3">
        <f t="shared" si="283"/>
        <v>3.3195679396167459E-2</v>
      </c>
      <c r="H301" s="3">
        <f t="shared" si="283"/>
        <v>3.3195679172272979E-2</v>
      </c>
      <c r="I301" s="3">
        <f t="shared" si="283"/>
        <v>3.3195676933328248E-2</v>
      </c>
      <c r="J301" s="3">
        <f t="shared" si="283"/>
        <v>3.3195654543889279E-2</v>
      </c>
      <c r="K301" s="3">
        <f t="shared" si="283"/>
        <v>3.3195430650330128E-2</v>
      </c>
      <c r="L301" s="3">
        <f t="shared" si="283"/>
        <v>3.3193191797791767E-2</v>
      </c>
      <c r="M301" s="3">
        <f t="shared" si="283"/>
        <v>3.3170811575646213E-2</v>
      </c>
      <c r="N301" s="3">
        <f t="shared" si="283"/>
        <v>3.2947837609633449E-2</v>
      </c>
      <c r="O301" s="3">
        <f t="shared" si="283"/>
        <v>3.0798893314962238E-2</v>
      </c>
      <c r="P301" s="3">
        <f t="shared" si="283"/>
        <v>1.5689787362246826E-2</v>
      </c>
      <c r="Q301" s="3">
        <f t="shared" si="283"/>
        <v>1.846870827406905E-5</v>
      </c>
      <c r="R301" s="3">
        <f t="shared" si="283"/>
        <v>9.4325943315885338E-35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2.0384424349743836E-2</v>
      </c>
      <c r="C302" s="3">
        <f t="shared" si="284"/>
        <v>2.0384424349743711E-2</v>
      </c>
      <c r="D302" s="3">
        <f t="shared" si="284"/>
        <v>2.0384424349742473E-2</v>
      </c>
      <c r="E302" s="3">
        <f t="shared" si="284"/>
        <v>2.038442434973007E-2</v>
      </c>
      <c r="F302" s="3">
        <f t="shared" si="284"/>
        <v>2.0384424349606047E-2</v>
      </c>
      <c r="G302" s="3">
        <f t="shared" si="284"/>
        <v>2.03844243483658E-2</v>
      </c>
      <c r="H302" s="3">
        <f t="shared" si="284"/>
        <v>2.038442433596337E-2</v>
      </c>
      <c r="I302" s="3">
        <f t="shared" si="284"/>
        <v>2.0384424211939044E-2</v>
      </c>
      <c r="J302" s="3">
        <f t="shared" si="284"/>
        <v>2.0384422971695845E-2</v>
      </c>
      <c r="K302" s="3">
        <f t="shared" si="284"/>
        <v>2.0384410569267989E-2</v>
      </c>
      <c r="L302" s="3">
        <f t="shared" si="284"/>
        <v>2.0384286545404452E-2</v>
      </c>
      <c r="M302" s="3">
        <f t="shared" si="284"/>
        <v>2.0383046348270904E-2</v>
      </c>
      <c r="N302" s="3">
        <f t="shared" si="284"/>
        <v>2.037064852618304E-2</v>
      </c>
      <c r="O302" s="3">
        <f t="shared" si="284"/>
        <v>2.0247084297515153E-2</v>
      </c>
      <c r="P302" s="3">
        <f t="shared" si="284"/>
        <v>1.9051924234351023E-2</v>
      </c>
      <c r="Q302" s="3">
        <f t="shared" si="284"/>
        <v>1.0368176768121309E-2</v>
      </c>
      <c r="R302" s="3">
        <f t="shared" si="284"/>
        <v>2.362315310662841E-5</v>
      </c>
      <c r="S302" s="3">
        <f t="shared" si="284"/>
        <v>8.906202853461127E-32</v>
      </c>
      <c r="T302" s="3">
        <f t="shared" si="284"/>
        <v>5.1670154758731238E-296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6.692506936600448E-2</v>
      </c>
      <c r="C303" s="3">
        <f t="shared" si="285"/>
        <v>6.6925069366004453E-2</v>
      </c>
      <c r="D303" s="3">
        <f t="shared" si="285"/>
        <v>6.6925069366004092E-2</v>
      </c>
      <c r="E303" s="3">
        <f t="shared" si="285"/>
        <v>6.6925069366000414E-2</v>
      </c>
      <c r="F303" s="3">
        <f t="shared" si="285"/>
        <v>6.692506936596368E-2</v>
      </c>
      <c r="G303" s="3">
        <f t="shared" si="285"/>
        <v>6.6925069365596362E-2</v>
      </c>
      <c r="H303" s="3">
        <f t="shared" si="285"/>
        <v>6.6925069361923162E-2</v>
      </c>
      <c r="I303" s="3">
        <f t="shared" si="285"/>
        <v>6.6925069325191239E-2</v>
      </c>
      <c r="J303" s="3">
        <f t="shared" si="285"/>
        <v>6.6925068957871856E-2</v>
      </c>
      <c r="K303" s="3">
        <f t="shared" si="285"/>
        <v>6.692506528467819E-2</v>
      </c>
      <c r="L303" s="3">
        <f t="shared" si="285"/>
        <v>6.6925028552752716E-2</v>
      </c>
      <c r="M303" s="3">
        <f t="shared" si="285"/>
        <v>6.6924661234606705E-2</v>
      </c>
      <c r="N303" s="3">
        <f t="shared" si="285"/>
        <v>6.6920988164026321E-2</v>
      </c>
      <c r="O303" s="3">
        <f t="shared" si="285"/>
        <v>6.6884268543933298E-2</v>
      </c>
      <c r="P303" s="3">
        <f t="shared" si="285"/>
        <v>6.6518178666166633E-2</v>
      </c>
      <c r="Q303" s="3">
        <f t="shared" si="285"/>
        <v>6.2965698139901674E-2</v>
      </c>
      <c r="R303" s="3">
        <f t="shared" si="285"/>
        <v>3.6369787218083316E-2</v>
      </c>
      <c r="S303" s="3">
        <f t="shared" si="285"/>
        <v>1.5035162704541295E-4</v>
      </c>
      <c r="T303" s="3">
        <f t="shared" si="285"/>
        <v>2.1917037580125864E-28</v>
      </c>
      <c r="U303" s="3">
        <f t="shared" si="285"/>
        <v>9.4955265630652356E-267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9.6671799143506223E-2</v>
      </c>
      <c r="C304" s="3">
        <f t="shared" si="286"/>
        <v>9.6671799143506223E-2</v>
      </c>
      <c r="D304" s="3">
        <f t="shared" si="286"/>
        <v>9.6671799143506168E-2</v>
      </c>
      <c r="E304" s="3">
        <f t="shared" si="286"/>
        <v>9.6671799143505682E-2</v>
      </c>
      <c r="F304" s="3">
        <f t="shared" si="286"/>
        <v>9.6671799143500894E-2</v>
      </c>
      <c r="G304" s="3">
        <f t="shared" si="286"/>
        <v>9.6671799143453044E-2</v>
      </c>
      <c r="H304" s="3">
        <f t="shared" si="286"/>
        <v>9.6671799142974413E-2</v>
      </c>
      <c r="I304" s="3">
        <f t="shared" si="286"/>
        <v>9.6671799138188089E-2</v>
      </c>
      <c r="J304" s="3">
        <f t="shared" si="286"/>
        <v>9.6671799090324931E-2</v>
      </c>
      <c r="K304" s="3">
        <f t="shared" si="286"/>
        <v>9.6671798611693283E-2</v>
      </c>
      <c r="L304" s="3">
        <f t="shared" si="286"/>
        <v>9.667179382537705E-2</v>
      </c>
      <c r="M304" s="3">
        <f t="shared" si="286"/>
        <v>9.6671745962227745E-2</v>
      </c>
      <c r="N304" s="3">
        <f t="shared" si="286"/>
        <v>9.6671267332037986E-2</v>
      </c>
      <c r="O304" s="3">
        <f t="shared" si="286"/>
        <v>9.6666481160474063E-2</v>
      </c>
      <c r="P304" s="3">
        <f t="shared" si="286"/>
        <v>9.6618632475821475E-2</v>
      </c>
      <c r="Q304" s="3">
        <f t="shared" si="286"/>
        <v>9.6141446343957826E-2</v>
      </c>
      <c r="R304" s="3">
        <f t="shared" si="286"/>
        <v>9.1497304931145509E-2</v>
      </c>
      <c r="S304" s="3">
        <f t="shared" si="286"/>
        <v>5.5767966529737679E-2</v>
      </c>
      <c r="T304" s="3">
        <f t="shared" si="286"/>
        <v>3.9459345684346572E-4</v>
      </c>
      <c r="U304" s="3">
        <f t="shared" si="286"/>
        <v>1.2410823051891837E-25</v>
      </c>
      <c r="V304" s="3">
        <f t="shared" si="286"/>
        <v>1.1757300694941728E-240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8.3708796522492912E-2</v>
      </c>
      <c r="C305" s="3">
        <f t="shared" si="287"/>
        <v>8.3708796522492912E-2</v>
      </c>
      <c r="D305" s="3">
        <f t="shared" si="287"/>
        <v>8.3708796522492912E-2</v>
      </c>
      <c r="E305" s="3">
        <f t="shared" si="287"/>
        <v>8.370879652249287E-2</v>
      </c>
      <c r="F305" s="3">
        <f t="shared" si="287"/>
        <v>8.3708796522492496E-2</v>
      </c>
      <c r="G305" s="3">
        <f t="shared" si="287"/>
        <v>8.3708796522488763E-2</v>
      </c>
      <c r="H305" s="3">
        <f t="shared" si="287"/>
        <v>8.3708796522451376E-2</v>
      </c>
      <c r="I305" s="3">
        <f t="shared" si="287"/>
        <v>8.3708796522077494E-2</v>
      </c>
      <c r="J305" s="3">
        <f t="shared" si="287"/>
        <v>8.3708796518338804E-2</v>
      </c>
      <c r="K305" s="3">
        <f t="shared" si="287"/>
        <v>8.3708796480951919E-2</v>
      </c>
      <c r="L305" s="3">
        <f t="shared" si="287"/>
        <v>8.3708796107083067E-2</v>
      </c>
      <c r="M305" s="3">
        <f t="shared" si="287"/>
        <v>8.3708792368394597E-2</v>
      </c>
      <c r="N305" s="3">
        <f t="shared" si="287"/>
        <v>8.3708754981519112E-2</v>
      </c>
      <c r="O305" s="3">
        <f t="shared" si="287"/>
        <v>8.3708381113682534E-2</v>
      </c>
      <c r="P305" s="3">
        <f t="shared" si="287"/>
        <v>8.3704642527154746E-2</v>
      </c>
      <c r="Q305" s="3">
        <f t="shared" si="287"/>
        <v>8.3667265844154792E-2</v>
      </c>
      <c r="R305" s="3">
        <f t="shared" si="287"/>
        <v>8.3294415726353932E-2</v>
      </c>
      <c r="S305" s="3">
        <f t="shared" si="287"/>
        <v>7.9656088799590213E-2</v>
      </c>
      <c r="T305" s="3">
        <f t="shared" si="287"/>
        <v>5.0962403181435002E-2</v>
      </c>
      <c r="U305" s="3">
        <f t="shared" si="287"/>
        <v>5.8554342755158929E-4</v>
      </c>
      <c r="V305" s="3">
        <f t="shared" si="287"/>
        <v>2.3477466126656535E-23</v>
      </c>
      <c r="W305" s="3">
        <f t="shared" si="287"/>
        <v>2.5209970815173272E-217</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5.9251655732023817E-2</v>
      </c>
      <c r="C306" s="3">
        <f t="shared" si="288"/>
        <v>5.9251655732023817E-2</v>
      </c>
      <c r="D306" s="3">
        <f t="shared" si="288"/>
        <v>5.9251655732023817E-2</v>
      </c>
      <c r="E306" s="3">
        <f t="shared" si="288"/>
        <v>5.9251655732023817E-2</v>
      </c>
      <c r="F306" s="3">
        <f t="shared" si="288"/>
        <v>5.9251655732023789E-2</v>
      </c>
      <c r="G306" s="3">
        <f t="shared" si="288"/>
        <v>5.9251655732023553E-2</v>
      </c>
      <c r="H306" s="3">
        <f t="shared" si="288"/>
        <v>5.9251655732021166E-2</v>
      </c>
      <c r="I306" s="3">
        <f t="shared" si="288"/>
        <v>5.9251655731997296E-2</v>
      </c>
      <c r="J306" s="3">
        <f t="shared" si="288"/>
        <v>5.9251655731758571E-2</v>
      </c>
      <c r="K306" s="3">
        <f t="shared" si="288"/>
        <v>5.9251655729371334E-2</v>
      </c>
      <c r="L306" s="3">
        <f t="shared" si="288"/>
        <v>5.9251655705498979E-2</v>
      </c>
      <c r="M306" s="3">
        <f t="shared" si="288"/>
        <v>5.9251655466775424E-2</v>
      </c>
      <c r="N306" s="3">
        <f t="shared" si="288"/>
        <v>5.9251653079539932E-2</v>
      </c>
      <c r="O306" s="3">
        <f t="shared" si="288"/>
        <v>5.9251629207190272E-2</v>
      </c>
      <c r="P306" s="3">
        <f t="shared" si="288"/>
        <v>5.9251390484222698E-2</v>
      </c>
      <c r="Q306" s="3">
        <f t="shared" si="288"/>
        <v>5.924900330744573E-2</v>
      </c>
      <c r="R306" s="3">
        <f t="shared" si="288"/>
        <v>5.9225136828764249E-2</v>
      </c>
      <c r="S306" s="3">
        <f t="shared" si="288"/>
        <v>5.8987000163168393E-2</v>
      </c>
      <c r="T306" s="3">
        <f t="shared" si="288"/>
        <v>5.6657666759915119E-2</v>
      </c>
      <c r="U306" s="3">
        <f t="shared" si="288"/>
        <v>3.786887818271191E-2</v>
      </c>
      <c r="V306" s="3">
        <f t="shared" si="288"/>
        <v>6.7378289516287692E-4</v>
      </c>
      <c r="W306" s="3">
        <f t="shared" si="288"/>
        <v>2.1423745443747487E-21</v>
      </c>
      <c r="X306" s="3">
        <f t="shared" si="288"/>
        <v>2.2628177512607836E-196</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5.2327746974864794E-2</v>
      </c>
      <c r="C307" s="3">
        <f t="shared" si="289"/>
        <v>5.2327746974864794E-2</v>
      </c>
      <c r="D307" s="3">
        <f t="shared" si="289"/>
        <v>5.2327746974864794E-2</v>
      </c>
      <c r="E307" s="3">
        <f t="shared" si="289"/>
        <v>5.2327746974864794E-2</v>
      </c>
      <c r="F307" s="3">
        <f t="shared" si="289"/>
        <v>5.2327746974864794E-2</v>
      </c>
      <c r="G307" s="3">
        <f t="shared" si="289"/>
        <v>5.2327746974864774E-2</v>
      </c>
      <c r="H307" s="3">
        <f t="shared" si="289"/>
        <v>5.2327746974864586E-2</v>
      </c>
      <c r="I307" s="3">
        <f t="shared" si="289"/>
        <v>5.2327746974862678E-2</v>
      </c>
      <c r="J307" s="3">
        <f t="shared" si="289"/>
        <v>5.2327746974843665E-2</v>
      </c>
      <c r="K307" s="3">
        <f t="shared" si="289"/>
        <v>5.2327746974653477E-2</v>
      </c>
      <c r="L307" s="3">
        <f t="shared" si="289"/>
        <v>5.2327746972751644E-2</v>
      </c>
      <c r="M307" s="3">
        <f t="shared" si="289"/>
        <v>5.2327746953733267E-2</v>
      </c>
      <c r="N307" s="3">
        <f t="shared" si="289"/>
        <v>5.232774676354951E-2</v>
      </c>
      <c r="O307" s="3">
        <f t="shared" si="289"/>
        <v>5.2327744861712044E-2</v>
      </c>
      <c r="P307" s="3">
        <f t="shared" si="289"/>
        <v>5.2327725843341111E-2</v>
      </c>
      <c r="Q307" s="3">
        <f t="shared" si="289"/>
        <v>5.2327535660011915E-2</v>
      </c>
      <c r="R307" s="3">
        <f t="shared" si="289"/>
        <v>5.2325633864736397E-2</v>
      </c>
      <c r="S307" s="3">
        <f t="shared" si="289"/>
        <v>5.2306619713109986E-2</v>
      </c>
      <c r="T307" s="3">
        <f t="shared" si="289"/>
        <v>5.2116857799062603E-2</v>
      </c>
      <c r="U307" s="3">
        <f t="shared" si="289"/>
        <v>5.0256693333006017E-2</v>
      </c>
      <c r="V307" s="3">
        <f t="shared" si="289"/>
        <v>3.4942243046583228E-2</v>
      </c>
      <c r="W307" s="3">
        <f t="shared" si="289"/>
        <v>9.2240038735431505E-4</v>
      </c>
      <c r="X307" s="3">
        <f t="shared" si="289"/>
        <v>1.5156762356476127E-19</v>
      </c>
      <c r="Y307" s="3">
        <f t="shared" si="289"/>
        <v>2.1750842724856846E-177</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1.7967891452015796E-2</v>
      </c>
      <c r="C308" s="3">
        <f t="shared" si="290"/>
        <v>1.7967891452015796E-2</v>
      </c>
      <c r="D308" s="3">
        <f t="shared" si="290"/>
        <v>1.7967891452015796E-2</v>
      </c>
      <c r="E308" s="3">
        <f t="shared" si="290"/>
        <v>1.7967891452015796E-2</v>
      </c>
      <c r="F308" s="3">
        <f t="shared" si="290"/>
        <v>1.7967891452015796E-2</v>
      </c>
      <c r="G308" s="3">
        <f t="shared" si="290"/>
        <v>1.7967891452015796E-2</v>
      </c>
      <c r="H308" s="3">
        <f t="shared" si="290"/>
        <v>1.7967891452015789E-2</v>
      </c>
      <c r="I308" s="3">
        <f t="shared" si="290"/>
        <v>1.796789145201573E-2</v>
      </c>
      <c r="J308" s="3">
        <f t="shared" si="290"/>
        <v>1.796789145201514E-2</v>
      </c>
      <c r="K308" s="3">
        <f t="shared" si="290"/>
        <v>1.7967891452009253E-2</v>
      </c>
      <c r="L308" s="3">
        <f t="shared" si="290"/>
        <v>1.7967891451950341E-2</v>
      </c>
      <c r="M308" s="3">
        <f t="shared" si="290"/>
        <v>1.7967891451361247E-2</v>
      </c>
      <c r="N308" s="3">
        <f t="shared" si="290"/>
        <v>1.7967891445470299E-2</v>
      </c>
      <c r="O308" s="3">
        <f t="shared" si="290"/>
        <v>1.7967891386560835E-2</v>
      </c>
      <c r="P308" s="3">
        <f t="shared" si="290"/>
        <v>1.7967890797466194E-2</v>
      </c>
      <c r="Q308" s="3">
        <f t="shared" si="290"/>
        <v>1.7967884906520851E-2</v>
      </c>
      <c r="R308" s="3">
        <f t="shared" si="290"/>
        <v>1.7967825997173673E-2</v>
      </c>
      <c r="S308" s="3">
        <f t="shared" si="290"/>
        <v>1.796723691432444E-2</v>
      </c>
      <c r="T308" s="3">
        <f t="shared" si="290"/>
        <v>1.7961347147960924E-2</v>
      </c>
      <c r="U308" s="3">
        <f t="shared" si="290"/>
        <v>1.790255556847728E-2</v>
      </c>
      <c r="V308" s="3">
        <f t="shared" si="290"/>
        <v>1.7325120620930775E-2</v>
      </c>
      <c r="W308" s="3">
        <f t="shared" si="290"/>
        <v>1.2482128007645541E-2</v>
      </c>
      <c r="X308" s="3">
        <f t="shared" si="290"/>
        <v>4.70340399220285E-4</v>
      </c>
      <c r="Y308" s="3">
        <f t="shared" si="290"/>
        <v>2.7142434423844199E-18</v>
      </c>
      <c r="Z308" s="3">
        <f t="shared" si="290"/>
        <v>1.1117673998184602E-160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4.123109123431553E-2</v>
      </c>
      <c r="C309" s="3">
        <f t="shared" si="291"/>
        <v>4.123109123431553E-2</v>
      </c>
      <c r="D309" s="3">
        <f t="shared" si="291"/>
        <v>4.123109123431553E-2</v>
      </c>
      <c r="E309" s="3">
        <f t="shared" si="291"/>
        <v>4.123109123431553E-2</v>
      </c>
      <c r="F309" s="3">
        <f t="shared" si="291"/>
        <v>4.123109123431553E-2</v>
      </c>
      <c r="G309" s="3">
        <f t="shared" si="291"/>
        <v>4.123109123431553E-2</v>
      </c>
      <c r="H309" s="3">
        <f t="shared" si="291"/>
        <v>4.1231091234315523E-2</v>
      </c>
      <c r="I309" s="3">
        <f t="shared" si="291"/>
        <v>4.1231091234315488E-2</v>
      </c>
      <c r="J309" s="3">
        <f t="shared" si="291"/>
        <v>4.1231091234315113E-2</v>
      </c>
      <c r="K309" s="3">
        <f t="shared" si="291"/>
        <v>4.1231091234311373E-2</v>
      </c>
      <c r="L309" s="3">
        <f t="shared" si="291"/>
        <v>4.1231091234273987E-2</v>
      </c>
      <c r="M309" s="3">
        <f t="shared" si="291"/>
        <v>4.1231091233900112E-2</v>
      </c>
      <c r="N309" s="3">
        <f t="shared" si="291"/>
        <v>4.1231091230161374E-2</v>
      </c>
      <c r="O309" s="3">
        <f t="shared" si="291"/>
        <v>4.123109119277394E-2</v>
      </c>
      <c r="P309" s="3">
        <f t="shared" si="291"/>
        <v>4.1231090818899606E-2</v>
      </c>
      <c r="Q309" s="3">
        <f t="shared" si="291"/>
        <v>4.1231087080156437E-2</v>
      </c>
      <c r="R309" s="3">
        <f t="shared" si="291"/>
        <v>4.1231049692743466E-2</v>
      </c>
      <c r="S309" s="3">
        <f t="shared" si="291"/>
        <v>4.1230675820478332E-2</v>
      </c>
      <c r="T309" s="3">
        <f t="shared" si="291"/>
        <v>4.122693728428159E-2</v>
      </c>
      <c r="U309" s="3">
        <f t="shared" si="291"/>
        <v>4.1189570561514774E-2</v>
      </c>
      <c r="V309" s="3">
        <f t="shared" si="291"/>
        <v>4.0817761015456734E-2</v>
      </c>
      <c r="W309" s="3">
        <f t="shared" si="291"/>
        <v>3.7279349350827329E-2</v>
      </c>
      <c r="X309" s="3">
        <f t="shared" si="291"/>
        <v>1.5054272621143875E-2</v>
      </c>
      <c r="Y309" s="3">
        <f t="shared" si="291"/>
        <v>1.7360982645763189E-6</v>
      </c>
      <c r="Z309" s="3">
        <f t="shared" si="291"/>
        <v>7.2230324754446008E-46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3.4610685556715946E-2</v>
      </c>
      <c r="C310" s="3">
        <f t="shared" si="292"/>
        <v>3.4610685556715946E-2</v>
      </c>
      <c r="D310" s="3">
        <f t="shared" si="292"/>
        <v>3.4610685556715946E-2</v>
      </c>
      <c r="E310" s="3">
        <f t="shared" si="292"/>
        <v>3.4610685556715946E-2</v>
      </c>
      <c r="F310" s="3">
        <f t="shared" si="292"/>
        <v>3.4610685556715946E-2</v>
      </c>
      <c r="G310" s="3">
        <f t="shared" si="292"/>
        <v>3.4610685556715946E-2</v>
      </c>
      <c r="H310" s="3">
        <f t="shared" si="292"/>
        <v>3.4610685556715946E-2</v>
      </c>
      <c r="I310" s="3">
        <f t="shared" si="292"/>
        <v>3.4610685556715939E-2</v>
      </c>
      <c r="J310" s="3">
        <f t="shared" si="292"/>
        <v>3.4610685556715912E-2</v>
      </c>
      <c r="K310" s="3">
        <f t="shared" si="292"/>
        <v>3.4610685556715599E-2</v>
      </c>
      <c r="L310" s="3">
        <f t="shared" si="292"/>
        <v>3.4610685556712456E-2</v>
      </c>
      <c r="M310" s="3">
        <f t="shared" si="292"/>
        <v>3.4610685556681078E-2</v>
      </c>
      <c r="N310" s="3">
        <f t="shared" si="292"/>
        <v>3.4610685556367232E-2</v>
      </c>
      <c r="O310" s="3">
        <f t="shared" si="292"/>
        <v>3.4610685553228812E-2</v>
      </c>
      <c r="P310" s="3">
        <f t="shared" si="292"/>
        <v>3.4610685521844618E-2</v>
      </c>
      <c r="Q310" s="3">
        <f t="shared" si="292"/>
        <v>3.4610685208002645E-2</v>
      </c>
      <c r="R310" s="3">
        <f t="shared" si="292"/>
        <v>3.4610682069583065E-2</v>
      </c>
      <c r="S310" s="3">
        <f t="shared" si="292"/>
        <v>3.4610650685402936E-2</v>
      </c>
      <c r="T310" s="3">
        <f t="shared" si="292"/>
        <v>3.4610336845166852E-2</v>
      </c>
      <c r="U310" s="3">
        <f t="shared" si="292"/>
        <v>3.4607198599321924E-2</v>
      </c>
      <c r="V310" s="3">
        <f t="shared" si="292"/>
        <v>3.4575831787208772E-2</v>
      </c>
      <c r="W310" s="3">
        <f t="shared" si="292"/>
        <v>3.4263723062933966E-2</v>
      </c>
      <c r="X310" s="3">
        <f t="shared" si="292"/>
        <v>3.1293468096876255E-2</v>
      </c>
      <c r="Y310" s="3">
        <f t="shared" si="292"/>
        <v>1.2637033859095198E-2</v>
      </c>
      <c r="Z310" s="3">
        <f t="shared" si="292"/>
        <v>1.4573359407184927E-6</v>
      </c>
      <c r="AA310" s="3">
        <f t="shared" si="292"/>
        <v>6.0632425262006471E-46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4.2854236942630193E-2</v>
      </c>
      <c r="C311" s="3">
        <f t="shared" si="293"/>
        <v>4.2854236942630193E-2</v>
      </c>
      <c r="D311" s="3">
        <f t="shared" si="293"/>
        <v>4.2854236942630193E-2</v>
      </c>
      <c r="E311" s="3">
        <f t="shared" si="293"/>
        <v>4.2854236942630193E-2</v>
      </c>
      <c r="F311" s="3">
        <f t="shared" si="293"/>
        <v>4.2854236942630193E-2</v>
      </c>
      <c r="G311" s="3">
        <f t="shared" si="293"/>
        <v>4.2854236942630193E-2</v>
      </c>
      <c r="H311" s="3">
        <f t="shared" si="293"/>
        <v>4.2854236942630193E-2</v>
      </c>
      <c r="I311" s="3">
        <f t="shared" si="293"/>
        <v>4.2854236942630193E-2</v>
      </c>
      <c r="J311" s="3">
        <f t="shared" si="293"/>
        <v>4.2854236942630186E-2</v>
      </c>
      <c r="K311" s="3">
        <f t="shared" si="293"/>
        <v>4.2854236942630151E-2</v>
      </c>
      <c r="L311" s="3">
        <f t="shared" si="293"/>
        <v>4.2854236942629763E-2</v>
      </c>
      <c r="M311" s="3">
        <f t="shared" si="293"/>
        <v>4.285423694262587E-2</v>
      </c>
      <c r="N311" s="3">
        <f t="shared" si="293"/>
        <v>4.2854236942587019E-2</v>
      </c>
      <c r="O311" s="3">
        <f t="shared" si="293"/>
        <v>4.2854236942198427E-2</v>
      </c>
      <c r="P311" s="3">
        <f t="shared" si="293"/>
        <v>4.2854236938312494E-2</v>
      </c>
      <c r="Q311" s="3">
        <f t="shared" si="293"/>
        <v>4.2854236899453231E-2</v>
      </c>
      <c r="R311" s="3">
        <f t="shared" si="293"/>
        <v>4.2854236510860573E-2</v>
      </c>
      <c r="S311" s="3">
        <f t="shared" si="293"/>
        <v>4.2854232624934187E-2</v>
      </c>
      <c r="T311" s="3">
        <f t="shared" si="293"/>
        <v>4.2854193765689712E-2</v>
      </c>
      <c r="U311" s="3">
        <f t="shared" si="293"/>
        <v>4.2853805175182974E-2</v>
      </c>
      <c r="V311" s="3">
        <f t="shared" si="293"/>
        <v>4.2849919463910292E-2</v>
      </c>
      <c r="W311" s="3">
        <f t="shared" si="293"/>
        <v>4.2811081724154189E-2</v>
      </c>
      <c r="X311" s="3">
        <f t="shared" si="293"/>
        <v>4.242463513961553E-2</v>
      </c>
      <c r="Y311" s="3">
        <f t="shared" si="293"/>
        <v>3.8746926708013489E-2</v>
      </c>
      <c r="Z311" s="3">
        <f t="shared" si="293"/>
        <v>1.5646914660568525E-2</v>
      </c>
      <c r="AA311" s="3">
        <f t="shared" si="293"/>
        <v>1.8044433013677365E-6</v>
      </c>
      <c r="AB311" s="3">
        <f t="shared" si="293"/>
        <v>7.5073818295984323E-46</v>
      </c>
      <c r="AC311" s="3">
        <f t="shared" si="293"/>
        <v>0</v>
      </c>
      <c r="AD311" s="3">
        <f t="shared" si="293"/>
        <v>0</v>
      </c>
      <c r="AE311" s="3">
        <f t="shared" si="293"/>
        <v>0</v>
      </c>
      <c r="AF311" s="3">
        <f t="shared" si="293"/>
        <v>0</v>
      </c>
      <c r="AG311" s="3"/>
      <c r="AH311" s="3"/>
    </row>
    <row r="312" spans="1:34" x14ac:dyDescent="0.25">
      <c r="B312" s="3">
        <f t="shared" ref="B312:AF312" si="294">$C42*EXP(-B$285/$A42/EXP(-$F$126))</f>
        <v>3.2192937025108795E-2</v>
      </c>
      <c r="C312" s="3">
        <f t="shared" si="294"/>
        <v>3.2192937025108795E-2</v>
      </c>
      <c r="D312" s="3">
        <f t="shared" si="294"/>
        <v>3.2192937025108795E-2</v>
      </c>
      <c r="E312" s="3">
        <f t="shared" si="294"/>
        <v>3.2192937025108795E-2</v>
      </c>
      <c r="F312" s="3">
        <f t="shared" si="294"/>
        <v>3.2192937025108795E-2</v>
      </c>
      <c r="G312" s="3">
        <f t="shared" si="294"/>
        <v>3.2192937025108795E-2</v>
      </c>
      <c r="H312" s="3">
        <f t="shared" si="294"/>
        <v>3.2192937025108795E-2</v>
      </c>
      <c r="I312" s="3">
        <f t="shared" si="294"/>
        <v>3.2192937025108795E-2</v>
      </c>
      <c r="J312" s="3">
        <f t="shared" si="294"/>
        <v>3.2192937025108795E-2</v>
      </c>
      <c r="K312" s="3">
        <f t="shared" si="294"/>
        <v>3.2192937025108788E-2</v>
      </c>
      <c r="L312" s="3">
        <f t="shared" si="294"/>
        <v>3.219293702510876E-2</v>
      </c>
      <c r="M312" s="3">
        <f t="shared" si="294"/>
        <v>3.2192937025108469E-2</v>
      </c>
      <c r="N312" s="3">
        <f t="shared" si="294"/>
        <v>3.2192937025105547E-2</v>
      </c>
      <c r="O312" s="3">
        <f t="shared" si="294"/>
        <v>3.2192937025076362E-2</v>
      </c>
      <c r="P312" s="3">
        <f t="shared" si="294"/>
        <v>3.2192937024784443E-2</v>
      </c>
      <c r="Q312" s="3">
        <f t="shared" si="294"/>
        <v>3.2192937021865257E-2</v>
      </c>
      <c r="R312" s="3">
        <f t="shared" si="294"/>
        <v>3.2192936992673421E-2</v>
      </c>
      <c r="S312" s="3">
        <f t="shared" si="294"/>
        <v>3.219293670075505E-2</v>
      </c>
      <c r="T312" s="3">
        <f t="shared" si="294"/>
        <v>3.2192933781571502E-2</v>
      </c>
      <c r="U312" s="3">
        <f t="shared" si="294"/>
        <v>3.219290458975059E-2</v>
      </c>
      <c r="V312" s="3">
        <f t="shared" si="294"/>
        <v>3.219261267299732E-2</v>
      </c>
      <c r="W312" s="3">
        <f t="shared" si="294"/>
        <v>3.2189693651047013E-2</v>
      </c>
      <c r="X312" s="3">
        <f t="shared" si="294"/>
        <v>3.2160517984896678E-2</v>
      </c>
      <c r="Y312" s="3">
        <f t="shared" si="294"/>
        <v>3.1870211787722376E-2</v>
      </c>
      <c r="Z312" s="3">
        <f t="shared" si="294"/>
        <v>2.9107445620778941E-2</v>
      </c>
      <c r="AA312" s="3">
        <f t="shared" si="294"/>
        <v>1.1754266887992292E-2</v>
      </c>
      <c r="AB312" s="3">
        <f t="shared" si="294"/>
        <v>1.355532934679892E-6</v>
      </c>
      <c r="AC312" s="3">
        <f t="shared" si="294"/>
        <v>5.6396913749101727E-46</v>
      </c>
      <c r="AD312" s="3">
        <f t="shared" si="294"/>
        <v>0</v>
      </c>
      <c r="AE312" s="3">
        <f t="shared" si="294"/>
        <v>0</v>
      </c>
      <c r="AF312" s="3">
        <f t="shared" si="294"/>
        <v>0</v>
      </c>
      <c r="AG312" s="3"/>
      <c r="AH312" s="3"/>
    </row>
    <row r="313" spans="1:34" x14ac:dyDescent="0.25">
      <c r="B313" s="3">
        <f t="shared" ref="B313:AF313" si="295">$C43*EXP(-B$285/$A43/EXP(-$F$126))</f>
        <v>2.5751010749186929E-2</v>
      </c>
      <c r="C313" s="3">
        <f t="shared" si="295"/>
        <v>2.5751010749186929E-2</v>
      </c>
      <c r="D313" s="3">
        <f t="shared" si="295"/>
        <v>2.5751010749186929E-2</v>
      </c>
      <c r="E313" s="3">
        <f t="shared" si="295"/>
        <v>2.5751010749186929E-2</v>
      </c>
      <c r="F313" s="3">
        <f t="shared" si="295"/>
        <v>2.5751010749186929E-2</v>
      </c>
      <c r="G313" s="3">
        <f t="shared" si="295"/>
        <v>2.5751010749186929E-2</v>
      </c>
      <c r="H313" s="3">
        <f t="shared" si="295"/>
        <v>2.5751010749186929E-2</v>
      </c>
      <c r="I313" s="3">
        <f t="shared" si="295"/>
        <v>2.5751010749186929E-2</v>
      </c>
      <c r="J313" s="3">
        <f t="shared" si="295"/>
        <v>2.5751010749186929E-2</v>
      </c>
      <c r="K313" s="3">
        <f t="shared" si="295"/>
        <v>2.5751010749186929E-2</v>
      </c>
      <c r="L313" s="3">
        <f t="shared" si="295"/>
        <v>2.5751010749186926E-2</v>
      </c>
      <c r="M313" s="3">
        <f t="shared" si="295"/>
        <v>2.5751010749186905E-2</v>
      </c>
      <c r="N313" s="3">
        <f t="shared" si="295"/>
        <v>2.5751010749186669E-2</v>
      </c>
      <c r="O313" s="3">
        <f t="shared" si="295"/>
        <v>2.5751010749184334E-2</v>
      </c>
      <c r="P313" s="3">
        <f t="shared" si="295"/>
        <v>2.5751010749160985E-2</v>
      </c>
      <c r="Q313" s="3">
        <f t="shared" si="295"/>
        <v>2.575101074892748E-2</v>
      </c>
      <c r="R313" s="3">
        <f t="shared" si="295"/>
        <v>2.5751010746592435E-2</v>
      </c>
      <c r="S313" s="3">
        <f t="shared" si="295"/>
        <v>2.5751010723241995E-2</v>
      </c>
      <c r="T313" s="3">
        <f t="shared" si="295"/>
        <v>2.5751010489737575E-2</v>
      </c>
      <c r="U313" s="3">
        <f t="shared" si="295"/>
        <v>2.5751008154693496E-2</v>
      </c>
      <c r="V313" s="3">
        <f t="shared" si="295"/>
        <v>2.5750984804264378E-2</v>
      </c>
      <c r="W313" s="3">
        <f t="shared" si="295"/>
        <v>2.5750751301137732E-2</v>
      </c>
      <c r="X313" s="3">
        <f t="shared" si="295"/>
        <v>2.5748416386322075E-2</v>
      </c>
      <c r="Y313" s="3">
        <f t="shared" si="295"/>
        <v>2.5725078879338288E-2</v>
      </c>
      <c r="Z313" s="3">
        <f t="shared" si="295"/>
        <v>2.549286403052967E-2</v>
      </c>
      <c r="AA313" s="3">
        <f t="shared" si="295"/>
        <v>2.3282937635589012E-2</v>
      </c>
      <c r="AB313" s="3">
        <f t="shared" si="295"/>
        <v>9.4021944237465422E-3</v>
      </c>
      <c r="AC313" s="3">
        <f t="shared" si="295"/>
        <v>1.0842857594693425E-6</v>
      </c>
      <c r="AD313" s="3">
        <f t="shared" si="295"/>
        <v>4.5111681827643949E-46</v>
      </c>
      <c r="AE313" s="3">
        <f t="shared" si="295"/>
        <v>0</v>
      </c>
      <c r="AF313" s="3">
        <f t="shared" si="295"/>
        <v>0</v>
      </c>
      <c r="AG313" s="3"/>
      <c r="AH313" s="3"/>
    </row>
    <row r="314" spans="1:34" x14ac:dyDescent="0.25">
      <c r="B314" s="3">
        <f t="shared" ref="B314:AF314" si="296">$C44*EXP(-B$285/$A44/EXP(-$F$126))</f>
        <v>1.2586213635594824E-2</v>
      </c>
      <c r="C314" s="3">
        <f t="shared" si="296"/>
        <v>1.2586213635594824E-2</v>
      </c>
      <c r="D314" s="3">
        <f t="shared" si="296"/>
        <v>1.2586213635594824E-2</v>
      </c>
      <c r="E314" s="3">
        <f t="shared" si="296"/>
        <v>1.2586213635594824E-2</v>
      </c>
      <c r="F314" s="3">
        <f t="shared" si="296"/>
        <v>1.2586213635594824E-2</v>
      </c>
      <c r="G314" s="3">
        <f t="shared" si="296"/>
        <v>1.2586213635594824E-2</v>
      </c>
      <c r="H314" s="3">
        <f t="shared" si="296"/>
        <v>1.2586213635594824E-2</v>
      </c>
      <c r="I314" s="3">
        <f t="shared" si="296"/>
        <v>1.2586213635594824E-2</v>
      </c>
      <c r="J314" s="3">
        <f t="shared" si="296"/>
        <v>1.2586213635594824E-2</v>
      </c>
      <c r="K314" s="3">
        <f t="shared" si="296"/>
        <v>1.2586213635594824E-2</v>
      </c>
      <c r="L314" s="3">
        <f t="shared" si="296"/>
        <v>1.2586213635594824E-2</v>
      </c>
      <c r="M314" s="3">
        <f t="shared" si="296"/>
        <v>1.2586213635594822E-2</v>
      </c>
      <c r="N314" s="3">
        <f t="shared" si="296"/>
        <v>1.2586213635594812E-2</v>
      </c>
      <c r="O314" s="3">
        <f t="shared" si="296"/>
        <v>1.2586213635594697E-2</v>
      </c>
      <c r="P314" s="3">
        <f t="shared" si="296"/>
        <v>1.2586213635593556E-2</v>
      </c>
      <c r="Q314" s="3">
        <f t="shared" si="296"/>
        <v>1.2586213635582143E-2</v>
      </c>
      <c r="R314" s="3">
        <f t="shared" si="296"/>
        <v>1.2586213635468014E-2</v>
      </c>
      <c r="S314" s="3">
        <f t="shared" si="296"/>
        <v>1.2586213634326724E-2</v>
      </c>
      <c r="T314" s="3">
        <f t="shared" si="296"/>
        <v>1.2586213622913827E-2</v>
      </c>
      <c r="U314" s="3">
        <f t="shared" si="296"/>
        <v>1.258621350878485E-2</v>
      </c>
      <c r="V314" s="3">
        <f t="shared" si="296"/>
        <v>1.258621236749514E-2</v>
      </c>
      <c r="W314" s="3">
        <f t="shared" si="296"/>
        <v>1.258620095460373E-2</v>
      </c>
      <c r="X314" s="3">
        <f t="shared" si="296"/>
        <v>1.258608682625882E-2</v>
      </c>
      <c r="Y314" s="3">
        <f t="shared" si="296"/>
        <v>1.2584945599726899E-2</v>
      </c>
      <c r="Z314" s="3">
        <f t="shared" si="296"/>
        <v>1.2573539024214929E-2</v>
      </c>
      <c r="AA314" s="3">
        <f t="shared" si="296"/>
        <v>1.246004034546676E-2</v>
      </c>
      <c r="AB314" s="3">
        <f t="shared" si="296"/>
        <v>1.1379903880278059E-2</v>
      </c>
      <c r="AC314" s="3">
        <f t="shared" si="296"/>
        <v>4.5954711763851359E-3</v>
      </c>
      <c r="AD314" s="3">
        <f t="shared" si="296"/>
        <v>5.2996180785428869E-7</v>
      </c>
      <c r="AE314" s="3">
        <f t="shared" si="296"/>
        <v>2.2049047723753327E-46</v>
      </c>
      <c r="AF314" s="3">
        <f t="shared" si="296"/>
        <v>0</v>
      </c>
      <c r="AG314" s="3"/>
      <c r="AH314" s="3"/>
    </row>
    <row r="315" spans="1:34" x14ac:dyDescent="0.25">
      <c r="B315" s="3">
        <f t="shared" ref="B315:AF315" si="297">$C45*EXP(-B$285/$A45/EXP(-$F$126))</f>
        <v>6.9130744193958088E-3</v>
      </c>
      <c r="C315" s="3">
        <f t="shared" si="297"/>
        <v>6.9130744193958088E-3</v>
      </c>
      <c r="D315" s="3">
        <f t="shared" si="297"/>
        <v>6.9130744193958088E-3</v>
      </c>
      <c r="E315" s="3">
        <f t="shared" si="297"/>
        <v>6.9130744193958088E-3</v>
      </c>
      <c r="F315" s="3">
        <f t="shared" si="297"/>
        <v>6.9130744193958088E-3</v>
      </c>
      <c r="G315" s="3">
        <f t="shared" si="297"/>
        <v>6.9130744193958088E-3</v>
      </c>
      <c r="H315" s="3">
        <f t="shared" si="297"/>
        <v>6.9130744193958088E-3</v>
      </c>
      <c r="I315" s="3">
        <f t="shared" si="297"/>
        <v>6.9130744193958088E-3</v>
      </c>
      <c r="J315" s="3">
        <f t="shared" si="297"/>
        <v>6.9130744193958088E-3</v>
      </c>
      <c r="K315" s="3">
        <f t="shared" si="297"/>
        <v>6.9130744193958088E-3</v>
      </c>
      <c r="L315" s="3">
        <f t="shared" si="297"/>
        <v>6.9130744193958088E-3</v>
      </c>
      <c r="M315" s="3">
        <f t="shared" si="297"/>
        <v>6.9130744193958088E-3</v>
      </c>
      <c r="N315" s="3">
        <f t="shared" si="297"/>
        <v>6.913074419395808E-3</v>
      </c>
      <c r="O315" s="3">
        <f t="shared" si="297"/>
        <v>6.9130744193958019E-3</v>
      </c>
      <c r="P315" s="3">
        <f t="shared" si="297"/>
        <v>6.9130744193957386E-3</v>
      </c>
      <c r="Q315" s="3">
        <f t="shared" si="297"/>
        <v>6.9130744193951123E-3</v>
      </c>
      <c r="R315" s="3">
        <f t="shared" si="297"/>
        <v>6.9130744193888439E-3</v>
      </c>
      <c r="S315" s="3">
        <f t="shared" si="297"/>
        <v>6.913074419326158E-3</v>
      </c>
      <c r="T315" s="3">
        <f t="shared" si="297"/>
        <v>6.9130744186992957E-3</v>
      </c>
      <c r="U315" s="3">
        <f t="shared" si="297"/>
        <v>6.9130744124306738E-3</v>
      </c>
      <c r="V315" s="3">
        <f t="shared" si="297"/>
        <v>6.9130743497444573E-3</v>
      </c>
      <c r="W315" s="3">
        <f t="shared" si="297"/>
        <v>6.9130737228823265E-3</v>
      </c>
      <c r="X315" s="3">
        <f t="shared" si="297"/>
        <v>6.913067454264143E-3</v>
      </c>
      <c r="Y315" s="3">
        <f t="shared" si="297"/>
        <v>6.9130047683949401E-3</v>
      </c>
      <c r="Z315" s="3">
        <f t="shared" si="297"/>
        <v>6.9123779409651044E-3</v>
      </c>
      <c r="AA315" s="3">
        <f t="shared" si="297"/>
        <v>6.9061127918370376E-3</v>
      </c>
      <c r="AB315" s="3">
        <f t="shared" si="297"/>
        <v>6.8437727716048847E-3</v>
      </c>
      <c r="AC315" s="3">
        <f t="shared" si="297"/>
        <v>6.2504995296955648E-3</v>
      </c>
      <c r="AD315" s="3">
        <f t="shared" si="297"/>
        <v>2.524097806880858E-3</v>
      </c>
      <c r="AE315" s="3">
        <f t="shared" si="297"/>
        <v>2.9108558961474325E-7</v>
      </c>
      <c r="AF315" s="3">
        <f t="shared" si="297"/>
        <v>1.211060865517502E-46</v>
      </c>
      <c r="AG315" s="3"/>
      <c r="AH315" s="3"/>
    </row>
    <row r="316" spans="1:34" x14ac:dyDescent="0.25">
      <c r="B316" s="3">
        <f t="shared" ref="B316:AF316" si="298">$C46*EXP(-B$285/$A46/EXP(-$F$126))</f>
        <v>3.0323866622783903E-3</v>
      </c>
      <c r="C316" s="3">
        <f t="shared" si="298"/>
        <v>3.0323866622783903E-3</v>
      </c>
      <c r="D316" s="3">
        <f t="shared" si="298"/>
        <v>3.0323866622783903E-3</v>
      </c>
      <c r="E316" s="3">
        <f t="shared" si="298"/>
        <v>3.0323866622783903E-3</v>
      </c>
      <c r="F316" s="3">
        <f t="shared" si="298"/>
        <v>3.0323866622783903E-3</v>
      </c>
      <c r="G316" s="3">
        <f t="shared" si="298"/>
        <v>3.0323866622783903E-3</v>
      </c>
      <c r="H316" s="3">
        <f t="shared" si="298"/>
        <v>3.0323866622783903E-3</v>
      </c>
      <c r="I316" s="3">
        <f t="shared" si="298"/>
        <v>3.0323866622783903E-3</v>
      </c>
      <c r="J316" s="3">
        <f t="shared" si="298"/>
        <v>3.0323866622783903E-3</v>
      </c>
      <c r="K316" s="3">
        <f t="shared" si="298"/>
        <v>3.0323866622783903E-3</v>
      </c>
      <c r="L316" s="3">
        <f t="shared" si="298"/>
        <v>3.0323866622783903E-3</v>
      </c>
      <c r="M316" s="3">
        <f t="shared" si="298"/>
        <v>3.0323866622783903E-3</v>
      </c>
      <c r="N316" s="3">
        <f t="shared" si="298"/>
        <v>3.0323866622783903E-3</v>
      </c>
      <c r="O316" s="3">
        <f t="shared" si="298"/>
        <v>3.0323866622783899E-3</v>
      </c>
      <c r="P316" s="3">
        <f t="shared" si="298"/>
        <v>3.0323866622783873E-3</v>
      </c>
      <c r="Q316" s="3">
        <f t="shared" si="298"/>
        <v>3.0323866622783595E-3</v>
      </c>
      <c r="R316" s="3">
        <f t="shared" si="298"/>
        <v>3.0323866622780846E-3</v>
      </c>
      <c r="S316" s="3">
        <f t="shared" si="298"/>
        <v>3.032386662275335E-3</v>
      </c>
      <c r="T316" s="3">
        <f t="shared" si="298"/>
        <v>3.0323866622478384E-3</v>
      </c>
      <c r="U316" s="3">
        <f t="shared" si="298"/>
        <v>3.0323866619728682E-3</v>
      </c>
      <c r="V316" s="3">
        <f t="shared" si="298"/>
        <v>3.0323866592231676E-3</v>
      </c>
      <c r="W316" s="3">
        <f t="shared" si="298"/>
        <v>3.032386631726162E-3</v>
      </c>
      <c r="X316" s="3">
        <f t="shared" si="298"/>
        <v>3.0323863567561196E-3</v>
      </c>
      <c r="Y316" s="3">
        <f t="shared" si="298"/>
        <v>3.0323836070570687E-3</v>
      </c>
      <c r="Z316" s="3">
        <f t="shared" si="298"/>
        <v>3.0323561102036933E-3</v>
      </c>
      <c r="AA316" s="3">
        <f t="shared" si="298"/>
        <v>3.0320811553829477E-3</v>
      </c>
      <c r="AB316" s="3">
        <f t="shared" si="298"/>
        <v>3.029332978016329E-3</v>
      </c>
      <c r="AC316" s="3">
        <f t="shared" si="298"/>
        <v>3.001987829619291E-3</v>
      </c>
      <c r="AD316" s="3">
        <f t="shared" si="298"/>
        <v>2.7417513911390415E-3</v>
      </c>
      <c r="AE316" s="3">
        <f t="shared" si="298"/>
        <v>1.1071832963922585E-3</v>
      </c>
      <c r="AF316" s="3">
        <f t="shared" si="298"/>
        <v>1.2768328618778757E-7</v>
      </c>
      <c r="AG316" s="3"/>
      <c r="AH316" s="3"/>
    </row>
    <row r="317" spans="1:34" x14ac:dyDescent="0.25">
      <c r="B317" s="3">
        <f t="shared" ref="B317:AF317" si="299">$C47*EXP(-B$285/$A47/EXP(-$F$126))</f>
        <v>2.0349292815546579E-6</v>
      </c>
      <c r="C317" s="3">
        <f t="shared" si="299"/>
        <v>2.0349292815546579E-6</v>
      </c>
      <c r="D317" s="3">
        <f t="shared" si="299"/>
        <v>2.0349292815546579E-6</v>
      </c>
      <c r="E317" s="3">
        <f t="shared" si="299"/>
        <v>2.0349292815546579E-6</v>
      </c>
      <c r="F317" s="3">
        <f t="shared" si="299"/>
        <v>2.0349292815546579E-6</v>
      </c>
      <c r="G317" s="3">
        <f t="shared" si="299"/>
        <v>2.0349292815546579E-6</v>
      </c>
      <c r="H317" s="3">
        <f t="shared" si="299"/>
        <v>2.0349292815546579E-6</v>
      </c>
      <c r="I317" s="3">
        <f t="shared" si="299"/>
        <v>2.0349292815546579E-6</v>
      </c>
      <c r="J317" s="3">
        <f t="shared" si="299"/>
        <v>2.0349292815546579E-6</v>
      </c>
      <c r="K317" s="3">
        <f t="shared" si="299"/>
        <v>2.0349292815546579E-6</v>
      </c>
      <c r="L317" s="3">
        <f t="shared" si="299"/>
        <v>2.0349292815546579E-6</v>
      </c>
      <c r="M317" s="3">
        <f t="shared" si="299"/>
        <v>2.0349292815546579E-6</v>
      </c>
      <c r="N317" s="3">
        <f t="shared" si="299"/>
        <v>2.0349292815546579E-6</v>
      </c>
      <c r="O317" s="3">
        <f t="shared" si="299"/>
        <v>2.0349292815546579E-6</v>
      </c>
      <c r="P317" s="3">
        <f t="shared" si="299"/>
        <v>2.0349292815546575E-6</v>
      </c>
      <c r="Q317" s="3">
        <f t="shared" si="299"/>
        <v>2.0349292815546558E-6</v>
      </c>
      <c r="R317" s="3">
        <f t="shared" si="299"/>
        <v>2.0349292815546372E-6</v>
      </c>
      <c r="S317" s="3">
        <f t="shared" si="299"/>
        <v>2.034929281554453E-6</v>
      </c>
      <c r="T317" s="3">
        <f t="shared" si="299"/>
        <v>2.0349292815526077E-6</v>
      </c>
      <c r="U317" s="3">
        <f t="shared" si="299"/>
        <v>2.0349292815341555E-6</v>
      </c>
      <c r="V317" s="3">
        <f t="shared" si="299"/>
        <v>2.0349292813496328E-6</v>
      </c>
      <c r="W317" s="3">
        <f t="shared" si="299"/>
        <v>2.0349292795044041E-6</v>
      </c>
      <c r="X317" s="3">
        <f t="shared" si="299"/>
        <v>2.0349292610521196E-6</v>
      </c>
      <c r="Y317" s="3">
        <f t="shared" si="299"/>
        <v>2.0349290765292823E-6</v>
      </c>
      <c r="Z317" s="3">
        <f t="shared" si="299"/>
        <v>2.0349272313018304E-6</v>
      </c>
      <c r="AA317" s="3">
        <f t="shared" si="299"/>
        <v>2.0349087791193363E-6</v>
      </c>
      <c r="AB317" s="3">
        <f t="shared" si="299"/>
        <v>2.0347242664967216E-6</v>
      </c>
      <c r="AC317" s="3">
        <f t="shared" si="299"/>
        <v>2.0328800601942057E-6</v>
      </c>
      <c r="AD317" s="3">
        <f t="shared" si="299"/>
        <v>2.0145296816380025E-6</v>
      </c>
      <c r="AE317" s="3">
        <f t="shared" si="299"/>
        <v>1.8398940537418328E-6</v>
      </c>
      <c r="AF317" s="3">
        <f t="shared" si="299"/>
        <v>7.4299222388215832E-7</v>
      </c>
      <c r="AG317" s="3"/>
      <c r="AH317" s="3"/>
    </row>
    <row r="318" spans="1:34" x14ac:dyDescent="0.25">
      <c r="B318" s="3">
        <f t="shared" ref="B318:AF318" si="300">$C48*EXP(-B$285/$A48/EXP(-$F$126))</f>
        <v>1.1740866771866395E-2</v>
      </c>
      <c r="C318" s="3">
        <f t="shared" si="300"/>
        <v>1.1740866771866395E-2</v>
      </c>
      <c r="D318" s="3">
        <f t="shared" si="300"/>
        <v>1.1740866771866395E-2</v>
      </c>
      <c r="E318" s="3">
        <f t="shared" si="300"/>
        <v>1.1740866771866395E-2</v>
      </c>
      <c r="F318" s="3">
        <f t="shared" si="300"/>
        <v>1.1740866771866395E-2</v>
      </c>
      <c r="G318" s="3">
        <f t="shared" si="300"/>
        <v>1.1740866771866395E-2</v>
      </c>
      <c r="H318" s="3">
        <f t="shared" si="300"/>
        <v>1.1740866771866395E-2</v>
      </c>
      <c r="I318" s="3">
        <f t="shared" si="300"/>
        <v>1.1740866771866395E-2</v>
      </c>
      <c r="J318" s="3">
        <f t="shared" si="300"/>
        <v>1.1740866771866395E-2</v>
      </c>
      <c r="K318" s="3">
        <f t="shared" si="300"/>
        <v>1.1740866771866395E-2</v>
      </c>
      <c r="L318" s="3">
        <f t="shared" si="300"/>
        <v>1.1740866771866395E-2</v>
      </c>
      <c r="M318" s="3">
        <f t="shared" si="300"/>
        <v>1.1740866771866395E-2</v>
      </c>
      <c r="N318" s="3">
        <f t="shared" si="300"/>
        <v>1.1740866771866395E-2</v>
      </c>
      <c r="O318" s="3">
        <f t="shared" si="300"/>
        <v>1.1740866771866395E-2</v>
      </c>
      <c r="P318" s="3">
        <f t="shared" si="300"/>
        <v>1.1740866771866395E-2</v>
      </c>
      <c r="Q318" s="3">
        <f t="shared" si="300"/>
        <v>1.1740866771866393E-2</v>
      </c>
      <c r="R318" s="3">
        <f t="shared" si="300"/>
        <v>1.1740866771866382E-2</v>
      </c>
      <c r="S318" s="3">
        <f t="shared" si="300"/>
        <v>1.1740866771866277E-2</v>
      </c>
      <c r="T318" s="3">
        <f t="shared" si="300"/>
        <v>1.1740866771865211E-2</v>
      </c>
      <c r="U318" s="3">
        <f t="shared" si="300"/>
        <v>1.1740866771854565E-2</v>
      </c>
      <c r="V318" s="3">
        <f t="shared" si="300"/>
        <v>1.1740866771748102E-2</v>
      </c>
      <c r="W318" s="3">
        <f t="shared" si="300"/>
        <v>1.1740866770683466E-2</v>
      </c>
      <c r="X318" s="3">
        <f t="shared" si="300"/>
        <v>1.174086676003711E-2</v>
      </c>
      <c r="Y318" s="3">
        <f t="shared" si="300"/>
        <v>1.174086665357355E-2</v>
      </c>
      <c r="Z318" s="3">
        <f t="shared" si="300"/>
        <v>1.1740865588938004E-2</v>
      </c>
      <c r="AA318" s="3">
        <f t="shared" si="300"/>
        <v>1.1740854942587847E-2</v>
      </c>
      <c r="AB318" s="3">
        <f t="shared" si="300"/>
        <v>1.1740748479617228E-2</v>
      </c>
      <c r="AC318" s="3">
        <f t="shared" si="300"/>
        <v>1.1739683903005409E-2</v>
      </c>
      <c r="AD318" s="3">
        <f t="shared" si="300"/>
        <v>1.1729043444541353E-2</v>
      </c>
      <c r="AE318" s="3">
        <f t="shared" si="300"/>
        <v>1.1623167848866059E-2</v>
      </c>
      <c r="AF318" s="3">
        <f t="shared" si="300"/>
        <v>1.0615578219420213E-2</v>
      </c>
      <c r="AG318" s="3"/>
      <c r="AH318" s="3"/>
    </row>
    <row r="319" spans="1:34" x14ac:dyDescent="0.25">
      <c r="A319" s="79">
        <f>AVERAGE(B319:AF319)</f>
        <v>1.1843576681821722E-3</v>
      </c>
      <c r="B319" s="80">
        <f>IF($A$64&lt;=B285,IF($B$64&gt;=B285,ABS((B287-B286)/B286),0),0)</f>
        <v>8.7812230618200624E-3</v>
      </c>
      <c r="C319" s="80">
        <f t="shared" ref="C319:AF319" si="301">IF($A$64&lt;=C285,IF($B$64&gt;=C285,ABS((C287-C286)/C286),0),0)</f>
        <v>1.1617688333542745E-2</v>
      </c>
      <c r="D319" s="80">
        <f t="shared" si="301"/>
        <v>3.2303408498240318E-3</v>
      </c>
      <c r="E319" s="80">
        <f t="shared" si="301"/>
        <v>4.759669201606594E-4</v>
      </c>
      <c r="F319" s="80">
        <f t="shared" si="301"/>
        <v>1.4878825639742818E-4</v>
      </c>
      <c r="G319" s="80">
        <f t="shared" si="301"/>
        <v>6.8649560286889773E-5</v>
      </c>
      <c r="H319" s="80">
        <f t="shared" si="301"/>
        <v>1.0162112417317621E-4</v>
      </c>
      <c r="I319" s="80">
        <f t="shared" si="301"/>
        <v>8.8562707318302585E-5</v>
      </c>
      <c r="J319" s="80">
        <f t="shared" si="301"/>
        <v>1.543485072337389E-4</v>
      </c>
      <c r="K319" s="80">
        <f t="shared" si="301"/>
        <v>2.1040685263443509E-5</v>
      </c>
      <c r="L319" s="80">
        <f t="shared" si="301"/>
        <v>2.9232138021900841E-4</v>
      </c>
      <c r="M319" s="80">
        <f t="shared" si="301"/>
        <v>6.070181542143447E-5</v>
      </c>
      <c r="N319" s="80">
        <f t="shared" si="301"/>
        <v>4.6335689896165181E-4</v>
      </c>
      <c r="O319" s="80">
        <f t="shared" si="301"/>
        <v>1.9141709157930115E-4</v>
      </c>
      <c r="P319" s="80">
        <f t="shared" si="301"/>
        <v>4.5154237100259657E-4</v>
      </c>
      <c r="Q319" s="80">
        <f t="shared" si="301"/>
        <v>9.2543640634508737E-5</v>
      </c>
      <c r="R319" s="80">
        <f t="shared" si="301"/>
        <v>5.3108619727442678E-4</v>
      </c>
      <c r="S319" s="80">
        <f t="shared" si="301"/>
        <v>4.3497809342307671E-4</v>
      </c>
      <c r="T319" s="80">
        <f t="shared" si="301"/>
        <v>6.241857020526393E-4</v>
      </c>
      <c r="U319" s="80">
        <f t="shared" si="301"/>
        <v>4.6036304856190345E-4</v>
      </c>
      <c r="V319" s="80">
        <f t="shared" si="301"/>
        <v>5.0017024090805075E-4</v>
      </c>
      <c r="W319" s="80">
        <f t="shared" si="301"/>
        <v>3.901145571330856E-4</v>
      </c>
      <c r="X319" s="80">
        <f t="shared" si="301"/>
        <v>7.7779886026850119E-4</v>
      </c>
      <c r="Y319" s="80">
        <f t="shared" si="301"/>
        <v>7.9131858485228764E-4</v>
      </c>
      <c r="Z319" s="80">
        <f t="shared" si="301"/>
        <v>1.1723648456244853E-3</v>
      </c>
      <c r="AA319" s="80">
        <f t="shared" si="301"/>
        <v>1.2596222961532703E-3</v>
      </c>
      <c r="AB319" s="80">
        <f t="shared" si="301"/>
        <v>1.3303779580208397E-3</v>
      </c>
      <c r="AC319" s="80">
        <f t="shared" si="301"/>
        <v>9.9982393752364677E-4</v>
      </c>
      <c r="AD319" s="80">
        <f t="shared" si="301"/>
        <v>5.2611957844338013E-4</v>
      </c>
      <c r="AE319" s="80">
        <f t="shared" si="301"/>
        <v>4.3854716689061278E-4</v>
      </c>
      <c r="AF319" s="80">
        <f t="shared" si="301"/>
        <v>2.3810344267815187E-4</v>
      </c>
    </row>
    <row r="320" spans="1:34" x14ac:dyDescent="0.25">
      <c r="B320" s="21">
        <f>(B287-B286)^2</f>
        <v>3608.2504433016438</v>
      </c>
      <c r="C320" s="21">
        <f t="shared" ref="C320:AF320" si="302">(C287-C286)^2</f>
        <v>5957.2516420977981</v>
      </c>
      <c r="D320" s="21">
        <f t="shared" si="302"/>
        <v>444.57487775900512</v>
      </c>
      <c r="E320" s="21">
        <f t="shared" si="302"/>
        <v>9.3169970180041837</v>
      </c>
      <c r="F320" s="21">
        <f t="shared" si="302"/>
        <v>0.87497772793115536</v>
      </c>
      <c r="G320" s="21">
        <f t="shared" si="302"/>
        <v>0.17833056891683566</v>
      </c>
      <c r="H320" s="21">
        <f t="shared" si="302"/>
        <v>0.37164988509113306</v>
      </c>
      <c r="I320" s="21">
        <f t="shared" si="302"/>
        <v>0.26697044265688996</v>
      </c>
      <c r="J320" s="21">
        <f t="shared" si="302"/>
        <v>0.76337903131147955</v>
      </c>
      <c r="K320" s="21">
        <f t="shared" si="302"/>
        <v>1.3395077390701331E-2</v>
      </c>
      <c r="L320" s="21">
        <f t="shared" si="302"/>
        <v>2.4149046072125122</v>
      </c>
      <c r="M320" s="21">
        <f t="shared" si="302"/>
        <v>9.5650055724074756E-2</v>
      </c>
      <c r="N320" s="21">
        <f t="shared" si="302"/>
        <v>5.0704416127828651</v>
      </c>
      <c r="O320" s="21">
        <f t="shared" si="302"/>
        <v>0.79356067760759885</v>
      </c>
      <c r="P320" s="21">
        <f t="shared" si="302"/>
        <v>4.0724129006474445</v>
      </c>
      <c r="Q320" s="21">
        <f t="shared" si="302"/>
        <v>0.1560037046933965</v>
      </c>
      <c r="R320" s="21">
        <f t="shared" si="302"/>
        <v>4.4605955005735591</v>
      </c>
      <c r="S320" s="21">
        <f t="shared" si="302"/>
        <v>2.2463602078693339</v>
      </c>
      <c r="T320" s="21">
        <f t="shared" si="302"/>
        <v>3.1410171507881093</v>
      </c>
      <c r="U320" s="21">
        <f t="shared" si="302"/>
        <v>1.1590507336524509</v>
      </c>
      <c r="V320" s="21">
        <f t="shared" si="302"/>
        <v>0.96137504284712172</v>
      </c>
      <c r="W320" s="21">
        <f t="shared" si="302"/>
        <v>0.41751498171059365</v>
      </c>
      <c r="X320" s="21">
        <f t="shared" si="302"/>
        <v>1.1641784548154492</v>
      </c>
      <c r="Y320" s="21">
        <f t="shared" si="302"/>
        <v>0.78563376723300427</v>
      </c>
      <c r="Z320" s="21">
        <f t="shared" si="302"/>
        <v>0.99139235797389635</v>
      </c>
      <c r="AA320" s="21">
        <f t="shared" si="302"/>
        <v>0.57504699619891875</v>
      </c>
      <c r="AB320" s="21">
        <f t="shared" si="302"/>
        <v>0.30416352054044876</v>
      </c>
      <c r="AC320" s="21">
        <f t="shared" si="302"/>
        <v>8.8038010608642067E-2</v>
      </c>
      <c r="AD320" s="21">
        <f t="shared" si="302"/>
        <v>1.5482664338281948E-2</v>
      </c>
      <c r="AE320" s="21">
        <f t="shared" si="302"/>
        <v>8.2128580699350473E-3</v>
      </c>
      <c r="AF320" s="21">
        <f t="shared" si="302"/>
        <v>2.0857340105959166E-3</v>
      </c>
      <c r="AG320" s="3"/>
      <c r="AH320" s="3"/>
    </row>
    <row r="321" spans="1:34" x14ac:dyDescent="0.25">
      <c r="A321" s="71">
        <f>SUM(B321:AF321)</f>
        <v>10050.785784449652</v>
      </c>
      <c r="B321" s="60">
        <f>IF($A$64&lt;=B285,IF($B$64&gt;=B285,ABS(B320),0),0)</f>
        <v>3608.2504433016438</v>
      </c>
      <c r="C321" s="60">
        <f t="shared" ref="C321" si="303">IF($A$64&lt;=C285,IF($B$64&gt;=C285,ABS(C320),0),0)</f>
        <v>5957.2516420977981</v>
      </c>
      <c r="D321" s="60">
        <f t="shared" ref="D321" si="304">IF($A$64&lt;=D285,IF($B$64&gt;=D285,ABS(D320),0),0)</f>
        <v>444.57487775900512</v>
      </c>
      <c r="E321" s="60">
        <f t="shared" ref="E321" si="305">IF($A$64&lt;=E285,IF($B$64&gt;=E285,ABS(E320),0),0)</f>
        <v>9.3169970180041837</v>
      </c>
      <c r="F321" s="60">
        <f t="shared" ref="F321" si="306">IF($A$64&lt;=F285,IF($B$64&gt;=F285,ABS(F320),0),0)</f>
        <v>0.87497772793115536</v>
      </c>
      <c r="G321" s="60">
        <f t="shared" ref="G321" si="307">IF($A$64&lt;=G285,IF($B$64&gt;=G285,ABS(G320),0),0)</f>
        <v>0.17833056891683566</v>
      </c>
      <c r="H321" s="60">
        <f t="shared" ref="H321" si="308">IF($A$64&lt;=H285,IF($B$64&gt;=H285,ABS(H320),0),0)</f>
        <v>0.37164988509113306</v>
      </c>
      <c r="I321" s="60">
        <f t="shared" ref="I321" si="309">IF($A$64&lt;=I285,IF($B$64&gt;=I285,ABS(I320),0),0)</f>
        <v>0.26697044265688996</v>
      </c>
      <c r="J321" s="60">
        <f t="shared" ref="J321" si="310">IF($A$64&lt;=J285,IF($B$64&gt;=J285,ABS(J320),0),0)</f>
        <v>0.76337903131147955</v>
      </c>
      <c r="K321" s="60">
        <f t="shared" ref="K321" si="311">IF($A$64&lt;=K285,IF($B$64&gt;=K285,ABS(K320),0),0)</f>
        <v>1.3395077390701331E-2</v>
      </c>
      <c r="L321" s="60">
        <f t="shared" ref="L321" si="312">IF($A$64&lt;=L285,IF($B$64&gt;=L285,ABS(L320),0),0)</f>
        <v>2.4149046072125122</v>
      </c>
      <c r="M321" s="60">
        <f t="shared" ref="M321" si="313">IF($A$64&lt;=M285,IF($B$64&gt;=M285,ABS(M320),0),0)</f>
        <v>9.5650055724074756E-2</v>
      </c>
      <c r="N321" s="60">
        <f t="shared" ref="N321" si="314">IF($A$64&lt;=N285,IF($B$64&gt;=N285,ABS(N320),0),0)</f>
        <v>5.0704416127828651</v>
      </c>
      <c r="O321" s="60">
        <f t="shared" ref="O321" si="315">IF($A$64&lt;=O285,IF($B$64&gt;=O285,ABS(O320),0),0)</f>
        <v>0.79356067760759885</v>
      </c>
      <c r="P321" s="60">
        <f t="shared" ref="P321" si="316">IF($A$64&lt;=P285,IF($B$64&gt;=P285,ABS(P320),0),0)</f>
        <v>4.0724129006474445</v>
      </c>
      <c r="Q321" s="60">
        <f t="shared" ref="Q321" si="317">IF($A$64&lt;=Q285,IF($B$64&gt;=Q285,ABS(Q320),0),0)</f>
        <v>0.1560037046933965</v>
      </c>
      <c r="R321" s="60">
        <f t="shared" ref="R321" si="318">IF($A$64&lt;=R285,IF($B$64&gt;=R285,ABS(R320),0),0)</f>
        <v>4.4605955005735591</v>
      </c>
      <c r="S321" s="60">
        <f t="shared" ref="S321" si="319">IF($A$64&lt;=S285,IF($B$64&gt;=S285,ABS(S320),0),0)</f>
        <v>2.2463602078693339</v>
      </c>
      <c r="T321" s="60">
        <f t="shared" ref="T321" si="320">IF($A$64&lt;=T285,IF($B$64&gt;=T285,ABS(T320),0),0)</f>
        <v>3.1410171507881093</v>
      </c>
      <c r="U321" s="60">
        <f t="shared" ref="U321" si="321">IF($A$64&lt;=U285,IF($B$64&gt;=U285,ABS(U320),0),0)</f>
        <v>1.1590507336524509</v>
      </c>
      <c r="V321" s="60">
        <f t="shared" ref="V321" si="322">IF($A$64&lt;=V285,IF($B$64&gt;=V285,ABS(V320),0),0)</f>
        <v>0.96137504284712172</v>
      </c>
      <c r="W321" s="60">
        <f t="shared" ref="W321" si="323">IF($A$64&lt;=W285,IF($B$64&gt;=W285,ABS(W320),0),0)</f>
        <v>0.41751498171059365</v>
      </c>
      <c r="X321" s="60">
        <f t="shared" ref="X321" si="324">IF($A$64&lt;=X285,IF($B$64&gt;=X285,ABS(X320),0),0)</f>
        <v>1.1641784548154492</v>
      </c>
      <c r="Y321" s="60">
        <f t="shared" ref="Y321" si="325">IF($A$64&lt;=Y285,IF($B$64&gt;=Y285,ABS(Y320),0),0)</f>
        <v>0.78563376723300427</v>
      </c>
      <c r="Z321" s="60">
        <f t="shared" ref="Z321" si="326">IF($A$64&lt;=Z285,IF($B$64&gt;=Z285,ABS(Z320),0),0)</f>
        <v>0.99139235797389635</v>
      </c>
      <c r="AA321" s="60">
        <f t="shared" ref="AA321" si="327">IF($A$64&lt;=AA285,IF($B$64&gt;=AA285,ABS(AA320),0),0)</f>
        <v>0.57504699619891875</v>
      </c>
      <c r="AB321" s="60">
        <f t="shared" ref="AB321" si="328">IF($A$64&lt;=AB285,IF($B$64&gt;=AB285,ABS(AB320),0),0)</f>
        <v>0.30416352054044876</v>
      </c>
      <c r="AC321" s="60">
        <f t="shared" ref="AC321" si="329">IF($A$64&lt;=AC285,IF($B$64&gt;=AC285,ABS(AC320),0),0)</f>
        <v>8.8038010608642067E-2</v>
      </c>
      <c r="AD321" s="60">
        <f t="shared" ref="AD321" si="330">IF($A$64&lt;=AD285,IF($B$64&gt;=AD285,ABS(AD320),0),0)</f>
        <v>1.5482664338281948E-2</v>
      </c>
      <c r="AE321" s="60">
        <f t="shared" ref="AE321" si="331">IF($A$64&lt;=AE285,IF($B$64&gt;=AE285,ABS(AE320),0),0)</f>
        <v>8.2128580699350473E-3</v>
      </c>
      <c r="AF321" s="60">
        <f t="shared" ref="AF321" si="332">IF($A$64&lt;=AF285,IF($B$64&gt;=AF285,ABS(AF320),0),0)</f>
        <v>2.0857340105959166E-3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6097.3224696704829</v>
      </c>
      <c r="C326" s="27">
        <f t="shared" ref="C326:AF326" si="333">($C$17+SUM(C327:C357))*$B$51</f>
        <v>5937.2887665991111</v>
      </c>
      <c r="D326" s="27">
        <f t="shared" si="333"/>
        <v>5766.7421568166083</v>
      </c>
      <c r="E326" s="27">
        <f t="shared" si="333"/>
        <v>5592.4522681771869</v>
      </c>
      <c r="F326" s="27">
        <f t="shared" si="333"/>
        <v>5431.9897253992485</v>
      </c>
      <c r="G326" s="27">
        <f t="shared" si="333"/>
        <v>5225.7942187673971</v>
      </c>
      <c r="H326" s="27">
        <f t="shared" si="333"/>
        <v>4995.6408687197909</v>
      </c>
      <c r="I326" s="27">
        <f t="shared" si="333"/>
        <v>4757.5688970050096</v>
      </c>
      <c r="J326" s="27">
        <f t="shared" si="333"/>
        <v>4580.6371924443192</v>
      </c>
      <c r="K326" s="27">
        <f t="shared" si="333"/>
        <v>4376.6461630668991</v>
      </c>
      <c r="L326" s="27">
        <f t="shared" si="333"/>
        <v>4179.0966433056337</v>
      </c>
      <c r="M326" s="27">
        <f t="shared" si="333"/>
        <v>3770.0373311615012</v>
      </c>
      <c r="N326" s="27">
        <f t="shared" si="333"/>
        <v>3185.1343054519893</v>
      </c>
      <c r="O326" s="27">
        <f t="shared" si="333"/>
        <v>2623.1281759946869</v>
      </c>
      <c r="P326" s="27">
        <f t="shared" si="333"/>
        <v>2184.5857498646606</v>
      </c>
      <c r="Q326" s="27">
        <f t="shared" si="333"/>
        <v>1834.5387806134459</v>
      </c>
      <c r="R326" s="27">
        <f t="shared" si="333"/>
        <v>1573.3058720110746</v>
      </c>
      <c r="S326" s="27">
        <f t="shared" si="333"/>
        <v>1266.8334300938507</v>
      </c>
      <c r="T326" s="27">
        <f t="shared" si="333"/>
        <v>1010.2307322357334</v>
      </c>
      <c r="U326" s="27">
        <f t="shared" si="333"/>
        <v>733.1275009885195</v>
      </c>
      <c r="V326" s="27">
        <f t="shared" si="333"/>
        <v>514.08968200131449</v>
      </c>
      <c r="W326" s="27">
        <f t="shared" si="333"/>
        <v>351.57803533956309</v>
      </c>
      <c r="X326" s="27">
        <f t="shared" si="333"/>
        <v>265.3324751200974</v>
      </c>
      <c r="Y326" s="27">
        <f t="shared" si="333"/>
        <v>219.9974616237385</v>
      </c>
      <c r="Z326" s="27">
        <f t="shared" si="333"/>
        <v>199.38538277416114</v>
      </c>
      <c r="AA326" s="27">
        <f t="shared" si="333"/>
        <v>181.55836511867437</v>
      </c>
      <c r="AB326" s="27">
        <f t="shared" si="333"/>
        <v>124.36464827809438</v>
      </c>
      <c r="AC326" s="27">
        <f t="shared" si="333"/>
        <v>117.52648638695258</v>
      </c>
      <c r="AD326" s="27">
        <f t="shared" si="333"/>
        <v>117.52648638563295</v>
      </c>
      <c r="AE326" s="27">
        <f t="shared" si="333"/>
        <v>117.52648638563295</v>
      </c>
      <c r="AF326" s="27">
        <f t="shared" si="333"/>
        <v>117.52648638563295</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3.2241576386582611E-252</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6.6400080463765723E-25</v>
      </c>
      <c r="C330" s="3">
        <f t="shared" si="337"/>
        <v>2.1224350609337055E-227</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1.8052724983364708E-4</v>
      </c>
      <c r="C331" s="3">
        <f t="shared" si="338"/>
        <v>9.7674011095690343E-23</v>
      </c>
      <c r="D331" s="3">
        <f t="shared" si="338"/>
        <v>2.0996243003446322E-205</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1.5250001077588308E-2</v>
      </c>
      <c r="C332" s="3">
        <f t="shared" si="339"/>
        <v>3.4312773216829326E-4</v>
      </c>
      <c r="D332" s="3">
        <f t="shared" si="339"/>
        <v>1.1410778499552064E-20</v>
      </c>
      <c r="E332" s="3">
        <f t="shared" si="339"/>
        <v>1.8875993867664675E-185</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2.3817583926163371E-2</v>
      </c>
      <c r="C333" s="3">
        <f t="shared" si="340"/>
        <v>1.6914188567755072E-2</v>
      </c>
      <c r="D333" s="3">
        <f t="shared" si="340"/>
        <v>5.5180522180924626E-4</v>
      </c>
      <c r="E333" s="3">
        <f t="shared" si="340"/>
        <v>7.5358489595882732E-19</v>
      </c>
      <c r="F333" s="3">
        <f t="shared" si="340"/>
        <v>1.7005757400453408E-167</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2.7239805974032069E-2</v>
      </c>
      <c r="C334" s="3">
        <f t="shared" si="341"/>
        <v>2.6411608776540502E-2</v>
      </c>
      <c r="D334" s="3">
        <f t="shared" si="341"/>
        <v>1.9395604233741166E-2</v>
      </c>
      <c r="E334" s="3">
        <f t="shared" si="341"/>
        <v>8.84683434323856E-4</v>
      </c>
      <c r="F334" s="3">
        <f t="shared" si="341"/>
        <v>3.4485276251693235E-17</v>
      </c>
      <c r="G334" s="3">
        <f t="shared" si="341"/>
        <v>2.7931345113233046E-151</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2.1336141399960443E-2</v>
      </c>
      <c r="C335" s="3">
        <f t="shared" si="342"/>
        <v>2.1276797664937855E-2</v>
      </c>
      <c r="D335" s="3">
        <f t="shared" si="342"/>
        <v>2.0692363118905151E-2</v>
      </c>
      <c r="E335" s="3">
        <f t="shared" si="342"/>
        <v>1.566204130201166E-2</v>
      </c>
      <c r="F335" s="3">
        <f t="shared" si="342"/>
        <v>9.6656508667066659E-4</v>
      </c>
      <c r="G335" s="3">
        <f t="shared" si="342"/>
        <v>7.7456611529626657E-16</v>
      </c>
      <c r="H335" s="3">
        <f t="shared" si="342"/>
        <v>8.4592604414160575E-137</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3.0212255540471619E-2</v>
      </c>
      <c r="C336" s="3">
        <f t="shared" si="343"/>
        <v>3.0204665591660924E-2</v>
      </c>
      <c r="D336" s="3">
        <f t="shared" si="343"/>
        <v>3.0128870895996612E-2</v>
      </c>
      <c r="E336" s="3">
        <f t="shared" si="343"/>
        <v>2.9381306416255162E-2</v>
      </c>
      <c r="F336" s="3">
        <f t="shared" si="343"/>
        <v>2.2853544255820406E-2</v>
      </c>
      <c r="G336" s="3">
        <f t="shared" si="343"/>
        <v>1.8525850821169056E-3</v>
      </c>
      <c r="H336" s="3">
        <f t="shared" si="343"/>
        <v>2.2699911495162756E-14</v>
      </c>
      <c r="I336" s="3">
        <f t="shared" si="343"/>
        <v>1.7317459366351001E-123</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3.3824303126177485E-2</v>
      </c>
      <c r="C337" s="3">
        <f t="shared" si="344"/>
        <v>3.3823536505053181E-2</v>
      </c>
      <c r="D337" s="3">
        <f t="shared" si="344"/>
        <v>3.381587124938755E-2</v>
      </c>
      <c r="E337" s="3">
        <f t="shared" si="344"/>
        <v>3.3739314170383665E-2</v>
      </c>
      <c r="F337" s="3">
        <f t="shared" si="344"/>
        <v>3.2983211560453897E-2</v>
      </c>
      <c r="G337" s="3">
        <f t="shared" si="344"/>
        <v>2.6294192716159879E-2</v>
      </c>
      <c r="H337" s="3">
        <f t="shared" si="344"/>
        <v>2.7260188458326094E-3</v>
      </c>
      <c r="I337" s="3">
        <f t="shared" si="344"/>
        <v>3.9103801229045328E-13</v>
      </c>
      <c r="J337" s="3">
        <f t="shared" si="344"/>
        <v>1.4425145547906586E-111</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3.8791788718178559E-2</v>
      </c>
      <c r="C338" s="3">
        <f t="shared" si="345"/>
        <v>3.8791709405466855E-2</v>
      </c>
      <c r="D338" s="3">
        <f t="shared" si="345"/>
        <v>3.8790916287268544E-2</v>
      </c>
      <c r="E338" s="3">
        <f t="shared" si="345"/>
        <v>3.8782985997096737E-2</v>
      </c>
      <c r="F338" s="3">
        <f t="shared" si="345"/>
        <v>3.8703772209079196E-2</v>
      </c>
      <c r="G338" s="3">
        <f t="shared" si="345"/>
        <v>3.792047865212253E-2</v>
      </c>
      <c r="H338" s="3">
        <f t="shared" si="345"/>
        <v>3.0908573841148784E-2</v>
      </c>
      <c r="I338" s="3">
        <f t="shared" si="345"/>
        <v>4.0006497128326811E-3</v>
      </c>
      <c r="J338" s="3">
        <f t="shared" si="345"/>
        <v>5.2801484583401238E-12</v>
      </c>
      <c r="K338" s="3">
        <f t="shared" si="345"/>
        <v>8.4684162218575066E-101</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2.3183983811243185E-2</v>
      </c>
      <c r="C339" s="3">
        <f t="shared" si="346"/>
        <v>2.3183979535239676E-2</v>
      </c>
      <c r="D339" s="3">
        <f t="shared" si="346"/>
        <v>2.3183936775247983E-2</v>
      </c>
      <c r="E339" s="3">
        <f t="shared" si="346"/>
        <v>2.3183509179668629E-2</v>
      </c>
      <c r="F339" s="3">
        <f t="shared" si="346"/>
        <v>2.31792336576035E-2</v>
      </c>
      <c r="G339" s="3">
        <f t="shared" si="346"/>
        <v>2.3136521780211229E-2</v>
      </c>
      <c r="H339" s="3">
        <f t="shared" si="346"/>
        <v>2.2713707899241521E-2</v>
      </c>
      <c r="I339" s="3">
        <f t="shared" si="346"/>
        <v>1.8888075069812674E-2</v>
      </c>
      <c r="J339" s="3">
        <f t="shared" si="346"/>
        <v>2.9866500428111314E-3</v>
      </c>
      <c r="K339" s="3">
        <f t="shared" si="346"/>
        <v>2.9184396195071698E-11</v>
      </c>
      <c r="L339" s="3">
        <f t="shared" si="346"/>
        <v>2.3164048252660128E-91</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3.3195679359677516E-2</v>
      </c>
      <c r="C340" s="3">
        <f t="shared" si="347"/>
        <v>3.3195678807373528E-2</v>
      </c>
      <c r="D340" s="3">
        <f t="shared" si="347"/>
        <v>3.319567328433419E-2</v>
      </c>
      <c r="E340" s="3">
        <f t="shared" si="347"/>
        <v>3.3195618053991349E-2</v>
      </c>
      <c r="F340" s="3">
        <f t="shared" si="347"/>
        <v>3.3195065755616926E-2</v>
      </c>
      <c r="G340" s="3">
        <f t="shared" si="347"/>
        <v>3.3189543277240781E-2</v>
      </c>
      <c r="H340" s="3">
        <f t="shared" si="347"/>
        <v>3.3134368999187931E-2</v>
      </c>
      <c r="I340" s="3">
        <f t="shared" si="347"/>
        <v>3.2587645836111463E-2</v>
      </c>
      <c r="J340" s="3">
        <f t="shared" si="347"/>
        <v>2.7592803027835733E-2</v>
      </c>
      <c r="K340" s="3">
        <f t="shared" si="347"/>
        <v>5.2266588085264987E-3</v>
      </c>
      <c r="L340" s="3">
        <f t="shared" si="347"/>
        <v>3.1081892222772908E-10</v>
      </c>
      <c r="M340" s="3">
        <f t="shared" si="347"/>
        <v>1.719255590554923E-82</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2.0384424346344476E-2</v>
      </c>
      <c r="C341" s="3">
        <f t="shared" si="348"/>
        <v>2.0384424315750094E-2</v>
      </c>
      <c r="D341" s="3">
        <f t="shared" si="348"/>
        <v>2.0384424009806293E-2</v>
      </c>
      <c r="E341" s="3">
        <f t="shared" si="348"/>
        <v>2.0384420950368541E-2</v>
      </c>
      <c r="F341" s="3">
        <f t="shared" si="348"/>
        <v>2.0384390356016264E-2</v>
      </c>
      <c r="G341" s="3">
        <f t="shared" si="348"/>
        <v>2.0384084415018981E-2</v>
      </c>
      <c r="H341" s="3">
        <f t="shared" si="348"/>
        <v>2.038102525758069E-2</v>
      </c>
      <c r="I341" s="3">
        <f t="shared" si="348"/>
        <v>2.0350458922632295E-2</v>
      </c>
      <c r="J341" s="3">
        <f t="shared" si="348"/>
        <v>2.0047305556677122E-2</v>
      </c>
      <c r="K341" s="3">
        <f t="shared" si="348"/>
        <v>1.7253373896994693E-2</v>
      </c>
      <c r="L341" s="3">
        <f t="shared" si="348"/>
        <v>3.8463984894919197E-3</v>
      </c>
      <c r="M341" s="3">
        <f t="shared" si="348"/>
        <v>1.1664246523339784E-9</v>
      </c>
      <c r="N341" s="3">
        <f t="shared" si="348"/>
        <v>7.6715096232498796E-75</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6.6925069364997716E-2</v>
      </c>
      <c r="C342" s="3">
        <f t="shared" si="349"/>
        <v>6.6925069355936659E-2</v>
      </c>
      <c r="D342" s="3">
        <f t="shared" si="349"/>
        <v>6.692506926532614E-2</v>
      </c>
      <c r="E342" s="3">
        <f t="shared" si="349"/>
        <v>6.6925068359220935E-2</v>
      </c>
      <c r="F342" s="3">
        <f t="shared" si="349"/>
        <v>6.6925059298169512E-2</v>
      </c>
      <c r="G342" s="3">
        <f t="shared" si="349"/>
        <v>6.6924968687722824E-2</v>
      </c>
      <c r="H342" s="3">
        <f t="shared" si="349"/>
        <v>6.6924062590003289E-2</v>
      </c>
      <c r="I342" s="3">
        <f t="shared" si="349"/>
        <v>6.6915002287502023E-2</v>
      </c>
      <c r="J342" s="3">
        <f t="shared" si="349"/>
        <v>6.6824466698118506E-2</v>
      </c>
      <c r="K342" s="3">
        <f t="shared" si="349"/>
        <v>6.5925820707539551E-2</v>
      </c>
      <c r="L342" s="3">
        <f t="shared" si="349"/>
        <v>5.7577921089314421E-2</v>
      </c>
      <c r="M342" s="3">
        <f t="shared" si="349"/>
        <v>1.4868266327118181E-2</v>
      </c>
      <c r="N342" s="3">
        <f t="shared" si="349"/>
        <v>1.9602156300751961E-8</v>
      </c>
      <c r="O342" s="3">
        <f t="shared" si="349"/>
        <v>3.1098468927642267E-67</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9.6671799143375037E-2</v>
      </c>
      <c r="C343" s="3">
        <f t="shared" si="350"/>
        <v>9.6671799142194342E-2</v>
      </c>
      <c r="D343" s="3">
        <f t="shared" si="350"/>
        <v>9.667179913038744E-2</v>
      </c>
      <c r="E343" s="3">
        <f t="shared" si="350"/>
        <v>9.6671799012318357E-2</v>
      </c>
      <c r="F343" s="3">
        <f t="shared" si="350"/>
        <v>9.6671797831627521E-2</v>
      </c>
      <c r="G343" s="3">
        <f t="shared" si="350"/>
        <v>9.6671786024720041E-2</v>
      </c>
      <c r="H343" s="3">
        <f t="shared" si="350"/>
        <v>9.6671667955724447E-2</v>
      </c>
      <c r="I343" s="3">
        <f t="shared" si="350"/>
        <v>9.6670487273699632E-2</v>
      </c>
      <c r="J343" s="3">
        <f t="shared" si="350"/>
        <v>9.6658681246525102E-2</v>
      </c>
      <c r="K343" s="3">
        <f t="shared" si="350"/>
        <v>9.6540700246308245E-2</v>
      </c>
      <c r="L343" s="3">
        <f t="shared" si="350"/>
        <v>9.5368781691259799E-2</v>
      </c>
      <c r="M343" s="3">
        <f t="shared" si="350"/>
        <v>8.4404215090345777E-2</v>
      </c>
      <c r="N343" s="3">
        <f t="shared" si="350"/>
        <v>2.4885315098528975E-2</v>
      </c>
      <c r="O343" s="3">
        <f t="shared" si="350"/>
        <v>1.2351884737171634E-7</v>
      </c>
      <c r="P343" s="3">
        <f t="shared" si="350"/>
        <v>1.1210735139191431E-60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8.3708796522482656E-2</v>
      </c>
      <c r="C344" s="3">
        <f t="shared" si="351"/>
        <v>8.3708796522390438E-2</v>
      </c>
      <c r="D344" s="3">
        <f t="shared" si="351"/>
        <v>8.3708796521468176E-2</v>
      </c>
      <c r="E344" s="3">
        <f t="shared" si="351"/>
        <v>8.3708796512245567E-2</v>
      </c>
      <c r="F344" s="3">
        <f t="shared" si="351"/>
        <v>8.370879642001941E-2</v>
      </c>
      <c r="G344" s="3">
        <f t="shared" si="351"/>
        <v>8.3708795497757907E-2</v>
      </c>
      <c r="H344" s="3">
        <f t="shared" si="351"/>
        <v>8.3708786275143499E-2</v>
      </c>
      <c r="I344" s="3">
        <f t="shared" si="351"/>
        <v>8.3708694049055302E-2</v>
      </c>
      <c r="J344" s="3">
        <f t="shared" si="351"/>
        <v>8.3707771793761848E-2</v>
      </c>
      <c r="K344" s="3">
        <f t="shared" si="351"/>
        <v>8.3698549799657754E-2</v>
      </c>
      <c r="L344" s="3">
        <f t="shared" si="351"/>
        <v>8.3606385718890397E-2</v>
      </c>
      <c r="M344" s="3">
        <f t="shared" si="351"/>
        <v>8.269030823423916E-2</v>
      </c>
      <c r="N344" s="3">
        <f t="shared" si="351"/>
        <v>7.4063839908464546E-2</v>
      </c>
      <c r="O344" s="3">
        <f t="shared" si="351"/>
        <v>2.4610609173282293E-2</v>
      </c>
      <c r="P344" s="3">
        <f t="shared" si="351"/>
        <v>4.0390920771689973E-7</v>
      </c>
      <c r="Q344" s="3">
        <f t="shared" si="351"/>
        <v>5.7266106090297482E-55</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5.9251655732023165E-2</v>
      </c>
      <c r="C345" s="3">
        <f t="shared" si="352"/>
        <v>5.9251655732017273E-2</v>
      </c>
      <c r="D345" s="3">
        <f t="shared" si="352"/>
        <v>5.9251655731958383E-2</v>
      </c>
      <c r="E345" s="3">
        <f t="shared" si="352"/>
        <v>5.9251655731369507E-2</v>
      </c>
      <c r="F345" s="3">
        <f t="shared" si="352"/>
        <v>5.9251655725480655E-2</v>
      </c>
      <c r="G345" s="3">
        <f t="shared" si="352"/>
        <v>5.9251655666592212E-2</v>
      </c>
      <c r="H345" s="3">
        <f t="shared" si="352"/>
        <v>5.9251655077707799E-2</v>
      </c>
      <c r="I345" s="3">
        <f t="shared" si="352"/>
        <v>5.9251649188863963E-2</v>
      </c>
      <c r="J345" s="3">
        <f t="shared" si="352"/>
        <v>5.9251590300457742E-2</v>
      </c>
      <c r="K345" s="3">
        <f t="shared" si="352"/>
        <v>5.9251001419614618E-2</v>
      </c>
      <c r="L345" s="3">
        <f t="shared" si="352"/>
        <v>5.9245112933071144E-2</v>
      </c>
      <c r="M345" s="3">
        <f t="shared" si="352"/>
        <v>5.9186260244587646E-2</v>
      </c>
      <c r="N345" s="3">
        <f t="shared" si="352"/>
        <v>5.8600939253771273E-2</v>
      </c>
      <c r="O345" s="3">
        <f t="shared" si="352"/>
        <v>5.305683654183032E-2</v>
      </c>
      <c r="P345" s="3">
        <f t="shared" si="352"/>
        <v>1.9638535739830921E-2</v>
      </c>
      <c r="Q345" s="3">
        <f t="shared" si="352"/>
        <v>9.4795258883590868E-7</v>
      </c>
      <c r="R345" s="3">
        <f t="shared" si="352"/>
        <v>6.5097116583992697E-50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5.2327746974864739E-2</v>
      </c>
      <c r="C346" s="3">
        <f t="shared" si="353"/>
        <v>5.2327746974864274E-2</v>
      </c>
      <c r="D346" s="3">
        <f t="shared" si="353"/>
        <v>5.2327746974859583E-2</v>
      </c>
      <c r="E346" s="3">
        <f t="shared" si="353"/>
        <v>5.2327746974812663E-2</v>
      </c>
      <c r="F346" s="3">
        <f t="shared" si="353"/>
        <v>5.2327746974343524E-2</v>
      </c>
      <c r="G346" s="3">
        <f t="shared" si="353"/>
        <v>5.2327746969652054E-2</v>
      </c>
      <c r="H346" s="3">
        <f t="shared" si="353"/>
        <v>5.2327746922737436E-2</v>
      </c>
      <c r="I346" s="3">
        <f t="shared" si="353"/>
        <v>5.2327746453591242E-2</v>
      </c>
      <c r="J346" s="3">
        <f t="shared" si="353"/>
        <v>5.232774176212953E-2</v>
      </c>
      <c r="K346" s="3">
        <f t="shared" si="353"/>
        <v>5.2327694847535494E-2</v>
      </c>
      <c r="L346" s="3">
        <f t="shared" si="353"/>
        <v>5.232722570390852E-2</v>
      </c>
      <c r="M346" s="3">
        <f t="shared" si="353"/>
        <v>5.232253449896835E-2</v>
      </c>
      <c r="N346" s="3">
        <f t="shared" si="353"/>
        <v>5.2275645574846132E-2</v>
      </c>
      <c r="O346" s="3">
        <f t="shared" si="353"/>
        <v>5.1809061208714827E-2</v>
      </c>
      <c r="P346" s="3">
        <f t="shared" si="353"/>
        <v>4.7366239128477254E-2</v>
      </c>
      <c r="Q346" s="3">
        <f t="shared" si="353"/>
        <v>1.9324163642730055E-2</v>
      </c>
      <c r="R346" s="3">
        <f t="shared" si="353"/>
        <v>2.4684182026419545E-6</v>
      </c>
      <c r="S346" s="3">
        <f t="shared" si="353"/>
        <v>2.8549537561078134E-45</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1.7967891452015793E-2</v>
      </c>
      <c r="C347" s="3">
        <f t="shared" si="354"/>
        <v>1.7967891452015779E-2</v>
      </c>
      <c r="D347" s="3">
        <f t="shared" si="354"/>
        <v>1.7967891452015633E-2</v>
      </c>
      <c r="E347" s="3">
        <f t="shared" si="354"/>
        <v>1.7967891452014183E-2</v>
      </c>
      <c r="F347" s="3">
        <f t="shared" si="354"/>
        <v>1.7967891451999649E-2</v>
      </c>
      <c r="G347" s="3">
        <f t="shared" si="354"/>
        <v>1.7967891451854331E-2</v>
      </c>
      <c r="H347" s="3">
        <f t="shared" si="354"/>
        <v>1.796789145040115E-2</v>
      </c>
      <c r="I347" s="3">
        <f t="shared" si="354"/>
        <v>1.7967891435869333E-2</v>
      </c>
      <c r="J347" s="3">
        <f t="shared" si="354"/>
        <v>1.796789129055118E-2</v>
      </c>
      <c r="K347" s="3">
        <f t="shared" si="354"/>
        <v>1.7967889837369719E-2</v>
      </c>
      <c r="L347" s="3">
        <f t="shared" si="354"/>
        <v>1.796787530556156E-2</v>
      </c>
      <c r="M347" s="3">
        <f t="shared" si="354"/>
        <v>1.7967729988126364E-2</v>
      </c>
      <c r="N347" s="3">
        <f t="shared" si="354"/>
        <v>1.7966276878412849E-2</v>
      </c>
      <c r="O347" s="3">
        <f t="shared" si="354"/>
        <v>1.7951752243187982E-2</v>
      </c>
      <c r="P347" s="3">
        <f t="shared" si="354"/>
        <v>1.7807150152460986E-2</v>
      </c>
      <c r="Q347" s="3">
        <f t="shared" si="354"/>
        <v>1.6423668486956779E-2</v>
      </c>
      <c r="R347" s="3">
        <f t="shared" si="354"/>
        <v>7.3152245943822547E-3</v>
      </c>
      <c r="S347" s="3">
        <f t="shared" si="354"/>
        <v>2.2480326152479953E-6</v>
      </c>
      <c r="T347" s="3">
        <f t="shared" si="354"/>
        <v>1.6886982024331847E-41</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4.123109123431553E-2</v>
      </c>
      <c r="C348" s="3">
        <f t="shared" si="355"/>
        <v>4.1231091234315523E-2</v>
      </c>
      <c r="D348" s="3">
        <f t="shared" si="355"/>
        <v>4.1231091234315426E-2</v>
      </c>
      <c r="E348" s="3">
        <f t="shared" si="355"/>
        <v>4.1231091234314503E-2</v>
      </c>
      <c r="F348" s="3">
        <f t="shared" si="355"/>
        <v>4.1231091234305281E-2</v>
      </c>
      <c r="G348" s="3">
        <f t="shared" si="355"/>
        <v>4.1231091234213056E-2</v>
      </c>
      <c r="H348" s="3">
        <f t="shared" si="355"/>
        <v>4.123109123329078E-2</v>
      </c>
      <c r="I348" s="3">
        <f t="shared" si="355"/>
        <v>4.1231091224068026E-2</v>
      </c>
      <c r="J348" s="3">
        <f t="shared" si="355"/>
        <v>4.1231091131840529E-2</v>
      </c>
      <c r="K348" s="3">
        <f t="shared" si="355"/>
        <v>4.1231090209565523E-2</v>
      </c>
      <c r="L348" s="3">
        <f t="shared" si="355"/>
        <v>4.1231080986816569E-2</v>
      </c>
      <c r="M348" s="3">
        <f t="shared" si="355"/>
        <v>4.1230988759440569E-2</v>
      </c>
      <c r="N348" s="3">
        <f t="shared" si="355"/>
        <v>4.123006649702679E-2</v>
      </c>
      <c r="O348" s="3">
        <f t="shared" si="355"/>
        <v>4.1220845007426482E-2</v>
      </c>
      <c r="P348" s="3">
        <f t="shared" si="355"/>
        <v>4.1128743471321338E-2</v>
      </c>
      <c r="Q348" s="3">
        <f t="shared" si="355"/>
        <v>4.0218970838482908E-2</v>
      </c>
      <c r="R348" s="3">
        <f t="shared" si="355"/>
        <v>3.2157780796700855E-2</v>
      </c>
      <c r="S348" s="3">
        <f t="shared" si="355"/>
        <v>3.4342921968935482E-3</v>
      </c>
      <c r="T348" s="3">
        <f t="shared" si="355"/>
        <v>6.627488287282764E-13</v>
      </c>
      <c r="U348" s="3">
        <f t="shared" si="355"/>
        <v>4.7475137005842423E-110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3.4610685556715946E-2</v>
      </c>
      <c r="C349" s="3">
        <f t="shared" si="356"/>
        <v>3.4610685556715946E-2</v>
      </c>
      <c r="D349" s="3">
        <f t="shared" si="356"/>
        <v>3.4610685556715939E-2</v>
      </c>
      <c r="E349" s="3">
        <f t="shared" si="356"/>
        <v>3.4610685556715863E-2</v>
      </c>
      <c r="F349" s="3">
        <f t="shared" si="356"/>
        <v>3.4610685556715086E-2</v>
      </c>
      <c r="G349" s="3">
        <f t="shared" si="356"/>
        <v>3.4610685556707342E-2</v>
      </c>
      <c r="H349" s="3">
        <f t="shared" si="356"/>
        <v>3.4610685556629925E-2</v>
      </c>
      <c r="I349" s="3">
        <f t="shared" si="356"/>
        <v>3.4610685555855739E-2</v>
      </c>
      <c r="J349" s="3">
        <f t="shared" si="356"/>
        <v>3.4610685548113869E-2</v>
      </c>
      <c r="K349" s="3">
        <f t="shared" si="356"/>
        <v>3.4610685470695179E-2</v>
      </c>
      <c r="L349" s="3">
        <f t="shared" si="356"/>
        <v>3.4610684696508291E-2</v>
      </c>
      <c r="M349" s="3">
        <f t="shared" si="356"/>
        <v>3.4610676954640339E-2</v>
      </c>
      <c r="N349" s="3">
        <f t="shared" si="356"/>
        <v>3.461059953605608E-2</v>
      </c>
      <c r="O349" s="3">
        <f t="shared" si="356"/>
        <v>3.4609825359737958E-2</v>
      </c>
      <c r="P349" s="3">
        <f t="shared" si="356"/>
        <v>3.4602084548923447E-2</v>
      </c>
      <c r="Q349" s="3">
        <f t="shared" si="356"/>
        <v>3.4524771598671657E-2</v>
      </c>
      <c r="R349" s="3">
        <f t="shared" si="356"/>
        <v>3.3761079598759944E-2</v>
      </c>
      <c r="S349" s="3">
        <f t="shared" si="356"/>
        <v>2.6994261030619759E-2</v>
      </c>
      <c r="T349" s="3">
        <f t="shared" si="356"/>
        <v>2.882853782866633E-3</v>
      </c>
      <c r="U349" s="3">
        <f t="shared" si="356"/>
        <v>5.5633238479764817E-13</v>
      </c>
      <c r="V349" s="3">
        <f t="shared" si="356"/>
        <v>3.9852135596733222E-110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4.2854236942630193E-2</v>
      </c>
      <c r="C350" s="3">
        <f t="shared" si="357"/>
        <v>4.2854236942630193E-2</v>
      </c>
      <c r="D350" s="3">
        <f t="shared" si="357"/>
        <v>4.2854236942630193E-2</v>
      </c>
      <c r="E350" s="3">
        <f t="shared" si="357"/>
        <v>4.2854236942630186E-2</v>
      </c>
      <c r="F350" s="3">
        <f t="shared" si="357"/>
        <v>4.2854236942630089E-2</v>
      </c>
      <c r="G350" s="3">
        <f t="shared" si="357"/>
        <v>4.2854236942629124E-2</v>
      </c>
      <c r="H350" s="3">
        <f t="shared" si="357"/>
        <v>4.2854236942619542E-2</v>
      </c>
      <c r="I350" s="3">
        <f t="shared" si="357"/>
        <v>4.2854236942523688E-2</v>
      </c>
      <c r="J350" s="3">
        <f t="shared" si="357"/>
        <v>4.2854236941565101E-2</v>
      </c>
      <c r="K350" s="3">
        <f t="shared" si="357"/>
        <v>4.2854236931979275E-2</v>
      </c>
      <c r="L350" s="3">
        <f t="shared" si="357"/>
        <v>4.2854236836121051E-2</v>
      </c>
      <c r="M350" s="3">
        <f t="shared" si="357"/>
        <v>4.2854235877538817E-2</v>
      </c>
      <c r="N350" s="3">
        <f t="shared" si="357"/>
        <v>4.2854226291717611E-2</v>
      </c>
      <c r="O350" s="3">
        <f t="shared" si="357"/>
        <v>4.2854130433623495E-2</v>
      </c>
      <c r="P350" s="3">
        <f t="shared" si="357"/>
        <v>4.2853171864475313E-2</v>
      </c>
      <c r="Q350" s="3">
        <f t="shared" si="357"/>
        <v>4.2843587352194283E-2</v>
      </c>
      <c r="R350" s="3">
        <f t="shared" si="357"/>
        <v>4.2747860051924692E-2</v>
      </c>
      <c r="S350" s="3">
        <f t="shared" si="357"/>
        <v>4.1802272370288697E-2</v>
      </c>
      <c r="T350" s="3">
        <f t="shared" si="357"/>
        <v>3.3423737198205128E-2</v>
      </c>
      <c r="U350" s="3">
        <f t="shared" si="357"/>
        <v>3.5694900893967403E-3</v>
      </c>
      <c r="V350" s="3">
        <f t="shared" si="357"/>
        <v>6.8883928340306229E-13</v>
      </c>
      <c r="W350" s="3">
        <f t="shared" si="357"/>
        <v>4.9344092266928249E-110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3.2192937025108795E-2</v>
      </c>
      <c r="C351" s="3">
        <f t="shared" si="358"/>
        <v>3.2192937025108795E-2</v>
      </c>
      <c r="D351" s="3">
        <f t="shared" si="358"/>
        <v>3.2192937025108795E-2</v>
      </c>
      <c r="E351" s="3">
        <f t="shared" si="358"/>
        <v>3.2192937025108795E-2</v>
      </c>
      <c r="F351" s="3">
        <f t="shared" si="358"/>
        <v>3.2192937025108788E-2</v>
      </c>
      <c r="G351" s="3">
        <f t="shared" si="358"/>
        <v>3.2192937025108719E-2</v>
      </c>
      <c r="H351" s="3">
        <f t="shared" si="358"/>
        <v>3.2192937025107997E-2</v>
      </c>
      <c r="I351" s="3">
        <f t="shared" si="358"/>
        <v>3.2192937025100794E-2</v>
      </c>
      <c r="J351" s="3">
        <f t="shared" si="358"/>
        <v>3.2192937025028782E-2</v>
      </c>
      <c r="K351" s="3">
        <f t="shared" si="358"/>
        <v>3.2192937024308678E-2</v>
      </c>
      <c r="L351" s="3">
        <f t="shared" si="358"/>
        <v>3.2192937017107619E-2</v>
      </c>
      <c r="M351" s="3">
        <f t="shared" si="358"/>
        <v>3.2192936945097055E-2</v>
      </c>
      <c r="N351" s="3">
        <f t="shared" si="358"/>
        <v>3.219293622499142E-2</v>
      </c>
      <c r="O351" s="3">
        <f t="shared" si="358"/>
        <v>3.2192929023935925E-2</v>
      </c>
      <c r="P351" s="3">
        <f t="shared" si="358"/>
        <v>3.2192857013469578E-2</v>
      </c>
      <c r="Q351" s="3">
        <f t="shared" si="358"/>
        <v>3.2192136917665211E-2</v>
      </c>
      <c r="R351" s="3">
        <f t="shared" si="358"/>
        <v>3.2184936845460151E-2</v>
      </c>
      <c r="S351" s="3">
        <f t="shared" si="358"/>
        <v>3.2113024633995783E-2</v>
      </c>
      <c r="T351" s="3">
        <f t="shared" si="358"/>
        <v>3.1402680760007816E-2</v>
      </c>
      <c r="U351" s="3">
        <f t="shared" si="358"/>
        <v>2.5108562035676366E-2</v>
      </c>
      <c r="V351" s="3">
        <f t="shared" si="358"/>
        <v>2.6814704416166517E-3</v>
      </c>
      <c r="W351" s="3">
        <f t="shared" si="358"/>
        <v>5.1746947917198893E-13</v>
      </c>
      <c r="X351" s="3">
        <f t="shared" si="358"/>
        <v>3.7068242681277396E-110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2.5751010749186929E-2</v>
      </c>
      <c r="C352" s="3">
        <f t="shared" si="359"/>
        <v>2.5751010749186929E-2</v>
      </c>
      <c r="D352" s="3">
        <f t="shared" si="359"/>
        <v>2.5751010749186929E-2</v>
      </c>
      <c r="E352" s="3">
        <f t="shared" si="359"/>
        <v>2.5751010749186929E-2</v>
      </c>
      <c r="F352" s="3">
        <f t="shared" si="359"/>
        <v>2.5751010749186929E-2</v>
      </c>
      <c r="G352" s="3">
        <f t="shared" si="359"/>
        <v>2.5751010749186922E-2</v>
      </c>
      <c r="H352" s="3">
        <f t="shared" si="359"/>
        <v>2.5751010749186867E-2</v>
      </c>
      <c r="I352" s="3">
        <f t="shared" si="359"/>
        <v>2.5751010749186287E-2</v>
      </c>
      <c r="J352" s="3">
        <f t="shared" si="359"/>
        <v>2.5751010749180528E-2</v>
      </c>
      <c r="K352" s="3">
        <f t="shared" si="359"/>
        <v>2.5751010749122928E-2</v>
      </c>
      <c r="L352" s="3">
        <f t="shared" si="359"/>
        <v>2.575101074854692E-2</v>
      </c>
      <c r="M352" s="3">
        <f t="shared" si="359"/>
        <v>2.5751010742786819E-2</v>
      </c>
      <c r="N352" s="3">
        <f t="shared" si="359"/>
        <v>2.5751010685185836E-2</v>
      </c>
      <c r="O352" s="3">
        <f t="shared" si="359"/>
        <v>2.5751010109176013E-2</v>
      </c>
      <c r="P352" s="3">
        <f t="shared" si="359"/>
        <v>2.5751004349078468E-2</v>
      </c>
      <c r="Q352" s="3">
        <f t="shared" si="359"/>
        <v>2.5750946748173915E-2</v>
      </c>
      <c r="R352" s="3">
        <f t="shared" si="359"/>
        <v>2.575037074621472E-2</v>
      </c>
      <c r="S352" s="3">
        <f t="shared" si="359"/>
        <v>2.5744611435201785E-2</v>
      </c>
      <c r="T352" s="3">
        <f t="shared" si="359"/>
        <v>2.5687089124361604E-2</v>
      </c>
      <c r="U352" s="3">
        <f t="shared" si="359"/>
        <v>2.5118887698054447E-2</v>
      </c>
      <c r="V352" s="3">
        <f t="shared" si="359"/>
        <v>2.0084245509287883E-2</v>
      </c>
      <c r="W352" s="3">
        <f t="shared" si="359"/>
        <v>2.1448982462159826E-3</v>
      </c>
      <c r="X352" s="3">
        <f t="shared" si="359"/>
        <v>4.1392191430502191E-13</v>
      </c>
      <c r="Y352" s="3">
        <f t="shared" si="359"/>
        <v>2.9650749634758371E-110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1.2586213635594824E-2</v>
      </c>
      <c r="C353" s="3">
        <f t="shared" si="360"/>
        <v>1.2586213635594824E-2</v>
      </c>
      <c r="D353" s="3">
        <f t="shared" si="360"/>
        <v>1.2586213635594824E-2</v>
      </c>
      <c r="E353" s="3">
        <f t="shared" si="360"/>
        <v>1.2586213635594824E-2</v>
      </c>
      <c r="F353" s="3">
        <f t="shared" si="360"/>
        <v>1.2586213635594824E-2</v>
      </c>
      <c r="G353" s="3">
        <f t="shared" si="360"/>
        <v>1.2586213635594824E-2</v>
      </c>
      <c r="H353" s="3">
        <f t="shared" si="360"/>
        <v>1.258621363559482E-2</v>
      </c>
      <c r="I353" s="3">
        <f t="shared" si="360"/>
        <v>1.2586213635594793E-2</v>
      </c>
      <c r="J353" s="3">
        <f t="shared" si="360"/>
        <v>1.2586213635594512E-2</v>
      </c>
      <c r="K353" s="3">
        <f t="shared" si="360"/>
        <v>1.2586213635591694E-2</v>
      </c>
      <c r="L353" s="3">
        <f t="shared" si="360"/>
        <v>1.2586213635563543E-2</v>
      </c>
      <c r="M353" s="3">
        <f t="shared" si="360"/>
        <v>1.2586213635282008E-2</v>
      </c>
      <c r="N353" s="3">
        <f t="shared" si="360"/>
        <v>1.258621363246667E-2</v>
      </c>
      <c r="O353" s="3">
        <f t="shared" si="360"/>
        <v>1.2586213604313277E-2</v>
      </c>
      <c r="P353" s="3">
        <f t="shared" si="360"/>
        <v>1.258621332277937E-2</v>
      </c>
      <c r="Q353" s="3">
        <f t="shared" si="360"/>
        <v>1.2586210507440626E-2</v>
      </c>
      <c r="R353" s="3">
        <f t="shared" si="360"/>
        <v>1.2586182354087835E-2</v>
      </c>
      <c r="S353" s="3">
        <f t="shared" si="360"/>
        <v>1.2585900824023499E-2</v>
      </c>
      <c r="T353" s="3">
        <f t="shared" si="360"/>
        <v>1.2583085869709331E-2</v>
      </c>
      <c r="U353" s="3">
        <f t="shared" si="360"/>
        <v>1.2554970930839583E-2</v>
      </c>
      <c r="V353" s="3">
        <f t="shared" si="360"/>
        <v>1.2277253500280964E-2</v>
      </c>
      <c r="W353" s="3">
        <f t="shared" si="360"/>
        <v>9.8164925311762675E-3</v>
      </c>
      <c r="X353" s="3">
        <f t="shared" si="360"/>
        <v>1.0483529293831471E-3</v>
      </c>
      <c r="Y353" s="3">
        <f t="shared" si="360"/>
        <v>2.0231087985786624E-13</v>
      </c>
      <c r="Z353" s="3">
        <f t="shared" si="360"/>
        <v>1.4492272672069284E-110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6.9130744193958088E-3</v>
      </c>
      <c r="C354" s="3">
        <f t="shared" si="361"/>
        <v>6.9130744193958088E-3</v>
      </c>
      <c r="D354" s="3">
        <f t="shared" si="361"/>
        <v>6.9130744193958088E-3</v>
      </c>
      <c r="E354" s="3">
        <f t="shared" si="361"/>
        <v>6.9130744193958088E-3</v>
      </c>
      <c r="F354" s="3">
        <f t="shared" si="361"/>
        <v>6.9130744193958088E-3</v>
      </c>
      <c r="G354" s="3">
        <f t="shared" si="361"/>
        <v>6.9130744193958088E-3</v>
      </c>
      <c r="H354" s="3">
        <f t="shared" si="361"/>
        <v>6.9130744193958088E-3</v>
      </c>
      <c r="I354" s="3">
        <f t="shared" si="361"/>
        <v>6.9130744193958071E-3</v>
      </c>
      <c r="J354" s="3">
        <f t="shared" si="361"/>
        <v>6.9130744193957924E-3</v>
      </c>
      <c r="K354" s="3">
        <f t="shared" si="361"/>
        <v>6.9130744193956371E-3</v>
      </c>
      <c r="L354" s="3">
        <f t="shared" si="361"/>
        <v>6.9130744193940906E-3</v>
      </c>
      <c r="M354" s="3">
        <f t="shared" si="361"/>
        <v>6.9130744193786273E-3</v>
      </c>
      <c r="N354" s="3">
        <f t="shared" si="361"/>
        <v>6.9130744192239931E-3</v>
      </c>
      <c r="O354" s="3">
        <f t="shared" si="361"/>
        <v>6.9130744176776459E-3</v>
      </c>
      <c r="P354" s="3">
        <f t="shared" si="361"/>
        <v>6.9130744022141795E-3</v>
      </c>
      <c r="Q354" s="3">
        <f t="shared" si="361"/>
        <v>6.9130742475795202E-3</v>
      </c>
      <c r="R354" s="3">
        <f t="shared" si="361"/>
        <v>6.9130727012331125E-3</v>
      </c>
      <c r="S354" s="3">
        <f t="shared" si="361"/>
        <v>6.9130572377880577E-3</v>
      </c>
      <c r="T354" s="3">
        <f t="shared" si="361"/>
        <v>6.9129026052399062E-3</v>
      </c>
      <c r="U354" s="3">
        <f t="shared" si="361"/>
        <v>6.9113564699823564E-3</v>
      </c>
      <c r="V354" s="3">
        <f t="shared" si="361"/>
        <v>6.8959141240687557E-3</v>
      </c>
      <c r="W354" s="3">
        <f t="shared" si="361"/>
        <v>6.7433756942755774E-3</v>
      </c>
      <c r="X354" s="3">
        <f t="shared" si="361"/>
        <v>5.3917838493973335E-3</v>
      </c>
      <c r="Y354" s="3">
        <f t="shared" si="361"/>
        <v>5.7581589097782584E-4</v>
      </c>
      <c r="Z354" s="3">
        <f t="shared" si="361"/>
        <v>1.1112080319021032E-13</v>
      </c>
      <c r="AA354" s="3">
        <f t="shared" si="361"/>
        <v>7.9599919712832935E-111</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3.0323866622783903E-3</v>
      </c>
      <c r="C355" s="3">
        <f t="shared" si="362"/>
        <v>3.0323866622783903E-3</v>
      </c>
      <c r="D355" s="3">
        <f t="shared" si="362"/>
        <v>3.0323866622783903E-3</v>
      </c>
      <c r="E355" s="3">
        <f t="shared" si="362"/>
        <v>3.0323866622783903E-3</v>
      </c>
      <c r="F355" s="3">
        <f t="shared" si="362"/>
        <v>3.0323866622783903E-3</v>
      </c>
      <c r="G355" s="3">
        <f t="shared" si="362"/>
        <v>3.0323866622783903E-3</v>
      </c>
      <c r="H355" s="3">
        <f t="shared" si="362"/>
        <v>3.0323866622783903E-3</v>
      </c>
      <c r="I355" s="3">
        <f t="shared" si="362"/>
        <v>3.0323866622783903E-3</v>
      </c>
      <c r="J355" s="3">
        <f t="shared" si="362"/>
        <v>3.0323866622783894E-3</v>
      </c>
      <c r="K355" s="3">
        <f t="shared" si="362"/>
        <v>3.0323866622783829E-3</v>
      </c>
      <c r="L355" s="3">
        <f t="shared" si="362"/>
        <v>3.0323866622783149E-3</v>
      </c>
      <c r="M355" s="3">
        <f t="shared" si="362"/>
        <v>3.0323866622776366E-3</v>
      </c>
      <c r="N355" s="3">
        <f t="shared" si="362"/>
        <v>3.0323866622708538E-3</v>
      </c>
      <c r="O355" s="3">
        <f t="shared" si="362"/>
        <v>3.0323866622030239E-3</v>
      </c>
      <c r="P355" s="3">
        <f t="shared" si="362"/>
        <v>3.0323866615247263E-3</v>
      </c>
      <c r="Q355" s="3">
        <f t="shared" si="362"/>
        <v>3.0323866547417519E-3</v>
      </c>
      <c r="R355" s="3">
        <f t="shared" si="362"/>
        <v>3.0323865869120062E-3</v>
      </c>
      <c r="S355" s="3">
        <f t="shared" si="362"/>
        <v>3.0323859086146326E-3</v>
      </c>
      <c r="T355" s="3">
        <f t="shared" si="362"/>
        <v>3.032379125649241E-3</v>
      </c>
      <c r="U355" s="3">
        <f t="shared" si="362"/>
        <v>3.032311296829801E-3</v>
      </c>
      <c r="V355" s="3">
        <f t="shared" si="362"/>
        <v>3.0316330920762227E-3</v>
      </c>
      <c r="W355" s="3">
        <f t="shared" si="362"/>
        <v>3.0248593817207678E-3</v>
      </c>
      <c r="X355" s="3">
        <f t="shared" si="362"/>
        <v>2.9579491371714045E-3</v>
      </c>
      <c r="Y355" s="3">
        <f t="shared" si="362"/>
        <v>2.3650799107453368E-3</v>
      </c>
      <c r="Z355" s="3">
        <f t="shared" si="362"/>
        <v>2.5257885591830687E-4</v>
      </c>
      <c r="AA355" s="3">
        <f t="shared" si="362"/>
        <v>4.8742602936582532E-14</v>
      </c>
      <c r="AB355" s="3">
        <f t="shared" si="362"/>
        <v>3.491611983496068E-111</v>
      </c>
      <c r="AC355" s="3">
        <f t="shared" si="362"/>
        <v>0</v>
      </c>
      <c r="AD355" s="3">
        <f t="shared" si="362"/>
        <v>0</v>
      </c>
      <c r="AE355" s="3">
        <f t="shared" si="362"/>
        <v>0</v>
      </c>
      <c r="AF355" s="3">
        <f t="shared" si="362"/>
        <v>0</v>
      </c>
      <c r="AG355" s="3"/>
      <c r="AH355" s="3"/>
    </row>
    <row r="356" spans="1:34" x14ac:dyDescent="0.25">
      <c r="B356" s="3">
        <f t="shared" ref="B356:AF356" si="363">$C47*EXP(-B$363/$A47/EXP(-$G$126))</f>
        <v>2.0349292815546579E-6</v>
      </c>
      <c r="C356" s="3">
        <f t="shared" si="363"/>
        <v>2.0349292815546579E-6</v>
      </c>
      <c r="D356" s="3">
        <f t="shared" si="363"/>
        <v>2.0349292815546579E-6</v>
      </c>
      <c r="E356" s="3">
        <f t="shared" si="363"/>
        <v>2.0349292815546579E-6</v>
      </c>
      <c r="F356" s="3">
        <f t="shared" si="363"/>
        <v>2.0349292815546579E-6</v>
      </c>
      <c r="G356" s="3">
        <f t="shared" si="363"/>
        <v>2.0349292815546579E-6</v>
      </c>
      <c r="H356" s="3">
        <f t="shared" si="363"/>
        <v>2.0349292815546579E-6</v>
      </c>
      <c r="I356" s="3">
        <f t="shared" si="363"/>
        <v>2.0349292815546579E-6</v>
      </c>
      <c r="J356" s="3">
        <f t="shared" si="363"/>
        <v>2.0349292815546579E-6</v>
      </c>
      <c r="K356" s="3">
        <f t="shared" si="363"/>
        <v>2.0349292815546575E-6</v>
      </c>
      <c r="L356" s="3">
        <f t="shared" si="363"/>
        <v>2.0349292815546529E-6</v>
      </c>
      <c r="M356" s="3">
        <f t="shared" si="363"/>
        <v>2.0349292815546075E-6</v>
      </c>
      <c r="N356" s="3">
        <f t="shared" si="363"/>
        <v>2.0349292815541523E-6</v>
      </c>
      <c r="O356" s="3">
        <f t="shared" si="363"/>
        <v>2.0349292815496003E-6</v>
      </c>
      <c r="P356" s="3">
        <f t="shared" si="363"/>
        <v>2.0349292815040824E-6</v>
      </c>
      <c r="Q356" s="3">
        <f t="shared" si="363"/>
        <v>2.0349292810489005E-6</v>
      </c>
      <c r="R356" s="3">
        <f t="shared" si="363"/>
        <v>2.0349292764970818E-6</v>
      </c>
      <c r="S356" s="3">
        <f t="shared" si="363"/>
        <v>2.0349292309788975E-6</v>
      </c>
      <c r="T356" s="3">
        <f t="shared" si="363"/>
        <v>2.0349287757971076E-6</v>
      </c>
      <c r="U356" s="3">
        <f t="shared" si="363"/>
        <v>2.0349242239848131E-6</v>
      </c>
      <c r="V356" s="3">
        <f t="shared" si="363"/>
        <v>2.0348787064218557E-6</v>
      </c>
      <c r="W356" s="3">
        <f t="shared" si="363"/>
        <v>2.034423586786516E-6</v>
      </c>
      <c r="X356" s="3">
        <f t="shared" si="363"/>
        <v>2.029877985225029E-6</v>
      </c>
      <c r="Y356" s="3">
        <f t="shared" si="363"/>
        <v>1.9849768459464452E-6</v>
      </c>
      <c r="Z356" s="3">
        <f t="shared" si="363"/>
        <v>1.5871229165664109E-6</v>
      </c>
      <c r="AA356" s="3">
        <f t="shared" si="363"/>
        <v>1.694968904208138E-7</v>
      </c>
      <c r="AB356" s="3">
        <f t="shared" si="363"/>
        <v>3.270946650989387E-17</v>
      </c>
      <c r="AC356" s="3">
        <f t="shared" si="363"/>
        <v>2.3430994316881716E-114</v>
      </c>
      <c r="AD356" s="3">
        <f t="shared" si="363"/>
        <v>0</v>
      </c>
      <c r="AE356" s="3">
        <f t="shared" si="363"/>
        <v>0</v>
      </c>
      <c r="AF356" s="3">
        <f t="shared" si="363"/>
        <v>0</v>
      </c>
      <c r="AG356" s="3"/>
      <c r="AH356" s="3"/>
    </row>
    <row r="357" spans="1:34" x14ac:dyDescent="0.25">
      <c r="B357" s="3">
        <f t="shared" ref="B357:AF357" si="364">$C48*EXP(-B$363/$A48/EXP(-$G$126))</f>
        <v>1.1740866771866395E-2</v>
      </c>
      <c r="C357" s="3">
        <f t="shared" si="364"/>
        <v>1.1740866771866395E-2</v>
      </c>
      <c r="D357" s="3">
        <f t="shared" si="364"/>
        <v>1.1740866771866395E-2</v>
      </c>
      <c r="E357" s="3">
        <f t="shared" si="364"/>
        <v>1.1740866771866395E-2</v>
      </c>
      <c r="F357" s="3">
        <f t="shared" si="364"/>
        <v>1.1740866771866395E-2</v>
      </c>
      <c r="G357" s="3">
        <f t="shared" si="364"/>
        <v>1.1740866771866395E-2</v>
      </c>
      <c r="H357" s="3">
        <f t="shared" si="364"/>
        <v>1.1740866771866395E-2</v>
      </c>
      <c r="I357" s="3">
        <f t="shared" si="364"/>
        <v>1.1740866771866395E-2</v>
      </c>
      <c r="J357" s="3">
        <f t="shared" si="364"/>
        <v>1.1740866771866395E-2</v>
      </c>
      <c r="K357" s="3">
        <f t="shared" si="364"/>
        <v>1.1740866771866395E-2</v>
      </c>
      <c r="L357" s="3">
        <f t="shared" si="364"/>
        <v>1.1740866771866391E-2</v>
      </c>
      <c r="M357" s="3">
        <f t="shared" si="364"/>
        <v>1.1740866771866365E-2</v>
      </c>
      <c r="N357" s="3">
        <f t="shared" si="364"/>
        <v>1.1740866771866103E-2</v>
      </c>
      <c r="O357" s="3">
        <f t="shared" si="364"/>
        <v>1.1740866771863477E-2</v>
      </c>
      <c r="P357" s="3">
        <f t="shared" si="364"/>
        <v>1.1740866771837215E-2</v>
      </c>
      <c r="Q357" s="3">
        <f t="shared" si="364"/>
        <v>1.174086677157459E-2</v>
      </c>
      <c r="R357" s="3">
        <f t="shared" si="364"/>
        <v>1.1740866768948342E-2</v>
      </c>
      <c r="S357" s="3">
        <f t="shared" si="364"/>
        <v>1.1740866742685858E-2</v>
      </c>
      <c r="T357" s="3">
        <f t="shared" si="364"/>
        <v>1.1740866480061037E-2</v>
      </c>
      <c r="U357" s="3">
        <f t="shared" si="364"/>
        <v>1.1740863853813139E-2</v>
      </c>
      <c r="V357" s="3">
        <f t="shared" si="364"/>
        <v>1.1740837591366475E-2</v>
      </c>
      <c r="W357" s="3">
        <f t="shared" si="364"/>
        <v>1.1740574970130785E-2</v>
      </c>
      <c r="X357" s="3">
        <f t="shared" si="364"/>
        <v>1.1737949080842042E-2</v>
      </c>
      <c r="Y357" s="3">
        <f t="shared" si="364"/>
        <v>1.17117224680476E-2</v>
      </c>
      <c r="Z357" s="3">
        <f t="shared" si="364"/>
        <v>1.1452657792457441E-2</v>
      </c>
      <c r="AA357" s="3">
        <f t="shared" si="364"/>
        <v>9.1571726265327422E-3</v>
      </c>
      <c r="AB357" s="3">
        <f t="shared" si="364"/>
        <v>9.7794081922888683E-4</v>
      </c>
      <c r="AC357" s="3">
        <f t="shared" si="364"/>
        <v>1.8872276887091144E-13</v>
      </c>
      <c r="AD357" s="3">
        <f t="shared" si="364"/>
        <v>1.3518906288315538E-110</v>
      </c>
      <c r="AE357" s="3">
        <f t="shared" si="364"/>
        <v>0</v>
      </c>
      <c r="AF357" s="3">
        <f t="shared" si="364"/>
        <v>0</v>
      </c>
      <c r="AG357" s="3"/>
      <c r="AH357" s="3"/>
    </row>
    <row r="358" spans="1:34" x14ac:dyDescent="0.25">
      <c r="A358" s="79">
        <f>AVERAGE(B358:AF358)</f>
        <v>0.16329632799010632</v>
      </c>
      <c r="B358" s="80">
        <f>IF($A$64&lt;=B324,IF($B$64&gt;=B324,ABS((B326-B325)/B325),0),0)</f>
        <v>5.5522802230332534E-2</v>
      </c>
      <c r="C358" s="80">
        <f t="shared" ref="C358:AF358" si="365">IF($A$64&lt;=C324,IF($B$64&gt;=C324,ABS((C326-C325)/C325),0),0)</f>
        <v>6.561681167729258E-2</v>
      </c>
      <c r="D358" s="80">
        <f t="shared" si="365"/>
        <v>6.7764026478257536E-2</v>
      </c>
      <c r="E358" s="80">
        <f t="shared" si="365"/>
        <v>7.2364233287586982E-2</v>
      </c>
      <c r="F358" s="80">
        <f t="shared" si="365"/>
        <v>8.9574032576284865E-2</v>
      </c>
      <c r="G358" s="80">
        <f t="shared" si="365"/>
        <v>9.8240060548546074E-2</v>
      </c>
      <c r="H358" s="80">
        <f t="shared" si="365"/>
        <v>9.4212758457123097E-2</v>
      </c>
      <c r="I358" s="80">
        <f t="shared" si="365"/>
        <v>8.4995459954991526E-2</v>
      </c>
      <c r="J358" s="80">
        <f t="shared" si="365"/>
        <v>8.9806543236690892E-2</v>
      </c>
      <c r="K358" s="80">
        <f t="shared" si="365"/>
        <v>8.6874820053843352E-2</v>
      </c>
      <c r="L358" s="80">
        <f t="shared" si="365"/>
        <v>8.7506436539624005E-2</v>
      </c>
      <c r="M358" s="80">
        <f t="shared" si="365"/>
        <v>3.6319852462693605E-2</v>
      </c>
      <c r="N358" s="80">
        <f t="shared" si="365"/>
        <v>6.5133581545942371E-2</v>
      </c>
      <c r="O358" s="80">
        <f t="shared" si="365"/>
        <v>0.16612769547781997</v>
      </c>
      <c r="P358" s="80">
        <f t="shared" si="365"/>
        <v>0.23023102630179726</v>
      </c>
      <c r="Q358" s="80">
        <f t="shared" si="365"/>
        <v>0.24385282539055292</v>
      </c>
      <c r="R358" s="80">
        <f t="shared" si="365"/>
        <v>0.15176900494417703</v>
      </c>
      <c r="S358" s="80">
        <f t="shared" si="365"/>
        <v>1.8440455019737918E-3</v>
      </c>
      <c r="T358" s="80">
        <f t="shared" si="365"/>
        <v>0.24996373819508072</v>
      </c>
      <c r="U358" s="80">
        <f t="shared" si="365"/>
        <v>0.44024757618397176</v>
      </c>
      <c r="V358" s="80">
        <f t="shared" si="365"/>
        <v>0.49421272982208786</v>
      </c>
      <c r="W358" s="80">
        <f t="shared" si="365"/>
        <v>0.33816004506895231</v>
      </c>
      <c r="X358" s="80">
        <f t="shared" si="365"/>
        <v>0.19015254696770428</v>
      </c>
      <c r="Y358" s="80">
        <f t="shared" si="365"/>
        <v>9.2763370898547359E-2</v>
      </c>
      <c r="Z358" s="80">
        <f t="shared" si="365"/>
        <v>6.0415617617969986E-2</v>
      </c>
      <c r="AA358" s="80">
        <f t="shared" si="365"/>
        <v>2.2754420364806635E-3</v>
      </c>
      <c r="AB358" s="80">
        <f t="shared" si="365"/>
        <v>0.27582502261732544</v>
      </c>
      <c r="AC358" s="80">
        <f t="shared" si="365"/>
        <v>0.28720699093373819</v>
      </c>
      <c r="AD358" s="80">
        <f t="shared" si="365"/>
        <v>0.28555963225577324</v>
      </c>
      <c r="AE358" s="80">
        <f t="shared" si="365"/>
        <v>0.27901080123399519</v>
      </c>
      <c r="AF358" s="80">
        <f t="shared" si="365"/>
        <v>0.27863663719613863</v>
      </c>
    </row>
    <row r="359" spans="1:34" x14ac:dyDescent="0.25">
      <c r="B359" s="21">
        <f>(B326-B325)^2</f>
        <v>102869.31373732536</v>
      </c>
      <c r="C359" s="21">
        <f t="shared" ref="C359:AF359" si="366">(C326-C325)^2</f>
        <v>133660.92581937517</v>
      </c>
      <c r="D359" s="21">
        <f t="shared" si="366"/>
        <v>133939.57109305012</v>
      </c>
      <c r="E359" s="21">
        <f t="shared" si="366"/>
        <v>142418.97679300877</v>
      </c>
      <c r="F359" s="21">
        <f t="shared" si="366"/>
        <v>199419.96868664055</v>
      </c>
      <c r="G359" s="21">
        <f t="shared" si="366"/>
        <v>218518.03586295436</v>
      </c>
      <c r="H359" s="21">
        <f t="shared" si="366"/>
        <v>185011.32372918495</v>
      </c>
      <c r="I359" s="21">
        <f t="shared" si="366"/>
        <v>138901.13277245525</v>
      </c>
      <c r="J359" s="21">
        <f t="shared" si="366"/>
        <v>142484.92830886101</v>
      </c>
      <c r="K359" s="21">
        <f t="shared" si="366"/>
        <v>122380.33981829554</v>
      </c>
      <c r="L359" s="21">
        <f t="shared" si="366"/>
        <v>113078.79044078666</v>
      </c>
      <c r="M359" s="21">
        <f t="shared" si="366"/>
        <v>17457.892578342024</v>
      </c>
      <c r="N359" s="21">
        <f t="shared" si="366"/>
        <v>49245.471433045168</v>
      </c>
      <c r="O359" s="21">
        <f t="shared" si="366"/>
        <v>273101.45020500373</v>
      </c>
      <c r="P359" s="21">
        <f t="shared" si="366"/>
        <v>426918.61010362604</v>
      </c>
      <c r="Q359" s="21">
        <f t="shared" si="366"/>
        <v>350023.10250386852</v>
      </c>
      <c r="R359" s="21">
        <f t="shared" si="366"/>
        <v>79243.605059002279</v>
      </c>
      <c r="S359" s="21">
        <f t="shared" si="366"/>
        <v>5.4775391846379247</v>
      </c>
      <c r="T359" s="21">
        <f t="shared" si="366"/>
        <v>40813.171631079786</v>
      </c>
      <c r="U359" s="21">
        <f t="shared" si="366"/>
        <v>50220.226048062708</v>
      </c>
      <c r="V359" s="21">
        <f t="shared" si="366"/>
        <v>28912.175154670742</v>
      </c>
      <c r="W359" s="21">
        <f t="shared" si="366"/>
        <v>7893.5422561170717</v>
      </c>
      <c r="X359" s="21">
        <f t="shared" si="366"/>
        <v>1797.1314715011315</v>
      </c>
      <c r="Y359" s="21">
        <f t="shared" si="366"/>
        <v>348.76759397134362</v>
      </c>
      <c r="Z359" s="21">
        <f t="shared" si="366"/>
        <v>129.04252169481458</v>
      </c>
      <c r="AA359" s="21">
        <f t="shared" si="366"/>
        <v>0.16989863986204354</v>
      </c>
      <c r="AB359" s="21">
        <f t="shared" si="366"/>
        <v>2243.7485638377552</v>
      </c>
      <c r="AC359" s="21">
        <f t="shared" si="366"/>
        <v>2242.5113804580019</v>
      </c>
      <c r="AD359" s="21">
        <f t="shared" si="366"/>
        <v>2206.6485154279326</v>
      </c>
      <c r="AE359" s="21">
        <f t="shared" si="366"/>
        <v>2068.5023588596214</v>
      </c>
      <c r="AF359" s="21">
        <f t="shared" si="366"/>
        <v>2060.8186820224432</v>
      </c>
      <c r="AG359" s="3"/>
      <c r="AH359" s="3"/>
    </row>
    <row r="360" spans="1:34" x14ac:dyDescent="0.25">
      <c r="A360" s="71">
        <f>SUM(B360:AF360)</f>
        <v>2969615.3725603521</v>
      </c>
      <c r="B360" s="60">
        <f>IF($A$64&lt;=B324,IF($B$64&gt;=B324,ABS(B359),0),0)</f>
        <v>102869.31373732536</v>
      </c>
      <c r="C360" s="60">
        <f t="shared" ref="C360:AF360" si="367">IF($A$64&lt;=C324,IF($B$64&gt;=C324,ABS(C359),0),0)</f>
        <v>133660.92581937517</v>
      </c>
      <c r="D360" s="60">
        <f t="shared" si="367"/>
        <v>133939.57109305012</v>
      </c>
      <c r="E360" s="60">
        <f t="shared" si="367"/>
        <v>142418.97679300877</v>
      </c>
      <c r="F360" s="60">
        <f t="shared" si="367"/>
        <v>199419.96868664055</v>
      </c>
      <c r="G360" s="60">
        <f t="shared" si="367"/>
        <v>218518.03586295436</v>
      </c>
      <c r="H360" s="60">
        <f t="shared" si="367"/>
        <v>185011.32372918495</v>
      </c>
      <c r="I360" s="60">
        <f t="shared" si="367"/>
        <v>138901.13277245525</v>
      </c>
      <c r="J360" s="60">
        <f t="shared" si="367"/>
        <v>142484.92830886101</v>
      </c>
      <c r="K360" s="60">
        <f t="shared" si="367"/>
        <v>122380.33981829554</v>
      </c>
      <c r="L360" s="60">
        <f t="shared" si="367"/>
        <v>113078.79044078666</v>
      </c>
      <c r="M360" s="60">
        <f t="shared" si="367"/>
        <v>17457.892578342024</v>
      </c>
      <c r="N360" s="60">
        <f t="shared" si="367"/>
        <v>49245.471433045168</v>
      </c>
      <c r="O360" s="60">
        <f t="shared" si="367"/>
        <v>273101.45020500373</v>
      </c>
      <c r="P360" s="60">
        <f t="shared" si="367"/>
        <v>426918.61010362604</v>
      </c>
      <c r="Q360" s="60">
        <f t="shared" si="367"/>
        <v>350023.10250386852</v>
      </c>
      <c r="R360" s="60">
        <f t="shared" si="367"/>
        <v>79243.605059002279</v>
      </c>
      <c r="S360" s="60">
        <f t="shared" si="367"/>
        <v>5.4775391846379247</v>
      </c>
      <c r="T360" s="60">
        <f t="shared" si="367"/>
        <v>40813.171631079786</v>
      </c>
      <c r="U360" s="60">
        <f t="shared" si="367"/>
        <v>50220.226048062708</v>
      </c>
      <c r="V360" s="60">
        <f t="shared" si="367"/>
        <v>28912.175154670742</v>
      </c>
      <c r="W360" s="60">
        <f t="shared" si="367"/>
        <v>7893.5422561170717</v>
      </c>
      <c r="X360" s="60">
        <f t="shared" si="367"/>
        <v>1797.1314715011315</v>
      </c>
      <c r="Y360" s="60">
        <f t="shared" si="367"/>
        <v>348.76759397134362</v>
      </c>
      <c r="Z360" s="60">
        <f t="shared" si="367"/>
        <v>129.04252169481458</v>
      </c>
      <c r="AA360" s="60">
        <f t="shared" si="367"/>
        <v>0.16989863986204354</v>
      </c>
      <c r="AB360" s="60">
        <f t="shared" si="367"/>
        <v>2243.7485638377552</v>
      </c>
      <c r="AC360" s="60">
        <f t="shared" si="367"/>
        <v>2242.5113804580019</v>
      </c>
      <c r="AD360" s="60">
        <f t="shared" si="367"/>
        <v>2206.6485154279326</v>
      </c>
      <c r="AE360" s="60">
        <f t="shared" si="367"/>
        <v>2068.5023588596214</v>
      </c>
      <c r="AF360" s="60">
        <f t="shared" si="367"/>
        <v>2060.8186820224432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5033.696874485956</v>
      </c>
      <c r="C365" s="27">
        <f t="shared" ref="C365:AF365" si="368">($C$17+SUM(C366:C396))*$B$51</f>
        <v>4794.8155228034957</v>
      </c>
      <c r="D365" s="27">
        <f t="shared" si="368"/>
        <v>4610.4569633910933</v>
      </c>
      <c r="E365" s="27">
        <f t="shared" si="368"/>
        <v>4412.4760260695939</v>
      </c>
      <c r="F365" s="27">
        <f t="shared" si="368"/>
        <v>4218.2621410966231</v>
      </c>
      <c r="G365" s="27">
        <f t="shared" si="368"/>
        <v>3856.519712049786</v>
      </c>
      <c r="H365" s="27">
        <f t="shared" si="368"/>
        <v>3293.9155159674569</v>
      </c>
      <c r="I365" s="27">
        <f t="shared" si="368"/>
        <v>2713.5826466142462</v>
      </c>
      <c r="J365" s="27">
        <f t="shared" si="368"/>
        <v>2249.5311717666109</v>
      </c>
      <c r="K365" s="27">
        <f t="shared" si="368"/>
        <v>1887.456257677281</v>
      </c>
      <c r="L365" s="27">
        <f t="shared" si="368"/>
        <v>1609.0226449543027</v>
      </c>
      <c r="M365" s="27">
        <f t="shared" si="368"/>
        <v>1310.8458864867487</v>
      </c>
      <c r="N365" s="27">
        <f t="shared" si="368"/>
        <v>1052.6360006491711</v>
      </c>
      <c r="O365" s="27">
        <f t="shared" si="368"/>
        <v>775.95928383081605</v>
      </c>
      <c r="P365" s="27">
        <f t="shared" si="368"/>
        <v>546.56915736859492</v>
      </c>
      <c r="Q365" s="27">
        <f t="shared" si="368"/>
        <v>373.98704292553987</v>
      </c>
      <c r="R365" s="27">
        <f t="shared" si="368"/>
        <v>276.5882918464045</v>
      </c>
      <c r="S365" s="27">
        <f t="shared" si="368"/>
        <v>225.82839666855125</v>
      </c>
      <c r="T365" s="27">
        <f t="shared" si="368"/>
        <v>201.95486442257729</v>
      </c>
      <c r="U365" s="27">
        <f t="shared" si="368"/>
        <v>186.53598993032381</v>
      </c>
      <c r="V365" s="27">
        <f t="shared" si="368"/>
        <v>131.98050643422229</v>
      </c>
      <c r="W365" s="27">
        <f t="shared" si="368"/>
        <v>117.52648873496197</v>
      </c>
      <c r="X365" s="27">
        <f t="shared" si="368"/>
        <v>117.52648638563295</v>
      </c>
      <c r="Y365" s="27">
        <f t="shared" si="368"/>
        <v>117.52648638563295</v>
      </c>
      <c r="Z365" s="27">
        <f t="shared" si="368"/>
        <v>117.52648638563295</v>
      </c>
      <c r="AA365" s="27">
        <f t="shared" si="368"/>
        <v>117.52648638563295</v>
      </c>
      <c r="AB365" s="27">
        <f t="shared" si="368"/>
        <v>117.52648638563295</v>
      </c>
      <c r="AC365" s="27">
        <f t="shared" si="368"/>
        <v>117.52648638563295</v>
      </c>
      <c r="AD365" s="27">
        <f t="shared" si="368"/>
        <v>117.52648638563295</v>
      </c>
      <c r="AE365" s="27">
        <f t="shared" si="368"/>
        <v>117.52648638563295</v>
      </c>
      <c r="AF365" s="27">
        <f t="shared" si="368"/>
        <v>117.52648638563295</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2.5202105524591874E-96</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1.016541458585521E-10</v>
      </c>
      <c r="C375" s="3">
        <f t="shared" si="378"/>
        <v>5.616858637517351E-87</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5.8195383193939522E-3</v>
      </c>
      <c r="C376" s="3">
        <f t="shared" si="379"/>
        <v>7.6880422143475806E-10</v>
      </c>
      <c r="D376" s="3">
        <f t="shared" si="379"/>
        <v>1.2447668984335226E-78</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3.3097100571885037E-2</v>
      </c>
      <c r="C377" s="3">
        <f t="shared" si="380"/>
        <v>7.9294005603846498E-3</v>
      </c>
      <c r="D377" s="3">
        <f t="shared" si="380"/>
        <v>4.9401988735915687E-9</v>
      </c>
      <c r="E377" s="3">
        <f t="shared" si="380"/>
        <v>4.3529650869206993E-71</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2.2854315278887021E-2</v>
      </c>
      <c r="C378" s="3">
        <f t="shared" si="381"/>
        <v>2.0090441397481673E-2</v>
      </c>
      <c r="D378" s="3">
        <f t="shared" si="381"/>
        <v>5.5360769919006953E-3</v>
      </c>
      <c r="E378" s="3">
        <f t="shared" si="381"/>
        <v>1.3974251321861392E-8</v>
      </c>
      <c r="F378" s="3">
        <f t="shared" si="381"/>
        <v>1.4675497482063705E-64</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3.3152820236238632E-2</v>
      </c>
      <c r="C379" s="3">
        <f t="shared" si="382"/>
        <v>3.276956913032178E-2</v>
      </c>
      <c r="D379" s="3">
        <f t="shared" si="382"/>
        <v>2.9172473534086651E-2</v>
      </c>
      <c r="E379" s="3">
        <f t="shared" si="382"/>
        <v>9.120076652801002E-3</v>
      </c>
      <c r="F379" s="3">
        <f t="shared" si="382"/>
        <v>8.1330010541820517E-8</v>
      </c>
      <c r="G379" s="3">
        <f t="shared" si="382"/>
        <v>2.5868677662627434E-58</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2.0382048808409839E-2</v>
      </c>
      <c r="C380" s="3">
        <f t="shared" si="383"/>
        <v>2.0360681390272594E-2</v>
      </c>
      <c r="D380" s="3">
        <f t="shared" si="383"/>
        <v>2.0148235365636733E-2</v>
      </c>
      <c r="E380" s="3">
        <f t="shared" si="383"/>
        <v>1.8141955220020555E-2</v>
      </c>
      <c r="F380" s="3">
        <f t="shared" si="383"/>
        <v>6.3555749093576388E-3</v>
      </c>
      <c r="G380" s="3">
        <f t="shared" si="383"/>
        <v>1.7695480262607089E-7</v>
      </c>
      <c r="H380" s="3">
        <f t="shared" si="383"/>
        <v>4.9537886771279814E-53</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6.6924365771263289E-2</v>
      </c>
      <c r="C381" s="3">
        <f t="shared" si="384"/>
        <v>6.6918033751448697E-2</v>
      </c>
      <c r="D381" s="3">
        <f t="shared" si="384"/>
        <v>6.685474649452347E-2</v>
      </c>
      <c r="E381" s="3">
        <f t="shared" si="384"/>
        <v>6.6225156544073072E-2</v>
      </c>
      <c r="F381" s="3">
        <f t="shared" si="384"/>
        <v>6.0246311877822131E-2</v>
      </c>
      <c r="G381" s="3">
        <f t="shared" si="384"/>
        <v>2.3388651722256959E-2</v>
      </c>
      <c r="H381" s="3">
        <f t="shared" si="384"/>
        <v>1.8186637024794154E-6</v>
      </c>
      <c r="I381" s="3">
        <f t="shared" si="384"/>
        <v>1.4696858772845137E-47</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9.6671707461897752E-2</v>
      </c>
      <c r="C382" s="3">
        <f t="shared" si="385"/>
        <v>9.6670882331334265E-2</v>
      </c>
      <c r="D382" s="3">
        <f t="shared" si="385"/>
        <v>9.6662631413043987E-2</v>
      </c>
      <c r="E382" s="3">
        <f t="shared" si="385"/>
        <v>9.6580160952373151E-2</v>
      </c>
      <c r="F382" s="3">
        <f t="shared" si="385"/>
        <v>9.5759316367837286E-2</v>
      </c>
      <c r="G382" s="3">
        <f t="shared" si="385"/>
        <v>8.7924955712614966E-2</v>
      </c>
      <c r="H382" s="3">
        <f t="shared" si="385"/>
        <v>3.7447546703419148E-2</v>
      </c>
      <c r="I382" s="3">
        <f t="shared" si="385"/>
        <v>7.3542010683869754E-6</v>
      </c>
      <c r="J382" s="3">
        <f t="shared" si="385"/>
        <v>6.2756221104412469E-43</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8.3708789361053873E-2</v>
      </c>
      <c r="C383" s="3">
        <f t="shared" si="386"/>
        <v>8.3708724908130139E-2</v>
      </c>
      <c r="D383" s="3">
        <f t="shared" si="386"/>
        <v>8.3708080381622141E-2</v>
      </c>
      <c r="E383" s="3">
        <f t="shared" si="386"/>
        <v>8.3701635389479945E-2</v>
      </c>
      <c r="F383" s="3">
        <f t="shared" si="386"/>
        <v>8.3637212754052087E-2</v>
      </c>
      <c r="G383" s="3">
        <f t="shared" si="386"/>
        <v>8.2995707241730651E-2</v>
      </c>
      <c r="H383" s="3">
        <f t="shared" si="386"/>
        <v>7.6845142036363834E-2</v>
      </c>
      <c r="I383" s="3">
        <f t="shared" si="386"/>
        <v>3.5581503337750106E-2</v>
      </c>
      <c r="J383" s="3">
        <f t="shared" si="386"/>
        <v>1.6117699327885346E-5</v>
      </c>
      <c r="K383" s="3">
        <f t="shared" si="386"/>
        <v>5.8626047449032934E-39</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5.9251655274750036E-2</v>
      </c>
      <c r="C384" s="3">
        <f t="shared" si="387"/>
        <v>5.9251651159286177E-2</v>
      </c>
      <c r="D384" s="3">
        <f t="shared" si="387"/>
        <v>5.9251610004663294E-2</v>
      </c>
      <c r="E384" s="3">
        <f t="shared" si="387"/>
        <v>5.9251198460006642E-2</v>
      </c>
      <c r="F384" s="3">
        <f t="shared" si="387"/>
        <v>5.9247083170652741E-2</v>
      </c>
      <c r="G384" s="3">
        <f t="shared" si="387"/>
        <v>5.9205945994336741E-2</v>
      </c>
      <c r="H384" s="3">
        <f t="shared" si="387"/>
        <v>5.8796141921766049E-2</v>
      </c>
      <c r="I384" s="3">
        <f t="shared" si="387"/>
        <v>5.4850915170131354E-2</v>
      </c>
      <c r="J384" s="3">
        <f t="shared" si="387"/>
        <v>2.7386363176438163E-2</v>
      </c>
      <c r="K384" s="3">
        <f t="shared" si="387"/>
        <v>2.6365694407967291E-5</v>
      </c>
      <c r="L384" s="3">
        <f t="shared" si="387"/>
        <v>1.8033819706723858E-35</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5.2327746938435192E-2</v>
      </c>
      <c r="C385" s="3">
        <f t="shared" si="388"/>
        <v>5.2327746610568764E-2</v>
      </c>
      <c r="D385" s="3">
        <f t="shared" si="388"/>
        <v>5.2327743331904625E-2</v>
      </c>
      <c r="E385" s="3">
        <f t="shared" si="388"/>
        <v>5.2327710545274547E-2</v>
      </c>
      <c r="F385" s="3">
        <f t="shared" si="388"/>
        <v>5.2327382680103597E-2</v>
      </c>
      <c r="G385" s="3">
        <f t="shared" si="388"/>
        <v>5.2324104141377142E-2</v>
      </c>
      <c r="H385" s="3">
        <f t="shared" si="388"/>
        <v>5.2291330049800508E-2</v>
      </c>
      <c r="I385" s="3">
        <f t="shared" si="388"/>
        <v>5.1964716088545235E-2</v>
      </c>
      <c r="J385" s="3">
        <f t="shared" si="388"/>
        <v>4.880870253576583E-2</v>
      </c>
      <c r="K385" s="3">
        <f t="shared" si="388"/>
        <v>2.6084607479071289E-2</v>
      </c>
      <c r="L385" s="3">
        <f t="shared" si="388"/>
        <v>4.9574087978729015E-5</v>
      </c>
      <c r="M385" s="3">
        <f t="shared" si="388"/>
        <v>3.047607308946874E-32</v>
      </c>
      <c r="N385" s="3">
        <f t="shared" si="388"/>
        <v>2.3496422304197932E-304</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1.796789145088739E-2</v>
      </c>
      <c r="C386" s="3">
        <f t="shared" si="389"/>
        <v>1.7967891440731718E-2</v>
      </c>
      <c r="D386" s="3">
        <f t="shared" si="389"/>
        <v>1.7967891339175007E-2</v>
      </c>
      <c r="E386" s="3">
        <f t="shared" si="389"/>
        <v>1.7967890323607957E-2</v>
      </c>
      <c r="F386" s="3">
        <f t="shared" si="389"/>
        <v>1.7967880167940611E-2</v>
      </c>
      <c r="G386" s="3">
        <f t="shared" si="389"/>
        <v>1.7967778611582819E-2</v>
      </c>
      <c r="H386" s="3">
        <f t="shared" si="389"/>
        <v>1.7966763079574781E-2</v>
      </c>
      <c r="I386" s="3">
        <f t="shared" si="389"/>
        <v>1.795661091582074E-2</v>
      </c>
      <c r="J386" s="3">
        <f t="shared" si="389"/>
        <v>1.7855404251831998E-2</v>
      </c>
      <c r="K386" s="3">
        <f t="shared" si="389"/>
        <v>1.6874186107798964E-2</v>
      </c>
      <c r="L386" s="3">
        <f t="shared" si="389"/>
        <v>9.5885803000361706E-3</v>
      </c>
      <c r="M386" s="3">
        <f t="shared" si="389"/>
        <v>3.365650836762365E-5</v>
      </c>
      <c r="N386" s="3">
        <f t="shared" si="389"/>
        <v>9.5546889139344798E-30</v>
      </c>
      <c r="O386" s="3">
        <f t="shared" si="389"/>
        <v>3.248564389185598E-275</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4.1231091233599373E-2</v>
      </c>
      <c r="C387" s="3">
        <f t="shared" si="390"/>
        <v>4.1231091227153988E-2</v>
      </c>
      <c r="D387" s="3">
        <f t="shared" si="390"/>
        <v>4.1231091162700087E-2</v>
      </c>
      <c r="E387" s="3">
        <f t="shared" si="390"/>
        <v>4.1231090518161109E-2</v>
      </c>
      <c r="F387" s="3">
        <f t="shared" si="390"/>
        <v>4.1231084072771845E-2</v>
      </c>
      <c r="G387" s="3">
        <f t="shared" si="390"/>
        <v>4.123101961893464E-2</v>
      </c>
      <c r="H387" s="3">
        <f t="shared" si="390"/>
        <v>4.1230375086104179E-2</v>
      </c>
      <c r="I387" s="3">
        <f t="shared" si="390"/>
        <v>4.1223930311925325E-2</v>
      </c>
      <c r="J387" s="3">
        <f t="shared" si="390"/>
        <v>4.115953795067516E-2</v>
      </c>
      <c r="K387" s="3">
        <f t="shared" si="390"/>
        <v>4.0521120493569478E-2</v>
      </c>
      <c r="L387" s="3">
        <f t="shared" si="390"/>
        <v>3.4657002522060422E-2</v>
      </c>
      <c r="M387" s="3">
        <f t="shared" si="390"/>
        <v>7.2591624834065895E-3</v>
      </c>
      <c r="N387" s="3">
        <f t="shared" si="390"/>
        <v>1.1798905210078823E-9</v>
      </c>
      <c r="O387" s="3">
        <f t="shared" si="390"/>
        <v>1.5184260960713127E-77</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3.4610685556655828E-2</v>
      </c>
      <c r="C388" s="3">
        <f t="shared" si="391"/>
        <v>3.4610685556114781E-2</v>
      </c>
      <c r="D388" s="3">
        <f t="shared" si="391"/>
        <v>3.4610685550704318E-2</v>
      </c>
      <c r="E388" s="3">
        <f t="shared" si="391"/>
        <v>3.4610685496599673E-2</v>
      </c>
      <c r="F388" s="3">
        <f t="shared" si="391"/>
        <v>3.4610684955553209E-2</v>
      </c>
      <c r="G388" s="3">
        <f t="shared" si="391"/>
        <v>3.4610679545089063E-2</v>
      </c>
      <c r="H388" s="3">
        <f t="shared" si="391"/>
        <v>3.4610625440494064E-2</v>
      </c>
      <c r="I388" s="3">
        <f t="shared" si="391"/>
        <v>3.4610084399195905E-2</v>
      </c>
      <c r="J388" s="3">
        <f t="shared" si="391"/>
        <v>3.460467445136501E-2</v>
      </c>
      <c r="K388" s="3">
        <f t="shared" si="391"/>
        <v>3.4550621461236317E-2</v>
      </c>
      <c r="L388" s="3">
        <f t="shared" si="391"/>
        <v>3.4014713601407155E-2</v>
      </c>
      <c r="M388" s="3">
        <f t="shared" si="391"/>
        <v>2.9092187005495287E-2</v>
      </c>
      <c r="N388" s="3">
        <f t="shared" si="391"/>
        <v>6.093571200686306E-3</v>
      </c>
      <c r="O388" s="3">
        <f t="shared" si="391"/>
        <v>9.9043752157513062E-10</v>
      </c>
      <c r="P388" s="3">
        <f t="shared" si="391"/>
        <v>1.2746150193690938E-77</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4.2854236942622755E-2</v>
      </c>
      <c r="C389" s="3">
        <f t="shared" si="392"/>
        <v>4.285423694255576E-2</v>
      </c>
      <c r="D389" s="3">
        <f t="shared" si="392"/>
        <v>4.2854236941885844E-2</v>
      </c>
      <c r="E389" s="3">
        <f t="shared" si="392"/>
        <v>4.2854236935186717E-2</v>
      </c>
      <c r="F389" s="3">
        <f t="shared" si="392"/>
        <v>4.2854236868195464E-2</v>
      </c>
      <c r="G389" s="3">
        <f t="shared" si="392"/>
        <v>4.2854236198282894E-2</v>
      </c>
      <c r="H389" s="3">
        <f t="shared" si="392"/>
        <v>4.2854229499157785E-2</v>
      </c>
      <c r="I389" s="3">
        <f t="shared" si="392"/>
        <v>4.2854162507964276E-2</v>
      </c>
      <c r="J389" s="3">
        <f t="shared" si="392"/>
        <v>4.2853492601788938E-2</v>
      </c>
      <c r="K389" s="3">
        <f t="shared" si="392"/>
        <v>4.2846794115975577E-2</v>
      </c>
      <c r="L389" s="3">
        <f t="shared" si="392"/>
        <v>4.2779866818547826E-2</v>
      </c>
      <c r="M389" s="3">
        <f t="shared" si="392"/>
        <v>4.2116316760664602E-2</v>
      </c>
      <c r="N389" s="3">
        <f t="shared" si="392"/>
        <v>3.6021345866432415E-2</v>
      </c>
      <c r="O389" s="3">
        <f t="shared" si="392"/>
        <v>7.5449341687578086E-3</v>
      </c>
      <c r="P389" s="3">
        <f t="shared" si="392"/>
        <v>1.2263393094857672E-9</v>
      </c>
      <c r="Q389" s="3">
        <f t="shared" si="392"/>
        <v>1.5782020255325223E-77</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3.219293702510824E-2</v>
      </c>
      <c r="C390" s="3">
        <f t="shared" si="393"/>
        <v>3.2192937025103202E-2</v>
      </c>
      <c r="D390" s="3">
        <f t="shared" si="393"/>
        <v>3.2192937025052874E-2</v>
      </c>
      <c r="E390" s="3">
        <f t="shared" si="393"/>
        <v>3.2192937024549624E-2</v>
      </c>
      <c r="F390" s="3">
        <f t="shared" si="393"/>
        <v>3.2192937019517115E-2</v>
      </c>
      <c r="G390" s="3">
        <f t="shared" si="393"/>
        <v>3.2192936969191975E-2</v>
      </c>
      <c r="H390" s="3">
        <f t="shared" si="393"/>
        <v>3.2192936465940611E-2</v>
      </c>
      <c r="I390" s="3">
        <f t="shared" si="393"/>
        <v>3.219293143342742E-2</v>
      </c>
      <c r="J390" s="3">
        <f t="shared" si="393"/>
        <v>3.2192881108338754E-2</v>
      </c>
      <c r="K390" s="3">
        <f t="shared" si="393"/>
        <v>3.2192377861778927E-2</v>
      </c>
      <c r="L390" s="3">
        <f t="shared" si="393"/>
        <v>3.2187345828838011E-2</v>
      </c>
      <c r="M390" s="3">
        <f t="shared" si="393"/>
        <v>3.2137068740151618E-2</v>
      </c>
      <c r="N390" s="3">
        <f t="shared" si="393"/>
        <v>3.163859701948981E-2</v>
      </c>
      <c r="O390" s="3">
        <f t="shared" si="393"/>
        <v>2.7059936234313194E-2</v>
      </c>
      <c r="P390" s="3">
        <f t="shared" si="393"/>
        <v>5.6679014231096475E-3</v>
      </c>
      <c r="Q390" s="3">
        <f t="shared" si="393"/>
        <v>9.2124996215759581E-10</v>
      </c>
      <c r="R390" s="3">
        <f t="shared" si="393"/>
        <v>1.1855760840843789E-77</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2.5751010749186884E-2</v>
      </c>
      <c r="C391" s="3">
        <f t="shared" si="394"/>
        <v>2.5751010749186481E-2</v>
      </c>
      <c r="D391" s="3">
        <f t="shared" si="394"/>
        <v>2.5751010749182457E-2</v>
      </c>
      <c r="E391" s="3">
        <f t="shared" si="394"/>
        <v>2.5751010749142201E-2</v>
      </c>
      <c r="F391" s="3">
        <f t="shared" si="394"/>
        <v>2.5751010748739651E-2</v>
      </c>
      <c r="G391" s="3">
        <f t="shared" si="394"/>
        <v>2.5751010744714163E-2</v>
      </c>
      <c r="H391" s="3">
        <f t="shared" si="394"/>
        <v>2.5751010704459273E-2</v>
      </c>
      <c r="I391" s="3">
        <f t="shared" si="394"/>
        <v>2.575101030191038E-2</v>
      </c>
      <c r="J391" s="3">
        <f t="shared" si="394"/>
        <v>2.5751006276421767E-2</v>
      </c>
      <c r="K391" s="3">
        <f t="shared" si="394"/>
        <v>2.575096602157027E-2</v>
      </c>
      <c r="L391" s="3">
        <f t="shared" si="394"/>
        <v>2.575056347651632E-2</v>
      </c>
      <c r="M391" s="3">
        <f t="shared" si="394"/>
        <v>2.5746538372057828E-2</v>
      </c>
      <c r="N391" s="3">
        <f t="shared" si="394"/>
        <v>2.5706321915566412E-2</v>
      </c>
      <c r="O391" s="3">
        <f t="shared" si="394"/>
        <v>2.5307596237728554E-2</v>
      </c>
      <c r="P391" s="3">
        <f t="shared" si="394"/>
        <v>2.1645142482608171E-2</v>
      </c>
      <c r="Q391" s="3">
        <f t="shared" si="394"/>
        <v>4.5337332955359706E-3</v>
      </c>
      <c r="R391" s="3">
        <f t="shared" si="394"/>
        <v>7.3690442284608949E-10</v>
      </c>
      <c r="S391" s="3">
        <f t="shared" si="394"/>
        <v>9.4833790596440966E-78</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1.258621363559482E-2</v>
      </c>
      <c r="C392" s="3">
        <f t="shared" si="395"/>
        <v>1.2586213635594801E-2</v>
      </c>
      <c r="D392" s="3">
        <f t="shared" si="395"/>
        <v>1.2586213635594605E-2</v>
      </c>
      <c r="E392" s="3">
        <f t="shared" si="395"/>
        <v>1.2586213635592638E-2</v>
      </c>
      <c r="F392" s="3">
        <f t="shared" si="395"/>
        <v>1.2586213635572963E-2</v>
      </c>
      <c r="G392" s="3">
        <f t="shared" si="395"/>
        <v>1.2586213635376211E-2</v>
      </c>
      <c r="H392" s="3">
        <f t="shared" si="395"/>
        <v>1.2586213633408689E-2</v>
      </c>
      <c r="I392" s="3">
        <f t="shared" si="395"/>
        <v>1.2586213613733474E-2</v>
      </c>
      <c r="J392" s="3">
        <f t="shared" si="395"/>
        <v>1.2586213416981339E-2</v>
      </c>
      <c r="K392" s="3">
        <f t="shared" si="395"/>
        <v>1.2586211449460136E-2</v>
      </c>
      <c r="L392" s="3">
        <f t="shared" si="395"/>
        <v>1.2586191774265024E-2</v>
      </c>
      <c r="M392" s="3">
        <f t="shared" si="395"/>
        <v>1.2585995024005536E-2</v>
      </c>
      <c r="N392" s="3">
        <f t="shared" si="395"/>
        <v>1.2584027690563226E-2</v>
      </c>
      <c r="O392" s="3">
        <f t="shared" si="395"/>
        <v>1.2564371261617671E-2</v>
      </c>
      <c r="P392" s="3">
        <f t="shared" si="395"/>
        <v>1.2369487782590618E-2</v>
      </c>
      <c r="Q392" s="3">
        <f t="shared" si="395"/>
        <v>1.0579405605179889E-2</v>
      </c>
      <c r="R392" s="3">
        <f t="shared" si="395"/>
        <v>2.2159338280042778E-3</v>
      </c>
      <c r="S392" s="3">
        <f t="shared" si="395"/>
        <v>3.6017368736675443E-10</v>
      </c>
      <c r="T392" s="3">
        <f t="shared" si="395"/>
        <v>4.6351514507357993E-78</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6.9130744193958088E-3</v>
      </c>
      <c r="C393" s="3">
        <f t="shared" si="396"/>
        <v>6.9130744193958071E-3</v>
      </c>
      <c r="D393" s="3">
        <f t="shared" si="396"/>
        <v>6.9130744193957967E-3</v>
      </c>
      <c r="E393" s="3">
        <f t="shared" si="396"/>
        <v>6.9130744193956891E-3</v>
      </c>
      <c r="F393" s="3">
        <f t="shared" si="396"/>
        <v>6.9130744193946084E-3</v>
      </c>
      <c r="G393" s="3">
        <f t="shared" si="396"/>
        <v>6.9130744193838011E-3</v>
      </c>
      <c r="H393" s="3">
        <f t="shared" si="396"/>
        <v>6.913074419275733E-3</v>
      </c>
      <c r="I393" s="3">
        <f t="shared" si="396"/>
        <v>6.9130744181950575E-3</v>
      </c>
      <c r="J393" s="3">
        <f t="shared" si="396"/>
        <v>6.9130744073882949E-3</v>
      </c>
      <c r="K393" s="3">
        <f t="shared" si="396"/>
        <v>6.9130742993206741E-3</v>
      </c>
      <c r="L393" s="3">
        <f t="shared" si="396"/>
        <v>6.9130732186445561E-3</v>
      </c>
      <c r="M393" s="3">
        <f t="shared" si="396"/>
        <v>6.9130624118926634E-3</v>
      </c>
      <c r="N393" s="3">
        <f t="shared" si="396"/>
        <v>6.9129543453028807E-3</v>
      </c>
      <c r="O393" s="3">
        <f t="shared" si="396"/>
        <v>6.9118737723134005E-3</v>
      </c>
      <c r="P393" s="3">
        <f t="shared" si="396"/>
        <v>6.9010773278818617E-3</v>
      </c>
      <c r="Q393" s="3">
        <f t="shared" si="396"/>
        <v>6.7940360815919778E-3</v>
      </c>
      <c r="R393" s="3">
        <f t="shared" si="396"/>
        <v>5.8108197094912349E-3</v>
      </c>
      <c r="S393" s="3">
        <f t="shared" si="396"/>
        <v>1.217118658952926E-3</v>
      </c>
      <c r="T393" s="3">
        <f t="shared" si="396"/>
        <v>1.9782816157139705E-10</v>
      </c>
      <c r="U393" s="3">
        <f t="shared" si="396"/>
        <v>2.5458925020537096E-78</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3.0323866622783903E-3</v>
      </c>
      <c r="C394" s="3">
        <f t="shared" si="397"/>
        <v>3.0323866622783903E-3</v>
      </c>
      <c r="D394" s="3">
        <f t="shared" si="397"/>
        <v>3.0323866622783894E-3</v>
      </c>
      <c r="E394" s="3">
        <f t="shared" si="397"/>
        <v>3.0323866622783851E-3</v>
      </c>
      <c r="F394" s="3">
        <f t="shared" si="397"/>
        <v>3.0323866622783378E-3</v>
      </c>
      <c r="G394" s="3">
        <f t="shared" si="397"/>
        <v>3.0323866622778638E-3</v>
      </c>
      <c r="H394" s="3">
        <f t="shared" si="397"/>
        <v>3.0323866622731233E-3</v>
      </c>
      <c r="I394" s="3">
        <f t="shared" si="397"/>
        <v>3.0323866622257198E-3</v>
      </c>
      <c r="J394" s="3">
        <f t="shared" si="397"/>
        <v>3.0323866617516866E-3</v>
      </c>
      <c r="K394" s="3">
        <f t="shared" si="397"/>
        <v>3.0323866570113526E-3</v>
      </c>
      <c r="L394" s="3">
        <f t="shared" si="397"/>
        <v>3.0323866096080131E-3</v>
      </c>
      <c r="M394" s="3">
        <f t="shared" si="397"/>
        <v>3.0323861355746602E-3</v>
      </c>
      <c r="N394" s="3">
        <f t="shared" si="397"/>
        <v>3.032381395245204E-3</v>
      </c>
      <c r="O394" s="3">
        <f t="shared" si="397"/>
        <v>3.0323339923582085E-3</v>
      </c>
      <c r="P394" s="3">
        <f t="shared" si="397"/>
        <v>3.0318600042420494E-3</v>
      </c>
      <c r="Q394" s="3">
        <f t="shared" si="397"/>
        <v>3.0271241961040123E-3</v>
      </c>
      <c r="R394" s="3">
        <f t="shared" si="397"/>
        <v>2.9801710710729255E-3</v>
      </c>
      <c r="S394" s="3">
        <f t="shared" si="397"/>
        <v>2.5488879643083065E-3</v>
      </c>
      <c r="T394" s="3">
        <f t="shared" si="397"/>
        <v>5.3388321373539925E-4</v>
      </c>
      <c r="U394" s="3">
        <f t="shared" si="397"/>
        <v>8.677636637167698E-11</v>
      </c>
      <c r="V394" s="3">
        <f t="shared" si="397"/>
        <v>1.1167434340301742E-78</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2.0349292815546579E-6</v>
      </c>
      <c r="C395" s="3">
        <f t="shared" si="398"/>
        <v>2.0349292815546579E-6</v>
      </c>
      <c r="D395" s="3">
        <f t="shared" si="398"/>
        <v>2.0349292815546579E-6</v>
      </c>
      <c r="E395" s="3">
        <f t="shared" si="398"/>
        <v>2.0349292815546575E-6</v>
      </c>
      <c r="F395" s="3">
        <f t="shared" si="398"/>
        <v>2.0349292815546541E-6</v>
      </c>
      <c r="G395" s="3">
        <f t="shared" si="398"/>
        <v>2.0349292815546228E-6</v>
      </c>
      <c r="H395" s="3">
        <f t="shared" si="398"/>
        <v>2.0349292815543047E-6</v>
      </c>
      <c r="I395" s="3">
        <f t="shared" si="398"/>
        <v>2.0349292815511233E-6</v>
      </c>
      <c r="J395" s="3">
        <f t="shared" si="398"/>
        <v>2.0349292815193125E-6</v>
      </c>
      <c r="K395" s="3">
        <f t="shared" si="398"/>
        <v>2.0349292812012055E-6</v>
      </c>
      <c r="L395" s="3">
        <f t="shared" si="398"/>
        <v>2.0349292780201322E-6</v>
      </c>
      <c r="M395" s="3">
        <f t="shared" si="398"/>
        <v>2.0349292462093986E-6</v>
      </c>
      <c r="N395" s="3">
        <f t="shared" si="398"/>
        <v>2.034928928102093E-6</v>
      </c>
      <c r="O395" s="3">
        <f t="shared" si="398"/>
        <v>2.0349257470317719E-6</v>
      </c>
      <c r="P395" s="3">
        <f t="shared" si="398"/>
        <v>2.0348939366020607E-6</v>
      </c>
      <c r="Q395" s="3">
        <f t="shared" si="398"/>
        <v>2.0345758596534048E-6</v>
      </c>
      <c r="R395" s="3">
        <f t="shared" si="398"/>
        <v>2.0313978234313769E-6</v>
      </c>
      <c r="S395" s="3">
        <f t="shared" si="398"/>
        <v>1.9998892133405825E-6</v>
      </c>
      <c r="T395" s="3">
        <f t="shared" si="398"/>
        <v>1.7104701120391085E-6</v>
      </c>
      <c r="U395" s="3">
        <f t="shared" si="398"/>
        <v>3.5827046665097382E-7</v>
      </c>
      <c r="V395" s="3">
        <f t="shared" si="398"/>
        <v>5.8232603075744897E-14</v>
      </c>
      <c r="W395" s="3">
        <f t="shared" si="398"/>
        <v>7.4940769993509366E-82</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1.1740866771866395E-2</v>
      </c>
      <c r="C396" s="3">
        <f t="shared" si="399"/>
        <v>1.1740866771866395E-2</v>
      </c>
      <c r="D396" s="3">
        <f t="shared" si="399"/>
        <v>1.1740866771866395E-2</v>
      </c>
      <c r="E396" s="3">
        <f t="shared" si="399"/>
        <v>1.1740866771866395E-2</v>
      </c>
      <c r="F396" s="3">
        <f t="shared" si="399"/>
        <v>1.1740866771866391E-2</v>
      </c>
      <c r="G396" s="3">
        <f t="shared" si="399"/>
        <v>1.1740866771866374E-2</v>
      </c>
      <c r="H396" s="3">
        <f t="shared" si="399"/>
        <v>1.1740866771866192E-2</v>
      </c>
      <c r="I396" s="3">
        <f t="shared" si="399"/>
        <v>1.1740866771864356E-2</v>
      </c>
      <c r="J396" s="3">
        <f t="shared" si="399"/>
        <v>1.1740866771846001E-2</v>
      </c>
      <c r="K396" s="3">
        <f t="shared" si="399"/>
        <v>1.1740866771662464E-2</v>
      </c>
      <c r="L396" s="3">
        <f t="shared" si="399"/>
        <v>1.174086676982709E-2</v>
      </c>
      <c r="M396" s="3">
        <f t="shared" si="399"/>
        <v>1.1740866751473353E-2</v>
      </c>
      <c r="N396" s="3">
        <f t="shared" si="399"/>
        <v>1.1740866567935977E-2</v>
      </c>
      <c r="O396" s="3">
        <f t="shared" si="399"/>
        <v>1.174086473256237E-2</v>
      </c>
      <c r="P396" s="3">
        <f t="shared" si="399"/>
        <v>1.1740846378842084E-2</v>
      </c>
      <c r="Q396" s="3">
        <f t="shared" si="399"/>
        <v>1.1740662843217245E-2</v>
      </c>
      <c r="R396" s="3">
        <f t="shared" si="399"/>
        <v>1.1738827644760365E-2</v>
      </c>
      <c r="S396" s="3">
        <f t="shared" si="399"/>
        <v>1.1720491430221011E-2</v>
      </c>
      <c r="T396" s="3">
        <f t="shared" si="399"/>
        <v>1.1538697204448176E-2</v>
      </c>
      <c r="U396" s="3">
        <f t="shared" si="399"/>
        <v>9.8688450182248498E-3</v>
      </c>
      <c r="V396" s="3">
        <f t="shared" si="399"/>
        <v>2.0671017196380653E-3</v>
      </c>
      <c r="W396" s="3">
        <f t="shared" si="399"/>
        <v>3.3598279836484526E-10</v>
      </c>
      <c r="X396" s="3">
        <f t="shared" si="399"/>
        <v>4.3238337776665538E-78</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0.19820525183440318</v>
      </c>
      <c r="B397" s="80">
        <f>IF($A$64&lt;=B363,IF($B$64&gt;=B363,ABS((B365-B364)/B364),0),0)</f>
        <v>0.10966516976229108</v>
      </c>
      <c r="C397" s="80">
        <f t="shared" ref="C397:AF397" si="400">IF($A$64&lt;=C363,IF($B$64&gt;=C363,ABS((C365-C364)/C364),0),0)</f>
        <v>0.11426475727749175</v>
      </c>
      <c r="D397" s="80">
        <f t="shared" si="400"/>
        <v>0.11698075138174396</v>
      </c>
      <c r="E397" s="80">
        <f t="shared" si="400"/>
        <v>0.11832703630319058</v>
      </c>
      <c r="F397" s="80">
        <f t="shared" si="400"/>
        <v>0.11990528775592425</v>
      </c>
      <c r="G397" s="80">
        <f t="shared" si="400"/>
        <v>8.5749631693622805E-2</v>
      </c>
      <c r="H397" s="80">
        <f t="shared" si="400"/>
        <v>7.3933762363163243E-3</v>
      </c>
      <c r="I397" s="80">
        <f t="shared" si="400"/>
        <v>0.11049778049822823</v>
      </c>
      <c r="J397" s="80">
        <f t="shared" si="400"/>
        <v>0.18053885657928309</v>
      </c>
      <c r="K397" s="80">
        <f t="shared" si="400"/>
        <v>0.20694088193663837</v>
      </c>
      <c r="L397" s="80">
        <f t="shared" si="400"/>
        <v>0.17431579678710293</v>
      </c>
      <c r="M397" s="80">
        <f t="shared" si="400"/>
        <v>0.11600228278144586</v>
      </c>
      <c r="N397" s="80">
        <f t="shared" si="400"/>
        <v>1.1395787119689403E-2</v>
      </c>
      <c r="O397" s="80">
        <f t="shared" si="400"/>
        <v>2.6337755560791976E-2</v>
      </c>
      <c r="P397" s="80">
        <f t="shared" si="400"/>
        <v>4.8249288029233041E-2</v>
      </c>
      <c r="Q397" s="80">
        <f t="shared" si="400"/>
        <v>0.20825900550494417</v>
      </c>
      <c r="R397" s="80">
        <f t="shared" si="400"/>
        <v>0.3166712900198293</v>
      </c>
      <c r="S397" s="80">
        <f t="shared" si="400"/>
        <v>0.32106968891838478</v>
      </c>
      <c r="T397" s="80">
        <f t="shared" si="400"/>
        <v>0.25232946353762287</v>
      </c>
      <c r="U397" s="80">
        <f t="shared" si="400"/>
        <v>0.18980164922131984</v>
      </c>
      <c r="V397" s="80">
        <f t="shared" si="400"/>
        <v>0.33670633807133782</v>
      </c>
      <c r="W397" s="80">
        <f t="shared" si="400"/>
        <v>0.35664890616428152</v>
      </c>
      <c r="X397" s="80">
        <f t="shared" si="400"/>
        <v>0.32698739634834612</v>
      </c>
      <c r="Y397" s="80">
        <f t="shared" si="400"/>
        <v>0.30813436152949752</v>
      </c>
      <c r="Z397" s="80">
        <f t="shared" si="400"/>
        <v>0.29558089412850169</v>
      </c>
      <c r="AA397" s="80">
        <f t="shared" si="400"/>
        <v>0.29254356647754842</v>
      </c>
      <c r="AB397" s="80">
        <f t="shared" si="400"/>
        <v>0.28883029363489693</v>
      </c>
      <c r="AC397" s="80">
        <f t="shared" si="400"/>
        <v>0.27886929934438698</v>
      </c>
      <c r="AD397" s="80">
        <f t="shared" si="400"/>
        <v>0.27858703430308485</v>
      </c>
      <c r="AE397" s="80">
        <f t="shared" si="400"/>
        <v>0.27420903165343624</v>
      </c>
      <c r="AF397" s="80">
        <f t="shared" si="400"/>
        <v>0.272570148306086</v>
      </c>
    </row>
    <row r="398" spans="1:34" x14ac:dyDescent="0.25">
      <c r="B398" s="21">
        <f>(B365-B364)^2</f>
        <v>247472.8953991234</v>
      </c>
      <c r="C398" s="21">
        <f t="shared" ref="C398:AF398" si="401">(C365-C364)^2</f>
        <v>241763.99250626515</v>
      </c>
      <c r="D398" s="21">
        <f t="shared" si="401"/>
        <v>233144.61010157474</v>
      </c>
      <c r="E398" s="21">
        <f t="shared" si="401"/>
        <v>217969.15614728795</v>
      </c>
      <c r="F398" s="21">
        <f t="shared" si="401"/>
        <v>203977.00524388519</v>
      </c>
      <c r="G398" s="21">
        <f t="shared" si="401"/>
        <v>92767.586182518149</v>
      </c>
      <c r="H398" s="21">
        <f t="shared" si="401"/>
        <v>601.9441367384585</v>
      </c>
      <c r="I398" s="21">
        <f t="shared" si="401"/>
        <v>113631.6057380753</v>
      </c>
      <c r="J398" s="21">
        <f t="shared" si="401"/>
        <v>245622.79872697449</v>
      </c>
      <c r="K398" s="21">
        <f t="shared" si="401"/>
        <v>242568.97712526834</v>
      </c>
      <c r="L398" s="21">
        <f t="shared" si="401"/>
        <v>115390.44590727097</v>
      </c>
      <c r="M398" s="21">
        <f t="shared" si="401"/>
        <v>29589.256693745352</v>
      </c>
      <c r="N398" s="21">
        <f t="shared" si="401"/>
        <v>147.23131120954736</v>
      </c>
      <c r="O398" s="21">
        <f t="shared" si="401"/>
        <v>396.51058142301838</v>
      </c>
      <c r="P398" s="21">
        <f t="shared" si="401"/>
        <v>767.76027930559167</v>
      </c>
      <c r="Q398" s="21">
        <f t="shared" si="401"/>
        <v>9677.3049744216078</v>
      </c>
      <c r="R398" s="21">
        <f t="shared" si="401"/>
        <v>16429.548585894561</v>
      </c>
      <c r="S398" s="21">
        <f t="shared" si="401"/>
        <v>11405.263414388153</v>
      </c>
      <c r="T398" s="21">
        <f t="shared" si="401"/>
        <v>4645.4098027063174</v>
      </c>
      <c r="U398" s="21">
        <f t="shared" si="401"/>
        <v>1909.6005295525747</v>
      </c>
      <c r="V398" s="21">
        <f t="shared" si="401"/>
        <v>4488.595493944099</v>
      </c>
      <c r="W398" s="21">
        <f t="shared" si="401"/>
        <v>4244.7999526827734</v>
      </c>
      <c r="X398" s="21">
        <f t="shared" si="401"/>
        <v>3260.5220127230505</v>
      </c>
      <c r="Y398" s="21">
        <f t="shared" si="401"/>
        <v>2739.733018719709</v>
      </c>
      <c r="Z398" s="21">
        <f t="shared" si="401"/>
        <v>2431.9910288555984</v>
      </c>
      <c r="AA398" s="21">
        <f t="shared" si="401"/>
        <v>2361.8548694458959</v>
      </c>
      <c r="AB398" s="21">
        <f t="shared" si="401"/>
        <v>2278.2978014858813</v>
      </c>
      <c r="AC398" s="21">
        <f t="shared" si="401"/>
        <v>2065.5939161575834</v>
      </c>
      <c r="AD398" s="21">
        <f t="shared" si="401"/>
        <v>2059.8017286656604</v>
      </c>
      <c r="AE398" s="21">
        <f t="shared" si="401"/>
        <v>1971.5686148097004</v>
      </c>
      <c r="AF398" s="21">
        <f t="shared" si="401"/>
        <v>1939.3037951058807</v>
      </c>
      <c r="AG398" s="3"/>
      <c r="AH398" s="3"/>
    </row>
    <row r="399" spans="1:34" x14ac:dyDescent="0.25">
      <c r="A399" s="71">
        <f>SUM(B399:AF399)</f>
        <v>2059720.9656202246</v>
      </c>
      <c r="B399" s="60">
        <f>IF($A$64&lt;=B363,IF($B$64&gt;=B363,ABS(B398),0),0)</f>
        <v>247472.8953991234</v>
      </c>
      <c r="C399" s="60">
        <f t="shared" ref="C399" si="402">IF($A$64&lt;=C363,IF($B$64&gt;=C363,ABS(C398),0),0)</f>
        <v>241763.99250626515</v>
      </c>
      <c r="D399" s="60">
        <f t="shared" ref="D399" si="403">IF($A$64&lt;=D363,IF($B$64&gt;=D363,ABS(D398),0),0)</f>
        <v>233144.61010157474</v>
      </c>
      <c r="E399" s="60">
        <f t="shared" ref="E399" si="404">IF($A$64&lt;=E363,IF($B$64&gt;=E363,ABS(E398),0),0)</f>
        <v>217969.15614728795</v>
      </c>
      <c r="F399" s="60">
        <f t="shared" ref="F399" si="405">IF($A$64&lt;=F363,IF($B$64&gt;=F363,ABS(F398),0),0)</f>
        <v>203977.00524388519</v>
      </c>
      <c r="G399" s="60">
        <f t="shared" ref="G399" si="406">IF($A$64&lt;=G363,IF($B$64&gt;=G363,ABS(G398),0),0)</f>
        <v>92767.586182518149</v>
      </c>
      <c r="H399" s="60">
        <f t="shared" ref="H399" si="407">IF($A$64&lt;=H363,IF($B$64&gt;=H363,ABS(H398),0),0)</f>
        <v>601.9441367384585</v>
      </c>
      <c r="I399" s="60">
        <f t="shared" ref="I399" si="408">IF($A$64&lt;=I363,IF($B$64&gt;=I363,ABS(I398),0),0)</f>
        <v>113631.6057380753</v>
      </c>
      <c r="J399" s="60">
        <f t="shared" ref="J399" si="409">IF($A$64&lt;=J363,IF($B$64&gt;=J363,ABS(J398),0),0)</f>
        <v>245622.79872697449</v>
      </c>
      <c r="K399" s="60">
        <f t="shared" ref="K399" si="410">IF($A$64&lt;=K363,IF($B$64&gt;=K363,ABS(K398),0),0)</f>
        <v>242568.97712526834</v>
      </c>
      <c r="L399" s="60">
        <f t="shared" ref="L399" si="411">IF($A$64&lt;=L363,IF($B$64&gt;=L363,ABS(L398),0),0)</f>
        <v>115390.44590727097</v>
      </c>
      <c r="M399" s="60">
        <f t="shared" ref="M399" si="412">IF($A$64&lt;=M363,IF($B$64&gt;=M363,ABS(M398),0),0)</f>
        <v>29589.256693745352</v>
      </c>
      <c r="N399" s="60">
        <f t="shared" ref="N399" si="413">IF($A$64&lt;=N363,IF($B$64&gt;=N363,ABS(N398),0),0)</f>
        <v>147.23131120954736</v>
      </c>
      <c r="O399" s="60">
        <f t="shared" ref="O399" si="414">IF($A$64&lt;=O363,IF($B$64&gt;=O363,ABS(O398),0),0)</f>
        <v>396.51058142301838</v>
      </c>
      <c r="P399" s="60">
        <f t="shared" ref="P399" si="415">IF($A$64&lt;=P363,IF($B$64&gt;=P363,ABS(P398),0),0)</f>
        <v>767.76027930559167</v>
      </c>
      <c r="Q399" s="60">
        <f t="shared" ref="Q399" si="416">IF($A$64&lt;=Q363,IF($B$64&gt;=Q363,ABS(Q398),0),0)</f>
        <v>9677.3049744216078</v>
      </c>
      <c r="R399" s="60">
        <f t="shared" ref="R399" si="417">IF($A$64&lt;=R363,IF($B$64&gt;=R363,ABS(R398),0),0)</f>
        <v>16429.548585894561</v>
      </c>
      <c r="S399" s="60">
        <f t="shared" ref="S399" si="418">IF($A$64&lt;=S363,IF($B$64&gt;=S363,ABS(S398),0),0)</f>
        <v>11405.263414388153</v>
      </c>
      <c r="T399" s="60">
        <f t="shared" ref="T399" si="419">IF($A$64&lt;=T363,IF($B$64&gt;=T363,ABS(T398),0),0)</f>
        <v>4645.4098027063174</v>
      </c>
      <c r="U399" s="60">
        <f t="shared" ref="U399" si="420">IF($A$64&lt;=U363,IF($B$64&gt;=U363,ABS(U398),0),0)</f>
        <v>1909.6005295525747</v>
      </c>
      <c r="V399" s="60">
        <f t="shared" ref="V399" si="421">IF($A$64&lt;=V363,IF($B$64&gt;=V363,ABS(V398),0),0)</f>
        <v>4488.595493944099</v>
      </c>
      <c r="W399" s="60">
        <f t="shared" ref="W399" si="422">IF($A$64&lt;=W363,IF($B$64&gt;=W363,ABS(W398),0),0)</f>
        <v>4244.7999526827734</v>
      </c>
      <c r="X399" s="60">
        <f t="shared" ref="X399" si="423">IF($A$64&lt;=X363,IF($B$64&gt;=X363,ABS(X398),0),0)</f>
        <v>3260.5220127230505</v>
      </c>
      <c r="Y399" s="60">
        <f t="shared" ref="Y399" si="424">IF($A$64&lt;=Y363,IF($B$64&gt;=Y363,ABS(Y398),0),0)</f>
        <v>2739.733018719709</v>
      </c>
      <c r="Z399" s="60">
        <f t="shared" ref="Z399" si="425">IF($A$64&lt;=Z363,IF($B$64&gt;=Z363,ABS(Z398),0),0)</f>
        <v>2431.9910288555984</v>
      </c>
      <c r="AA399" s="60">
        <f t="shared" ref="AA399" si="426">IF($A$64&lt;=AA363,IF($B$64&gt;=AA363,ABS(AA398),0),0)</f>
        <v>2361.8548694458959</v>
      </c>
      <c r="AB399" s="60">
        <f t="shared" ref="AB399" si="427">IF($A$64&lt;=AB363,IF($B$64&gt;=AB363,ABS(AB398),0),0)</f>
        <v>2278.2978014858813</v>
      </c>
      <c r="AC399" s="60">
        <f t="shared" ref="AC399" si="428">IF($A$64&lt;=AC363,IF($B$64&gt;=AC363,ABS(AC398),0),0)</f>
        <v>2065.5939161575834</v>
      </c>
      <c r="AD399" s="60">
        <f t="shared" ref="AD399" si="429">IF($A$64&lt;=AD363,IF($B$64&gt;=AD363,ABS(AD398),0),0)</f>
        <v>2059.8017286656604</v>
      </c>
      <c r="AE399" s="60">
        <f t="shared" ref="AE399" si="430">IF($A$64&lt;=AE363,IF($B$64&gt;=AE363,ABS(AE398),0),0)</f>
        <v>1971.5686148097004</v>
      </c>
      <c r="AF399" s="60">
        <f t="shared" ref="AF399" si="431">IF($A$64&lt;=AF363,IF($B$64&gt;=AF363,ABS(AF398),0),0)</f>
        <v>1939.3037951058807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-21.791859757314405</v>
      </c>
      <c r="C403" s="107">
        <f t="shared" ref="C403:H403" si="432">IF(C125=$B$2,0,C126)</f>
        <v>-13.12367018372645</v>
      </c>
      <c r="D403" s="107">
        <f t="shared" si="432"/>
        <v>-8.6942835956142055</v>
      </c>
      <c r="E403" s="107">
        <f t="shared" si="432"/>
        <v>-4.7516856973294708</v>
      </c>
      <c r="F403" s="107">
        <f t="shared" si="432"/>
        <v>0</v>
      </c>
      <c r="G403" s="107">
        <f t="shared" si="432"/>
        <v>12.423351740542923</v>
      </c>
      <c r="H403" s="107">
        <f t="shared" si="432"/>
        <v>25.880554145835621</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3.4349115394182919E-25</v>
      </c>
      <c r="C404" s="3">
        <f t="shared" ref="C404:H419" si="433">$A404/EXP(-C$403)</f>
        <v>1.9973880943548683E-21</v>
      </c>
      <c r="D404" s="3">
        <f t="shared" si="433"/>
        <v>1.6754080982739006E-19</v>
      </c>
      <c r="E404" s="3">
        <f t="shared" si="433"/>
        <v>8.6371233489397635E-18</v>
      </c>
      <c r="F404" s="3">
        <f t="shared" si="433"/>
        <v>1.0000000000000001E-15</v>
      </c>
      <c r="G404" s="3">
        <f t="shared" si="433"/>
        <v>2.4853817651417664E-10</v>
      </c>
      <c r="H404" s="3">
        <f t="shared" si="433"/>
        <v>1.7369281515964075E-4</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3.4349115394182918E-24</v>
      </c>
      <c r="C405" s="3">
        <f t="shared" si="433"/>
        <v>1.9973880943548683E-20</v>
      </c>
      <c r="D405" s="3">
        <f t="shared" si="433"/>
        <v>1.6754080982739004E-18</v>
      </c>
      <c r="E405" s="3">
        <f t="shared" si="433"/>
        <v>8.6371233489397629E-17</v>
      </c>
      <c r="F405" s="3">
        <f t="shared" si="433"/>
        <v>1E-14</v>
      </c>
      <c r="G405" s="3">
        <f t="shared" si="433"/>
        <v>2.4853817651417662E-9</v>
      </c>
      <c r="H405" s="3">
        <f t="shared" si="433"/>
        <v>1.7369281515964073E-3</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3.4349115394182919E-23</v>
      </c>
      <c r="C406" s="3">
        <f t="shared" si="433"/>
        <v>1.9973880943548683E-19</v>
      </c>
      <c r="D406" s="3">
        <f t="shared" si="433"/>
        <v>1.6754080982739003E-17</v>
      </c>
      <c r="E406" s="3">
        <f t="shared" si="433"/>
        <v>8.6371233489397637E-16</v>
      </c>
      <c r="F406" s="3">
        <f t="shared" si="433"/>
        <v>1E-13</v>
      </c>
      <c r="G406" s="3">
        <f t="shared" si="433"/>
        <v>2.4853817651417663E-8</v>
      </c>
      <c r="H406" s="3">
        <f t="shared" si="433"/>
        <v>1.7369281515964074E-2</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3.4349115394182919E-22</v>
      </c>
      <c r="C407" s="3">
        <f t="shared" si="433"/>
        <v>1.9973880943548682E-18</v>
      </c>
      <c r="D407" s="3">
        <f t="shared" si="433"/>
        <v>1.6754080982739004E-16</v>
      </c>
      <c r="E407" s="3">
        <f t="shared" si="433"/>
        <v>8.6371233489397635E-15</v>
      </c>
      <c r="F407" s="3">
        <f t="shared" si="433"/>
        <v>9.9999999999999998E-13</v>
      </c>
      <c r="G407" s="3">
        <f t="shared" si="433"/>
        <v>2.4853817651417661E-7</v>
      </c>
      <c r="H407" s="3">
        <f t="shared" si="433"/>
        <v>0.17369281515964072</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3.4349115394182918E-21</v>
      </c>
      <c r="C408" s="3">
        <f t="shared" si="433"/>
        <v>1.9973880943548682E-17</v>
      </c>
      <c r="D408" s="3">
        <f t="shared" si="433"/>
        <v>1.6754080982739002E-15</v>
      </c>
      <c r="E408" s="3">
        <f t="shared" si="433"/>
        <v>8.6371233489397631E-14</v>
      </c>
      <c r="F408" s="3">
        <f t="shared" si="433"/>
        <v>9.9999999999999994E-12</v>
      </c>
      <c r="G408" s="3">
        <f t="shared" si="433"/>
        <v>2.485381765141766E-6</v>
      </c>
      <c r="H408" s="3">
        <f t="shared" si="433"/>
        <v>1.7369281515964072</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3.4349115394182918E-20</v>
      </c>
      <c r="C409" s="3">
        <f t="shared" si="433"/>
        <v>1.9973880943548683E-16</v>
      </c>
      <c r="D409" s="3">
        <f t="shared" si="433"/>
        <v>1.6754080982739006E-14</v>
      </c>
      <c r="E409" s="3">
        <f t="shared" si="433"/>
        <v>8.6371233489397636E-13</v>
      </c>
      <c r="F409" s="3">
        <f t="shared" si="433"/>
        <v>1E-10</v>
      </c>
      <c r="G409" s="3">
        <f t="shared" si="433"/>
        <v>2.4853817651417663E-5</v>
      </c>
      <c r="H409" s="3">
        <f t="shared" si="433"/>
        <v>17.369281515964072</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3.4349115394182922E-19</v>
      </c>
      <c r="C410" s="3">
        <f t="shared" si="433"/>
        <v>1.9973880943548682E-15</v>
      </c>
      <c r="D410" s="3">
        <f t="shared" si="433"/>
        <v>1.6754080982739004E-13</v>
      </c>
      <c r="E410" s="3">
        <f t="shared" si="433"/>
        <v>8.6371233489397634E-12</v>
      </c>
      <c r="F410" s="3">
        <f t="shared" si="433"/>
        <v>1.0000000000000001E-9</v>
      </c>
      <c r="G410" s="3">
        <f t="shared" si="433"/>
        <v>2.4853817651417667E-4</v>
      </c>
      <c r="H410" s="3">
        <f t="shared" si="433"/>
        <v>173.69281515964073</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3.4349115394182919E-18</v>
      </c>
      <c r="C411" s="3">
        <f t="shared" si="433"/>
        <v>1.9973880943548682E-14</v>
      </c>
      <c r="D411" s="3">
        <f t="shared" si="433"/>
        <v>1.6754080982739004E-12</v>
      </c>
      <c r="E411" s="3">
        <f t="shared" si="433"/>
        <v>8.6371233489397638E-11</v>
      </c>
      <c r="F411" s="3">
        <f t="shared" si="433"/>
        <v>1E-8</v>
      </c>
      <c r="G411" s="3">
        <f t="shared" si="433"/>
        <v>2.4853817651417664E-3</v>
      </c>
      <c r="H411" s="3">
        <f t="shared" si="433"/>
        <v>1736.9281515964074</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3.4349115394182916E-17</v>
      </c>
      <c r="C412" s="3">
        <f t="shared" si="433"/>
        <v>1.9973880943548681E-13</v>
      </c>
      <c r="D412" s="3">
        <f t="shared" si="433"/>
        <v>1.6754080982739003E-11</v>
      </c>
      <c r="E412" s="3">
        <f t="shared" si="433"/>
        <v>8.637123348939763E-10</v>
      </c>
      <c r="F412" s="3">
        <f t="shared" si="433"/>
        <v>9.9999999999999995E-8</v>
      </c>
      <c r="G412" s="3">
        <f t="shared" si="433"/>
        <v>2.4853817651417663E-2</v>
      </c>
      <c r="H412" s="3">
        <f t="shared" si="433"/>
        <v>17369.28151596407</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3.4349115394182916E-16</v>
      </c>
      <c r="C413" s="3">
        <f t="shared" si="433"/>
        <v>1.9973880943548683E-12</v>
      </c>
      <c r="D413" s="3">
        <f t="shared" si="433"/>
        <v>1.6754080982739004E-10</v>
      </c>
      <c r="E413" s="3">
        <f t="shared" si="433"/>
        <v>8.6371233489397632E-9</v>
      </c>
      <c r="F413" s="3">
        <f t="shared" si="433"/>
        <v>9.9999999999999995E-7</v>
      </c>
      <c r="G413" s="3">
        <f t="shared" si="433"/>
        <v>0.24853817651417662</v>
      </c>
      <c r="H413" s="3">
        <f t="shared" si="433"/>
        <v>173692.81515964071</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3.4349115394182922E-15</v>
      </c>
      <c r="C414" s="3">
        <f t="shared" si="433"/>
        <v>1.9973880943548685E-11</v>
      </c>
      <c r="D414" s="3">
        <f t="shared" si="433"/>
        <v>1.6754080982739004E-9</v>
      </c>
      <c r="E414" s="3">
        <f t="shared" si="433"/>
        <v>8.6371233489397635E-8</v>
      </c>
      <c r="F414" s="3">
        <f t="shared" si="433"/>
        <v>1.0000000000000001E-5</v>
      </c>
      <c r="G414" s="3">
        <f t="shared" si="433"/>
        <v>2.4853817651417667</v>
      </c>
      <c r="H414" s="3">
        <f t="shared" si="433"/>
        <v>1736928.1515964074</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3.4349115394182922E-14</v>
      </c>
      <c r="C415" s="3">
        <f t="shared" si="433"/>
        <v>1.9973880943548684E-10</v>
      </c>
      <c r="D415" s="3">
        <f t="shared" si="433"/>
        <v>1.6754080982739005E-8</v>
      </c>
      <c r="E415" s="3">
        <f t="shared" si="433"/>
        <v>8.6371233489397641E-7</v>
      </c>
      <c r="F415" s="3">
        <f t="shared" si="433"/>
        <v>1E-4</v>
      </c>
      <c r="G415" s="3">
        <f t="shared" si="433"/>
        <v>24.853817651417664</v>
      </c>
      <c r="H415" s="3">
        <f t="shared" si="433"/>
        <v>17369281.515964072</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3.4349115394182919E-13</v>
      </c>
      <c r="C416" s="3">
        <f t="shared" si="433"/>
        <v>1.9973880943548684E-9</v>
      </c>
      <c r="D416" s="3">
        <f t="shared" si="433"/>
        <v>1.6754080982739004E-7</v>
      </c>
      <c r="E416" s="3">
        <f t="shared" si="433"/>
        <v>8.637123348939763E-6</v>
      </c>
      <c r="F416" s="3">
        <f t="shared" si="433"/>
        <v>1E-3</v>
      </c>
      <c r="G416" s="3">
        <f t="shared" si="433"/>
        <v>248.53817651417663</v>
      </c>
      <c r="H416" s="3">
        <f t="shared" si="433"/>
        <v>173692815.15964073</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3.4349115394182921E-12</v>
      </c>
      <c r="C417" s="3">
        <f t="shared" si="433"/>
        <v>1.9973880943548684E-8</v>
      </c>
      <c r="D417" s="3">
        <f t="shared" si="433"/>
        <v>1.6754080982739004E-6</v>
      </c>
      <c r="E417" s="3">
        <f t="shared" si="433"/>
        <v>8.6371233489397633E-5</v>
      </c>
      <c r="F417" s="3">
        <f t="shared" si="433"/>
        <v>0.01</v>
      </c>
      <c r="G417" s="3">
        <f t="shared" si="433"/>
        <v>2485.3817651417662</v>
      </c>
      <c r="H417" s="3">
        <f t="shared" si="433"/>
        <v>1736928151.5964074</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3.434911539418292E-11</v>
      </c>
      <c r="C418" s="3">
        <f t="shared" si="433"/>
        <v>1.9973880943548683E-7</v>
      </c>
      <c r="D418" s="3">
        <f t="shared" si="433"/>
        <v>1.6754080982739004E-5</v>
      </c>
      <c r="E418" s="3">
        <f t="shared" si="433"/>
        <v>8.6371233489397636E-4</v>
      </c>
      <c r="F418" s="3">
        <f t="shared" si="433"/>
        <v>0.1</v>
      </c>
      <c r="G418" s="3">
        <f t="shared" si="433"/>
        <v>24853.817651417663</v>
      </c>
      <c r="H418" s="3">
        <f t="shared" si="433"/>
        <v>17369281515.964073</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3.434911539418292E-10</v>
      </c>
      <c r="C419" s="3">
        <f t="shared" si="433"/>
        <v>1.9973880943548682E-6</v>
      </c>
      <c r="D419" s="3">
        <f t="shared" si="433"/>
        <v>1.6754080982739003E-4</v>
      </c>
      <c r="E419" s="3">
        <f t="shared" si="433"/>
        <v>8.6371233489397625E-3</v>
      </c>
      <c r="F419" s="3">
        <f t="shared" si="433"/>
        <v>1</v>
      </c>
      <c r="G419" s="3">
        <f t="shared" si="433"/>
        <v>248538.17651417662</v>
      </c>
      <c r="H419" s="3">
        <f t="shared" si="433"/>
        <v>173692815159.64072</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3.4349115394182918E-9</v>
      </c>
      <c r="C420" s="3">
        <f t="shared" si="434"/>
        <v>1.9973880943548683E-5</v>
      </c>
      <c r="D420" s="3">
        <f t="shared" si="434"/>
        <v>1.6754080982739003E-3</v>
      </c>
      <c r="E420" s="3">
        <f t="shared" si="434"/>
        <v>8.6371233489397625E-2</v>
      </c>
      <c r="F420" s="3">
        <f t="shared" si="434"/>
        <v>10</v>
      </c>
      <c r="G420" s="3">
        <f t="shared" si="434"/>
        <v>2485381.7651417665</v>
      </c>
      <c r="H420" s="3">
        <f t="shared" si="434"/>
        <v>1736928151596.4072</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3.4349115394182921E-8</v>
      </c>
      <c r="C421" s="3">
        <f t="shared" si="434"/>
        <v>1.9973880943548682E-4</v>
      </c>
      <c r="D421" s="3">
        <f t="shared" si="434"/>
        <v>1.6754080982739002E-2</v>
      </c>
      <c r="E421" s="3">
        <f t="shared" si="434"/>
        <v>0.86371233489397636</v>
      </c>
      <c r="F421" s="3">
        <f t="shared" si="434"/>
        <v>100</v>
      </c>
      <c r="G421" s="3">
        <f t="shared" si="434"/>
        <v>24853817.651417661</v>
      </c>
      <c r="H421" s="3">
        <f t="shared" si="434"/>
        <v>17369281515964.072</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3.4349115394182918E-7</v>
      </c>
      <c r="C422" s="3">
        <f t="shared" si="434"/>
        <v>1.9973880943548682E-3</v>
      </c>
      <c r="D422" s="3">
        <f t="shared" si="434"/>
        <v>0.16754080982739003</v>
      </c>
      <c r="E422" s="3">
        <f t="shared" si="434"/>
        <v>8.6371233489397632</v>
      </c>
      <c r="F422" s="3">
        <f t="shared" si="434"/>
        <v>1000</v>
      </c>
      <c r="G422" s="3">
        <f t="shared" si="434"/>
        <v>248538176.51417664</v>
      </c>
      <c r="H422" s="3">
        <f t="shared" si="434"/>
        <v>173692815159640.72</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3.4349115394182919E-6</v>
      </c>
      <c r="C423" s="3">
        <f t="shared" si="434"/>
        <v>1.9973880943548683E-2</v>
      </c>
      <c r="D423" s="3">
        <f t="shared" si="434"/>
        <v>1.6754080982739004</v>
      </c>
      <c r="E423" s="3">
        <f t="shared" si="434"/>
        <v>86.371233489397639</v>
      </c>
      <c r="F423" s="3">
        <f t="shared" si="434"/>
        <v>10000</v>
      </c>
      <c r="G423" s="3">
        <f t="shared" si="434"/>
        <v>2485381765.1417665</v>
      </c>
      <c r="H423" s="3">
        <f t="shared" si="434"/>
        <v>1736928151596407.2</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3.4349115394182917E-5</v>
      </c>
      <c r="C424" s="3">
        <f t="shared" si="434"/>
        <v>0.19973880943548683</v>
      </c>
      <c r="D424" s="3">
        <f t="shared" si="434"/>
        <v>16.754080982739005</v>
      </c>
      <c r="E424" s="3">
        <f t="shared" si="434"/>
        <v>863.71233489397628</v>
      </c>
      <c r="F424" s="3">
        <f t="shared" si="434"/>
        <v>100000</v>
      </c>
      <c r="G424" s="3">
        <f t="shared" si="434"/>
        <v>24853817651.417664</v>
      </c>
      <c r="H424" s="3">
        <f t="shared" si="434"/>
        <v>1.7369281515964072E+16</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3.434911539418292E-4</v>
      </c>
      <c r="C425" s="3">
        <f t="shared" si="434"/>
        <v>1.9973880943548683</v>
      </c>
      <c r="D425" s="3">
        <f t="shared" si="434"/>
        <v>167.54080982739004</v>
      </c>
      <c r="E425" s="3">
        <f t="shared" si="434"/>
        <v>8637.1233489397637</v>
      </c>
      <c r="F425" s="3">
        <f t="shared" si="434"/>
        <v>1000000</v>
      </c>
      <c r="G425" s="3">
        <f t="shared" si="434"/>
        <v>248538176514.17664</v>
      </c>
      <c r="H425" s="3">
        <f t="shared" si="434"/>
        <v>1.7369281515964074E+17</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3.4349115394182918E-3</v>
      </c>
      <c r="C426" s="3">
        <f t="shared" si="434"/>
        <v>19.973880943548682</v>
      </c>
      <c r="D426" s="3">
        <f t="shared" si="434"/>
        <v>1675.4080982739004</v>
      </c>
      <c r="E426" s="3">
        <f t="shared" si="434"/>
        <v>86371.233489397637</v>
      </c>
      <c r="F426" s="3">
        <f t="shared" si="434"/>
        <v>10000000</v>
      </c>
      <c r="G426" s="3">
        <f t="shared" si="434"/>
        <v>2485381765141.7661</v>
      </c>
      <c r="H426" s="3">
        <f t="shared" si="434"/>
        <v>1.7369281515964073E+18</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3.4349115394182915E-2</v>
      </c>
      <c r="C427" s="3">
        <f t="shared" si="434"/>
        <v>199.73880943548681</v>
      </c>
      <c r="D427" s="3">
        <f t="shared" si="434"/>
        <v>16754.080982739004</v>
      </c>
      <c r="E427" s="3">
        <f t="shared" si="434"/>
        <v>863712.33489397634</v>
      </c>
      <c r="F427" s="3">
        <f t="shared" si="434"/>
        <v>100000000</v>
      </c>
      <c r="G427" s="3">
        <f t="shared" si="434"/>
        <v>24853817651417.664</v>
      </c>
      <c r="H427" s="3">
        <f t="shared" si="434"/>
        <v>1.7369281515964072E+19</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0.34349115394182916</v>
      </c>
      <c r="C428" s="3">
        <f t="shared" si="434"/>
        <v>1997.3880943548681</v>
      </c>
      <c r="D428" s="3">
        <f t="shared" si="434"/>
        <v>167540.80982739004</v>
      </c>
      <c r="E428" s="3">
        <f t="shared" si="434"/>
        <v>8637123.3489397634</v>
      </c>
      <c r="F428" s="3">
        <f t="shared" si="434"/>
        <v>1000000000</v>
      </c>
      <c r="G428" s="3">
        <f t="shared" si="434"/>
        <v>248538176514176.62</v>
      </c>
      <c r="H428" s="3">
        <f t="shared" si="434"/>
        <v>1.7369281515964072E+20</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3.4349115394182919</v>
      </c>
      <c r="C429" s="3">
        <f t="shared" si="434"/>
        <v>19973.880943548684</v>
      </c>
      <c r="D429" s="3">
        <f t="shared" si="434"/>
        <v>1675408.0982739003</v>
      </c>
      <c r="E429" s="3">
        <f t="shared" si="434"/>
        <v>86371233.48939763</v>
      </c>
      <c r="F429" s="3">
        <f t="shared" si="434"/>
        <v>10000000000</v>
      </c>
      <c r="G429" s="3">
        <f t="shared" si="434"/>
        <v>2485381765141766.5</v>
      </c>
      <c r="H429" s="3">
        <f t="shared" si="434"/>
        <v>1.7369281515964072E+21</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34.349115394182917</v>
      </c>
      <c r="C430" s="3">
        <f t="shared" si="434"/>
        <v>199738.80943548682</v>
      </c>
      <c r="D430" s="3">
        <f t="shared" si="434"/>
        <v>16754080.982739003</v>
      </c>
      <c r="E430" s="3">
        <f t="shared" si="434"/>
        <v>863712334.89397633</v>
      </c>
      <c r="F430" s="3">
        <f t="shared" si="434"/>
        <v>100000000000</v>
      </c>
      <c r="G430" s="3">
        <f t="shared" si="434"/>
        <v>2.4853817651417664E+16</v>
      </c>
      <c r="H430" s="3">
        <f t="shared" si="434"/>
        <v>1.7369281515964072E+22</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343.49115394182917</v>
      </c>
      <c r="C431" s="3">
        <f t="shared" si="434"/>
        <v>1997388.0943548682</v>
      </c>
      <c r="D431" s="3">
        <f t="shared" si="434"/>
        <v>167540809.82739004</v>
      </c>
      <c r="E431" s="3">
        <f t="shared" si="434"/>
        <v>8637123348.939764</v>
      </c>
      <c r="F431" s="3">
        <f t="shared" si="434"/>
        <v>1000000000000</v>
      </c>
      <c r="G431" s="3">
        <f t="shared" si="434"/>
        <v>2.4853817651417664E+17</v>
      </c>
      <c r="H431" s="3">
        <f t="shared" si="434"/>
        <v>1.7369281515964074E+23</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3434.9115394182918</v>
      </c>
      <c r="C432" s="3">
        <f t="shared" si="434"/>
        <v>19973880.943548683</v>
      </c>
      <c r="D432" s="3">
        <f t="shared" si="434"/>
        <v>1675408098.2739003</v>
      </c>
      <c r="E432" s="3">
        <f t="shared" si="434"/>
        <v>86371233489.397629</v>
      </c>
      <c r="F432" s="3">
        <f t="shared" si="434"/>
        <v>10000000000000</v>
      </c>
      <c r="G432" s="3">
        <f t="shared" si="434"/>
        <v>2.4853817651417661E+18</v>
      </c>
      <c r="H432" s="3">
        <f t="shared" si="434"/>
        <v>1.7369281515964073E+24</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34349.115394182918</v>
      </c>
      <c r="C433" s="3">
        <f t="shared" si="434"/>
        <v>199738809.43548682</v>
      </c>
      <c r="D433" s="3">
        <f t="shared" si="434"/>
        <v>16754080982.739004</v>
      </c>
      <c r="E433" s="3">
        <f t="shared" si="434"/>
        <v>863712334893.97632</v>
      </c>
      <c r="F433" s="3">
        <f t="shared" si="434"/>
        <v>100000000000000</v>
      </c>
      <c r="G433" s="3">
        <f t="shared" si="434"/>
        <v>2.4853817651417661E+19</v>
      </c>
      <c r="H433" s="3">
        <f t="shared" si="434"/>
        <v>1.7369281515964073E+25</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343491.15394182916</v>
      </c>
      <c r="C434" s="3">
        <f t="shared" si="434"/>
        <v>1997388094.3548682</v>
      </c>
      <c r="D434" s="3">
        <f t="shared" si="434"/>
        <v>167540809827.39005</v>
      </c>
      <c r="E434" s="3">
        <f t="shared" si="434"/>
        <v>8637123348939.7637</v>
      </c>
      <c r="F434" s="3">
        <f t="shared" si="434"/>
        <v>1000000000000000</v>
      </c>
      <c r="G434" s="3">
        <f t="shared" si="434"/>
        <v>2.4853817651417665E+20</v>
      </c>
      <c r="H434" s="3">
        <f t="shared" si="434"/>
        <v>1.7369281515964072E+26</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-21.791859757314405</v>
      </c>
      <c r="M1" s="54">
        <v>1</v>
      </c>
      <c r="N1" s="56">
        <f>INDEX($H$217:$P$217,1,Q1)</f>
        <v>0.19384050071459333</v>
      </c>
      <c r="O1" s="11"/>
      <c r="P1" s="55">
        <v>1</v>
      </c>
      <c r="Q1" s="11">
        <v>2</v>
      </c>
    </row>
    <row r="2" spans="1:17" x14ac:dyDescent="0.25">
      <c r="A2" s="11">
        <f>'Mastercurve bestimmen'!M119</f>
        <v>0</v>
      </c>
      <c r="B2" s="11">
        <f>'Mastercurve bestimmen'!N119</f>
        <v>-13.12367018372645</v>
      </c>
      <c r="M2" s="54">
        <v>2</v>
      </c>
      <c r="N2" s="56">
        <f t="shared" ref="N2:N9" si="0">INDEX($H$217:$P$217,1,Q2)</f>
        <v>1.6080721917707086E-3</v>
      </c>
      <c r="O2" s="11"/>
      <c r="P2" s="55">
        <v>2</v>
      </c>
      <c r="Q2" s="11">
        <f>Q1+1</f>
        <v>3</v>
      </c>
    </row>
    <row r="3" spans="1:17" x14ac:dyDescent="0.25">
      <c r="A3" s="11">
        <f>'Mastercurve bestimmen'!M120</f>
        <v>25</v>
      </c>
      <c r="B3" s="11">
        <f>'Mastercurve bestimmen'!N120</f>
        <v>-8.6942835956142055</v>
      </c>
      <c r="M3" s="54">
        <v>3</v>
      </c>
      <c r="N3" s="56">
        <f t="shared" si="0"/>
        <v>1.3355538372542509E-5</v>
      </c>
      <c r="O3" s="11"/>
      <c r="P3" s="55">
        <v>3</v>
      </c>
      <c r="Q3" s="11">
        <f t="shared" ref="Q3:Q8" si="1">Q2+1</f>
        <v>4</v>
      </c>
    </row>
    <row r="4" spans="1:17" x14ac:dyDescent="0.25">
      <c r="A4" s="11">
        <f>'Mastercurve bestimmen'!M121</f>
        <v>50</v>
      </c>
      <c r="B4" s="11">
        <f>'Mastercurve bestimmen'!N121</f>
        <v>-4.7516856973294708</v>
      </c>
      <c r="M4" s="54">
        <v>4</v>
      </c>
      <c r="N4" s="56">
        <f t="shared" si="0"/>
        <v>-1.4179650799823378E-7</v>
      </c>
      <c r="O4" s="11"/>
      <c r="P4" s="55">
        <v>4</v>
      </c>
      <c r="Q4" s="11">
        <f t="shared" si="1"/>
        <v>5</v>
      </c>
    </row>
    <row r="5" spans="1:17" x14ac:dyDescent="0.25">
      <c r="A5" s="11">
        <f>'Mastercurve bestimmen'!M122</f>
        <v>80</v>
      </c>
      <c r="B5" s="11">
        <f>'Mastercurve bestimmen'!N122</f>
        <v>0</v>
      </c>
      <c r="M5" s="54">
        <v>5</v>
      </c>
      <c r="N5" s="56">
        <f t="shared" si="0"/>
        <v>-1.25515298482418E-9</v>
      </c>
      <c r="O5" s="11"/>
      <c r="P5" s="55">
        <v>5</v>
      </c>
      <c r="Q5" s="11">
        <f t="shared" si="1"/>
        <v>6</v>
      </c>
    </row>
    <row r="6" spans="1:17" x14ac:dyDescent="0.25">
      <c r="A6" s="11">
        <f>'Mastercurve bestimmen'!M123</f>
        <v>125</v>
      </c>
      <c r="B6" s="11">
        <f>'Mastercurve bestimmen'!N123</f>
        <v>12.423351740542923</v>
      </c>
      <c r="M6" s="54">
        <v>6</v>
      </c>
      <c r="N6" s="56">
        <f t="shared" si="0"/>
        <v>5.0442139867659582E-12</v>
      </c>
      <c r="O6" s="11"/>
      <c r="P6" s="55">
        <v>6</v>
      </c>
      <c r="Q6" s="11">
        <f t="shared" si="1"/>
        <v>7</v>
      </c>
    </row>
    <row r="7" spans="1:17" x14ac:dyDescent="0.25">
      <c r="A7" s="11">
        <f>'Mastercurve bestimmen'!M124</f>
        <v>160</v>
      </c>
      <c r="B7" s="11">
        <f>'Mastercurve bestimmen'!N124</f>
        <v>25.880554145835621</v>
      </c>
      <c r="M7" s="54">
        <v>7</v>
      </c>
      <c r="N7" s="56">
        <f t="shared" si="0"/>
        <v>7.1873942484765387E-14</v>
      </c>
      <c r="O7" s="11"/>
      <c r="P7" s="55">
        <v>7</v>
      </c>
      <c r="Q7" s="11">
        <f t="shared" si="1"/>
        <v>8</v>
      </c>
    </row>
    <row r="8" spans="1:17" x14ac:dyDescent="0.25">
      <c r="A8" s="11"/>
      <c r="B8" s="11"/>
      <c r="M8" s="54">
        <v>8</v>
      </c>
      <c r="N8" s="56">
        <f t="shared" si="0"/>
        <v>2.4091246269406107E-16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-21.791859757314405</v>
      </c>
      <c r="E15" s="11">
        <f>A15-'Mastercurve bestimmen'!$B$2</f>
        <v>-120</v>
      </c>
      <c r="F15" s="11">
        <f>B15</f>
        <v>-21.791859757314405</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-21.61812017205536</v>
      </c>
      <c r="E16" s="11">
        <f>A16-'Mastercurve bestimmen'!$B$2</f>
        <v>-119</v>
      </c>
      <c r="F16" s="11">
        <f t="shared" ref="F16:F79" si="4">B16</f>
        <v>-21.61812017205536</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-21.444219366705951</v>
      </c>
      <c r="E17" s="11">
        <f>A17-'Mastercurve bestimmen'!$B$2</f>
        <v>-118</v>
      </c>
      <c r="F17" s="11">
        <f t="shared" si="4"/>
        <v>-21.444219366705951</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-21.269996121175826</v>
      </c>
      <c r="E18" s="11">
        <f>A18-'Mastercurve bestimmen'!$B$2</f>
        <v>-117</v>
      </c>
      <c r="F18" s="11">
        <f t="shared" si="4"/>
        <v>-21.269996121175826</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-21.095289215374628</v>
      </c>
      <c r="E19" s="11">
        <f>A19-'Mastercurve bestimmen'!$B$2</f>
        <v>-116</v>
      </c>
      <c r="F19" s="11">
        <f t="shared" si="4"/>
        <v>-21.095289215374628</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-20.919937429211995</v>
      </c>
      <c r="E20" s="11">
        <f>A20-'Mastercurve bestimmen'!$B$2</f>
        <v>-115</v>
      </c>
      <c r="F20" s="11">
        <f t="shared" si="4"/>
        <v>-20.919937429211995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-20.743779542597565</v>
      </c>
      <c r="E21" s="11">
        <f>A21-'Mastercurve bestimmen'!$B$2</f>
        <v>-114</v>
      </c>
      <c r="F21" s="11">
        <f t="shared" si="4"/>
        <v>-20.743779542597565</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-20.566654335440976</v>
      </c>
      <c r="E22" s="11">
        <f>A22-'Mastercurve bestimmen'!$B$2</f>
        <v>-113</v>
      </c>
      <c r="F22" s="11">
        <f t="shared" si="4"/>
        <v>-20.566654335440976</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-20.38840058765188</v>
      </c>
      <c r="E23" s="11">
        <f>A23-'Mastercurve bestimmen'!$B$2</f>
        <v>-112</v>
      </c>
      <c r="F23" s="11">
        <f t="shared" si="4"/>
        <v>-20.38840058765188</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-20.208857079139911</v>
      </c>
      <c r="E24" s="11">
        <f>A24-'Mastercurve bestimmen'!$B$2</f>
        <v>-111</v>
      </c>
      <c r="F24" s="11">
        <f t="shared" si="4"/>
        <v>-20.208857079139911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-20.02786258981471</v>
      </c>
      <c r="E25" s="11">
        <f>A25-'Mastercurve bestimmen'!$B$2</f>
        <v>-110</v>
      </c>
      <c r="F25" s="11">
        <f t="shared" si="4"/>
        <v>-20.02786258981471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-19.845255899585926</v>
      </c>
      <c r="E26" s="11">
        <f>A26-'Mastercurve bestimmen'!$B$2</f>
        <v>-109</v>
      </c>
      <c r="F26" s="11">
        <f t="shared" si="4"/>
        <v>-19.845255899585926</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-19.660875788363192</v>
      </c>
      <c r="E27" s="11">
        <f>A27-'Mastercurve bestimmen'!$B$2</f>
        <v>-108</v>
      </c>
      <c r="F27" s="11">
        <f t="shared" si="4"/>
        <v>-19.660875788363192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-19.474561036056148</v>
      </c>
      <c r="E28" s="11">
        <f>A28-'Mastercurve bestimmen'!$B$2</f>
        <v>-107</v>
      </c>
      <c r="F28" s="11">
        <f t="shared" si="4"/>
        <v>-19.474561036056148</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-19.286150422574437</v>
      </c>
      <c r="E29" s="11">
        <f>A29-'Mastercurve bestimmen'!$B$2</f>
        <v>-106</v>
      </c>
      <c r="F29" s="11">
        <f t="shared" si="4"/>
        <v>-19.286150422574437</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-19.095482727827704</v>
      </c>
      <c r="E30" s="11">
        <f>A30-'Mastercurve bestimmen'!$B$2</f>
        <v>-105</v>
      </c>
      <c r="F30" s="11">
        <f t="shared" si="4"/>
        <v>-19.095482727827704</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-18.902396731725588</v>
      </c>
      <c r="E31" s="11">
        <f>A31-'Mastercurve bestimmen'!$B$2</f>
        <v>-104</v>
      </c>
      <c r="F31" s="11">
        <f t="shared" si="4"/>
        <v>-18.902396731725588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-18.706731214177729</v>
      </c>
      <c r="E32" s="11">
        <f>A32-'Mastercurve bestimmen'!$B$2</f>
        <v>-103</v>
      </c>
      <c r="F32" s="11">
        <f t="shared" si="4"/>
        <v>-18.706731214177729</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-18.508324955093769</v>
      </c>
      <c r="E33" s="11">
        <f>A33-'Mastercurve bestimmen'!$B$2</f>
        <v>-102</v>
      </c>
      <c r="F33" s="11">
        <f t="shared" si="4"/>
        <v>-18.508324955093769</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-18.307016734383343</v>
      </c>
      <c r="E34" s="11">
        <f>A34-'Mastercurve bestimmen'!$B$2</f>
        <v>-101</v>
      </c>
      <c r="F34" s="11">
        <f t="shared" si="4"/>
        <v>-18.307016734383343</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-18.102645331956104</v>
      </c>
      <c r="E35" s="11">
        <f>A35-'Mastercurve bestimmen'!$B$2</f>
        <v>-100</v>
      </c>
      <c r="F35" s="11">
        <f t="shared" si="4"/>
        <v>-18.102645331956104</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-17.895049527721682</v>
      </c>
      <c r="E36" s="11">
        <f>A36-'Mastercurve bestimmen'!$B$2</f>
        <v>-99</v>
      </c>
      <c r="F36" s="11">
        <f t="shared" si="4"/>
        <v>-17.895049527721682</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-17.684068101589723</v>
      </c>
      <c r="E37" s="11">
        <f>A37-'Mastercurve bestimmen'!$B$2</f>
        <v>-98</v>
      </c>
      <c r="F37" s="11">
        <f t="shared" si="4"/>
        <v>-17.684068101589723</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-17.469539833469874</v>
      </c>
      <c r="E38" s="11">
        <f>A38-'Mastercurve bestimmen'!$B$2</f>
        <v>-97</v>
      </c>
      <c r="F38" s="11">
        <f t="shared" si="4"/>
        <v>-17.469539833469874</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-17.251303503271764</v>
      </c>
      <c r="E39" s="11">
        <f>A39-'Mastercurve bestimmen'!$B$2</f>
        <v>-96</v>
      </c>
      <c r="F39" s="11">
        <f t="shared" si="4"/>
        <v>-17.251303503271764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-17.029197890905042</v>
      </c>
      <c r="E40" s="11">
        <f>A40-'Mastercurve bestimmen'!$B$2</f>
        <v>-95</v>
      </c>
      <c r="F40" s="11">
        <f t="shared" si="4"/>
        <v>-17.029197890905042</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-16.803061776279346</v>
      </c>
      <c r="E41" s="11">
        <f>A41-'Mastercurve bestimmen'!$B$2</f>
        <v>-94</v>
      </c>
      <c r="F41" s="11">
        <f t="shared" si="4"/>
        <v>-16.803061776279346</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-16.572733939304317</v>
      </c>
      <c r="E42" s="11">
        <f>A42-'Mastercurve bestimmen'!$B$2</f>
        <v>-93</v>
      </c>
      <c r="F42" s="11">
        <f t="shared" si="4"/>
        <v>-16.572733939304317</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-16.338053159889601</v>
      </c>
      <c r="E43" s="11">
        <f>A43-'Mastercurve bestimmen'!$B$2</f>
        <v>-92</v>
      </c>
      <c r="F43" s="11">
        <f t="shared" si="4"/>
        <v>-16.338053159889601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-16.098858217944834</v>
      </c>
      <c r="E44" s="11">
        <f>A44-'Mastercurve bestimmen'!$B$2</f>
        <v>-91</v>
      </c>
      <c r="F44" s="11">
        <f t="shared" si="4"/>
        <v>-16.098858217944834</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-15.854987893379654</v>
      </c>
      <c r="E45" s="11">
        <f>A45-'Mastercurve bestimmen'!$B$2</f>
        <v>-90</v>
      </c>
      <c r="F45" s="11">
        <f t="shared" si="4"/>
        <v>-15.854987893379654</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-15.606280966103709</v>
      </c>
      <c r="E46" s="11">
        <f>A46-'Mastercurve bestimmen'!$B$2</f>
        <v>-89</v>
      </c>
      <c r="F46" s="11">
        <f t="shared" si="4"/>
        <v>-15.606280966103709</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-15.352576216026639</v>
      </c>
      <c r="E47" s="11">
        <f>A47-'Mastercurve bestimmen'!$B$2</f>
        <v>-88</v>
      </c>
      <c r="F47" s="11">
        <f t="shared" si="4"/>
        <v>-15.352576216026639</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-15.093712423058085</v>
      </c>
      <c r="E48" s="11">
        <f>A48-'Mastercurve bestimmen'!$B$2</f>
        <v>-87</v>
      </c>
      <c r="F48" s="11">
        <f t="shared" si="4"/>
        <v>-15.093712423058085</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-14.829528367107683</v>
      </c>
      <c r="E49" s="11">
        <f>A49-'Mastercurve bestimmen'!$B$2</f>
        <v>-86</v>
      </c>
      <c r="F49" s="11">
        <f t="shared" si="4"/>
        <v>-14.829528367107683</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-14.559862828085079</v>
      </c>
      <c r="E50" s="11">
        <f>A50-'Mastercurve bestimmen'!$B$2</f>
        <v>-85</v>
      </c>
      <c r="F50" s="11">
        <f t="shared" si="4"/>
        <v>-14.559862828085079</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-14.284554585899913</v>
      </c>
      <c r="E51" s="11">
        <f>A51-'Mastercurve bestimmen'!$B$2</f>
        <v>-84</v>
      </c>
      <c r="F51" s="11">
        <f t="shared" si="4"/>
        <v>-14.284554585899913</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-14.003442420461827</v>
      </c>
      <c r="E52" s="11">
        <f>A52-'Mastercurve bestimmen'!$B$2</f>
        <v>-83</v>
      </c>
      <c r="F52" s="11">
        <f t="shared" si="4"/>
        <v>-14.003442420461827</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-13.716365111680458</v>
      </c>
      <c r="E53" s="11">
        <f>A53-'Mastercurve bestimmen'!$B$2</f>
        <v>-82</v>
      </c>
      <c r="F53" s="11">
        <f t="shared" si="4"/>
        <v>-13.716365111680458</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-13.423161439465453</v>
      </c>
      <c r="E54" s="11">
        <f>A54-'Mastercurve bestimmen'!$B$2</f>
        <v>-81</v>
      </c>
      <c r="F54" s="11">
        <f t="shared" si="4"/>
        <v>-13.423161439465453</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-13.12367018372645</v>
      </c>
      <c r="E55" s="11">
        <f>A55-'Mastercurve bestimmen'!$B$2</f>
        <v>-80</v>
      </c>
      <c r="F55" s="11">
        <f t="shared" si="4"/>
        <v>-13.12367018372645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-12.985921405712947</v>
      </c>
      <c r="E56" s="11">
        <f>A56-'Mastercurve bestimmen'!$B$2</f>
        <v>-79</v>
      </c>
      <c r="F56" s="11">
        <f t="shared" si="4"/>
        <v>-12.985921405712947</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-12.842088814064521</v>
      </c>
      <c r="E57" s="11">
        <f>A57-'Mastercurve bestimmen'!$B$2</f>
        <v>-78</v>
      </c>
      <c r="F57" s="11">
        <f t="shared" si="4"/>
        <v>-12.842088814064521</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-12.692537398760612</v>
      </c>
      <c r="E58" s="11">
        <f>A58-'Mastercurve bestimmen'!$B$2</f>
        <v>-77</v>
      </c>
      <c r="F58" s="11">
        <f t="shared" si="4"/>
        <v>-12.692537398760612</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-12.53763214978065</v>
      </c>
      <c r="E59" s="11">
        <f>A59-'Mastercurve bestimmen'!$B$2</f>
        <v>-76</v>
      </c>
      <c r="F59" s="11">
        <f t="shared" si="4"/>
        <v>-12.53763214978065</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-12.377738057104077</v>
      </c>
      <c r="E60" s="11">
        <f>A60-'Mastercurve bestimmen'!$B$2</f>
        <v>-75</v>
      </c>
      <c r="F60" s="11">
        <f t="shared" si="4"/>
        <v>-12.377738057104077</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-12.213220110710321</v>
      </c>
      <c r="E61" s="11">
        <f>A61-'Mastercurve bestimmen'!$B$2</f>
        <v>-74</v>
      </c>
      <c r="F61" s="11">
        <f t="shared" si="4"/>
        <v>-12.213220110710321</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-12.044443300578822</v>
      </c>
      <c r="E62" s="11">
        <f>A62-'Mastercurve bestimmen'!$B$2</f>
        <v>-73</v>
      </c>
      <c r="F62" s="11">
        <f t="shared" si="4"/>
        <v>-12.044443300578822</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-11.871772616689018</v>
      </c>
      <c r="E63" s="11">
        <f>A63-'Mastercurve bestimmen'!$B$2</f>
        <v>-72</v>
      </c>
      <c r="F63" s="11">
        <f t="shared" si="4"/>
        <v>-11.871772616689018</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-11.695573049020339</v>
      </c>
      <c r="E64" s="11">
        <f>A64-'Mastercurve bestimmen'!$B$2</f>
        <v>-71</v>
      </c>
      <c r="F64" s="11">
        <f t="shared" si="4"/>
        <v>-11.695573049020339</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-11.516209587552224</v>
      </c>
      <c r="E65" s="11">
        <f>A65-'Mastercurve bestimmen'!$B$2</f>
        <v>-70</v>
      </c>
      <c r="F65" s="11">
        <f t="shared" si="4"/>
        <v>-11.516209587552224</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-11.334047222264106</v>
      </c>
      <c r="E66" s="11">
        <f>A66-'Mastercurve bestimmen'!$B$2</f>
        <v>-69</v>
      </c>
      <c r="F66" s="11">
        <f t="shared" si="4"/>
        <v>-11.334047222264106</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-11.149450943135424</v>
      </c>
      <c r="E67" s="11">
        <f>A67-'Mastercurve bestimmen'!$B$2</f>
        <v>-68</v>
      </c>
      <c r="F67" s="11">
        <f t="shared" si="4"/>
        <v>-11.149450943135424</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-10.962785740145609</v>
      </c>
      <c r="E68" s="11">
        <f>A68-'Mastercurve bestimmen'!$B$2</f>
        <v>-67</v>
      </c>
      <c r="F68" s="11">
        <f t="shared" si="4"/>
        <v>-10.962785740145609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-10.774416603274101</v>
      </c>
      <c r="E69" s="11">
        <f>A69-'Mastercurve bestimmen'!$B$2</f>
        <v>-66</v>
      </c>
      <c r="F69" s="11">
        <f t="shared" si="4"/>
        <v>-10.774416603274101</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-10.584708522500334</v>
      </c>
      <c r="E70" s="11">
        <f>A70-'Mastercurve bestimmen'!$B$2</f>
        <v>-65</v>
      </c>
      <c r="F70" s="11">
        <f t="shared" si="4"/>
        <v>-10.584708522500334</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-10.394026487803741</v>
      </c>
      <c r="E71" s="11">
        <f>A71-'Mastercurve bestimmen'!$B$2</f>
        <v>-64</v>
      </c>
      <c r="F71" s="11">
        <f t="shared" si="4"/>
        <v>-10.394026487803741</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-10.202735489163761</v>
      </c>
      <c r="E72" s="11">
        <f>A72-'Mastercurve bestimmen'!$B$2</f>
        <v>-63</v>
      </c>
      <c r="F72" s="11">
        <f t="shared" si="4"/>
        <v>-10.202735489163761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-10.011200516559828</v>
      </c>
      <c r="E73" s="11">
        <f>A73-'Mastercurve bestimmen'!$B$2</f>
        <v>-62</v>
      </c>
      <c r="F73" s="11">
        <f t="shared" si="4"/>
        <v>-10.011200516559828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-9.8197865599713783</v>
      </c>
      <c r="E74" s="11">
        <f>A74-'Mastercurve bestimmen'!$B$2</f>
        <v>-61</v>
      </c>
      <c r="F74" s="11">
        <f t="shared" si="4"/>
        <v>-9.8197865599713783</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-9.628858609377847</v>
      </c>
      <c r="E75" s="11">
        <f>A75-'Mastercurve bestimmen'!$B$2</f>
        <v>-60</v>
      </c>
      <c r="F75" s="11">
        <f t="shared" si="4"/>
        <v>-9.628858609377847</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-9.4387816547586691</v>
      </c>
      <c r="E76" s="11">
        <f>A76-'Mastercurve bestimmen'!$B$2</f>
        <v>-59</v>
      </c>
      <c r="F76" s="11">
        <f t="shared" si="4"/>
        <v>-9.4387816547586691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-9.2499206860932794</v>
      </c>
      <c r="E77" s="11">
        <f>A77-'Mastercurve bestimmen'!$B$2</f>
        <v>-58</v>
      </c>
      <c r="F77" s="11">
        <f t="shared" si="4"/>
        <v>-9.2499206860932794</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-9.0626406933611161</v>
      </c>
      <c r="E78" s="11">
        <f>A78-'Mastercurve bestimmen'!$B$2</f>
        <v>-57</v>
      </c>
      <c r="F78" s="11">
        <f t="shared" si="4"/>
        <v>-9.0626406933611161</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-8.877306666541612</v>
      </c>
      <c r="E79" s="11">
        <f>A79-'Mastercurve bestimmen'!$B$2</f>
        <v>-56</v>
      </c>
      <c r="F79" s="11">
        <f t="shared" si="4"/>
        <v>-8.877306666541612</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-8.6942835956142055</v>
      </c>
      <c r="E80" s="11">
        <f>A80-'Mastercurve bestimmen'!$B$2</f>
        <v>-55</v>
      </c>
      <c r="F80" s="11">
        <f t="shared" ref="F80:F143" si="10">B80</f>
        <v>-8.6942835956142055</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-8.5138605871996162</v>
      </c>
      <c r="E81" s="11">
        <f>A81-'Mastercurve bestimmen'!$B$2</f>
        <v>-54</v>
      </c>
      <c r="F81" s="11">
        <f t="shared" si="10"/>
        <v>-8.5138605871996162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-8.3360232144837205</v>
      </c>
      <c r="E82" s="11">
        <f>A82-'Mastercurve bestimmen'!$B$2</f>
        <v>-53</v>
      </c>
      <c r="F82" s="11">
        <f t="shared" si="10"/>
        <v>-8.3360232144837205</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-8.1606811672936814</v>
      </c>
      <c r="E83" s="11">
        <f>A83-'Mastercurve bestimmen'!$B$2</f>
        <v>-52</v>
      </c>
      <c r="F83" s="11">
        <f t="shared" si="10"/>
        <v>-8.1606811672936814</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-7.9877441354566576</v>
      </c>
      <c r="E84" s="11">
        <f>A84-'Mastercurve bestimmen'!$B$2</f>
        <v>-51</v>
      </c>
      <c r="F84" s="11">
        <f t="shared" si="10"/>
        <v>-7.9877441354566576</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-7.8171218087998131</v>
      </c>
      <c r="E85" s="11">
        <f>A85-'Mastercurve bestimmen'!$B$2</f>
        <v>-50</v>
      </c>
      <c r="F85" s="11">
        <f t="shared" si="10"/>
        <v>-7.8171218087998131</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-7.6487238771503065</v>
      </c>
      <c r="E86" s="11">
        <f>A86-'Mastercurve bestimmen'!$B$2</f>
        <v>-49</v>
      </c>
      <c r="F86" s="11">
        <f t="shared" si="10"/>
        <v>-7.6487238771503065</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-7.4824600303353037</v>
      </c>
      <c r="E87" s="11">
        <f>A87-'Mastercurve bestimmen'!$B$2</f>
        <v>-48</v>
      </c>
      <c r="F87" s="11">
        <f t="shared" si="10"/>
        <v>-7.4824600303353037</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-7.3182399581819642</v>
      </c>
      <c r="E88" s="11">
        <f>A88-'Mastercurve bestimmen'!$B$2</f>
        <v>-47</v>
      </c>
      <c r="F88" s="11">
        <f t="shared" si="10"/>
        <v>-7.3182399581819642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-7.155973350517451</v>
      </c>
      <c r="E89" s="11">
        <f>A89-'Mastercurve bestimmen'!$B$2</f>
        <v>-46</v>
      </c>
      <c r="F89" s="11">
        <f t="shared" si="10"/>
        <v>-7.155973350517451</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-6.9955698971689237</v>
      </c>
      <c r="E90" s="11">
        <f>A90-'Mastercurve bestimmen'!$B$2</f>
        <v>-45</v>
      </c>
      <c r="F90" s="11">
        <f t="shared" si="10"/>
        <v>-6.9955698971689237</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-6.8369392879635456</v>
      </c>
      <c r="E91" s="11">
        <f>A91-'Mastercurve bestimmen'!$B$2</f>
        <v>-44</v>
      </c>
      <c r="F91" s="11">
        <f t="shared" si="10"/>
        <v>-6.8369392879635456</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-6.6799912127284786</v>
      </c>
      <c r="E92" s="11">
        <f>A92-'Mastercurve bestimmen'!$B$2</f>
        <v>-43</v>
      </c>
      <c r="F92" s="11">
        <f t="shared" si="10"/>
        <v>-6.6799912127284786</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-6.5246353612908834</v>
      </c>
      <c r="E93" s="11">
        <f>A93-'Mastercurve bestimmen'!$B$2</f>
        <v>-42</v>
      </c>
      <c r="F93" s="11">
        <f t="shared" si="10"/>
        <v>-6.5246353612908834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-6.370781423477923</v>
      </c>
      <c r="E94" s="11">
        <f>A94-'Mastercurve bestimmen'!$B$2</f>
        <v>-41</v>
      </c>
      <c r="F94" s="11">
        <f t="shared" si="10"/>
        <v>-6.370781423477923</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-6.2183390891167587</v>
      </c>
      <c r="E95" s="11">
        <f>A95-'Mastercurve bestimmen'!$B$2</f>
        <v>-40</v>
      </c>
      <c r="F95" s="11">
        <f t="shared" si="10"/>
        <v>-6.2183390891167587</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-6.067218048034551</v>
      </c>
      <c r="E96" s="11">
        <f>A96-'Mastercurve bestimmen'!$B$2</f>
        <v>-39</v>
      </c>
      <c r="F96" s="11">
        <f t="shared" si="10"/>
        <v>-6.067218048034551</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-5.9173279900584639</v>
      </c>
      <c r="E97" s="11">
        <f>A97-'Mastercurve bestimmen'!$B$2</f>
        <v>-38</v>
      </c>
      <c r="F97" s="11">
        <f t="shared" si="10"/>
        <v>-5.9173279900584639</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-5.7685786050156569</v>
      </c>
      <c r="E98" s="11">
        <f>A98-'Mastercurve bestimmen'!$B$2</f>
        <v>-37</v>
      </c>
      <c r="F98" s="11">
        <f t="shared" si="10"/>
        <v>-5.7685786050156569</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-5.6208795827332931</v>
      </c>
      <c r="E99" s="11">
        <f>A99-'Mastercurve bestimmen'!$B$2</f>
        <v>-36</v>
      </c>
      <c r="F99" s="11">
        <f t="shared" si="10"/>
        <v>-5.6208795827332931</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-5.4741406130385339</v>
      </c>
      <c r="E100" s="11">
        <f>A100-'Mastercurve bestimmen'!$B$2</f>
        <v>-35</v>
      </c>
      <c r="F100" s="11">
        <f t="shared" si="10"/>
        <v>-5.4741406130385339</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-5.3282713857585415</v>
      </c>
      <c r="E101" s="11">
        <f>A101-'Mastercurve bestimmen'!$B$2</f>
        <v>-34</v>
      </c>
      <c r="F101" s="11">
        <f t="shared" si="10"/>
        <v>-5.3282713857585415</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-5.1831815907204772</v>
      </c>
      <c r="E102" s="11">
        <f>A102-'Mastercurve bestimmen'!$B$2</f>
        <v>-33</v>
      </c>
      <c r="F102" s="11">
        <f t="shared" si="10"/>
        <v>-5.1831815907204772</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-5.0387809177515033</v>
      </c>
      <c r="E103" s="11">
        <f>A103-'Mastercurve bestimmen'!$B$2</f>
        <v>-32</v>
      </c>
      <c r="F103" s="11">
        <f t="shared" si="10"/>
        <v>-5.0387809177515033</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-4.8949790566787792</v>
      </c>
      <c r="E104" s="11">
        <f>A104-'Mastercurve bestimmen'!$B$2</f>
        <v>-31</v>
      </c>
      <c r="F104" s="11">
        <f t="shared" si="10"/>
        <v>-4.8949790566787792</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-4.7516856973294699</v>
      </c>
      <c r="E105" s="11">
        <f>A105-'Mastercurve bestimmen'!$B$2</f>
        <v>-30</v>
      </c>
      <c r="F105" s="11">
        <f t="shared" si="10"/>
        <v>-4.7516856973294699</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-4.6088015887988485</v>
      </c>
      <c r="E106" s="11">
        <f>A106-'Mastercurve bestimmen'!$B$2</f>
        <v>-29</v>
      </c>
      <c r="F106" s="11">
        <f t="shared" si="10"/>
        <v>-4.6088015887988485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-4.4661917172546399</v>
      </c>
      <c r="E107" s="11">
        <f>A107-'Mastercurve bestimmen'!$B$2</f>
        <v>-28</v>
      </c>
      <c r="F107" s="11">
        <f t="shared" si="10"/>
        <v>-4.4661917172546399</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-4.3237121281326809</v>
      </c>
      <c r="E108" s="11">
        <f>A108-'Mastercurve bestimmen'!$B$2</f>
        <v>-27</v>
      </c>
      <c r="F108" s="11">
        <f t="shared" si="10"/>
        <v>-4.3237121281326809</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-4.1812188668688082</v>
      </c>
      <c r="E109" s="11">
        <f>A109-'Mastercurve bestimmen'!$B$2</f>
        <v>-26</v>
      </c>
      <c r="F109" s="11">
        <f t="shared" si="10"/>
        <v>-4.1812188668688082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-4.0385679788988611</v>
      </c>
      <c r="E110" s="11">
        <f>A110-'Mastercurve bestimmen'!$B$2</f>
        <v>-25</v>
      </c>
      <c r="F110" s="11">
        <f t="shared" si="10"/>
        <v>-4.0385679788988611</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-3.895615509658676</v>
      </c>
      <c r="E111" s="11">
        <f>A111-'Mastercurve bestimmen'!$B$2</f>
        <v>-24</v>
      </c>
      <c r="F111" s="11">
        <f t="shared" si="10"/>
        <v>-3.895615509658676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-3.75221750458409</v>
      </c>
      <c r="E112" s="11">
        <f>A112-'Mastercurve bestimmen'!$B$2</f>
        <v>-23</v>
      </c>
      <c r="F112" s="11">
        <f t="shared" si="10"/>
        <v>-3.75221750458409</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-3.6082300091109412</v>
      </c>
      <c r="E113" s="11">
        <f>A113-'Mastercurve bestimmen'!$B$2</f>
        <v>-22</v>
      </c>
      <c r="F113" s="11">
        <f t="shared" si="10"/>
        <v>-3.6082300091109412</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-3.4635090686750658</v>
      </c>
      <c r="E114" s="11">
        <f>A114-'Mastercurve bestimmen'!$B$2</f>
        <v>-21</v>
      </c>
      <c r="F114" s="11">
        <f t="shared" si="10"/>
        <v>-3.4635090686750658</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-3.3179107287123024</v>
      </c>
      <c r="E115" s="11">
        <f>A115-'Mastercurve bestimmen'!$B$2</f>
        <v>-20</v>
      </c>
      <c r="F115" s="11">
        <f t="shared" si="10"/>
        <v>-3.3179107287123024</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-3.1712910346584877</v>
      </c>
      <c r="E116" s="11">
        <f>A116-'Mastercurve bestimmen'!$B$2</f>
        <v>-19</v>
      </c>
      <c r="F116" s="11">
        <f t="shared" si="10"/>
        <v>-3.1712910346584877</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-3.0235060319494589</v>
      </c>
      <c r="E117" s="11">
        <f>A117-'Mastercurve bestimmen'!$B$2</f>
        <v>-18</v>
      </c>
      <c r="F117" s="11">
        <f t="shared" si="10"/>
        <v>-3.0235060319494589</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-2.8744117660210544</v>
      </c>
      <c r="E118" s="11">
        <f>A118-'Mastercurve bestimmen'!$B$2</f>
        <v>-17</v>
      </c>
      <c r="F118" s="11">
        <f t="shared" si="10"/>
        <v>-2.8744117660210544</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-2.7238642823091102</v>
      </c>
      <c r="E119" s="11">
        <f>A119-'Mastercurve bestimmen'!$B$2</f>
        <v>-16</v>
      </c>
      <c r="F119" s="11">
        <f t="shared" si="10"/>
        <v>-2.7238642823091102</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-2.571719626249465</v>
      </c>
      <c r="E120" s="11">
        <f>A120-'Mastercurve bestimmen'!$B$2</f>
        <v>-15</v>
      </c>
      <c r="F120" s="11">
        <f t="shared" si="10"/>
        <v>-2.571719626249465</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-2.4178338432779549</v>
      </c>
      <c r="E121" s="11">
        <f>A121-'Mastercurve bestimmen'!$B$2</f>
        <v>-14</v>
      </c>
      <c r="F121" s="11">
        <f t="shared" si="10"/>
        <v>-2.4178338432779549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-2.2620629788304187</v>
      </c>
      <c r="E122" s="11">
        <f>A122-'Mastercurve bestimmen'!$B$2</f>
        <v>-13</v>
      </c>
      <c r="F122" s="11">
        <f t="shared" si="10"/>
        <v>-2.2620629788304187</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-2.1042630783426923</v>
      </c>
      <c r="E123" s="11">
        <f>A123-'Mastercurve bestimmen'!$B$2</f>
        <v>-12</v>
      </c>
      <c r="F123" s="11">
        <f t="shared" si="10"/>
        <v>-2.1042630783426923</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-1.9442901872506142</v>
      </c>
      <c r="E124" s="11">
        <f>A124-'Mastercurve bestimmen'!$B$2</f>
        <v>-11</v>
      </c>
      <c r="F124" s="11">
        <f t="shared" si="10"/>
        <v>-1.9442901872506142</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-1.7820003509900213</v>
      </c>
      <c r="E125" s="11">
        <f>A125-'Mastercurve bestimmen'!$B$2</f>
        <v>-10</v>
      </c>
      <c r="F125" s="11">
        <f t="shared" si="10"/>
        <v>-1.7820003509900213</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-1.6172496149967508</v>
      </c>
      <c r="E126" s="11">
        <f>A126-'Mastercurve bestimmen'!$B$2</f>
        <v>-9</v>
      </c>
      <c r="F126" s="11">
        <f t="shared" si="10"/>
        <v>-1.6172496149967508</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-1.4498940247066403</v>
      </c>
      <c r="E127" s="11">
        <f>A127-'Mastercurve bestimmen'!$B$2</f>
        <v>-8</v>
      </c>
      <c r="F127" s="11">
        <f t="shared" si="10"/>
        <v>-1.4498940247066403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-1.2797896255555272</v>
      </c>
      <c r="E128" s="11">
        <f>A128-'Mastercurve bestimmen'!$B$2</f>
        <v>-7</v>
      </c>
      <c r="F128" s="11">
        <f t="shared" si="10"/>
        <v>-1.2797896255555272</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-1.1067924629792487</v>
      </c>
      <c r="E129" s="11">
        <f>A129-'Mastercurve bestimmen'!$B$2</f>
        <v>-6</v>
      </c>
      <c r="F129" s="11">
        <f t="shared" si="10"/>
        <v>-1.1067924629792487</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-0.9307585824136424</v>
      </c>
      <c r="E130" s="11">
        <f>A130-'Mastercurve bestimmen'!$B$2</f>
        <v>-5</v>
      </c>
      <c r="F130" s="11">
        <f t="shared" si="10"/>
        <v>-0.9307585824136424</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-0.75154402929454556</v>
      </c>
      <c r="E131" s="11">
        <f>A131-'Mastercurve bestimmen'!$B$2</f>
        <v>-4</v>
      </c>
      <c r="F131" s="11">
        <f t="shared" si="10"/>
        <v>-0.75154402929454556</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-0.56900484905779547</v>
      </c>
      <c r="E132" s="11">
        <f>A132-'Mastercurve bestimmen'!$B$2</f>
        <v>-3</v>
      </c>
      <c r="F132" s="11">
        <f t="shared" si="10"/>
        <v>-0.56900484905779547</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-0.38299708713922953</v>
      </c>
      <c r="E133" s="11">
        <f>A133-'Mastercurve bestimmen'!$B$2</f>
        <v>-2</v>
      </c>
      <c r="F133" s="11">
        <f t="shared" si="10"/>
        <v>-0.38299708713922953</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-0.19337678897468535</v>
      </c>
      <c r="E134" s="11">
        <f>A134-'Mastercurve bestimmen'!$B$2</f>
        <v>-1</v>
      </c>
      <c r="F134" s="11">
        <f t="shared" si="10"/>
        <v>-0.19337678897468535</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0.19724979078235311</v>
      </c>
      <c r="E136" s="11">
        <f>A136-'Mastercurve bestimmen'!$B$2</f>
        <v>1</v>
      </c>
      <c r="F136" s="11">
        <f t="shared" si="10"/>
        <v>0.19724979078235311</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0.39837932010335597</v>
      </c>
      <c r="E137" s="11">
        <f>A137-'Mastercurve bestimmen'!$B$2</f>
        <v>2</v>
      </c>
      <c r="F137" s="11">
        <f t="shared" si="10"/>
        <v>0.39837932010335597</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0.60336788112735507</v>
      </c>
      <c r="E138" s="11">
        <f>A138-'Mastercurve bestimmen'!$B$2</f>
        <v>3</v>
      </c>
      <c r="F138" s="11">
        <f t="shared" si="10"/>
        <v>0.60336788112735507</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0.81219476701869675</v>
      </c>
      <c r="E139" s="11">
        <f>A139-'Mastercurve bestimmen'!$B$2</f>
        <v>4</v>
      </c>
      <c r="F139" s="11">
        <f t="shared" si="10"/>
        <v>0.81219476701869675</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1.0248392709417269</v>
      </c>
      <c r="E140" s="11">
        <f>A140-'Mastercurve bestimmen'!$B$2</f>
        <v>5</v>
      </c>
      <c r="F140" s="11">
        <f t="shared" si="10"/>
        <v>1.0248392709417269</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1.2412806860607923</v>
      </c>
      <c r="E141" s="11">
        <f>A141-'Mastercurve bestimmen'!$B$2</f>
        <v>6</v>
      </c>
      <c r="F141" s="11">
        <f t="shared" si="10"/>
        <v>1.2412806860607923</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1.4614983055402391</v>
      </c>
      <c r="E142" s="11">
        <f>A142-'Mastercurve bestimmen'!$B$2</f>
        <v>7</v>
      </c>
      <c r="F142" s="11">
        <f t="shared" si="10"/>
        <v>1.4614983055402391</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1.6854714225444136</v>
      </c>
      <c r="E143" s="11">
        <f>A143-'Mastercurve bestimmen'!$B$2</f>
        <v>8</v>
      </c>
      <c r="F143" s="11">
        <f t="shared" si="10"/>
        <v>1.6854714225444136</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1.9131793302376616</v>
      </c>
      <c r="E144" s="11">
        <f>A144-'Mastercurve bestimmen'!$B$2</f>
        <v>9</v>
      </c>
      <c r="F144" s="11">
        <f t="shared" ref="F144:F207" si="15">B144</f>
        <v>1.9131793302376616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2.1446013217843301</v>
      </c>
      <c r="E145" s="11">
        <f>A145-'Mastercurve bestimmen'!$B$2</f>
        <v>10</v>
      </c>
      <c r="F145" s="11">
        <f t="shared" si="15"/>
        <v>2.1446013217843301</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2.379716690348765</v>
      </c>
      <c r="E146" s="11">
        <f>A146-'Mastercurve bestimmen'!$B$2</f>
        <v>11</v>
      </c>
      <c r="F146" s="11">
        <f t="shared" si="15"/>
        <v>2.379716690348765</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2.6185047290953118</v>
      </c>
      <c r="E147" s="11">
        <f>A147-'Mastercurve bestimmen'!$B$2</f>
        <v>12</v>
      </c>
      <c r="F147" s="11">
        <f t="shared" si="15"/>
        <v>2.6185047290953118</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2.8609447311883178</v>
      </c>
      <c r="E148" s="11">
        <f>A148-'Mastercurve bestimmen'!$B$2</f>
        <v>13</v>
      </c>
      <c r="F148" s="11">
        <f t="shared" si="15"/>
        <v>2.8609447311883178</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3.1070159897921297</v>
      </c>
      <c r="E149" s="11">
        <f>A149-'Mastercurve bestimmen'!$B$2</f>
        <v>14</v>
      </c>
      <c r="F149" s="11">
        <f t="shared" si="15"/>
        <v>3.1070159897921297</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3.3566977980710924</v>
      </c>
      <c r="E150" s="11">
        <f>A150-'Mastercurve bestimmen'!$B$2</f>
        <v>15</v>
      </c>
      <c r="F150" s="11">
        <f t="shared" si="15"/>
        <v>3.3566977980710924</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3.6099694491895535</v>
      </c>
      <c r="E151" s="11">
        <f>A151-'Mastercurve bestimmen'!$B$2</f>
        <v>16</v>
      </c>
      <c r="F151" s="11">
        <f t="shared" si="15"/>
        <v>3.6099694491895535</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3.8668102363118577</v>
      </c>
      <c r="E152" s="11">
        <f>A152-'Mastercurve bestimmen'!$B$2</f>
        <v>17</v>
      </c>
      <c r="F152" s="11">
        <f t="shared" si="15"/>
        <v>3.8668102363118577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4.127199452602353</v>
      </c>
      <c r="E153" s="11">
        <f>A153-'Mastercurve bestimmen'!$B$2</f>
        <v>18</v>
      </c>
      <c r="F153" s="11">
        <f t="shared" si="15"/>
        <v>4.127199452602353</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4.3911163912253839</v>
      </c>
      <c r="E154" s="11">
        <f>A154-'Mastercurve bestimmen'!$B$2</f>
        <v>19</v>
      </c>
      <c r="F154" s="11">
        <f t="shared" si="15"/>
        <v>4.3911163912253839</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4.6585403453452994</v>
      </c>
      <c r="E155" s="11">
        <f>A155-'Mastercurve bestimmen'!$B$2</f>
        <v>20</v>
      </c>
      <c r="F155" s="11">
        <f t="shared" si="15"/>
        <v>4.6585403453452994</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4.9294506081264426</v>
      </c>
      <c r="E156" s="11">
        <f>A156-'Mastercurve bestimmen'!$B$2</f>
        <v>21</v>
      </c>
      <c r="F156" s="11">
        <f t="shared" si="15"/>
        <v>4.9294506081264426</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5.2038264727331613</v>
      </c>
      <c r="E157" s="11">
        <f>A157-'Mastercurve bestimmen'!$B$2</f>
        <v>22</v>
      </c>
      <c r="F157" s="11">
        <f t="shared" si="15"/>
        <v>5.2038264727331613</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5.4816472323298022</v>
      </c>
      <c r="E158" s="11">
        <f>A158-'Mastercurve bestimmen'!$B$2</f>
        <v>23</v>
      </c>
      <c r="F158" s="11">
        <f t="shared" si="15"/>
        <v>5.4816472323298022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5.7628921800807102</v>
      </c>
      <c r="E159" s="11">
        <f>A159-'Mastercurve bestimmen'!$B$2</f>
        <v>24</v>
      </c>
      <c r="F159" s="11">
        <f t="shared" si="15"/>
        <v>5.7628921800807102</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6.0475406091502331</v>
      </c>
      <c r="E160" s="11">
        <f>A160-'Mastercurve bestimmen'!$B$2</f>
        <v>25</v>
      </c>
      <c r="F160" s="11">
        <f t="shared" si="15"/>
        <v>6.0475406091502331</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6.3355718127027156</v>
      </c>
      <c r="E161" s="11">
        <f>A161-'Mastercurve bestimmen'!$B$2</f>
        <v>26</v>
      </c>
      <c r="F161" s="11">
        <f t="shared" si="15"/>
        <v>6.3355718127027156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6.6269650839025056</v>
      </c>
      <c r="E162" s="11">
        <f>A162-'Mastercurve bestimmen'!$B$2</f>
        <v>27</v>
      </c>
      <c r="F162" s="11">
        <f t="shared" si="15"/>
        <v>6.6269650839025056</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6.9216997159139488</v>
      </c>
      <c r="E163" s="11">
        <f>A163-'Mastercurve bestimmen'!$B$2</f>
        <v>28</v>
      </c>
      <c r="F163" s="11">
        <f t="shared" si="15"/>
        <v>6.9216997159139488</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7.2197550019013912</v>
      </c>
      <c r="E164" s="11">
        <f>A164-'Mastercurve bestimmen'!$B$2</f>
        <v>29</v>
      </c>
      <c r="F164" s="11">
        <f t="shared" si="15"/>
        <v>7.2197550019013912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7.5211102350291785</v>
      </c>
      <c r="E165" s="11">
        <f>A165-'Mastercurve bestimmen'!$B$2</f>
        <v>30</v>
      </c>
      <c r="F165" s="11">
        <f t="shared" si="15"/>
        <v>7.5211102350291785</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7.8257447084616585</v>
      </c>
      <c r="E166" s="11">
        <f>A166-'Mastercurve bestimmen'!$B$2</f>
        <v>31</v>
      </c>
      <c r="F166" s="11">
        <f t="shared" si="15"/>
        <v>7.8257447084616585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8.1336377153631751</v>
      </c>
      <c r="E167" s="11">
        <f>A167-'Mastercurve bestimmen'!$B$2</f>
        <v>32</v>
      </c>
      <c r="F167" s="11">
        <f t="shared" si="15"/>
        <v>8.1336377153631751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8.444768548898077</v>
      </c>
      <c r="E168" s="11">
        <f>A168-'Mastercurve bestimmen'!$B$2</f>
        <v>33</v>
      </c>
      <c r="F168" s="11">
        <f t="shared" si="15"/>
        <v>8.444768548898077</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8.7591165022307091</v>
      </c>
      <c r="E169" s="11">
        <f>A169-'Mastercurve bestimmen'!$B$2</f>
        <v>34</v>
      </c>
      <c r="F169" s="11">
        <f t="shared" si="15"/>
        <v>8.7591165022307091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9.0766608685254191</v>
      </c>
      <c r="E170" s="11">
        <f>A170-'Mastercurve bestimmen'!$B$2</f>
        <v>35</v>
      </c>
      <c r="F170" s="11">
        <f t="shared" si="15"/>
        <v>9.0766608685254191</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9.397380940946551</v>
      </c>
      <c r="E171" s="11">
        <f>A171-'Mastercurve bestimmen'!$B$2</f>
        <v>36</v>
      </c>
      <c r="F171" s="11">
        <f t="shared" si="15"/>
        <v>9.397380940946551</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9.7212560126584542</v>
      </c>
      <c r="E172" s="11">
        <f>A172-'Mastercurve bestimmen'!$B$2</f>
        <v>37</v>
      </c>
      <c r="F172" s="11">
        <f t="shared" si="15"/>
        <v>9.7212560126584542</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10.048265376825471</v>
      </c>
      <c r="E173" s="11">
        <f>A173-'Mastercurve bestimmen'!$B$2</f>
        <v>38</v>
      </c>
      <c r="F173" s="11">
        <f t="shared" si="15"/>
        <v>10.048265376825471</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10.378388326611951</v>
      </c>
      <c r="E174" s="11">
        <f>A174-'Mastercurve bestimmen'!$B$2</f>
        <v>39</v>
      </c>
      <c r="F174" s="11">
        <f t="shared" si="15"/>
        <v>10.378388326611951</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10.71160415518224</v>
      </c>
      <c r="E175" s="11">
        <f>A175-'Mastercurve bestimmen'!$B$2</f>
        <v>40</v>
      </c>
      <c r="F175" s="11">
        <f t="shared" si="15"/>
        <v>10.71160415518224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11.04789215570068</v>
      </c>
      <c r="E176" s="11">
        <f>A176-'Mastercurve bestimmen'!$B$2</f>
        <v>41</v>
      </c>
      <c r="F176" s="11">
        <f t="shared" si="15"/>
        <v>11.04789215570068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11.387231621331624</v>
      </c>
      <c r="E177" s="11">
        <f>A177-'Mastercurve bestimmen'!$B$2</f>
        <v>42</v>
      </c>
      <c r="F177" s="11">
        <f t="shared" si="15"/>
        <v>11.387231621331624</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11.729601845239415</v>
      </c>
      <c r="E178" s="11">
        <f>A178-'Mastercurve bestimmen'!$B$2</f>
        <v>43</v>
      </c>
      <c r="F178" s="11">
        <f t="shared" si="15"/>
        <v>11.729601845239415</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12.074982120588398</v>
      </c>
      <c r="E179" s="11">
        <f>A179-'Mastercurve bestimmen'!$B$2</f>
        <v>44</v>
      </c>
      <c r="F179" s="11">
        <f t="shared" si="15"/>
        <v>12.074982120588398</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12.423351740542921</v>
      </c>
      <c r="E180" s="11">
        <f>A180-'Mastercurve bestimmen'!$B$2</f>
        <v>45</v>
      </c>
      <c r="F180" s="11">
        <f t="shared" si="15"/>
        <v>12.423351740542921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12.774679313036277</v>
      </c>
      <c r="E181" s="11">
        <f>A181-'Mastercurve bestimmen'!$B$2</f>
        <v>46</v>
      </c>
      <c r="F181" s="11">
        <f t="shared" si="15"/>
        <v>12.774679313036277</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13.128890705077517</v>
      </c>
      <c r="E182" s="11">
        <f>A182-'Mastercurve bestimmen'!$B$2</f>
        <v>47</v>
      </c>
      <c r="F182" s="11">
        <f t="shared" si="15"/>
        <v>13.128890705077517</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13.485901098444652</v>
      </c>
      <c r="E183" s="11">
        <f>A183-'Mastercurve bestimmen'!$B$2</f>
        <v>48</v>
      </c>
      <c r="F183" s="11">
        <f t="shared" si="15"/>
        <v>13.485901098444652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13.845625674915681</v>
      </c>
      <c r="E184" s="11">
        <f>A184-'Mastercurve bestimmen'!$B$2</f>
        <v>49</v>
      </c>
      <c r="F184" s="11">
        <f t="shared" si="15"/>
        <v>13.845625674915681</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14.207979616268608</v>
      </c>
      <c r="E185" s="11">
        <f>A185-'Mastercurve bestimmen'!$B$2</f>
        <v>50</v>
      </c>
      <c r="F185" s="11">
        <f t="shared" si="15"/>
        <v>14.207979616268608</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14.57287810428144</v>
      </c>
      <c r="E186" s="11">
        <f>A186-'Mastercurve bestimmen'!$B$2</f>
        <v>51</v>
      </c>
      <c r="F186" s="11">
        <f t="shared" si="15"/>
        <v>14.57287810428144</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14.940236320732176</v>
      </c>
      <c r="E187" s="11">
        <f>A187-'Mastercurve bestimmen'!$B$2</f>
        <v>52</v>
      </c>
      <c r="F187" s="11">
        <f t="shared" si="15"/>
        <v>14.940236320732176</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15.309969447398819</v>
      </c>
      <c r="E188" s="11">
        <f>A188-'Mastercurve bestimmen'!$B$2</f>
        <v>53</v>
      </c>
      <c r="F188" s="11">
        <f t="shared" si="15"/>
        <v>15.309969447398819</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15.681992666059376</v>
      </c>
      <c r="E189" s="11">
        <f>A189-'Mastercurve bestimmen'!$B$2</f>
        <v>54</v>
      </c>
      <c r="F189" s="11">
        <f t="shared" si="15"/>
        <v>15.681992666059376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16.056221158491844</v>
      </c>
      <c r="E190" s="11">
        <f>A190-'Mastercurve bestimmen'!$B$2</f>
        <v>55</v>
      </c>
      <c r="F190" s="11">
        <f t="shared" si="15"/>
        <v>16.056221158491844</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16.432570106474238</v>
      </c>
      <c r="E191" s="11">
        <f>A191-'Mastercurve bestimmen'!$B$2</f>
        <v>56</v>
      </c>
      <c r="F191" s="11">
        <f t="shared" si="15"/>
        <v>16.432570106474238</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16.810954691784548</v>
      </c>
      <c r="E192" s="11">
        <f>A192-'Mastercurve bestimmen'!$B$2</f>
        <v>57</v>
      </c>
      <c r="F192" s="11">
        <f t="shared" si="15"/>
        <v>16.810954691784548</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17.191290096200785</v>
      </c>
      <c r="E193" s="11">
        <f>A193-'Mastercurve bestimmen'!$B$2</f>
        <v>58</v>
      </c>
      <c r="F193" s="11">
        <f t="shared" si="15"/>
        <v>17.191290096200785</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17.573491501500953</v>
      </c>
      <c r="E194" s="11">
        <f>A194-'Mastercurve bestimmen'!$B$2</f>
        <v>59</v>
      </c>
      <c r="F194" s="11">
        <f t="shared" si="15"/>
        <v>17.573491501500953</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17.957474089463048</v>
      </c>
      <c r="E195" s="11">
        <f>A195-'Mastercurve bestimmen'!$B$2</f>
        <v>60</v>
      </c>
      <c r="F195" s="11">
        <f t="shared" si="15"/>
        <v>17.957474089463048</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18.343153041865079</v>
      </c>
      <c r="E196" s="11">
        <f>A196-'Mastercurve bestimmen'!$B$2</f>
        <v>61</v>
      </c>
      <c r="F196" s="11">
        <f t="shared" si="15"/>
        <v>18.343153041865079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18.730443540485048</v>
      </c>
      <c r="E197" s="11">
        <f>A197-'Mastercurve bestimmen'!$B$2</f>
        <v>62</v>
      </c>
      <c r="F197" s="11">
        <f t="shared" si="15"/>
        <v>18.730443540485048</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19.119260767100958</v>
      </c>
      <c r="E198" s="11">
        <f>A198-'Mastercurve bestimmen'!$B$2</f>
        <v>63</v>
      </c>
      <c r="F198" s="11">
        <f t="shared" si="15"/>
        <v>19.119260767100958</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19.509519903490816</v>
      </c>
      <c r="E199" s="11">
        <f>A199-'Mastercurve bestimmen'!$B$2</f>
        <v>64</v>
      </c>
      <c r="F199" s="11">
        <f t="shared" si="15"/>
        <v>19.509519903490816</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19.901136131432615</v>
      </c>
      <c r="E200" s="11">
        <f>A200-'Mastercurve bestimmen'!$B$2</f>
        <v>65</v>
      </c>
      <c r="F200" s="11">
        <f t="shared" si="15"/>
        <v>19.901136131432615</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20.294024632704371</v>
      </c>
      <c r="E201" s="11">
        <f>A201-'Mastercurve bestimmen'!$B$2</f>
        <v>66</v>
      </c>
      <c r="F201" s="11">
        <f t="shared" si="15"/>
        <v>20.294024632704371</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20.68810058908408</v>
      </c>
      <c r="E202" s="11">
        <f>A202-'Mastercurve bestimmen'!$B$2</f>
        <v>67</v>
      </c>
      <c r="F202" s="11">
        <f t="shared" si="15"/>
        <v>20.68810058908408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21.083279182349749</v>
      </c>
      <c r="E203" s="11">
        <f>A203-'Mastercurve bestimmen'!$B$2</f>
        <v>68</v>
      </c>
      <c r="F203" s="11">
        <f t="shared" si="15"/>
        <v>21.083279182349749</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21.479475594279375</v>
      </c>
      <c r="E204" s="11">
        <f>A204-'Mastercurve bestimmen'!$B$2</f>
        <v>69</v>
      </c>
      <c r="F204" s="11">
        <f t="shared" si="15"/>
        <v>21.479475594279375</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21.876605006650962</v>
      </c>
      <c r="E205" s="11">
        <f>A205-'Mastercurve bestimmen'!$B$2</f>
        <v>70</v>
      </c>
      <c r="F205" s="11">
        <f t="shared" si="15"/>
        <v>21.876605006650962</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22.274582601242525</v>
      </c>
      <c r="E206" s="11">
        <f>A206-'Mastercurve bestimmen'!$B$2</f>
        <v>71</v>
      </c>
      <c r="F206" s="11">
        <f t="shared" si="15"/>
        <v>22.274582601242525</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22.673323559832053</v>
      </c>
      <c r="E207" s="11">
        <f>A207-'Mastercurve bestimmen'!$B$2</f>
        <v>72</v>
      </c>
      <c r="F207" s="11">
        <f t="shared" si="15"/>
        <v>22.673323559832053</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23.072743064197557</v>
      </c>
      <c r="E208" s="11">
        <f>A208-'Mastercurve bestimmen'!$B$2</f>
        <v>73</v>
      </c>
      <c r="F208" s="11">
        <f t="shared" ref="F208:F215" si="21">B208</f>
        <v>23.072743064197557</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23.472756296117037</v>
      </c>
      <c r="E209" s="11">
        <f>A209-'Mastercurve bestimmen'!$B$2</f>
        <v>74</v>
      </c>
      <c r="F209" s="11">
        <f t="shared" si="21"/>
        <v>23.472756296117037</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23.873278437368498</v>
      </c>
      <c r="E210" s="11">
        <f>A210-'Mastercurve bestimmen'!$B$2</f>
        <v>75</v>
      </c>
      <c r="F210" s="11">
        <f t="shared" si="21"/>
        <v>23.873278437368498</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24.274224669729943</v>
      </c>
      <c r="E211" s="11">
        <f>A211-'Mastercurve bestimmen'!$B$2</f>
        <v>76</v>
      </c>
      <c r="F211" s="11">
        <f t="shared" si="21"/>
        <v>24.274224669729943</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24.675510174979372</v>
      </c>
      <c r="E212" s="11">
        <f>A212-'Mastercurve bestimmen'!$B$2</f>
        <v>77</v>
      </c>
      <c r="F212" s="11">
        <f t="shared" si="21"/>
        <v>24.675510174979372</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25.077050134894797</v>
      </c>
      <c r="E213" s="11">
        <f>A213-'Mastercurve bestimmen'!$B$2</f>
        <v>78</v>
      </c>
      <c r="F213" s="11">
        <f t="shared" si="21"/>
        <v>25.077050134894797</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25.478759731254211</v>
      </c>
      <c r="E214" s="11">
        <f>A214-'Mastercurve bestimmen'!$B$2</f>
        <v>79</v>
      </c>
      <c r="F214" s="11">
        <f t="shared" si="21"/>
        <v>25.478759731254211</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25.880554145835621</v>
      </c>
      <c r="E215" s="11">
        <f>A215-'Mastercurve bestimmen'!$B$2</f>
        <v>80</v>
      </c>
      <c r="F215" s="11">
        <f t="shared" si="21"/>
        <v>25.880554145835621</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0.19384050071459333</v>
      </c>
      <c r="J217" s="98">
        <v>1.6080721917707086E-3</v>
      </c>
      <c r="K217" s="98">
        <v>1.3355538372542509E-5</v>
      </c>
      <c r="L217" s="98">
        <v>-1.4179650799823378E-7</v>
      </c>
      <c r="M217" s="98">
        <v>-1.25515298482418E-9</v>
      </c>
      <c r="N217" s="98">
        <v>5.0442139867659582E-12</v>
      </c>
      <c r="O217" s="98">
        <v>7.1873942484765387E-14</v>
      </c>
      <c r="P217" s="98">
        <v>2.4091246269406107E-16</v>
      </c>
    </row>
    <row r="218" spans="1:16" x14ac:dyDescent="0.25">
      <c r="G218" s="11"/>
      <c r="H218" s="11">
        <v>0</v>
      </c>
      <c r="I218" s="11">
        <v>7.6628109565420553E-4</v>
      </c>
      <c r="J218" s="11">
        <v>1.4273169277993924E-5</v>
      </c>
      <c r="K218" s="3">
        <v>7.2521393321287653E-7</v>
      </c>
      <c r="L218" s="3">
        <v>6.6032885762954395E-9</v>
      </c>
      <c r="M218" s="3">
        <v>2.073444977433688E-10</v>
      </c>
      <c r="N218" s="3">
        <v>1.1393798032067371E-12</v>
      </c>
      <c r="O218" s="11">
        <v>1.8321890783217538E-14</v>
      </c>
      <c r="P218" s="11">
        <v>1.1141517186617213E-16</v>
      </c>
    </row>
    <row r="219" spans="1:16" x14ac:dyDescent="0.25">
      <c r="G219" s="11"/>
      <c r="H219" s="11">
        <v>0.99996370605096352</v>
      </c>
      <c r="I219" s="11">
        <v>7.9275408094911834E-2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-21.686687864982467</v>
      </c>
      <c r="G222">
        <f>F15</f>
        <v>-21.791859757314405</v>
      </c>
    </row>
    <row r="223" spans="1:16" x14ac:dyDescent="0.25">
      <c r="E223" s="11">
        <f t="shared" ref="E223:E286" si="25">E16</f>
        <v>-119</v>
      </c>
      <c r="F223" s="11">
        <f t="shared" ref="F223:F286" si="26">$H$217*0+E223*$I$217+E223^2*$J$217+E223^3*$K$217+E223^4*$L$217+E223^5*$M$217+E223^6*$N$217+E223^7*$O$217+E223^8*$P$217</f>
        <v>-21.560027806027943</v>
      </c>
      <c r="G223" s="11">
        <f t="shared" ref="G223:G286" si="27">F16</f>
        <v>-21.61812017205536</v>
      </c>
    </row>
    <row r="224" spans="1:16" x14ac:dyDescent="0.25">
      <c r="E224" s="11">
        <f t="shared" si="25"/>
        <v>-118</v>
      </c>
      <c r="F224" s="11">
        <f t="shared" si="26"/>
        <v>-21.424858355208745</v>
      </c>
      <c r="G224" s="11">
        <f t="shared" si="27"/>
        <v>-21.444219366705951</v>
      </c>
    </row>
    <row r="225" spans="5:7" x14ac:dyDescent="0.25">
      <c r="E225" s="11">
        <f t="shared" si="25"/>
        <v>-117</v>
      </c>
      <c r="F225" s="11">
        <f t="shared" si="26"/>
        <v>-21.281676160494492</v>
      </c>
      <c r="G225" s="11">
        <f t="shared" si="27"/>
        <v>-21.269996121175826</v>
      </c>
    </row>
    <row r="226" spans="5:7" x14ac:dyDescent="0.25">
      <c r="E226" s="11">
        <f t="shared" si="25"/>
        <v>-116</v>
      </c>
      <c r="F226" s="11">
        <f t="shared" si="26"/>
        <v>-21.130958938299365</v>
      </c>
      <c r="G226" s="11">
        <f t="shared" si="27"/>
        <v>-21.095289215374628</v>
      </c>
    </row>
    <row r="227" spans="5:7" x14ac:dyDescent="0.25">
      <c r="E227" s="11">
        <f t="shared" si="25"/>
        <v>-115</v>
      </c>
      <c r="F227" s="11">
        <f t="shared" si="26"/>
        <v>-20.973166176669785</v>
      </c>
      <c r="G227" s="11">
        <f t="shared" si="27"/>
        <v>-20.919937429211995</v>
      </c>
    </row>
    <row r="228" spans="5:7" x14ac:dyDescent="0.25">
      <c r="E228" s="11">
        <f t="shared" si="25"/>
        <v>-114</v>
      </c>
      <c r="F228" s="11">
        <f t="shared" si="26"/>
        <v>-20.808739810735734</v>
      </c>
      <c r="G228" s="11">
        <f t="shared" si="27"/>
        <v>-20.743779542597565</v>
      </c>
    </row>
    <row r="229" spans="5:7" x14ac:dyDescent="0.25">
      <c r="E229" s="11">
        <f t="shared" si="25"/>
        <v>-113</v>
      </c>
      <c r="F229" s="11">
        <f t="shared" si="26"/>
        <v>-20.638104871195267</v>
      </c>
      <c r="G229" s="11">
        <f t="shared" si="27"/>
        <v>-20.566654335440976</v>
      </c>
    </row>
    <row r="230" spans="5:7" x14ac:dyDescent="0.25">
      <c r="E230" s="11">
        <f t="shared" si="25"/>
        <v>-112</v>
      </c>
      <c r="F230" s="11">
        <f t="shared" si="26"/>
        <v>-20.461670106591644</v>
      </c>
      <c r="G230" s="11">
        <f t="shared" si="27"/>
        <v>-20.38840058765188</v>
      </c>
    </row>
    <row r="231" spans="5:7" x14ac:dyDescent="0.25">
      <c r="E231" s="11">
        <f t="shared" si="25"/>
        <v>-111</v>
      </c>
      <c r="F231" s="11">
        <f t="shared" si="26"/>
        <v>-20.279828580133312</v>
      </c>
      <c r="G231" s="11">
        <f t="shared" si="27"/>
        <v>-20.208857079139911</v>
      </c>
    </row>
    <row r="232" spans="5:7" x14ac:dyDescent="0.25">
      <c r="E232" s="11">
        <f t="shared" si="25"/>
        <v>-110</v>
      </c>
      <c r="F232" s="11">
        <f t="shared" si="26"/>
        <v>-20.092958241796754</v>
      </c>
      <c r="G232" s="11">
        <f t="shared" si="27"/>
        <v>-20.02786258981471</v>
      </c>
    </row>
    <row r="233" spans="5:7" x14ac:dyDescent="0.25">
      <c r="E233" s="11">
        <f t="shared" si="25"/>
        <v>-109</v>
      </c>
      <c r="F233" s="11">
        <f t="shared" si="26"/>
        <v>-19.90142247644291</v>
      </c>
      <c r="G233" s="11">
        <f t="shared" si="27"/>
        <v>-19.845255899585926</v>
      </c>
    </row>
    <row r="234" spans="5:7" x14ac:dyDescent="0.25">
      <c r="E234" s="11">
        <f t="shared" si="25"/>
        <v>-108</v>
      </c>
      <c r="F234" s="11">
        <f t="shared" si="26"/>
        <v>-19.705570628667864</v>
      </c>
      <c r="G234" s="11">
        <f t="shared" si="27"/>
        <v>-19.660875788363192</v>
      </c>
    </row>
    <row r="235" spans="5:7" x14ac:dyDescent="0.25">
      <c r="E235" s="11">
        <f t="shared" si="25"/>
        <v>-107</v>
      </c>
      <c r="F235" s="11">
        <f t="shared" si="26"/>
        <v>-19.505738505099011</v>
      </c>
      <c r="G235" s="11">
        <f t="shared" si="27"/>
        <v>-19.474561036056148</v>
      </c>
    </row>
    <row r="236" spans="5:7" x14ac:dyDescent="0.25">
      <c r="E236" s="11">
        <f t="shared" si="25"/>
        <v>-106</v>
      </c>
      <c r="F236" s="11">
        <f t="shared" si="26"/>
        <v>-19.302248854837988</v>
      </c>
      <c r="G236" s="11">
        <f t="shared" si="27"/>
        <v>-19.286150422574437</v>
      </c>
    </row>
    <row r="237" spans="5:7" x14ac:dyDescent="0.25">
      <c r="E237" s="11">
        <f t="shared" si="25"/>
        <v>-105</v>
      </c>
      <c r="F237" s="11">
        <f t="shared" si="26"/>
        <v>-19.095411828742169</v>
      </c>
      <c r="G237" s="11">
        <f t="shared" si="27"/>
        <v>-19.095482727827704</v>
      </c>
    </row>
    <row r="238" spans="5:7" x14ac:dyDescent="0.25">
      <c r="E238" s="11">
        <f t="shared" si="25"/>
        <v>-104</v>
      </c>
      <c r="F238" s="11">
        <f t="shared" si="26"/>
        <v>-18.885525418226599</v>
      </c>
      <c r="G238" s="11">
        <f t="shared" si="27"/>
        <v>-18.902396731725588</v>
      </c>
    </row>
    <row r="239" spans="5:7" x14ac:dyDescent="0.25">
      <c r="E239" s="11">
        <f t="shared" si="25"/>
        <v>-103</v>
      </c>
      <c r="F239" s="11">
        <f t="shared" si="26"/>
        <v>-18.672875874258608</v>
      </c>
      <c r="G239" s="11">
        <f t="shared" si="27"/>
        <v>-18.706731214177729</v>
      </c>
    </row>
    <row r="240" spans="5:7" x14ac:dyDescent="0.25">
      <c r="E240" s="11">
        <f t="shared" si="25"/>
        <v>-102</v>
      </c>
      <c r="F240" s="11">
        <f t="shared" si="26"/>
        <v>-18.457738107207785</v>
      </c>
      <c r="G240" s="11">
        <f t="shared" si="27"/>
        <v>-18.508324955093769</v>
      </c>
    </row>
    <row r="241" spans="5:7" x14ac:dyDescent="0.25">
      <c r="E241" s="11">
        <f t="shared" si="25"/>
        <v>-101</v>
      </c>
      <c r="F241" s="11">
        <f t="shared" si="26"/>
        <v>-18.240376068203933</v>
      </c>
      <c r="G241" s="11">
        <f t="shared" si="27"/>
        <v>-18.307016734383343</v>
      </c>
    </row>
    <row r="242" spans="5:7" x14ac:dyDescent="0.25">
      <c r="E242" s="11">
        <f t="shared" si="25"/>
        <v>-100</v>
      </c>
      <c r="F242" s="11">
        <f t="shared" si="26"/>
        <v>-18.021043112646304</v>
      </c>
      <c r="G242" s="11">
        <f t="shared" si="27"/>
        <v>-18.102645331956104</v>
      </c>
    </row>
    <row r="243" spans="5:7" x14ac:dyDescent="0.25">
      <c r="E243" s="11">
        <f t="shared" si="25"/>
        <v>-99</v>
      </c>
      <c r="F243" s="11">
        <f t="shared" si="26"/>
        <v>-17.799982346497348</v>
      </c>
      <c r="G243" s="11">
        <f t="shared" si="27"/>
        <v>-17.895049527721682</v>
      </c>
    </row>
    <row r="244" spans="5:7" x14ac:dyDescent="0.25">
      <c r="E244" s="11">
        <f t="shared" si="25"/>
        <v>-98</v>
      </c>
      <c r="F244" s="11">
        <f t="shared" si="26"/>
        <v>-17.577426955984848</v>
      </c>
      <c r="G244" s="11">
        <f t="shared" si="27"/>
        <v>-17.684068101589723</v>
      </c>
    </row>
    <row r="245" spans="5:7" x14ac:dyDescent="0.25">
      <c r="E245" s="11">
        <f t="shared" si="25"/>
        <v>-97</v>
      </c>
      <c r="F245" s="11">
        <f t="shared" si="26"/>
        <v>-17.353600521326179</v>
      </c>
      <c r="G245" s="11">
        <f t="shared" si="27"/>
        <v>-17.469539833469874</v>
      </c>
    </row>
    <row r="246" spans="5:7" x14ac:dyDescent="0.25">
      <c r="E246" s="11">
        <f t="shared" si="25"/>
        <v>-96</v>
      </c>
      <c r="F246" s="11">
        <f t="shared" si="26"/>
        <v>-17.128717315079225</v>
      </c>
      <c r="G246" s="11">
        <f t="shared" si="27"/>
        <v>-17.251303503271764</v>
      </c>
    </row>
    <row r="247" spans="5:7" x14ac:dyDescent="0.25">
      <c r="E247" s="11">
        <f t="shared" si="25"/>
        <v>-95</v>
      </c>
      <c r="F247" s="11">
        <f t="shared" si="26"/>
        <v>-16.902982585714199</v>
      </c>
      <c r="G247" s="11">
        <f t="shared" si="27"/>
        <v>-17.029197890905042</v>
      </c>
    </row>
    <row r="248" spans="5:7" x14ac:dyDescent="0.25">
      <c r="E248" s="11">
        <f t="shared" si="25"/>
        <v>-94</v>
      </c>
      <c r="F248" s="11">
        <f t="shared" si="26"/>
        <v>-16.676592826991467</v>
      </c>
      <c r="G248" s="11">
        <f t="shared" si="27"/>
        <v>-16.803061776279346</v>
      </c>
    </row>
    <row r="249" spans="5:7" x14ac:dyDescent="0.25">
      <c r="E249" s="11">
        <f t="shared" si="25"/>
        <v>-93</v>
      </c>
      <c r="F249" s="11">
        <f t="shared" si="26"/>
        <v>-16.449736033720278</v>
      </c>
      <c r="G249" s="11">
        <f t="shared" si="27"/>
        <v>-16.572733939304317</v>
      </c>
    </row>
    <row r="250" spans="5:7" x14ac:dyDescent="0.25">
      <c r="E250" s="11">
        <f t="shared" si="25"/>
        <v>-92</v>
      </c>
      <c r="F250" s="11">
        <f t="shared" si="26"/>
        <v>-16.222591944464014</v>
      </c>
      <c r="G250" s="11">
        <f t="shared" si="27"/>
        <v>-16.338053159889601</v>
      </c>
    </row>
    <row r="251" spans="5:7" x14ac:dyDescent="0.25">
      <c r="E251" s="11">
        <f t="shared" si="25"/>
        <v>-91</v>
      </c>
      <c r="F251" s="11">
        <f t="shared" si="26"/>
        <v>-15.995332271747381</v>
      </c>
      <c r="G251" s="11">
        <f t="shared" si="27"/>
        <v>-16.098858217944834</v>
      </c>
    </row>
    <row r="252" spans="5:7" x14ac:dyDescent="0.25">
      <c r="E252" s="11">
        <f t="shared" si="25"/>
        <v>-90</v>
      </c>
      <c r="F252" s="11">
        <f t="shared" si="26"/>
        <v>-15.768120920311821</v>
      </c>
      <c r="G252" s="11">
        <f t="shared" si="27"/>
        <v>-15.854987893379654</v>
      </c>
    </row>
    <row r="253" spans="5:7" x14ac:dyDescent="0.25">
      <c r="E253" s="11">
        <f t="shared" si="25"/>
        <v>-89</v>
      </c>
      <c r="F253" s="11">
        <f t="shared" si="26"/>
        <v>-15.541114193955147</v>
      </c>
      <c r="G253" s="11">
        <f t="shared" si="27"/>
        <v>-15.606280966103709</v>
      </c>
    </row>
    <row r="254" spans="5:7" x14ac:dyDescent="0.25">
      <c r="E254" s="11">
        <f t="shared" si="25"/>
        <v>-88</v>
      </c>
      <c r="F254" s="11">
        <f t="shared" si="26"/>
        <v>-15.31446099148212</v>
      </c>
      <c r="G254" s="11">
        <f t="shared" si="27"/>
        <v>-15.352576216026639</v>
      </c>
    </row>
    <row r="255" spans="5:7" x14ac:dyDescent="0.25">
      <c r="E255" s="11">
        <f t="shared" si="25"/>
        <v>-87</v>
      </c>
      <c r="F255" s="11">
        <f t="shared" si="26"/>
        <v>-15.088302992282705</v>
      </c>
      <c r="G255" s="11">
        <f t="shared" si="27"/>
        <v>-15.093712423058085</v>
      </c>
    </row>
    <row r="256" spans="5:7" x14ac:dyDescent="0.25">
      <c r="E256" s="11">
        <f t="shared" si="25"/>
        <v>-86</v>
      </c>
      <c r="F256" s="11">
        <f t="shared" si="26"/>
        <v>-14.862774832045213</v>
      </c>
      <c r="G256" s="11">
        <f t="shared" si="27"/>
        <v>-14.829528367107683</v>
      </c>
    </row>
    <row r="257" spans="5:7" x14ac:dyDescent="0.25">
      <c r="E257" s="11">
        <f t="shared" si="25"/>
        <v>-85</v>
      </c>
      <c r="F257" s="11">
        <f t="shared" si="26"/>
        <v>-14.638004269101627</v>
      </c>
      <c r="G257" s="11">
        <f t="shared" si="27"/>
        <v>-14.559862828085079</v>
      </c>
    </row>
    <row r="258" spans="5:7" x14ac:dyDescent="0.25">
      <c r="E258" s="11">
        <f t="shared" si="25"/>
        <v>-84</v>
      </c>
      <c r="F258" s="11">
        <f t="shared" si="26"/>
        <v>-14.414112341892913</v>
      </c>
      <c r="G258" s="11">
        <f t="shared" si="27"/>
        <v>-14.284554585899913</v>
      </c>
    </row>
    <row r="259" spans="5:7" x14ac:dyDescent="0.25">
      <c r="E259" s="11">
        <f t="shared" si="25"/>
        <v>-83</v>
      </c>
      <c r="F259" s="11">
        <f t="shared" si="26"/>
        <v>-14.191213518032237</v>
      </c>
      <c r="G259" s="11">
        <f t="shared" si="27"/>
        <v>-14.003442420461827</v>
      </c>
    </row>
    <row r="260" spans="5:7" x14ac:dyDescent="0.25">
      <c r="E260" s="11">
        <f t="shared" si="25"/>
        <v>-82</v>
      </c>
      <c r="F260" s="11">
        <f t="shared" si="26"/>
        <v>-13.969415835434381</v>
      </c>
      <c r="G260" s="11">
        <f t="shared" si="27"/>
        <v>-13.716365111680458</v>
      </c>
    </row>
    <row r="261" spans="5:7" x14ac:dyDescent="0.25">
      <c r="E261" s="11">
        <f t="shared" si="25"/>
        <v>-81</v>
      </c>
      <c r="F261" s="11">
        <f t="shared" si="26"/>
        <v>-13.748821035969884</v>
      </c>
      <c r="G261" s="11">
        <f t="shared" si="27"/>
        <v>-13.423161439465453</v>
      </c>
    </row>
    <row r="262" spans="5:7" x14ac:dyDescent="0.25">
      <c r="E262" s="11">
        <f t="shared" si="25"/>
        <v>-80</v>
      </c>
      <c r="F262" s="11">
        <f t="shared" si="26"/>
        <v>-13.529524692092789</v>
      </c>
      <c r="G262" s="11">
        <f t="shared" si="27"/>
        <v>-13.12367018372645</v>
      </c>
    </row>
    <row r="263" spans="5:7" x14ac:dyDescent="0.25">
      <c r="E263" s="11">
        <f t="shared" si="25"/>
        <v>-79</v>
      </c>
      <c r="F263" s="11">
        <f t="shared" si="26"/>
        <v>-13.311616326881069</v>
      </c>
      <c r="G263" s="11">
        <f t="shared" si="27"/>
        <v>-12.985921405712947</v>
      </c>
    </row>
    <row r="264" spans="5:7" x14ac:dyDescent="0.25">
      <c r="E264" s="11">
        <f t="shared" si="25"/>
        <v>-78</v>
      </c>
      <c r="F264" s="11">
        <f t="shared" si="26"/>
        <v>-13.095179527919194</v>
      </c>
      <c r="G264" s="11">
        <f t="shared" si="27"/>
        <v>-12.842088814064521</v>
      </c>
    </row>
    <row r="265" spans="5:7" x14ac:dyDescent="0.25">
      <c r="E265" s="11">
        <f t="shared" si="25"/>
        <v>-77</v>
      </c>
      <c r="F265" s="11">
        <f t="shared" si="26"/>
        <v>-12.88029205544254</v>
      </c>
      <c r="G265" s="11">
        <f t="shared" si="27"/>
        <v>-12.692537398760612</v>
      </c>
    </row>
    <row r="266" spans="5:7" x14ac:dyDescent="0.25">
      <c r="E266" s="11">
        <f t="shared" si="25"/>
        <v>-76</v>
      </c>
      <c r="F266" s="11">
        <f t="shared" si="26"/>
        <v>-12.66702594515356</v>
      </c>
      <c r="G266" s="11">
        <f t="shared" si="27"/>
        <v>-12.53763214978065</v>
      </c>
    </row>
    <row r="267" spans="5:7" x14ac:dyDescent="0.25">
      <c r="E267" s="11">
        <f t="shared" si="25"/>
        <v>-75</v>
      </c>
      <c r="F267" s="11">
        <f t="shared" si="26"/>
        <v>-12.455447606110058</v>
      </c>
      <c r="G267" s="11">
        <f t="shared" si="27"/>
        <v>-12.377738057104077</v>
      </c>
    </row>
    <row r="268" spans="5:7" x14ac:dyDescent="0.25">
      <c r="E268" s="11">
        <f t="shared" si="25"/>
        <v>-74</v>
      </c>
      <c r="F268" s="11">
        <f t="shared" si="26"/>
        <v>-12.245617914076115</v>
      </c>
      <c r="G268" s="11">
        <f t="shared" si="27"/>
        <v>-12.213220110710321</v>
      </c>
    </row>
    <row r="269" spans="5:7" x14ac:dyDescent="0.25">
      <c r="E269" s="11">
        <f t="shared" si="25"/>
        <v>-73</v>
      </c>
      <c r="F269" s="11">
        <f t="shared" si="26"/>
        <v>-12.037592300716481</v>
      </c>
      <c r="G269" s="11">
        <f t="shared" si="27"/>
        <v>-12.044443300578822</v>
      </c>
    </row>
    <row r="270" spans="5:7" x14ac:dyDescent="0.25">
      <c r="E270" s="11">
        <f t="shared" si="25"/>
        <v>-72</v>
      </c>
      <c r="F270" s="11">
        <f t="shared" si="26"/>
        <v>-11.83142083900556</v>
      </c>
      <c r="G270" s="11">
        <f t="shared" si="27"/>
        <v>-11.871772616689018</v>
      </c>
    </row>
    <row r="271" spans="5:7" x14ac:dyDescent="0.25">
      <c r="E271" s="11">
        <f t="shared" si="25"/>
        <v>-71</v>
      </c>
      <c r="F271" s="11">
        <f t="shared" si="26"/>
        <v>-11.627148325212492</v>
      </c>
      <c r="G271" s="11">
        <f t="shared" si="27"/>
        <v>-11.695573049020339</v>
      </c>
    </row>
    <row r="272" spans="5:7" x14ac:dyDescent="0.25">
      <c r="E272" s="11">
        <f t="shared" si="25"/>
        <v>-70</v>
      </c>
      <c r="F272" s="11">
        <f t="shared" si="26"/>
        <v>-11.424814357813901</v>
      </c>
      <c r="G272" s="11">
        <f t="shared" si="27"/>
        <v>-11.516209587552224</v>
      </c>
    </row>
    <row r="273" spans="5:7" x14ac:dyDescent="0.25">
      <c r="E273" s="11">
        <f t="shared" si="25"/>
        <v>-69</v>
      </c>
      <c r="F273" s="11">
        <f t="shared" si="26"/>
        <v>-11.224453413676404</v>
      </c>
      <c r="G273" s="11">
        <f t="shared" si="27"/>
        <v>-11.334047222264106</v>
      </c>
    </row>
    <row r="274" spans="5:7" x14ac:dyDescent="0.25">
      <c r="E274" s="11">
        <f t="shared" si="25"/>
        <v>-68</v>
      </c>
      <c r="F274" s="11">
        <f t="shared" si="26"/>
        <v>-11.026094921841141</v>
      </c>
      <c r="G274" s="11">
        <f t="shared" si="27"/>
        <v>-11.149450943135424</v>
      </c>
    </row>
    <row r="275" spans="5:7" x14ac:dyDescent="0.25">
      <c r="E275" s="11">
        <f t="shared" si="25"/>
        <v>-67</v>
      </c>
      <c r="F275" s="11">
        <f t="shared" si="26"/>
        <v>-10.829763335232824</v>
      </c>
      <c r="G275" s="11">
        <f t="shared" si="27"/>
        <v>-10.962785740145609</v>
      </c>
    </row>
    <row r="276" spans="5:7" x14ac:dyDescent="0.25">
      <c r="E276" s="11">
        <f t="shared" si="25"/>
        <v>-66</v>
      </c>
      <c r="F276" s="11">
        <f t="shared" si="26"/>
        <v>-10.635478200606247</v>
      </c>
      <c r="G276" s="11">
        <f t="shared" si="27"/>
        <v>-10.774416603274101</v>
      </c>
    </row>
    <row r="277" spans="5:7" x14ac:dyDescent="0.25">
      <c r="E277" s="11">
        <f t="shared" si="25"/>
        <v>-65</v>
      </c>
      <c r="F277" s="11">
        <f t="shared" si="26"/>
        <v>-10.443254227033345</v>
      </c>
      <c r="G277" s="11">
        <f t="shared" si="27"/>
        <v>-10.584708522500334</v>
      </c>
    </row>
    <row r="278" spans="5:7" x14ac:dyDescent="0.25">
      <c r="E278" s="11">
        <f t="shared" si="25"/>
        <v>-64</v>
      </c>
      <c r="F278" s="11">
        <f t="shared" si="26"/>
        <v>-10.253101353224196</v>
      </c>
      <c r="G278" s="11">
        <f t="shared" si="27"/>
        <v>-10.394026487803741</v>
      </c>
    </row>
    <row r="279" spans="5:7" x14ac:dyDescent="0.25">
      <c r="E279" s="11">
        <f t="shared" si="25"/>
        <v>-63</v>
      </c>
      <c r="F279" s="11">
        <f t="shared" si="26"/>
        <v>-10.065024813965747</v>
      </c>
      <c r="G279" s="11">
        <f t="shared" si="27"/>
        <v>-10.202735489163761</v>
      </c>
    </row>
    <row r="280" spans="5:7" x14ac:dyDescent="0.25">
      <c r="E280" s="11">
        <f t="shared" si="25"/>
        <v>-62</v>
      </c>
      <c r="F280" s="11">
        <f t="shared" si="26"/>
        <v>-9.8790252059522032</v>
      </c>
      <c r="G280" s="11">
        <f t="shared" si="27"/>
        <v>-10.011200516559828</v>
      </c>
    </row>
    <row r="281" spans="5:7" x14ac:dyDescent="0.25">
      <c r="E281" s="11">
        <f t="shared" si="25"/>
        <v>-61</v>
      </c>
      <c r="F281" s="11">
        <f t="shared" si="26"/>
        <v>-9.6950985532713894</v>
      </c>
      <c r="G281" s="11">
        <f t="shared" si="27"/>
        <v>-9.8197865599713783</v>
      </c>
    </row>
    <row r="282" spans="5:7" x14ac:dyDescent="0.25">
      <c r="E282" s="11">
        <f t="shared" si="25"/>
        <v>-60</v>
      </c>
      <c r="F282" s="11">
        <f t="shared" si="26"/>
        <v>-9.5132363728016252</v>
      </c>
      <c r="G282" s="11">
        <f t="shared" si="27"/>
        <v>-9.628858609377847</v>
      </c>
    </row>
    <row r="283" spans="5:7" x14ac:dyDescent="0.25">
      <c r="E283" s="11">
        <f t="shared" si="25"/>
        <v>-59</v>
      </c>
      <c r="F283" s="11">
        <f t="shared" si="26"/>
        <v>-9.3334257397639977</v>
      </c>
      <c r="G283" s="11">
        <f t="shared" si="27"/>
        <v>-9.4387816547586691</v>
      </c>
    </row>
    <row r="284" spans="5:7" x14ac:dyDescent="0.25">
      <c r="E284" s="11">
        <f t="shared" si="25"/>
        <v>-58</v>
      </c>
      <c r="F284" s="11">
        <f t="shared" si="26"/>
        <v>-9.1556493536651811</v>
      </c>
      <c r="G284" s="11">
        <f t="shared" si="27"/>
        <v>-9.2499206860932794</v>
      </c>
    </row>
    <row r="285" spans="5:7" x14ac:dyDescent="0.25">
      <c r="E285" s="11">
        <f t="shared" si="25"/>
        <v>-57</v>
      </c>
      <c r="F285" s="11">
        <f t="shared" si="26"/>
        <v>-8.9798856048561664</v>
      </c>
      <c r="G285" s="11">
        <f t="shared" si="27"/>
        <v>-9.0626406933611161</v>
      </c>
    </row>
    <row r="286" spans="5:7" x14ac:dyDescent="0.25">
      <c r="E286" s="11">
        <f t="shared" si="25"/>
        <v>-56</v>
      </c>
      <c r="F286" s="11">
        <f t="shared" si="26"/>
        <v>-8.8061086419227106</v>
      </c>
      <c r="G286" s="11">
        <f t="shared" si="27"/>
        <v>-8.877306666541612</v>
      </c>
    </row>
    <row r="287" spans="5:7" x14ac:dyDescent="0.25">
      <c r="E287" s="11">
        <f t="shared" ref="E287:E350" si="28">E80</f>
        <v>-55</v>
      </c>
      <c r="F287" s="11">
        <f t="shared" ref="F287:F350" si="29">$H$217*0+E287*$I$217+E287^2*$J$217+E287^3*$K$217+E287^4*$L$217+E287^5*$M$217+E287^6*$N$217+E287^7*$O$217+E287^8*$P$217</f>
        <v>-8.6342884401133961</v>
      </c>
      <c r="G287" s="11">
        <f t="shared" ref="G287:G350" si="30">F80</f>
        <v>-8.6942835956142055</v>
      </c>
    </row>
    <row r="288" spans="5:7" x14ac:dyDescent="0.25">
      <c r="E288" s="11">
        <f t="shared" si="28"/>
        <v>-54</v>
      </c>
      <c r="F288" s="11">
        <f t="shared" si="29"/>
        <v>-8.4643908710017168</v>
      </c>
      <c r="G288" s="11">
        <f t="shared" si="30"/>
        <v>-8.5138605871996162</v>
      </c>
    </row>
    <row r="289" spans="5:7" x14ac:dyDescent="0.25">
      <c r="E289" s="11">
        <f t="shared" si="28"/>
        <v>-53</v>
      </c>
      <c r="F289" s="11">
        <f t="shared" si="29"/>
        <v>-8.2963777735686328</v>
      </c>
      <c r="G289" s="11">
        <f t="shared" si="30"/>
        <v>-8.3360232144837205</v>
      </c>
    </row>
    <row r="290" spans="5:7" x14ac:dyDescent="0.25">
      <c r="E290" s="11">
        <f t="shared" si="28"/>
        <v>-52</v>
      </c>
      <c r="F290" s="11">
        <f t="shared" si="29"/>
        <v>-8.1302070268825446</v>
      </c>
      <c r="G290" s="11">
        <f t="shared" si="30"/>
        <v>-8.1606811672936814</v>
      </c>
    </row>
    <row r="291" spans="5:7" x14ac:dyDescent="0.25">
      <c r="E291" s="11">
        <f t="shared" si="28"/>
        <v>-51</v>
      </c>
      <c r="F291" s="11">
        <f t="shared" si="29"/>
        <v>-7.9658326245437943</v>
      </c>
      <c r="G291" s="11">
        <f t="shared" si="30"/>
        <v>-7.9877441354566576</v>
      </c>
    </row>
    <row r="292" spans="5:7" x14ac:dyDescent="0.25">
      <c r="E292" s="11">
        <f t="shared" si="28"/>
        <v>-50</v>
      </c>
      <c r="F292" s="11">
        <f t="shared" si="29"/>
        <v>-7.8032047510511306</v>
      </c>
      <c r="G292" s="11">
        <f t="shared" si="30"/>
        <v>-7.8171218087998131</v>
      </c>
    </row>
    <row r="293" spans="5:7" x14ac:dyDescent="0.25">
      <c r="E293" s="11">
        <f t="shared" si="28"/>
        <v>-49</v>
      </c>
      <c r="F293" s="11">
        <f t="shared" si="29"/>
        <v>-7.6422698602378754</v>
      </c>
      <c r="G293" s="11">
        <f t="shared" si="30"/>
        <v>-7.6487238771503065</v>
      </c>
    </row>
    <row r="294" spans="5:7" x14ac:dyDescent="0.25">
      <c r="E294" s="11">
        <f t="shared" si="28"/>
        <v>-48</v>
      </c>
      <c r="F294" s="11">
        <f t="shared" si="29"/>
        <v>-7.4829707559157539</v>
      </c>
      <c r="G294" s="11">
        <f t="shared" si="30"/>
        <v>-7.4824600303353037</v>
      </c>
    </row>
    <row r="295" spans="5:7" x14ac:dyDescent="0.25">
      <c r="E295" s="11">
        <f t="shared" si="28"/>
        <v>-47</v>
      </c>
      <c r="F295" s="11">
        <f t="shared" si="29"/>
        <v>-7.3252466748547365</v>
      </c>
      <c r="G295" s="11">
        <f t="shared" si="30"/>
        <v>-7.3182399581819642</v>
      </c>
    </row>
    <row r="296" spans="5:7" x14ac:dyDescent="0.25">
      <c r="E296" s="11">
        <f t="shared" si="28"/>
        <v>-46</v>
      </c>
      <c r="F296" s="11">
        <f t="shared" si="29"/>
        <v>-7.1690333722174211</v>
      </c>
      <c r="G296" s="11">
        <f t="shared" si="30"/>
        <v>-7.155973350517451</v>
      </c>
    </row>
    <row r="297" spans="5:7" x14ac:dyDescent="0.25">
      <c r="E297" s="11">
        <f t="shared" si="28"/>
        <v>-45</v>
      </c>
      <c r="F297" s="11">
        <f t="shared" si="29"/>
        <v>-7.0142632095568516</v>
      </c>
      <c r="G297" s="11">
        <f t="shared" si="30"/>
        <v>-6.9955698971689237</v>
      </c>
    </row>
    <row r="298" spans="5:7" x14ac:dyDescent="0.25">
      <c r="E298" s="11">
        <f t="shared" si="28"/>
        <v>-44</v>
      </c>
      <c r="F298" s="11">
        <f t="shared" si="29"/>
        <v>-6.8608652454769175</v>
      </c>
      <c r="G298" s="11">
        <f t="shared" si="30"/>
        <v>-6.8369392879635456</v>
      </c>
    </row>
    <row r="299" spans="5:7" x14ac:dyDescent="0.25">
      <c r="E299" s="11">
        <f t="shared" si="28"/>
        <v>-43</v>
      </c>
      <c r="F299" s="11">
        <f t="shared" si="29"/>
        <v>-6.7087653290447387</v>
      </c>
      <c r="G299" s="11">
        <f t="shared" si="30"/>
        <v>-6.6799912127284786</v>
      </c>
    </row>
    <row r="300" spans="5:7" x14ac:dyDescent="0.25">
      <c r="E300" s="11">
        <f t="shared" si="28"/>
        <v>-42</v>
      </c>
      <c r="F300" s="11">
        <f t="shared" si="29"/>
        <v>-6.5578861960348318</v>
      </c>
      <c r="G300" s="11">
        <f t="shared" si="30"/>
        <v>-6.5246353612908834</v>
      </c>
    </row>
    <row r="301" spans="5:7" x14ac:dyDescent="0.25">
      <c r="E301" s="11">
        <f t="shared" si="28"/>
        <v>-41</v>
      </c>
      <c r="F301" s="11">
        <f t="shared" si="29"/>
        <v>-6.4081475680749866</v>
      </c>
      <c r="G301" s="11">
        <f t="shared" si="30"/>
        <v>-6.370781423477923</v>
      </c>
    </row>
    <row r="302" spans="5:7" x14ac:dyDescent="0.25">
      <c r="E302" s="11">
        <f t="shared" si="28"/>
        <v>-40</v>
      </c>
      <c r="F302" s="11">
        <f t="shared" si="29"/>
        <v>-6.2594662547542015</v>
      </c>
      <c r="G302" s="11">
        <f t="shared" si="30"/>
        <v>-6.2183390891167587</v>
      </c>
    </row>
    <row r="303" spans="5:7" x14ac:dyDescent="0.25">
      <c r="E303" s="11">
        <f t="shared" si="28"/>
        <v>-39</v>
      </c>
      <c r="F303" s="11">
        <f t="shared" si="29"/>
        <v>-6.1117562587432488</v>
      </c>
      <c r="G303" s="11">
        <f t="shared" si="30"/>
        <v>-6.067218048034551</v>
      </c>
    </row>
    <row r="304" spans="5:7" x14ac:dyDescent="0.25">
      <c r="E304" s="11">
        <f t="shared" si="28"/>
        <v>-38</v>
      </c>
      <c r="F304" s="11">
        <f t="shared" si="29"/>
        <v>-5.9649288839687307</v>
      </c>
      <c r="G304" s="11">
        <f t="shared" si="30"/>
        <v>-5.9173279900584639</v>
      </c>
    </row>
    <row r="305" spans="5:7" x14ac:dyDescent="0.25">
      <c r="E305" s="11">
        <f t="shared" si="28"/>
        <v>-37</v>
      </c>
      <c r="F305" s="11">
        <f t="shared" si="29"/>
        <v>-5.8188928468717878</v>
      </c>
      <c r="G305" s="11">
        <f t="shared" si="30"/>
        <v>-5.7685786050156569</v>
      </c>
    </row>
    <row r="306" spans="5:7" x14ac:dyDescent="0.25">
      <c r="E306" s="11">
        <f t="shared" si="28"/>
        <v>-36</v>
      </c>
      <c r="F306" s="11">
        <f t="shared" si="29"/>
        <v>-5.6735543907728925</v>
      </c>
      <c r="G306" s="11">
        <f t="shared" si="30"/>
        <v>-5.6208795827332931</v>
      </c>
    </row>
    <row r="307" spans="5:7" x14ac:dyDescent="0.25">
      <c r="E307" s="11">
        <f t="shared" si="28"/>
        <v>-35</v>
      </c>
      <c r="F307" s="11">
        <f t="shared" si="29"/>
        <v>-5.5288174033544975</v>
      </c>
      <c r="G307" s="11">
        <f t="shared" si="30"/>
        <v>-5.4741406130385339</v>
      </c>
    </row>
    <row r="308" spans="5:7" x14ac:dyDescent="0.25">
      <c r="E308" s="11">
        <f t="shared" si="28"/>
        <v>-34</v>
      </c>
      <c r="F308" s="11">
        <f t="shared" si="29"/>
        <v>-5.38458353726348</v>
      </c>
      <c r="G308" s="11">
        <f t="shared" si="30"/>
        <v>-5.3282713857585415</v>
      </c>
    </row>
    <row r="309" spans="5:7" x14ac:dyDescent="0.25">
      <c r="E309" s="11">
        <f t="shared" si="28"/>
        <v>-33</v>
      </c>
      <c r="F309" s="11">
        <f t="shared" si="29"/>
        <v>-5.2407523338257498</v>
      </c>
      <c r="G309" s="11">
        <f t="shared" si="30"/>
        <v>-5.1831815907204772</v>
      </c>
    </row>
    <row r="310" spans="5:7" x14ac:dyDescent="0.25">
      <c r="E310" s="11">
        <f t="shared" si="28"/>
        <v>-32</v>
      </c>
      <c r="F310" s="11">
        <f t="shared" si="29"/>
        <v>-5.0972213498555785</v>
      </c>
      <c r="G310" s="11">
        <f t="shared" si="30"/>
        <v>-5.0387809177515033</v>
      </c>
    </row>
    <row r="311" spans="5:7" x14ac:dyDescent="0.25">
      <c r="E311" s="11">
        <f t="shared" si="28"/>
        <v>-31</v>
      </c>
      <c r="F311" s="11">
        <f t="shared" si="29"/>
        <v>-4.9538862875325345</v>
      </c>
      <c r="G311" s="11">
        <f t="shared" si="30"/>
        <v>-4.8949790566787792</v>
      </c>
    </row>
    <row r="312" spans="5:7" x14ac:dyDescent="0.25">
      <c r="E312" s="11">
        <f t="shared" si="28"/>
        <v>-30</v>
      </c>
      <c r="F312" s="11">
        <f t="shared" si="29"/>
        <v>-4.810641127309168</v>
      </c>
      <c r="G312" s="11">
        <f t="shared" si="30"/>
        <v>-4.7516856973294699</v>
      </c>
    </row>
    <row r="313" spans="5:7" x14ac:dyDescent="0.25">
      <c r="E313" s="11">
        <f t="shared" si="28"/>
        <v>-29</v>
      </c>
      <c r="F313" s="11">
        <f t="shared" si="29"/>
        <v>-4.667378263802914</v>
      </c>
      <c r="G313" s="11">
        <f t="shared" si="30"/>
        <v>-4.6088015887988485</v>
      </c>
    </row>
    <row r="314" spans="5:7" x14ac:dyDescent="0.25">
      <c r="E314" s="11">
        <f t="shared" si="28"/>
        <v>-28</v>
      </c>
      <c r="F314" s="11">
        <f t="shared" si="29"/>
        <v>-4.5239886446159385</v>
      </c>
      <c r="G314" s="11">
        <f t="shared" si="30"/>
        <v>-4.4661917172546399</v>
      </c>
    </row>
    <row r="315" spans="5:7" x14ac:dyDescent="0.25">
      <c r="E315" s="11">
        <f t="shared" si="28"/>
        <v>-27</v>
      </c>
      <c r="F315" s="11">
        <f t="shared" si="29"/>
        <v>-4.3803619120169399</v>
      </c>
      <c r="G315" s="11">
        <f t="shared" si="30"/>
        <v>-4.3237121281326809</v>
      </c>
    </row>
    <row r="316" spans="5:7" x14ac:dyDescent="0.25">
      <c r="E316" s="11">
        <f t="shared" si="28"/>
        <v>-26</v>
      </c>
      <c r="F316" s="11">
        <f t="shared" si="29"/>
        <v>-4.2363865474092206</v>
      </c>
      <c r="G316" s="11">
        <f t="shared" si="30"/>
        <v>-4.1812188668688082</v>
      </c>
    </row>
    <row r="317" spans="5:7" x14ac:dyDescent="0.25">
      <c r="E317" s="11">
        <f t="shared" si="28"/>
        <v>-25</v>
      </c>
      <c r="F317" s="11">
        <f t="shared" si="29"/>
        <v>-4.0919500184996194</v>
      </c>
      <c r="G317" s="11">
        <f t="shared" si="30"/>
        <v>-4.0385679788988611</v>
      </c>
    </row>
    <row r="318" spans="5:7" x14ac:dyDescent="0.25">
      <c r="E318" s="11">
        <f t="shared" si="28"/>
        <v>-24</v>
      </c>
      <c r="F318" s="11">
        <f t="shared" si="29"/>
        <v>-3.9469389290731933</v>
      </c>
      <c r="G318" s="11">
        <f t="shared" si="30"/>
        <v>-3.895615509658676</v>
      </c>
    </row>
    <row r="319" spans="5:7" x14ac:dyDescent="0.25">
      <c r="E319" s="11">
        <f t="shared" si="28"/>
        <v>-23</v>
      </c>
      <c r="F319" s="11">
        <f t="shared" si="29"/>
        <v>-3.8012391712687892</v>
      </c>
      <c r="G319" s="11">
        <f t="shared" si="30"/>
        <v>-3.75221750458409</v>
      </c>
    </row>
    <row r="320" spans="5:7" x14ac:dyDescent="0.25">
      <c r="E320" s="11">
        <f t="shared" si="28"/>
        <v>-22</v>
      </c>
      <c r="F320" s="11">
        <f t="shared" si="29"/>
        <v>-3.654736080240979</v>
      </c>
      <c r="G320" s="11">
        <f t="shared" si="30"/>
        <v>-3.6082300091109412</v>
      </c>
    </row>
    <row r="321" spans="5:7" x14ac:dyDescent="0.25">
      <c r="E321" s="11">
        <f t="shared" si="28"/>
        <v>-21</v>
      </c>
      <c r="F321" s="11">
        <f t="shared" si="29"/>
        <v>-3.5073145910840973</v>
      </c>
      <c r="G321" s="11">
        <f t="shared" si="30"/>
        <v>-3.4635090686750658</v>
      </c>
    </row>
    <row r="322" spans="5:7" x14ac:dyDescent="0.25">
      <c r="E322" s="11">
        <f t="shared" si="28"/>
        <v>-20</v>
      </c>
      <c r="F322" s="11">
        <f t="shared" si="29"/>
        <v>-3.3588593978843861</v>
      </c>
      <c r="G322" s="11">
        <f t="shared" si="30"/>
        <v>-3.3179107287123024</v>
      </c>
    </row>
    <row r="323" spans="5:7" x14ac:dyDescent="0.25">
      <c r="E323" s="11">
        <f t="shared" si="28"/>
        <v>-19</v>
      </c>
      <c r="F323" s="11">
        <f t="shared" si="29"/>
        <v>-3.2092551147565844</v>
      </c>
      <c r="G323" s="11">
        <f t="shared" si="30"/>
        <v>-3.1712910346584877</v>
      </c>
    </row>
    <row r="324" spans="5:7" x14ac:dyDescent="0.25">
      <c r="E324" s="11">
        <f t="shared" si="28"/>
        <v>-18</v>
      </c>
      <c r="F324" s="11">
        <f t="shared" si="29"/>
        <v>-3.0583864387115378</v>
      </c>
      <c r="G324" s="11">
        <f t="shared" si="30"/>
        <v>-3.0235060319494589</v>
      </c>
    </row>
    <row r="325" spans="5:7" x14ac:dyDescent="0.25">
      <c r="E325" s="11">
        <f t="shared" si="28"/>
        <v>-17</v>
      </c>
      <c r="F325" s="11">
        <f t="shared" si="29"/>
        <v>-2.9061383141917214</v>
      </c>
      <c r="G325" s="11">
        <f t="shared" si="30"/>
        <v>-2.8744117660210544</v>
      </c>
    </row>
    <row r="326" spans="5:7" x14ac:dyDescent="0.25">
      <c r="E326" s="11">
        <f t="shared" si="28"/>
        <v>-16</v>
      </c>
      <c r="F326" s="11">
        <f t="shared" si="29"/>
        <v>-2.7523960991018543</v>
      </c>
      <c r="G326" s="11">
        <f t="shared" si="30"/>
        <v>-2.7238642823091102</v>
      </c>
    </row>
    <row r="327" spans="5:7" x14ac:dyDescent="0.25">
      <c r="E327" s="11">
        <f t="shared" si="28"/>
        <v>-15</v>
      </c>
      <c r="F327" s="11">
        <f t="shared" si="29"/>
        <v>-2.5970457321520377</v>
      </c>
      <c r="G327" s="11">
        <f t="shared" si="30"/>
        <v>-2.571719626249465</v>
      </c>
    </row>
    <row r="328" spans="5:7" x14ac:dyDescent="0.25">
      <c r="E328" s="11">
        <f t="shared" si="28"/>
        <v>-14</v>
      </c>
      <c r="F328" s="11">
        <f t="shared" si="29"/>
        <v>-2.4399739013211974</v>
      </c>
      <c r="G328" s="11">
        <f t="shared" si="30"/>
        <v>-2.4178338432779549</v>
      </c>
    </row>
    <row r="329" spans="5:7" x14ac:dyDescent="0.25">
      <c r="E329" s="11">
        <f t="shared" si="28"/>
        <v>-13</v>
      </c>
      <c r="F329" s="11">
        <f t="shared" si="29"/>
        <v>-2.2810682132388185</v>
      </c>
      <c r="G329" s="11">
        <f t="shared" si="30"/>
        <v>-2.2620629788304187</v>
      </c>
    </row>
    <row r="330" spans="5:7" x14ac:dyDescent="0.25">
      <c r="E330" s="11">
        <f t="shared" si="28"/>
        <v>-12</v>
      </c>
      <c r="F330" s="11">
        <f t="shared" si="29"/>
        <v>-2.1202173632733237</v>
      </c>
      <c r="G330" s="11">
        <f t="shared" si="30"/>
        <v>-2.1042630783426923</v>
      </c>
    </row>
    <row r="331" spans="5:7" x14ac:dyDescent="0.25">
      <c r="E331" s="11">
        <f t="shared" si="28"/>
        <v>-11</v>
      </c>
      <c r="F331" s="11">
        <f t="shared" si="29"/>
        <v>-1.9573113061056753</v>
      </c>
      <c r="G331" s="11">
        <f t="shared" si="30"/>
        <v>-1.9442901872506142</v>
      </c>
    </row>
    <row r="332" spans="5:7" x14ac:dyDescent="0.25">
      <c r="E332" s="11">
        <f t="shared" si="28"/>
        <v>-10</v>
      </c>
      <c r="F332" s="11">
        <f t="shared" si="29"/>
        <v>-1.7922414265570967</v>
      </c>
      <c r="G332" s="11">
        <f t="shared" si="30"/>
        <v>-1.7820003509900213</v>
      </c>
    </row>
    <row r="333" spans="5:7" x14ac:dyDescent="0.25">
      <c r="E333" s="11">
        <f t="shared" si="28"/>
        <v>-9</v>
      </c>
      <c r="F333" s="11">
        <f t="shared" si="29"/>
        <v>-1.6249007104300937</v>
      </c>
      <c r="G333" s="11">
        <f t="shared" si="30"/>
        <v>-1.6172496149967508</v>
      </c>
    </row>
    <row r="334" spans="5:7" x14ac:dyDescent="0.25">
      <c r="E334" s="11">
        <f t="shared" si="28"/>
        <v>-8</v>
      </c>
      <c r="F334" s="11">
        <f t="shared" si="29"/>
        <v>-1.4551839151122274</v>
      </c>
      <c r="G334" s="11">
        <f t="shared" si="30"/>
        <v>-1.4498940247066403</v>
      </c>
    </row>
    <row r="335" spans="5:7" x14ac:dyDescent="0.25">
      <c r="E335" s="11">
        <f t="shared" si="28"/>
        <v>-7</v>
      </c>
      <c r="F335" s="11">
        <f t="shared" si="29"/>
        <v>-1.282987739682397</v>
      </c>
      <c r="G335" s="11">
        <f t="shared" si="30"/>
        <v>-1.2797896255555272</v>
      </c>
    </row>
    <row r="336" spans="5:7" x14ac:dyDescent="0.25">
      <c r="E336" s="11">
        <f t="shared" si="28"/>
        <v>-6</v>
      </c>
      <c r="F336" s="11">
        <f t="shared" si="29"/>
        <v>-1.1082109942496552</v>
      </c>
      <c r="G336" s="11">
        <f t="shared" si="30"/>
        <v>-1.1067924629792487</v>
      </c>
    </row>
    <row r="337" spans="5:7" x14ac:dyDescent="0.25">
      <c r="E337" s="11">
        <f t="shared" si="28"/>
        <v>-5</v>
      </c>
      <c r="F337" s="11">
        <f t="shared" si="29"/>
        <v>-0.93075476824489001</v>
      </c>
      <c r="G337" s="11">
        <f t="shared" si="30"/>
        <v>-0.9307585824136424</v>
      </c>
    </row>
    <row r="338" spans="5:7" x14ac:dyDescent="0.25">
      <c r="E338" s="11">
        <f t="shared" si="28"/>
        <v>-4</v>
      </c>
      <c r="F338" s="11">
        <f t="shared" si="29"/>
        <v>-0.7505225973759696</v>
      </c>
      <c r="G338" s="11">
        <f t="shared" si="30"/>
        <v>-0.75154402929454556</v>
      </c>
    </row>
    <row r="339" spans="5:7" x14ac:dyDescent="0.25">
      <c r="E339" s="11">
        <f t="shared" si="28"/>
        <v>-3</v>
      </c>
      <c r="F339" s="11">
        <f t="shared" si="29"/>
        <v>-0.56742062894725032</v>
      </c>
      <c r="G339" s="11">
        <f t="shared" si="30"/>
        <v>-0.56900484905779547</v>
      </c>
    </row>
    <row r="340" spans="5:7" x14ac:dyDescent="0.25">
      <c r="E340" s="11">
        <f t="shared" si="28"/>
        <v>-2</v>
      </c>
      <c r="F340" s="11">
        <f t="shared" si="29"/>
        <v>-0.38135778523462505</v>
      </c>
      <c r="G340" s="11">
        <f t="shared" si="30"/>
        <v>-0.38299708713922953</v>
      </c>
    </row>
    <row r="341" spans="5:7" x14ac:dyDescent="0.25">
      <c r="E341" s="11">
        <f t="shared" si="28"/>
        <v>-1</v>
      </c>
      <c r="F341" s="11">
        <f t="shared" si="29"/>
        <v>-0.19224592459757761</v>
      </c>
      <c r="G341" s="11">
        <f t="shared" si="30"/>
        <v>-0.19337678897468535</v>
      </c>
    </row>
    <row r="342" spans="5:7" x14ac:dyDescent="0.25">
      <c r="E342" s="11">
        <f t="shared" si="28"/>
        <v>0</v>
      </c>
      <c r="F342" s="11">
        <f t="shared" si="29"/>
        <v>0</v>
      </c>
      <c r="G342" s="11">
        <f t="shared" si="30"/>
        <v>0</v>
      </c>
    </row>
    <row r="343" spans="5:7" x14ac:dyDescent="0.25">
      <c r="E343" s="11">
        <f t="shared" si="28"/>
        <v>1</v>
      </c>
      <c r="F343" s="11">
        <f t="shared" si="29"/>
        <v>0.19546178539819192</v>
      </c>
      <c r="G343" s="11">
        <f t="shared" si="30"/>
        <v>0.19724979078235311</v>
      </c>
    </row>
    <row r="344" spans="5:7" x14ac:dyDescent="0.25">
      <c r="E344" s="11">
        <f t="shared" si="28"/>
        <v>2</v>
      </c>
      <c r="F344" s="11">
        <f t="shared" si="29"/>
        <v>0.3942178259263176</v>
      </c>
      <c r="G344" s="11">
        <f t="shared" si="30"/>
        <v>0.39837932010335597</v>
      </c>
    </row>
    <row r="345" spans="5:7" x14ac:dyDescent="0.25">
      <c r="E345" s="11">
        <f t="shared" si="28"/>
        <v>3</v>
      </c>
      <c r="F345" s="11">
        <f t="shared" si="29"/>
        <v>0.59634296472245274</v>
      </c>
      <c r="G345" s="11">
        <f t="shared" si="30"/>
        <v>0.60336788112735507</v>
      </c>
    </row>
    <row r="346" spans="5:7" x14ac:dyDescent="0.25">
      <c r="E346" s="11">
        <f t="shared" si="28"/>
        <v>4</v>
      </c>
      <c r="F346" s="11">
        <f t="shared" si="29"/>
        <v>0.80190834905431496</v>
      </c>
      <c r="G346" s="11">
        <f t="shared" si="30"/>
        <v>0.81219476701869675</v>
      </c>
    </row>
    <row r="347" spans="5:7" x14ac:dyDescent="0.25">
      <c r="E347" s="11">
        <f t="shared" si="28"/>
        <v>5</v>
      </c>
      <c r="F347" s="11">
        <f t="shared" si="29"/>
        <v>1.0109812900183273</v>
      </c>
      <c r="G347" s="11">
        <f t="shared" si="30"/>
        <v>1.0248392709417269</v>
      </c>
    </row>
    <row r="348" spans="5:7" x14ac:dyDescent="0.25">
      <c r="E348" s="11">
        <f t="shared" si="28"/>
        <v>6</v>
      </c>
      <c r="F348" s="11">
        <f t="shared" si="29"/>
        <v>1.2236251270033911</v>
      </c>
      <c r="G348" s="11">
        <f t="shared" si="30"/>
        <v>1.2412806860607923</v>
      </c>
    </row>
    <row r="349" spans="5:7" x14ac:dyDescent="0.25">
      <c r="E349" s="11">
        <f t="shared" si="28"/>
        <v>7</v>
      </c>
      <c r="F349" s="11">
        <f t="shared" si="29"/>
        <v>1.4398990973156067</v>
      </c>
      <c r="G349" s="11">
        <f t="shared" si="30"/>
        <v>1.4614983055402391</v>
      </c>
    </row>
    <row r="350" spans="5:7" x14ac:dyDescent="0.25">
      <c r="E350" s="11">
        <f t="shared" si="28"/>
        <v>8</v>
      </c>
      <c r="F350" s="11">
        <f t="shared" si="29"/>
        <v>1.6598582113699003</v>
      </c>
      <c r="G350" s="11">
        <f t="shared" si="30"/>
        <v>1.6854714225444136</v>
      </c>
    </row>
    <row r="351" spans="5:7" x14ac:dyDescent="0.25">
      <c r="E351" s="11">
        <f t="shared" ref="E351:E414" si="31">E144</f>
        <v>9</v>
      </c>
      <c r="F351" s="11">
        <f t="shared" ref="F351:F414" si="32">$H$217*0+E351*$I$217+E351^2*$J$217+E351^3*$K$217+E351^4*$L$217+E351^5*$M$217+E351^6*$N$217+E351^7*$O$217+E351^8*$P$217</f>
        <v>1.8835531338642295</v>
      </c>
      <c r="G351" s="11">
        <f t="shared" ref="G351:G414" si="33">F144</f>
        <v>1.9131793302376616</v>
      </c>
    </row>
    <row r="352" spans="5:7" x14ac:dyDescent="0.25">
      <c r="E352" s="11">
        <f t="shared" si="31"/>
        <v>10</v>
      </c>
      <c r="F352" s="11">
        <f t="shared" si="32"/>
        <v>2.1110300713617405</v>
      </c>
      <c r="G352" s="11">
        <f t="shared" si="33"/>
        <v>2.1446013217843301</v>
      </c>
    </row>
    <row r="353" spans="5:7" x14ac:dyDescent="0.25">
      <c r="E353" s="11">
        <f t="shared" si="31"/>
        <v>11</v>
      </c>
      <c r="F353" s="11">
        <f t="shared" si="32"/>
        <v>2.3423306667159838</v>
      </c>
      <c r="G353" s="11">
        <f t="shared" si="33"/>
        <v>2.379716690348765</v>
      </c>
    </row>
    <row r="354" spans="5:7" x14ac:dyDescent="0.25">
      <c r="E354" s="11">
        <f t="shared" si="31"/>
        <v>12</v>
      </c>
      <c r="F354" s="11">
        <f t="shared" si="32"/>
        <v>2.5774919007839978</v>
      </c>
      <c r="G354" s="11">
        <f t="shared" si="33"/>
        <v>2.6185047290953118</v>
      </c>
    </row>
    <row r="355" spans="5:7" x14ac:dyDescent="0.25">
      <c r="E355" s="11">
        <f t="shared" si="31"/>
        <v>13</v>
      </c>
      <c r="F355" s="11">
        <f t="shared" si="32"/>
        <v>2.816546001881775</v>
      </c>
      <c r="G355" s="11">
        <f t="shared" si="33"/>
        <v>2.8609447311883178</v>
      </c>
    </row>
    <row r="356" spans="5:7" x14ac:dyDescent="0.25">
      <c r="E356" s="11">
        <f t="shared" si="31"/>
        <v>14</v>
      </c>
      <c r="F356" s="11">
        <f t="shared" si="32"/>
        <v>3.0595203634463557</v>
      </c>
      <c r="G356" s="11">
        <f t="shared" si="33"/>
        <v>3.1070159897921297</v>
      </c>
    </row>
    <row r="357" spans="5:7" x14ac:dyDescent="0.25">
      <c r="E357" s="11">
        <f t="shared" si="31"/>
        <v>15</v>
      </c>
      <c r="F357" s="11">
        <f t="shared" si="32"/>
        <v>3.3064374703785062</v>
      </c>
      <c r="G357" s="11">
        <f t="shared" si="33"/>
        <v>3.3566977980710924</v>
      </c>
    </row>
    <row r="358" spans="5:7" x14ac:dyDescent="0.25">
      <c r="E358" s="11">
        <f t="shared" si="31"/>
        <v>16</v>
      </c>
      <c r="F358" s="11">
        <f t="shared" si="32"/>
        <v>3.5573148345496217</v>
      </c>
      <c r="G358" s="11">
        <f t="shared" si="33"/>
        <v>3.6099694491895535</v>
      </c>
    </row>
    <row r="359" spans="5:7" x14ac:dyDescent="0.25">
      <c r="E359" s="11">
        <f t="shared" si="31"/>
        <v>17</v>
      </c>
      <c r="F359" s="11">
        <f t="shared" si="32"/>
        <v>3.8121649399662716</v>
      </c>
      <c r="G359" s="11">
        <f t="shared" si="33"/>
        <v>3.8668102363118577</v>
      </c>
    </row>
    <row r="360" spans="5:7" x14ac:dyDescent="0.25">
      <c r="E360" s="11">
        <f t="shared" si="31"/>
        <v>18</v>
      </c>
      <c r="F360" s="11">
        <f t="shared" si="32"/>
        <v>4.0709951980954369</v>
      </c>
      <c r="G360" s="11">
        <f t="shared" si="33"/>
        <v>4.127199452602353</v>
      </c>
    </row>
    <row r="361" spans="5:7" x14ac:dyDescent="0.25">
      <c r="E361" s="11">
        <f t="shared" si="31"/>
        <v>19</v>
      </c>
      <c r="F361" s="11">
        <f t="shared" si="32"/>
        <v>4.333807913863275</v>
      </c>
      <c r="G361" s="11">
        <f t="shared" si="33"/>
        <v>4.3911163912253839</v>
      </c>
    </row>
    <row r="362" spans="5:7" x14ac:dyDescent="0.25">
      <c r="E362" s="11">
        <f t="shared" si="31"/>
        <v>20</v>
      </c>
      <c r="F362" s="11">
        <f t="shared" si="32"/>
        <v>4.6006002628499134</v>
      </c>
      <c r="G362" s="11">
        <f t="shared" si="33"/>
        <v>4.6585403453452994</v>
      </c>
    </row>
    <row r="363" spans="5:7" x14ac:dyDescent="0.25">
      <c r="E363" s="11">
        <f t="shared" si="31"/>
        <v>21</v>
      </c>
      <c r="F363" s="11">
        <f t="shared" si="32"/>
        <v>4.8713642802125214</v>
      </c>
      <c r="G363" s="11">
        <f t="shared" si="33"/>
        <v>4.9294506081264426</v>
      </c>
    </row>
    <row r="364" spans="5:7" x14ac:dyDescent="0.25">
      <c r="E364" s="11">
        <f t="shared" si="31"/>
        <v>22</v>
      </c>
      <c r="F364" s="11">
        <f t="shared" si="32"/>
        <v>5.1460868618785796</v>
      </c>
      <c r="G364" s="11">
        <f t="shared" si="33"/>
        <v>5.2038264727331613</v>
      </c>
    </row>
    <row r="365" spans="5:7" x14ac:dyDescent="0.25">
      <c r="E365" s="11">
        <f t="shared" si="31"/>
        <v>23</v>
      </c>
      <c r="F365" s="11">
        <f t="shared" si="32"/>
        <v>5.4247497785610452</v>
      </c>
      <c r="G365" s="11">
        <f t="shared" si="33"/>
        <v>5.4816472323298022</v>
      </c>
    </row>
    <row r="366" spans="5:7" x14ac:dyDescent="0.25">
      <c r="E366" s="11">
        <f t="shared" si="31"/>
        <v>24</v>
      </c>
      <c r="F366" s="11">
        <f t="shared" si="32"/>
        <v>5.7073297031567511</v>
      </c>
      <c r="G366" s="11">
        <f t="shared" si="33"/>
        <v>5.7628921800807102</v>
      </c>
    </row>
    <row r="367" spans="5:7" x14ac:dyDescent="0.25">
      <c r="E367" s="11">
        <f t="shared" si="31"/>
        <v>25</v>
      </c>
      <c r="F367" s="11">
        <f t="shared" si="32"/>
        <v>5.9937982520991264</v>
      </c>
      <c r="G367" s="11">
        <f t="shared" si="33"/>
        <v>6.0475406091502331</v>
      </c>
    </row>
    <row r="368" spans="5:7" x14ac:dyDescent="0.25">
      <c r="E368" s="11">
        <f t="shared" si="31"/>
        <v>26</v>
      </c>
      <c r="F368" s="11">
        <f t="shared" si="32"/>
        <v>6.2841220412460883</v>
      </c>
      <c r="G368" s="11">
        <f t="shared" si="33"/>
        <v>6.3355718127027156</v>
      </c>
    </row>
    <row r="369" spans="5:7" x14ac:dyDescent="0.25">
      <c r="E369" s="11">
        <f t="shared" si="31"/>
        <v>27</v>
      </c>
      <c r="F369" s="11">
        <f t="shared" si="32"/>
        <v>6.5782627568935448</v>
      </c>
      <c r="G369" s="11">
        <f t="shared" si="33"/>
        <v>6.6269650839025056</v>
      </c>
    </row>
    <row r="370" spans="5:7" x14ac:dyDescent="0.25">
      <c r="E370" s="11">
        <f t="shared" si="31"/>
        <v>28</v>
      </c>
      <c r="F370" s="11">
        <f t="shared" si="32"/>
        <v>6.8761772425147925</v>
      </c>
      <c r="G370" s="11">
        <f t="shared" si="33"/>
        <v>6.9216997159139488</v>
      </c>
    </row>
    <row r="371" spans="5:7" x14ac:dyDescent="0.25">
      <c r="E371" s="11">
        <f t="shared" si="31"/>
        <v>29</v>
      </c>
      <c r="F371" s="11">
        <f t="shared" si="32"/>
        <v>7.1778176018357351</v>
      </c>
      <c r="G371" s="11">
        <f t="shared" si="33"/>
        <v>7.2197550019013912</v>
      </c>
    </row>
    <row r="372" spans="5:7" x14ac:dyDescent="0.25">
      <c r="E372" s="11">
        <f t="shared" si="31"/>
        <v>30</v>
      </c>
      <c r="F372" s="11">
        <f t="shared" si="32"/>
        <v>7.4831313188655564</v>
      </c>
      <c r="G372" s="11">
        <f t="shared" si="33"/>
        <v>7.5211102350291785</v>
      </c>
    </row>
    <row r="373" spans="5:7" x14ac:dyDescent="0.25">
      <c r="E373" s="11">
        <f t="shared" si="31"/>
        <v>31</v>
      </c>
      <c r="F373" s="11">
        <f t="shared" si="32"/>
        <v>7.7920613955122553</v>
      </c>
      <c r="G373" s="11">
        <f t="shared" si="33"/>
        <v>7.8257447084616585</v>
      </c>
    </row>
    <row r="374" spans="5:7" x14ac:dyDescent="0.25">
      <c r="E374" s="11">
        <f t="shared" si="31"/>
        <v>32</v>
      </c>
      <c r="F374" s="11">
        <f t="shared" si="32"/>
        <v>8.1045465074220857</v>
      </c>
      <c r="G374" s="11">
        <f t="shared" si="33"/>
        <v>8.1336377153631751</v>
      </c>
    </row>
    <row r="375" spans="5:7" x14ac:dyDescent="0.25">
      <c r="E375" s="11">
        <f t="shared" si="31"/>
        <v>33</v>
      </c>
      <c r="F375" s="11">
        <f t="shared" si="32"/>
        <v>8.420521178691736</v>
      </c>
      <c r="G375" s="11">
        <f t="shared" si="33"/>
        <v>8.444768548898077</v>
      </c>
    </row>
    <row r="376" spans="5:7" x14ac:dyDescent="0.25">
      <c r="E376" s="11">
        <f t="shared" si="31"/>
        <v>34</v>
      </c>
      <c r="F376" s="11">
        <f t="shared" si="32"/>
        <v>8.7399159761116962</v>
      </c>
      <c r="G376" s="11">
        <f t="shared" si="33"/>
        <v>8.7591165022307091</v>
      </c>
    </row>
    <row r="377" spans="5:7" x14ac:dyDescent="0.25">
      <c r="E377" s="11">
        <f t="shared" si="31"/>
        <v>35</v>
      </c>
      <c r="F377" s="11">
        <f t="shared" si="32"/>
        <v>9.0626577236091403</v>
      </c>
      <c r="G377" s="11">
        <f t="shared" si="33"/>
        <v>9.0766608685254191</v>
      </c>
    </row>
    <row r="378" spans="5:7" x14ac:dyDescent="0.25">
      <c r="E378" s="11">
        <f t="shared" si="31"/>
        <v>36</v>
      </c>
      <c r="F378" s="11">
        <f t="shared" si="32"/>
        <v>9.3886697375681134</v>
      </c>
      <c r="G378" s="11">
        <f t="shared" si="33"/>
        <v>9.397380940946551</v>
      </c>
    </row>
    <row r="379" spans="5:7" x14ac:dyDescent="0.25">
      <c r="E379" s="11">
        <f t="shared" si="31"/>
        <v>37</v>
      </c>
      <c r="F379" s="11">
        <f t="shared" si="32"/>
        <v>9.7178720837148287</v>
      </c>
      <c r="G379" s="11">
        <f t="shared" si="33"/>
        <v>9.7212560126584542</v>
      </c>
    </row>
    <row r="380" spans="5:7" x14ac:dyDescent="0.25">
      <c r="E380" s="11">
        <f t="shared" si="31"/>
        <v>38</v>
      </c>
      <c r="F380" s="11">
        <f t="shared" si="32"/>
        <v>10.050181856265333</v>
      </c>
      <c r="G380" s="11">
        <f t="shared" si="33"/>
        <v>10.048265376825471</v>
      </c>
    </row>
    <row r="381" spans="5:7" x14ac:dyDescent="0.25">
      <c r="E381" s="11">
        <f t="shared" si="31"/>
        <v>39</v>
      </c>
      <c r="F381" s="11">
        <f t="shared" si="32"/>
        <v>10.385513480042635</v>
      </c>
      <c r="G381" s="11">
        <f t="shared" si="33"/>
        <v>10.378388326611951</v>
      </c>
    </row>
    <row r="382" spans="5:7" x14ac:dyDescent="0.25">
      <c r="E382" s="11">
        <f t="shared" si="31"/>
        <v>40</v>
      </c>
      <c r="F382" s="11">
        <f t="shared" si="32"/>
        <v>10.723779036280121</v>
      </c>
      <c r="G382" s="11">
        <f t="shared" si="33"/>
        <v>10.71160415518224</v>
      </c>
    </row>
    <row r="383" spans="5:7" x14ac:dyDescent="0.25">
      <c r="E383" s="11">
        <f t="shared" si="31"/>
        <v>41</v>
      </c>
      <c r="F383" s="11">
        <f t="shared" si="32"/>
        <v>11.064888612837761</v>
      </c>
      <c r="G383" s="11">
        <f t="shared" si="33"/>
        <v>11.04789215570068</v>
      </c>
    </row>
    <row r="384" spans="5:7" x14ac:dyDescent="0.25">
      <c r="E384" s="11">
        <f t="shared" si="31"/>
        <v>42</v>
      </c>
      <c r="F384" s="11">
        <f t="shared" si="32"/>
        <v>11.408750679567255</v>
      </c>
      <c r="G384" s="11">
        <f t="shared" si="33"/>
        <v>11.387231621331624</v>
      </c>
    </row>
    <row r="385" spans="5:7" x14ac:dyDescent="0.25">
      <c r="E385" s="11">
        <f t="shared" si="31"/>
        <v>43</v>
      </c>
      <c r="F385" s="11">
        <f t="shared" si="32"/>
        <v>11.755272489572137</v>
      </c>
      <c r="G385" s="11">
        <f t="shared" si="33"/>
        <v>11.729601845239415</v>
      </c>
    </row>
    <row r="386" spans="5:7" x14ac:dyDescent="0.25">
      <c r="E386" s="11">
        <f t="shared" si="31"/>
        <v>44</v>
      </c>
      <c r="F386" s="11">
        <f t="shared" si="32"/>
        <v>12.104360507118459</v>
      </c>
      <c r="G386" s="11">
        <f t="shared" si="33"/>
        <v>12.074982120588398</v>
      </c>
    </row>
    <row r="387" spans="5:7" x14ac:dyDescent="0.25">
      <c r="E387" s="11">
        <f t="shared" si="31"/>
        <v>45</v>
      </c>
      <c r="F387" s="11">
        <f t="shared" si="32"/>
        <v>12.455920862961339</v>
      </c>
      <c r="G387" s="11">
        <f t="shared" si="33"/>
        <v>12.423351740542921</v>
      </c>
    </row>
    <row r="388" spans="5:7" x14ac:dyDescent="0.25">
      <c r="E388" s="11">
        <f t="shared" si="31"/>
        <v>46</v>
      </c>
      <c r="F388" s="11">
        <f t="shared" si="32"/>
        <v>12.809859837862595</v>
      </c>
      <c r="G388" s="11">
        <f t="shared" si="33"/>
        <v>12.774679313036277</v>
      </c>
    </row>
    <row r="389" spans="5:7" x14ac:dyDescent="0.25">
      <c r="E389" s="11">
        <f t="shared" si="31"/>
        <v>47</v>
      </c>
      <c r="F389" s="11">
        <f t="shared" si="32"/>
        <v>13.166084375084074</v>
      </c>
      <c r="G389" s="11">
        <f t="shared" si="33"/>
        <v>13.128890705077517</v>
      </c>
    </row>
    <row r="390" spans="5:7" x14ac:dyDescent="0.25">
      <c r="E390" s="11">
        <f t="shared" si="31"/>
        <v>48</v>
      </c>
      <c r="F390" s="11">
        <f t="shared" si="32"/>
        <v>13.524502622651324</v>
      </c>
      <c r="G390" s="11">
        <f t="shared" si="33"/>
        <v>13.485901098444652</v>
      </c>
    </row>
    <row r="391" spans="5:7" x14ac:dyDescent="0.25">
      <c r="E391" s="11">
        <f t="shared" si="31"/>
        <v>49</v>
      </c>
      <c r="F391" s="11">
        <f t="shared" si="32"/>
        <v>13.885024506191751</v>
      </c>
      <c r="G391" s="11">
        <f t="shared" si="33"/>
        <v>13.845625674915681</v>
      </c>
    </row>
    <row r="392" spans="5:7" x14ac:dyDescent="0.25">
      <c r="E392" s="11">
        <f t="shared" si="31"/>
        <v>50</v>
      </c>
      <c r="F392" s="11">
        <f t="shared" si="32"/>
        <v>14.247562333161161</v>
      </c>
      <c r="G392" s="11">
        <f t="shared" si="33"/>
        <v>14.207979616268608</v>
      </c>
    </row>
    <row r="393" spans="5:7" x14ac:dyDescent="0.25">
      <c r="E393" s="11">
        <f t="shared" si="31"/>
        <v>51</v>
      </c>
      <c r="F393" s="11">
        <f t="shared" si="32"/>
        <v>14.612031429282428</v>
      </c>
      <c r="G393" s="11">
        <f t="shared" si="33"/>
        <v>14.57287810428144</v>
      </c>
    </row>
    <row r="394" spans="5:7" x14ac:dyDescent="0.25">
      <c r="E394" s="11">
        <f t="shared" si="31"/>
        <v>52</v>
      </c>
      <c r="F394" s="11">
        <f t="shared" si="32"/>
        <v>14.978350808029525</v>
      </c>
      <c r="G394" s="11">
        <f t="shared" si="33"/>
        <v>14.940236320732176</v>
      </c>
    </row>
    <row r="395" spans="5:7" x14ac:dyDescent="0.25">
      <c r="E395" s="11">
        <f t="shared" si="31"/>
        <v>53</v>
      </c>
      <c r="F395" s="11">
        <f t="shared" si="32"/>
        <v>15.346443874000059</v>
      </c>
      <c r="G395" s="11">
        <f t="shared" si="33"/>
        <v>15.309969447398819</v>
      </c>
    </row>
    <row r="396" spans="5:7" x14ac:dyDescent="0.25">
      <c r="E396" s="11">
        <f t="shared" si="31"/>
        <v>54</v>
      </c>
      <c r="F396" s="11">
        <f t="shared" si="32"/>
        <v>15.716239161029078</v>
      </c>
      <c r="G396" s="11">
        <f t="shared" si="33"/>
        <v>15.681992666059376</v>
      </c>
    </row>
    <row r="397" spans="5:7" x14ac:dyDescent="0.25">
      <c r="E397" s="11">
        <f t="shared" si="31"/>
        <v>55</v>
      </c>
      <c r="F397" s="11">
        <f t="shared" si="32"/>
        <v>16.087671105906644</v>
      </c>
      <c r="G397" s="11">
        <f t="shared" si="33"/>
        <v>16.056221158491844</v>
      </c>
    </row>
    <row r="398" spans="5:7" x14ac:dyDescent="0.25">
      <c r="E398" s="11">
        <f t="shared" si="31"/>
        <v>56</v>
      </c>
      <c r="F398" s="11">
        <f t="shared" si="32"/>
        <v>16.460680858571319</v>
      </c>
      <c r="G398" s="11">
        <f t="shared" si="33"/>
        <v>16.432570106474238</v>
      </c>
    </row>
    <row r="399" spans="5:7" x14ac:dyDescent="0.25">
      <c r="E399" s="11">
        <f t="shared" si="31"/>
        <v>57</v>
      </c>
      <c r="F399" s="11">
        <f t="shared" si="32"/>
        <v>16.835217129661633</v>
      </c>
      <c r="G399" s="11">
        <f t="shared" si="33"/>
        <v>16.810954691784548</v>
      </c>
    </row>
    <row r="400" spans="5:7" x14ac:dyDescent="0.25">
      <c r="E400" s="11">
        <f t="shared" si="31"/>
        <v>58</v>
      </c>
      <c r="F400" s="11">
        <f t="shared" si="32"/>
        <v>17.21123707631698</v>
      </c>
      <c r="G400" s="11">
        <f t="shared" si="33"/>
        <v>17.191290096200785</v>
      </c>
    </row>
    <row r="401" spans="5:7" x14ac:dyDescent="0.25">
      <c r="E401" s="11">
        <f t="shared" si="31"/>
        <v>59</v>
      </c>
      <c r="F401" s="11">
        <f t="shared" si="32"/>
        <v>17.588707227129472</v>
      </c>
      <c r="G401" s="11">
        <f t="shared" si="33"/>
        <v>17.573491501500953</v>
      </c>
    </row>
    <row r="402" spans="5:7" x14ac:dyDescent="0.25">
      <c r="E402" s="11">
        <f t="shared" si="31"/>
        <v>60</v>
      </c>
      <c r="F402" s="11">
        <f t="shared" si="32"/>
        <v>17.967604447157683</v>
      </c>
      <c r="G402" s="11">
        <f t="shared" si="33"/>
        <v>17.957474089463048</v>
      </c>
    </row>
    <row r="403" spans="5:7" x14ac:dyDescent="0.25">
      <c r="E403" s="11">
        <f t="shared" si="31"/>
        <v>61</v>
      </c>
      <c r="F403" s="11">
        <f t="shared" si="32"/>
        <v>18.347916943923078</v>
      </c>
      <c r="G403" s="11">
        <f t="shared" si="33"/>
        <v>18.343153041865079</v>
      </c>
    </row>
    <row r="404" spans="5:7" x14ac:dyDescent="0.25">
      <c r="E404" s="11">
        <f t="shared" si="31"/>
        <v>62</v>
      </c>
      <c r="F404" s="11">
        <f t="shared" si="32"/>
        <v>18.729645315319743</v>
      </c>
      <c r="G404" s="11">
        <f t="shared" si="33"/>
        <v>18.730443540485048</v>
      </c>
    </row>
    <row r="405" spans="5:7" x14ac:dyDescent="0.25">
      <c r="E405" s="11">
        <f t="shared" si="31"/>
        <v>63</v>
      </c>
      <c r="F405" s="11">
        <f t="shared" si="32"/>
        <v>19.11280364037739</v>
      </c>
      <c r="G405" s="11">
        <f t="shared" si="33"/>
        <v>19.119260767100958</v>
      </c>
    </row>
    <row r="406" spans="5:7" x14ac:dyDescent="0.25">
      <c r="E406" s="11">
        <f t="shared" si="31"/>
        <v>64</v>
      </c>
      <c r="F406" s="11">
        <f t="shared" si="32"/>
        <v>19.497420613827824</v>
      </c>
      <c r="G406" s="11">
        <f t="shared" si="33"/>
        <v>19.509519903490816</v>
      </c>
    </row>
    <row r="407" spans="5:7" x14ac:dyDescent="0.25">
      <c r="E407" s="11">
        <f t="shared" si="31"/>
        <v>65</v>
      </c>
      <c r="F407" s="11">
        <f t="shared" si="32"/>
        <v>19.883540725434216</v>
      </c>
      <c r="G407" s="11">
        <f t="shared" si="33"/>
        <v>19.901136131432615</v>
      </c>
    </row>
    <row r="408" spans="5:7" x14ac:dyDescent="0.25">
      <c r="E408" s="11">
        <f t="shared" si="31"/>
        <v>66</v>
      </c>
      <c r="F408" s="11">
        <f t="shared" si="32"/>
        <v>20.271225485052828</v>
      </c>
      <c r="G408" s="11">
        <f t="shared" si="33"/>
        <v>20.294024632704371</v>
      </c>
    </row>
    <row r="409" spans="5:7" x14ac:dyDescent="0.25">
      <c r="E409" s="11">
        <f t="shared" si="31"/>
        <v>67</v>
      </c>
      <c r="F409" s="11">
        <f t="shared" si="32"/>
        <v>20.660554694405924</v>
      </c>
      <c r="G409" s="11">
        <f t="shared" si="33"/>
        <v>20.68810058908408</v>
      </c>
    </row>
    <row r="410" spans="5:7" x14ac:dyDescent="0.25">
      <c r="E410" s="11">
        <f t="shared" si="31"/>
        <v>68</v>
      </c>
      <c r="F410" s="11">
        <f t="shared" si="32"/>
        <v>21.051627766554994</v>
      </c>
      <c r="G410" s="11">
        <f t="shared" si="33"/>
        <v>21.083279182349749</v>
      </c>
    </row>
    <row r="411" spans="5:7" x14ac:dyDescent="0.25">
      <c r="E411" s="11">
        <f t="shared" si="31"/>
        <v>69</v>
      </c>
      <c r="F411" s="11">
        <f t="shared" si="32"/>
        <v>21.444565094072381</v>
      </c>
      <c r="G411" s="11">
        <f t="shared" si="33"/>
        <v>21.479475594279375</v>
      </c>
    </row>
    <row r="412" spans="5:7" x14ac:dyDescent="0.25">
      <c r="E412" s="11">
        <f t="shared" si="31"/>
        <v>70</v>
      </c>
      <c r="F412" s="11">
        <f t="shared" si="32"/>
        <v>21.839509466919953</v>
      </c>
      <c r="G412" s="11">
        <f t="shared" si="33"/>
        <v>21.876605006650962</v>
      </c>
    </row>
    <row r="413" spans="5:7" x14ac:dyDescent="0.25">
      <c r="E413" s="11">
        <f t="shared" si="31"/>
        <v>71</v>
      </c>
      <c r="F413" s="11">
        <f t="shared" si="32"/>
        <v>22.236627541052247</v>
      </c>
      <c r="G413" s="11">
        <f t="shared" si="33"/>
        <v>22.274582601242525</v>
      </c>
    </row>
    <row r="414" spans="5:7" x14ac:dyDescent="0.25">
      <c r="E414" s="11">
        <f t="shared" si="31"/>
        <v>72</v>
      </c>
      <c r="F414" s="11">
        <f t="shared" si="32"/>
        <v>22.636111358772169</v>
      </c>
      <c r="G414" s="11">
        <f t="shared" si="33"/>
        <v>22.673323559832053</v>
      </c>
    </row>
    <row r="415" spans="5:7" x14ac:dyDescent="0.25">
      <c r="E415" s="11">
        <f t="shared" ref="E415:E422" si="34">E208</f>
        <v>73</v>
      </c>
      <c r="F415" s="11">
        <f t="shared" ref="F415:F422" si="35">$H$217*0+E415*$I$217+E415^2*$J$217+E415^3*$K$217+E415^4*$L$217+E415^5*$M$217+E415^6*$N$217+E415^7*$O$217+E415^8*$P$217</f>
        <v>23.038179921876274</v>
      </c>
      <c r="G415" s="11">
        <f t="shared" ref="G415:G422" si="36">F208</f>
        <v>23.072743064197557</v>
      </c>
    </row>
    <row r="416" spans="5:7" x14ac:dyDescent="0.25">
      <c r="E416" s="11">
        <f t="shared" si="34"/>
        <v>74</v>
      </c>
      <c r="F416" s="11">
        <f t="shared" si="35"/>
        <v>23.443080818636748</v>
      </c>
      <c r="G416" s="11">
        <f t="shared" si="36"/>
        <v>23.472756296117037</v>
      </c>
    </row>
    <row r="417" spans="5:7" x14ac:dyDescent="0.25">
      <c r="E417" s="11">
        <f t="shared" si="34"/>
        <v>75</v>
      </c>
      <c r="F417" s="11">
        <f t="shared" si="35"/>
        <v>23.85109190567707</v>
      </c>
      <c r="G417" s="11">
        <f t="shared" si="36"/>
        <v>23.873278437368498</v>
      </c>
    </row>
    <row r="418" spans="5:7" x14ac:dyDescent="0.25">
      <c r="E418" s="11">
        <f t="shared" si="34"/>
        <v>76</v>
      </c>
      <c r="F418" s="11">
        <f t="shared" si="35"/>
        <v>24.262523045807409</v>
      </c>
      <c r="G418" s="11">
        <f t="shared" si="36"/>
        <v>24.274224669729943</v>
      </c>
    </row>
    <row r="419" spans="5:7" x14ac:dyDescent="0.25">
      <c r="E419" s="11">
        <f t="shared" si="34"/>
        <v>77</v>
      </c>
      <c r="F419" s="11">
        <f t="shared" si="35"/>
        <v>24.677717902896447</v>
      </c>
      <c r="G419" s="11">
        <f t="shared" si="36"/>
        <v>24.675510174979372</v>
      </c>
    </row>
    <row r="420" spans="5:7" x14ac:dyDescent="0.25">
      <c r="E420" s="11">
        <f t="shared" si="34"/>
        <v>78</v>
      </c>
      <c r="F420" s="11">
        <f t="shared" si="35"/>
        <v>25.097055794865085</v>
      </c>
      <c r="G420" s="11">
        <f t="shared" si="36"/>
        <v>25.077050134894797</v>
      </c>
    </row>
    <row r="421" spans="5:7" x14ac:dyDescent="0.25">
      <c r="E421" s="11">
        <f t="shared" si="34"/>
        <v>79</v>
      </c>
      <c r="F421" s="11">
        <f t="shared" si="35"/>
        <v>25.52095360589799</v>
      </c>
      <c r="G421" s="11">
        <f t="shared" si="36"/>
        <v>25.478759731254211</v>
      </c>
    </row>
    <row r="422" spans="5:7" x14ac:dyDescent="0.25">
      <c r="E422" s="11">
        <f t="shared" si="34"/>
        <v>80</v>
      </c>
      <c r="F422" s="11">
        <f t="shared" si="35"/>
        <v>25.94986775897814</v>
      </c>
      <c r="G422" s="11">
        <f t="shared" si="36"/>
        <v>25.880554145835621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2022-01-12T10:24:17Z</dcterms:modified>
</cp:coreProperties>
</file>